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ndreacanales/Dropbox/Conjoint/Base final/"/>
    </mc:Choice>
  </mc:AlternateContent>
  <xr:revisionPtr revIDLastSave="0" documentId="13_ncr:1_{E8B48F11-896B-5448-8ACD-AB920EFAD0D8}" xr6:coauthVersionLast="47" xr6:coauthVersionMax="47" xr10:uidLastSave="{00000000-0000-0000-0000-000000000000}"/>
  <bookViews>
    <workbookView xWindow="1120" yWindow="780" windowWidth="33080" windowHeight="21360" activeTab="2" xr2:uid="{00000000-000D-0000-FFFF-FFFF00000000}"/>
  </bookViews>
  <sheets>
    <sheet name="IDs" sheetId="1" r:id="rId1"/>
    <sheet name="Resumen" sheetId="2" r:id="rId2"/>
    <sheet name="Base Final" sheetId="3" r:id="rId3"/>
  </sheets>
  <definedNames>
    <definedName name="_xlnm._FilterDatabase" localSheetId="2" hidden="1">'Base Final'!$A$1:$G$73</definedName>
    <definedName name="_xlnm._FilterDatabase" localSheetId="0" hidden="1">IDs!$A$1:$AK$2796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5ybV2ayZlIZRBfUuqMqa3A2gxrn6b+UnzapK72noZI="/>
    </ext>
  </extLst>
</workbook>
</file>

<file path=xl/calcChain.xml><?xml version="1.0" encoding="utf-8"?>
<calcChain xmlns="http://schemas.openxmlformats.org/spreadsheetml/2006/main">
  <c r="D53" i="3" l="1"/>
  <c r="E53" i="3"/>
  <c r="D56" i="3"/>
  <c r="E56" i="3"/>
  <c r="D59" i="3"/>
  <c r="E59" i="3"/>
  <c r="D62" i="3"/>
  <c r="E62" i="3"/>
  <c r="D65" i="3"/>
  <c r="E65" i="3"/>
  <c r="D68" i="3"/>
  <c r="E68" i="3"/>
  <c r="D71" i="3"/>
  <c r="E71" i="3"/>
  <c r="D2" i="3"/>
  <c r="E2" i="3"/>
  <c r="D5" i="3"/>
  <c r="E5" i="3"/>
  <c r="D8" i="3"/>
  <c r="E8" i="3"/>
  <c r="D11" i="3"/>
  <c r="E11" i="3"/>
  <c r="D14" i="3"/>
  <c r="E14" i="3"/>
  <c r="D17" i="3"/>
  <c r="E17" i="3"/>
  <c r="D20" i="3"/>
  <c r="E20" i="3"/>
  <c r="D23" i="3"/>
  <c r="E23" i="3"/>
  <c r="D26" i="3"/>
  <c r="E26" i="3"/>
  <c r="D29" i="3"/>
  <c r="E29" i="3"/>
  <c r="D32" i="3"/>
  <c r="E32" i="3"/>
  <c r="D35" i="3"/>
  <c r="E35" i="3"/>
  <c r="D38" i="3"/>
  <c r="E38" i="3"/>
  <c r="D41" i="3"/>
  <c r="E41" i="3"/>
  <c r="D44" i="3"/>
  <c r="E44" i="3"/>
  <c r="D47" i="3"/>
  <c r="E47" i="3"/>
  <c r="D51" i="3"/>
  <c r="E51" i="3"/>
  <c r="D54" i="3"/>
  <c r="E54" i="3"/>
  <c r="D57" i="3"/>
  <c r="E57" i="3"/>
  <c r="D60" i="3"/>
  <c r="E60" i="3"/>
  <c r="D63" i="3"/>
  <c r="E63" i="3"/>
  <c r="D66" i="3"/>
  <c r="E66" i="3"/>
  <c r="D69" i="3"/>
  <c r="E69" i="3"/>
  <c r="D72" i="3"/>
  <c r="E72" i="3"/>
  <c r="D3" i="3"/>
  <c r="E3" i="3"/>
  <c r="D6" i="3"/>
  <c r="E6" i="3"/>
  <c r="D9" i="3"/>
  <c r="E9" i="3"/>
  <c r="D12" i="3"/>
  <c r="E12" i="3"/>
  <c r="D15" i="3"/>
  <c r="E15" i="3"/>
  <c r="D18" i="3"/>
  <c r="E18" i="3"/>
  <c r="D21" i="3"/>
  <c r="E21" i="3"/>
  <c r="D24" i="3"/>
  <c r="E24" i="3"/>
  <c r="D27" i="3"/>
  <c r="E27" i="3"/>
  <c r="D30" i="3"/>
  <c r="E30" i="3"/>
  <c r="D33" i="3"/>
  <c r="E33" i="3"/>
  <c r="D36" i="3"/>
  <c r="E36" i="3"/>
  <c r="D39" i="3"/>
  <c r="E39" i="3"/>
  <c r="D42" i="3"/>
  <c r="E42" i="3"/>
  <c r="D45" i="3"/>
  <c r="E45" i="3"/>
  <c r="D48" i="3"/>
  <c r="E48" i="3"/>
  <c r="D52" i="3"/>
  <c r="E52" i="3"/>
  <c r="D55" i="3"/>
  <c r="E55" i="3"/>
  <c r="D58" i="3"/>
  <c r="E58" i="3"/>
  <c r="D61" i="3"/>
  <c r="E61" i="3"/>
  <c r="D64" i="3"/>
  <c r="E64" i="3"/>
  <c r="D67" i="3"/>
  <c r="E67" i="3"/>
  <c r="D70" i="3"/>
  <c r="E70" i="3"/>
  <c r="D73" i="3"/>
  <c r="E73" i="3"/>
  <c r="D4" i="3"/>
  <c r="E4" i="3"/>
  <c r="D7" i="3"/>
  <c r="E7" i="3"/>
  <c r="D10" i="3"/>
  <c r="E10" i="3"/>
  <c r="D13" i="3"/>
  <c r="E13" i="3"/>
  <c r="D16" i="3"/>
  <c r="E16" i="3"/>
  <c r="D19" i="3"/>
  <c r="E19" i="3"/>
  <c r="D22" i="3"/>
  <c r="E22" i="3"/>
  <c r="D25" i="3"/>
  <c r="E25" i="3"/>
  <c r="D28" i="3"/>
  <c r="E28" i="3"/>
  <c r="D31" i="3"/>
  <c r="E31" i="3"/>
  <c r="D34" i="3"/>
  <c r="E34" i="3"/>
  <c r="D37" i="3"/>
  <c r="E37" i="3"/>
  <c r="D40" i="3"/>
  <c r="E40" i="3"/>
  <c r="D43" i="3"/>
  <c r="E43" i="3"/>
  <c r="D46" i="3"/>
  <c r="E46" i="3"/>
  <c r="D49" i="3"/>
  <c r="E49" i="3"/>
  <c r="E50" i="3"/>
  <c r="D50" i="3"/>
  <c r="C53" i="3"/>
  <c r="C56" i="3"/>
  <c r="C59" i="3"/>
  <c r="C62" i="3"/>
  <c r="C65" i="3"/>
  <c r="C68" i="3"/>
  <c r="C71" i="3"/>
  <c r="C2" i="3"/>
  <c r="C5" i="3"/>
  <c r="C8" i="3"/>
  <c r="C11" i="3"/>
  <c r="C14" i="3"/>
  <c r="C17" i="3"/>
  <c r="C20" i="3"/>
  <c r="C23" i="3"/>
  <c r="C26" i="3"/>
  <c r="C29" i="3"/>
  <c r="C32" i="3"/>
  <c r="C35" i="3"/>
  <c r="C38" i="3"/>
  <c r="C41" i="3"/>
  <c r="C44" i="3"/>
  <c r="C47" i="3"/>
  <c r="C51" i="3"/>
  <c r="C54" i="3"/>
  <c r="C57" i="3"/>
  <c r="C60" i="3"/>
  <c r="C63" i="3"/>
  <c r="C66" i="3"/>
  <c r="C69" i="3"/>
  <c r="C72" i="3"/>
  <c r="C3" i="3"/>
  <c r="C6" i="3"/>
  <c r="C9" i="3"/>
  <c r="C12" i="3"/>
  <c r="C15" i="3"/>
  <c r="C18" i="3"/>
  <c r="C21" i="3"/>
  <c r="C24" i="3"/>
  <c r="C27" i="3"/>
  <c r="C30" i="3"/>
  <c r="C33" i="3"/>
  <c r="C36" i="3"/>
  <c r="C39" i="3"/>
  <c r="C42" i="3"/>
  <c r="C45" i="3"/>
  <c r="C48" i="3"/>
  <c r="C52" i="3"/>
  <c r="C55" i="3"/>
  <c r="C58" i="3"/>
  <c r="C61" i="3"/>
  <c r="C64" i="3"/>
  <c r="C67" i="3"/>
  <c r="C70" i="3"/>
  <c r="C73" i="3"/>
  <c r="C4" i="3"/>
  <c r="C7" i="3"/>
  <c r="C10" i="3"/>
  <c r="C13" i="3"/>
  <c r="C16" i="3"/>
  <c r="C19" i="3"/>
  <c r="C22" i="3"/>
  <c r="C25" i="3"/>
  <c r="C28" i="3"/>
  <c r="C31" i="3"/>
  <c r="C34" i="3"/>
  <c r="C37" i="3"/>
  <c r="C40" i="3"/>
  <c r="C43" i="3"/>
  <c r="C46" i="3"/>
  <c r="C49" i="3"/>
  <c r="C50" i="3"/>
  <c r="B53" i="3"/>
  <c r="B56" i="3"/>
  <c r="B59" i="3"/>
  <c r="B62" i="3"/>
  <c r="B65" i="3"/>
  <c r="B68" i="3"/>
  <c r="B71" i="3"/>
  <c r="B2" i="3"/>
  <c r="B5" i="3"/>
  <c r="B8" i="3"/>
  <c r="B11" i="3"/>
  <c r="B14" i="3"/>
  <c r="B17" i="3"/>
  <c r="B20" i="3"/>
  <c r="B23" i="3"/>
  <c r="B26" i="3"/>
  <c r="B29" i="3"/>
  <c r="B32" i="3"/>
  <c r="B35" i="3"/>
  <c r="B38" i="3"/>
  <c r="B41" i="3"/>
  <c r="B44" i="3"/>
  <c r="B47" i="3"/>
  <c r="B51" i="3"/>
  <c r="B54" i="3"/>
  <c r="B57" i="3"/>
  <c r="B60" i="3"/>
  <c r="B63" i="3"/>
  <c r="B66" i="3"/>
  <c r="B69" i="3"/>
  <c r="B72" i="3"/>
  <c r="B3" i="3"/>
  <c r="B6" i="3"/>
  <c r="B9" i="3"/>
  <c r="B12" i="3"/>
  <c r="B15" i="3"/>
  <c r="B18" i="3"/>
  <c r="B21" i="3"/>
  <c r="B24" i="3"/>
  <c r="B27" i="3"/>
  <c r="B30" i="3"/>
  <c r="B33" i="3"/>
  <c r="B36" i="3"/>
  <c r="B39" i="3"/>
  <c r="B42" i="3"/>
  <c r="B45" i="3"/>
  <c r="B48" i="3"/>
  <c r="B52" i="3"/>
  <c r="B55" i="3"/>
  <c r="B58" i="3"/>
  <c r="B61" i="3"/>
  <c r="B64" i="3"/>
  <c r="B67" i="3"/>
  <c r="B70" i="3"/>
  <c r="B73" i="3"/>
  <c r="B4" i="3"/>
  <c r="B7" i="3"/>
  <c r="B10" i="3"/>
  <c r="B13" i="3"/>
  <c r="B16" i="3"/>
  <c r="B19" i="3"/>
  <c r="B22" i="3"/>
  <c r="B25" i="3"/>
  <c r="B28" i="3"/>
  <c r="B31" i="3"/>
  <c r="B34" i="3"/>
  <c r="B37" i="3"/>
  <c r="B40" i="3"/>
  <c r="B43" i="3"/>
  <c r="B46" i="3"/>
  <c r="B49" i="3"/>
  <c r="B50" i="3"/>
  <c r="AH671" i="1"/>
  <c r="AH2711" i="1"/>
  <c r="AH406" i="1"/>
  <c r="AH1914" i="1"/>
  <c r="AH1141" i="1"/>
  <c r="AH1286" i="1"/>
  <c r="AH1100" i="1"/>
  <c r="AH2161" i="1"/>
  <c r="AH2494" i="1"/>
  <c r="AH1317" i="1"/>
  <c r="AH2634" i="1"/>
  <c r="AH204" i="1"/>
  <c r="AH1284" i="1"/>
  <c r="AH2474" i="1"/>
  <c r="AH2117" i="1"/>
  <c r="AH1707" i="1"/>
  <c r="AH1368" i="1"/>
  <c r="AH1519" i="1"/>
  <c r="AH1355" i="1"/>
  <c r="AH1278" i="1"/>
  <c r="AH2380" i="1"/>
  <c r="AH190" i="1"/>
  <c r="AH2138" i="1"/>
  <c r="AH1755" i="1"/>
  <c r="AH735" i="1"/>
  <c r="AH586" i="1"/>
  <c r="AH909" i="1"/>
  <c r="AH2696" i="1"/>
  <c r="AH1423" i="1"/>
  <c r="AH2726" i="1"/>
  <c r="AH1482" i="1"/>
  <c r="AH1644" i="1"/>
  <c r="AH2759" i="1"/>
  <c r="AH614" i="1"/>
  <c r="AH2703" i="1"/>
  <c r="AH911" i="1"/>
  <c r="AH2708" i="1"/>
  <c r="AH1623" i="1"/>
  <c r="AH938" i="1"/>
  <c r="AH1314" i="1"/>
  <c r="AH2038" i="1"/>
  <c r="AH1319" i="1"/>
  <c r="AH799" i="1"/>
  <c r="AH306" i="1"/>
  <c r="AH2483" i="1"/>
  <c r="AH2320" i="1"/>
  <c r="AH2" i="1"/>
  <c r="AH2377" i="1"/>
  <c r="AH2605" i="1"/>
  <c r="AH389" i="1"/>
  <c r="AH240" i="1"/>
  <c r="AH2165" i="1"/>
  <c r="AH1526" i="1"/>
  <c r="AH1691" i="1"/>
  <c r="AH388" i="1"/>
  <c r="AH646" i="1"/>
  <c r="AH2291" i="1"/>
  <c r="AH537" i="1"/>
  <c r="AH803" i="1"/>
  <c r="AH2608" i="1"/>
  <c r="AH2410" i="1"/>
  <c r="AH337" i="1"/>
  <c r="AH2003" i="1"/>
  <c r="AH855" i="1"/>
  <c r="AH1204" i="1"/>
  <c r="AH861" i="1"/>
  <c r="AH2559" i="1"/>
  <c r="AH2615" i="1"/>
  <c r="AH1911" i="1"/>
  <c r="AH1294" i="1"/>
  <c r="AH1285" i="1"/>
  <c r="AH1500" i="1"/>
  <c r="AH669" i="1"/>
  <c r="AH2355" i="1"/>
  <c r="AH2489" i="1"/>
  <c r="AH2538" i="1"/>
  <c r="AH1580" i="1"/>
  <c r="AH1922" i="1"/>
  <c r="AH267" i="1"/>
  <c r="AH2063" i="1"/>
  <c r="AH2414" i="1"/>
  <c r="AH713" i="1"/>
  <c r="AH1838" i="1"/>
  <c r="AH1353" i="1"/>
  <c r="AH65" i="1"/>
  <c r="AH627" i="1"/>
  <c r="AH1947" i="1"/>
  <c r="AH2585" i="1"/>
  <c r="AH2002" i="1"/>
  <c r="AH1693" i="1"/>
  <c r="AH937" i="1"/>
  <c r="AH437" i="1"/>
  <c r="AH2011" i="1"/>
  <c r="AH2013" i="1"/>
  <c r="AH2357" i="1"/>
  <c r="AH98" i="1"/>
  <c r="AH2245" i="1"/>
  <c r="AH1671" i="1"/>
  <c r="AH1567" i="1"/>
  <c r="AH2020" i="1"/>
  <c r="AH134" i="1"/>
  <c r="AH2150" i="1"/>
  <c r="AH2411" i="1"/>
  <c r="AH579" i="1"/>
  <c r="AH2036" i="1"/>
  <c r="AH994" i="1"/>
  <c r="AH555" i="1"/>
  <c r="AH1782" i="1"/>
  <c r="AH1739" i="1"/>
  <c r="AH974" i="1"/>
  <c r="AH1932" i="1"/>
  <c r="AH1172" i="1"/>
  <c r="AH1893" i="1"/>
  <c r="AH1665" i="1"/>
  <c r="AH471" i="1"/>
  <c r="AH280" i="1"/>
  <c r="AH2640" i="1"/>
  <c r="AH1945" i="1"/>
  <c r="AH1749" i="1"/>
  <c r="AH175" i="1"/>
  <c r="AH1288" i="1"/>
  <c r="AH784" i="1"/>
  <c r="AH2701" i="1"/>
  <c r="AH259" i="1"/>
  <c r="AH64" i="1"/>
  <c r="AH1788" i="1"/>
  <c r="AH962" i="1"/>
  <c r="AH458" i="1"/>
  <c r="AH2487" i="1"/>
  <c r="AH2523" i="1"/>
  <c r="AH1502" i="1"/>
  <c r="AH39" i="1"/>
  <c r="AH116" i="1"/>
  <c r="AH1150" i="1"/>
  <c r="AH2670" i="1"/>
  <c r="AH2587" i="1"/>
  <c r="AH2532" i="1"/>
  <c r="AH2506" i="1"/>
  <c r="AH241" i="1"/>
  <c r="AH886" i="1"/>
  <c r="AH1338" i="1"/>
  <c r="AH144" i="1"/>
  <c r="AH260" i="1"/>
  <c r="AH318" i="1"/>
  <c r="AH2383" i="1"/>
  <c r="AH794" i="1"/>
  <c r="AH1627" i="1"/>
  <c r="AH55" i="1"/>
  <c r="AH151" i="1"/>
  <c r="AH550" i="1"/>
  <c r="AH2343" i="1"/>
  <c r="AH709" i="1"/>
  <c r="AH1168" i="1"/>
  <c r="AH2064" i="1"/>
  <c r="AH176" i="1"/>
  <c r="AH986" i="1"/>
  <c r="AH2541" i="1"/>
  <c r="AH2102" i="1"/>
  <c r="AH1550" i="1"/>
  <c r="AH2286" i="1"/>
  <c r="AH2574" i="1"/>
  <c r="AH185" i="1"/>
  <c r="AH2427" i="1"/>
  <c r="AH1403" i="1"/>
  <c r="AH2272" i="1"/>
  <c r="AH2197" i="1"/>
  <c r="AH2563" i="1"/>
  <c r="AH1916" i="1"/>
  <c r="AH2119" i="1"/>
  <c r="AH1920" i="1"/>
  <c r="AH346" i="1"/>
  <c r="AH2702" i="1"/>
  <c r="AH1581" i="1"/>
  <c r="AH213" i="1"/>
  <c r="AH1167" i="1"/>
  <c r="AH2317" i="1"/>
  <c r="AH2372" i="1"/>
  <c r="AH2758" i="1"/>
  <c r="AH2565" i="1"/>
  <c r="AH1158" i="1"/>
  <c r="AH686" i="1"/>
  <c r="AH411" i="1"/>
  <c r="AH1270" i="1"/>
  <c r="AH524" i="1"/>
  <c r="AH534" i="1"/>
  <c r="AH282" i="1"/>
  <c r="AH429" i="1"/>
  <c r="AH1033" i="1"/>
  <c r="AH1576" i="1"/>
  <c r="AH2771" i="1"/>
  <c r="AH440" i="1"/>
  <c r="AH108" i="1"/>
  <c r="AH1653" i="1"/>
  <c r="AH2794" i="1"/>
  <c r="AH1650" i="1"/>
  <c r="AH1726" i="1"/>
  <c r="AH1901" i="1"/>
  <c r="AH200" i="1"/>
  <c r="AH1971" i="1"/>
  <c r="AH2777" i="1"/>
  <c r="AH836" i="1"/>
  <c r="AH1192" i="1"/>
  <c r="AH1866" i="1"/>
  <c r="AH2603" i="1"/>
  <c r="AH1258" i="1"/>
  <c r="AH195" i="1"/>
  <c r="AH870" i="1"/>
  <c r="AH605" i="1"/>
  <c r="AH80" i="1"/>
  <c r="AH626" i="1"/>
  <c r="AH1046" i="1"/>
  <c r="AH893" i="1"/>
  <c r="AH2398" i="1"/>
  <c r="AH473" i="1"/>
  <c r="AH2344" i="1"/>
  <c r="AH1290" i="1"/>
  <c r="AH1373" i="1"/>
  <c r="AH2103" i="1"/>
  <c r="AH2184" i="1"/>
  <c r="AH1485" i="1"/>
  <c r="AH369" i="1"/>
  <c r="AH1972" i="1"/>
  <c r="AH928" i="1"/>
  <c r="AH2685" i="1"/>
  <c r="AH226" i="1"/>
  <c r="AH774" i="1"/>
  <c r="AH1557" i="1"/>
  <c r="AH2062" i="1"/>
  <c r="AH1271" i="1"/>
  <c r="AH1325" i="1"/>
  <c r="AH1132" i="1"/>
  <c r="AH681" i="1"/>
  <c r="AH235" i="1"/>
  <c r="AH1799" i="1"/>
  <c r="AH2769" i="1"/>
  <c r="AH1686" i="1"/>
  <c r="AH1478" i="1"/>
  <c r="AH772" i="1"/>
  <c r="AH1692" i="1"/>
  <c r="AH454" i="1"/>
  <c r="AH1360" i="1"/>
  <c r="AH2288" i="1"/>
  <c r="AH2751" i="1"/>
  <c r="AH2392" i="1"/>
  <c r="AH328" i="1"/>
  <c r="AH305" i="1"/>
  <c r="AH2589" i="1"/>
  <c r="AH969" i="1"/>
  <c r="AH159" i="1"/>
  <c r="AH1216" i="1"/>
  <c r="AH74" i="1"/>
  <c r="AH1056" i="1"/>
  <c r="AH2361" i="1"/>
  <c r="AH1725" i="1"/>
  <c r="AH1992" i="1"/>
  <c r="AH821" i="1"/>
  <c r="AH329" i="1"/>
  <c r="AH1775" i="1"/>
  <c r="AH1611" i="1"/>
  <c r="AH184" i="1"/>
  <c r="AH753" i="1"/>
  <c r="AH1401" i="1"/>
  <c r="AH563" i="1"/>
  <c r="AH932" i="1"/>
  <c r="AH1027" i="1"/>
  <c r="AH2780" i="1"/>
  <c r="AH237" i="1"/>
  <c r="AH48" i="1"/>
  <c r="AH2423" i="1"/>
  <c r="AH843" i="1"/>
  <c r="AH76" i="1"/>
  <c r="AH844" i="1"/>
  <c r="AH719" i="1"/>
  <c r="AH383" i="1"/>
  <c r="AH373" i="1"/>
  <c r="AH632" i="1"/>
  <c r="AH2158" i="1"/>
  <c r="AH530" i="1"/>
  <c r="AH17" i="1"/>
  <c r="AH439" i="1"/>
  <c r="AH1370" i="1"/>
  <c r="AH1051" i="1"/>
  <c r="AH2512" i="1"/>
  <c r="AH2040" i="1"/>
  <c r="AH22" i="1"/>
  <c r="AH761" i="1"/>
  <c r="AH113" i="1"/>
  <c r="AH1931" i="1"/>
  <c r="AH1490" i="1"/>
  <c r="AH1950" i="1"/>
  <c r="AH1277" i="1"/>
  <c r="AH45" i="1"/>
  <c r="AH1122" i="1"/>
  <c r="AH2368" i="1"/>
  <c r="AH2106" i="1"/>
  <c r="AH1961" i="1"/>
  <c r="AH2436" i="1"/>
  <c r="AH1745" i="1"/>
  <c r="AH1292" i="1"/>
  <c r="AH2071" i="1"/>
  <c r="AH1880" i="1"/>
  <c r="AH1001" i="1"/>
  <c r="AH829" i="1"/>
  <c r="AH615" i="1"/>
  <c r="AH2645" i="1"/>
  <c r="AH930" i="1"/>
  <c r="AH2072" i="1"/>
  <c r="AH28" i="1"/>
  <c r="AH1232" i="1"/>
  <c r="AH2091" i="1"/>
  <c r="AH1674" i="1"/>
  <c r="AH2189" i="1"/>
  <c r="AH475" i="1"/>
  <c r="AH1904" i="1"/>
  <c r="AH2584" i="1"/>
  <c r="AH834" i="1"/>
  <c r="AH466" i="1"/>
  <c r="AH2327" i="1"/>
  <c r="AH1545" i="1"/>
  <c r="AH394" i="1"/>
  <c r="AH2680" i="1"/>
  <c r="AH193" i="1"/>
  <c r="AH2493" i="1"/>
  <c r="AH1183" i="1"/>
  <c r="AH418" i="1"/>
  <c r="AH307" i="1"/>
  <c r="AH536" i="1"/>
  <c r="AH650" i="1"/>
  <c r="AH1540" i="1"/>
  <c r="AH2366" i="1"/>
  <c r="AH2293" i="1"/>
  <c r="AH2284" i="1"/>
  <c r="AH740" i="1"/>
  <c r="AH1953" i="1"/>
  <c r="AH1764" i="1"/>
  <c r="AH1195" i="1"/>
  <c r="AH1694" i="1"/>
  <c r="AH1614" i="1"/>
  <c r="AH1906" i="1"/>
  <c r="AH1134" i="1"/>
  <c r="AH2248" i="1"/>
  <c r="AH387" i="1"/>
  <c r="AH2588" i="1"/>
  <c r="AH1952" i="1"/>
  <c r="AH2220" i="1"/>
  <c r="AH2068" i="1"/>
  <c r="AH1854" i="1"/>
  <c r="AH1646" i="1"/>
  <c r="AH18" i="1"/>
  <c r="AH352" i="1"/>
  <c r="AH878" i="1"/>
  <c r="AH2642" i="1"/>
  <c r="AH164" i="1"/>
  <c r="AH450" i="1"/>
  <c r="AH850" i="1"/>
  <c r="AH879" i="1"/>
  <c r="AH786" i="1"/>
  <c r="AH419" i="1"/>
  <c r="AH1404" i="1"/>
  <c r="AH1179" i="1"/>
  <c r="AH2301" i="1"/>
  <c r="AH541" i="1"/>
  <c r="AH699" i="1"/>
  <c r="AH882" i="1"/>
  <c r="AH1865" i="1"/>
  <c r="AH1151" i="1"/>
  <c r="AH1883" i="1"/>
  <c r="AH73" i="1"/>
  <c r="AH1459" i="1"/>
  <c r="AH1784" i="1"/>
  <c r="AH1311" i="1"/>
  <c r="AH1569" i="1"/>
  <c r="AH1974" i="1"/>
  <c r="AH2519" i="1"/>
  <c r="AH2140" i="1"/>
  <c r="AH1835" i="1"/>
  <c r="AH2249" i="1"/>
  <c r="AH754" i="1"/>
  <c r="AH2321" i="1"/>
  <c r="AH2424" i="1"/>
  <c r="AH1600" i="1"/>
  <c r="AH2257" i="1"/>
  <c r="AH1554" i="1"/>
  <c r="AH2210" i="1"/>
  <c r="AH1941" i="1"/>
  <c r="AH1101" i="1"/>
  <c r="AH1533" i="1"/>
  <c r="AH1510" i="1"/>
  <c r="AH1032" i="1"/>
  <c r="AH72" i="1"/>
  <c r="AH2606" i="1"/>
  <c r="AH391" i="1"/>
  <c r="AH2081" i="1"/>
  <c r="AH503" i="1"/>
  <c r="AH378" i="1"/>
  <c r="AH785" i="1"/>
  <c r="AH647" i="1"/>
  <c r="AH2733" i="1"/>
  <c r="AH1293" i="1"/>
  <c r="AH1304" i="1"/>
  <c r="AH1615" i="1"/>
  <c r="AH562" i="1"/>
  <c r="AH1870" i="1"/>
  <c r="AH1383" i="1"/>
  <c r="AH1994" i="1"/>
  <c r="AH968" i="1"/>
  <c r="AH2735" i="1"/>
  <c r="AH1180" i="1"/>
  <c r="AH1915" i="1"/>
  <c r="AH1375" i="1"/>
  <c r="AH690" i="1"/>
  <c r="AH1834" i="1"/>
  <c r="AH1075" i="1"/>
  <c r="AH443" i="1"/>
  <c r="AH619" i="1"/>
  <c r="AH180" i="1"/>
  <c r="AH1964" i="1"/>
  <c r="AH1921" i="1"/>
  <c r="AH2256" i="1"/>
  <c r="AH2638" i="1"/>
  <c r="AH1713" i="1"/>
  <c r="AH1013" i="1"/>
  <c r="AH2079" i="1"/>
  <c r="AH2379" i="1"/>
  <c r="AH2521" i="1"/>
  <c r="AH2625" i="1"/>
  <c r="AH390" i="1"/>
  <c r="AH33" i="1"/>
  <c r="AH132" i="1"/>
  <c r="AH1439" i="1"/>
  <c r="AH1826" i="1"/>
  <c r="AH1324" i="1"/>
  <c r="AH499" i="1"/>
  <c r="AH807" i="1"/>
  <c r="AH1647" i="1"/>
  <c r="AH2183" i="1"/>
  <c r="AH1073" i="1"/>
  <c r="AH252" i="1"/>
  <c r="AH2104" i="1"/>
  <c r="AH254" i="1"/>
  <c r="AH635" i="1"/>
  <c r="AH1552" i="1"/>
  <c r="AH936" i="1"/>
  <c r="AH63" i="1"/>
  <c r="AH795" i="1"/>
  <c r="AH1153" i="1"/>
  <c r="AH2539" i="1"/>
  <c r="AH2037" i="1"/>
  <c r="AH2552" i="1"/>
  <c r="AH1897" i="1"/>
  <c r="AH906" i="1"/>
  <c r="AH813" i="1"/>
  <c r="AH676" i="1"/>
  <c r="AH1072" i="1"/>
  <c r="AH2137" i="1"/>
  <c r="AH2201" i="1"/>
  <c r="AH2118" i="1"/>
  <c r="AH952" i="1"/>
  <c r="AH729" i="1"/>
  <c r="AH94" i="1"/>
  <c r="AH87" i="1"/>
  <c r="AH93" i="1"/>
  <c r="AH317" i="1"/>
  <c r="AH2070" i="1"/>
  <c r="AH467" i="1"/>
  <c r="AH712" i="1"/>
  <c r="AH1535" i="1"/>
  <c r="AH2051" i="1"/>
  <c r="AH1822" i="1"/>
  <c r="AH1198" i="1"/>
  <c r="AH1086" i="1"/>
  <c r="AH2111" i="1"/>
  <c r="AH270" i="1"/>
  <c r="AH422" i="1"/>
  <c r="AH1661" i="1"/>
  <c r="AH2159" i="1"/>
  <c r="AH56" i="1"/>
  <c r="AH2657" i="1"/>
  <c r="AH459" i="1"/>
  <c r="AH27" i="1"/>
  <c r="AH2689" i="1"/>
  <c r="AH584" i="1"/>
  <c r="AH417" i="1"/>
  <c r="AH423" i="1"/>
  <c r="AH842" i="1"/>
  <c r="AH2660" i="1"/>
  <c r="AH2198" i="1"/>
  <c r="AH1884" i="1"/>
  <c r="AH2237" i="1"/>
  <c r="AH1469" i="1"/>
  <c r="AH742" i="1"/>
  <c r="AH2151" i="1"/>
  <c r="AH139" i="1"/>
  <c r="AH1965" i="1"/>
  <c r="AH757" i="1"/>
  <c r="AH744" i="1"/>
  <c r="AH1202" i="1"/>
  <c r="AH732" i="1"/>
  <c r="AH1225" i="1"/>
  <c r="AH1617" i="1"/>
  <c r="AH1955" i="1"/>
  <c r="AH1157" i="1"/>
  <c r="AH1279" i="1"/>
  <c r="AH1452" i="1"/>
  <c r="AH2039" i="1"/>
  <c r="AH701" i="1"/>
  <c r="AH1133" i="1"/>
  <c r="AH1740" i="1"/>
  <c r="AH2627" i="1"/>
  <c r="AH1951" i="1"/>
  <c r="AH2294" i="1"/>
  <c r="AH1963" i="1"/>
  <c r="AH14" i="1"/>
  <c r="AH2089" i="1"/>
  <c r="AH2460" i="1"/>
  <c r="AH264" i="1"/>
  <c r="AH47" i="1"/>
  <c r="AH1532" i="1"/>
  <c r="AH2258" i="1"/>
  <c r="AH1715" i="1"/>
  <c r="AH449" i="1"/>
  <c r="AH2761" i="1"/>
  <c r="AH1367" i="1"/>
  <c r="AH42" i="1"/>
  <c r="AH574" i="1"/>
  <c r="AH2056" i="1"/>
  <c r="AH68" i="1"/>
  <c r="AH275" i="1"/>
  <c r="AH2290" i="1"/>
  <c r="AH1831" i="1"/>
  <c r="AH2773" i="1"/>
  <c r="AH918" i="1"/>
  <c r="AH687" i="1"/>
  <c r="AH2486" i="1"/>
  <c r="AH1986" i="1"/>
  <c r="AH812" i="1"/>
  <c r="AH7" i="1"/>
  <c r="AH2476" i="1"/>
  <c r="AH2226" i="1"/>
  <c r="AH1466" i="1"/>
  <c r="AH820" i="1"/>
  <c r="AH2775" i="1"/>
  <c r="AH192" i="1"/>
  <c r="AH2240" i="1"/>
  <c r="AH1118" i="1"/>
  <c r="AH876" i="1"/>
  <c r="AH622" i="1"/>
  <c r="AH152" i="1"/>
  <c r="AH474" i="1"/>
  <c r="AH1115" i="1"/>
  <c r="AH272" i="1"/>
  <c r="AH2262" i="1"/>
  <c r="AH177" i="1"/>
  <c r="AH2674" i="1"/>
  <c r="AH2626" i="1"/>
  <c r="AH750" i="1"/>
  <c r="AH1083" i="1"/>
  <c r="AH1871" i="1"/>
  <c r="AH1954" i="1"/>
  <c r="AH160" i="1"/>
  <c r="AH2033" i="1"/>
  <c r="AH2405" i="1"/>
  <c r="AH672" i="1"/>
  <c r="AH2236" i="1"/>
  <c r="AH2060" i="1"/>
  <c r="AH1015" i="1"/>
  <c r="AH1398" i="1"/>
  <c r="AH897" i="1"/>
  <c r="AH2554" i="1"/>
  <c r="AH935" i="1"/>
  <c r="AH1096" i="1"/>
  <c r="AH1215" i="1"/>
  <c r="AH797" i="1"/>
  <c r="AH1397" i="1"/>
  <c r="AH1506" i="1"/>
  <c r="AH2186" i="1"/>
  <c r="AH668" i="1"/>
  <c r="AH2000" i="1"/>
  <c r="AH1016" i="1"/>
  <c r="AH1633" i="1"/>
  <c r="AH675" i="1"/>
  <c r="AH1241" i="1"/>
  <c r="AH171" i="1"/>
  <c r="AH2412" i="1"/>
  <c r="AH271" i="1"/>
  <c r="AH2433" i="1"/>
  <c r="AH2385" i="1"/>
  <c r="AH1140" i="1"/>
  <c r="AH1421" i="1"/>
  <c r="AH1679" i="1"/>
  <c r="AH2015" i="1"/>
  <c r="AH594" i="1"/>
  <c r="AH2723" i="1"/>
  <c r="AH2191" i="1"/>
  <c r="AH1247" i="1"/>
  <c r="AH1004" i="1"/>
  <c r="AH2529" i="1"/>
  <c r="AH1349" i="1"/>
  <c r="AH1690" i="1"/>
  <c r="AH991" i="1"/>
  <c r="AH651" i="1"/>
  <c r="AH1424" i="1"/>
  <c r="AH338" i="1"/>
  <c r="AH1193" i="1"/>
  <c r="AH1999" i="1"/>
  <c r="AH853" i="1"/>
  <c r="AH2505" i="1"/>
  <c r="AH1400" i="1"/>
  <c r="AH1194" i="1"/>
  <c r="AH1608" i="1"/>
  <c r="AH478" i="1"/>
  <c r="AH2672" i="1"/>
  <c r="AH145" i="1"/>
  <c r="AH880" i="1"/>
  <c r="AH133" i="1"/>
  <c r="AH118" i="1"/>
  <c r="AH2564" i="1"/>
  <c r="AH2141" i="1"/>
  <c r="AH2253" i="1"/>
  <c r="AH1774" i="1"/>
  <c r="AH2479" i="1"/>
  <c r="AH2593" i="1"/>
  <c r="AH1534" i="1"/>
  <c r="AH2175" i="1"/>
  <c r="AH413" i="1"/>
  <c r="AH2332" i="1"/>
  <c r="AH456" i="1"/>
  <c r="AH2739" i="1"/>
  <c r="AH2127" i="1"/>
  <c r="AH1190" i="1"/>
  <c r="AH707" i="1"/>
  <c r="AH972" i="1"/>
  <c r="AH1956" i="1"/>
  <c r="AH2308" i="1"/>
  <c r="AH110" i="1"/>
  <c r="AH715" i="1"/>
  <c r="AH339" i="1"/>
  <c r="AH1967" i="1"/>
  <c r="AH787" i="1"/>
  <c r="AH2595" i="1"/>
  <c r="AH2396" i="1"/>
  <c r="AH1209" i="1"/>
  <c r="AH620" i="1"/>
  <c r="AH295" i="1"/>
  <c r="AH114" i="1"/>
  <c r="AH1641" i="1"/>
  <c r="AH745" i="1"/>
  <c r="AH1704" i="1"/>
  <c r="AH711" i="1"/>
  <c r="AH1801" i="1"/>
  <c r="AH548" i="1"/>
  <c r="AH278" i="1"/>
  <c r="AH2700" i="1"/>
  <c r="AH1102" i="1"/>
  <c r="AH1515" i="1"/>
  <c r="AH583" i="1"/>
  <c r="AH2289" i="1"/>
  <c r="AH2402" i="1"/>
  <c r="AH120" i="1"/>
  <c r="AH2129" i="1"/>
  <c r="AH1868" i="1"/>
  <c r="AH2345" i="1"/>
  <c r="AH2525" i="1"/>
  <c r="AH1536" i="1"/>
  <c r="AH202" i="1"/>
  <c r="AH106" i="1"/>
  <c r="AH661" i="1"/>
  <c r="AH2561" i="1"/>
  <c r="AH1754" i="1"/>
  <c r="AH889" i="1"/>
  <c r="AH1626" i="1"/>
  <c r="AH342" i="1"/>
  <c r="AH510" i="1"/>
  <c r="AH600" i="1"/>
  <c r="AH2650" i="1"/>
  <c r="AH1264" i="1"/>
  <c r="AH140" i="1"/>
  <c r="AH684" i="1"/>
  <c r="AH1108" i="1"/>
  <c r="AH1460" i="1"/>
  <c r="AH408" i="1"/>
  <c r="AH2718" i="1"/>
  <c r="AH1830" i="1"/>
  <c r="AH2180" i="1"/>
  <c r="AH1161" i="1"/>
  <c r="AH1092" i="1"/>
  <c r="AH1266" i="1"/>
  <c r="AH864" i="1"/>
  <c r="AH703" i="1"/>
  <c r="AH2766" i="1"/>
  <c r="AH655" i="1"/>
  <c r="AH1719" i="1"/>
  <c r="AH2348" i="1"/>
  <c r="AH425" i="1"/>
  <c r="AH1808" i="1"/>
  <c r="AH2406" i="1"/>
  <c r="AH1053" i="1"/>
  <c r="AH2337" i="1"/>
  <c r="AH2283" i="1"/>
  <c r="AH1741" i="1"/>
  <c r="AH2211" i="1"/>
  <c r="AH1350" i="1"/>
  <c r="AH1218" i="1"/>
  <c r="AH1149" i="1"/>
  <c r="AH1348" i="1"/>
  <c r="AH146" i="1"/>
  <c r="AH2454" i="1"/>
  <c r="AH1201" i="1"/>
  <c r="AH566" i="1"/>
  <c r="AH1706" i="1"/>
  <c r="AH739" i="1"/>
  <c r="AH2012" i="1"/>
  <c r="AH312" i="1"/>
  <c r="AH1175" i="1"/>
  <c r="AH2164" i="1"/>
  <c r="AH239" i="1"/>
  <c r="AH2219" i="1"/>
  <c r="AH1855" i="1"/>
  <c r="AH1333" i="1"/>
  <c r="AH1054" i="1"/>
  <c r="AH446" i="1"/>
  <c r="AH1684" i="1"/>
  <c r="AH483" i="1"/>
  <c r="AH1966" i="1"/>
  <c r="AH1803" i="1"/>
  <c r="AH2420" i="1"/>
  <c r="AH37" i="1"/>
  <c r="AH1654" i="1"/>
  <c r="AH1416" i="1"/>
  <c r="AH1619" i="1"/>
  <c r="AH887" i="1"/>
  <c r="AH734" i="1"/>
  <c r="AH685" i="1"/>
  <c r="AH747" i="1"/>
  <c r="AH1930" i="1"/>
  <c r="AH2149" i="1"/>
  <c r="AH741" i="1"/>
  <c r="AH1059" i="1"/>
  <c r="AH1113" i="1"/>
  <c r="AH599" i="1"/>
  <c r="AH1250" i="1"/>
  <c r="AH1410" i="1"/>
  <c r="AH1667" i="1"/>
  <c r="AH1859" i="1"/>
  <c r="AH1848" i="1"/>
  <c r="AH2617" i="1"/>
  <c r="AH1021" i="1"/>
  <c r="AH2309" i="1"/>
  <c r="AH166" i="1"/>
  <c r="AH995" i="1"/>
  <c r="AH1625" i="1"/>
  <c r="AH2369" i="1"/>
  <c r="AH922" i="1"/>
  <c r="AH1836" i="1"/>
  <c r="AH2692" i="1"/>
  <c r="AH1840" i="1"/>
  <c r="AH2023" i="1"/>
  <c r="AH2123" i="1"/>
  <c r="AH2455" i="1"/>
  <c r="AH1097" i="1"/>
  <c r="AH2347" i="1"/>
  <c r="AH2096" i="1"/>
  <c r="AH765" i="1"/>
  <c r="AH1881" i="1"/>
  <c r="AH959" i="1"/>
  <c r="AH1331" i="1"/>
  <c r="AH515" i="1"/>
  <c r="AH791" i="1"/>
  <c r="AH2082" i="1"/>
  <c r="AH858" i="1"/>
  <c r="AH751" i="1"/>
  <c r="AH2139" i="1"/>
  <c r="AH2333" i="1"/>
  <c r="AH598" i="1"/>
  <c r="AH2542" i="1"/>
  <c r="AH2545" i="1"/>
  <c r="AH513" i="1"/>
  <c r="AH1842" i="1"/>
  <c r="AH2389" i="1"/>
  <c r="AH1099" i="1"/>
  <c r="AH2482" i="1"/>
  <c r="AH639" i="1"/>
  <c r="AH2426" i="1"/>
  <c r="AH2515" i="1"/>
  <c r="AH377" i="1"/>
  <c r="AH2001" i="1"/>
  <c r="AH1998" i="1"/>
  <c r="AH1579" i="1"/>
  <c r="AH1044" i="1"/>
  <c r="AH1313" i="1"/>
  <c r="AH154" i="1"/>
  <c r="AH428" i="1"/>
  <c r="AH1776" i="1"/>
  <c r="AH1772" i="1"/>
  <c r="AH2208" i="1"/>
  <c r="AH1071" i="1"/>
  <c r="AH975" i="1"/>
  <c r="AH2069" i="1"/>
  <c r="AH980" i="1"/>
  <c r="AH500" i="1"/>
  <c r="AH1787" i="1"/>
  <c r="AH950" i="1"/>
  <c r="AH642" i="1"/>
  <c r="AH2395" i="1"/>
  <c r="AH2097" i="1"/>
  <c r="AH130" i="1"/>
  <c r="AH1272" i="1"/>
  <c r="AH502" i="1"/>
  <c r="AH1790" i="1"/>
  <c r="AH1722" i="1"/>
  <c r="AH1447" i="1"/>
  <c r="AH1341" i="1"/>
  <c r="AH1005" i="1"/>
  <c r="AH2251" i="1"/>
  <c r="AH2459" i="1"/>
  <c r="AH2636" i="1"/>
  <c r="AH1817" i="1"/>
  <c r="AH1374" i="1"/>
  <c r="AH2583" i="1"/>
  <c r="AH1635" i="1"/>
  <c r="AH1405" i="1"/>
  <c r="AH2124" i="1"/>
  <c r="AH2261" i="1"/>
  <c r="AH1301" i="1"/>
  <c r="AH1946" i="1"/>
  <c r="AH1516" i="1"/>
  <c r="AH677" i="1"/>
  <c r="AH453" i="1"/>
  <c r="AH790" i="1"/>
  <c r="AH2485" i="1"/>
  <c r="AH2613" i="1"/>
  <c r="AH1492" i="1"/>
  <c r="AH485" i="1"/>
  <c r="AH1886" i="1"/>
  <c r="AH2579" i="1"/>
  <c r="AH2328" i="1"/>
  <c r="AH1477" i="1"/>
  <c r="AH1468" i="1"/>
  <c r="AH2622" i="1"/>
  <c r="AH2375" i="1"/>
  <c r="AH1080" i="1"/>
  <c r="AH996" i="1"/>
  <c r="AH1223" i="1"/>
  <c r="AH2055" i="1"/>
  <c r="AH847" i="1"/>
  <c r="AH498" i="1"/>
  <c r="AH895" i="1"/>
  <c r="AH2607" i="1"/>
  <c r="AH1844" i="1"/>
  <c r="AH2269" i="1"/>
  <c r="AH793" i="1"/>
  <c r="AH901" i="1"/>
  <c r="AH593" i="1"/>
  <c r="AH1990" i="1"/>
  <c r="AH1002" i="1"/>
  <c r="AH1558" i="1"/>
  <c r="AH2716" i="1"/>
  <c r="AH2019" i="1"/>
  <c r="AH2431" i="1"/>
  <c r="AH1714" i="1"/>
  <c r="AH57" i="1"/>
  <c r="AH2729" i="1"/>
  <c r="AH2699" i="1"/>
  <c r="AH866" i="1"/>
  <c r="AH1491" i="1"/>
  <c r="AH2146" i="1"/>
  <c r="AH618" i="1"/>
  <c r="AH1095" i="1"/>
  <c r="AH115" i="1"/>
  <c r="AH1330" i="1"/>
  <c r="AH1316" i="1"/>
  <c r="AH746" i="1"/>
  <c r="AH1030" i="1"/>
  <c r="AH1571" i="1"/>
  <c r="AH2021" i="1"/>
  <c r="AH1553" i="1"/>
  <c r="AH102" i="1"/>
  <c r="AH564" i="1"/>
  <c r="AH482" i="1"/>
  <c r="AH86" i="1"/>
  <c r="AH29" i="1"/>
  <c r="AH2768" i="1"/>
  <c r="AH1688" i="1"/>
  <c r="AH610" i="1"/>
  <c r="AH2373" i="1"/>
  <c r="AH1037" i="1"/>
  <c r="AH2228" i="1"/>
  <c r="AH1530" i="1"/>
  <c r="AH971" i="1"/>
  <c r="AH59" i="1"/>
  <c r="AH2034" i="1"/>
  <c r="AH1761" i="1"/>
  <c r="AH1555" i="1"/>
  <c r="AH216" i="1"/>
  <c r="AH924" i="1"/>
  <c r="AH1630" i="1"/>
  <c r="AH702" i="1"/>
  <c r="AH1594" i="1"/>
  <c r="AH773" i="1"/>
  <c r="AH2468" i="1"/>
  <c r="AH2597" i="1"/>
  <c r="AH771" i="1"/>
  <c r="AH547" i="1"/>
  <c r="AH1386" i="1"/>
  <c r="AH2274" i="1"/>
  <c r="AH2504" i="1"/>
  <c r="AH1549" i="1"/>
  <c r="AH517" i="1"/>
  <c r="AH398" i="1"/>
  <c r="AH2596" i="1"/>
  <c r="AH2077" i="1"/>
  <c r="AH2239" i="1"/>
  <c r="AH2722" i="1"/>
  <c r="AH2362" i="1"/>
  <c r="AH1767" i="1"/>
  <c r="AH2774" i="1"/>
  <c r="AH560" i="1"/>
  <c r="AH1087" i="1"/>
  <c r="AH1399" i="1"/>
  <c r="AH1063" i="1"/>
  <c r="AH105" i="1"/>
  <c r="AH2404" i="1"/>
  <c r="AH2709" i="1"/>
  <c r="AH1417" i="1"/>
  <c r="AH2639" i="1"/>
  <c r="AH220" i="1"/>
  <c r="AH491" i="1"/>
  <c r="AH540" i="1"/>
  <c r="AH2325" i="1"/>
  <c r="AH1006" i="1"/>
  <c r="AH104" i="1"/>
  <c r="AH2719" i="1"/>
  <c r="AH263" i="1"/>
  <c r="AH2303" i="1"/>
  <c r="AH143" i="1"/>
  <c r="AH1085" i="1"/>
  <c r="AH2514" i="1"/>
  <c r="AH1200" i="1"/>
  <c r="AH421" i="1"/>
  <c r="AH341" i="1"/>
  <c r="AH319" i="1"/>
  <c r="AH652" i="1"/>
  <c r="AH1869" i="1"/>
  <c r="AH1431" i="1"/>
  <c r="AH1411" i="1"/>
  <c r="AH948" i="1"/>
  <c r="AH831" i="1"/>
  <c r="AH1074" i="1"/>
  <c r="AH1048" i="1"/>
  <c r="AH1474" i="1"/>
  <c r="AH899" i="1"/>
  <c r="AH181" i="1"/>
  <c r="AH1334" i="1"/>
  <c r="AH2661" i="1"/>
  <c r="AH344" i="1"/>
  <c r="AH919" i="1"/>
  <c r="AH1987" i="1"/>
  <c r="AH2444" i="1"/>
  <c r="AH2450" i="1"/>
  <c r="AH464" i="1"/>
  <c r="AH1511" i="1"/>
  <c r="AH2132" i="1"/>
  <c r="AH2134" i="1"/>
  <c r="AH1110" i="1"/>
  <c r="AH705" i="1"/>
  <c r="AH2244" i="1"/>
  <c r="AH2551" i="1"/>
  <c r="AH412" i="1"/>
  <c r="AH698" i="1"/>
  <c r="AH244" i="1"/>
  <c r="AH1827" i="1"/>
  <c r="AH285" i="1"/>
  <c r="AH1752" i="1"/>
  <c r="AH487" i="1"/>
  <c r="AH2296" i="1"/>
  <c r="AH2318" i="1"/>
  <c r="AH426" i="1"/>
  <c r="AH107" i="1"/>
  <c r="AH2495" i="1"/>
  <c r="AH1765" i="1"/>
  <c r="AH1098" i="1"/>
  <c r="AH1796" i="1"/>
  <c r="AH2205" i="1"/>
  <c r="AH570" i="1"/>
  <c r="AH1760" i="1"/>
  <c r="AH769" i="1"/>
  <c r="AH1528" i="1"/>
  <c r="AH504" i="1"/>
  <c r="AH956" i="1"/>
  <c r="AH1464" i="1"/>
  <c r="AH1389" i="1"/>
  <c r="AH2673" i="1"/>
  <c r="AH2671" i="1"/>
  <c r="AH1697" i="1"/>
  <c r="AH1245" i="1"/>
  <c r="AH845" i="1"/>
  <c r="AH2085" i="1"/>
  <c r="AH1681" i="1"/>
  <c r="AH2059" i="1"/>
  <c r="AH30" i="1"/>
  <c r="AH1804" i="1"/>
  <c r="AH1837" i="1"/>
  <c r="AH1371" i="1"/>
  <c r="AH1902" i="1"/>
  <c r="AH1488" i="1"/>
  <c r="AH951" i="1"/>
  <c r="AH2114" i="1"/>
  <c r="AH2641" i="1"/>
  <c r="AH1453" i="1"/>
  <c r="AH945" i="1"/>
  <c r="AH165" i="1"/>
  <c r="AH2553" i="1"/>
  <c r="AH1513" i="1"/>
  <c r="AH631" i="1"/>
  <c r="AH1763" i="1"/>
  <c r="AH1148" i="1"/>
  <c r="AH119" i="1"/>
  <c r="AH2590" i="1"/>
  <c r="AH296" i="1"/>
  <c r="AH1445" i="1"/>
  <c r="AH2295" i="1"/>
  <c r="AH885" i="1"/>
  <c r="AH345" i="1"/>
  <c r="AH726" i="1"/>
  <c r="AH2049" i="1"/>
  <c r="AH1708" i="1"/>
  <c r="AH2187" i="1"/>
  <c r="AH678" i="1"/>
  <c r="AH1467" i="1"/>
  <c r="AH161" i="1"/>
  <c r="AH1475" i="1"/>
  <c r="AH883" i="1"/>
  <c r="AH489" i="1"/>
  <c r="AH756" i="1"/>
  <c r="AH1159" i="1"/>
  <c r="AH304" i="1"/>
  <c r="AH700" i="1"/>
  <c r="AH1224" i="1"/>
  <c r="AH957" i="1"/>
  <c r="AH362" i="1"/>
  <c r="AH2580" i="1"/>
  <c r="AH2225" i="1"/>
  <c r="AH2196" i="1"/>
  <c r="AH2644" i="1"/>
  <c r="AH934" i="1"/>
  <c r="AH1432" i="1"/>
  <c r="AH1426" i="1"/>
  <c r="AH810" i="1"/>
  <c r="AH2611" i="1"/>
  <c r="AH2324" i="1"/>
  <c r="AH900" i="1"/>
  <c r="AH533" i="1"/>
  <c r="AH873" i="1"/>
  <c r="AH261" i="1"/>
  <c r="AH2178" i="1"/>
  <c r="AH2665" i="1"/>
  <c r="AH1833" i="1"/>
  <c r="AH1563" i="1"/>
  <c r="AH1905" i="1"/>
  <c r="AH1969" i="1"/>
  <c r="AH19" i="1"/>
  <c r="AH2155" i="1"/>
  <c r="AH349" i="1"/>
  <c r="AH2282" i="1"/>
  <c r="AH1738" i="1"/>
  <c r="AH2238" i="1"/>
  <c r="AH585" i="1"/>
  <c r="AH1825" i="1"/>
  <c r="AH692" i="1"/>
  <c r="AH1458" i="1"/>
  <c r="AH2390" i="1"/>
  <c r="AH2172" i="1"/>
  <c r="AH1106" i="1"/>
  <c r="AH556" i="1"/>
  <c r="AH1711" i="1"/>
  <c r="AH2434" i="1"/>
  <c r="AH1531" i="1"/>
  <c r="AH1547" i="1"/>
  <c r="AH1798" i="1"/>
  <c r="AH353" i="1"/>
  <c r="AH1227" i="1"/>
  <c r="AH1256" i="1"/>
  <c r="AH1155" i="1"/>
  <c r="AH779" i="1"/>
  <c r="AH1751" i="1"/>
  <c r="AH1917" i="1"/>
  <c r="AH978" i="1"/>
  <c r="AH1065" i="1"/>
  <c r="AH1846" i="1"/>
  <c r="AH1346" i="1"/>
  <c r="AH1196" i="1"/>
  <c r="AH1213" i="1"/>
  <c r="AH2232" i="1"/>
  <c r="AH532" i="1"/>
  <c r="AH1687" i="1"/>
  <c r="AH2558" i="1"/>
  <c r="AH128" i="1"/>
  <c r="AH874" i="1"/>
  <c r="AH49" i="1"/>
  <c r="AH354" i="1"/>
  <c r="AH92" i="1"/>
  <c r="AH854" i="1"/>
  <c r="AH2351" i="1"/>
  <c r="AH2206" i="1"/>
  <c r="AH1107" i="1"/>
  <c r="AH126" i="1"/>
  <c r="AH1181" i="1"/>
  <c r="AH1768" i="1"/>
  <c r="AH162" i="1"/>
  <c r="AH477" i="1"/>
  <c r="AH1779" i="1"/>
  <c r="AH1695" i="1"/>
  <c r="AH1514" i="1"/>
  <c r="AH2746" i="1"/>
  <c r="AH1670" i="1"/>
  <c r="AH2472" i="1"/>
  <c r="AH372" i="1"/>
  <c r="AH2477" i="1"/>
  <c r="AH2199" i="1"/>
  <c r="AH170" i="1"/>
  <c r="AH414" i="1"/>
  <c r="AH1575" i="1"/>
  <c r="AH2323" i="1"/>
  <c r="AH2235" i="1"/>
  <c r="AH1746" i="1"/>
  <c r="AH923" i="1"/>
  <c r="AH944" i="1"/>
  <c r="AH2728" i="1"/>
  <c r="AH755" i="1"/>
  <c r="AH10" i="1"/>
  <c r="AH558" i="1"/>
  <c r="AH1934" i="1"/>
  <c r="AH348" i="1"/>
  <c r="AH1064" i="1"/>
  <c r="AH1024" i="1"/>
  <c r="AH1457" i="1"/>
  <c r="AH518" i="1"/>
  <c r="AH940" i="1"/>
  <c r="AH262" i="1"/>
  <c r="AH2612" i="1"/>
  <c r="AH1067" i="1"/>
  <c r="AH1326" i="1"/>
  <c r="AH1542" i="1"/>
  <c r="AH1556" i="1"/>
  <c r="AH2075" i="1"/>
  <c r="AH2397" i="1"/>
  <c r="AH1217" i="1"/>
  <c r="AH1898" i="1"/>
  <c r="AH1731" i="1"/>
  <c r="AH1090" i="1"/>
  <c r="AH987" i="1"/>
  <c r="AH2437" i="1"/>
  <c r="AH926" i="1"/>
  <c r="AH313" i="1"/>
  <c r="AH401" i="1"/>
  <c r="AH634" i="1"/>
  <c r="AH150" i="1"/>
  <c r="AH512" i="1"/>
  <c r="AH1717" i="1"/>
  <c r="AH1919" i="1"/>
  <c r="AH1939" i="1"/>
  <c r="AH2403" i="1"/>
  <c r="AH1578" i="1"/>
  <c r="AH493" i="1"/>
  <c r="AH602" i="1"/>
  <c r="AH920" i="1"/>
  <c r="AH1169" i="1"/>
  <c r="AH1668" i="1"/>
  <c r="AH465" i="1"/>
  <c r="AH1088" i="1"/>
  <c r="AH2676" i="1"/>
  <c r="AH2247" i="1"/>
  <c r="AH2275" i="1"/>
  <c r="AH2017" i="1"/>
  <c r="AH946" i="1"/>
  <c r="AH291" i="1"/>
  <c r="AH1471" i="1"/>
  <c r="AH89" i="1"/>
  <c r="AH543" i="1"/>
  <c r="AH2153" i="1"/>
  <c r="AH2163" i="1"/>
  <c r="AH1812" i="1"/>
  <c r="AH495" i="1"/>
  <c r="AH2664" i="1"/>
  <c r="AH1973" i="1"/>
  <c r="AH2513" i="1"/>
  <c r="AH434" i="1"/>
  <c r="AH1737" i="1"/>
  <c r="AH1642" i="1"/>
  <c r="AH2578" i="1"/>
  <c r="AH519" i="1"/>
  <c r="AH407" i="1"/>
  <c r="AH654" i="1"/>
  <c r="AH2629" i="1"/>
  <c r="AH1406" i="1"/>
  <c r="AH863" i="1"/>
  <c r="AH961" i="1"/>
  <c r="AH1564" i="1"/>
  <c r="AH1347" i="1"/>
  <c r="AH557" i="1"/>
  <c r="AH497" i="1"/>
  <c r="AH659" i="1"/>
  <c r="AH2116" i="1"/>
  <c r="AH1903" i="1"/>
  <c r="AH2144" i="1"/>
  <c r="AH2555" i="1"/>
  <c r="AH2669" i="1"/>
  <c r="AH542" i="1"/>
  <c r="AH811" i="1"/>
  <c r="AH1656" i="1"/>
  <c r="AH381" i="1"/>
  <c r="AH2628" i="1"/>
  <c r="AH289" i="1"/>
  <c r="AH1104" i="1"/>
  <c r="AH1529" i="1"/>
  <c r="AH1599" i="1"/>
  <c r="AH494" i="1"/>
  <c r="AH801" i="1"/>
  <c r="AH479" i="1"/>
  <c r="AH302" i="1"/>
  <c r="AH332" i="1"/>
  <c r="AH1014" i="1"/>
  <c r="AH1628" i="1"/>
  <c r="AH2265" i="1"/>
  <c r="AH1743" i="1"/>
  <c r="AH1418" i="1"/>
  <c r="AH315" i="1"/>
  <c r="AH1146" i="1"/>
  <c r="AH463" i="1"/>
  <c r="AH1176" i="1"/>
  <c r="AH2458" i="1"/>
  <c r="AH1959" i="1"/>
  <c r="AH1050" i="1"/>
  <c r="AH1007" i="1"/>
  <c r="AH311" i="1"/>
  <c r="AH1238" i="1"/>
  <c r="AH2417" i="1"/>
  <c r="AH392" i="1"/>
  <c r="AH1730" i="1"/>
  <c r="AH2200" i="1"/>
  <c r="AH643" i="1"/>
  <c r="AH1255" i="1"/>
  <c r="AH21" i="1"/>
  <c r="AH511" i="1"/>
  <c r="AH2313" i="1"/>
  <c r="AH2658" i="1"/>
  <c r="AH256" i="1"/>
  <c r="AH1023" i="1"/>
  <c r="AH122" i="1"/>
  <c r="AH1318" i="1"/>
  <c r="AH2407" i="1"/>
  <c r="AH2246" i="1"/>
  <c r="AH274" i="1"/>
  <c r="AH1588" i="1"/>
  <c r="AH2353" i="1"/>
  <c r="AH1977" i="1"/>
  <c r="AH1379" i="1"/>
  <c r="AH1794" i="1"/>
  <c r="AH221" i="1"/>
  <c r="AH320" i="1"/>
  <c r="AH2399" i="1"/>
  <c r="AH2422" i="1"/>
  <c r="AH1605" i="1"/>
  <c r="AH1924" i="1"/>
  <c r="AH1187" i="1"/>
  <c r="AH1342" i="1"/>
  <c r="AH2465" i="1"/>
  <c r="AH569" i="1"/>
  <c r="AH2093" i="1"/>
  <c r="AH2646" i="1"/>
  <c r="AH1055" i="1"/>
  <c r="AH2193" i="1"/>
  <c r="AH2631" i="1"/>
  <c r="AH1299" i="1"/>
  <c r="AH2527" i="1"/>
  <c r="AH77" i="1"/>
  <c r="AH1942" i="1"/>
  <c r="AH1369" i="1"/>
  <c r="AH153" i="1"/>
  <c r="AH818" i="1"/>
  <c r="AH2359" i="1"/>
  <c r="AH229" i="1"/>
  <c r="AH2614" i="1"/>
  <c r="AH1493" i="1"/>
  <c r="AH2330" i="1"/>
  <c r="AH321" i="1"/>
  <c r="AH2174" i="1"/>
  <c r="AH1413" i="1"/>
  <c r="AH223" i="1"/>
  <c r="AH1337" i="1"/>
  <c r="AH2370" i="1"/>
  <c r="AH382" i="1"/>
  <c r="AH2322" i="1"/>
  <c r="AH1566" i="1"/>
  <c r="AH1040" i="1"/>
  <c r="AH1682" i="1"/>
  <c r="AH967" i="1"/>
  <c r="AH1300" i="1"/>
  <c r="AH2767" i="1"/>
  <c r="AH435" i="1"/>
  <c r="AH1428" i="1"/>
  <c r="AH1750" i="1"/>
  <c r="AH2046" i="1"/>
  <c r="AH410" i="1"/>
  <c r="AH225" i="1"/>
  <c r="AH1862" i="1"/>
  <c r="AH2279" i="1"/>
  <c r="AH460" i="1"/>
  <c r="AH2260" i="1"/>
  <c r="AH611" i="1"/>
  <c r="AH689" i="1"/>
  <c r="AH1344" i="1"/>
  <c r="AH135" i="1"/>
  <c r="AH1663" i="1"/>
  <c r="AH964" i="1"/>
  <c r="AH1603" i="1"/>
  <c r="AH1632" i="1"/>
  <c r="AH1936" i="1"/>
  <c r="AH817" i="1"/>
  <c r="AH219" i="1"/>
  <c r="AH99" i="1"/>
  <c r="AH1728" i="1"/>
  <c r="AH1039" i="1"/>
  <c r="AH1419" i="1"/>
  <c r="AH1543" i="1"/>
  <c r="AH2192" i="1"/>
  <c r="AH1606" i="1"/>
  <c r="AH2654" i="1"/>
  <c r="AH1144" i="1"/>
  <c r="AH1332" i="1"/>
  <c r="AH155" i="1"/>
  <c r="AH2562" i="1"/>
  <c r="AH323" i="1"/>
  <c r="AH242" i="1"/>
  <c r="AH2499" i="1"/>
  <c r="AH1701" i="1"/>
  <c r="AH2724" i="1"/>
  <c r="AH215" i="1"/>
  <c r="AH859" i="1"/>
  <c r="AH1709" i="1"/>
  <c r="AH2507" i="1"/>
  <c r="AH2652" i="1"/>
  <c r="AH2765" i="1"/>
  <c r="AH1800" i="1"/>
  <c r="AH1156" i="1"/>
  <c r="AH1137" i="1"/>
  <c r="AH1811" i="1"/>
  <c r="AH762" i="1"/>
  <c r="AH2120" i="1"/>
  <c r="AH1949" i="1"/>
  <c r="AH2076" i="1"/>
  <c r="AH1436" i="1"/>
  <c r="AH2307" i="1"/>
  <c r="AH24" i="1"/>
  <c r="AH2016" i="1"/>
  <c r="AH1358" i="1"/>
  <c r="AH138" i="1"/>
  <c r="AH433" i="1"/>
  <c r="AH544" i="1"/>
  <c r="AH2720" i="1"/>
  <c r="AH2050" i="1"/>
  <c r="AH1504" i="1"/>
  <c r="AH1771" i="1"/>
  <c r="AH1343" i="1"/>
  <c r="AH50" i="1"/>
  <c r="AH1843" i="1"/>
  <c r="AH9" i="1"/>
  <c r="AH1561" i="1"/>
  <c r="AH203" i="1"/>
  <c r="AH325" i="1"/>
  <c r="AH228" i="1"/>
  <c r="AH1943" i="1"/>
  <c r="AH1539" i="1"/>
  <c r="AH1786" i="1"/>
  <c r="AH973" i="1"/>
  <c r="AH2560" i="1"/>
  <c r="AH1188" i="1"/>
  <c r="AH776" i="1"/>
  <c r="AH688" i="1"/>
  <c r="AH2195" i="1"/>
  <c r="AH1888" i="1"/>
  <c r="AH1117" i="1"/>
  <c r="AH1624" i="1"/>
  <c r="AH1422" i="1"/>
  <c r="AH2027" i="1"/>
  <c r="AH32" i="1"/>
  <c r="AH2511" i="1"/>
  <c r="AH2329" i="1"/>
  <c r="AH770" i="1"/>
  <c r="AH852" i="1"/>
  <c r="AH399" i="1"/>
  <c r="AH441" i="1"/>
  <c r="AH2331" i="1"/>
  <c r="AH1583" i="1"/>
  <c r="AH299" i="1"/>
  <c r="AH989" i="1"/>
  <c r="AH2478" i="1"/>
  <c r="AH127" i="1"/>
  <c r="AH277" i="1"/>
  <c r="AH2316" i="1"/>
  <c r="AH452" i="1"/>
  <c r="AH958" i="1"/>
  <c r="AH2568" i="1"/>
  <c r="AH1976" i="1"/>
  <c r="AH2387" i="1"/>
  <c r="AH2557" i="1"/>
  <c r="AH5" i="1"/>
  <c r="AH1785" i="1"/>
  <c r="AH2779" i="1"/>
  <c r="AH268" i="1"/>
  <c r="AH1265" i="1"/>
  <c r="AH582" i="1"/>
  <c r="AH1260" i="1"/>
  <c r="AH2706" i="1"/>
  <c r="AH2764" i="1"/>
  <c r="AH802" i="1"/>
  <c r="AH1499" i="1"/>
  <c r="AH492" i="1"/>
  <c r="AH1907" i="1"/>
  <c r="AH1089" i="1"/>
  <c r="AH1112" i="1"/>
  <c r="AH1995" i="1"/>
  <c r="AH2663" i="1"/>
  <c r="AH604" i="1"/>
  <c r="AH1940" i="1"/>
  <c r="AH1621" i="1"/>
  <c r="AH1847" i="1"/>
  <c r="AH1981" i="1"/>
  <c r="AH1116" i="1"/>
  <c r="AH1463" i="1"/>
  <c r="AH501" i="1"/>
  <c r="AH1162" i="1"/>
  <c r="AH364" i="1"/>
  <c r="AH182" i="1"/>
  <c r="AH53" i="1"/>
  <c r="AH507" i="1"/>
  <c r="AH1296" i="1"/>
  <c r="AH2065" i="1"/>
  <c r="AH1878" i="1"/>
  <c r="AH71" i="1"/>
  <c r="AH1497" i="1"/>
  <c r="AH8" i="1"/>
  <c r="AH2524" i="1"/>
  <c r="AH1879" i="1"/>
  <c r="AH234" i="1"/>
  <c r="AH523" i="1"/>
  <c r="AH2154" i="1"/>
  <c r="AH662" i="1"/>
  <c r="AH1721" i="1"/>
  <c r="AH1723" i="1"/>
  <c r="AH1876" i="1"/>
  <c r="AH2675" i="1"/>
  <c r="AH1640" i="1"/>
  <c r="AH1335" i="1"/>
  <c r="AH912" i="1"/>
  <c r="AH1160" i="1"/>
  <c r="AH2496" i="1"/>
  <c r="AH2022" i="1"/>
  <c r="AH1378" i="1"/>
  <c r="AH1282" i="1"/>
  <c r="AH2202" i="1"/>
  <c r="AH1766" i="1"/>
  <c r="AH1091" i="1"/>
  <c r="AH815" i="1"/>
  <c r="AH298" i="1"/>
  <c r="AH2029" i="1"/>
  <c r="AH822" i="1"/>
  <c r="AH1119" i="1"/>
  <c r="AH1268" i="1"/>
  <c r="AH336" i="1"/>
  <c r="AH2122" i="1"/>
  <c r="AH2342" i="1"/>
  <c r="AH2763" i="1"/>
  <c r="AH141" i="1"/>
  <c r="AH2182" i="1"/>
  <c r="AH2508" i="1"/>
  <c r="AH25" i="1"/>
  <c r="AH2006" i="1"/>
  <c r="AH281" i="1"/>
  <c r="AH2438" i="1"/>
  <c r="AH1753" i="1"/>
  <c r="AH529" i="1"/>
  <c r="AH733" i="1"/>
  <c r="AH1612" i="1"/>
  <c r="AH838" i="1"/>
  <c r="AH1354" i="1"/>
  <c r="AH1658" i="1"/>
  <c r="AH902" i="1"/>
  <c r="AH679" i="1"/>
  <c r="AH2566" i="1"/>
  <c r="AH881" i="1"/>
  <c r="AH551" i="1"/>
  <c r="AH606" i="1"/>
  <c r="AH1496" i="1"/>
  <c r="AH577" i="1"/>
  <c r="AH2367" i="1"/>
  <c r="AH1450" i="1"/>
  <c r="AH2136" i="1"/>
  <c r="AH595" i="1"/>
  <c r="AH724" i="1"/>
  <c r="AH88" i="1"/>
  <c r="AH1126" i="1"/>
  <c r="AH1925" i="1"/>
  <c r="AH521" i="1"/>
  <c r="AH1362" i="1"/>
  <c r="AH752" i="1"/>
  <c r="AH2544" i="1"/>
  <c r="AH2666" i="1"/>
  <c r="AH1896" i="1"/>
  <c r="AH2592" i="1"/>
  <c r="AH613" i="1"/>
  <c r="AH2635" i="1"/>
  <c r="AH1008" i="1"/>
  <c r="AH1783" i="1"/>
  <c r="AH462" i="1"/>
  <c r="AH1026" i="1"/>
  <c r="AH697" i="1"/>
  <c r="AH44" i="1"/>
  <c r="AH663" i="1"/>
  <c r="AH1522" i="1"/>
  <c r="AH2105" i="1"/>
  <c r="AH1742" i="1"/>
  <c r="AH1582" i="1"/>
  <c r="AH245" i="1"/>
  <c r="AH189" i="1"/>
  <c r="AH2415" i="1"/>
  <c r="AH1762" i="1"/>
  <c r="AH2382" i="1"/>
  <c r="AH197" i="1"/>
  <c r="AH1890" i="1"/>
  <c r="AH1874" i="1"/>
  <c r="AH2681" i="1"/>
  <c r="AH1807" i="1"/>
  <c r="AH357" i="1"/>
  <c r="AH1735" i="1"/>
  <c r="AH2586" i="1"/>
  <c r="AH356" i="1"/>
  <c r="AH2526" i="1"/>
  <c r="AH2156" i="1"/>
  <c r="AH1076" i="1"/>
  <c r="AH1613" i="1"/>
  <c r="AH1601" i="1"/>
  <c r="AH1205" i="1"/>
  <c r="AH43" i="1"/>
  <c r="AH1197" i="1"/>
  <c r="AH297" i="1"/>
  <c r="AH2087" i="1"/>
  <c r="AH1034" i="1"/>
  <c r="AH658" i="1"/>
  <c r="AH2457" i="1"/>
  <c r="AH405" i="1"/>
  <c r="AH1968" i="1"/>
  <c r="AH2731" i="1"/>
  <c r="AH484" i="1"/>
  <c r="AH85" i="1"/>
  <c r="AH1058" i="1"/>
  <c r="AH1926" i="1"/>
  <c r="AH167" i="1"/>
  <c r="AH2712" i="1"/>
  <c r="AH1882" i="1"/>
  <c r="AH384" i="1"/>
  <c r="AH324" i="1"/>
  <c r="AH2090" i="1"/>
  <c r="AH1573" i="1"/>
  <c r="AH539" i="1"/>
  <c r="AH717" i="1"/>
  <c r="AH358" i="1"/>
  <c r="AH2435" i="1"/>
  <c r="AH1676" i="1"/>
  <c r="AH2045" i="1"/>
  <c r="AH112" i="1"/>
  <c r="AH1305" i="1"/>
  <c r="AH1310" i="1"/>
  <c r="AH2533" i="1"/>
  <c r="AH2500" i="1"/>
  <c r="AH1559" i="1"/>
  <c r="AH588" i="1"/>
  <c r="AH379" i="1"/>
  <c r="AH1206" i="1"/>
  <c r="AH749" i="1"/>
  <c r="AH921" i="1"/>
  <c r="AH567" i="1"/>
  <c r="AH608" i="1"/>
  <c r="AH1524" i="1"/>
  <c r="AH993" i="1"/>
  <c r="AH1233" i="1"/>
  <c r="AH1589" i="1"/>
  <c r="AH2044" i="1"/>
  <c r="AH727" i="1"/>
  <c r="AH1991" i="1"/>
  <c r="AH710" i="1"/>
  <c r="AH2110" i="1"/>
  <c r="AH953" i="1"/>
  <c r="AH124" i="1"/>
  <c r="AH365" i="1"/>
  <c r="AH2698" i="1"/>
  <c r="AH248" i="1"/>
  <c r="AH430" i="1"/>
  <c r="AH2292" i="1"/>
  <c r="AH2683" i="1"/>
  <c r="AH1983" i="1"/>
  <c r="AH1121" i="1"/>
  <c r="AH2540" i="1"/>
  <c r="AH58" i="1"/>
  <c r="AH2440" i="1"/>
  <c r="AH490" i="1"/>
  <c r="AH2448" i="1"/>
  <c r="AH95" i="1"/>
  <c r="AH1042" i="1"/>
  <c r="AH2166" i="1"/>
  <c r="AH385" i="1"/>
  <c r="AH2776" i="1"/>
  <c r="AH674" i="1"/>
  <c r="AH222" i="1"/>
  <c r="AH2176" i="1"/>
  <c r="AH367" i="1"/>
  <c r="AH2224" i="1"/>
  <c r="AH1103" i="1"/>
  <c r="AH1810" i="1"/>
  <c r="AH1029" i="1"/>
  <c r="AH1173" i="1"/>
  <c r="AH1328" i="1"/>
  <c r="AH2212" i="1"/>
  <c r="AH2530" i="1"/>
  <c r="AH965" i="1"/>
  <c r="AH1648" i="1"/>
  <c r="AH361" i="1"/>
  <c r="AH1928" i="1"/>
  <c r="AH910" i="1"/>
  <c r="AH1456" i="1"/>
  <c r="AH2618" i="1"/>
  <c r="AH644" i="1"/>
  <c r="AH2281" i="1"/>
  <c r="AH983" i="1"/>
  <c r="AH891" i="1"/>
  <c r="AH1166" i="1"/>
  <c r="AH808" i="1"/>
  <c r="AH284" i="1"/>
  <c r="AH963" i="1"/>
  <c r="AH2109" i="1"/>
  <c r="AH720" i="1"/>
  <c r="AH955" i="1"/>
  <c r="AH2363" i="1"/>
  <c r="AH1356" i="1"/>
  <c r="AH2004" i="1"/>
  <c r="AH416" i="1"/>
  <c r="AH2352" i="1"/>
  <c r="AH1449" i="1"/>
  <c r="AH1028" i="1"/>
  <c r="AH904" i="1"/>
  <c r="AH1221" i="1"/>
  <c r="AH2490" i="1"/>
  <c r="AH2298" i="1"/>
  <c r="AH2522" i="1"/>
  <c r="AH1645" i="1"/>
  <c r="AH1489" i="1"/>
  <c r="AH1486" i="1"/>
  <c r="AH979" i="1"/>
  <c r="AH308" i="1"/>
  <c r="AH2168" i="1"/>
  <c r="AH1997" i="1"/>
  <c r="AH1323" i="1"/>
  <c r="AH2112" i="1"/>
  <c r="AH1863" i="1"/>
  <c r="AH347" i="1"/>
  <c r="AH1446" i="1"/>
  <c r="AH1669" i="1"/>
  <c r="AH300" i="1"/>
  <c r="AH1012" i="1"/>
  <c r="AH1295" i="1"/>
  <c r="AH243" i="1"/>
  <c r="AH2756" i="1"/>
  <c r="AH2620" i="1"/>
  <c r="AH1509" i="1"/>
  <c r="AH1910" i="1"/>
  <c r="AH612" i="1"/>
  <c r="AH1797" i="1"/>
  <c r="AH2043" i="1"/>
  <c r="AH2447" i="1"/>
  <c r="AH2408" i="1"/>
  <c r="AH2577" i="1"/>
  <c r="AH111" i="1"/>
  <c r="AH1685" i="1"/>
  <c r="AH2273" i="1"/>
  <c r="AH2788" i="1"/>
  <c r="AH2725" i="1"/>
  <c r="AH1199" i="1"/>
  <c r="AH331" i="1"/>
  <c r="AH1698" i="1"/>
  <c r="AH208" i="1"/>
  <c r="AH2335" i="1"/>
  <c r="AH69" i="1"/>
  <c r="AH933" i="1"/>
  <c r="AH2442" i="1"/>
  <c r="AH2740" i="1"/>
  <c r="AH2567" i="1"/>
  <c r="AH100" i="1"/>
  <c r="AH1303" i="1"/>
  <c r="AH571" i="1"/>
  <c r="AH2266" i="1"/>
  <c r="AH1035" i="1"/>
  <c r="AH1249" i="1"/>
  <c r="AH2157" i="1"/>
  <c r="AH2734" i="1"/>
  <c r="AH591" i="1"/>
  <c r="AH1070" i="1"/>
  <c r="AH2795" i="1"/>
  <c r="AH2393" i="1"/>
  <c r="AH2113" i="1"/>
  <c r="AH1077" i="1"/>
  <c r="AH1184" i="1"/>
  <c r="AH82" i="1"/>
  <c r="AH680" i="1"/>
  <c r="AH2598" i="1"/>
  <c r="AH706" i="1"/>
  <c r="AH470" i="1"/>
  <c r="AH279" i="1"/>
  <c r="AH1214" i="1"/>
  <c r="AH2648" i="1"/>
  <c r="AH34" i="1"/>
  <c r="AH905" i="1"/>
  <c r="AH1240" i="1"/>
  <c r="AH1660" i="1"/>
  <c r="AH1302" i="1"/>
  <c r="AH617" i="1"/>
  <c r="AH666" i="1"/>
  <c r="AH1729" i="1"/>
  <c r="AH2738" i="1"/>
  <c r="AH96" i="1"/>
  <c r="AH322" i="1"/>
  <c r="AH1517" i="1"/>
  <c r="AH1657" i="1"/>
  <c r="AH2354" i="1"/>
  <c r="AH1819" i="1"/>
  <c r="AH1820" i="1"/>
  <c r="AH1472" i="1"/>
  <c r="AH468" i="1"/>
  <c r="AH149" i="1"/>
  <c r="AH1699" i="1"/>
  <c r="AH2148" i="1"/>
  <c r="AH1377" i="1"/>
  <c r="AH436" i="1"/>
  <c r="AH667" i="1"/>
  <c r="AH2314" i="1"/>
  <c r="AH1747" i="1"/>
  <c r="AH1631" i="1"/>
  <c r="AH62" i="1"/>
  <c r="AH1396" i="1"/>
  <c r="AH2041" i="1"/>
  <c r="AH1429" i="1"/>
  <c r="AH343" i="1"/>
  <c r="AH718" i="1"/>
  <c r="AH1043" i="1"/>
  <c r="AH694" i="1"/>
  <c r="AH2449" i="1"/>
  <c r="AH759" i="1"/>
  <c r="AH645" i="1"/>
  <c r="AH1336" i="1"/>
  <c r="AH780" i="1"/>
  <c r="AH1795" i="1"/>
  <c r="AH288" i="1"/>
  <c r="AH2425" i="1"/>
  <c r="AH1574" i="1"/>
  <c r="AH514" i="1"/>
  <c r="AH764" i="1"/>
  <c r="AH2576" i="1"/>
  <c r="AH168" i="1"/>
  <c r="AH2528" i="1"/>
  <c r="AH673" i="1"/>
  <c r="AH1993" i="1"/>
  <c r="AH1512" i="1"/>
  <c r="AH198" i="1"/>
  <c r="AH1230" i="1"/>
  <c r="AH777" i="1"/>
  <c r="AH1596" i="1"/>
  <c r="AH2014" i="1"/>
  <c r="AH941" i="1"/>
  <c r="AH526" i="1"/>
  <c r="AH2255" i="1"/>
  <c r="AH1479" i="1"/>
  <c r="AH2451" i="1"/>
  <c r="AH2453" i="1"/>
  <c r="AH767" i="1"/>
  <c r="AH46" i="1"/>
  <c r="AH549" i="1"/>
  <c r="AH2167" i="1"/>
  <c r="AH1858" i="1"/>
  <c r="AH371" i="1"/>
  <c r="AH760" i="1"/>
  <c r="AH66" i="1"/>
  <c r="AH1551" i="1"/>
  <c r="AH2302" i="1"/>
  <c r="AH217" i="1"/>
  <c r="AH1867" i="1"/>
  <c r="AH2306" i="1"/>
  <c r="AH1773" i="1"/>
  <c r="AH708" i="1"/>
  <c r="AH1789" i="1"/>
  <c r="AH506" i="1"/>
  <c r="AH2743" i="1"/>
  <c r="AH1856" i="1"/>
  <c r="AH178" i="1"/>
  <c r="AH798" i="1"/>
  <c r="AH1003" i="1"/>
  <c r="AH2270" i="1"/>
  <c r="AH1322" i="1"/>
  <c r="AH927" i="1"/>
  <c r="AH819" i="1"/>
  <c r="AH1351" i="1"/>
  <c r="AH2445" i="1"/>
  <c r="AH1813" i="1"/>
  <c r="AH1705" i="1"/>
  <c r="AH1191" i="1"/>
  <c r="AH805" i="1"/>
  <c r="AH2632" i="1"/>
  <c r="AH404" i="1"/>
  <c r="AH839" i="1"/>
  <c r="AH840" i="1"/>
  <c r="AH496" i="1"/>
  <c r="AH1274" i="1"/>
  <c r="AH2753" i="1"/>
  <c r="AH1759" i="1"/>
  <c r="AH1935" i="1"/>
  <c r="AH573" i="1"/>
  <c r="AH1586" i="1"/>
  <c r="AH1171" i="1"/>
  <c r="AH1131" i="1"/>
  <c r="AH2550" i="1"/>
  <c r="AH2095" i="1"/>
  <c r="AH1970" i="1"/>
  <c r="AH997" i="1"/>
  <c r="AH1832" i="1"/>
  <c r="AH865" i="1"/>
  <c r="AH2271" i="1"/>
  <c r="AH2250" i="1"/>
  <c r="AH1649" i="1"/>
  <c r="AH2299" i="1"/>
  <c r="AH894" i="1"/>
  <c r="AH1069" i="1"/>
  <c r="AH1673" i="1"/>
  <c r="AH1733" i="1"/>
  <c r="AH1393" i="1"/>
  <c r="AH2649" i="1"/>
  <c r="AH2084" i="1"/>
  <c r="AH67" i="1"/>
  <c r="AH374" i="1"/>
  <c r="AH1849" i="1"/>
  <c r="AH1276" i="1"/>
  <c r="AH2428" i="1"/>
  <c r="AH2215" i="1"/>
  <c r="AH1523" i="1"/>
  <c r="AH1597" i="1"/>
  <c r="AH1480" i="1"/>
  <c r="AH1010" i="1"/>
  <c r="AH1114" i="1"/>
  <c r="AH575" i="1"/>
  <c r="AH633" i="1"/>
  <c r="AH1481" i="1"/>
  <c r="AH1948" i="1"/>
  <c r="AH670" i="1"/>
  <c r="AH2135" i="1"/>
  <c r="AH2789" i="1"/>
  <c r="AH2092" i="1"/>
  <c r="AH1818" i="1"/>
  <c r="AH1228" i="1"/>
  <c r="AH1412" i="1"/>
  <c r="AH1020" i="1"/>
  <c r="AH1297" i="1"/>
  <c r="AH2264" i="1"/>
  <c r="AH2190" i="1"/>
  <c r="AH1873" i="1"/>
  <c r="AH52" i="1"/>
  <c r="AH196" i="1"/>
  <c r="AH1011" i="1"/>
  <c r="AH508" i="1"/>
  <c r="AH403" i="1"/>
  <c r="AH1017" i="1"/>
  <c r="AH2484" i="1"/>
  <c r="AH1770" i="1"/>
  <c r="AH781" i="1"/>
  <c r="AH2463" i="1"/>
  <c r="AH2441" i="1"/>
  <c r="AH1885" i="1"/>
  <c r="AH2547" i="1"/>
  <c r="AH1283" i="1"/>
  <c r="AH1207" i="1"/>
  <c r="AH1049" i="1"/>
  <c r="AH2381" i="1"/>
  <c r="AH1821" i="1"/>
  <c r="AH31" i="1"/>
  <c r="AH998" i="1"/>
  <c r="AH2214" i="1"/>
  <c r="AH201" i="1"/>
  <c r="AH1609" i="1"/>
  <c r="AH796" i="1"/>
  <c r="AH1226" i="1"/>
  <c r="AH775" i="1"/>
  <c r="AH303" i="1"/>
  <c r="AH2730" i="1"/>
  <c r="AH1327" i="1"/>
  <c r="AH2470" i="1"/>
  <c r="AH2793" i="1"/>
  <c r="AH1975" i="1"/>
  <c r="AH2030" i="1"/>
  <c r="AH2643" i="1"/>
  <c r="AH1923" i="1"/>
  <c r="AH431" i="1"/>
  <c r="AH1093" i="1"/>
  <c r="AH2400" i="1"/>
  <c r="AH848" i="1"/>
  <c r="AH809" i="1"/>
  <c r="AH984" i="1"/>
  <c r="AH2311" i="1"/>
  <c r="AH2446" i="1"/>
  <c r="AH1985" i="1"/>
  <c r="AH1577" i="1"/>
  <c r="AH1236" i="1"/>
  <c r="AH800" i="1"/>
  <c r="AH147" i="1"/>
  <c r="AH2107" i="1"/>
  <c r="AH1476" i="1"/>
  <c r="AH75" i="1"/>
  <c r="AH1604" i="1"/>
  <c r="AH1933" i="1"/>
  <c r="AH1927" i="1"/>
  <c r="AH2374" i="1"/>
  <c r="AH1385" i="1"/>
  <c r="AH939" i="1"/>
  <c r="AH1473" i="1"/>
  <c r="AH2230" i="1"/>
  <c r="AH236" i="1"/>
  <c r="AH1637" i="1"/>
  <c r="AH828" i="1"/>
  <c r="AH814" i="1"/>
  <c r="AH907" i="1"/>
  <c r="AH2510" i="1"/>
  <c r="AH1163" i="1"/>
  <c r="AH2152" i="1"/>
  <c r="AH789" i="1"/>
  <c r="AH1872" i="1"/>
  <c r="AH247" i="1"/>
  <c r="AH1248" i="1"/>
  <c r="AH1544" i="1"/>
  <c r="AH546" i="1"/>
  <c r="AH205" i="1"/>
  <c r="AH535" i="1"/>
  <c r="AH837" i="1"/>
  <c r="AH432" i="1"/>
  <c r="AH915" i="1"/>
  <c r="AH2575" i="1"/>
  <c r="AH183" i="1"/>
  <c r="AH1548" i="1"/>
  <c r="AH2630" i="1"/>
  <c r="AH1135" i="1"/>
  <c r="AH1000" i="1"/>
  <c r="AH396" i="1"/>
  <c r="AH1440" i="1"/>
  <c r="AH2624" i="1"/>
  <c r="AH1222" i="1"/>
  <c r="AH2749" i="1"/>
  <c r="AH966" i="1"/>
  <c r="AH2786" i="1"/>
  <c r="AH2694" i="1"/>
  <c r="AH587" i="1"/>
  <c r="AH363" i="1"/>
  <c r="AH266" i="1"/>
  <c r="AH623" i="1"/>
  <c r="AH125" i="1"/>
  <c r="AH1036" i="1"/>
  <c r="AH2531" i="1"/>
  <c r="AH1275" i="1"/>
  <c r="AH1537" i="1"/>
  <c r="AH2099" i="1"/>
  <c r="AH136" i="1"/>
  <c r="AH1231" i="1"/>
  <c r="AH2388" i="1"/>
  <c r="AH1908" i="1"/>
  <c r="AH2747" i="1"/>
  <c r="AH2637" i="1"/>
  <c r="AH257" i="1"/>
  <c r="AH1339" i="1"/>
  <c r="AH553" i="1"/>
  <c r="AH1433" i="1"/>
  <c r="AH2616" i="1"/>
  <c r="AH1912" i="1"/>
  <c r="AH163" i="1"/>
  <c r="AH1622" i="1"/>
  <c r="AH1455" i="1"/>
  <c r="AH1675" i="1"/>
  <c r="AH1982" i="1"/>
  <c r="AH607" i="1"/>
  <c r="AH2058" i="1"/>
  <c r="AH990" i="1"/>
  <c r="AH2067" i="1"/>
  <c r="AH1186" i="1"/>
  <c r="AH1041" i="1"/>
  <c r="AH1139" i="1"/>
  <c r="AH1823" i="1"/>
  <c r="AH725" i="1"/>
  <c r="AH2386" i="1"/>
  <c r="AH207" i="1"/>
  <c r="AH2770" i="1"/>
  <c r="AH2305" i="1"/>
  <c r="AH1607" i="1"/>
  <c r="AH2783" i="1"/>
  <c r="AH2653" i="1"/>
  <c r="AH1306" i="1"/>
  <c r="AH269" i="1"/>
  <c r="AH2602" i="1"/>
  <c r="AH714" i="1"/>
  <c r="AH351" i="1"/>
  <c r="AH1124" i="1"/>
  <c r="AH1123" i="1"/>
  <c r="AH2356" i="1"/>
  <c r="AH1585" i="1"/>
  <c r="AH2018" i="1"/>
  <c r="AH2341" i="1"/>
  <c r="AH1913" i="1"/>
  <c r="AH199" i="1"/>
  <c r="AH2736" i="1"/>
  <c r="AH2276" i="1"/>
  <c r="AH1312" i="1"/>
  <c r="AH916" i="1"/>
  <c r="AH1732" i="1"/>
  <c r="AH832" i="1"/>
  <c r="AH1382" i="1"/>
  <c r="AH81" i="1"/>
  <c r="AH427" i="1"/>
  <c r="AH884" i="1"/>
  <c r="AH554" i="1"/>
  <c r="AH1376" i="1"/>
  <c r="AH2537" i="1"/>
  <c r="AH1769" i="1"/>
  <c r="AH1937" i="1"/>
  <c r="AH1229" i="1"/>
  <c r="AH209" i="1"/>
  <c r="AH1018" i="1"/>
  <c r="AH36" i="1"/>
  <c r="AH103" i="1"/>
  <c r="AH2572" i="1"/>
  <c r="AH2707" i="1"/>
  <c r="AH2518" i="1"/>
  <c r="AH1572" i="1"/>
  <c r="AH1392" i="1"/>
  <c r="AH2546" i="1"/>
  <c r="AH486" i="1"/>
  <c r="AH695" i="1"/>
  <c r="AH1996" i="1"/>
  <c r="AH445" i="1"/>
  <c r="AH283" i="1"/>
  <c r="AH768" i="1"/>
  <c r="AH1895" i="1"/>
  <c r="AH1505" i="1"/>
  <c r="AH1712" i="1"/>
  <c r="AH61" i="1"/>
  <c r="AH1394" i="1"/>
  <c r="AH1806" i="1"/>
  <c r="AH2655" i="1"/>
  <c r="AH2177" i="1"/>
  <c r="AH2695" i="1"/>
  <c r="AH1680" i="1"/>
  <c r="AH2633" i="1"/>
  <c r="AH1125" i="1"/>
  <c r="AH78" i="1"/>
  <c r="AH2466" i="1"/>
  <c r="AH1989" i="1"/>
  <c r="AH816" i="1"/>
  <c r="AH2378" i="1"/>
  <c r="AH1189" i="1"/>
  <c r="AH1082" i="1"/>
  <c r="AH210" i="1"/>
  <c r="AH2792" i="1"/>
  <c r="AH2234" i="1"/>
  <c r="AH609" i="1"/>
  <c r="AH2243" i="1"/>
  <c r="AH2502" i="1"/>
  <c r="AH2213" i="1"/>
  <c r="AH2686" i="1"/>
  <c r="AH2346" i="1"/>
  <c r="AH393" i="1"/>
  <c r="AH327" i="1"/>
  <c r="AH1651" i="1"/>
  <c r="AH824" i="1"/>
  <c r="AH2098" i="1"/>
  <c r="AH2287" i="1"/>
  <c r="AH738" i="1"/>
  <c r="AH2078" i="1"/>
  <c r="AH334" i="1"/>
  <c r="AH908" i="1"/>
  <c r="AH590" i="1"/>
  <c r="AH395" i="1"/>
  <c r="AH2429" i="1"/>
  <c r="AH2782" i="1"/>
  <c r="AH1958" i="1"/>
  <c r="AH1019" i="1"/>
  <c r="AH2086" i="1"/>
  <c r="AH290" i="1"/>
  <c r="AH660" i="1"/>
  <c r="AH561" i="1"/>
  <c r="AH2009" i="1"/>
  <c r="AH1700" i="1"/>
  <c r="AH977" i="1"/>
  <c r="AH2714" i="1"/>
  <c r="AH520" i="1"/>
  <c r="AH1407" i="1"/>
  <c r="AH1031" i="1"/>
  <c r="AH1442" i="1"/>
  <c r="AH1802" i="1"/>
  <c r="AH224" i="1"/>
  <c r="AH2784" i="1"/>
  <c r="AH1443" i="1"/>
  <c r="AH1756" i="1"/>
  <c r="AH15" i="1"/>
  <c r="AH2188" i="1"/>
  <c r="AH1980" i="1"/>
  <c r="AH1365" i="1"/>
  <c r="AH851" i="1"/>
  <c r="AH2473" i="1"/>
  <c r="AH2278" i="1"/>
  <c r="AH2300" i="1"/>
  <c r="AH1620" i="1"/>
  <c r="AH1520" i="1"/>
  <c r="AH929" i="1"/>
  <c r="AH960" i="1"/>
  <c r="AH1538" i="1"/>
  <c r="AH402" i="1"/>
  <c r="AH931" i="1"/>
  <c r="AH2285" i="1"/>
  <c r="AH2160" i="1"/>
  <c r="AH2048" i="1"/>
  <c r="AH2548" i="1"/>
  <c r="AH653" i="1"/>
  <c r="AH23" i="1"/>
  <c r="AH253" i="1"/>
  <c r="AH4" i="1"/>
  <c r="AH637" i="1"/>
  <c r="AH1861" i="1"/>
  <c r="AH1587" i="1"/>
  <c r="AH1345" i="1"/>
  <c r="AH1352" i="1"/>
  <c r="AH137" i="1"/>
  <c r="AH1618" i="1"/>
  <c r="AH621" i="1"/>
  <c r="AH227" i="1"/>
  <c r="AH2745" i="1"/>
  <c r="AH1129" i="1"/>
  <c r="AH448" i="1"/>
  <c r="AH2599" i="1"/>
  <c r="AH1984" i="1"/>
  <c r="AH2358" i="1"/>
  <c r="AH461" i="1"/>
  <c r="AH249" i="1"/>
  <c r="AH79" i="1"/>
  <c r="AH1262" i="1"/>
  <c r="AH2088" i="1"/>
  <c r="AH2083" i="1"/>
  <c r="AH869" i="1"/>
  <c r="AH26" i="1"/>
  <c r="AH2591" i="1"/>
  <c r="AH875" i="1"/>
  <c r="AH823" i="1"/>
  <c r="AH1892" i="1"/>
  <c r="AH641" i="1"/>
  <c r="AH310" i="1"/>
  <c r="AH516" i="1"/>
  <c r="AH1501" i="1"/>
  <c r="AH2054" i="1"/>
  <c r="AH375" i="1"/>
  <c r="AH2216" i="1"/>
  <c r="AH1154" i="1"/>
  <c r="AH1321" i="1"/>
  <c r="AH1174" i="1"/>
  <c r="AH397" i="1"/>
  <c r="AH2145" i="1"/>
  <c r="AH2241" i="1"/>
  <c r="AH2209" i="1"/>
  <c r="AH172" i="1"/>
  <c r="AH1395" i="1"/>
  <c r="AH2582" i="1"/>
  <c r="AH877" i="1"/>
  <c r="AH2204" i="1"/>
  <c r="AH1203" i="1"/>
  <c r="AH2263" i="1"/>
  <c r="AH2456" i="1"/>
  <c r="AH2509" i="1"/>
  <c r="AH1677" i="1"/>
  <c r="AH2057" i="1"/>
  <c r="AH1988" i="1"/>
  <c r="AH420" i="1"/>
  <c r="AH1425" i="1"/>
  <c r="AH1359" i="1"/>
  <c r="AH1793" i="1"/>
  <c r="AH169" i="1"/>
  <c r="AH1652" i="1"/>
  <c r="AH2787" i="1"/>
  <c r="AH11" i="1"/>
  <c r="AH1081" i="1"/>
  <c r="AH1045" i="1"/>
  <c r="AH766" i="1"/>
  <c r="AH2682" i="1"/>
  <c r="AH2203" i="1"/>
  <c r="AH1777" i="1"/>
  <c r="AH985" i="1"/>
  <c r="AH415" i="1"/>
  <c r="AH90" i="1"/>
  <c r="AH2024" i="1"/>
  <c r="AH1408" i="1"/>
  <c r="AH2121" i="1"/>
  <c r="AH1147" i="1"/>
  <c r="AH1824" i="1"/>
  <c r="AH157" i="1"/>
  <c r="AH1591" i="1"/>
  <c r="AH424" i="1"/>
  <c r="AH276" i="1"/>
  <c r="AH1047" i="1"/>
  <c r="AH2732" i="1"/>
  <c r="AH481" i="1"/>
  <c r="AH1244" i="1"/>
  <c r="AH2221" i="1"/>
  <c r="AH778" i="1"/>
  <c r="AH129" i="1"/>
  <c r="AH1309" i="1"/>
  <c r="AH1185" i="1"/>
  <c r="AH2439" i="1"/>
  <c r="AH1978" i="1"/>
  <c r="AH954" i="1"/>
  <c r="AH2179" i="1"/>
  <c r="AH1857" i="1"/>
  <c r="AH2752" i="1"/>
  <c r="AH636" i="1"/>
  <c r="AH2754" i="1"/>
  <c r="AH41" i="1"/>
  <c r="AH359" i="1"/>
  <c r="AH1451" i="1"/>
  <c r="AH731" i="1"/>
  <c r="AH1683" i="1"/>
  <c r="AH2142" i="1"/>
  <c r="AH581" i="1"/>
  <c r="AH2469" i="1"/>
  <c r="AH2310" i="1"/>
  <c r="AH628" i="1"/>
  <c r="AH2218" i="1"/>
  <c r="AH1852" i="1"/>
  <c r="AH1177" i="1"/>
  <c r="AH1057" i="1"/>
  <c r="AH833" i="1"/>
  <c r="AH2005" i="1"/>
  <c r="AH1387" i="1"/>
  <c r="AH2277" i="1"/>
  <c r="AH1792" i="1"/>
  <c r="AH70" i="1"/>
  <c r="AH2254" i="1"/>
  <c r="AH20" i="1"/>
  <c r="AH2741" i="1"/>
  <c r="AH1060" i="1"/>
  <c r="AH1696" i="1"/>
  <c r="AH2304" i="1"/>
  <c r="AH1736" i="1"/>
  <c r="AH2409" i="1"/>
  <c r="AH616" i="1"/>
  <c r="AH13" i="1"/>
  <c r="AH1521" i="1"/>
  <c r="AH1052" i="1"/>
  <c r="AH1289" i="1"/>
  <c r="AH2334" i="1"/>
  <c r="AH2026" i="1"/>
  <c r="AH2280" i="1"/>
  <c r="AH238" i="1"/>
  <c r="AH976" i="1"/>
  <c r="AH2600" i="1"/>
  <c r="AH2394" i="1"/>
  <c r="AH1938" i="1"/>
  <c r="AH1541" i="1"/>
  <c r="AH592" i="1"/>
  <c r="AH60" i="1"/>
  <c r="AH386" i="1"/>
  <c r="AH1503" i="1"/>
  <c r="AH1259" i="1"/>
  <c r="AH2796" i="1"/>
  <c r="AH1364" i="1"/>
  <c r="AH696" i="1"/>
  <c r="AH2432" i="1"/>
  <c r="AH2147" i="1"/>
  <c r="AH250" i="1"/>
  <c r="AH890" i="1"/>
  <c r="AH2668" i="1"/>
  <c r="AH340" i="1"/>
  <c r="AH1484" i="1"/>
  <c r="AH380" i="1"/>
  <c r="AH2053" i="1"/>
  <c r="AH123" i="1"/>
  <c r="AH488" i="1"/>
  <c r="AH2384" i="1"/>
  <c r="AH2621" i="1"/>
  <c r="AH736" i="1"/>
  <c r="AH1744" i="1"/>
  <c r="AH1461" i="1"/>
  <c r="AH2520" i="1"/>
  <c r="AH1508" i="1"/>
  <c r="AH1251" i="1"/>
  <c r="AH1718" i="1"/>
  <c r="AH2491" i="1"/>
  <c r="AH1487" i="1"/>
  <c r="AH1009" i="1"/>
  <c r="AH472" i="1"/>
  <c r="AH748" i="1"/>
  <c r="AH509" i="1"/>
  <c r="AH982" i="1"/>
  <c r="AH2667" i="1"/>
  <c r="AH2128" i="1"/>
  <c r="AH1307" i="1"/>
  <c r="AH1246" i="1"/>
  <c r="AH638" i="1"/>
  <c r="AH925" i="1"/>
  <c r="AH559" i="1"/>
  <c r="AH1655" i="1"/>
  <c r="AH457" i="1"/>
  <c r="AH1839" i="1"/>
  <c r="AH121" i="1"/>
  <c r="AH624" i="1"/>
  <c r="AH737" i="1"/>
  <c r="AH1022" i="1"/>
  <c r="AH601" i="1"/>
  <c r="AH2737" i="1"/>
  <c r="AH326" i="1"/>
  <c r="AH2662" i="1"/>
  <c r="AH35" i="1"/>
  <c r="AH1287" i="1"/>
  <c r="AH1380" i="1"/>
  <c r="AH1720" i="1"/>
  <c r="AH1084" i="1"/>
  <c r="AH1220" i="1"/>
  <c r="AH2223" i="1"/>
  <c r="AH2336" i="1"/>
  <c r="AH2744" i="1"/>
  <c r="AH943" i="1"/>
  <c r="AH538" i="1"/>
  <c r="AH792" i="1"/>
  <c r="AH1038" i="1"/>
  <c r="AH1263" i="1"/>
  <c r="AH597" i="1"/>
  <c r="AH1234" i="1"/>
  <c r="AH2130" i="1"/>
  <c r="AH835" i="1"/>
  <c r="AH1269" i="1"/>
  <c r="AH1470" i="1"/>
  <c r="AH309" i="1"/>
  <c r="AH578" i="1"/>
  <c r="AH576" i="1"/>
  <c r="AH2025" i="1"/>
  <c r="AH2790" i="1"/>
  <c r="AH629" i="1"/>
  <c r="AH1281" i="1"/>
  <c r="AH2535" i="1"/>
  <c r="AH366" i="1"/>
  <c r="AH1427" i="1"/>
  <c r="AH841" i="1"/>
  <c r="AH1315" i="1"/>
  <c r="AH2143" i="1"/>
  <c r="AH1363" i="1"/>
  <c r="AH1568" i="1"/>
  <c r="AH1494" i="1"/>
  <c r="AH2365" i="1"/>
  <c r="AH664" i="1"/>
  <c r="AH1546" i="1"/>
  <c r="AH981" i="1"/>
  <c r="AH1219" i="1"/>
  <c r="AH232" i="1"/>
  <c r="AH1703" i="1"/>
  <c r="AH2297" i="1"/>
  <c r="AH2169" i="1"/>
  <c r="AH368" i="1"/>
  <c r="AH1237" i="1"/>
  <c r="AH2785" i="1"/>
  <c r="AH1957" i="1"/>
  <c r="AH2443" i="1"/>
  <c r="AH2475" i="1"/>
  <c r="AH2162" i="1"/>
  <c r="AH2031" i="1"/>
  <c r="AH1267" i="1"/>
  <c r="AH2677" i="1"/>
  <c r="AH1734" i="1"/>
  <c r="AH1593" i="1"/>
  <c r="AH1518" i="1"/>
  <c r="AH2656" i="1"/>
  <c r="AH2252" i="1"/>
  <c r="AH1610" i="1"/>
  <c r="AH743" i="1"/>
  <c r="AH1860" i="1"/>
  <c r="AH1152" i="1"/>
  <c r="AH1242" i="1"/>
  <c r="AH827" i="1"/>
  <c r="AH2371" i="1"/>
  <c r="AH1748" i="1"/>
  <c r="AH871" i="1"/>
  <c r="AH83" i="1"/>
  <c r="AH1678" i="1"/>
  <c r="AH1409" i="1"/>
  <c r="AH2401" i="1"/>
  <c r="AH84" i="1"/>
  <c r="AH246" i="1"/>
  <c r="AH1462" i="1"/>
  <c r="AH6" i="1"/>
  <c r="AH301" i="1"/>
  <c r="AH1845" i="1"/>
  <c r="AH949" i="1"/>
  <c r="AH476" i="1"/>
  <c r="AH782" i="1"/>
  <c r="AH763" i="1"/>
  <c r="AH630" i="1"/>
  <c r="AH286" i="1"/>
  <c r="AH1340" i="1"/>
  <c r="AH2312" i="1"/>
  <c r="AH2376" i="1"/>
  <c r="AH2569" i="1"/>
  <c r="AH1702" i="1"/>
  <c r="AH1634" i="1"/>
  <c r="AH2267" i="1"/>
  <c r="AH2501" i="1"/>
  <c r="AH2229" i="1"/>
  <c r="AH1877" i="1"/>
  <c r="AH51" i="1"/>
  <c r="AH2503" i="1"/>
  <c r="AH1875" i="1"/>
  <c r="AH287" i="1"/>
  <c r="AH265" i="1"/>
  <c r="AH1320" i="1"/>
  <c r="AH716" i="1"/>
  <c r="AH1716" i="1"/>
  <c r="AH101" i="1"/>
  <c r="AH992" i="1"/>
  <c r="AH355" i="1"/>
  <c r="AH2418" i="1"/>
  <c r="AH1666" i="1"/>
  <c r="AH2222" i="1"/>
  <c r="AH1170" i="1"/>
  <c r="AH1435" i="1"/>
  <c r="AH174" i="1"/>
  <c r="AH1136" i="1"/>
  <c r="AH2035" i="1"/>
  <c r="AH1298" i="1"/>
  <c r="AH804" i="1"/>
  <c r="AH2217" i="1"/>
  <c r="AH505" i="1"/>
  <c r="AH825" i="1"/>
  <c r="AH1111" i="1"/>
  <c r="AH1438" i="1"/>
  <c r="AH1507" i="1"/>
  <c r="AH1465" i="1"/>
  <c r="AH2772" i="1"/>
  <c r="AH1814" i="1"/>
  <c r="AH2464" i="1"/>
  <c r="AH1565" i="1"/>
  <c r="AH1672" i="1"/>
  <c r="AH444" i="1"/>
  <c r="AH451" i="1"/>
  <c r="AH693" i="1"/>
  <c r="AH1414" i="1"/>
  <c r="AH2461" i="1"/>
  <c r="AH970" i="1"/>
  <c r="AH1757" i="1"/>
  <c r="AH857" i="1"/>
  <c r="AH1791" i="1"/>
  <c r="AH230" i="1"/>
  <c r="AH2185" i="1"/>
  <c r="AH1165" i="1"/>
  <c r="AH1261" i="1"/>
  <c r="AH1138" i="1"/>
  <c r="AH596" i="1"/>
  <c r="AH522" i="1"/>
  <c r="AH1211" i="1"/>
  <c r="AH1664" i="1"/>
  <c r="AH2360" i="1"/>
  <c r="AH1944" i="1"/>
  <c r="AH2570" i="1"/>
  <c r="AH1584" i="1"/>
  <c r="AH2101" i="1"/>
  <c r="AH2742" i="1"/>
  <c r="AH1689" i="1"/>
  <c r="AH1178" i="1"/>
  <c r="AH2534" i="1"/>
  <c r="AH2604" i="1"/>
  <c r="AH1210" i="1"/>
  <c r="AH1828" i="1"/>
  <c r="AH251" i="1"/>
  <c r="AH2573" i="1"/>
  <c r="AH1781" i="1"/>
  <c r="AH2721" i="1"/>
  <c r="AH788" i="1"/>
  <c r="AH2170" i="1"/>
  <c r="AH1291" i="1"/>
  <c r="AH400" i="1"/>
  <c r="AH1366" i="1"/>
  <c r="AH455" i="1"/>
  <c r="AH179" i="1"/>
  <c r="AH2713" i="1"/>
  <c r="AH1602" i="1"/>
  <c r="AH2581" i="1"/>
  <c r="AH527" i="1"/>
  <c r="AH117" i="1"/>
  <c r="AH1182" i="1"/>
  <c r="AH868" i="1"/>
  <c r="AH2536" i="1"/>
  <c r="AH1887" i="1"/>
  <c r="AH1929" i="1"/>
  <c r="AH131" i="1"/>
  <c r="AH1638" i="1"/>
  <c r="AH1105" i="1"/>
  <c r="AH2340" i="1"/>
  <c r="AH2391" i="1"/>
  <c r="AH999" i="1"/>
  <c r="AH2419" i="1"/>
  <c r="AH2601" i="1"/>
  <c r="AH2610" i="1"/>
  <c r="AH2194" i="1"/>
  <c r="AH2339" i="1"/>
  <c r="AH1253" i="1"/>
  <c r="AH2416" i="1"/>
  <c r="AH187" i="1"/>
  <c r="AH722" i="1"/>
  <c r="AH1962" i="1"/>
  <c r="AH2481" i="1"/>
  <c r="AH625" i="1"/>
  <c r="AH1430" i="1"/>
  <c r="AH2207" i="1"/>
  <c r="AH1390" i="1"/>
  <c r="AH2073" i="1"/>
  <c r="AH2115" i="1"/>
  <c r="AH148" i="1"/>
  <c r="AH2042" i="1"/>
  <c r="AH191" i="1"/>
  <c r="AH2259" i="1"/>
  <c r="AH1357" i="1"/>
  <c r="AH2791" i="1"/>
  <c r="AH447" i="1"/>
  <c r="AH2651" i="1"/>
  <c r="AH2242" i="1"/>
  <c r="AH442" i="1"/>
  <c r="AH233" i="1"/>
  <c r="AH1498" i="1"/>
  <c r="AH2705" i="1"/>
  <c r="AH360" i="1"/>
  <c r="AH1864" i="1"/>
  <c r="AH186" i="1"/>
  <c r="AH862" i="1"/>
  <c r="AH273" i="1"/>
  <c r="AH783" i="1"/>
  <c r="AH188" i="1"/>
  <c r="AH314" i="1"/>
  <c r="AH2778" i="1"/>
  <c r="AH2080" i="1"/>
  <c r="AH469" i="1"/>
  <c r="AH2430" i="1"/>
  <c r="AH1780" i="1"/>
  <c r="AH2594" i="1"/>
  <c r="AH1495" i="1"/>
  <c r="AH1444" i="1"/>
  <c r="AH914" i="1"/>
  <c r="AH1850" i="1"/>
  <c r="AH1381" i="1"/>
  <c r="AH2028" i="1"/>
  <c r="AH2710" i="1"/>
  <c r="AH2659" i="1"/>
  <c r="AH2492" i="1"/>
  <c r="AH231" i="1"/>
  <c r="AH568" i="1"/>
  <c r="AH330" i="1"/>
  <c r="AH2126" i="1"/>
  <c r="AH1909" i="1"/>
  <c r="AH2704" i="1"/>
  <c r="AH1068" i="1"/>
  <c r="AH1329" i="1"/>
  <c r="AH3" i="1"/>
  <c r="AH2338" i="1"/>
  <c r="AH2488" i="1"/>
  <c r="AH988" i="1"/>
  <c r="AH1616" i="1"/>
  <c r="AH683" i="1"/>
  <c r="AH1809" i="1"/>
  <c r="AH691" i="1"/>
  <c r="AH1662" i="1"/>
  <c r="AH2467" i="1"/>
  <c r="AH293" i="1"/>
  <c r="AH1629" i="1"/>
  <c r="AH1109" i="1"/>
  <c r="AH2748" i="1"/>
  <c r="AH2781" i="1"/>
  <c r="AH2690" i="1"/>
  <c r="AH333" i="1"/>
  <c r="AH2227" i="1"/>
  <c r="AH1841" i="1"/>
  <c r="AH846" i="1"/>
  <c r="AH2231" i="1"/>
  <c r="AH1454" i="1"/>
  <c r="AH218" i="1"/>
  <c r="AH1891" i="1"/>
  <c r="AH1025" i="1"/>
  <c r="AH1372" i="1"/>
  <c r="AH2760" i="1"/>
  <c r="AH2173" i="1"/>
  <c r="AH2061" i="1"/>
  <c r="AH830" i="1"/>
  <c r="AH723" i="1"/>
  <c r="AH1710" i="1"/>
  <c r="AH376" i="1"/>
  <c r="AH2549" i="1"/>
  <c r="AH1078" i="1"/>
  <c r="AH409" i="1"/>
  <c r="AH1918" i="1"/>
  <c r="AH826" i="1"/>
  <c r="AH370" i="1"/>
  <c r="AH1483" i="1"/>
  <c r="AH1851" i="1"/>
  <c r="AH2471" i="1"/>
  <c r="AH1361" i="1"/>
  <c r="AH350" i="1"/>
  <c r="AH2052" i="1"/>
  <c r="AH109" i="1"/>
  <c r="AH2623" i="1"/>
  <c r="AH40" i="1"/>
  <c r="AH1960" i="1"/>
  <c r="AH2094" i="1"/>
  <c r="AH1257" i="1"/>
  <c r="AH2609" i="1"/>
  <c r="AH1659" i="1"/>
  <c r="AH2010" i="1"/>
  <c r="AH1145" i="1"/>
  <c r="AH917" i="1"/>
  <c r="AH849" i="1"/>
  <c r="AH97" i="1"/>
  <c r="AH1724" i="1"/>
  <c r="AH1280" i="1"/>
  <c r="AH552" i="1"/>
  <c r="AH2349" i="1"/>
  <c r="AH1143" i="1"/>
  <c r="AH2755" i="1"/>
  <c r="AH758" i="1"/>
  <c r="AH565" i="1"/>
  <c r="AH2480" i="1"/>
  <c r="AH1598" i="1"/>
  <c r="AH1402" i="1"/>
  <c r="AH2171" i="1"/>
  <c r="AH1979" i="1"/>
  <c r="AH2750" i="1"/>
  <c r="AH1384" i="1"/>
  <c r="AH1062" i="1"/>
  <c r="AH913" i="1"/>
  <c r="AH294" i="1"/>
  <c r="AH1239" i="1"/>
  <c r="AH2074" i="1"/>
  <c r="AH2678" i="1"/>
  <c r="AH682" i="1"/>
  <c r="AH903" i="1"/>
  <c r="AH665" i="1"/>
  <c r="AH438" i="1"/>
  <c r="AH2619" i="1"/>
  <c r="AH1127" i="1"/>
  <c r="AH2032" i="1"/>
  <c r="AH648" i="1"/>
  <c r="AH1778" i="1"/>
  <c r="AH1894" i="1"/>
  <c r="AH2008" i="1"/>
  <c r="AH2762" i="1"/>
  <c r="AH892" i="1"/>
  <c r="AH1900" i="1"/>
  <c r="AH1079" i="1"/>
  <c r="AH16" i="1"/>
  <c r="AH806" i="1"/>
  <c r="AH2233" i="1"/>
  <c r="AH2757" i="1"/>
  <c r="AH2727" i="1"/>
  <c r="AH142" i="1"/>
  <c r="AH1415" i="1"/>
  <c r="AH1805" i="1"/>
  <c r="AH1308" i="1"/>
  <c r="AH2543" i="1"/>
  <c r="AH531" i="1"/>
  <c r="AH1434" i="1"/>
  <c r="AH867" i="1"/>
  <c r="AH657" i="1"/>
  <c r="AH947" i="1"/>
  <c r="AH1636" i="1"/>
  <c r="AH2364" i="1"/>
  <c r="AH2108" i="1"/>
  <c r="AH898" i="1"/>
  <c r="AH2066" i="1"/>
  <c r="AH2684" i="1"/>
  <c r="AH1595" i="1"/>
  <c r="AH580" i="1"/>
  <c r="AH2497" i="1"/>
  <c r="AH888" i="1"/>
  <c r="AH2181" i="1"/>
  <c r="AH2326" i="1"/>
  <c r="AH2462" i="1"/>
  <c r="AH1120" i="1"/>
  <c r="AH1727" i="1"/>
  <c r="AH2100" i="1"/>
  <c r="AH1592" i="1"/>
  <c r="AH1853" i="1"/>
  <c r="AH316" i="1"/>
  <c r="AH1388" i="1"/>
  <c r="AH1254" i="1"/>
  <c r="AH1273" i="1"/>
  <c r="AH1525" i="1"/>
  <c r="AH528" i="1"/>
  <c r="AH721" i="1"/>
  <c r="AH1441" i="1"/>
  <c r="AH1420" i="1"/>
  <c r="AH1243" i="1"/>
  <c r="AH860" i="1"/>
  <c r="AH2516" i="1"/>
  <c r="AH545" i="1"/>
  <c r="AH480" i="1"/>
  <c r="AH1208" i="1"/>
  <c r="AH212" i="1"/>
  <c r="AH12" i="1"/>
  <c r="AH211" i="1"/>
  <c r="AH525" i="1"/>
  <c r="AH730" i="1"/>
  <c r="AH1094" i="1"/>
  <c r="AH1527" i="1"/>
  <c r="AH1639" i="1"/>
  <c r="AH2679" i="1"/>
  <c r="AH173" i="1"/>
  <c r="AH156" i="1"/>
  <c r="AH2133" i="1"/>
  <c r="AH896" i="1"/>
  <c r="AH1437" i="1"/>
  <c r="AH2268" i="1"/>
  <c r="AH2315" i="1"/>
  <c r="AH1816" i="1"/>
  <c r="AH54" i="1"/>
  <c r="AH2452" i="1"/>
  <c r="AH1128" i="1"/>
  <c r="AH206" i="1"/>
  <c r="AH1235" i="1"/>
  <c r="AH258" i="1"/>
  <c r="AH1560" i="1"/>
  <c r="AH2691" i="1"/>
  <c r="AH2350" i="1"/>
  <c r="AH2413" i="1"/>
  <c r="AH1889" i="1"/>
  <c r="AH1758" i="1"/>
  <c r="AH1061" i="1"/>
  <c r="AH2007" i="1"/>
  <c r="AH158" i="1"/>
  <c r="AH1391" i="1"/>
  <c r="AH1448" i="1"/>
  <c r="AH1164" i="1"/>
  <c r="AH856" i="1"/>
  <c r="AH2717" i="1"/>
  <c r="AH640" i="1"/>
  <c r="AH1562" i="1"/>
  <c r="AH1130" i="1"/>
  <c r="AH1212" i="1"/>
  <c r="AH649" i="1"/>
  <c r="AH1252" i="1"/>
  <c r="AH589" i="1"/>
  <c r="AH2047" i="1"/>
  <c r="AH1815" i="1"/>
  <c r="AH728" i="1"/>
  <c r="AH2647" i="1"/>
  <c r="AH1829" i="1"/>
  <c r="AH942" i="1"/>
  <c r="AH1142" i="1"/>
  <c r="AH1643" i="1"/>
  <c r="AH194" i="1"/>
  <c r="AH572" i="1"/>
  <c r="AH2421" i="1"/>
  <c r="AH2687" i="1"/>
  <c r="AH1899" i="1"/>
  <c r="AH2693" i="1"/>
  <c r="AH214" i="1"/>
  <c r="AH872" i="1"/>
  <c r="AH2517" i="1"/>
  <c r="AH704" i="1"/>
  <c r="AH2688" i="1"/>
  <c r="AH1590" i="1"/>
  <c r="AH2319" i="1"/>
  <c r="AH255" i="1"/>
  <c r="AH292" i="1"/>
  <c r="AH2498" i="1"/>
  <c r="AH2571" i="1"/>
  <c r="AH656" i="1"/>
  <c r="AH1066" i="1"/>
  <c r="AH1570" i="1"/>
  <c r="AH2697" i="1"/>
  <c r="AH2131" i="1"/>
  <c r="AH2125" i="1"/>
  <c r="AH2556" i="1"/>
  <c r="AH603" i="1"/>
  <c r="AH38" i="1"/>
  <c r="AH91" i="1"/>
  <c r="AH2715" i="1"/>
  <c r="AH335" i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7" i="2"/>
  <c r="AG671" i="1"/>
  <c r="AG2711" i="1"/>
  <c r="AG406" i="1"/>
  <c r="AG1914" i="1"/>
  <c r="AG1141" i="1"/>
  <c r="AG1286" i="1"/>
  <c r="AG1100" i="1"/>
  <c r="AG2161" i="1"/>
  <c r="AG2494" i="1"/>
  <c r="AG1317" i="1"/>
  <c r="AG2634" i="1"/>
  <c r="AG204" i="1"/>
  <c r="AG1284" i="1"/>
  <c r="AG2474" i="1"/>
  <c r="AG2117" i="1"/>
  <c r="AG1707" i="1"/>
  <c r="AG1368" i="1"/>
  <c r="AG1519" i="1"/>
  <c r="AG1355" i="1"/>
  <c r="AG1278" i="1"/>
  <c r="AG2380" i="1"/>
  <c r="AG190" i="1"/>
  <c r="AG2138" i="1"/>
  <c r="AG1755" i="1"/>
  <c r="AG735" i="1"/>
  <c r="AG586" i="1"/>
  <c r="AG909" i="1"/>
  <c r="AG2696" i="1"/>
  <c r="AG1423" i="1"/>
  <c r="AG2726" i="1"/>
  <c r="AG1482" i="1"/>
  <c r="AG1644" i="1"/>
  <c r="AG2759" i="1"/>
  <c r="AG614" i="1"/>
  <c r="AG2703" i="1"/>
  <c r="AG911" i="1"/>
  <c r="AG2708" i="1"/>
  <c r="AG1623" i="1"/>
  <c r="AG938" i="1"/>
  <c r="AG1314" i="1"/>
  <c r="AG2038" i="1"/>
  <c r="AG1319" i="1"/>
  <c r="AG799" i="1"/>
  <c r="AG306" i="1"/>
  <c r="AG2483" i="1"/>
  <c r="AG2320" i="1"/>
  <c r="AG2" i="1"/>
  <c r="AG2377" i="1"/>
  <c r="AG2605" i="1"/>
  <c r="AG389" i="1"/>
  <c r="AG240" i="1"/>
  <c r="AG2165" i="1"/>
  <c r="AG1526" i="1"/>
  <c r="AG1691" i="1"/>
  <c r="AG388" i="1"/>
  <c r="AG646" i="1"/>
  <c r="AG2291" i="1"/>
  <c r="AG537" i="1"/>
  <c r="AG803" i="1"/>
  <c r="AG2608" i="1"/>
  <c r="AG2410" i="1"/>
  <c r="AG337" i="1"/>
  <c r="AG2003" i="1"/>
  <c r="AG855" i="1"/>
  <c r="AG1204" i="1"/>
  <c r="AG861" i="1"/>
  <c r="AG2559" i="1"/>
  <c r="AG2615" i="1"/>
  <c r="AG1911" i="1"/>
  <c r="AG1294" i="1"/>
  <c r="AG1285" i="1"/>
  <c r="AG1500" i="1"/>
  <c r="AG669" i="1"/>
  <c r="AG2355" i="1"/>
  <c r="AG2489" i="1"/>
  <c r="AG2538" i="1"/>
  <c r="AG1580" i="1"/>
  <c r="AG1922" i="1"/>
  <c r="AG267" i="1"/>
  <c r="AG2063" i="1"/>
  <c r="AG2414" i="1"/>
  <c r="AG713" i="1"/>
  <c r="AG1838" i="1"/>
  <c r="AG1353" i="1"/>
  <c r="AG65" i="1"/>
  <c r="AG627" i="1"/>
  <c r="AG1947" i="1"/>
  <c r="AG2585" i="1"/>
  <c r="AG2002" i="1"/>
  <c r="AG1693" i="1"/>
  <c r="AG937" i="1"/>
  <c r="AG437" i="1"/>
  <c r="AG2011" i="1"/>
  <c r="AG2013" i="1"/>
  <c r="AG2357" i="1"/>
  <c r="AG98" i="1"/>
  <c r="AG2245" i="1"/>
  <c r="AG1671" i="1"/>
  <c r="AG1567" i="1"/>
  <c r="AG2020" i="1"/>
  <c r="AG134" i="1"/>
  <c r="AG2150" i="1"/>
  <c r="AG2411" i="1"/>
  <c r="AG579" i="1"/>
  <c r="AG2036" i="1"/>
  <c r="AG994" i="1"/>
  <c r="AG555" i="1"/>
  <c r="AG1782" i="1"/>
  <c r="AG1739" i="1"/>
  <c r="AG974" i="1"/>
  <c r="AG1932" i="1"/>
  <c r="AG1172" i="1"/>
  <c r="AG1893" i="1"/>
  <c r="AG1665" i="1"/>
  <c r="AG471" i="1"/>
  <c r="AG280" i="1"/>
  <c r="AG2640" i="1"/>
  <c r="AG1945" i="1"/>
  <c r="AG1749" i="1"/>
  <c r="AG175" i="1"/>
  <c r="AG1288" i="1"/>
  <c r="AG784" i="1"/>
  <c r="AG2701" i="1"/>
  <c r="AG259" i="1"/>
  <c r="AG64" i="1"/>
  <c r="AG1788" i="1"/>
  <c r="AG962" i="1"/>
  <c r="AG458" i="1"/>
  <c r="AG2487" i="1"/>
  <c r="AG2523" i="1"/>
  <c r="AG1502" i="1"/>
  <c r="AG39" i="1"/>
  <c r="AG116" i="1"/>
  <c r="AG1150" i="1"/>
  <c r="AG2670" i="1"/>
  <c r="AG2587" i="1"/>
  <c r="AG2532" i="1"/>
  <c r="AG2506" i="1"/>
  <c r="AG241" i="1"/>
  <c r="AG886" i="1"/>
  <c r="AG1338" i="1"/>
  <c r="AG144" i="1"/>
  <c r="AG260" i="1"/>
  <c r="AG318" i="1"/>
  <c r="AG2383" i="1"/>
  <c r="AG794" i="1"/>
  <c r="AG1627" i="1"/>
  <c r="AG55" i="1"/>
  <c r="AG151" i="1"/>
  <c r="AG550" i="1"/>
  <c r="AG2343" i="1"/>
  <c r="AG709" i="1"/>
  <c r="AG1168" i="1"/>
  <c r="AG2064" i="1"/>
  <c r="AG176" i="1"/>
  <c r="AG986" i="1"/>
  <c r="AG2541" i="1"/>
  <c r="AG2102" i="1"/>
  <c r="AG1550" i="1"/>
  <c r="AG2286" i="1"/>
  <c r="AG2574" i="1"/>
  <c r="AG185" i="1"/>
  <c r="AG2427" i="1"/>
  <c r="AG1403" i="1"/>
  <c r="AG2272" i="1"/>
  <c r="AG2197" i="1"/>
  <c r="AG2563" i="1"/>
  <c r="AG1916" i="1"/>
  <c r="AG2119" i="1"/>
  <c r="AG1920" i="1"/>
  <c r="AG346" i="1"/>
  <c r="AG2702" i="1"/>
  <c r="AG1581" i="1"/>
  <c r="AG213" i="1"/>
  <c r="AG1167" i="1"/>
  <c r="AG2317" i="1"/>
  <c r="AG2372" i="1"/>
  <c r="AG2758" i="1"/>
  <c r="AG2565" i="1"/>
  <c r="AG1158" i="1"/>
  <c r="AG686" i="1"/>
  <c r="AG411" i="1"/>
  <c r="AG1270" i="1"/>
  <c r="AG524" i="1"/>
  <c r="AG534" i="1"/>
  <c r="AG282" i="1"/>
  <c r="AG429" i="1"/>
  <c r="AG1033" i="1"/>
  <c r="AG1576" i="1"/>
  <c r="AG2771" i="1"/>
  <c r="AG440" i="1"/>
  <c r="AG108" i="1"/>
  <c r="AG1653" i="1"/>
  <c r="AG2794" i="1"/>
  <c r="AG1650" i="1"/>
  <c r="AG1726" i="1"/>
  <c r="AG1901" i="1"/>
  <c r="AG200" i="1"/>
  <c r="AG1971" i="1"/>
  <c r="AG2777" i="1"/>
  <c r="AG836" i="1"/>
  <c r="AG1192" i="1"/>
  <c r="AG1866" i="1"/>
  <c r="AG2603" i="1"/>
  <c r="AG1258" i="1"/>
  <c r="AG195" i="1"/>
  <c r="AG870" i="1"/>
  <c r="AG605" i="1"/>
  <c r="AG80" i="1"/>
  <c r="AG626" i="1"/>
  <c r="AG1046" i="1"/>
  <c r="AG893" i="1"/>
  <c r="AG2398" i="1"/>
  <c r="AG473" i="1"/>
  <c r="AG2344" i="1"/>
  <c r="AG1290" i="1"/>
  <c r="AG1373" i="1"/>
  <c r="AG2103" i="1"/>
  <c r="AG2184" i="1"/>
  <c r="AG1485" i="1"/>
  <c r="AG369" i="1"/>
  <c r="AG1972" i="1"/>
  <c r="AG928" i="1"/>
  <c r="AG2685" i="1"/>
  <c r="AG226" i="1"/>
  <c r="AG774" i="1"/>
  <c r="AG1557" i="1"/>
  <c r="AG2062" i="1"/>
  <c r="AG1271" i="1"/>
  <c r="AG1325" i="1"/>
  <c r="AG1132" i="1"/>
  <c r="AG681" i="1"/>
  <c r="AG235" i="1"/>
  <c r="AG1799" i="1"/>
  <c r="AG2769" i="1"/>
  <c r="AG1686" i="1"/>
  <c r="AG1478" i="1"/>
  <c r="AG772" i="1"/>
  <c r="AG1692" i="1"/>
  <c r="AG454" i="1"/>
  <c r="AG1360" i="1"/>
  <c r="AG2288" i="1"/>
  <c r="AG2751" i="1"/>
  <c r="AG2392" i="1"/>
  <c r="AG328" i="1"/>
  <c r="AG305" i="1"/>
  <c r="AG2589" i="1"/>
  <c r="AG969" i="1"/>
  <c r="AG159" i="1"/>
  <c r="AG1216" i="1"/>
  <c r="AG74" i="1"/>
  <c r="AG1056" i="1"/>
  <c r="AG2361" i="1"/>
  <c r="AG1725" i="1"/>
  <c r="AG1992" i="1"/>
  <c r="AG821" i="1"/>
  <c r="AG329" i="1"/>
  <c r="AG1775" i="1"/>
  <c r="AG1611" i="1"/>
  <c r="AG184" i="1"/>
  <c r="AG753" i="1"/>
  <c r="AG1401" i="1"/>
  <c r="AG563" i="1"/>
  <c r="AG932" i="1"/>
  <c r="AG1027" i="1"/>
  <c r="AG2780" i="1"/>
  <c r="AG237" i="1"/>
  <c r="AG48" i="1"/>
  <c r="AG2423" i="1"/>
  <c r="AG843" i="1"/>
  <c r="AG76" i="1"/>
  <c r="AG844" i="1"/>
  <c r="AG719" i="1"/>
  <c r="AG383" i="1"/>
  <c r="AG373" i="1"/>
  <c r="AG632" i="1"/>
  <c r="AG2158" i="1"/>
  <c r="AG530" i="1"/>
  <c r="AG17" i="1"/>
  <c r="AG439" i="1"/>
  <c r="AG1370" i="1"/>
  <c r="AG1051" i="1"/>
  <c r="AG2512" i="1"/>
  <c r="AG2040" i="1"/>
  <c r="AG22" i="1"/>
  <c r="AG761" i="1"/>
  <c r="AG113" i="1"/>
  <c r="AG1931" i="1"/>
  <c r="AG1490" i="1"/>
  <c r="AG1950" i="1"/>
  <c r="AG1277" i="1"/>
  <c r="AG45" i="1"/>
  <c r="AG1122" i="1"/>
  <c r="AG2368" i="1"/>
  <c r="AG2106" i="1"/>
  <c r="AG1961" i="1"/>
  <c r="AG2436" i="1"/>
  <c r="AG1745" i="1"/>
  <c r="AG1292" i="1"/>
  <c r="AG2071" i="1"/>
  <c r="AG1880" i="1"/>
  <c r="AG1001" i="1"/>
  <c r="AG829" i="1"/>
  <c r="AG615" i="1"/>
  <c r="AG2645" i="1"/>
  <c r="AG930" i="1"/>
  <c r="AG2072" i="1"/>
  <c r="AG28" i="1"/>
  <c r="AG1232" i="1"/>
  <c r="AG2091" i="1"/>
  <c r="AG1674" i="1"/>
  <c r="AG2189" i="1"/>
  <c r="AG475" i="1"/>
  <c r="AG1904" i="1"/>
  <c r="AG2584" i="1"/>
  <c r="AG834" i="1"/>
  <c r="AG466" i="1"/>
  <c r="AG2327" i="1"/>
  <c r="AG1545" i="1"/>
  <c r="AG394" i="1"/>
  <c r="AG2680" i="1"/>
  <c r="AG193" i="1"/>
  <c r="AG2493" i="1"/>
  <c r="AG1183" i="1"/>
  <c r="AG418" i="1"/>
  <c r="AG307" i="1"/>
  <c r="AG536" i="1"/>
  <c r="AG650" i="1"/>
  <c r="AG1540" i="1"/>
  <c r="AG2366" i="1"/>
  <c r="AG2293" i="1"/>
  <c r="AG2284" i="1"/>
  <c r="AG740" i="1"/>
  <c r="AG1953" i="1"/>
  <c r="AG1764" i="1"/>
  <c r="AG1195" i="1"/>
  <c r="AG1694" i="1"/>
  <c r="AG1614" i="1"/>
  <c r="AG1906" i="1"/>
  <c r="AG1134" i="1"/>
  <c r="AG2248" i="1"/>
  <c r="AG387" i="1"/>
  <c r="AG2588" i="1"/>
  <c r="AG1952" i="1"/>
  <c r="AG2220" i="1"/>
  <c r="AG2068" i="1"/>
  <c r="AG1854" i="1"/>
  <c r="AG1646" i="1"/>
  <c r="AG18" i="1"/>
  <c r="AG352" i="1"/>
  <c r="AG878" i="1"/>
  <c r="AG2642" i="1"/>
  <c r="AG164" i="1"/>
  <c r="AG450" i="1"/>
  <c r="AG850" i="1"/>
  <c r="AG879" i="1"/>
  <c r="AG786" i="1"/>
  <c r="AG419" i="1"/>
  <c r="AG1404" i="1"/>
  <c r="AG1179" i="1"/>
  <c r="AG2301" i="1"/>
  <c r="AG541" i="1"/>
  <c r="AG699" i="1"/>
  <c r="AG882" i="1"/>
  <c r="AG1865" i="1"/>
  <c r="AG1151" i="1"/>
  <c r="AG1883" i="1"/>
  <c r="AG73" i="1"/>
  <c r="AG1459" i="1"/>
  <c r="AG1784" i="1"/>
  <c r="AG1311" i="1"/>
  <c r="AG1569" i="1"/>
  <c r="AG1974" i="1"/>
  <c r="AG2519" i="1"/>
  <c r="AG2140" i="1"/>
  <c r="AG1835" i="1"/>
  <c r="AG2249" i="1"/>
  <c r="AG754" i="1"/>
  <c r="AG2321" i="1"/>
  <c r="AG2424" i="1"/>
  <c r="AG1600" i="1"/>
  <c r="AG2257" i="1"/>
  <c r="AG1554" i="1"/>
  <c r="AG2210" i="1"/>
  <c r="AG1941" i="1"/>
  <c r="AG1101" i="1"/>
  <c r="AG1533" i="1"/>
  <c r="AG1510" i="1"/>
  <c r="AG1032" i="1"/>
  <c r="AG72" i="1"/>
  <c r="AG2606" i="1"/>
  <c r="AG391" i="1"/>
  <c r="AG2081" i="1"/>
  <c r="AG503" i="1"/>
  <c r="AG378" i="1"/>
  <c r="AG785" i="1"/>
  <c r="AG647" i="1"/>
  <c r="AG2733" i="1"/>
  <c r="AG1293" i="1"/>
  <c r="AG1304" i="1"/>
  <c r="AG1615" i="1"/>
  <c r="AG562" i="1"/>
  <c r="AG1870" i="1"/>
  <c r="AG1383" i="1"/>
  <c r="AG1994" i="1"/>
  <c r="AG968" i="1"/>
  <c r="AG2735" i="1"/>
  <c r="AG1180" i="1"/>
  <c r="AG1915" i="1"/>
  <c r="AG1375" i="1"/>
  <c r="AG690" i="1"/>
  <c r="AG1834" i="1"/>
  <c r="AG1075" i="1"/>
  <c r="AG443" i="1"/>
  <c r="AG619" i="1"/>
  <c r="AG180" i="1"/>
  <c r="AG1964" i="1"/>
  <c r="AG1921" i="1"/>
  <c r="AG2256" i="1"/>
  <c r="AG2638" i="1"/>
  <c r="AG1713" i="1"/>
  <c r="AG1013" i="1"/>
  <c r="AG2079" i="1"/>
  <c r="AG2379" i="1"/>
  <c r="AG2521" i="1"/>
  <c r="AG2625" i="1"/>
  <c r="AG390" i="1"/>
  <c r="AG33" i="1"/>
  <c r="AG132" i="1"/>
  <c r="AG1439" i="1"/>
  <c r="AG1826" i="1"/>
  <c r="AG1324" i="1"/>
  <c r="AG499" i="1"/>
  <c r="AG807" i="1"/>
  <c r="AG1647" i="1"/>
  <c r="AG2183" i="1"/>
  <c r="AG1073" i="1"/>
  <c r="AG252" i="1"/>
  <c r="AG2104" i="1"/>
  <c r="AG254" i="1"/>
  <c r="AG635" i="1"/>
  <c r="AG1552" i="1"/>
  <c r="AG936" i="1"/>
  <c r="AG63" i="1"/>
  <c r="AG795" i="1"/>
  <c r="AG1153" i="1"/>
  <c r="AG2539" i="1"/>
  <c r="AG2037" i="1"/>
  <c r="AG2552" i="1"/>
  <c r="AG1897" i="1"/>
  <c r="AG906" i="1"/>
  <c r="AG813" i="1"/>
  <c r="AG676" i="1"/>
  <c r="AG1072" i="1"/>
  <c r="AG2137" i="1"/>
  <c r="AG2201" i="1"/>
  <c r="AG2118" i="1"/>
  <c r="AG952" i="1"/>
  <c r="AG729" i="1"/>
  <c r="AG94" i="1"/>
  <c r="AG87" i="1"/>
  <c r="AG93" i="1"/>
  <c r="AG317" i="1"/>
  <c r="AG2070" i="1"/>
  <c r="AG467" i="1"/>
  <c r="AG712" i="1"/>
  <c r="AG1535" i="1"/>
  <c r="AG2051" i="1"/>
  <c r="AG1822" i="1"/>
  <c r="AG1198" i="1"/>
  <c r="AG1086" i="1"/>
  <c r="AG2111" i="1"/>
  <c r="AG270" i="1"/>
  <c r="AG422" i="1"/>
  <c r="AG1661" i="1"/>
  <c r="AG2159" i="1"/>
  <c r="AG56" i="1"/>
  <c r="AG2657" i="1"/>
  <c r="AG459" i="1"/>
  <c r="AG27" i="1"/>
  <c r="AG2689" i="1"/>
  <c r="AG584" i="1"/>
  <c r="AG417" i="1"/>
  <c r="AG423" i="1"/>
  <c r="AG842" i="1"/>
  <c r="AG2660" i="1"/>
  <c r="AG2198" i="1"/>
  <c r="AG1884" i="1"/>
  <c r="AG2237" i="1"/>
  <c r="AG1469" i="1"/>
  <c r="AG742" i="1"/>
  <c r="AG2151" i="1"/>
  <c r="AG139" i="1"/>
  <c r="AG1965" i="1"/>
  <c r="AG757" i="1"/>
  <c r="AG744" i="1"/>
  <c r="AG1202" i="1"/>
  <c r="AG732" i="1"/>
  <c r="AG1225" i="1"/>
  <c r="AG1617" i="1"/>
  <c r="AG1955" i="1"/>
  <c r="AG1157" i="1"/>
  <c r="AG1279" i="1"/>
  <c r="AG1452" i="1"/>
  <c r="AG2039" i="1"/>
  <c r="AG701" i="1"/>
  <c r="AG1133" i="1"/>
  <c r="AG1740" i="1"/>
  <c r="AG2627" i="1"/>
  <c r="AG1951" i="1"/>
  <c r="AG2294" i="1"/>
  <c r="AG1963" i="1"/>
  <c r="AG14" i="1"/>
  <c r="AG2089" i="1"/>
  <c r="AG2460" i="1"/>
  <c r="AG264" i="1"/>
  <c r="AG47" i="1"/>
  <c r="AG1532" i="1"/>
  <c r="AG2258" i="1"/>
  <c r="AG1715" i="1"/>
  <c r="AG449" i="1"/>
  <c r="AG2761" i="1"/>
  <c r="AG1367" i="1"/>
  <c r="AG42" i="1"/>
  <c r="AG574" i="1"/>
  <c r="AG2056" i="1"/>
  <c r="AG68" i="1"/>
  <c r="AG275" i="1"/>
  <c r="AG2290" i="1"/>
  <c r="AG1831" i="1"/>
  <c r="AG2773" i="1"/>
  <c r="AG918" i="1"/>
  <c r="AG687" i="1"/>
  <c r="AG2486" i="1"/>
  <c r="AG1986" i="1"/>
  <c r="AG812" i="1"/>
  <c r="AG7" i="1"/>
  <c r="AG2476" i="1"/>
  <c r="AG2226" i="1"/>
  <c r="AG1466" i="1"/>
  <c r="AG820" i="1"/>
  <c r="AG2775" i="1"/>
  <c r="AG192" i="1"/>
  <c r="AG2240" i="1"/>
  <c r="AG1118" i="1"/>
  <c r="AG876" i="1"/>
  <c r="AG622" i="1"/>
  <c r="AG152" i="1"/>
  <c r="AG474" i="1"/>
  <c r="AG1115" i="1"/>
  <c r="AG272" i="1"/>
  <c r="AG2262" i="1"/>
  <c r="AG177" i="1"/>
  <c r="AG2674" i="1"/>
  <c r="AG2626" i="1"/>
  <c r="AG750" i="1"/>
  <c r="AG1083" i="1"/>
  <c r="AG1871" i="1"/>
  <c r="AG1954" i="1"/>
  <c r="AG160" i="1"/>
  <c r="AG2033" i="1"/>
  <c r="AG2405" i="1"/>
  <c r="AG672" i="1"/>
  <c r="AG2236" i="1"/>
  <c r="AG2060" i="1"/>
  <c r="AG1015" i="1"/>
  <c r="AG1398" i="1"/>
  <c r="AG897" i="1"/>
  <c r="AG2554" i="1"/>
  <c r="AG935" i="1"/>
  <c r="AG1096" i="1"/>
  <c r="AG1215" i="1"/>
  <c r="AG797" i="1"/>
  <c r="AG1397" i="1"/>
  <c r="AG1506" i="1"/>
  <c r="AG2186" i="1"/>
  <c r="AG668" i="1"/>
  <c r="AG2000" i="1"/>
  <c r="AG1016" i="1"/>
  <c r="AG1633" i="1"/>
  <c r="AG675" i="1"/>
  <c r="AG1241" i="1"/>
  <c r="AG171" i="1"/>
  <c r="AG2412" i="1"/>
  <c r="AG271" i="1"/>
  <c r="AG2433" i="1"/>
  <c r="AG2385" i="1"/>
  <c r="AG1140" i="1"/>
  <c r="AG1421" i="1"/>
  <c r="AG1679" i="1"/>
  <c r="AG2015" i="1"/>
  <c r="AG594" i="1"/>
  <c r="AG2723" i="1"/>
  <c r="AG2191" i="1"/>
  <c r="AG1247" i="1"/>
  <c r="AG1004" i="1"/>
  <c r="AG2529" i="1"/>
  <c r="AG1349" i="1"/>
  <c r="AG1690" i="1"/>
  <c r="AG991" i="1"/>
  <c r="AG651" i="1"/>
  <c r="AG1424" i="1"/>
  <c r="AG338" i="1"/>
  <c r="AG1193" i="1"/>
  <c r="AG1999" i="1"/>
  <c r="AG853" i="1"/>
  <c r="AG2505" i="1"/>
  <c r="AG1400" i="1"/>
  <c r="AG1194" i="1"/>
  <c r="AG1608" i="1"/>
  <c r="AG478" i="1"/>
  <c r="AG2672" i="1"/>
  <c r="AG145" i="1"/>
  <c r="AG880" i="1"/>
  <c r="AG133" i="1"/>
  <c r="AG118" i="1"/>
  <c r="AG2564" i="1"/>
  <c r="AG2141" i="1"/>
  <c r="AG2253" i="1"/>
  <c r="AG1774" i="1"/>
  <c r="AG2479" i="1"/>
  <c r="AG2593" i="1"/>
  <c r="AG1534" i="1"/>
  <c r="AG2175" i="1"/>
  <c r="AG413" i="1"/>
  <c r="AG2332" i="1"/>
  <c r="AG456" i="1"/>
  <c r="AG2739" i="1"/>
  <c r="AG2127" i="1"/>
  <c r="AG1190" i="1"/>
  <c r="AG707" i="1"/>
  <c r="AG972" i="1"/>
  <c r="AG1956" i="1"/>
  <c r="AG2308" i="1"/>
  <c r="AG110" i="1"/>
  <c r="AG715" i="1"/>
  <c r="AG339" i="1"/>
  <c r="AG1967" i="1"/>
  <c r="AG787" i="1"/>
  <c r="AG2595" i="1"/>
  <c r="AG2396" i="1"/>
  <c r="AG1209" i="1"/>
  <c r="AG620" i="1"/>
  <c r="AG295" i="1"/>
  <c r="AG114" i="1"/>
  <c r="AG1641" i="1"/>
  <c r="AG745" i="1"/>
  <c r="AG1704" i="1"/>
  <c r="AG711" i="1"/>
  <c r="AG1801" i="1"/>
  <c r="AG548" i="1"/>
  <c r="AG278" i="1"/>
  <c r="AG2700" i="1"/>
  <c r="AG1102" i="1"/>
  <c r="AG1515" i="1"/>
  <c r="AG583" i="1"/>
  <c r="AG2289" i="1"/>
  <c r="AG2402" i="1"/>
  <c r="AG120" i="1"/>
  <c r="AG2129" i="1"/>
  <c r="AG1868" i="1"/>
  <c r="AG2345" i="1"/>
  <c r="AG2525" i="1"/>
  <c r="AG1536" i="1"/>
  <c r="AG202" i="1"/>
  <c r="AG106" i="1"/>
  <c r="AG661" i="1"/>
  <c r="AG2561" i="1"/>
  <c r="AG1754" i="1"/>
  <c r="AG889" i="1"/>
  <c r="AG1626" i="1"/>
  <c r="AG342" i="1"/>
  <c r="AG510" i="1"/>
  <c r="AG600" i="1"/>
  <c r="AG2650" i="1"/>
  <c r="AG1264" i="1"/>
  <c r="AG140" i="1"/>
  <c r="AG684" i="1"/>
  <c r="AG1108" i="1"/>
  <c r="AG1460" i="1"/>
  <c r="AG408" i="1"/>
  <c r="AG2718" i="1"/>
  <c r="AG1830" i="1"/>
  <c r="AG2180" i="1"/>
  <c r="AG1161" i="1"/>
  <c r="AG1092" i="1"/>
  <c r="AG1266" i="1"/>
  <c r="AG864" i="1"/>
  <c r="AG703" i="1"/>
  <c r="AG2766" i="1"/>
  <c r="AG655" i="1"/>
  <c r="AG1719" i="1"/>
  <c r="AG2348" i="1"/>
  <c r="AG425" i="1"/>
  <c r="AG1808" i="1"/>
  <c r="AG2406" i="1"/>
  <c r="AG1053" i="1"/>
  <c r="AG2337" i="1"/>
  <c r="AG2283" i="1"/>
  <c r="AG1741" i="1"/>
  <c r="AG2211" i="1"/>
  <c r="AG1350" i="1"/>
  <c r="AG1218" i="1"/>
  <c r="AG1149" i="1"/>
  <c r="AG1348" i="1"/>
  <c r="AG146" i="1"/>
  <c r="AG2454" i="1"/>
  <c r="AG1201" i="1"/>
  <c r="AG566" i="1"/>
  <c r="AG1706" i="1"/>
  <c r="AG739" i="1"/>
  <c r="AG2012" i="1"/>
  <c r="AG312" i="1"/>
  <c r="AG1175" i="1"/>
  <c r="AG2164" i="1"/>
  <c r="AG239" i="1"/>
  <c r="AG2219" i="1"/>
  <c r="AG1855" i="1"/>
  <c r="AG1333" i="1"/>
  <c r="AG1054" i="1"/>
  <c r="AG446" i="1"/>
  <c r="AG1684" i="1"/>
  <c r="AG483" i="1"/>
  <c r="AG1966" i="1"/>
  <c r="AG1803" i="1"/>
  <c r="AG2420" i="1"/>
  <c r="AG37" i="1"/>
  <c r="AG1654" i="1"/>
  <c r="AG1416" i="1"/>
  <c r="AG1619" i="1"/>
  <c r="AG887" i="1"/>
  <c r="AG734" i="1"/>
  <c r="AG685" i="1"/>
  <c r="AG747" i="1"/>
  <c r="AG1930" i="1"/>
  <c r="AG2149" i="1"/>
  <c r="AG741" i="1"/>
  <c r="AG1059" i="1"/>
  <c r="AG1113" i="1"/>
  <c r="AG599" i="1"/>
  <c r="AG1250" i="1"/>
  <c r="AG1410" i="1"/>
  <c r="AG1667" i="1"/>
  <c r="AG1859" i="1"/>
  <c r="AG1848" i="1"/>
  <c r="AG2617" i="1"/>
  <c r="AG1021" i="1"/>
  <c r="AG2309" i="1"/>
  <c r="AG166" i="1"/>
  <c r="AG995" i="1"/>
  <c r="AG1625" i="1"/>
  <c r="AG2369" i="1"/>
  <c r="AG922" i="1"/>
  <c r="AG1836" i="1"/>
  <c r="AG2692" i="1"/>
  <c r="AG1840" i="1"/>
  <c r="AG2023" i="1"/>
  <c r="AG2123" i="1"/>
  <c r="AG2455" i="1"/>
  <c r="AG1097" i="1"/>
  <c r="AG2347" i="1"/>
  <c r="AG2096" i="1"/>
  <c r="AG765" i="1"/>
  <c r="AG1881" i="1"/>
  <c r="AG959" i="1"/>
  <c r="AG1331" i="1"/>
  <c r="AG515" i="1"/>
  <c r="AG791" i="1"/>
  <c r="AG2082" i="1"/>
  <c r="AG858" i="1"/>
  <c r="AG751" i="1"/>
  <c r="AG2139" i="1"/>
  <c r="AG2333" i="1"/>
  <c r="AG598" i="1"/>
  <c r="AG2542" i="1"/>
  <c r="AG2545" i="1"/>
  <c r="AG513" i="1"/>
  <c r="AG1842" i="1"/>
  <c r="AG2389" i="1"/>
  <c r="AG1099" i="1"/>
  <c r="AG2482" i="1"/>
  <c r="AG639" i="1"/>
  <c r="AG2426" i="1"/>
  <c r="AG2515" i="1"/>
  <c r="AG377" i="1"/>
  <c r="AG2001" i="1"/>
  <c r="AG1998" i="1"/>
  <c r="AG1579" i="1"/>
  <c r="AG1044" i="1"/>
  <c r="AG1313" i="1"/>
  <c r="AG154" i="1"/>
  <c r="AG428" i="1"/>
  <c r="AG1776" i="1"/>
  <c r="AG1772" i="1"/>
  <c r="AG2208" i="1"/>
  <c r="AG1071" i="1"/>
  <c r="AG975" i="1"/>
  <c r="AG2069" i="1"/>
  <c r="AG980" i="1"/>
  <c r="AG500" i="1"/>
  <c r="AG1787" i="1"/>
  <c r="AG950" i="1"/>
  <c r="AG642" i="1"/>
  <c r="AG2395" i="1"/>
  <c r="AG2097" i="1"/>
  <c r="AG130" i="1"/>
  <c r="AG1272" i="1"/>
  <c r="AG502" i="1"/>
  <c r="AG1790" i="1"/>
  <c r="AG1722" i="1"/>
  <c r="AG1447" i="1"/>
  <c r="AG1341" i="1"/>
  <c r="AG1005" i="1"/>
  <c r="AG2251" i="1"/>
  <c r="AG2459" i="1"/>
  <c r="AG2636" i="1"/>
  <c r="AG1817" i="1"/>
  <c r="AG1374" i="1"/>
  <c r="AG2583" i="1"/>
  <c r="AG1635" i="1"/>
  <c r="AG1405" i="1"/>
  <c r="AG2124" i="1"/>
  <c r="AG2261" i="1"/>
  <c r="AG1301" i="1"/>
  <c r="AG1946" i="1"/>
  <c r="AG1516" i="1"/>
  <c r="AG677" i="1"/>
  <c r="AG453" i="1"/>
  <c r="AG790" i="1"/>
  <c r="AG2485" i="1"/>
  <c r="AG2613" i="1"/>
  <c r="AG1492" i="1"/>
  <c r="AG485" i="1"/>
  <c r="AG1886" i="1"/>
  <c r="AG2579" i="1"/>
  <c r="AG2328" i="1"/>
  <c r="AG1477" i="1"/>
  <c r="AG1468" i="1"/>
  <c r="AG2622" i="1"/>
  <c r="AG2375" i="1"/>
  <c r="AG1080" i="1"/>
  <c r="AG996" i="1"/>
  <c r="AG1223" i="1"/>
  <c r="AG2055" i="1"/>
  <c r="AG847" i="1"/>
  <c r="AG498" i="1"/>
  <c r="AG895" i="1"/>
  <c r="AG2607" i="1"/>
  <c r="AG1844" i="1"/>
  <c r="AG2269" i="1"/>
  <c r="AG793" i="1"/>
  <c r="AG901" i="1"/>
  <c r="AG593" i="1"/>
  <c r="AG1990" i="1"/>
  <c r="AG1002" i="1"/>
  <c r="AG1558" i="1"/>
  <c r="AG2716" i="1"/>
  <c r="AG2019" i="1"/>
  <c r="AG2431" i="1"/>
  <c r="AG1714" i="1"/>
  <c r="AG57" i="1"/>
  <c r="AG2729" i="1"/>
  <c r="AG2699" i="1"/>
  <c r="AG866" i="1"/>
  <c r="AG1491" i="1"/>
  <c r="AG2146" i="1"/>
  <c r="AG618" i="1"/>
  <c r="AG1095" i="1"/>
  <c r="AG115" i="1"/>
  <c r="AG1330" i="1"/>
  <c r="AG1316" i="1"/>
  <c r="AG746" i="1"/>
  <c r="AG1030" i="1"/>
  <c r="AG1571" i="1"/>
  <c r="AG2021" i="1"/>
  <c r="AG1553" i="1"/>
  <c r="AG102" i="1"/>
  <c r="AG564" i="1"/>
  <c r="AG482" i="1"/>
  <c r="AG86" i="1"/>
  <c r="AG29" i="1"/>
  <c r="AG2768" i="1"/>
  <c r="AG1688" i="1"/>
  <c r="AG610" i="1"/>
  <c r="AG2373" i="1"/>
  <c r="AG1037" i="1"/>
  <c r="AG2228" i="1"/>
  <c r="AG1530" i="1"/>
  <c r="AG971" i="1"/>
  <c r="AG59" i="1"/>
  <c r="AG2034" i="1"/>
  <c r="AG1761" i="1"/>
  <c r="AG1555" i="1"/>
  <c r="AG216" i="1"/>
  <c r="AG924" i="1"/>
  <c r="AG1630" i="1"/>
  <c r="AG702" i="1"/>
  <c r="AG1594" i="1"/>
  <c r="AG773" i="1"/>
  <c r="AG2468" i="1"/>
  <c r="AG2597" i="1"/>
  <c r="AG771" i="1"/>
  <c r="AG547" i="1"/>
  <c r="AG1386" i="1"/>
  <c r="AG2274" i="1"/>
  <c r="AG2504" i="1"/>
  <c r="AG1549" i="1"/>
  <c r="AG517" i="1"/>
  <c r="AG398" i="1"/>
  <c r="AG2596" i="1"/>
  <c r="AG2077" i="1"/>
  <c r="AG2239" i="1"/>
  <c r="AG2722" i="1"/>
  <c r="AG2362" i="1"/>
  <c r="AG1767" i="1"/>
  <c r="AG2774" i="1"/>
  <c r="AG560" i="1"/>
  <c r="AG1087" i="1"/>
  <c r="AG1399" i="1"/>
  <c r="AG1063" i="1"/>
  <c r="AG105" i="1"/>
  <c r="AG2404" i="1"/>
  <c r="AG2709" i="1"/>
  <c r="AG1417" i="1"/>
  <c r="AG2639" i="1"/>
  <c r="AG220" i="1"/>
  <c r="AG491" i="1"/>
  <c r="AG540" i="1"/>
  <c r="AG2325" i="1"/>
  <c r="AG1006" i="1"/>
  <c r="AG104" i="1"/>
  <c r="AG2719" i="1"/>
  <c r="AG263" i="1"/>
  <c r="AG2303" i="1"/>
  <c r="AG143" i="1"/>
  <c r="AG1085" i="1"/>
  <c r="AG2514" i="1"/>
  <c r="AG1200" i="1"/>
  <c r="AG421" i="1"/>
  <c r="AG341" i="1"/>
  <c r="AG319" i="1"/>
  <c r="AG652" i="1"/>
  <c r="AG1869" i="1"/>
  <c r="AG1431" i="1"/>
  <c r="AG1411" i="1"/>
  <c r="AG948" i="1"/>
  <c r="AG831" i="1"/>
  <c r="AG1074" i="1"/>
  <c r="AG1048" i="1"/>
  <c r="AG1474" i="1"/>
  <c r="AG899" i="1"/>
  <c r="AG181" i="1"/>
  <c r="AG1334" i="1"/>
  <c r="AG2661" i="1"/>
  <c r="AG344" i="1"/>
  <c r="AG919" i="1"/>
  <c r="AG1987" i="1"/>
  <c r="AG2444" i="1"/>
  <c r="AG2450" i="1"/>
  <c r="AG464" i="1"/>
  <c r="AG1511" i="1"/>
  <c r="AG2132" i="1"/>
  <c r="AG2134" i="1"/>
  <c r="AG1110" i="1"/>
  <c r="AG705" i="1"/>
  <c r="AG2244" i="1"/>
  <c r="AG2551" i="1"/>
  <c r="AG412" i="1"/>
  <c r="AG698" i="1"/>
  <c r="AG244" i="1"/>
  <c r="AG1827" i="1"/>
  <c r="AG285" i="1"/>
  <c r="AG1752" i="1"/>
  <c r="AG487" i="1"/>
  <c r="AG2296" i="1"/>
  <c r="AG2318" i="1"/>
  <c r="AG426" i="1"/>
  <c r="AG107" i="1"/>
  <c r="AG2495" i="1"/>
  <c r="AG1765" i="1"/>
  <c r="AG1098" i="1"/>
  <c r="AG1796" i="1"/>
  <c r="AG2205" i="1"/>
  <c r="AG570" i="1"/>
  <c r="AG1760" i="1"/>
  <c r="AG769" i="1"/>
  <c r="AG1528" i="1"/>
  <c r="AG504" i="1"/>
  <c r="AG956" i="1"/>
  <c r="AG1464" i="1"/>
  <c r="AG1389" i="1"/>
  <c r="AG2673" i="1"/>
  <c r="AG2671" i="1"/>
  <c r="AG1697" i="1"/>
  <c r="AG1245" i="1"/>
  <c r="AG845" i="1"/>
  <c r="AG2085" i="1"/>
  <c r="AG1681" i="1"/>
  <c r="AG2059" i="1"/>
  <c r="AG30" i="1"/>
  <c r="AG1804" i="1"/>
  <c r="AG1837" i="1"/>
  <c r="AG1371" i="1"/>
  <c r="AG1902" i="1"/>
  <c r="AG1488" i="1"/>
  <c r="AG951" i="1"/>
  <c r="AG2114" i="1"/>
  <c r="AG2641" i="1"/>
  <c r="AG1453" i="1"/>
  <c r="AG945" i="1"/>
  <c r="AG165" i="1"/>
  <c r="AG2553" i="1"/>
  <c r="AG1513" i="1"/>
  <c r="AG631" i="1"/>
  <c r="AG1763" i="1"/>
  <c r="AG1148" i="1"/>
  <c r="AG119" i="1"/>
  <c r="AG2590" i="1"/>
  <c r="AG296" i="1"/>
  <c r="AG1445" i="1"/>
  <c r="AG2295" i="1"/>
  <c r="AG885" i="1"/>
  <c r="AG345" i="1"/>
  <c r="AG726" i="1"/>
  <c r="AG2049" i="1"/>
  <c r="AG1708" i="1"/>
  <c r="AG2187" i="1"/>
  <c r="AG678" i="1"/>
  <c r="AG1467" i="1"/>
  <c r="AG161" i="1"/>
  <c r="AG1475" i="1"/>
  <c r="AG883" i="1"/>
  <c r="AG489" i="1"/>
  <c r="AG756" i="1"/>
  <c r="AG1159" i="1"/>
  <c r="AG304" i="1"/>
  <c r="AG700" i="1"/>
  <c r="AG1224" i="1"/>
  <c r="AG957" i="1"/>
  <c r="AG362" i="1"/>
  <c r="AG2580" i="1"/>
  <c r="AG2225" i="1"/>
  <c r="AG2196" i="1"/>
  <c r="AG2644" i="1"/>
  <c r="AG934" i="1"/>
  <c r="AG1432" i="1"/>
  <c r="AG1426" i="1"/>
  <c r="AG810" i="1"/>
  <c r="AG2611" i="1"/>
  <c r="AG2324" i="1"/>
  <c r="AG900" i="1"/>
  <c r="AG533" i="1"/>
  <c r="AG873" i="1"/>
  <c r="AG261" i="1"/>
  <c r="AG2178" i="1"/>
  <c r="AG2665" i="1"/>
  <c r="AG1833" i="1"/>
  <c r="AG1563" i="1"/>
  <c r="AG1905" i="1"/>
  <c r="AG1969" i="1"/>
  <c r="AG19" i="1"/>
  <c r="AG2155" i="1"/>
  <c r="AG349" i="1"/>
  <c r="AG2282" i="1"/>
  <c r="AG1738" i="1"/>
  <c r="AG2238" i="1"/>
  <c r="AG585" i="1"/>
  <c r="AG1825" i="1"/>
  <c r="AG692" i="1"/>
  <c r="AG1458" i="1"/>
  <c r="AG2390" i="1"/>
  <c r="AG2172" i="1"/>
  <c r="AG1106" i="1"/>
  <c r="AG556" i="1"/>
  <c r="AG1711" i="1"/>
  <c r="AG2434" i="1"/>
  <c r="AG1531" i="1"/>
  <c r="AG1547" i="1"/>
  <c r="AG1798" i="1"/>
  <c r="AG353" i="1"/>
  <c r="AG1227" i="1"/>
  <c r="AG1256" i="1"/>
  <c r="AG1155" i="1"/>
  <c r="AG779" i="1"/>
  <c r="AG1751" i="1"/>
  <c r="AG1917" i="1"/>
  <c r="AG978" i="1"/>
  <c r="AG1065" i="1"/>
  <c r="AG1846" i="1"/>
  <c r="AG1346" i="1"/>
  <c r="AG1196" i="1"/>
  <c r="AG1213" i="1"/>
  <c r="AG2232" i="1"/>
  <c r="AG532" i="1"/>
  <c r="AG1687" i="1"/>
  <c r="AG2558" i="1"/>
  <c r="AG128" i="1"/>
  <c r="AG874" i="1"/>
  <c r="AG49" i="1"/>
  <c r="AG354" i="1"/>
  <c r="AG92" i="1"/>
  <c r="AG854" i="1"/>
  <c r="AG2351" i="1"/>
  <c r="AG2206" i="1"/>
  <c r="AG1107" i="1"/>
  <c r="AG126" i="1"/>
  <c r="AG1181" i="1"/>
  <c r="AG1768" i="1"/>
  <c r="AG162" i="1"/>
  <c r="AG477" i="1"/>
  <c r="AG1779" i="1"/>
  <c r="AG1695" i="1"/>
  <c r="AG1514" i="1"/>
  <c r="AG2746" i="1"/>
  <c r="AG1670" i="1"/>
  <c r="AG2472" i="1"/>
  <c r="AG372" i="1"/>
  <c r="AG2477" i="1"/>
  <c r="AG2199" i="1"/>
  <c r="AG170" i="1"/>
  <c r="AG414" i="1"/>
  <c r="AG1575" i="1"/>
  <c r="AG2323" i="1"/>
  <c r="AG2235" i="1"/>
  <c r="AG1746" i="1"/>
  <c r="AG923" i="1"/>
  <c r="AG944" i="1"/>
  <c r="AG2728" i="1"/>
  <c r="AG755" i="1"/>
  <c r="AG10" i="1"/>
  <c r="AG558" i="1"/>
  <c r="AG1934" i="1"/>
  <c r="AG348" i="1"/>
  <c r="AG1064" i="1"/>
  <c r="AG1024" i="1"/>
  <c r="AG1457" i="1"/>
  <c r="AG518" i="1"/>
  <c r="AG940" i="1"/>
  <c r="AG262" i="1"/>
  <c r="AG2612" i="1"/>
  <c r="AG1067" i="1"/>
  <c r="AG1326" i="1"/>
  <c r="AG1542" i="1"/>
  <c r="AG1556" i="1"/>
  <c r="AG2075" i="1"/>
  <c r="AG2397" i="1"/>
  <c r="AG1217" i="1"/>
  <c r="AG1898" i="1"/>
  <c r="AG1731" i="1"/>
  <c r="AG1090" i="1"/>
  <c r="AG987" i="1"/>
  <c r="AG2437" i="1"/>
  <c r="AG926" i="1"/>
  <c r="AG313" i="1"/>
  <c r="AG401" i="1"/>
  <c r="AG634" i="1"/>
  <c r="AG150" i="1"/>
  <c r="AG512" i="1"/>
  <c r="AG1717" i="1"/>
  <c r="AG1919" i="1"/>
  <c r="AG1939" i="1"/>
  <c r="AG2403" i="1"/>
  <c r="AG1578" i="1"/>
  <c r="AG493" i="1"/>
  <c r="AG602" i="1"/>
  <c r="AG920" i="1"/>
  <c r="AG1169" i="1"/>
  <c r="AG1668" i="1"/>
  <c r="AG465" i="1"/>
  <c r="AG1088" i="1"/>
  <c r="AG2676" i="1"/>
  <c r="AG2247" i="1"/>
  <c r="AG2275" i="1"/>
  <c r="AG2017" i="1"/>
  <c r="AG946" i="1"/>
  <c r="AG291" i="1"/>
  <c r="AG1471" i="1"/>
  <c r="AG89" i="1"/>
  <c r="AG543" i="1"/>
  <c r="AG2153" i="1"/>
  <c r="AG2163" i="1"/>
  <c r="AG1812" i="1"/>
  <c r="AG495" i="1"/>
  <c r="AG2664" i="1"/>
  <c r="AG1973" i="1"/>
  <c r="AG2513" i="1"/>
  <c r="AG434" i="1"/>
  <c r="AG1737" i="1"/>
  <c r="AG1642" i="1"/>
  <c r="AG2578" i="1"/>
  <c r="AG519" i="1"/>
  <c r="AG407" i="1"/>
  <c r="AG654" i="1"/>
  <c r="AG2629" i="1"/>
  <c r="AG1406" i="1"/>
  <c r="AG863" i="1"/>
  <c r="AG961" i="1"/>
  <c r="AG1564" i="1"/>
  <c r="AG1347" i="1"/>
  <c r="AG557" i="1"/>
  <c r="AG497" i="1"/>
  <c r="AG659" i="1"/>
  <c r="AG2116" i="1"/>
  <c r="AG1903" i="1"/>
  <c r="AG2144" i="1"/>
  <c r="AG2555" i="1"/>
  <c r="AG2669" i="1"/>
  <c r="AG542" i="1"/>
  <c r="AG811" i="1"/>
  <c r="AG1656" i="1"/>
  <c r="AG381" i="1"/>
  <c r="AG2628" i="1"/>
  <c r="AG289" i="1"/>
  <c r="AG1104" i="1"/>
  <c r="AG1529" i="1"/>
  <c r="AG1599" i="1"/>
  <c r="AG494" i="1"/>
  <c r="AG801" i="1"/>
  <c r="AG479" i="1"/>
  <c r="AG302" i="1"/>
  <c r="AG332" i="1"/>
  <c r="AG1014" i="1"/>
  <c r="AG1628" i="1"/>
  <c r="AG2265" i="1"/>
  <c r="AG1743" i="1"/>
  <c r="AG1418" i="1"/>
  <c r="AG315" i="1"/>
  <c r="AG1146" i="1"/>
  <c r="AG463" i="1"/>
  <c r="AG1176" i="1"/>
  <c r="AG2458" i="1"/>
  <c r="AG1959" i="1"/>
  <c r="AG1050" i="1"/>
  <c r="AG1007" i="1"/>
  <c r="AG311" i="1"/>
  <c r="AG1238" i="1"/>
  <c r="AG2417" i="1"/>
  <c r="AG392" i="1"/>
  <c r="AG1730" i="1"/>
  <c r="AG2200" i="1"/>
  <c r="AG643" i="1"/>
  <c r="AG1255" i="1"/>
  <c r="AG21" i="1"/>
  <c r="AG511" i="1"/>
  <c r="AG2313" i="1"/>
  <c r="AG2658" i="1"/>
  <c r="AG256" i="1"/>
  <c r="AG1023" i="1"/>
  <c r="AG122" i="1"/>
  <c r="AG1318" i="1"/>
  <c r="AG2407" i="1"/>
  <c r="AG2246" i="1"/>
  <c r="AG274" i="1"/>
  <c r="AG1588" i="1"/>
  <c r="AG2353" i="1"/>
  <c r="AG1977" i="1"/>
  <c r="AG1379" i="1"/>
  <c r="AG1794" i="1"/>
  <c r="AG221" i="1"/>
  <c r="AG320" i="1"/>
  <c r="AG2399" i="1"/>
  <c r="AG2422" i="1"/>
  <c r="AG1605" i="1"/>
  <c r="AG1924" i="1"/>
  <c r="AG1187" i="1"/>
  <c r="AG1342" i="1"/>
  <c r="AG2465" i="1"/>
  <c r="AG569" i="1"/>
  <c r="AG2093" i="1"/>
  <c r="AG2646" i="1"/>
  <c r="AG1055" i="1"/>
  <c r="AG2193" i="1"/>
  <c r="AG2631" i="1"/>
  <c r="AG1299" i="1"/>
  <c r="AG2527" i="1"/>
  <c r="AG77" i="1"/>
  <c r="AG1942" i="1"/>
  <c r="AG1369" i="1"/>
  <c r="AG153" i="1"/>
  <c r="AG818" i="1"/>
  <c r="AG2359" i="1"/>
  <c r="AG229" i="1"/>
  <c r="AG2614" i="1"/>
  <c r="AG1493" i="1"/>
  <c r="AG2330" i="1"/>
  <c r="AG321" i="1"/>
  <c r="AG2174" i="1"/>
  <c r="AG1413" i="1"/>
  <c r="AG223" i="1"/>
  <c r="AG1337" i="1"/>
  <c r="AG2370" i="1"/>
  <c r="AG382" i="1"/>
  <c r="AG2322" i="1"/>
  <c r="AG1566" i="1"/>
  <c r="AG1040" i="1"/>
  <c r="AG1682" i="1"/>
  <c r="AG967" i="1"/>
  <c r="AG1300" i="1"/>
  <c r="AG2767" i="1"/>
  <c r="AG435" i="1"/>
  <c r="AG1428" i="1"/>
  <c r="AG1750" i="1"/>
  <c r="AG2046" i="1"/>
  <c r="AG410" i="1"/>
  <c r="AG225" i="1"/>
  <c r="AG1862" i="1"/>
  <c r="AG2279" i="1"/>
  <c r="AG460" i="1"/>
  <c r="AG2260" i="1"/>
  <c r="AG611" i="1"/>
  <c r="AG689" i="1"/>
  <c r="AG1344" i="1"/>
  <c r="AG135" i="1"/>
  <c r="AG1663" i="1"/>
  <c r="AG964" i="1"/>
  <c r="AG1603" i="1"/>
  <c r="AG1632" i="1"/>
  <c r="AG1936" i="1"/>
  <c r="AG817" i="1"/>
  <c r="AG219" i="1"/>
  <c r="AG99" i="1"/>
  <c r="AG1728" i="1"/>
  <c r="AG1039" i="1"/>
  <c r="AG1419" i="1"/>
  <c r="AG1543" i="1"/>
  <c r="AG2192" i="1"/>
  <c r="AG1606" i="1"/>
  <c r="AG2654" i="1"/>
  <c r="AG1144" i="1"/>
  <c r="AG1332" i="1"/>
  <c r="AG155" i="1"/>
  <c r="AG2562" i="1"/>
  <c r="AG323" i="1"/>
  <c r="AG242" i="1"/>
  <c r="AG2499" i="1"/>
  <c r="AG1701" i="1"/>
  <c r="AG2724" i="1"/>
  <c r="AG215" i="1"/>
  <c r="AG859" i="1"/>
  <c r="AG1709" i="1"/>
  <c r="AG2507" i="1"/>
  <c r="AG2652" i="1"/>
  <c r="AG2765" i="1"/>
  <c r="AG1800" i="1"/>
  <c r="AG1156" i="1"/>
  <c r="AG1137" i="1"/>
  <c r="AG1811" i="1"/>
  <c r="AG762" i="1"/>
  <c r="AG2120" i="1"/>
  <c r="AG1949" i="1"/>
  <c r="AG2076" i="1"/>
  <c r="AG1436" i="1"/>
  <c r="AG2307" i="1"/>
  <c r="AG24" i="1"/>
  <c r="AG2016" i="1"/>
  <c r="AG1358" i="1"/>
  <c r="AG138" i="1"/>
  <c r="AG433" i="1"/>
  <c r="AG544" i="1"/>
  <c r="AG2720" i="1"/>
  <c r="AG2050" i="1"/>
  <c r="AG1504" i="1"/>
  <c r="AG1771" i="1"/>
  <c r="AG1343" i="1"/>
  <c r="AG50" i="1"/>
  <c r="AG1843" i="1"/>
  <c r="AG9" i="1"/>
  <c r="AG1561" i="1"/>
  <c r="AG203" i="1"/>
  <c r="AG325" i="1"/>
  <c r="AG228" i="1"/>
  <c r="AG1943" i="1"/>
  <c r="AG1539" i="1"/>
  <c r="AG1786" i="1"/>
  <c r="AG973" i="1"/>
  <c r="AG2560" i="1"/>
  <c r="AG1188" i="1"/>
  <c r="AG776" i="1"/>
  <c r="AG688" i="1"/>
  <c r="AG2195" i="1"/>
  <c r="AG1888" i="1"/>
  <c r="AG1117" i="1"/>
  <c r="AG1624" i="1"/>
  <c r="AG1422" i="1"/>
  <c r="AG2027" i="1"/>
  <c r="AG32" i="1"/>
  <c r="AG2511" i="1"/>
  <c r="AG2329" i="1"/>
  <c r="AG770" i="1"/>
  <c r="AG852" i="1"/>
  <c r="AG399" i="1"/>
  <c r="AG441" i="1"/>
  <c r="AG2331" i="1"/>
  <c r="AG1583" i="1"/>
  <c r="AG299" i="1"/>
  <c r="AG989" i="1"/>
  <c r="AG2478" i="1"/>
  <c r="AG127" i="1"/>
  <c r="AG277" i="1"/>
  <c r="AG2316" i="1"/>
  <c r="AG452" i="1"/>
  <c r="AG958" i="1"/>
  <c r="AG2568" i="1"/>
  <c r="AG1976" i="1"/>
  <c r="AG2387" i="1"/>
  <c r="AG2557" i="1"/>
  <c r="AG5" i="1"/>
  <c r="AG1785" i="1"/>
  <c r="AG2779" i="1"/>
  <c r="AG268" i="1"/>
  <c r="AG1265" i="1"/>
  <c r="AG582" i="1"/>
  <c r="AG1260" i="1"/>
  <c r="AG2706" i="1"/>
  <c r="AG2764" i="1"/>
  <c r="AG802" i="1"/>
  <c r="AG1499" i="1"/>
  <c r="AG492" i="1"/>
  <c r="AG1907" i="1"/>
  <c r="AG1089" i="1"/>
  <c r="AG1112" i="1"/>
  <c r="AG1995" i="1"/>
  <c r="AG2663" i="1"/>
  <c r="AG604" i="1"/>
  <c r="AG1940" i="1"/>
  <c r="AG1621" i="1"/>
  <c r="AG1847" i="1"/>
  <c r="AG1981" i="1"/>
  <c r="AG1116" i="1"/>
  <c r="AG1463" i="1"/>
  <c r="AG501" i="1"/>
  <c r="AG1162" i="1"/>
  <c r="AG364" i="1"/>
  <c r="AG182" i="1"/>
  <c r="AG53" i="1"/>
  <c r="AG507" i="1"/>
  <c r="AG1296" i="1"/>
  <c r="AG2065" i="1"/>
  <c r="AG1878" i="1"/>
  <c r="AG71" i="1"/>
  <c r="AG1497" i="1"/>
  <c r="AG8" i="1"/>
  <c r="AG2524" i="1"/>
  <c r="AG1879" i="1"/>
  <c r="AG234" i="1"/>
  <c r="AG523" i="1"/>
  <c r="AG2154" i="1"/>
  <c r="AG662" i="1"/>
  <c r="AG1721" i="1"/>
  <c r="AG1723" i="1"/>
  <c r="AG1876" i="1"/>
  <c r="AG2675" i="1"/>
  <c r="AG1640" i="1"/>
  <c r="AG1335" i="1"/>
  <c r="AG912" i="1"/>
  <c r="AG1160" i="1"/>
  <c r="AG2496" i="1"/>
  <c r="AG2022" i="1"/>
  <c r="AG1378" i="1"/>
  <c r="AG1282" i="1"/>
  <c r="AG2202" i="1"/>
  <c r="AG1766" i="1"/>
  <c r="AG1091" i="1"/>
  <c r="AG815" i="1"/>
  <c r="AG298" i="1"/>
  <c r="AG2029" i="1"/>
  <c r="AG822" i="1"/>
  <c r="AG1119" i="1"/>
  <c r="AG1268" i="1"/>
  <c r="AG336" i="1"/>
  <c r="AG2122" i="1"/>
  <c r="AG2342" i="1"/>
  <c r="AG2763" i="1"/>
  <c r="AG141" i="1"/>
  <c r="AG2182" i="1"/>
  <c r="AG2508" i="1"/>
  <c r="AG25" i="1"/>
  <c r="AG2006" i="1"/>
  <c r="AG281" i="1"/>
  <c r="AG2438" i="1"/>
  <c r="AG1753" i="1"/>
  <c r="AG529" i="1"/>
  <c r="AG733" i="1"/>
  <c r="AG1612" i="1"/>
  <c r="AG838" i="1"/>
  <c r="AG1354" i="1"/>
  <c r="AG1658" i="1"/>
  <c r="AG902" i="1"/>
  <c r="AG679" i="1"/>
  <c r="AG2566" i="1"/>
  <c r="AG881" i="1"/>
  <c r="AG551" i="1"/>
  <c r="AG606" i="1"/>
  <c r="AG1496" i="1"/>
  <c r="AG577" i="1"/>
  <c r="AG2367" i="1"/>
  <c r="AG1450" i="1"/>
  <c r="AG2136" i="1"/>
  <c r="AG595" i="1"/>
  <c r="AG724" i="1"/>
  <c r="AG88" i="1"/>
  <c r="AG1126" i="1"/>
  <c r="AG1925" i="1"/>
  <c r="AG521" i="1"/>
  <c r="AG1362" i="1"/>
  <c r="AG752" i="1"/>
  <c r="AG2544" i="1"/>
  <c r="AG2666" i="1"/>
  <c r="AG1896" i="1"/>
  <c r="AG2592" i="1"/>
  <c r="AG613" i="1"/>
  <c r="AG2635" i="1"/>
  <c r="AG1008" i="1"/>
  <c r="AG1783" i="1"/>
  <c r="AG462" i="1"/>
  <c r="AG1026" i="1"/>
  <c r="AG697" i="1"/>
  <c r="AG44" i="1"/>
  <c r="AG663" i="1"/>
  <c r="AG1522" i="1"/>
  <c r="AG2105" i="1"/>
  <c r="AG1742" i="1"/>
  <c r="AG1582" i="1"/>
  <c r="AG245" i="1"/>
  <c r="AG189" i="1"/>
  <c r="AG2415" i="1"/>
  <c r="AG1762" i="1"/>
  <c r="AG2382" i="1"/>
  <c r="AG197" i="1"/>
  <c r="AG1890" i="1"/>
  <c r="AG1874" i="1"/>
  <c r="AG2681" i="1"/>
  <c r="AG1807" i="1"/>
  <c r="AG357" i="1"/>
  <c r="AG1735" i="1"/>
  <c r="AG2586" i="1"/>
  <c r="AG356" i="1"/>
  <c r="AG2526" i="1"/>
  <c r="AG2156" i="1"/>
  <c r="AG1076" i="1"/>
  <c r="AG1613" i="1"/>
  <c r="AG1601" i="1"/>
  <c r="AG1205" i="1"/>
  <c r="AG43" i="1"/>
  <c r="AG1197" i="1"/>
  <c r="AG297" i="1"/>
  <c r="AG2087" i="1"/>
  <c r="AG1034" i="1"/>
  <c r="AG658" i="1"/>
  <c r="AG2457" i="1"/>
  <c r="AG405" i="1"/>
  <c r="AG1968" i="1"/>
  <c r="AG2731" i="1"/>
  <c r="AG484" i="1"/>
  <c r="AG85" i="1"/>
  <c r="AG1058" i="1"/>
  <c r="AG1926" i="1"/>
  <c r="AG167" i="1"/>
  <c r="AG2712" i="1"/>
  <c r="AG1882" i="1"/>
  <c r="AG384" i="1"/>
  <c r="AG324" i="1"/>
  <c r="AG2090" i="1"/>
  <c r="AG1573" i="1"/>
  <c r="AG539" i="1"/>
  <c r="AG717" i="1"/>
  <c r="AG358" i="1"/>
  <c r="AG2435" i="1"/>
  <c r="AG1676" i="1"/>
  <c r="AG2045" i="1"/>
  <c r="AG112" i="1"/>
  <c r="AG1305" i="1"/>
  <c r="AG1310" i="1"/>
  <c r="AG2533" i="1"/>
  <c r="AG2500" i="1"/>
  <c r="AG1559" i="1"/>
  <c r="AG588" i="1"/>
  <c r="AG379" i="1"/>
  <c r="AG1206" i="1"/>
  <c r="AG749" i="1"/>
  <c r="AG921" i="1"/>
  <c r="AG567" i="1"/>
  <c r="AG608" i="1"/>
  <c r="AG1524" i="1"/>
  <c r="AG993" i="1"/>
  <c r="AG1233" i="1"/>
  <c r="AG1589" i="1"/>
  <c r="AG2044" i="1"/>
  <c r="AG727" i="1"/>
  <c r="AG1991" i="1"/>
  <c r="AG710" i="1"/>
  <c r="AG2110" i="1"/>
  <c r="AG953" i="1"/>
  <c r="AG124" i="1"/>
  <c r="AG365" i="1"/>
  <c r="AG2698" i="1"/>
  <c r="AG248" i="1"/>
  <c r="AG430" i="1"/>
  <c r="AG2292" i="1"/>
  <c r="AG2683" i="1"/>
  <c r="AG1983" i="1"/>
  <c r="AG1121" i="1"/>
  <c r="AG2540" i="1"/>
  <c r="AG58" i="1"/>
  <c r="AG2440" i="1"/>
  <c r="AG490" i="1"/>
  <c r="AG2448" i="1"/>
  <c r="AG95" i="1"/>
  <c r="AG1042" i="1"/>
  <c r="AG2166" i="1"/>
  <c r="AG385" i="1"/>
  <c r="AG2776" i="1"/>
  <c r="AG674" i="1"/>
  <c r="AG222" i="1"/>
  <c r="AG2176" i="1"/>
  <c r="AG367" i="1"/>
  <c r="AG2224" i="1"/>
  <c r="AG1103" i="1"/>
  <c r="AG1810" i="1"/>
  <c r="AG1029" i="1"/>
  <c r="AG1173" i="1"/>
  <c r="AG1328" i="1"/>
  <c r="AG2212" i="1"/>
  <c r="AG2530" i="1"/>
  <c r="AG965" i="1"/>
  <c r="AG1648" i="1"/>
  <c r="AG361" i="1"/>
  <c r="AG1928" i="1"/>
  <c r="AG910" i="1"/>
  <c r="AG1456" i="1"/>
  <c r="AG2618" i="1"/>
  <c r="AG644" i="1"/>
  <c r="AG2281" i="1"/>
  <c r="AG983" i="1"/>
  <c r="AG891" i="1"/>
  <c r="AG1166" i="1"/>
  <c r="AG808" i="1"/>
  <c r="AG284" i="1"/>
  <c r="AG963" i="1"/>
  <c r="AG2109" i="1"/>
  <c r="AG720" i="1"/>
  <c r="AG955" i="1"/>
  <c r="AG2363" i="1"/>
  <c r="AG1356" i="1"/>
  <c r="AG2004" i="1"/>
  <c r="AG416" i="1"/>
  <c r="AG2352" i="1"/>
  <c r="AG1449" i="1"/>
  <c r="AG1028" i="1"/>
  <c r="AG904" i="1"/>
  <c r="AG1221" i="1"/>
  <c r="AG2490" i="1"/>
  <c r="AG2298" i="1"/>
  <c r="AG2522" i="1"/>
  <c r="AG1645" i="1"/>
  <c r="AG1489" i="1"/>
  <c r="AG1486" i="1"/>
  <c r="AG979" i="1"/>
  <c r="AG308" i="1"/>
  <c r="AG2168" i="1"/>
  <c r="AG1997" i="1"/>
  <c r="AG1323" i="1"/>
  <c r="AG2112" i="1"/>
  <c r="AG1863" i="1"/>
  <c r="AG347" i="1"/>
  <c r="AG1446" i="1"/>
  <c r="AG1669" i="1"/>
  <c r="AG300" i="1"/>
  <c r="AG1012" i="1"/>
  <c r="AG1295" i="1"/>
  <c r="AG243" i="1"/>
  <c r="AG2756" i="1"/>
  <c r="AG2620" i="1"/>
  <c r="AG1509" i="1"/>
  <c r="AG1910" i="1"/>
  <c r="AG612" i="1"/>
  <c r="AG1797" i="1"/>
  <c r="AG2043" i="1"/>
  <c r="AG2447" i="1"/>
  <c r="AG2408" i="1"/>
  <c r="AG2577" i="1"/>
  <c r="AG111" i="1"/>
  <c r="AG1685" i="1"/>
  <c r="AG2273" i="1"/>
  <c r="AG2788" i="1"/>
  <c r="AG2725" i="1"/>
  <c r="AG1199" i="1"/>
  <c r="AG331" i="1"/>
  <c r="AG1698" i="1"/>
  <c r="AG208" i="1"/>
  <c r="AG2335" i="1"/>
  <c r="AG69" i="1"/>
  <c r="AG933" i="1"/>
  <c r="AG2442" i="1"/>
  <c r="AG2740" i="1"/>
  <c r="AG2567" i="1"/>
  <c r="AG100" i="1"/>
  <c r="AG1303" i="1"/>
  <c r="AG571" i="1"/>
  <c r="AG2266" i="1"/>
  <c r="AG1035" i="1"/>
  <c r="AG1249" i="1"/>
  <c r="AG2157" i="1"/>
  <c r="AG2734" i="1"/>
  <c r="AG591" i="1"/>
  <c r="AG1070" i="1"/>
  <c r="AG2795" i="1"/>
  <c r="AG2393" i="1"/>
  <c r="AG2113" i="1"/>
  <c r="AG1077" i="1"/>
  <c r="AG1184" i="1"/>
  <c r="AG82" i="1"/>
  <c r="AG680" i="1"/>
  <c r="AG2598" i="1"/>
  <c r="AG706" i="1"/>
  <c r="AG470" i="1"/>
  <c r="AG279" i="1"/>
  <c r="AG1214" i="1"/>
  <c r="AG2648" i="1"/>
  <c r="AG34" i="1"/>
  <c r="AG905" i="1"/>
  <c r="AG1240" i="1"/>
  <c r="AG1660" i="1"/>
  <c r="AG1302" i="1"/>
  <c r="AG617" i="1"/>
  <c r="AG666" i="1"/>
  <c r="AG1729" i="1"/>
  <c r="AG2738" i="1"/>
  <c r="AG96" i="1"/>
  <c r="AG322" i="1"/>
  <c r="AG1517" i="1"/>
  <c r="AG1657" i="1"/>
  <c r="AG2354" i="1"/>
  <c r="AG1819" i="1"/>
  <c r="AG1820" i="1"/>
  <c r="AG1472" i="1"/>
  <c r="AG468" i="1"/>
  <c r="AG149" i="1"/>
  <c r="AG1699" i="1"/>
  <c r="AG2148" i="1"/>
  <c r="AG1377" i="1"/>
  <c r="AG436" i="1"/>
  <c r="AG667" i="1"/>
  <c r="AG2314" i="1"/>
  <c r="AG1747" i="1"/>
  <c r="AG1631" i="1"/>
  <c r="AG62" i="1"/>
  <c r="AG1396" i="1"/>
  <c r="AG2041" i="1"/>
  <c r="AG1429" i="1"/>
  <c r="AG343" i="1"/>
  <c r="AG718" i="1"/>
  <c r="AG1043" i="1"/>
  <c r="AG694" i="1"/>
  <c r="AG2449" i="1"/>
  <c r="AG759" i="1"/>
  <c r="AG645" i="1"/>
  <c r="AG1336" i="1"/>
  <c r="AG780" i="1"/>
  <c r="AG1795" i="1"/>
  <c r="AG288" i="1"/>
  <c r="AG2425" i="1"/>
  <c r="AG1574" i="1"/>
  <c r="AG514" i="1"/>
  <c r="AG764" i="1"/>
  <c r="AG2576" i="1"/>
  <c r="AG168" i="1"/>
  <c r="AG2528" i="1"/>
  <c r="AG673" i="1"/>
  <c r="AG1993" i="1"/>
  <c r="AG1512" i="1"/>
  <c r="AG198" i="1"/>
  <c r="AG1230" i="1"/>
  <c r="AG777" i="1"/>
  <c r="AG1596" i="1"/>
  <c r="AG2014" i="1"/>
  <c r="AG941" i="1"/>
  <c r="AG526" i="1"/>
  <c r="AG2255" i="1"/>
  <c r="AG1479" i="1"/>
  <c r="AG2451" i="1"/>
  <c r="AG2453" i="1"/>
  <c r="AG767" i="1"/>
  <c r="AG46" i="1"/>
  <c r="AG549" i="1"/>
  <c r="AG2167" i="1"/>
  <c r="AG1858" i="1"/>
  <c r="AG371" i="1"/>
  <c r="AG760" i="1"/>
  <c r="AG66" i="1"/>
  <c r="AG1551" i="1"/>
  <c r="AG2302" i="1"/>
  <c r="AG217" i="1"/>
  <c r="AG1867" i="1"/>
  <c r="AG2306" i="1"/>
  <c r="AG1773" i="1"/>
  <c r="AG708" i="1"/>
  <c r="AG1789" i="1"/>
  <c r="AG506" i="1"/>
  <c r="AG2743" i="1"/>
  <c r="AG1856" i="1"/>
  <c r="AG178" i="1"/>
  <c r="AG798" i="1"/>
  <c r="AG1003" i="1"/>
  <c r="AG2270" i="1"/>
  <c r="AG1322" i="1"/>
  <c r="AG927" i="1"/>
  <c r="AG819" i="1"/>
  <c r="AG1351" i="1"/>
  <c r="AG2445" i="1"/>
  <c r="AG1813" i="1"/>
  <c r="AG1705" i="1"/>
  <c r="AG1191" i="1"/>
  <c r="AG805" i="1"/>
  <c r="AG2632" i="1"/>
  <c r="AG404" i="1"/>
  <c r="AG839" i="1"/>
  <c r="AG840" i="1"/>
  <c r="AG496" i="1"/>
  <c r="AG1274" i="1"/>
  <c r="AG2753" i="1"/>
  <c r="AG1759" i="1"/>
  <c r="AG1935" i="1"/>
  <c r="AG573" i="1"/>
  <c r="AG1586" i="1"/>
  <c r="AG1171" i="1"/>
  <c r="AG1131" i="1"/>
  <c r="AG2550" i="1"/>
  <c r="AG2095" i="1"/>
  <c r="AG1970" i="1"/>
  <c r="AG997" i="1"/>
  <c r="AG1832" i="1"/>
  <c r="AG865" i="1"/>
  <c r="AG2271" i="1"/>
  <c r="AG2250" i="1"/>
  <c r="AG1649" i="1"/>
  <c r="AG2299" i="1"/>
  <c r="AG894" i="1"/>
  <c r="AG1069" i="1"/>
  <c r="AG1673" i="1"/>
  <c r="AG1733" i="1"/>
  <c r="AG1393" i="1"/>
  <c r="AG2649" i="1"/>
  <c r="AG2084" i="1"/>
  <c r="AG67" i="1"/>
  <c r="AG374" i="1"/>
  <c r="AG1849" i="1"/>
  <c r="AG1276" i="1"/>
  <c r="AG2428" i="1"/>
  <c r="AG2215" i="1"/>
  <c r="AG1523" i="1"/>
  <c r="AG1597" i="1"/>
  <c r="AG1480" i="1"/>
  <c r="AG1010" i="1"/>
  <c r="AG1114" i="1"/>
  <c r="AG575" i="1"/>
  <c r="AG633" i="1"/>
  <c r="AG1481" i="1"/>
  <c r="AG1948" i="1"/>
  <c r="AG670" i="1"/>
  <c r="AG2135" i="1"/>
  <c r="AG2789" i="1"/>
  <c r="AG2092" i="1"/>
  <c r="AG1818" i="1"/>
  <c r="AG1228" i="1"/>
  <c r="AG1412" i="1"/>
  <c r="AG1020" i="1"/>
  <c r="AG1297" i="1"/>
  <c r="AG2264" i="1"/>
  <c r="AG2190" i="1"/>
  <c r="AG1873" i="1"/>
  <c r="AG52" i="1"/>
  <c r="AG196" i="1"/>
  <c r="AG1011" i="1"/>
  <c r="AG508" i="1"/>
  <c r="AG403" i="1"/>
  <c r="AG1017" i="1"/>
  <c r="AG2484" i="1"/>
  <c r="AG1770" i="1"/>
  <c r="AG781" i="1"/>
  <c r="AG2463" i="1"/>
  <c r="AG2441" i="1"/>
  <c r="AG1885" i="1"/>
  <c r="AG2547" i="1"/>
  <c r="AG1283" i="1"/>
  <c r="AG1207" i="1"/>
  <c r="AG1049" i="1"/>
  <c r="AG2381" i="1"/>
  <c r="AG1821" i="1"/>
  <c r="AG31" i="1"/>
  <c r="AG998" i="1"/>
  <c r="AG2214" i="1"/>
  <c r="AG201" i="1"/>
  <c r="AG1609" i="1"/>
  <c r="AG796" i="1"/>
  <c r="AG1226" i="1"/>
  <c r="AG775" i="1"/>
  <c r="AG303" i="1"/>
  <c r="AG2730" i="1"/>
  <c r="AG1327" i="1"/>
  <c r="AG2470" i="1"/>
  <c r="AG2793" i="1"/>
  <c r="AG1975" i="1"/>
  <c r="AG2030" i="1"/>
  <c r="AG2643" i="1"/>
  <c r="AG1923" i="1"/>
  <c r="AG431" i="1"/>
  <c r="AG1093" i="1"/>
  <c r="AG2400" i="1"/>
  <c r="AG848" i="1"/>
  <c r="AG809" i="1"/>
  <c r="AG984" i="1"/>
  <c r="AG2311" i="1"/>
  <c r="AG2446" i="1"/>
  <c r="AG1985" i="1"/>
  <c r="AG1577" i="1"/>
  <c r="AG1236" i="1"/>
  <c r="AG800" i="1"/>
  <c r="AG147" i="1"/>
  <c r="AG2107" i="1"/>
  <c r="AG1476" i="1"/>
  <c r="AG75" i="1"/>
  <c r="AG1604" i="1"/>
  <c r="AG1933" i="1"/>
  <c r="AG1927" i="1"/>
  <c r="AG2374" i="1"/>
  <c r="AG1385" i="1"/>
  <c r="AG939" i="1"/>
  <c r="AG1473" i="1"/>
  <c r="AG2230" i="1"/>
  <c r="AG236" i="1"/>
  <c r="AG1637" i="1"/>
  <c r="AG828" i="1"/>
  <c r="AG814" i="1"/>
  <c r="AG907" i="1"/>
  <c r="AG2510" i="1"/>
  <c r="AG1163" i="1"/>
  <c r="AG2152" i="1"/>
  <c r="AG789" i="1"/>
  <c r="AG1872" i="1"/>
  <c r="AG247" i="1"/>
  <c r="AG1248" i="1"/>
  <c r="AG1544" i="1"/>
  <c r="AG546" i="1"/>
  <c r="AG205" i="1"/>
  <c r="AG535" i="1"/>
  <c r="AG837" i="1"/>
  <c r="AG432" i="1"/>
  <c r="AG915" i="1"/>
  <c r="AG2575" i="1"/>
  <c r="AG183" i="1"/>
  <c r="AG1548" i="1"/>
  <c r="AG2630" i="1"/>
  <c r="AG1135" i="1"/>
  <c r="AG1000" i="1"/>
  <c r="AG396" i="1"/>
  <c r="AG1440" i="1"/>
  <c r="AG2624" i="1"/>
  <c r="AG1222" i="1"/>
  <c r="AG2749" i="1"/>
  <c r="AG966" i="1"/>
  <c r="AG2786" i="1"/>
  <c r="AG2694" i="1"/>
  <c r="AG587" i="1"/>
  <c r="AG363" i="1"/>
  <c r="AG266" i="1"/>
  <c r="AG623" i="1"/>
  <c r="AG125" i="1"/>
  <c r="AG1036" i="1"/>
  <c r="AG2531" i="1"/>
  <c r="AG1275" i="1"/>
  <c r="AG1537" i="1"/>
  <c r="AG2099" i="1"/>
  <c r="AG136" i="1"/>
  <c r="AG1231" i="1"/>
  <c r="AG2388" i="1"/>
  <c r="AG1908" i="1"/>
  <c r="AG2747" i="1"/>
  <c r="AG2637" i="1"/>
  <c r="AG257" i="1"/>
  <c r="AG1339" i="1"/>
  <c r="AG553" i="1"/>
  <c r="AG1433" i="1"/>
  <c r="AG2616" i="1"/>
  <c r="AG1912" i="1"/>
  <c r="AG163" i="1"/>
  <c r="AG1622" i="1"/>
  <c r="AG1455" i="1"/>
  <c r="AG1675" i="1"/>
  <c r="AG1982" i="1"/>
  <c r="AG607" i="1"/>
  <c r="AG2058" i="1"/>
  <c r="AG990" i="1"/>
  <c r="AG2067" i="1"/>
  <c r="AG1186" i="1"/>
  <c r="AG1041" i="1"/>
  <c r="AG1139" i="1"/>
  <c r="AG1823" i="1"/>
  <c r="AG725" i="1"/>
  <c r="AG2386" i="1"/>
  <c r="AG207" i="1"/>
  <c r="AG2770" i="1"/>
  <c r="AG2305" i="1"/>
  <c r="AG1607" i="1"/>
  <c r="AG2783" i="1"/>
  <c r="AG2653" i="1"/>
  <c r="AG1306" i="1"/>
  <c r="AG269" i="1"/>
  <c r="AG2602" i="1"/>
  <c r="AG714" i="1"/>
  <c r="AG351" i="1"/>
  <c r="AG1124" i="1"/>
  <c r="AG1123" i="1"/>
  <c r="AG2356" i="1"/>
  <c r="AG1585" i="1"/>
  <c r="AG2018" i="1"/>
  <c r="AG2341" i="1"/>
  <c r="AG1913" i="1"/>
  <c r="AG199" i="1"/>
  <c r="AG2736" i="1"/>
  <c r="AG2276" i="1"/>
  <c r="AG1312" i="1"/>
  <c r="AG916" i="1"/>
  <c r="AG1732" i="1"/>
  <c r="AG832" i="1"/>
  <c r="AG1382" i="1"/>
  <c r="AG81" i="1"/>
  <c r="AG427" i="1"/>
  <c r="AG884" i="1"/>
  <c r="AG554" i="1"/>
  <c r="AG1376" i="1"/>
  <c r="AG2537" i="1"/>
  <c r="AG1769" i="1"/>
  <c r="AG1937" i="1"/>
  <c r="AG1229" i="1"/>
  <c r="AG209" i="1"/>
  <c r="AG1018" i="1"/>
  <c r="AG36" i="1"/>
  <c r="AG103" i="1"/>
  <c r="AG2572" i="1"/>
  <c r="AG2707" i="1"/>
  <c r="AG2518" i="1"/>
  <c r="AG1572" i="1"/>
  <c r="AG1392" i="1"/>
  <c r="AG2546" i="1"/>
  <c r="AG486" i="1"/>
  <c r="AG695" i="1"/>
  <c r="AG1996" i="1"/>
  <c r="AG445" i="1"/>
  <c r="AG283" i="1"/>
  <c r="AG768" i="1"/>
  <c r="AG1895" i="1"/>
  <c r="AG1505" i="1"/>
  <c r="AG1712" i="1"/>
  <c r="AG61" i="1"/>
  <c r="AG1394" i="1"/>
  <c r="AG1806" i="1"/>
  <c r="AG2655" i="1"/>
  <c r="AG2177" i="1"/>
  <c r="AG2695" i="1"/>
  <c r="AG1680" i="1"/>
  <c r="AG2633" i="1"/>
  <c r="AG1125" i="1"/>
  <c r="AG78" i="1"/>
  <c r="AG2466" i="1"/>
  <c r="AG1989" i="1"/>
  <c r="AG816" i="1"/>
  <c r="AG2378" i="1"/>
  <c r="AG1189" i="1"/>
  <c r="AG1082" i="1"/>
  <c r="AG210" i="1"/>
  <c r="AG2792" i="1"/>
  <c r="AG2234" i="1"/>
  <c r="AG609" i="1"/>
  <c r="AG2243" i="1"/>
  <c r="AG2502" i="1"/>
  <c r="AG2213" i="1"/>
  <c r="AG2686" i="1"/>
  <c r="AG2346" i="1"/>
  <c r="AG393" i="1"/>
  <c r="AG327" i="1"/>
  <c r="AG1651" i="1"/>
  <c r="AG824" i="1"/>
  <c r="AG2098" i="1"/>
  <c r="AG2287" i="1"/>
  <c r="AG738" i="1"/>
  <c r="AG2078" i="1"/>
  <c r="AG334" i="1"/>
  <c r="AG908" i="1"/>
  <c r="AG590" i="1"/>
  <c r="AG395" i="1"/>
  <c r="AG2429" i="1"/>
  <c r="AG2782" i="1"/>
  <c r="AG1958" i="1"/>
  <c r="AG1019" i="1"/>
  <c r="AG2086" i="1"/>
  <c r="AG290" i="1"/>
  <c r="AG660" i="1"/>
  <c r="AG561" i="1"/>
  <c r="AG2009" i="1"/>
  <c r="AG1700" i="1"/>
  <c r="AG977" i="1"/>
  <c r="AG2714" i="1"/>
  <c r="AG520" i="1"/>
  <c r="AG1407" i="1"/>
  <c r="AG1031" i="1"/>
  <c r="AG1442" i="1"/>
  <c r="AG1802" i="1"/>
  <c r="AG224" i="1"/>
  <c r="AG2784" i="1"/>
  <c r="AG1443" i="1"/>
  <c r="AG1756" i="1"/>
  <c r="AG15" i="1"/>
  <c r="AG2188" i="1"/>
  <c r="AG1980" i="1"/>
  <c r="AG1365" i="1"/>
  <c r="AG851" i="1"/>
  <c r="AG2473" i="1"/>
  <c r="AG2278" i="1"/>
  <c r="AG2300" i="1"/>
  <c r="AG1620" i="1"/>
  <c r="AG1520" i="1"/>
  <c r="AG929" i="1"/>
  <c r="AG960" i="1"/>
  <c r="AG1538" i="1"/>
  <c r="AG402" i="1"/>
  <c r="AG931" i="1"/>
  <c r="AG2285" i="1"/>
  <c r="AG2160" i="1"/>
  <c r="AG2048" i="1"/>
  <c r="AG2548" i="1"/>
  <c r="AG653" i="1"/>
  <c r="AG23" i="1"/>
  <c r="AG253" i="1"/>
  <c r="AG4" i="1"/>
  <c r="AG637" i="1"/>
  <c r="AG1861" i="1"/>
  <c r="AG1587" i="1"/>
  <c r="AG1345" i="1"/>
  <c r="AG1352" i="1"/>
  <c r="AG137" i="1"/>
  <c r="AG1618" i="1"/>
  <c r="AG621" i="1"/>
  <c r="AG227" i="1"/>
  <c r="AG2745" i="1"/>
  <c r="AG1129" i="1"/>
  <c r="AG448" i="1"/>
  <c r="AG2599" i="1"/>
  <c r="AG1984" i="1"/>
  <c r="AG2358" i="1"/>
  <c r="AG461" i="1"/>
  <c r="AG249" i="1"/>
  <c r="AG79" i="1"/>
  <c r="AG1262" i="1"/>
  <c r="AG2088" i="1"/>
  <c r="AG2083" i="1"/>
  <c r="AG869" i="1"/>
  <c r="AG26" i="1"/>
  <c r="AG2591" i="1"/>
  <c r="AG875" i="1"/>
  <c r="AG823" i="1"/>
  <c r="AG1892" i="1"/>
  <c r="AG641" i="1"/>
  <c r="AG310" i="1"/>
  <c r="AG516" i="1"/>
  <c r="AG1501" i="1"/>
  <c r="AG2054" i="1"/>
  <c r="AG375" i="1"/>
  <c r="AG2216" i="1"/>
  <c r="AG1154" i="1"/>
  <c r="AG1321" i="1"/>
  <c r="AG1174" i="1"/>
  <c r="AG397" i="1"/>
  <c r="AG2145" i="1"/>
  <c r="AG2241" i="1"/>
  <c r="AG2209" i="1"/>
  <c r="AG172" i="1"/>
  <c r="AG1395" i="1"/>
  <c r="AG2582" i="1"/>
  <c r="AG877" i="1"/>
  <c r="AG2204" i="1"/>
  <c r="AG1203" i="1"/>
  <c r="AG2263" i="1"/>
  <c r="AG2456" i="1"/>
  <c r="AG2509" i="1"/>
  <c r="AG1677" i="1"/>
  <c r="AG2057" i="1"/>
  <c r="AG1988" i="1"/>
  <c r="AG420" i="1"/>
  <c r="AG1425" i="1"/>
  <c r="AG1359" i="1"/>
  <c r="AG1793" i="1"/>
  <c r="AG169" i="1"/>
  <c r="AG1652" i="1"/>
  <c r="AG2787" i="1"/>
  <c r="AG11" i="1"/>
  <c r="AG1081" i="1"/>
  <c r="AG1045" i="1"/>
  <c r="AG766" i="1"/>
  <c r="AG2682" i="1"/>
  <c r="AG2203" i="1"/>
  <c r="AG1777" i="1"/>
  <c r="AG985" i="1"/>
  <c r="AG415" i="1"/>
  <c r="AG90" i="1"/>
  <c r="AG2024" i="1"/>
  <c r="AG1408" i="1"/>
  <c r="AG2121" i="1"/>
  <c r="AG1147" i="1"/>
  <c r="AG1824" i="1"/>
  <c r="AG157" i="1"/>
  <c r="AG1591" i="1"/>
  <c r="AG424" i="1"/>
  <c r="AG276" i="1"/>
  <c r="AG1047" i="1"/>
  <c r="AG2732" i="1"/>
  <c r="AG481" i="1"/>
  <c r="AG1244" i="1"/>
  <c r="AG2221" i="1"/>
  <c r="AG778" i="1"/>
  <c r="AG129" i="1"/>
  <c r="AG1309" i="1"/>
  <c r="AG1185" i="1"/>
  <c r="AG2439" i="1"/>
  <c r="AG1978" i="1"/>
  <c r="AG954" i="1"/>
  <c r="AG2179" i="1"/>
  <c r="AG1857" i="1"/>
  <c r="AG2752" i="1"/>
  <c r="AG636" i="1"/>
  <c r="AG2754" i="1"/>
  <c r="AG41" i="1"/>
  <c r="AG359" i="1"/>
  <c r="AG1451" i="1"/>
  <c r="AG731" i="1"/>
  <c r="AG1683" i="1"/>
  <c r="AG2142" i="1"/>
  <c r="AG581" i="1"/>
  <c r="AG2469" i="1"/>
  <c r="AG2310" i="1"/>
  <c r="AG628" i="1"/>
  <c r="AG2218" i="1"/>
  <c r="AG1852" i="1"/>
  <c r="AG1177" i="1"/>
  <c r="AG1057" i="1"/>
  <c r="AG833" i="1"/>
  <c r="AG2005" i="1"/>
  <c r="AG1387" i="1"/>
  <c r="AG2277" i="1"/>
  <c r="AG1792" i="1"/>
  <c r="AG70" i="1"/>
  <c r="AG2254" i="1"/>
  <c r="AG20" i="1"/>
  <c r="AG2741" i="1"/>
  <c r="AG1060" i="1"/>
  <c r="AG1696" i="1"/>
  <c r="AG2304" i="1"/>
  <c r="AG1736" i="1"/>
  <c r="AG2409" i="1"/>
  <c r="AG616" i="1"/>
  <c r="AG13" i="1"/>
  <c r="AG1521" i="1"/>
  <c r="AG1052" i="1"/>
  <c r="AG1289" i="1"/>
  <c r="AG2334" i="1"/>
  <c r="AG2026" i="1"/>
  <c r="AG2280" i="1"/>
  <c r="AG238" i="1"/>
  <c r="AG976" i="1"/>
  <c r="AG2600" i="1"/>
  <c r="AG2394" i="1"/>
  <c r="AG1938" i="1"/>
  <c r="AG1541" i="1"/>
  <c r="AG592" i="1"/>
  <c r="AG60" i="1"/>
  <c r="AG386" i="1"/>
  <c r="AG1503" i="1"/>
  <c r="AG1259" i="1"/>
  <c r="AG2796" i="1"/>
  <c r="AG1364" i="1"/>
  <c r="AG696" i="1"/>
  <c r="AG2432" i="1"/>
  <c r="AG2147" i="1"/>
  <c r="AG250" i="1"/>
  <c r="AG890" i="1"/>
  <c r="AG2668" i="1"/>
  <c r="AG340" i="1"/>
  <c r="AG1484" i="1"/>
  <c r="AG380" i="1"/>
  <c r="AG2053" i="1"/>
  <c r="AG123" i="1"/>
  <c r="AG488" i="1"/>
  <c r="AG2384" i="1"/>
  <c r="AG2621" i="1"/>
  <c r="AG736" i="1"/>
  <c r="AG1744" i="1"/>
  <c r="AG1461" i="1"/>
  <c r="AG2520" i="1"/>
  <c r="AG1508" i="1"/>
  <c r="AG1251" i="1"/>
  <c r="AG1718" i="1"/>
  <c r="AG2491" i="1"/>
  <c r="AG1487" i="1"/>
  <c r="AG1009" i="1"/>
  <c r="AG472" i="1"/>
  <c r="AG748" i="1"/>
  <c r="AG509" i="1"/>
  <c r="AG982" i="1"/>
  <c r="AG2667" i="1"/>
  <c r="AG2128" i="1"/>
  <c r="AG1307" i="1"/>
  <c r="AG1246" i="1"/>
  <c r="AG638" i="1"/>
  <c r="AG925" i="1"/>
  <c r="AG559" i="1"/>
  <c r="AG1655" i="1"/>
  <c r="AG457" i="1"/>
  <c r="AG1839" i="1"/>
  <c r="AG121" i="1"/>
  <c r="AG624" i="1"/>
  <c r="AG737" i="1"/>
  <c r="AG1022" i="1"/>
  <c r="AG601" i="1"/>
  <c r="AG2737" i="1"/>
  <c r="AG326" i="1"/>
  <c r="AG2662" i="1"/>
  <c r="AG35" i="1"/>
  <c r="AG1287" i="1"/>
  <c r="AG1380" i="1"/>
  <c r="AG1720" i="1"/>
  <c r="AG1084" i="1"/>
  <c r="AG1220" i="1"/>
  <c r="AG2223" i="1"/>
  <c r="AG2336" i="1"/>
  <c r="AG2744" i="1"/>
  <c r="AG943" i="1"/>
  <c r="AG538" i="1"/>
  <c r="AG792" i="1"/>
  <c r="AG1038" i="1"/>
  <c r="AG1263" i="1"/>
  <c r="AG597" i="1"/>
  <c r="AG1234" i="1"/>
  <c r="AG2130" i="1"/>
  <c r="AG835" i="1"/>
  <c r="AG1269" i="1"/>
  <c r="AG1470" i="1"/>
  <c r="AG309" i="1"/>
  <c r="AG578" i="1"/>
  <c r="AG576" i="1"/>
  <c r="AG2025" i="1"/>
  <c r="AG2790" i="1"/>
  <c r="AG629" i="1"/>
  <c r="AG1281" i="1"/>
  <c r="AG2535" i="1"/>
  <c r="AG366" i="1"/>
  <c r="AG1427" i="1"/>
  <c r="AG841" i="1"/>
  <c r="AG1315" i="1"/>
  <c r="AG2143" i="1"/>
  <c r="AG1363" i="1"/>
  <c r="AG1568" i="1"/>
  <c r="AG1494" i="1"/>
  <c r="AG2365" i="1"/>
  <c r="AG664" i="1"/>
  <c r="AG1546" i="1"/>
  <c r="AG981" i="1"/>
  <c r="AG1219" i="1"/>
  <c r="AG232" i="1"/>
  <c r="AG1703" i="1"/>
  <c r="AG2297" i="1"/>
  <c r="AG2169" i="1"/>
  <c r="AG368" i="1"/>
  <c r="AG1237" i="1"/>
  <c r="AG2785" i="1"/>
  <c r="AG1957" i="1"/>
  <c r="AG2443" i="1"/>
  <c r="AG2475" i="1"/>
  <c r="AG2162" i="1"/>
  <c r="AG2031" i="1"/>
  <c r="AG1267" i="1"/>
  <c r="AG2677" i="1"/>
  <c r="AG1734" i="1"/>
  <c r="AG1593" i="1"/>
  <c r="AG1518" i="1"/>
  <c r="AG2656" i="1"/>
  <c r="AG2252" i="1"/>
  <c r="AG1610" i="1"/>
  <c r="AG743" i="1"/>
  <c r="AG1860" i="1"/>
  <c r="AG1152" i="1"/>
  <c r="AG1242" i="1"/>
  <c r="AG827" i="1"/>
  <c r="AG2371" i="1"/>
  <c r="AG1748" i="1"/>
  <c r="AG871" i="1"/>
  <c r="AG83" i="1"/>
  <c r="AG1678" i="1"/>
  <c r="AG1409" i="1"/>
  <c r="AG2401" i="1"/>
  <c r="AG84" i="1"/>
  <c r="AG246" i="1"/>
  <c r="AG1462" i="1"/>
  <c r="AG6" i="1"/>
  <c r="AG301" i="1"/>
  <c r="AG1845" i="1"/>
  <c r="AG949" i="1"/>
  <c r="AG476" i="1"/>
  <c r="AG782" i="1"/>
  <c r="AG763" i="1"/>
  <c r="AG630" i="1"/>
  <c r="AG286" i="1"/>
  <c r="AG1340" i="1"/>
  <c r="AG2312" i="1"/>
  <c r="AG2376" i="1"/>
  <c r="AG2569" i="1"/>
  <c r="AG1702" i="1"/>
  <c r="AG1634" i="1"/>
  <c r="AG2267" i="1"/>
  <c r="AG2501" i="1"/>
  <c r="AG2229" i="1"/>
  <c r="AG1877" i="1"/>
  <c r="AG51" i="1"/>
  <c r="AG2503" i="1"/>
  <c r="AG1875" i="1"/>
  <c r="AG287" i="1"/>
  <c r="AG265" i="1"/>
  <c r="AG1320" i="1"/>
  <c r="AG716" i="1"/>
  <c r="AG1716" i="1"/>
  <c r="AG101" i="1"/>
  <c r="AG992" i="1"/>
  <c r="AG355" i="1"/>
  <c r="AG2418" i="1"/>
  <c r="AG1666" i="1"/>
  <c r="AG2222" i="1"/>
  <c r="AG1170" i="1"/>
  <c r="AG1435" i="1"/>
  <c r="AG174" i="1"/>
  <c r="AG1136" i="1"/>
  <c r="AG2035" i="1"/>
  <c r="AG1298" i="1"/>
  <c r="AG804" i="1"/>
  <c r="AG2217" i="1"/>
  <c r="AG505" i="1"/>
  <c r="AG825" i="1"/>
  <c r="AG1111" i="1"/>
  <c r="AG1438" i="1"/>
  <c r="AG1507" i="1"/>
  <c r="AG1465" i="1"/>
  <c r="AG2772" i="1"/>
  <c r="AG1814" i="1"/>
  <c r="AG2464" i="1"/>
  <c r="AG1565" i="1"/>
  <c r="AG1672" i="1"/>
  <c r="AG444" i="1"/>
  <c r="AG451" i="1"/>
  <c r="AG693" i="1"/>
  <c r="AG1414" i="1"/>
  <c r="AG2461" i="1"/>
  <c r="AG970" i="1"/>
  <c r="AG1757" i="1"/>
  <c r="AG857" i="1"/>
  <c r="AG1791" i="1"/>
  <c r="AG230" i="1"/>
  <c r="AG2185" i="1"/>
  <c r="AG1165" i="1"/>
  <c r="AG1261" i="1"/>
  <c r="AG1138" i="1"/>
  <c r="AG596" i="1"/>
  <c r="AG522" i="1"/>
  <c r="AG1211" i="1"/>
  <c r="AG1664" i="1"/>
  <c r="AG2360" i="1"/>
  <c r="AG1944" i="1"/>
  <c r="AG2570" i="1"/>
  <c r="AG1584" i="1"/>
  <c r="AG2101" i="1"/>
  <c r="AG2742" i="1"/>
  <c r="AG1689" i="1"/>
  <c r="AG1178" i="1"/>
  <c r="AG2534" i="1"/>
  <c r="AG2604" i="1"/>
  <c r="AG1210" i="1"/>
  <c r="AG1828" i="1"/>
  <c r="AG251" i="1"/>
  <c r="AG2573" i="1"/>
  <c r="AG1781" i="1"/>
  <c r="AG2721" i="1"/>
  <c r="AG788" i="1"/>
  <c r="AG2170" i="1"/>
  <c r="AG1291" i="1"/>
  <c r="AG400" i="1"/>
  <c r="AG1366" i="1"/>
  <c r="AG455" i="1"/>
  <c r="AG179" i="1"/>
  <c r="AG2713" i="1"/>
  <c r="AG1602" i="1"/>
  <c r="AG2581" i="1"/>
  <c r="AG527" i="1"/>
  <c r="AG117" i="1"/>
  <c r="AG1182" i="1"/>
  <c r="AG868" i="1"/>
  <c r="AG2536" i="1"/>
  <c r="AG1887" i="1"/>
  <c r="AG1929" i="1"/>
  <c r="AG131" i="1"/>
  <c r="AG1638" i="1"/>
  <c r="AG1105" i="1"/>
  <c r="AG2340" i="1"/>
  <c r="AG2391" i="1"/>
  <c r="AG999" i="1"/>
  <c r="AG2419" i="1"/>
  <c r="AG2601" i="1"/>
  <c r="AG2610" i="1"/>
  <c r="AG2194" i="1"/>
  <c r="AG2339" i="1"/>
  <c r="AG1253" i="1"/>
  <c r="AG2416" i="1"/>
  <c r="AG187" i="1"/>
  <c r="AG722" i="1"/>
  <c r="AG1962" i="1"/>
  <c r="AG2481" i="1"/>
  <c r="AG625" i="1"/>
  <c r="AG1430" i="1"/>
  <c r="AG2207" i="1"/>
  <c r="AG1390" i="1"/>
  <c r="AG2073" i="1"/>
  <c r="AG2115" i="1"/>
  <c r="AG148" i="1"/>
  <c r="AG2042" i="1"/>
  <c r="AG191" i="1"/>
  <c r="AG2259" i="1"/>
  <c r="AG1357" i="1"/>
  <c r="AG2791" i="1"/>
  <c r="AG447" i="1"/>
  <c r="AG2651" i="1"/>
  <c r="AG2242" i="1"/>
  <c r="AG442" i="1"/>
  <c r="AG233" i="1"/>
  <c r="AG1498" i="1"/>
  <c r="AG2705" i="1"/>
  <c r="AG360" i="1"/>
  <c r="AG1864" i="1"/>
  <c r="AG186" i="1"/>
  <c r="AG862" i="1"/>
  <c r="AG273" i="1"/>
  <c r="AG783" i="1"/>
  <c r="AG188" i="1"/>
  <c r="AG314" i="1"/>
  <c r="AG2778" i="1"/>
  <c r="AG2080" i="1"/>
  <c r="AG469" i="1"/>
  <c r="AG2430" i="1"/>
  <c r="AG1780" i="1"/>
  <c r="AG2594" i="1"/>
  <c r="AG1495" i="1"/>
  <c r="AG1444" i="1"/>
  <c r="AG914" i="1"/>
  <c r="AG1850" i="1"/>
  <c r="AG1381" i="1"/>
  <c r="AG2028" i="1"/>
  <c r="AG2710" i="1"/>
  <c r="AG2659" i="1"/>
  <c r="AG2492" i="1"/>
  <c r="AG231" i="1"/>
  <c r="AG568" i="1"/>
  <c r="AG330" i="1"/>
  <c r="AG2126" i="1"/>
  <c r="AG1909" i="1"/>
  <c r="AG2704" i="1"/>
  <c r="AG1068" i="1"/>
  <c r="AG1329" i="1"/>
  <c r="AG3" i="1"/>
  <c r="AG2338" i="1"/>
  <c r="AG2488" i="1"/>
  <c r="AG988" i="1"/>
  <c r="AG1616" i="1"/>
  <c r="AG683" i="1"/>
  <c r="AG1809" i="1"/>
  <c r="AG691" i="1"/>
  <c r="AG1662" i="1"/>
  <c r="AG2467" i="1"/>
  <c r="AG293" i="1"/>
  <c r="AG1629" i="1"/>
  <c r="AG1109" i="1"/>
  <c r="AG2748" i="1"/>
  <c r="AG2781" i="1"/>
  <c r="AG2690" i="1"/>
  <c r="AG333" i="1"/>
  <c r="AG2227" i="1"/>
  <c r="AG1841" i="1"/>
  <c r="AG846" i="1"/>
  <c r="AG2231" i="1"/>
  <c r="AG1454" i="1"/>
  <c r="AG218" i="1"/>
  <c r="AG1891" i="1"/>
  <c r="AG1025" i="1"/>
  <c r="AG1372" i="1"/>
  <c r="AG2760" i="1"/>
  <c r="AG2173" i="1"/>
  <c r="AG2061" i="1"/>
  <c r="AG830" i="1"/>
  <c r="AG723" i="1"/>
  <c r="AG1710" i="1"/>
  <c r="AG376" i="1"/>
  <c r="AG2549" i="1"/>
  <c r="AG1078" i="1"/>
  <c r="AG409" i="1"/>
  <c r="AG1918" i="1"/>
  <c r="AG826" i="1"/>
  <c r="AG370" i="1"/>
  <c r="AG1483" i="1"/>
  <c r="AG1851" i="1"/>
  <c r="AG2471" i="1"/>
  <c r="AG1361" i="1"/>
  <c r="AG350" i="1"/>
  <c r="AG2052" i="1"/>
  <c r="AG109" i="1"/>
  <c r="AG2623" i="1"/>
  <c r="AG40" i="1"/>
  <c r="AG1960" i="1"/>
  <c r="AG2094" i="1"/>
  <c r="AG1257" i="1"/>
  <c r="AG2609" i="1"/>
  <c r="AG1659" i="1"/>
  <c r="AG2010" i="1"/>
  <c r="AG1145" i="1"/>
  <c r="AG917" i="1"/>
  <c r="AG849" i="1"/>
  <c r="AG97" i="1"/>
  <c r="AG1724" i="1"/>
  <c r="AG1280" i="1"/>
  <c r="AG552" i="1"/>
  <c r="AG2349" i="1"/>
  <c r="AG1143" i="1"/>
  <c r="AG2755" i="1"/>
  <c r="AG758" i="1"/>
  <c r="AG565" i="1"/>
  <c r="AG2480" i="1"/>
  <c r="AG1598" i="1"/>
  <c r="AG1402" i="1"/>
  <c r="AG2171" i="1"/>
  <c r="AG1979" i="1"/>
  <c r="AG2750" i="1"/>
  <c r="AG1384" i="1"/>
  <c r="AG1062" i="1"/>
  <c r="AG913" i="1"/>
  <c r="AG294" i="1"/>
  <c r="AG1239" i="1"/>
  <c r="AG2074" i="1"/>
  <c r="AG2678" i="1"/>
  <c r="AG682" i="1"/>
  <c r="AG903" i="1"/>
  <c r="AG665" i="1"/>
  <c r="AG438" i="1"/>
  <c r="AG2619" i="1"/>
  <c r="AG1127" i="1"/>
  <c r="AG2032" i="1"/>
  <c r="AG648" i="1"/>
  <c r="AG1778" i="1"/>
  <c r="AG1894" i="1"/>
  <c r="AG2008" i="1"/>
  <c r="AG2762" i="1"/>
  <c r="AG892" i="1"/>
  <c r="AG1900" i="1"/>
  <c r="AG1079" i="1"/>
  <c r="AG16" i="1"/>
  <c r="AG806" i="1"/>
  <c r="AG2233" i="1"/>
  <c r="AG2757" i="1"/>
  <c r="AG2727" i="1"/>
  <c r="AG142" i="1"/>
  <c r="AG1415" i="1"/>
  <c r="AG1805" i="1"/>
  <c r="AG1308" i="1"/>
  <c r="AG2543" i="1"/>
  <c r="AG531" i="1"/>
  <c r="AG1434" i="1"/>
  <c r="AG867" i="1"/>
  <c r="AG657" i="1"/>
  <c r="AG947" i="1"/>
  <c r="AG1636" i="1"/>
  <c r="AG2364" i="1"/>
  <c r="AG2108" i="1"/>
  <c r="AG898" i="1"/>
  <c r="AG2066" i="1"/>
  <c r="AG2684" i="1"/>
  <c r="AG1595" i="1"/>
  <c r="AG580" i="1"/>
  <c r="AG2497" i="1"/>
  <c r="AG888" i="1"/>
  <c r="AG2181" i="1"/>
  <c r="AG2326" i="1"/>
  <c r="AG2462" i="1"/>
  <c r="AG1120" i="1"/>
  <c r="AG1727" i="1"/>
  <c r="AG2100" i="1"/>
  <c r="AG1592" i="1"/>
  <c r="AG1853" i="1"/>
  <c r="AG316" i="1"/>
  <c r="AG1388" i="1"/>
  <c r="AG1254" i="1"/>
  <c r="AG1273" i="1"/>
  <c r="AG1525" i="1"/>
  <c r="AG528" i="1"/>
  <c r="AG721" i="1"/>
  <c r="AG1441" i="1"/>
  <c r="AG1420" i="1"/>
  <c r="AG1243" i="1"/>
  <c r="AG860" i="1"/>
  <c r="AG2516" i="1"/>
  <c r="AG545" i="1"/>
  <c r="AG480" i="1"/>
  <c r="AG1208" i="1"/>
  <c r="AG212" i="1"/>
  <c r="AG12" i="1"/>
  <c r="AG211" i="1"/>
  <c r="AG525" i="1"/>
  <c r="AG730" i="1"/>
  <c r="AG1094" i="1"/>
  <c r="AG1527" i="1"/>
  <c r="AG1639" i="1"/>
  <c r="AG2679" i="1"/>
  <c r="AG173" i="1"/>
  <c r="AG156" i="1"/>
  <c r="AG2133" i="1"/>
  <c r="AG896" i="1"/>
  <c r="AG1437" i="1"/>
  <c r="AG2268" i="1"/>
  <c r="AG2315" i="1"/>
  <c r="AG1816" i="1"/>
  <c r="AG54" i="1"/>
  <c r="AG2452" i="1"/>
  <c r="AG1128" i="1"/>
  <c r="AG206" i="1"/>
  <c r="AG1235" i="1"/>
  <c r="AG258" i="1"/>
  <c r="AG1560" i="1"/>
  <c r="AG2691" i="1"/>
  <c r="AG2350" i="1"/>
  <c r="AG2413" i="1"/>
  <c r="AG1889" i="1"/>
  <c r="AG1758" i="1"/>
  <c r="AG1061" i="1"/>
  <c r="AG2007" i="1"/>
  <c r="AG158" i="1"/>
  <c r="AG1391" i="1"/>
  <c r="AG1448" i="1"/>
  <c r="AG1164" i="1"/>
  <c r="AG856" i="1"/>
  <c r="AG2717" i="1"/>
  <c r="AG640" i="1"/>
  <c r="AG1562" i="1"/>
  <c r="AG1130" i="1"/>
  <c r="AG1212" i="1"/>
  <c r="AG649" i="1"/>
  <c r="AG1252" i="1"/>
  <c r="AG589" i="1"/>
  <c r="AG2047" i="1"/>
  <c r="AG1815" i="1"/>
  <c r="AG728" i="1"/>
  <c r="AG2647" i="1"/>
  <c r="AG1829" i="1"/>
  <c r="AG942" i="1"/>
  <c r="AG1142" i="1"/>
  <c r="AG1643" i="1"/>
  <c r="AG194" i="1"/>
  <c r="AG572" i="1"/>
  <c r="AG2421" i="1"/>
  <c r="AG2687" i="1"/>
  <c r="AG1899" i="1"/>
  <c r="AG2693" i="1"/>
  <c r="AG214" i="1"/>
  <c r="AG872" i="1"/>
  <c r="AG2517" i="1"/>
  <c r="AG704" i="1"/>
  <c r="AG2688" i="1"/>
  <c r="AG1590" i="1"/>
  <c r="AG2319" i="1"/>
  <c r="AG255" i="1"/>
  <c r="AG292" i="1"/>
  <c r="AG2498" i="1"/>
  <c r="AG2571" i="1"/>
  <c r="AG656" i="1"/>
  <c r="AG1066" i="1"/>
  <c r="AG1570" i="1"/>
  <c r="AG2697" i="1"/>
  <c r="AG2131" i="1"/>
  <c r="AG2125" i="1"/>
  <c r="AG2556" i="1"/>
  <c r="AG603" i="1"/>
  <c r="AG38" i="1"/>
  <c r="AG91" i="1"/>
  <c r="AG2715" i="1"/>
  <c r="AG335" i="1"/>
  <c r="AF1" i="1" l="1"/>
  <c r="AF1141" i="1" s="1"/>
  <c r="AI1141" i="1" s="1"/>
  <c r="AF273" i="1" l="1"/>
  <c r="AI273" i="1" s="1"/>
  <c r="AF2252" i="1"/>
  <c r="AI2252" i="1" s="1"/>
  <c r="AF1829" i="1"/>
  <c r="AI1829" i="1" s="1"/>
  <c r="AF723" i="1"/>
  <c r="AI723" i="1" s="1"/>
  <c r="AF1638" i="1"/>
  <c r="AI1638" i="1" s="1"/>
  <c r="AF2031" i="1"/>
  <c r="AI2031" i="1" s="1"/>
  <c r="AF2147" i="1"/>
  <c r="AI2147" i="1" s="1"/>
  <c r="AF2715" i="1"/>
  <c r="AI2715" i="1" s="1"/>
  <c r="AF2349" i="1"/>
  <c r="AI2349" i="1" s="1"/>
  <c r="AF1944" i="1"/>
  <c r="AI1944" i="1" s="1"/>
  <c r="AF925" i="1"/>
  <c r="AI925" i="1" s="1"/>
  <c r="AF1244" i="1"/>
  <c r="AI1244" i="1" s="1"/>
  <c r="AF1382" i="1"/>
  <c r="AI1382" i="1" s="1"/>
  <c r="AF888" i="1"/>
  <c r="AI888" i="1" s="1"/>
  <c r="AF2659" i="1"/>
  <c r="AI2659" i="1" s="1"/>
  <c r="AF2222" i="1"/>
  <c r="AI2222" i="1" s="1"/>
  <c r="AF509" i="1"/>
  <c r="AI509" i="1" s="1"/>
  <c r="AF448" i="1"/>
  <c r="AI448" i="1" s="1"/>
  <c r="AF199" i="1"/>
  <c r="AI199" i="1" s="1"/>
  <c r="AF1948" i="1"/>
  <c r="AI1948" i="1" s="1"/>
  <c r="AF1899" i="1"/>
  <c r="AI1899" i="1" s="1"/>
  <c r="AF2691" i="1"/>
  <c r="AI2691" i="1" s="1"/>
  <c r="AF1441" i="1"/>
  <c r="AI1441" i="1" s="1"/>
  <c r="AF1308" i="1"/>
  <c r="AI1308" i="1" s="1"/>
  <c r="AF1979" i="1"/>
  <c r="AI1979" i="1" s="1"/>
  <c r="AF370" i="1"/>
  <c r="AI370" i="1" s="1"/>
  <c r="AF1809" i="1"/>
  <c r="AI1809" i="1" s="1"/>
  <c r="AF783" i="1"/>
  <c r="AI783" i="1" s="1"/>
  <c r="AF2194" i="1"/>
  <c r="AI2194" i="1" s="1"/>
  <c r="AF1210" i="1"/>
  <c r="AI1210" i="1" s="1"/>
  <c r="AF1814" i="1"/>
  <c r="AI1814" i="1" s="1"/>
  <c r="AF2501" i="1"/>
  <c r="AI2501" i="1" s="1"/>
  <c r="AF1610" i="1"/>
  <c r="AI1610" i="1" s="1"/>
  <c r="AF366" i="1"/>
  <c r="AI366" i="1" s="1"/>
  <c r="AF601" i="1"/>
  <c r="AI601" i="1" s="1"/>
  <c r="AF123" i="1"/>
  <c r="AI123" i="1" s="1"/>
  <c r="AF2409" i="1"/>
  <c r="AI2409" i="1" s="1"/>
  <c r="AF2179" i="1"/>
  <c r="AI2179" i="1" s="1"/>
  <c r="AF2787" i="1"/>
  <c r="AI2787" i="1" s="1"/>
  <c r="AF641" i="1"/>
  <c r="AI641" i="1" s="1"/>
  <c r="AF2548" i="1"/>
  <c r="AI2548" i="1" s="1"/>
  <c r="AF561" i="1"/>
  <c r="AI561" i="1" s="1"/>
  <c r="AF816" i="1"/>
  <c r="AI816" i="1" s="1"/>
  <c r="AF1229" i="1"/>
  <c r="AI1229" i="1" s="1"/>
  <c r="AF2305" i="1"/>
  <c r="AI2305" i="1" s="1"/>
  <c r="AF1275" i="1"/>
  <c r="AI1275" i="1" s="1"/>
  <c r="AF789" i="1"/>
  <c r="AI789" i="1" s="1"/>
  <c r="AF431" i="1"/>
  <c r="AI431" i="1" s="1"/>
  <c r="AF508" i="1"/>
  <c r="AI508" i="1" s="1"/>
  <c r="AF2649" i="1"/>
  <c r="AI2649" i="1" s="1"/>
  <c r="AF1813" i="1"/>
  <c r="AI1813" i="1" s="1"/>
  <c r="AF2255" i="1"/>
  <c r="AI2255" i="1" s="1"/>
  <c r="AF62" i="1"/>
  <c r="AI62" i="1" s="1"/>
  <c r="AF706" i="1"/>
  <c r="AI706" i="1" s="1"/>
  <c r="AF1685" i="1"/>
  <c r="AI1685" i="1" s="1"/>
  <c r="AF1221" i="1"/>
  <c r="AI1221" i="1" s="1"/>
  <c r="AF1810" i="1"/>
  <c r="AI1810" i="1" s="1"/>
  <c r="AF1206" i="1"/>
  <c r="AI1206" i="1" s="1"/>
  <c r="AF462" i="1"/>
  <c r="AI462" i="1" s="1"/>
  <c r="AF1876" i="1"/>
  <c r="AI1876" i="1" s="1"/>
  <c r="AF2511" i="1"/>
  <c r="AI2511" i="1" s="1"/>
  <c r="AF683" i="1"/>
  <c r="AI683" i="1" s="1"/>
  <c r="AF1022" i="1"/>
  <c r="AI1022" i="1" s="1"/>
  <c r="AF1736" i="1"/>
  <c r="AI1736" i="1" s="1"/>
  <c r="AF954" i="1"/>
  <c r="AI954" i="1" s="1"/>
  <c r="AF1652" i="1"/>
  <c r="AI1652" i="1" s="1"/>
  <c r="AF1892" i="1"/>
  <c r="AI1892" i="1" s="1"/>
  <c r="AF2048" i="1"/>
  <c r="AI2048" i="1" s="1"/>
  <c r="AF660" i="1"/>
  <c r="AI660" i="1" s="1"/>
  <c r="AF1989" i="1"/>
  <c r="AI1989" i="1" s="1"/>
  <c r="AF1937" i="1"/>
  <c r="AI1937" i="1" s="1"/>
  <c r="AF2770" i="1"/>
  <c r="AI2770" i="1" s="1"/>
  <c r="AF2531" i="1"/>
  <c r="AI2531" i="1" s="1"/>
  <c r="AF2152" i="1"/>
  <c r="AI2152" i="1" s="1"/>
  <c r="AF1923" i="1"/>
  <c r="AI1923" i="1" s="1"/>
  <c r="AF1011" i="1"/>
  <c r="AI1011" i="1" s="1"/>
  <c r="AF1393" i="1"/>
  <c r="AI1393" i="1" s="1"/>
  <c r="AF2445" i="1"/>
  <c r="AI2445" i="1" s="1"/>
  <c r="AF526" i="1"/>
  <c r="AI526" i="1" s="1"/>
  <c r="AF1631" i="1"/>
  <c r="AI1631" i="1" s="1"/>
  <c r="AF2598" i="1"/>
  <c r="AI2598" i="1" s="1"/>
  <c r="AF111" i="1"/>
  <c r="AI111" i="1" s="1"/>
  <c r="AF904" i="1"/>
  <c r="AI904" i="1" s="1"/>
  <c r="AF1103" i="1"/>
  <c r="AI1103" i="1" s="1"/>
  <c r="AF112" i="1"/>
  <c r="AI112" i="1" s="1"/>
  <c r="AF2544" i="1"/>
  <c r="AI2544" i="1" s="1"/>
  <c r="AF2524" i="1"/>
  <c r="AI2524" i="1" s="1"/>
  <c r="AF688" i="1"/>
  <c r="AI688" i="1" s="1"/>
  <c r="AF1560" i="1"/>
  <c r="AI1560" i="1" s="1"/>
  <c r="AF2772" i="1"/>
  <c r="AI2772" i="1" s="1"/>
  <c r="AF16" i="1"/>
  <c r="AI16" i="1" s="1"/>
  <c r="AF559" i="1"/>
  <c r="AI559" i="1" s="1"/>
  <c r="AF2088" i="1"/>
  <c r="AI2088" i="1" s="1"/>
  <c r="AF929" i="1"/>
  <c r="AI929" i="1" s="1"/>
  <c r="AF395" i="1"/>
  <c r="AI395" i="1" s="1"/>
  <c r="AF2177" i="1"/>
  <c r="AI2177" i="1" s="1"/>
  <c r="AF81" i="1"/>
  <c r="AI81" i="1" s="1"/>
  <c r="AF1186" i="1"/>
  <c r="AI1186" i="1" s="1"/>
  <c r="AF2694" i="1"/>
  <c r="AI2694" i="1" s="1"/>
  <c r="AF236" i="1"/>
  <c r="AI236" i="1" s="1"/>
  <c r="AF2730" i="1"/>
  <c r="AI2730" i="1" s="1"/>
  <c r="AF1020" i="1"/>
  <c r="AI1020" i="1" s="1"/>
  <c r="AF2250" i="1"/>
  <c r="AI2250" i="1" s="1"/>
  <c r="AF798" i="1"/>
  <c r="AI798" i="1" s="1"/>
  <c r="AF1512" i="1"/>
  <c r="AI1512" i="1" s="1"/>
  <c r="AF1699" i="1"/>
  <c r="AI1699" i="1" s="1"/>
  <c r="AF2795" i="1"/>
  <c r="AI2795" i="1" s="1"/>
  <c r="AF1910" i="1"/>
  <c r="AI1910" i="1" s="1"/>
  <c r="AF2363" i="1"/>
  <c r="AI2363" i="1" s="1"/>
  <c r="AF385" i="1"/>
  <c r="AI385" i="1" s="1"/>
  <c r="AF2090" i="1"/>
  <c r="AI2090" i="1" s="1"/>
  <c r="AF595" i="1"/>
  <c r="AI595" i="1" s="1"/>
  <c r="AF53" i="1"/>
  <c r="AI53" i="1" s="1"/>
  <c r="AF228" i="1"/>
  <c r="AI228" i="1" s="1"/>
  <c r="AF1805" i="1"/>
  <c r="AI1805" i="1" s="1"/>
  <c r="AF2647" i="1"/>
  <c r="AI2647" i="1" s="1"/>
  <c r="AF1520" i="1"/>
  <c r="AI1520" i="1" s="1"/>
  <c r="AF2786" i="1"/>
  <c r="AI2786" i="1" s="1"/>
  <c r="AF2230" i="1"/>
  <c r="AI2230" i="1" s="1"/>
  <c r="AF303" i="1"/>
  <c r="AI303" i="1" s="1"/>
  <c r="AF1412" i="1"/>
  <c r="AI1412" i="1" s="1"/>
  <c r="AF2271" i="1"/>
  <c r="AI2271" i="1" s="1"/>
  <c r="AF178" i="1"/>
  <c r="AI178" i="1" s="1"/>
  <c r="AF1993" i="1"/>
  <c r="AI1993" i="1" s="1"/>
  <c r="AF149" i="1"/>
  <c r="AI149" i="1" s="1"/>
  <c r="AF1070" i="1"/>
  <c r="AI1070" i="1" s="1"/>
  <c r="AF1509" i="1"/>
  <c r="AI1509" i="1" s="1"/>
  <c r="AF955" i="1"/>
  <c r="AI955" i="1" s="1"/>
  <c r="AF2166" i="1"/>
  <c r="AI2166" i="1" s="1"/>
  <c r="AF85" i="1"/>
  <c r="AI85" i="1" s="1"/>
  <c r="AF881" i="1"/>
  <c r="AI881" i="1" s="1"/>
  <c r="AF1847" i="1"/>
  <c r="AI1847" i="1" s="1"/>
  <c r="AF1771" i="1"/>
  <c r="AI1771" i="1" s="1"/>
  <c r="AF2687" i="1"/>
  <c r="AI2687" i="1" s="1"/>
  <c r="AF2604" i="1"/>
  <c r="AI2604" i="1" s="1"/>
  <c r="AF1622" i="1"/>
  <c r="AI1622" i="1" s="1"/>
  <c r="AF2306" i="1"/>
  <c r="AI2306" i="1" s="1"/>
  <c r="AF571" i="1"/>
  <c r="AI571" i="1" s="1"/>
  <c r="AF1669" i="1"/>
  <c r="AI1669" i="1" s="1"/>
  <c r="AF891" i="1"/>
  <c r="AI891" i="1" s="1"/>
  <c r="AF2540" i="1"/>
  <c r="AI2540" i="1" s="1"/>
  <c r="AF2087" i="1"/>
  <c r="AI2087" i="1" s="1"/>
  <c r="AF733" i="1"/>
  <c r="AI733" i="1" s="1"/>
  <c r="AF1907" i="1"/>
  <c r="AI1907" i="1" s="1"/>
  <c r="AF721" i="1"/>
  <c r="AI721" i="1" s="1"/>
  <c r="AF2610" i="1"/>
  <c r="AI2610" i="1" s="1"/>
  <c r="AF2053" i="1"/>
  <c r="AI2053" i="1" s="1"/>
  <c r="AF1853" i="1"/>
  <c r="AI1853" i="1" s="1"/>
  <c r="AF233" i="1"/>
  <c r="AI233" i="1" s="1"/>
  <c r="AF286" i="1"/>
  <c r="AI286" i="1" s="1"/>
  <c r="AF2221" i="1"/>
  <c r="AI2221" i="1" s="1"/>
  <c r="AF1592" i="1"/>
  <c r="AI1592" i="1" s="1"/>
  <c r="AF830" i="1"/>
  <c r="AI830" i="1" s="1"/>
  <c r="AF131" i="1"/>
  <c r="AI131" i="1" s="1"/>
  <c r="AF2162" i="1"/>
  <c r="AI2162" i="1" s="1"/>
  <c r="AF1677" i="1"/>
  <c r="AI1677" i="1" s="1"/>
  <c r="AF2067" i="1"/>
  <c r="AI2067" i="1" s="1"/>
  <c r="AF2679" i="1"/>
  <c r="AI2679" i="1" s="1"/>
  <c r="AF218" i="1"/>
  <c r="AI218" i="1" s="1"/>
  <c r="AF1261" i="1"/>
  <c r="AI1261" i="1" s="1"/>
  <c r="AF2169" i="1"/>
  <c r="AI2169" i="1" s="1"/>
  <c r="AF1852" i="1"/>
  <c r="AI1852" i="1" s="1"/>
  <c r="AF1980" i="1"/>
  <c r="AI1980" i="1" s="1"/>
  <c r="AF1000" i="1"/>
  <c r="AI1000" i="1" s="1"/>
  <c r="AF1517" i="1"/>
  <c r="AI1517" i="1" s="1"/>
  <c r="AF1570" i="1"/>
  <c r="AI1570" i="1" s="1"/>
  <c r="AF1130" i="1"/>
  <c r="AI1130" i="1" s="1"/>
  <c r="AF1639" i="1"/>
  <c r="AI1639" i="1" s="1"/>
  <c r="AF2497" i="1"/>
  <c r="AI2497" i="1" s="1"/>
  <c r="AF2032" i="1"/>
  <c r="AI2032" i="1" s="1"/>
  <c r="AF2010" i="1"/>
  <c r="AI2010" i="1" s="1"/>
  <c r="AF1454" i="1"/>
  <c r="AI1454" i="1" s="1"/>
  <c r="AF2710" i="1"/>
  <c r="AI2710" i="1" s="1"/>
  <c r="AF2042" i="1"/>
  <c r="AI2042" i="1" s="1"/>
  <c r="AF2581" i="1"/>
  <c r="AI2581" i="1" s="1"/>
  <c r="AF1165" i="1"/>
  <c r="AI1165" i="1" s="1"/>
  <c r="AF1666" i="1"/>
  <c r="AI1666" i="1" s="1"/>
  <c r="AF1462" i="1"/>
  <c r="AI1462" i="1" s="1"/>
  <c r="AF2297" i="1"/>
  <c r="AI2297" i="1" s="1"/>
  <c r="AF792" i="1"/>
  <c r="AI792" i="1" s="1"/>
  <c r="AF748" i="1"/>
  <c r="AI748" i="1" s="1"/>
  <c r="AF592" i="1"/>
  <c r="AI592" i="1" s="1"/>
  <c r="AF2218" i="1"/>
  <c r="AI2218" i="1" s="1"/>
  <c r="AF1824" i="1"/>
  <c r="AI1824" i="1" s="1"/>
  <c r="AF1395" i="1"/>
  <c r="AI1395" i="1" s="1"/>
  <c r="AF1129" i="1"/>
  <c r="AI1129" i="1" s="1"/>
  <c r="AF2188" i="1"/>
  <c r="AI2188" i="1" s="1"/>
  <c r="AF1651" i="1"/>
  <c r="AI1651" i="1" s="1"/>
  <c r="AF283" i="1"/>
  <c r="AI283" i="1" s="1"/>
  <c r="AF1913" i="1"/>
  <c r="AI1913" i="1" s="1"/>
  <c r="AF163" i="1"/>
  <c r="AI163" i="1" s="1"/>
  <c r="AF1135" i="1"/>
  <c r="AI1135" i="1" s="1"/>
  <c r="AF75" i="1"/>
  <c r="AI75" i="1" s="1"/>
  <c r="AF31" i="1"/>
  <c r="AI31" i="1" s="1"/>
  <c r="AF1481" i="1"/>
  <c r="AI1481" i="1" s="1"/>
  <c r="AF1171" i="1"/>
  <c r="AI1171" i="1" s="1"/>
  <c r="AF1867" i="1"/>
  <c r="AI1867" i="1" s="1"/>
  <c r="AF2425" i="1"/>
  <c r="AI2425" i="1" s="1"/>
  <c r="AF322" i="1"/>
  <c r="AI322" i="1" s="1"/>
  <c r="AF1303" i="1"/>
  <c r="AI1303" i="1" s="1"/>
  <c r="AF1446" i="1"/>
  <c r="AI1446" i="1" s="1"/>
  <c r="AF983" i="1"/>
  <c r="AI983" i="1" s="1"/>
  <c r="AF365" i="1"/>
  <c r="AI365" i="1" s="1"/>
  <c r="AF2156" i="1"/>
  <c r="AI2156" i="1" s="1"/>
  <c r="AF2182" i="1"/>
  <c r="AI2182" i="1" s="1"/>
  <c r="AF1265" i="1"/>
  <c r="AI1265" i="1" s="1"/>
  <c r="AF2171" i="1"/>
  <c r="AI2171" i="1" s="1"/>
  <c r="AF2267" i="1"/>
  <c r="AI2267" i="1" s="1"/>
  <c r="AF335" i="1"/>
  <c r="AI335" i="1" s="1"/>
  <c r="AF1143" i="1"/>
  <c r="AI1143" i="1" s="1"/>
  <c r="AF2217" i="1"/>
  <c r="AI2217" i="1" s="1"/>
  <c r="AF2057" i="1"/>
  <c r="AI2057" i="1" s="1"/>
  <c r="AF1079" i="1"/>
  <c r="AI1079" i="1" s="1"/>
  <c r="AF442" i="1"/>
  <c r="AI442" i="1" s="1"/>
  <c r="AF630" i="1"/>
  <c r="AI630" i="1" s="1"/>
  <c r="AF1470" i="1"/>
  <c r="AI1470" i="1" s="1"/>
  <c r="AF1792" i="1"/>
  <c r="AI1792" i="1" s="1"/>
  <c r="AF2655" i="1"/>
  <c r="AI2655" i="1" s="1"/>
  <c r="AF1212" i="1"/>
  <c r="AI1212" i="1" s="1"/>
  <c r="AF1145" i="1"/>
  <c r="AI1145" i="1" s="1"/>
  <c r="AF527" i="1"/>
  <c r="AI527" i="1" s="1"/>
  <c r="AF1038" i="1"/>
  <c r="AI1038" i="1" s="1"/>
  <c r="AF157" i="1"/>
  <c r="AI157" i="1" s="1"/>
  <c r="AF824" i="1"/>
  <c r="AI824" i="1" s="1"/>
  <c r="AF1604" i="1"/>
  <c r="AI1604" i="1" s="1"/>
  <c r="AF1574" i="1"/>
  <c r="AI1574" i="1" s="1"/>
  <c r="AF2319" i="1"/>
  <c r="AI2319" i="1" s="1"/>
  <c r="AF1391" i="1"/>
  <c r="AI1391" i="1" s="1"/>
  <c r="AF212" i="1"/>
  <c r="AI212" i="1" s="1"/>
  <c r="AF2364" i="1"/>
  <c r="AI2364" i="1" s="1"/>
  <c r="AF2678" i="1"/>
  <c r="AI2678" i="1" s="1"/>
  <c r="AF2623" i="1"/>
  <c r="AI2623" i="1" s="1"/>
  <c r="AF2781" i="1"/>
  <c r="AI2781" i="1" s="1"/>
  <c r="AF2594" i="1"/>
  <c r="AI2594" i="1" s="1"/>
  <c r="AF625" i="1"/>
  <c r="AI625" i="1" s="1"/>
  <c r="AF1291" i="1"/>
  <c r="AI1291" i="1" s="1"/>
  <c r="AF2461" i="1"/>
  <c r="AI2461" i="1" s="1"/>
  <c r="AF1320" i="1"/>
  <c r="AI1320" i="1" s="1"/>
  <c r="AF871" i="1"/>
  <c r="AI871" i="1" s="1"/>
  <c r="AF2365" i="1"/>
  <c r="AI2365" i="1" s="1"/>
  <c r="AF1084" i="1"/>
  <c r="AI1084" i="1" s="1"/>
  <c r="AF1508" i="1"/>
  <c r="AI1508" i="1" s="1"/>
  <c r="AF2280" i="1"/>
  <c r="AI2280" i="1" s="1"/>
  <c r="AF731" i="1"/>
  <c r="AI731" i="1" s="1"/>
  <c r="AF985" i="1"/>
  <c r="AI985" i="1" s="1"/>
  <c r="AF1321" i="1"/>
  <c r="AI1321" i="1" s="1"/>
  <c r="AF1345" i="1"/>
  <c r="AI1345" i="1" s="1"/>
  <c r="AF1442" i="1"/>
  <c r="AI1442" i="1" s="1"/>
  <c r="AF2243" i="1"/>
  <c r="AI2243" i="1" s="1"/>
  <c r="AF1572" i="1"/>
  <c r="AI1572" i="1" s="1"/>
  <c r="AF351" i="1"/>
  <c r="AI351" i="1" s="1"/>
  <c r="AF2637" i="1"/>
  <c r="AI2637" i="1" s="1"/>
  <c r="AF837" i="1"/>
  <c r="AI837" i="1" s="1"/>
  <c r="AF1985" i="1"/>
  <c r="AI1985" i="1" s="1"/>
  <c r="AF1885" i="1"/>
  <c r="AI1885" i="1" s="1"/>
  <c r="AF1523" i="1"/>
  <c r="AI1523" i="1" s="1"/>
  <c r="AF496" i="1"/>
  <c r="AI496" i="1" s="1"/>
  <c r="AF1858" i="1"/>
  <c r="AI1858" i="1" s="1"/>
  <c r="AF2449" i="1"/>
  <c r="AI2449" i="1" s="1"/>
  <c r="AF1660" i="1"/>
  <c r="AI1660" i="1" s="1"/>
  <c r="AF2335" i="1"/>
  <c r="AI2335" i="1" s="1"/>
  <c r="AF308" i="1"/>
  <c r="AI308" i="1" s="1"/>
  <c r="AF361" i="1"/>
  <c r="AI361" i="1" s="1"/>
  <c r="AF124" i="1"/>
  <c r="AI124" i="1" s="1"/>
  <c r="AF1874" i="1"/>
  <c r="AI1874" i="1" s="1"/>
  <c r="AF822" i="1"/>
  <c r="AI822" i="1" s="1"/>
  <c r="AF2568" i="1"/>
  <c r="AI2568" i="1" s="1"/>
  <c r="AF826" i="1"/>
  <c r="AI826" i="1" s="1"/>
  <c r="AF2535" i="1"/>
  <c r="AI2535" i="1" s="1"/>
  <c r="AF1816" i="1"/>
  <c r="AI1816" i="1" s="1"/>
  <c r="AF1068" i="1"/>
  <c r="AI1068" i="1" s="1"/>
  <c r="AF2570" i="1"/>
  <c r="AI2570" i="1" s="1"/>
  <c r="AF309" i="1"/>
  <c r="AI309" i="1" s="1"/>
  <c r="AF70" i="1"/>
  <c r="AI70" i="1" s="1"/>
  <c r="AF2315" i="1"/>
  <c r="AI2315" i="1" s="1"/>
  <c r="AF2704" i="1"/>
  <c r="AI2704" i="1" s="1"/>
  <c r="AF804" i="1"/>
  <c r="AI804" i="1" s="1"/>
  <c r="AF2432" i="1"/>
  <c r="AI2432" i="1" s="1"/>
  <c r="AF1262" i="1"/>
  <c r="AI1262" i="1" s="1"/>
  <c r="AF590" i="1"/>
  <c r="AI590" i="1" s="1"/>
  <c r="AF2697" i="1"/>
  <c r="AI2697" i="1" s="1"/>
  <c r="AF648" i="1"/>
  <c r="AI648" i="1" s="1"/>
  <c r="AF191" i="1"/>
  <c r="AI191" i="1" s="1"/>
  <c r="AF6" i="1"/>
  <c r="AI6" i="1" s="1"/>
  <c r="AF60" i="1"/>
  <c r="AI60" i="1" s="1"/>
  <c r="AF2582" i="1"/>
  <c r="AI2582" i="1" s="1"/>
  <c r="AF768" i="1"/>
  <c r="AI768" i="1" s="1"/>
  <c r="AF998" i="1"/>
  <c r="AI998" i="1" s="1"/>
  <c r="AF1131" i="1"/>
  <c r="AI1131" i="1" s="1"/>
  <c r="AF1590" i="1"/>
  <c r="AI1590" i="1" s="1"/>
  <c r="AF158" i="1"/>
  <c r="AI158" i="1" s="1"/>
  <c r="AF1208" i="1"/>
  <c r="AI1208" i="1" s="1"/>
  <c r="AF1636" i="1"/>
  <c r="AI1636" i="1" s="1"/>
  <c r="AF2074" i="1"/>
  <c r="AI2074" i="1" s="1"/>
  <c r="AF109" i="1"/>
  <c r="AI109" i="1" s="1"/>
  <c r="AF2748" i="1"/>
  <c r="AI2748" i="1" s="1"/>
  <c r="AF1780" i="1"/>
  <c r="AI1780" i="1" s="1"/>
  <c r="AF2481" i="1"/>
  <c r="AI2481" i="1" s="1"/>
  <c r="AF2170" i="1"/>
  <c r="AI2170" i="1" s="1"/>
  <c r="AF1414" i="1"/>
  <c r="AI1414" i="1" s="1"/>
  <c r="AF265" i="1"/>
  <c r="AI265" i="1" s="1"/>
  <c r="AF1748" i="1"/>
  <c r="AI1748" i="1" s="1"/>
  <c r="AF1494" i="1"/>
  <c r="AI1494" i="1" s="1"/>
  <c r="AF1720" i="1"/>
  <c r="AI1720" i="1" s="1"/>
  <c r="AF2520" i="1"/>
  <c r="AI2520" i="1" s="1"/>
  <c r="AF2026" i="1"/>
  <c r="AI2026" i="1" s="1"/>
  <c r="AF1451" i="1"/>
  <c r="AI1451" i="1" s="1"/>
  <c r="AF1777" i="1"/>
  <c r="AI1777" i="1" s="1"/>
  <c r="AF1154" i="1"/>
  <c r="AI1154" i="1" s="1"/>
  <c r="AF1587" i="1"/>
  <c r="AI1587" i="1" s="1"/>
  <c r="AF1031" i="1"/>
  <c r="AI1031" i="1" s="1"/>
  <c r="AF609" i="1"/>
  <c r="AI609" i="1" s="1"/>
  <c r="AF2518" i="1"/>
  <c r="AI2518" i="1" s="1"/>
  <c r="AF714" i="1"/>
  <c r="AI714" i="1" s="1"/>
  <c r="AF2747" i="1"/>
  <c r="AI2747" i="1" s="1"/>
  <c r="AF535" i="1"/>
  <c r="AI535" i="1" s="1"/>
  <c r="AF2446" i="1"/>
  <c r="AI2446" i="1" s="1"/>
  <c r="AF2441" i="1"/>
  <c r="AI2441" i="1" s="1"/>
  <c r="AF2215" i="1"/>
  <c r="AI2215" i="1" s="1"/>
  <c r="AF840" i="1"/>
  <c r="AI840" i="1" s="1"/>
  <c r="AF2167" i="1"/>
  <c r="AI2167" i="1" s="1"/>
  <c r="AF694" i="1"/>
  <c r="AI694" i="1" s="1"/>
  <c r="AF1240" i="1"/>
  <c r="AI1240" i="1" s="1"/>
  <c r="AF208" i="1"/>
  <c r="AI208" i="1" s="1"/>
  <c r="AF979" i="1"/>
  <c r="AI979" i="1" s="1"/>
  <c r="AF1648" i="1"/>
  <c r="AI1648" i="1" s="1"/>
  <c r="AF1589" i="1"/>
  <c r="AI1589" i="1" s="1"/>
  <c r="AF1582" i="1"/>
  <c r="AI1582" i="1" s="1"/>
  <c r="AF1378" i="1"/>
  <c r="AI1378" i="1" s="1"/>
  <c r="AF299" i="1"/>
  <c r="AI299" i="1" s="1"/>
  <c r="AF2131" i="1"/>
  <c r="AI2131" i="1" s="1"/>
  <c r="AF255" i="1"/>
  <c r="AI255" i="1" s="1"/>
  <c r="AF2693" i="1"/>
  <c r="AI2693" i="1" s="1"/>
  <c r="AF942" i="1"/>
  <c r="AI942" i="1" s="1"/>
  <c r="AF649" i="1"/>
  <c r="AI649" i="1" s="1"/>
  <c r="AF1448" i="1"/>
  <c r="AI1448" i="1" s="1"/>
  <c r="AF2350" i="1"/>
  <c r="AI2350" i="1" s="1"/>
  <c r="AF54" i="1"/>
  <c r="AI54" i="1" s="1"/>
  <c r="AF173" i="1"/>
  <c r="AI173" i="1" s="1"/>
  <c r="AF12" i="1"/>
  <c r="AI12" i="1" s="1"/>
  <c r="AF1420" i="1"/>
  <c r="AI1420" i="1" s="1"/>
  <c r="AF316" i="1"/>
  <c r="AI316" i="1" s="1"/>
  <c r="AF2181" i="1"/>
  <c r="AI2181" i="1" s="1"/>
  <c r="AF2108" i="1"/>
  <c r="AI2108" i="1" s="1"/>
  <c r="AF2543" i="1"/>
  <c r="AI2543" i="1" s="1"/>
  <c r="AF806" i="1"/>
  <c r="AI806" i="1" s="1"/>
  <c r="AF1778" i="1"/>
  <c r="AI1778" i="1" s="1"/>
  <c r="AF682" i="1"/>
  <c r="AI682" i="1" s="1"/>
  <c r="AF2750" i="1"/>
  <c r="AI2750" i="1" s="1"/>
  <c r="AF2755" i="1"/>
  <c r="AI2755" i="1" s="1"/>
  <c r="AF917" i="1"/>
  <c r="AI917" i="1" s="1"/>
  <c r="AF40" i="1"/>
  <c r="AI40" i="1" s="1"/>
  <c r="AF1483" i="1"/>
  <c r="AI1483" i="1" s="1"/>
  <c r="AF1710" i="1"/>
  <c r="AI1710" i="1" s="1"/>
  <c r="AF1891" i="1"/>
  <c r="AI1891" i="1" s="1"/>
  <c r="AF2690" i="1"/>
  <c r="AI2690" i="1" s="1"/>
  <c r="AF691" i="1"/>
  <c r="AI691" i="1" s="1"/>
  <c r="AF1329" i="1"/>
  <c r="AI1329" i="1" s="1"/>
  <c r="AF2492" i="1"/>
  <c r="AI2492" i="1" s="1"/>
  <c r="AF1495" i="1"/>
  <c r="AI1495" i="1" s="1"/>
  <c r="AF188" i="1"/>
  <c r="AI188" i="1" s="1"/>
  <c r="AF1498" i="1"/>
  <c r="AI1498" i="1" s="1"/>
  <c r="AF2259" i="1"/>
  <c r="AI2259" i="1" s="1"/>
  <c r="AF1430" i="1"/>
  <c r="AI1430" i="1" s="1"/>
  <c r="AF2339" i="1"/>
  <c r="AI2339" i="1" s="1"/>
  <c r="AF1105" i="1"/>
  <c r="AI1105" i="1" s="1"/>
  <c r="AF117" i="1"/>
  <c r="AI117" i="1" s="1"/>
  <c r="AF400" i="1"/>
  <c r="AI400" i="1" s="1"/>
  <c r="AF1828" i="1"/>
  <c r="AI1828" i="1" s="1"/>
  <c r="AF1584" i="1"/>
  <c r="AI1584" i="1" s="1"/>
  <c r="AF1138" i="1"/>
  <c r="AI1138" i="1" s="1"/>
  <c r="AF970" i="1"/>
  <c r="AI970" i="1" s="1"/>
  <c r="AF2464" i="1"/>
  <c r="AI2464" i="1" s="1"/>
  <c r="AF505" i="1"/>
  <c r="AI505" i="1" s="1"/>
  <c r="AF1170" i="1"/>
  <c r="AI1170" i="1" s="1"/>
  <c r="AF716" i="1"/>
  <c r="AI716" i="1" s="1"/>
  <c r="AF2229" i="1"/>
  <c r="AI2229" i="1" s="1"/>
  <c r="AF1340" i="1"/>
  <c r="AI1340" i="1" s="1"/>
  <c r="AF301" i="1"/>
  <c r="AI301" i="1" s="1"/>
  <c r="AF83" i="1"/>
  <c r="AI83" i="1" s="1"/>
  <c r="AF743" i="1"/>
  <c r="AI743" i="1" s="1"/>
  <c r="AF1267" i="1"/>
  <c r="AI1267" i="1" s="1"/>
  <c r="AF368" i="1"/>
  <c r="AI368" i="1" s="1"/>
  <c r="AF664" i="1"/>
  <c r="AI664" i="1" s="1"/>
  <c r="AF1427" i="1"/>
  <c r="AI1427" i="1" s="1"/>
  <c r="AF578" i="1"/>
  <c r="AI578" i="1" s="1"/>
  <c r="AF1263" i="1"/>
  <c r="AI1263" i="1" s="1"/>
  <c r="AF1220" i="1"/>
  <c r="AI1220" i="1" s="1"/>
  <c r="AF2737" i="1"/>
  <c r="AI2737" i="1" s="1"/>
  <c r="AF1655" i="1"/>
  <c r="AI1655" i="1" s="1"/>
  <c r="AF982" i="1"/>
  <c r="AI982" i="1" s="1"/>
  <c r="AF1251" i="1"/>
  <c r="AI1251" i="1" s="1"/>
  <c r="AF488" i="1"/>
  <c r="AI488" i="1" s="1"/>
  <c r="AF250" i="1"/>
  <c r="AI250" i="1" s="1"/>
  <c r="AF386" i="1"/>
  <c r="AI386" i="1" s="1"/>
  <c r="AF238" i="1"/>
  <c r="AI238" i="1" s="1"/>
  <c r="AF616" i="1"/>
  <c r="AI616" i="1" s="1"/>
  <c r="AF2254" i="1"/>
  <c r="AI2254" i="1" s="1"/>
  <c r="AF1177" i="1"/>
  <c r="AI1177" i="1" s="1"/>
  <c r="AF1683" i="1"/>
  <c r="AI1683" i="1" s="1"/>
  <c r="AF1857" i="1"/>
  <c r="AI1857" i="1" s="1"/>
  <c r="AF778" i="1"/>
  <c r="AI778" i="1" s="1"/>
  <c r="AF1591" i="1"/>
  <c r="AI1591" i="1" s="1"/>
  <c r="AF415" i="1"/>
  <c r="AI415" i="1" s="1"/>
  <c r="AF11" i="1"/>
  <c r="AI11" i="1" s="1"/>
  <c r="AF1988" i="1"/>
  <c r="AI1988" i="1" s="1"/>
  <c r="AF877" i="1"/>
  <c r="AI877" i="1" s="1"/>
  <c r="AF1174" i="1"/>
  <c r="AI1174" i="1" s="1"/>
  <c r="AF310" i="1"/>
  <c r="AI310" i="1" s="1"/>
  <c r="AF2083" i="1"/>
  <c r="AI2083" i="1" s="1"/>
  <c r="AF2599" i="1"/>
  <c r="AI2599" i="1" s="1"/>
  <c r="AF1352" i="1"/>
  <c r="AI1352" i="1" s="1"/>
  <c r="AF653" i="1"/>
  <c r="AI653" i="1" s="1"/>
  <c r="AF960" i="1"/>
  <c r="AI960" i="1" s="1"/>
  <c r="AF1365" i="1"/>
  <c r="AI1365" i="1" s="1"/>
  <c r="AF1802" i="1"/>
  <c r="AI1802" i="1" s="1"/>
  <c r="AF2009" i="1"/>
  <c r="AI2009" i="1" s="1"/>
  <c r="AF2429" i="1"/>
  <c r="AI2429" i="1" s="1"/>
  <c r="AF2098" i="1"/>
  <c r="AI2098" i="1" s="1"/>
  <c r="AF2502" i="1"/>
  <c r="AI2502" i="1" s="1"/>
  <c r="AF2378" i="1"/>
  <c r="AI2378" i="1" s="1"/>
  <c r="AF2695" i="1"/>
  <c r="AI2695" i="1" s="1"/>
  <c r="AF1895" i="1"/>
  <c r="AI1895" i="1" s="1"/>
  <c r="AF1392" i="1"/>
  <c r="AI1392" i="1" s="1"/>
  <c r="AF209" i="1"/>
  <c r="AI209" i="1" s="1"/>
  <c r="AF427" i="1"/>
  <c r="AI427" i="1" s="1"/>
  <c r="AF2736" i="1"/>
  <c r="AI2736" i="1" s="1"/>
  <c r="AF1124" i="1"/>
  <c r="AI1124" i="1" s="1"/>
  <c r="AF1607" i="1"/>
  <c r="AI1607" i="1" s="1"/>
  <c r="AF1041" i="1"/>
  <c r="AI1041" i="1" s="1"/>
  <c r="AF1455" i="1"/>
  <c r="AI1455" i="1" s="1"/>
  <c r="AF257" i="1"/>
  <c r="AI257" i="1" s="1"/>
  <c r="AF1537" i="1"/>
  <c r="AI1537" i="1" s="1"/>
  <c r="AF587" i="1"/>
  <c r="AI587" i="1" s="1"/>
  <c r="AF396" i="1"/>
  <c r="AI396" i="1" s="1"/>
  <c r="AF432" i="1"/>
  <c r="AI432" i="1" s="1"/>
  <c r="AF1872" i="1"/>
  <c r="AI1872" i="1" s="1"/>
  <c r="AF1637" i="1"/>
  <c r="AI1637" i="1" s="1"/>
  <c r="AF1933" i="1"/>
  <c r="AI1933" i="1" s="1"/>
  <c r="AF1577" i="1"/>
  <c r="AI1577" i="1" s="1"/>
  <c r="AF1093" i="1"/>
  <c r="AI1093" i="1" s="1"/>
  <c r="AF1327" i="1"/>
  <c r="AI1327" i="1" s="1"/>
  <c r="AF2214" i="1"/>
  <c r="AI2214" i="1" s="1"/>
  <c r="AF2547" i="1"/>
  <c r="AI2547" i="1" s="1"/>
  <c r="AF403" i="1"/>
  <c r="AI403" i="1" s="1"/>
  <c r="AF1297" i="1"/>
  <c r="AI1297" i="1" s="1"/>
  <c r="AF670" i="1"/>
  <c r="AI670" i="1" s="1"/>
  <c r="AF1597" i="1"/>
  <c r="AI1597" i="1" s="1"/>
  <c r="AF2084" i="1"/>
  <c r="AI2084" i="1" s="1"/>
  <c r="AF1649" i="1"/>
  <c r="AI1649" i="1" s="1"/>
  <c r="AF2550" i="1"/>
  <c r="AI2550" i="1" s="1"/>
  <c r="AF1274" i="1"/>
  <c r="AI1274" i="1" s="1"/>
  <c r="AF1705" i="1"/>
  <c r="AI1705" i="1" s="1"/>
  <c r="AF1003" i="1"/>
  <c r="AI1003" i="1" s="1"/>
  <c r="AF1773" i="1"/>
  <c r="AI1773" i="1" s="1"/>
  <c r="AF371" i="1"/>
  <c r="AI371" i="1" s="1"/>
  <c r="AF1479" i="1"/>
  <c r="AI1479" i="1" s="1"/>
  <c r="AF198" i="1"/>
  <c r="AI198" i="1" s="1"/>
  <c r="AF514" i="1"/>
  <c r="AI514" i="1" s="1"/>
  <c r="AF759" i="1"/>
  <c r="AI759" i="1" s="1"/>
  <c r="AF1396" i="1"/>
  <c r="AI1396" i="1" s="1"/>
  <c r="AF2148" i="1"/>
  <c r="AI2148" i="1" s="1"/>
  <c r="AF1657" i="1"/>
  <c r="AI1657" i="1" s="1"/>
  <c r="AF1302" i="1"/>
  <c r="AI1302" i="1" s="1"/>
  <c r="AF470" i="1"/>
  <c r="AI470" i="1" s="1"/>
  <c r="AF2393" i="1"/>
  <c r="AI2393" i="1" s="1"/>
  <c r="AF2266" i="1"/>
  <c r="AI2266" i="1" s="1"/>
  <c r="AF69" i="1"/>
  <c r="AI69" i="1" s="1"/>
  <c r="AF2273" i="1"/>
  <c r="AI2273" i="1" s="1"/>
  <c r="AF612" i="1"/>
  <c r="AI612" i="1" s="1"/>
  <c r="AF300" i="1"/>
  <c r="AI300" i="1" s="1"/>
  <c r="AF2168" i="1"/>
  <c r="AI2168" i="1" s="1"/>
  <c r="AF2490" i="1"/>
  <c r="AI2490" i="1" s="1"/>
  <c r="AF1356" i="1"/>
  <c r="AI1356" i="1" s="1"/>
  <c r="AF1166" i="1"/>
  <c r="AI1166" i="1" s="1"/>
  <c r="AF1928" i="1"/>
  <c r="AI1928" i="1" s="1"/>
  <c r="AF1029" i="1"/>
  <c r="AI1029" i="1" s="1"/>
  <c r="AF2776" i="1"/>
  <c r="AI2776" i="1" s="1"/>
  <c r="AF58" i="1"/>
  <c r="AI58" i="1" s="1"/>
  <c r="AF2698" i="1"/>
  <c r="AI2698" i="1" s="1"/>
  <c r="AF2044" i="1"/>
  <c r="AI2044" i="1" s="1"/>
  <c r="AF749" i="1"/>
  <c r="AI749" i="1" s="1"/>
  <c r="AF1305" i="1"/>
  <c r="AI1305" i="1" s="1"/>
  <c r="AF1573" i="1"/>
  <c r="AI1573" i="1" s="1"/>
  <c r="AF1058" i="1"/>
  <c r="AI1058" i="1" s="1"/>
  <c r="AF1034" i="1"/>
  <c r="AI1034" i="1" s="1"/>
  <c r="AF1076" i="1"/>
  <c r="AI1076" i="1" s="1"/>
  <c r="AF2681" i="1"/>
  <c r="AI2681" i="1" s="1"/>
  <c r="AF245" i="1"/>
  <c r="AI245" i="1" s="1"/>
  <c r="AF1026" i="1"/>
  <c r="AI1026" i="1" s="1"/>
  <c r="AF2666" i="1"/>
  <c r="AI2666" i="1" s="1"/>
  <c r="AF724" i="1"/>
  <c r="AI724" i="1" s="1"/>
  <c r="AF551" i="1"/>
  <c r="AI551" i="1" s="1"/>
  <c r="AF1612" i="1"/>
  <c r="AI1612" i="1" s="1"/>
  <c r="AF2508" i="1"/>
  <c r="AI2508" i="1" s="1"/>
  <c r="AF1119" i="1"/>
  <c r="AI1119" i="1" s="1"/>
  <c r="AF1282" i="1"/>
  <c r="AI1282" i="1" s="1"/>
  <c r="AF2675" i="1"/>
  <c r="AI2675" i="1" s="1"/>
  <c r="AF1879" i="1"/>
  <c r="AI1879" i="1" s="1"/>
  <c r="AF507" i="1"/>
  <c r="AI507" i="1" s="1"/>
  <c r="AF1981" i="1"/>
  <c r="AI1981" i="1" s="1"/>
  <c r="AF1089" i="1"/>
  <c r="AI1089" i="1" s="1"/>
  <c r="AF582" i="1"/>
  <c r="AI582" i="1" s="1"/>
  <c r="AF1976" i="1"/>
  <c r="AI1976" i="1" s="1"/>
  <c r="AF989" i="1"/>
  <c r="AI989" i="1" s="1"/>
  <c r="AF2329" i="1"/>
  <c r="AI2329" i="1" s="1"/>
  <c r="AF2195" i="1"/>
  <c r="AI2195" i="1" s="1"/>
  <c r="AF1943" i="1"/>
  <c r="AI1943" i="1" s="1"/>
  <c r="AF1343" i="1"/>
  <c r="AI1343" i="1" s="1"/>
  <c r="AF1358" i="1"/>
  <c r="AI1358" i="1" s="1"/>
  <c r="AF762" i="1"/>
  <c r="AI762" i="1" s="1"/>
  <c r="AF1709" i="1"/>
  <c r="AI1709" i="1" s="1"/>
  <c r="AF2562" i="1"/>
  <c r="AI2562" i="1" s="1"/>
  <c r="AF1419" i="1"/>
  <c r="AI1419" i="1" s="1"/>
  <c r="AF1603" i="1"/>
  <c r="AI1603" i="1" s="1"/>
  <c r="AF460" i="1"/>
  <c r="AI460" i="1" s="1"/>
  <c r="AF435" i="1"/>
  <c r="AI435" i="1" s="1"/>
  <c r="AF382" i="1"/>
  <c r="AI382" i="1" s="1"/>
  <c r="AF1493" i="1"/>
  <c r="AI1493" i="1" s="1"/>
  <c r="AF77" i="1"/>
  <c r="AI77" i="1" s="1"/>
  <c r="AF569" i="1"/>
  <c r="AI569" i="1" s="1"/>
  <c r="AF320" i="1"/>
  <c r="AI320" i="1" s="1"/>
  <c r="AF2246" i="1"/>
  <c r="AI2246" i="1" s="1"/>
  <c r="AF511" i="1"/>
  <c r="AI511" i="1" s="1"/>
  <c r="AF1238" i="1"/>
  <c r="AI1238" i="1" s="1"/>
  <c r="AF1146" i="1"/>
  <c r="AI1146" i="1" s="1"/>
  <c r="AF302" i="1"/>
  <c r="AI302" i="1" s="1"/>
  <c r="AF2628" i="1"/>
  <c r="AI2628" i="1" s="1"/>
  <c r="AF1903" i="1"/>
  <c r="AI1903" i="1" s="1"/>
  <c r="AF863" i="1"/>
  <c r="AI863" i="1" s="1"/>
  <c r="AF1737" i="1"/>
  <c r="AI1737" i="1" s="1"/>
  <c r="AF2153" i="1"/>
  <c r="AI2153" i="1" s="1"/>
  <c r="AF2247" i="1"/>
  <c r="AI2247" i="1" s="1"/>
  <c r="AF493" i="1"/>
  <c r="AI493" i="1" s="1"/>
  <c r="AF634" i="1"/>
  <c r="AI634" i="1" s="1"/>
  <c r="AF1898" i="1"/>
  <c r="AI1898" i="1" s="1"/>
  <c r="AF2612" i="1"/>
  <c r="AI2612" i="1" s="1"/>
  <c r="AF1934" i="1"/>
  <c r="AI1934" i="1" s="1"/>
  <c r="AF2235" i="1"/>
  <c r="AI2235" i="1" s="1"/>
  <c r="AF2472" i="1"/>
  <c r="AI2472" i="1" s="1"/>
  <c r="AF1768" i="1"/>
  <c r="AI1768" i="1" s="1"/>
  <c r="AF354" i="1"/>
  <c r="AI354" i="1" s="1"/>
  <c r="AF1213" i="1"/>
  <c r="AI1213" i="1" s="1"/>
  <c r="AF779" i="1"/>
  <c r="AI779" i="1" s="1"/>
  <c r="AF2434" i="1"/>
  <c r="AI2434" i="1" s="1"/>
  <c r="AF1825" i="1"/>
  <c r="AI1825" i="1" s="1"/>
  <c r="AF1969" i="1"/>
  <c r="AI1969" i="1" s="1"/>
  <c r="AF533" i="1"/>
  <c r="AI533" i="1" s="1"/>
  <c r="AF2644" i="1"/>
  <c r="AI2644" i="1" s="1"/>
  <c r="AF304" i="1"/>
  <c r="AI304" i="1" s="1"/>
  <c r="AF678" i="1"/>
  <c r="AI678" i="1" s="1"/>
  <c r="AF1445" i="1"/>
  <c r="AI1445" i="1" s="1"/>
  <c r="AF2553" i="1"/>
  <c r="AI2553" i="1" s="1"/>
  <c r="AF1902" i="1"/>
  <c r="AI1902" i="1" s="1"/>
  <c r="AF845" i="1"/>
  <c r="AI845" i="1" s="1"/>
  <c r="AF504" i="1"/>
  <c r="AI504" i="1" s="1"/>
  <c r="AF1765" i="1"/>
  <c r="AI1765" i="1" s="1"/>
  <c r="AF285" i="1"/>
  <c r="AI285" i="1" s="1"/>
  <c r="AF1110" i="1"/>
  <c r="AI1110" i="1" s="1"/>
  <c r="AF919" i="1"/>
  <c r="AI919" i="1" s="1"/>
  <c r="AF1074" i="1"/>
  <c r="AI1074" i="1" s="1"/>
  <c r="AF341" i="1"/>
  <c r="AI341" i="1" s="1"/>
  <c r="AF2719" i="1"/>
  <c r="AI2719" i="1" s="1"/>
  <c r="AF1417" i="1"/>
  <c r="AI1417" i="1" s="1"/>
  <c r="AF2774" i="1"/>
  <c r="AI2774" i="1" s="1"/>
  <c r="AF517" i="1"/>
  <c r="AI517" i="1" s="1"/>
  <c r="AF2468" i="1"/>
  <c r="AI2468" i="1" s="1"/>
  <c r="AF1761" i="1"/>
  <c r="AI1761" i="1" s="1"/>
  <c r="AF610" i="1"/>
  <c r="AI610" i="1" s="1"/>
  <c r="AF1553" i="1"/>
  <c r="AI1553" i="1" s="1"/>
  <c r="AF1095" i="1"/>
  <c r="AI1095" i="1" s="1"/>
  <c r="AF1714" i="1"/>
  <c r="AI1714" i="1" s="1"/>
  <c r="AF901" i="1"/>
  <c r="AI901" i="1" s="1"/>
  <c r="AF2055" i="1"/>
  <c r="AI2055" i="1" s="1"/>
  <c r="AF2328" i="1"/>
  <c r="AI2328" i="1" s="1"/>
  <c r="AF453" i="1"/>
  <c r="AI453" i="1" s="1"/>
  <c r="AF1635" i="1"/>
  <c r="AI1635" i="1" s="1"/>
  <c r="AF1341" i="1"/>
  <c r="AI1341" i="1" s="1"/>
  <c r="AF2395" i="1"/>
  <c r="AI2395" i="1" s="1"/>
  <c r="AF1071" i="1"/>
  <c r="AI1071" i="1" s="1"/>
  <c r="AF1579" i="1"/>
  <c r="AI1579" i="1" s="1"/>
  <c r="AF1099" i="1"/>
  <c r="AI1099" i="1" s="1"/>
  <c r="AF2139" i="1"/>
  <c r="AI2139" i="1" s="1"/>
  <c r="AF1881" i="1"/>
  <c r="AI1881" i="1" s="1"/>
  <c r="AF1840" i="1"/>
  <c r="AI1840" i="1" s="1"/>
  <c r="AF2309" i="1"/>
  <c r="AI2309" i="1" s="1"/>
  <c r="AF599" i="1"/>
  <c r="AI599" i="1" s="1"/>
  <c r="AF734" i="1"/>
  <c r="AI734" i="1" s="1"/>
  <c r="AF1966" i="1"/>
  <c r="AI1966" i="1" s="1"/>
  <c r="AF239" i="1"/>
  <c r="AI239" i="1" s="1"/>
  <c r="AF1201" i="1"/>
  <c r="AI1201" i="1" s="1"/>
  <c r="AF1741" i="1"/>
  <c r="AI1741" i="1" s="1"/>
  <c r="AF1719" i="1"/>
  <c r="AI1719" i="1" s="1"/>
  <c r="AF2180" i="1"/>
  <c r="AI2180" i="1" s="1"/>
  <c r="AF1264" i="1"/>
  <c r="AI1264" i="1" s="1"/>
  <c r="AF2561" i="1"/>
  <c r="AI2561" i="1" s="1"/>
  <c r="AF2129" i="1"/>
  <c r="AI2129" i="1" s="1"/>
  <c r="AF278" i="1"/>
  <c r="AI278" i="1" s="1"/>
  <c r="AF295" i="1"/>
  <c r="AI295" i="1" s="1"/>
  <c r="AF715" i="1"/>
  <c r="AI715" i="1" s="1"/>
  <c r="AF2739" i="1"/>
  <c r="AI2739" i="1" s="1"/>
  <c r="AF1774" i="1"/>
  <c r="AI1774" i="1" s="1"/>
  <c r="AF2672" i="1"/>
  <c r="AI2672" i="1" s="1"/>
  <c r="AF1193" i="1"/>
  <c r="AI1193" i="1" s="1"/>
  <c r="AF1004" i="1"/>
  <c r="AI1004" i="1" s="1"/>
  <c r="AF1140" i="1"/>
  <c r="AI1140" i="1" s="1"/>
  <c r="AF1633" i="1"/>
  <c r="AI1633" i="1" s="1"/>
  <c r="AF1215" i="1"/>
  <c r="AI1215" i="1" s="1"/>
  <c r="AF2236" i="1"/>
  <c r="AI2236" i="1" s="1"/>
  <c r="AF750" i="1"/>
  <c r="AI750" i="1" s="1"/>
  <c r="AF152" i="1"/>
  <c r="AI152" i="1" s="1"/>
  <c r="AF1466" i="1"/>
  <c r="AI1466" i="1" s="1"/>
  <c r="AF918" i="1"/>
  <c r="AI918" i="1" s="1"/>
  <c r="AF42" i="1"/>
  <c r="AI42" i="1" s="1"/>
  <c r="AF264" i="1"/>
  <c r="AI264" i="1" s="1"/>
  <c r="AF1740" i="1"/>
  <c r="AI1740" i="1" s="1"/>
  <c r="AF1617" i="1"/>
  <c r="AI1617" i="1" s="1"/>
  <c r="AF2151" i="1"/>
  <c r="AI2151" i="1" s="1"/>
  <c r="AF423" i="1"/>
  <c r="AI423" i="1" s="1"/>
  <c r="AF2159" i="1"/>
  <c r="AI2159" i="1" s="1"/>
  <c r="AF2051" i="1"/>
  <c r="AI2051" i="1" s="1"/>
  <c r="AF94" i="1"/>
  <c r="AI94" i="1" s="1"/>
  <c r="AF813" i="1"/>
  <c r="AI813" i="1" s="1"/>
  <c r="AF63" i="1"/>
  <c r="AI63" i="1" s="1"/>
  <c r="AF2183" i="1"/>
  <c r="AI2183" i="1" s="1"/>
  <c r="AF33" i="1"/>
  <c r="AI33" i="1" s="1"/>
  <c r="AF2638" i="1"/>
  <c r="AI2638" i="1" s="1"/>
  <c r="AF1834" i="1"/>
  <c r="AI1834" i="1" s="1"/>
  <c r="AF1383" i="1"/>
  <c r="AI1383" i="1" s="1"/>
  <c r="AF785" i="1"/>
  <c r="AI785" i="1" s="1"/>
  <c r="AF1510" i="1"/>
  <c r="AI1510" i="1" s="1"/>
  <c r="AF2424" i="1"/>
  <c r="AI2424" i="1" s="1"/>
  <c r="AF1569" i="1"/>
  <c r="AI1569" i="1" s="1"/>
  <c r="AF882" i="1"/>
  <c r="AI882" i="1" s="1"/>
  <c r="AF879" i="1"/>
  <c r="AI879" i="1" s="1"/>
  <c r="AF1646" i="1"/>
  <c r="AI1646" i="1" s="1"/>
  <c r="AF1134" i="1"/>
  <c r="AI1134" i="1" s="1"/>
  <c r="AF2284" i="1"/>
  <c r="AI2284" i="1" s="1"/>
  <c r="AF1183" i="1"/>
  <c r="AI1183" i="1" s="1"/>
  <c r="AF834" i="1"/>
  <c r="AI834" i="1" s="1"/>
  <c r="AF28" i="1"/>
  <c r="AI28" i="1" s="1"/>
  <c r="AF2071" i="1"/>
  <c r="AI2071" i="1" s="1"/>
  <c r="AF45" i="1"/>
  <c r="AI45" i="1" s="1"/>
  <c r="AF2040" i="1"/>
  <c r="AI2040" i="1" s="1"/>
  <c r="AF632" i="1"/>
  <c r="AI632" i="1" s="1"/>
  <c r="AF48" i="1"/>
  <c r="AI48" i="1" s="1"/>
  <c r="AF184" i="1"/>
  <c r="AI184" i="1" s="1"/>
  <c r="AF1056" i="1"/>
  <c r="AI1056" i="1" s="1"/>
  <c r="AF2392" i="1"/>
  <c r="AI2392" i="1" s="1"/>
  <c r="AF1686" i="1"/>
  <c r="AI1686" i="1" s="1"/>
  <c r="AF2062" i="1"/>
  <c r="AI2062" i="1" s="1"/>
  <c r="AF1485" i="1"/>
  <c r="AI1485" i="1" s="1"/>
  <c r="AF893" i="1"/>
  <c r="AI893" i="1" s="1"/>
  <c r="AF2603" i="1"/>
  <c r="AI2603" i="1" s="1"/>
  <c r="AF1726" i="1"/>
  <c r="AI1726" i="1" s="1"/>
  <c r="AF1033" i="1"/>
  <c r="AI1033" i="1" s="1"/>
  <c r="AF1158" i="1"/>
  <c r="AI1158" i="1" s="1"/>
  <c r="AF2702" i="1"/>
  <c r="AI2702" i="1" s="1"/>
  <c r="AF1403" i="1"/>
  <c r="AI1403" i="1" s="1"/>
  <c r="AF986" i="1"/>
  <c r="AI986" i="1" s="1"/>
  <c r="AF55" i="1"/>
  <c r="AI55" i="1" s="1"/>
  <c r="AF886" i="1"/>
  <c r="AI886" i="1" s="1"/>
  <c r="AF39" i="1"/>
  <c r="AI39" i="1" s="1"/>
  <c r="AF259" i="1"/>
  <c r="AI259" i="1" s="1"/>
  <c r="AF280" i="1"/>
  <c r="AI280" i="1" s="1"/>
  <c r="AF1782" i="1"/>
  <c r="AI1782" i="1" s="1"/>
  <c r="AF2020" i="1"/>
  <c r="AI2020" i="1" s="1"/>
  <c r="AF437" i="1"/>
  <c r="AI437" i="1" s="1"/>
  <c r="AF1353" i="1"/>
  <c r="AI1353" i="1" s="1"/>
  <c r="AF2538" i="1"/>
  <c r="AI2538" i="1" s="1"/>
  <c r="AF2615" i="1"/>
  <c r="AI2615" i="1" s="1"/>
  <c r="AF2608" i="1"/>
  <c r="AI2608" i="1" s="1"/>
  <c r="AF2165" i="1"/>
  <c r="AI2165" i="1" s="1"/>
  <c r="AF306" i="1"/>
  <c r="AI306" i="1" s="1"/>
  <c r="AF911" i="1"/>
  <c r="AI911" i="1" s="1"/>
  <c r="AF2696" i="1"/>
  <c r="AI2696" i="1" s="1"/>
  <c r="AF1278" i="1"/>
  <c r="AI1278" i="1" s="1"/>
  <c r="AF204" i="1"/>
  <c r="AI204" i="1" s="1"/>
  <c r="AF1914" i="1"/>
  <c r="AI1914" i="1" s="1"/>
  <c r="AF2016" i="1"/>
  <c r="AI2016" i="1" s="1"/>
  <c r="AF1811" i="1"/>
  <c r="AI1811" i="1" s="1"/>
  <c r="AF859" i="1"/>
  <c r="AI859" i="1" s="1"/>
  <c r="AF155" i="1"/>
  <c r="AI155" i="1" s="1"/>
  <c r="AF1039" i="1"/>
  <c r="AI1039" i="1" s="1"/>
  <c r="AF964" i="1"/>
  <c r="AI964" i="1" s="1"/>
  <c r="AF2279" i="1"/>
  <c r="AI2279" i="1" s="1"/>
  <c r="AF2767" i="1"/>
  <c r="AI2767" i="1" s="1"/>
  <c r="AF2370" i="1"/>
  <c r="AI2370" i="1" s="1"/>
  <c r="AF2614" i="1"/>
  <c r="AI2614" i="1" s="1"/>
  <c r="AF2527" i="1"/>
  <c r="AI2527" i="1" s="1"/>
  <c r="AF2465" i="1"/>
  <c r="AI2465" i="1" s="1"/>
  <c r="AF221" i="1"/>
  <c r="AI221" i="1" s="1"/>
  <c r="AF2407" i="1"/>
  <c r="AI2407" i="1" s="1"/>
  <c r="AF21" i="1"/>
  <c r="AI21" i="1" s="1"/>
  <c r="AF311" i="1"/>
  <c r="AI311" i="1" s="1"/>
  <c r="AF315" i="1"/>
  <c r="AI315" i="1" s="1"/>
  <c r="AF479" i="1"/>
  <c r="AI479" i="1" s="1"/>
  <c r="AF381" i="1"/>
  <c r="AI381" i="1" s="1"/>
  <c r="AF2116" i="1"/>
  <c r="AI2116" i="1" s="1"/>
  <c r="AF1406" i="1"/>
  <c r="AI1406" i="1" s="1"/>
  <c r="AF434" i="1"/>
  <c r="AI434" i="1" s="1"/>
  <c r="AF543" i="1"/>
  <c r="AI543" i="1" s="1"/>
  <c r="AF2676" i="1"/>
  <c r="AI2676" i="1" s="1"/>
  <c r="AF1578" i="1"/>
  <c r="AI1578" i="1" s="1"/>
  <c r="AF401" i="1"/>
  <c r="AI401" i="1" s="1"/>
  <c r="AF1217" i="1"/>
  <c r="AI1217" i="1" s="1"/>
  <c r="AF262" i="1"/>
  <c r="AI262" i="1" s="1"/>
  <c r="AF558" i="1"/>
  <c r="AI558" i="1" s="1"/>
  <c r="AF2323" i="1"/>
  <c r="AI2323" i="1" s="1"/>
  <c r="AF1670" i="1"/>
  <c r="AI1670" i="1" s="1"/>
  <c r="AF1181" i="1"/>
  <c r="AI1181" i="1" s="1"/>
  <c r="AF49" i="1"/>
  <c r="AI49" i="1" s="1"/>
  <c r="AF1196" i="1"/>
  <c r="AI1196" i="1" s="1"/>
  <c r="AF1155" i="1"/>
  <c r="AI1155" i="1" s="1"/>
  <c r="AF1711" i="1"/>
  <c r="AI1711" i="1" s="1"/>
  <c r="AF585" i="1"/>
  <c r="AI585" i="1" s="1"/>
  <c r="AF1905" i="1"/>
  <c r="AI1905" i="1" s="1"/>
  <c r="AF900" i="1"/>
  <c r="AI900" i="1" s="1"/>
  <c r="AF2196" i="1"/>
  <c r="AI2196" i="1" s="1"/>
  <c r="AF1159" i="1"/>
  <c r="AI1159" i="1" s="1"/>
  <c r="AF2187" i="1"/>
  <c r="AI2187" i="1" s="1"/>
  <c r="AF296" i="1"/>
  <c r="AI296" i="1" s="1"/>
  <c r="AF165" i="1"/>
  <c r="AI165" i="1" s="1"/>
  <c r="AF1371" i="1"/>
  <c r="AI1371" i="1" s="1"/>
  <c r="AF1245" i="1"/>
  <c r="AI1245" i="1" s="1"/>
  <c r="AF1528" i="1"/>
  <c r="AI1528" i="1" s="1"/>
  <c r="AF2495" i="1"/>
  <c r="AI2495" i="1" s="1"/>
  <c r="AF1827" i="1"/>
  <c r="AI1827" i="1" s="1"/>
  <c r="AF2134" i="1"/>
  <c r="AI2134" i="1" s="1"/>
  <c r="AF344" i="1"/>
  <c r="AI344" i="1" s="1"/>
  <c r="AF831" i="1"/>
  <c r="AI831" i="1" s="1"/>
  <c r="AF421" i="1"/>
  <c r="AI421" i="1" s="1"/>
  <c r="AF104" i="1"/>
  <c r="AI104" i="1" s="1"/>
  <c r="AF2709" i="1"/>
  <c r="AI2709" i="1" s="1"/>
  <c r="AF1767" i="1"/>
  <c r="AI1767" i="1" s="1"/>
  <c r="AF1549" i="1"/>
  <c r="AI1549" i="1" s="1"/>
  <c r="AF773" i="1"/>
  <c r="AI773" i="1" s="1"/>
  <c r="AF2034" i="1"/>
  <c r="AI2034" i="1" s="1"/>
  <c r="AF1688" i="1"/>
  <c r="AI1688" i="1" s="1"/>
  <c r="AF2021" i="1"/>
  <c r="AI2021" i="1" s="1"/>
  <c r="AF618" i="1"/>
  <c r="AI618" i="1" s="1"/>
  <c r="AF2431" i="1"/>
  <c r="AI2431" i="1" s="1"/>
  <c r="AF793" i="1"/>
  <c r="AI793" i="1" s="1"/>
  <c r="AF1223" i="1"/>
  <c r="AI1223" i="1" s="1"/>
  <c r="AF2579" i="1"/>
  <c r="AI2579" i="1" s="1"/>
  <c r="AF677" i="1"/>
  <c r="AI677" i="1" s="1"/>
  <c r="AF2583" i="1"/>
  <c r="AI2583" i="1" s="1"/>
  <c r="AF1447" i="1"/>
  <c r="AI1447" i="1" s="1"/>
  <c r="AF642" i="1"/>
  <c r="AI642" i="1" s="1"/>
  <c r="AF2208" i="1"/>
  <c r="AI2208" i="1" s="1"/>
  <c r="AF1998" i="1"/>
  <c r="AI1998" i="1" s="1"/>
  <c r="AF2389" i="1"/>
  <c r="AI2389" i="1" s="1"/>
  <c r="AF751" i="1"/>
  <c r="AI751" i="1" s="1"/>
  <c r="AF765" i="1"/>
  <c r="AI765" i="1" s="1"/>
  <c r="AF2692" i="1"/>
  <c r="AI2692" i="1" s="1"/>
  <c r="AF1021" i="1"/>
  <c r="AI1021" i="1" s="1"/>
  <c r="AF1113" i="1"/>
  <c r="AI1113" i="1" s="1"/>
  <c r="AF887" i="1"/>
  <c r="AI887" i="1" s="1"/>
  <c r="AF483" i="1"/>
  <c r="AI483" i="1" s="1"/>
  <c r="AF2164" i="1"/>
  <c r="AI2164" i="1" s="1"/>
  <c r="AF2454" i="1"/>
  <c r="AI2454" i="1" s="1"/>
  <c r="AF2283" i="1"/>
  <c r="AI2283" i="1" s="1"/>
  <c r="AF655" i="1"/>
  <c r="AI655" i="1" s="1"/>
  <c r="AF1830" i="1"/>
  <c r="AI1830" i="1" s="1"/>
  <c r="AF2650" i="1"/>
  <c r="AI2650" i="1" s="1"/>
  <c r="AF661" i="1"/>
  <c r="AI661" i="1" s="1"/>
  <c r="AF120" i="1"/>
  <c r="AI120" i="1" s="1"/>
  <c r="AF548" i="1"/>
  <c r="AI548" i="1" s="1"/>
  <c r="AF620" i="1"/>
  <c r="AI620" i="1" s="1"/>
  <c r="AF110" i="1"/>
  <c r="AI110" i="1" s="1"/>
  <c r="AF456" i="1"/>
  <c r="AI456" i="1" s="1"/>
  <c r="AF2253" i="1"/>
  <c r="AI2253" i="1" s="1"/>
  <c r="AF478" i="1"/>
  <c r="AI478" i="1" s="1"/>
  <c r="AF338" i="1"/>
  <c r="AI338" i="1" s="1"/>
  <c r="AF1247" i="1"/>
  <c r="AI1247" i="1" s="1"/>
  <c r="AF2385" i="1"/>
  <c r="AI2385" i="1" s="1"/>
  <c r="AF1016" i="1"/>
  <c r="AI1016" i="1" s="1"/>
  <c r="AF1096" i="1"/>
  <c r="AI1096" i="1" s="1"/>
  <c r="AF672" i="1"/>
  <c r="AI672" i="1" s="1"/>
  <c r="AF2626" i="1"/>
  <c r="AI2626" i="1" s="1"/>
  <c r="AF622" i="1"/>
  <c r="AI622" i="1" s="1"/>
  <c r="AF2226" i="1"/>
  <c r="AI2226" i="1" s="1"/>
  <c r="AF2773" i="1"/>
  <c r="AI2773" i="1" s="1"/>
  <c r="AF1367" i="1"/>
  <c r="AI1367" i="1" s="1"/>
  <c r="AF2460" i="1"/>
  <c r="AI2460" i="1" s="1"/>
  <c r="AF1133" i="1"/>
  <c r="AI1133" i="1" s="1"/>
  <c r="AF1225" i="1"/>
  <c r="AI1225" i="1" s="1"/>
  <c r="AF742" i="1"/>
  <c r="AI742" i="1" s="1"/>
  <c r="AF417" i="1"/>
  <c r="AI417" i="1" s="1"/>
  <c r="AF1661" i="1"/>
  <c r="AI1661" i="1" s="1"/>
  <c r="AF1535" i="1"/>
  <c r="AI1535" i="1" s="1"/>
  <c r="AF729" i="1"/>
  <c r="AI729" i="1" s="1"/>
  <c r="AF906" i="1"/>
  <c r="AI906" i="1" s="1"/>
  <c r="AF936" i="1"/>
  <c r="AI936" i="1" s="1"/>
  <c r="AF1647" i="1"/>
  <c r="AI1647" i="1" s="1"/>
  <c r="AF390" i="1"/>
  <c r="AI390" i="1" s="1"/>
  <c r="AF2256" i="1"/>
  <c r="AI2256" i="1" s="1"/>
  <c r="AF690" i="1"/>
  <c r="AI690" i="1" s="1"/>
  <c r="AF1870" i="1"/>
  <c r="AI1870" i="1" s="1"/>
  <c r="AF378" i="1"/>
  <c r="AI378" i="1" s="1"/>
  <c r="AF1533" i="1"/>
  <c r="AI1533" i="1" s="1"/>
  <c r="AF2321" i="1"/>
  <c r="AI2321" i="1" s="1"/>
  <c r="AF1311" i="1"/>
  <c r="AI1311" i="1" s="1"/>
  <c r="AF699" i="1"/>
  <c r="AI699" i="1" s="1"/>
  <c r="AF850" i="1"/>
  <c r="AI850" i="1" s="1"/>
  <c r="AF1854" i="1"/>
  <c r="AI1854" i="1" s="1"/>
  <c r="AF1906" i="1"/>
  <c r="AI1906" i="1" s="1"/>
  <c r="AF2293" i="1"/>
  <c r="AI2293" i="1" s="1"/>
  <c r="AF2493" i="1"/>
  <c r="AI2493" i="1" s="1"/>
  <c r="AF2584" i="1"/>
  <c r="AI2584" i="1" s="1"/>
  <c r="AF2072" i="1"/>
  <c r="AI2072" i="1" s="1"/>
  <c r="AF1292" i="1"/>
  <c r="AI1292" i="1" s="1"/>
  <c r="AF1277" i="1"/>
  <c r="AI1277" i="1" s="1"/>
  <c r="AF2512" i="1"/>
  <c r="AI2512" i="1" s="1"/>
  <c r="AF373" i="1"/>
  <c r="AI373" i="1" s="1"/>
  <c r="AF237" i="1"/>
  <c r="AI237" i="1" s="1"/>
  <c r="AF1611" i="1"/>
  <c r="AI1611" i="1" s="1"/>
  <c r="AF74" i="1"/>
  <c r="AI74" i="1" s="1"/>
  <c r="AF2751" i="1"/>
  <c r="AI2751" i="1" s="1"/>
  <c r="AF2769" i="1"/>
  <c r="AI2769" i="1" s="1"/>
  <c r="AF1557" i="1"/>
  <c r="AI1557" i="1" s="1"/>
  <c r="AF2184" i="1"/>
  <c r="AI2184" i="1" s="1"/>
  <c r="AF1046" i="1"/>
  <c r="AI1046" i="1" s="1"/>
  <c r="AF1866" i="1"/>
  <c r="AI1866" i="1" s="1"/>
  <c r="AF1650" i="1"/>
  <c r="AI1650" i="1" s="1"/>
  <c r="AF429" i="1"/>
  <c r="AI429" i="1" s="1"/>
  <c r="AF2565" i="1"/>
  <c r="AI2565" i="1" s="1"/>
  <c r="AF346" i="1"/>
  <c r="AI346" i="1" s="1"/>
  <c r="AF2427" i="1"/>
  <c r="AI2427" i="1" s="1"/>
  <c r="AF176" i="1"/>
  <c r="AI176" i="1" s="1"/>
  <c r="AF1627" i="1"/>
  <c r="AI1627" i="1" s="1"/>
  <c r="AF241" i="1"/>
  <c r="AI241" i="1" s="1"/>
  <c r="AF1502" i="1"/>
  <c r="AI1502" i="1" s="1"/>
  <c r="AF2701" i="1"/>
  <c r="AI2701" i="1" s="1"/>
  <c r="AF471" i="1"/>
  <c r="AI471" i="1" s="1"/>
  <c r="AF555" i="1"/>
  <c r="AI555" i="1" s="1"/>
  <c r="AF1567" i="1"/>
  <c r="AI1567" i="1" s="1"/>
  <c r="AF937" i="1"/>
  <c r="AI937" i="1" s="1"/>
  <c r="AF1838" i="1"/>
  <c r="AI1838" i="1" s="1"/>
  <c r="AF2489" i="1"/>
  <c r="AI2489" i="1" s="1"/>
  <c r="AF2559" i="1"/>
  <c r="AI2559" i="1" s="1"/>
  <c r="AF803" i="1"/>
  <c r="AI803" i="1" s="1"/>
  <c r="AF240" i="1"/>
  <c r="AI240" i="1" s="1"/>
  <c r="AF799" i="1"/>
  <c r="AI799" i="1" s="1"/>
  <c r="AF2703" i="1"/>
  <c r="AI2703" i="1" s="1"/>
  <c r="AF909" i="1"/>
  <c r="AI909" i="1" s="1"/>
  <c r="AF1355" i="1"/>
  <c r="AI1355" i="1" s="1"/>
  <c r="AF2634" i="1"/>
  <c r="AI2634" i="1" s="1"/>
  <c r="AF406" i="1"/>
  <c r="AI406" i="1" s="1"/>
  <c r="AF1890" i="1"/>
  <c r="AI1890" i="1" s="1"/>
  <c r="AF268" i="1"/>
  <c r="AI268" i="1" s="1"/>
  <c r="AF1728" i="1"/>
  <c r="AI1728" i="1" s="1"/>
  <c r="AF1300" i="1"/>
  <c r="AI1300" i="1" s="1"/>
  <c r="AF1337" i="1"/>
  <c r="AI1337" i="1" s="1"/>
  <c r="AF229" i="1"/>
  <c r="AI229" i="1" s="1"/>
  <c r="AF1299" i="1"/>
  <c r="AI1299" i="1" s="1"/>
  <c r="AF1342" i="1"/>
  <c r="AI1342" i="1" s="1"/>
  <c r="AF1794" i="1"/>
  <c r="AI1794" i="1" s="1"/>
  <c r="AF1318" i="1"/>
  <c r="AI1318" i="1" s="1"/>
  <c r="AF1255" i="1"/>
  <c r="AI1255" i="1" s="1"/>
  <c r="AF1007" i="1"/>
  <c r="AI1007" i="1" s="1"/>
  <c r="AF1418" i="1"/>
  <c r="AI1418" i="1" s="1"/>
  <c r="AF659" i="1"/>
  <c r="AI659" i="1" s="1"/>
  <c r="AF1088" i="1"/>
  <c r="AI1088" i="1" s="1"/>
  <c r="AF2403" i="1"/>
  <c r="AI2403" i="1" s="1"/>
  <c r="AF313" i="1"/>
  <c r="AI313" i="1" s="1"/>
  <c r="AF2397" i="1"/>
  <c r="AI2397" i="1" s="1"/>
  <c r="AF940" i="1"/>
  <c r="AI940" i="1" s="1"/>
  <c r="AF10" i="1"/>
  <c r="AI10" i="1" s="1"/>
  <c r="AF1575" i="1"/>
  <c r="AI1575" i="1" s="1"/>
  <c r="AF2746" i="1"/>
  <c r="AI2746" i="1" s="1"/>
  <c r="AF126" i="1"/>
  <c r="AI126" i="1" s="1"/>
  <c r="AF874" i="1"/>
  <c r="AI874" i="1" s="1"/>
  <c r="AF1346" i="1"/>
  <c r="AI1346" i="1" s="1"/>
  <c r="AF1256" i="1"/>
  <c r="AI1256" i="1" s="1"/>
  <c r="AF556" i="1"/>
  <c r="AI556" i="1" s="1"/>
  <c r="AF2238" i="1"/>
  <c r="AI2238" i="1" s="1"/>
  <c r="AF1563" i="1"/>
  <c r="AI1563" i="1" s="1"/>
  <c r="AF2324" i="1"/>
  <c r="AI2324" i="1" s="1"/>
  <c r="AF2225" i="1"/>
  <c r="AI2225" i="1" s="1"/>
  <c r="AF756" i="1"/>
  <c r="AI756" i="1" s="1"/>
  <c r="AF1708" i="1"/>
  <c r="AI1708" i="1" s="1"/>
  <c r="AF2590" i="1"/>
  <c r="AI2590" i="1" s="1"/>
  <c r="AF945" i="1"/>
  <c r="AI945" i="1" s="1"/>
  <c r="AF1837" i="1"/>
  <c r="AI1837" i="1" s="1"/>
  <c r="AF1697" i="1"/>
  <c r="AI1697" i="1" s="1"/>
  <c r="AF769" i="1"/>
  <c r="AI769" i="1" s="1"/>
  <c r="AF107" i="1"/>
  <c r="AI107" i="1" s="1"/>
  <c r="AF244" i="1"/>
  <c r="AI244" i="1" s="1"/>
  <c r="AF2132" i="1"/>
  <c r="AI2132" i="1" s="1"/>
  <c r="AF2661" i="1"/>
  <c r="AI2661" i="1" s="1"/>
  <c r="AF948" i="1"/>
  <c r="AI948" i="1" s="1"/>
  <c r="AF1200" i="1"/>
  <c r="AI1200" i="1" s="1"/>
  <c r="AF1006" i="1"/>
  <c r="AI1006" i="1" s="1"/>
  <c r="AF2404" i="1"/>
  <c r="AI2404" i="1" s="1"/>
  <c r="AF2362" i="1"/>
  <c r="AI2362" i="1" s="1"/>
  <c r="AF2504" i="1"/>
  <c r="AI2504" i="1" s="1"/>
  <c r="AF1594" i="1"/>
  <c r="AI1594" i="1" s="1"/>
  <c r="AF59" i="1"/>
  <c r="AI59" i="1" s="1"/>
  <c r="AF2768" i="1"/>
  <c r="AI2768" i="1" s="1"/>
  <c r="AF1571" i="1"/>
  <c r="AI1571" i="1" s="1"/>
  <c r="AF2146" i="1"/>
  <c r="AI2146" i="1" s="1"/>
  <c r="AF2019" i="1"/>
  <c r="AI2019" i="1" s="1"/>
  <c r="AF2269" i="1"/>
  <c r="AI2269" i="1" s="1"/>
  <c r="AF996" i="1"/>
  <c r="AI996" i="1" s="1"/>
  <c r="AF1886" i="1"/>
  <c r="AI1886" i="1" s="1"/>
  <c r="AF1516" i="1"/>
  <c r="AI1516" i="1" s="1"/>
  <c r="AF1374" i="1"/>
  <c r="AI1374" i="1" s="1"/>
  <c r="AF1722" i="1"/>
  <c r="AI1722" i="1" s="1"/>
  <c r="AF950" i="1"/>
  <c r="AI950" i="1" s="1"/>
  <c r="AF1772" i="1"/>
  <c r="AI1772" i="1" s="1"/>
  <c r="AF2001" i="1"/>
  <c r="AI2001" i="1" s="1"/>
  <c r="AF1842" i="1"/>
  <c r="AI1842" i="1" s="1"/>
  <c r="AF858" i="1"/>
  <c r="AI858" i="1" s="1"/>
  <c r="AF2096" i="1"/>
  <c r="AI2096" i="1" s="1"/>
  <c r="AF1836" i="1"/>
  <c r="AI1836" i="1" s="1"/>
  <c r="AF2617" i="1"/>
  <c r="AI2617" i="1" s="1"/>
  <c r="AF1059" i="1"/>
  <c r="AI1059" i="1" s="1"/>
  <c r="AF1619" i="1"/>
  <c r="AI1619" i="1" s="1"/>
  <c r="AF1684" i="1"/>
  <c r="AI1684" i="1" s="1"/>
  <c r="AF1175" i="1"/>
  <c r="AI1175" i="1" s="1"/>
  <c r="AF146" i="1"/>
  <c r="AI146" i="1" s="1"/>
  <c r="AF2337" i="1"/>
  <c r="AI2337" i="1" s="1"/>
  <c r="AF2766" i="1"/>
  <c r="AI2766" i="1" s="1"/>
  <c r="AF2718" i="1"/>
  <c r="AI2718" i="1" s="1"/>
  <c r="AF600" i="1"/>
  <c r="AI600" i="1" s="1"/>
  <c r="AF106" i="1"/>
  <c r="AI106" i="1" s="1"/>
  <c r="AF2402" i="1"/>
  <c r="AI2402" i="1" s="1"/>
  <c r="AF1801" i="1"/>
  <c r="AI1801" i="1" s="1"/>
  <c r="AF1209" i="1"/>
  <c r="AI1209" i="1" s="1"/>
  <c r="AF2308" i="1"/>
  <c r="AI2308" i="1" s="1"/>
  <c r="AF2332" i="1"/>
  <c r="AI2332" i="1" s="1"/>
  <c r="AF2141" i="1"/>
  <c r="AI2141" i="1" s="1"/>
  <c r="AF1608" i="1"/>
  <c r="AI1608" i="1" s="1"/>
  <c r="AF1424" i="1"/>
  <c r="AI1424" i="1" s="1"/>
  <c r="AF2191" i="1"/>
  <c r="AI2191" i="1" s="1"/>
  <c r="AF2433" i="1"/>
  <c r="AI2433" i="1" s="1"/>
  <c r="AF2000" i="1"/>
  <c r="AI2000" i="1" s="1"/>
  <c r="AF935" i="1"/>
  <c r="AI935" i="1" s="1"/>
  <c r="AF2405" i="1"/>
  <c r="AI2405" i="1" s="1"/>
  <c r="AF2674" i="1"/>
  <c r="AI2674" i="1" s="1"/>
  <c r="AF876" i="1"/>
  <c r="AI876" i="1" s="1"/>
  <c r="AF2476" i="1"/>
  <c r="AI2476" i="1" s="1"/>
  <c r="AF1831" i="1"/>
  <c r="AI1831" i="1" s="1"/>
  <c r="AF2761" i="1"/>
  <c r="AI2761" i="1" s="1"/>
  <c r="AF2089" i="1"/>
  <c r="AI2089" i="1" s="1"/>
  <c r="AF701" i="1"/>
  <c r="AI701" i="1" s="1"/>
  <c r="AF732" i="1"/>
  <c r="AI732" i="1" s="1"/>
  <c r="AF1469" i="1"/>
  <c r="AI1469" i="1" s="1"/>
  <c r="AF584" i="1"/>
  <c r="AI584" i="1" s="1"/>
  <c r="AF422" i="1"/>
  <c r="AI422" i="1" s="1"/>
  <c r="AF712" i="1"/>
  <c r="AI712" i="1" s="1"/>
  <c r="AF952" i="1"/>
  <c r="AI952" i="1" s="1"/>
  <c r="AF1897" i="1"/>
  <c r="AI1897" i="1" s="1"/>
  <c r="AF1552" i="1"/>
  <c r="AI1552" i="1" s="1"/>
  <c r="AF807" i="1"/>
  <c r="AI807" i="1" s="1"/>
  <c r="AF2625" i="1"/>
  <c r="AI2625" i="1" s="1"/>
  <c r="AF1921" i="1"/>
  <c r="AI1921" i="1" s="1"/>
  <c r="AF1375" i="1"/>
  <c r="AI1375" i="1" s="1"/>
  <c r="AF562" i="1"/>
  <c r="AI562" i="1" s="1"/>
  <c r="AF503" i="1"/>
  <c r="AI503" i="1" s="1"/>
  <c r="AF1101" i="1"/>
  <c r="AI1101" i="1" s="1"/>
  <c r="AF754" i="1"/>
  <c r="AI754" i="1" s="1"/>
  <c r="AF1784" i="1"/>
  <c r="AI1784" i="1" s="1"/>
  <c r="AF541" i="1"/>
  <c r="AI541" i="1" s="1"/>
  <c r="AF450" i="1"/>
  <c r="AI450" i="1" s="1"/>
  <c r="AF2068" i="1"/>
  <c r="AI2068" i="1" s="1"/>
  <c r="AF1614" i="1"/>
  <c r="AI1614" i="1" s="1"/>
  <c r="AF2366" i="1"/>
  <c r="AI2366" i="1" s="1"/>
  <c r="AF193" i="1"/>
  <c r="AI193" i="1" s="1"/>
  <c r="AF1904" i="1"/>
  <c r="AI1904" i="1" s="1"/>
  <c r="AF930" i="1"/>
  <c r="AI930" i="1" s="1"/>
  <c r="AF1745" i="1"/>
  <c r="AI1745" i="1" s="1"/>
  <c r="AF1950" i="1"/>
  <c r="AI1950" i="1" s="1"/>
  <c r="AF1051" i="1"/>
  <c r="AI1051" i="1" s="1"/>
  <c r="AF383" i="1"/>
  <c r="AI383" i="1" s="1"/>
  <c r="AF2780" i="1"/>
  <c r="AI2780" i="1" s="1"/>
  <c r="AF1775" i="1"/>
  <c r="AI1775" i="1" s="1"/>
  <c r="AF1216" i="1"/>
  <c r="AI1216" i="1" s="1"/>
  <c r="AF2288" i="1"/>
  <c r="AI2288" i="1" s="1"/>
  <c r="AF1799" i="1"/>
  <c r="AI1799" i="1" s="1"/>
  <c r="AF774" i="1"/>
  <c r="AI774" i="1" s="1"/>
  <c r="AF2103" i="1"/>
  <c r="AI2103" i="1" s="1"/>
  <c r="AF626" i="1"/>
  <c r="AI626" i="1" s="1"/>
  <c r="AF1192" i="1"/>
  <c r="AI1192" i="1" s="1"/>
  <c r="AF2794" i="1"/>
  <c r="AI2794" i="1" s="1"/>
  <c r="AF282" i="1"/>
  <c r="AI282" i="1" s="1"/>
  <c r="AF2758" i="1"/>
  <c r="AI2758" i="1" s="1"/>
  <c r="AF1920" i="1"/>
  <c r="AI1920" i="1" s="1"/>
  <c r="AF185" i="1"/>
  <c r="AI185" i="1" s="1"/>
  <c r="AF2064" i="1"/>
  <c r="AI2064" i="1" s="1"/>
  <c r="AF794" i="1"/>
  <c r="AI794" i="1" s="1"/>
  <c r="AF2506" i="1"/>
  <c r="AI2506" i="1" s="1"/>
  <c r="AF2523" i="1"/>
  <c r="AI2523" i="1" s="1"/>
  <c r="AF784" i="1"/>
  <c r="AI784" i="1" s="1"/>
  <c r="AF1665" i="1"/>
  <c r="AI1665" i="1" s="1"/>
  <c r="AF994" i="1"/>
  <c r="AI994" i="1" s="1"/>
  <c r="AF1671" i="1"/>
  <c r="AI1671" i="1" s="1"/>
  <c r="AF1693" i="1"/>
  <c r="AI1693" i="1" s="1"/>
  <c r="AF713" i="1"/>
  <c r="AI713" i="1" s="1"/>
  <c r="AF2355" i="1"/>
  <c r="AI2355" i="1" s="1"/>
  <c r="AF861" i="1"/>
  <c r="AI861" i="1" s="1"/>
  <c r="AF537" i="1"/>
  <c r="AI537" i="1" s="1"/>
  <c r="AF389" i="1"/>
  <c r="AI389" i="1" s="1"/>
  <c r="AF1319" i="1"/>
  <c r="AI1319" i="1" s="1"/>
  <c r="AF614" i="1"/>
  <c r="AI614" i="1" s="1"/>
  <c r="AF586" i="1"/>
  <c r="AI586" i="1" s="1"/>
  <c r="AF1519" i="1"/>
  <c r="AI1519" i="1" s="1"/>
  <c r="AF1317" i="1"/>
  <c r="AI1317" i="1" s="1"/>
  <c r="AF2711" i="1"/>
  <c r="AI2711" i="1" s="1"/>
  <c r="AF324" i="1"/>
  <c r="AI324" i="1" s="1"/>
  <c r="AF1621" i="1"/>
  <c r="AI1621" i="1" s="1"/>
  <c r="AF801" i="1"/>
  <c r="AI801" i="1" s="1"/>
  <c r="AF2421" i="1"/>
  <c r="AI2421" i="1" s="1"/>
  <c r="AF528" i="1"/>
  <c r="AI528" i="1" s="1"/>
  <c r="AF1239" i="1"/>
  <c r="AI1239" i="1" s="1"/>
  <c r="AF2231" i="1"/>
  <c r="AI2231" i="1" s="1"/>
  <c r="AF2601" i="1"/>
  <c r="AI2601" i="1" s="1"/>
  <c r="AF246" i="1"/>
  <c r="AI246" i="1" s="1"/>
  <c r="AF1380" i="1"/>
  <c r="AI1380" i="1" s="1"/>
  <c r="AF628" i="1"/>
  <c r="AI628" i="1" s="1"/>
  <c r="AF2216" i="1"/>
  <c r="AI2216" i="1" s="1"/>
  <c r="AF15" i="1"/>
  <c r="AI15" i="1" s="1"/>
  <c r="AF2234" i="1"/>
  <c r="AI2234" i="1" s="1"/>
  <c r="AF990" i="1"/>
  <c r="AI990" i="1" s="1"/>
  <c r="AF1821" i="1"/>
  <c r="AI1821" i="1" s="1"/>
  <c r="AF941" i="1"/>
  <c r="AI941" i="1" s="1"/>
  <c r="AF1698" i="1"/>
  <c r="AI1698" i="1" s="1"/>
  <c r="AF588" i="1"/>
  <c r="AI588" i="1" s="1"/>
  <c r="AF1362" i="1"/>
  <c r="AI1362" i="1" s="1"/>
  <c r="AF1497" i="1"/>
  <c r="AI1497" i="1" s="1"/>
  <c r="AF1144" i="1"/>
  <c r="AI1144" i="1" s="1"/>
  <c r="AF223" i="1"/>
  <c r="AI223" i="1" s="1"/>
  <c r="AF643" i="1"/>
  <c r="AI643" i="1" s="1"/>
  <c r="AF465" i="1"/>
  <c r="AI465" i="1" s="1"/>
  <c r="AF414" i="1"/>
  <c r="AI414" i="1" s="1"/>
  <c r="AF2611" i="1"/>
  <c r="AI2611" i="1" s="1"/>
  <c r="AF1511" i="1"/>
  <c r="AI1511" i="1" s="1"/>
  <c r="AF1030" i="1"/>
  <c r="AI1030" i="1" s="1"/>
  <c r="AF1790" i="1"/>
  <c r="AI1790" i="1" s="1"/>
  <c r="AF312" i="1"/>
  <c r="AI312" i="1" s="1"/>
  <c r="AF703" i="1"/>
  <c r="AI703" i="1" s="1"/>
  <c r="AF202" i="1"/>
  <c r="AI202" i="1" s="1"/>
  <c r="AF711" i="1"/>
  <c r="AI711" i="1" s="1"/>
  <c r="AF2396" i="1"/>
  <c r="AI2396" i="1" s="1"/>
  <c r="AF1956" i="1"/>
  <c r="AI1956" i="1" s="1"/>
  <c r="AF413" i="1"/>
  <c r="AI413" i="1" s="1"/>
  <c r="AF2564" i="1"/>
  <c r="AI2564" i="1" s="1"/>
  <c r="AF1194" i="1"/>
  <c r="AI1194" i="1" s="1"/>
  <c r="AF651" i="1"/>
  <c r="AI651" i="1" s="1"/>
  <c r="AF2723" i="1"/>
  <c r="AI2723" i="1" s="1"/>
  <c r="AF271" i="1"/>
  <c r="AI271" i="1" s="1"/>
  <c r="AF668" i="1"/>
  <c r="AI668" i="1" s="1"/>
  <c r="AF2554" i="1"/>
  <c r="AI2554" i="1" s="1"/>
  <c r="AF2033" i="1"/>
  <c r="AI2033" i="1" s="1"/>
  <c r="AF177" i="1"/>
  <c r="AI177" i="1" s="1"/>
  <c r="AF1118" i="1"/>
  <c r="AI1118" i="1" s="1"/>
  <c r="AF7" i="1"/>
  <c r="AI7" i="1" s="1"/>
  <c r="AF2290" i="1"/>
  <c r="AI2290" i="1" s="1"/>
  <c r="AF1202" i="1"/>
  <c r="AI1202" i="1" s="1"/>
  <c r="AF2689" i="1"/>
  <c r="AI2689" i="1" s="1"/>
  <c r="AF270" i="1"/>
  <c r="AI270" i="1" s="1"/>
  <c r="AF467" i="1"/>
  <c r="AI467" i="1" s="1"/>
  <c r="AF2118" i="1"/>
  <c r="AI2118" i="1" s="1"/>
  <c r="AF2552" i="1"/>
  <c r="AI2552" i="1" s="1"/>
  <c r="AF635" i="1"/>
  <c r="AI635" i="1" s="1"/>
  <c r="AF499" i="1"/>
  <c r="AI499" i="1" s="1"/>
  <c r="AF2521" i="1"/>
  <c r="AI2521" i="1" s="1"/>
  <c r="AF1964" i="1"/>
  <c r="AI1964" i="1" s="1"/>
  <c r="AF1915" i="1"/>
  <c r="AI1915" i="1" s="1"/>
  <c r="AF1615" i="1"/>
  <c r="AI1615" i="1" s="1"/>
  <c r="AF2081" i="1"/>
  <c r="AI2081" i="1" s="1"/>
  <c r="AF1941" i="1"/>
  <c r="AI1941" i="1" s="1"/>
  <c r="AF2249" i="1"/>
  <c r="AI2249" i="1" s="1"/>
  <c r="AF1459" i="1"/>
  <c r="AI1459" i="1" s="1"/>
  <c r="AF2301" i="1"/>
  <c r="AI2301" i="1" s="1"/>
  <c r="AF164" i="1"/>
  <c r="AI164" i="1" s="1"/>
  <c r="AF2220" i="1"/>
  <c r="AI2220" i="1" s="1"/>
  <c r="AF1694" i="1"/>
  <c r="AI1694" i="1" s="1"/>
  <c r="AF1540" i="1"/>
  <c r="AI1540" i="1" s="1"/>
  <c r="AF2680" i="1"/>
  <c r="AI2680" i="1" s="1"/>
  <c r="AF475" i="1"/>
  <c r="AI475" i="1" s="1"/>
  <c r="AF2645" i="1"/>
  <c r="AI2645" i="1" s="1"/>
  <c r="AF2436" i="1"/>
  <c r="AI2436" i="1" s="1"/>
  <c r="AF1490" i="1"/>
  <c r="AI1490" i="1" s="1"/>
  <c r="AF1370" i="1"/>
  <c r="AI1370" i="1" s="1"/>
  <c r="AF719" i="1"/>
  <c r="AI719" i="1" s="1"/>
  <c r="AF1027" i="1"/>
  <c r="AI1027" i="1" s="1"/>
  <c r="AF329" i="1"/>
  <c r="AI329" i="1" s="1"/>
  <c r="AF159" i="1"/>
  <c r="AI159" i="1" s="1"/>
  <c r="AF1360" i="1"/>
  <c r="AI1360" i="1" s="1"/>
  <c r="AF235" i="1"/>
  <c r="AI235" i="1" s="1"/>
  <c r="AF226" i="1"/>
  <c r="AI226" i="1" s="1"/>
  <c r="AF1373" i="1"/>
  <c r="AI1373" i="1" s="1"/>
  <c r="AF80" i="1"/>
  <c r="AI80" i="1" s="1"/>
  <c r="AF836" i="1"/>
  <c r="AI836" i="1" s="1"/>
  <c r="AF1653" i="1"/>
  <c r="AI1653" i="1" s="1"/>
  <c r="AF534" i="1"/>
  <c r="AI534" i="1" s="1"/>
  <c r="AF2372" i="1"/>
  <c r="AI2372" i="1" s="1"/>
  <c r="AF2119" i="1"/>
  <c r="AI2119" i="1" s="1"/>
  <c r="AF2574" i="1"/>
  <c r="AI2574" i="1" s="1"/>
  <c r="AF1168" i="1"/>
  <c r="AI1168" i="1" s="1"/>
  <c r="AF2383" i="1"/>
  <c r="AI2383" i="1" s="1"/>
  <c r="AF2532" i="1"/>
  <c r="AI2532" i="1" s="1"/>
  <c r="AF2487" i="1"/>
  <c r="AI2487" i="1" s="1"/>
  <c r="AF1288" i="1"/>
  <c r="AI1288" i="1" s="1"/>
  <c r="AF1893" i="1"/>
  <c r="AI1893" i="1" s="1"/>
  <c r="AF2036" i="1"/>
  <c r="AI2036" i="1" s="1"/>
  <c r="AF2245" i="1"/>
  <c r="AI2245" i="1" s="1"/>
  <c r="AF2002" i="1"/>
  <c r="AI2002" i="1" s="1"/>
  <c r="AF2414" i="1"/>
  <c r="AI2414" i="1" s="1"/>
  <c r="AF669" i="1"/>
  <c r="AI669" i="1" s="1"/>
  <c r="AF1204" i="1"/>
  <c r="AI1204" i="1" s="1"/>
  <c r="AF2291" i="1"/>
  <c r="AI2291" i="1" s="1"/>
  <c r="AF2605" i="1"/>
  <c r="AI2605" i="1" s="1"/>
  <c r="AF2038" i="1"/>
  <c r="AI2038" i="1" s="1"/>
  <c r="AF2759" i="1"/>
  <c r="AI2759" i="1" s="1"/>
  <c r="AF735" i="1"/>
  <c r="AI735" i="1" s="1"/>
  <c r="AF1368" i="1"/>
  <c r="AI1368" i="1" s="1"/>
  <c r="AF2494" i="1"/>
  <c r="AI2494" i="1" s="1"/>
  <c r="AF671" i="1"/>
  <c r="AI671" i="1" s="1"/>
  <c r="AF1233" i="1"/>
  <c r="AI1233" i="1" s="1"/>
  <c r="AF297" i="1"/>
  <c r="AI297" i="1" s="1"/>
  <c r="AF752" i="1"/>
  <c r="AI752" i="1" s="1"/>
  <c r="AF529" i="1"/>
  <c r="AI529" i="1" s="1"/>
  <c r="AF1723" i="1"/>
  <c r="AI1723" i="1" s="1"/>
  <c r="AF32" i="1"/>
  <c r="AI32" i="1" s="1"/>
  <c r="AF2513" i="1"/>
  <c r="AI2513" i="1" s="1"/>
  <c r="AF728" i="1"/>
  <c r="AI728" i="1" s="1"/>
  <c r="AF2268" i="1"/>
  <c r="AI2268" i="1" s="1"/>
  <c r="AF580" i="1"/>
  <c r="AI580" i="1" s="1"/>
  <c r="AF1127" i="1"/>
  <c r="AI1127" i="1" s="1"/>
  <c r="AF1918" i="1"/>
  <c r="AI1918" i="1" s="1"/>
  <c r="AF2028" i="1"/>
  <c r="AI2028" i="1" s="1"/>
  <c r="AF148" i="1"/>
  <c r="AI148" i="1" s="1"/>
  <c r="AF788" i="1"/>
  <c r="AI788" i="1" s="1"/>
  <c r="AF693" i="1"/>
  <c r="AI693" i="1" s="1"/>
  <c r="AF287" i="1"/>
  <c r="AI287" i="1" s="1"/>
  <c r="AF2656" i="1"/>
  <c r="AI2656" i="1" s="1"/>
  <c r="AF1281" i="1"/>
  <c r="AI1281" i="1" s="1"/>
  <c r="AF737" i="1"/>
  <c r="AI737" i="1" s="1"/>
  <c r="AF696" i="1"/>
  <c r="AI696" i="1" s="1"/>
  <c r="AF359" i="1"/>
  <c r="AI359" i="1" s="1"/>
  <c r="AF2203" i="1"/>
  <c r="AI2203" i="1" s="1"/>
  <c r="AF2745" i="1"/>
  <c r="AI2745" i="1" s="1"/>
  <c r="AF327" i="1"/>
  <c r="AI327" i="1" s="1"/>
  <c r="AF1769" i="1"/>
  <c r="AI1769" i="1" s="1"/>
  <c r="AF2341" i="1"/>
  <c r="AI2341" i="1" s="1"/>
  <c r="AF1912" i="1"/>
  <c r="AI1912" i="1" s="1"/>
  <c r="AF205" i="1"/>
  <c r="AI205" i="1" s="1"/>
  <c r="AF775" i="1"/>
  <c r="AI775" i="1" s="1"/>
  <c r="AF2428" i="1"/>
  <c r="AI2428" i="1" s="1"/>
  <c r="AF839" i="1"/>
  <c r="AI839" i="1" s="1"/>
  <c r="AF673" i="1"/>
  <c r="AI673" i="1" s="1"/>
  <c r="AF468" i="1"/>
  <c r="AI468" i="1" s="1"/>
  <c r="AF100" i="1"/>
  <c r="AI100" i="1" s="1"/>
  <c r="AF1486" i="1"/>
  <c r="AI1486" i="1" s="1"/>
  <c r="AF2224" i="1"/>
  <c r="AI2224" i="1" s="1"/>
  <c r="AF993" i="1"/>
  <c r="AI993" i="1" s="1"/>
  <c r="AF1197" i="1"/>
  <c r="AI1197" i="1" s="1"/>
  <c r="AF1008" i="1"/>
  <c r="AI1008" i="1" s="1"/>
  <c r="AF679" i="1"/>
  <c r="AI679" i="1" s="1"/>
  <c r="AF1753" i="1"/>
  <c r="AI1753" i="1" s="1"/>
  <c r="AF2496" i="1"/>
  <c r="AI2496" i="1" s="1"/>
  <c r="AF1499" i="1"/>
  <c r="AI1499" i="1" s="1"/>
  <c r="AF2027" i="1"/>
  <c r="AI2027" i="1" s="1"/>
  <c r="AF2307" i="1"/>
  <c r="AI2307" i="1" s="1"/>
  <c r="AF967" i="1"/>
  <c r="AI967" i="1" s="1"/>
  <c r="AF122" i="1"/>
  <c r="AI122" i="1" s="1"/>
  <c r="AF811" i="1"/>
  <c r="AI811" i="1" s="1"/>
  <c r="AF1471" i="1"/>
  <c r="AI1471" i="1" s="1"/>
  <c r="AF755" i="1"/>
  <c r="AI755" i="1" s="1"/>
  <c r="AF1846" i="1"/>
  <c r="AI1846" i="1" s="1"/>
  <c r="AF1833" i="1"/>
  <c r="AI1833" i="1" s="1"/>
  <c r="AF1453" i="1"/>
  <c r="AI1453" i="1" s="1"/>
  <c r="AF698" i="1"/>
  <c r="AI698" i="1" s="1"/>
  <c r="AF2325" i="1"/>
  <c r="AI2325" i="1" s="1"/>
  <c r="AF29" i="1"/>
  <c r="AI29" i="1" s="1"/>
  <c r="AF1080" i="1"/>
  <c r="AI1080" i="1" s="1"/>
  <c r="AF1787" i="1"/>
  <c r="AI1787" i="1" s="1"/>
  <c r="AF2082" i="1"/>
  <c r="AI2082" i="1" s="1"/>
  <c r="AF741" i="1"/>
  <c r="AI741" i="1" s="1"/>
  <c r="AF1053" i="1"/>
  <c r="AI1053" i="1" s="1"/>
  <c r="AF2289" i="1"/>
  <c r="AI2289" i="1" s="1"/>
  <c r="AF2237" i="1"/>
  <c r="AI2237" i="1" s="1"/>
  <c r="AF656" i="1"/>
  <c r="AI656" i="1" s="1"/>
  <c r="AF640" i="1"/>
  <c r="AI640" i="1" s="1"/>
  <c r="AF545" i="1"/>
  <c r="AI545" i="1" s="1"/>
  <c r="AF1595" i="1"/>
  <c r="AI1595" i="1" s="1"/>
  <c r="AF892" i="1"/>
  <c r="AI892" i="1" s="1"/>
  <c r="AF350" i="1"/>
  <c r="AI350" i="1" s="1"/>
  <c r="AF469" i="1"/>
  <c r="AI469" i="1" s="1"/>
  <c r="AF722" i="1"/>
  <c r="AI722" i="1" s="1"/>
  <c r="AF1178" i="1"/>
  <c r="AI1178" i="1" s="1"/>
  <c r="AF1507" i="1"/>
  <c r="AI1507" i="1" s="1"/>
  <c r="AF782" i="1"/>
  <c r="AI782" i="1" s="1"/>
  <c r="AF2443" i="1"/>
  <c r="AI2443" i="1" s="1"/>
  <c r="AF943" i="1"/>
  <c r="AI943" i="1" s="1"/>
  <c r="AF1744" i="1"/>
  <c r="AI1744" i="1" s="1"/>
  <c r="AF1289" i="1"/>
  <c r="AI1289" i="1" s="1"/>
  <c r="AF41" i="1"/>
  <c r="AI41" i="1" s="1"/>
  <c r="AF1793" i="1"/>
  <c r="AI1793" i="1" s="1"/>
  <c r="AF249" i="1"/>
  <c r="AI249" i="1" s="1"/>
  <c r="AF2285" i="1"/>
  <c r="AI2285" i="1" s="1"/>
  <c r="AF1756" i="1"/>
  <c r="AI1756" i="1" s="1"/>
  <c r="AF2086" i="1"/>
  <c r="AI2086" i="1" s="1"/>
  <c r="AF393" i="1"/>
  <c r="AI393" i="1" s="1"/>
  <c r="AF78" i="1"/>
  <c r="AI78" i="1" s="1"/>
  <c r="AF2572" i="1"/>
  <c r="AI2572" i="1" s="1"/>
  <c r="AF2018" i="1"/>
  <c r="AI2018" i="1" s="1"/>
  <c r="AF2616" i="1"/>
  <c r="AI2616" i="1" s="1"/>
  <c r="AF2749" i="1"/>
  <c r="AI2749" i="1" s="1"/>
  <c r="AF2510" i="1"/>
  <c r="AI2510" i="1" s="1"/>
  <c r="AF2030" i="1"/>
  <c r="AI2030" i="1" s="1"/>
  <c r="AF1276" i="1"/>
  <c r="AI1276" i="1" s="1"/>
  <c r="AF2743" i="1"/>
  <c r="AI2743" i="1" s="1"/>
  <c r="AF2528" i="1"/>
  <c r="AI2528" i="1" s="1"/>
  <c r="AF2738" i="1"/>
  <c r="AI2738" i="1" s="1"/>
  <c r="AF2567" i="1"/>
  <c r="AI2567" i="1" s="1"/>
  <c r="AF1863" i="1"/>
  <c r="AI1863" i="1" s="1"/>
  <c r="AF644" i="1"/>
  <c r="AI644" i="1" s="1"/>
  <c r="AF2110" i="1"/>
  <c r="AI2110" i="1" s="1"/>
  <c r="AF1968" i="1"/>
  <c r="AI1968" i="1" s="1"/>
  <c r="AF1522" i="1"/>
  <c r="AI1522" i="1" s="1"/>
  <c r="AF521" i="1"/>
  <c r="AI521" i="1" s="1"/>
  <c r="AF2342" i="1"/>
  <c r="AI2342" i="1" s="1"/>
  <c r="AF1162" i="1"/>
  <c r="AI1162" i="1" s="1"/>
  <c r="AF1785" i="1"/>
  <c r="AI1785" i="1" s="1"/>
  <c r="AF1561" i="1"/>
  <c r="AI1561" i="1" s="1"/>
  <c r="AF1701" i="1"/>
  <c r="AI1701" i="1" s="1"/>
  <c r="AF410" i="1"/>
  <c r="AI410" i="1" s="1"/>
  <c r="AF1924" i="1"/>
  <c r="AI1924" i="1" s="1"/>
  <c r="AF2200" i="1"/>
  <c r="AI2200" i="1" s="1"/>
  <c r="AF2265" i="1"/>
  <c r="AI2265" i="1" s="1"/>
  <c r="AF1599" i="1"/>
  <c r="AI1599" i="1" s="1"/>
  <c r="AF557" i="1"/>
  <c r="AI557" i="1" s="1"/>
  <c r="AF291" i="1"/>
  <c r="AI291" i="1" s="1"/>
  <c r="AF2728" i="1"/>
  <c r="AI2728" i="1" s="1"/>
  <c r="AF2558" i="1"/>
  <c r="AI2558" i="1" s="1"/>
  <c r="AF2282" i="1"/>
  <c r="AI2282" i="1" s="1"/>
  <c r="AF726" i="1"/>
  <c r="AI726" i="1" s="1"/>
  <c r="AF2673" i="1"/>
  <c r="AI2673" i="1" s="1"/>
  <c r="AF1431" i="1"/>
  <c r="AI1431" i="1" s="1"/>
  <c r="AF500" i="1"/>
  <c r="AI500" i="1" s="1"/>
  <c r="AF1172" i="1"/>
  <c r="AI1172" i="1" s="1"/>
  <c r="AF98" i="1"/>
  <c r="AI98" i="1" s="1"/>
  <c r="AF2063" i="1"/>
  <c r="AI2063" i="1" s="1"/>
  <c r="AF855" i="1"/>
  <c r="AI855" i="1" s="1"/>
  <c r="AF646" i="1"/>
  <c r="AI646" i="1" s="1"/>
  <c r="AF2377" i="1"/>
  <c r="AI2377" i="1" s="1"/>
  <c r="AF1314" i="1"/>
  <c r="AI1314" i="1" s="1"/>
  <c r="AF1644" i="1"/>
  <c r="AI1644" i="1" s="1"/>
  <c r="AF1755" i="1"/>
  <c r="AI1755" i="1" s="1"/>
  <c r="AF2161" i="1"/>
  <c r="AI2161" i="1" s="1"/>
  <c r="AF379" i="1"/>
  <c r="AI379" i="1" s="1"/>
  <c r="AF484" i="1"/>
  <c r="AI484" i="1" s="1"/>
  <c r="AF1783" i="1"/>
  <c r="AI1783" i="1" s="1"/>
  <c r="AF2022" i="1"/>
  <c r="AI2022" i="1" s="1"/>
  <c r="AF492" i="1"/>
  <c r="AI492" i="1" s="1"/>
  <c r="AF1583" i="1"/>
  <c r="AI1583" i="1" s="1"/>
  <c r="AF325" i="1"/>
  <c r="AI325" i="1" s="1"/>
  <c r="AF24" i="1"/>
  <c r="AI24" i="1" s="1"/>
  <c r="AF215" i="1"/>
  <c r="AI215" i="1" s="1"/>
  <c r="AF1332" i="1"/>
  <c r="AI1332" i="1" s="1"/>
  <c r="AF1862" i="1"/>
  <c r="AI1862" i="1" s="1"/>
  <c r="AF1656" i="1"/>
  <c r="AI1656" i="1" s="1"/>
  <c r="AF1066" i="1"/>
  <c r="AI1066" i="1" s="1"/>
  <c r="AF2007" i="1"/>
  <c r="AI2007" i="1" s="1"/>
  <c r="AF2100" i="1"/>
  <c r="AI2100" i="1" s="1"/>
  <c r="AF1900" i="1"/>
  <c r="AI1900" i="1" s="1"/>
  <c r="AF1659" i="1"/>
  <c r="AI1659" i="1" s="1"/>
  <c r="AF1109" i="1"/>
  <c r="AI1109" i="1" s="1"/>
  <c r="AF1962" i="1"/>
  <c r="AI1962" i="1" s="1"/>
  <c r="AF2360" i="1"/>
  <c r="AI2360" i="1" s="1"/>
  <c r="AF2418" i="1"/>
  <c r="AI2418" i="1" s="1"/>
  <c r="AF2371" i="1"/>
  <c r="AI2371" i="1" s="1"/>
  <c r="AF1703" i="1"/>
  <c r="AI1703" i="1" s="1"/>
  <c r="AF1568" i="1"/>
  <c r="AI1568" i="1" s="1"/>
  <c r="AF1269" i="1"/>
  <c r="AI1269" i="1" s="1"/>
  <c r="AF638" i="1"/>
  <c r="AI638" i="1" s="1"/>
  <c r="AF1461" i="1"/>
  <c r="AI1461" i="1" s="1"/>
  <c r="AF1541" i="1"/>
  <c r="AI1541" i="1" s="1"/>
  <c r="AF2277" i="1"/>
  <c r="AI2277" i="1" s="1"/>
  <c r="AF1147" i="1"/>
  <c r="AI1147" i="1" s="1"/>
  <c r="AF2509" i="1"/>
  <c r="AI2509" i="1" s="1"/>
  <c r="AF823" i="1"/>
  <c r="AI823" i="1" s="1"/>
  <c r="AF2160" i="1"/>
  <c r="AI2160" i="1" s="1"/>
  <c r="AF1407" i="1"/>
  <c r="AI1407" i="1" s="1"/>
  <c r="AF1806" i="1"/>
  <c r="AI1806" i="1" s="1"/>
  <c r="AF832" i="1"/>
  <c r="AI832" i="1" s="1"/>
  <c r="AF1908" i="1"/>
  <c r="AI1908" i="1" s="1"/>
  <c r="AF1163" i="1"/>
  <c r="AI1163" i="1" s="1"/>
  <c r="AF2643" i="1"/>
  <c r="AI2643" i="1" s="1"/>
  <c r="AF1228" i="1"/>
  <c r="AI1228" i="1" s="1"/>
  <c r="AF1586" i="1"/>
  <c r="AI1586" i="1" s="1"/>
  <c r="AF1351" i="1"/>
  <c r="AI1351" i="1" s="1"/>
  <c r="AF549" i="1"/>
  <c r="AI549" i="1" s="1"/>
  <c r="AF1747" i="1"/>
  <c r="AI1747" i="1" s="1"/>
  <c r="AF96" i="1"/>
  <c r="AI96" i="1" s="1"/>
  <c r="AF591" i="1"/>
  <c r="AI591" i="1" s="1"/>
  <c r="AF347" i="1"/>
  <c r="AI347" i="1" s="1"/>
  <c r="AF2281" i="1"/>
  <c r="AI2281" i="1" s="1"/>
  <c r="AF1042" i="1"/>
  <c r="AI1042" i="1" s="1"/>
  <c r="AF1676" i="1"/>
  <c r="AI1676" i="1" s="1"/>
  <c r="AF356" i="1"/>
  <c r="AI356" i="1" s="1"/>
  <c r="AF1450" i="1"/>
  <c r="AI1450" i="1" s="1"/>
  <c r="AF298" i="1"/>
  <c r="AI298" i="1" s="1"/>
  <c r="AF1940" i="1"/>
  <c r="AI1940" i="1" s="1"/>
  <c r="AF2331" i="1"/>
  <c r="AI2331" i="1" s="1"/>
  <c r="AF203" i="1"/>
  <c r="AI203" i="1" s="1"/>
  <c r="AF2724" i="1"/>
  <c r="AI2724" i="1" s="1"/>
  <c r="AF135" i="1"/>
  <c r="AI135" i="1" s="1"/>
  <c r="AF2631" i="1"/>
  <c r="AI2631" i="1" s="1"/>
  <c r="AF1743" i="1"/>
  <c r="AI1743" i="1" s="1"/>
  <c r="AF497" i="1"/>
  <c r="AI497" i="1" s="1"/>
  <c r="AF1939" i="1"/>
  <c r="AI1939" i="1" s="1"/>
  <c r="AF518" i="1"/>
  <c r="AI518" i="1" s="1"/>
  <c r="AF128" i="1"/>
  <c r="AI128" i="1" s="1"/>
  <c r="AF1738" i="1"/>
  <c r="AI1738" i="1" s="1"/>
  <c r="AF489" i="1"/>
  <c r="AI489" i="1" s="1"/>
  <c r="AF2671" i="1"/>
  <c r="AI2671" i="1" s="1"/>
  <c r="AF1334" i="1"/>
  <c r="AI1334" i="1" s="1"/>
  <c r="AF105" i="1"/>
  <c r="AI105" i="1" s="1"/>
  <c r="AF971" i="1"/>
  <c r="AI971" i="1" s="1"/>
  <c r="AF2716" i="1"/>
  <c r="AI2716" i="1" s="1"/>
  <c r="AF1817" i="1"/>
  <c r="AI1817" i="1" s="1"/>
  <c r="AF513" i="1"/>
  <c r="AI513" i="1" s="1"/>
  <c r="AF922" i="1"/>
  <c r="AI922" i="1" s="1"/>
  <c r="AF446" i="1"/>
  <c r="AI446" i="1" s="1"/>
  <c r="AF510" i="1"/>
  <c r="AI510" i="1" s="1"/>
  <c r="AF2039" i="1"/>
  <c r="AI2039" i="1" s="1"/>
  <c r="AF704" i="1"/>
  <c r="AI704" i="1" s="1"/>
  <c r="AF1061" i="1"/>
  <c r="AI1061" i="1" s="1"/>
  <c r="AF1094" i="1"/>
  <c r="AI1094" i="1" s="1"/>
  <c r="AF657" i="1"/>
  <c r="AI657" i="1" s="1"/>
  <c r="AF294" i="1"/>
  <c r="AI294" i="1" s="1"/>
  <c r="AF2609" i="1"/>
  <c r="AI2609" i="1" s="1"/>
  <c r="AF2173" i="1"/>
  <c r="AI2173" i="1" s="1"/>
  <c r="AF846" i="1"/>
  <c r="AI846" i="1" s="1"/>
  <c r="AF2126" i="1"/>
  <c r="AI2126" i="1" s="1"/>
  <c r="AF2115" i="1"/>
  <c r="AI2115" i="1" s="1"/>
  <c r="AF1887" i="1"/>
  <c r="AI1887" i="1" s="1"/>
  <c r="AF1664" i="1"/>
  <c r="AI1664" i="1" s="1"/>
  <c r="AF2035" i="1"/>
  <c r="AI2035" i="1" s="1"/>
  <c r="AF1702" i="1"/>
  <c r="AI1702" i="1" s="1"/>
  <c r="AF1518" i="1"/>
  <c r="AI1518" i="1" s="1"/>
  <c r="AF629" i="1"/>
  <c r="AI629" i="1" s="1"/>
  <c r="AF1246" i="1"/>
  <c r="AI1246" i="1" s="1"/>
  <c r="AF1484" i="1"/>
  <c r="AI1484" i="1" s="1"/>
  <c r="AF1387" i="1"/>
  <c r="AI1387" i="1" s="1"/>
  <c r="AF2439" i="1"/>
  <c r="AI2439" i="1" s="1"/>
  <c r="AF2121" i="1"/>
  <c r="AI2121" i="1" s="1"/>
  <c r="AF375" i="1"/>
  <c r="AI375" i="1" s="1"/>
  <c r="AF227" i="1"/>
  <c r="AI227" i="1" s="1"/>
  <c r="AF520" i="1"/>
  <c r="AI520" i="1" s="1"/>
  <c r="AF1394" i="1"/>
  <c r="AI1394" i="1" s="1"/>
  <c r="AF1732" i="1"/>
  <c r="AI1732" i="1" s="1"/>
  <c r="AF2386" i="1"/>
  <c r="AI2386" i="1" s="1"/>
  <c r="AF125" i="1"/>
  <c r="AI125" i="1" s="1"/>
  <c r="AF939" i="1"/>
  <c r="AI939" i="1" s="1"/>
  <c r="AF1226" i="1"/>
  <c r="AI1226" i="1" s="1"/>
  <c r="AF1818" i="1"/>
  <c r="AI1818" i="1" s="1"/>
  <c r="AF1832" i="1"/>
  <c r="AI1832" i="1" s="1"/>
  <c r="AF573" i="1"/>
  <c r="AI573" i="1" s="1"/>
  <c r="AF819" i="1"/>
  <c r="AI819" i="1" s="1"/>
  <c r="AF46" i="1"/>
  <c r="AI46" i="1" s="1"/>
  <c r="AF1472" i="1"/>
  <c r="AI1472" i="1" s="1"/>
  <c r="AF82" i="1"/>
  <c r="AI82" i="1" s="1"/>
  <c r="AF2408" i="1"/>
  <c r="AI2408" i="1" s="1"/>
  <c r="AF1489" i="1"/>
  <c r="AI1489" i="1" s="1"/>
  <c r="AF2530" i="1"/>
  <c r="AI2530" i="1" s="1"/>
  <c r="AF2683" i="1"/>
  <c r="AI2683" i="1" s="1"/>
  <c r="AF1882" i="1"/>
  <c r="AI1882" i="1" s="1"/>
  <c r="AF2382" i="1"/>
  <c r="AI2382" i="1" s="1"/>
  <c r="AF902" i="1"/>
  <c r="AI902" i="1" s="1"/>
  <c r="AF1160" i="1"/>
  <c r="AI1160" i="1" s="1"/>
  <c r="AF802" i="1"/>
  <c r="AI802" i="1" s="1"/>
  <c r="AF1422" i="1"/>
  <c r="AI1422" i="1" s="1"/>
  <c r="AF1436" i="1"/>
  <c r="AI1436" i="1" s="1"/>
  <c r="AF219" i="1"/>
  <c r="AI219" i="1" s="1"/>
  <c r="AF1413" i="1"/>
  <c r="AI1413" i="1" s="1"/>
  <c r="AF1977" i="1"/>
  <c r="AI1977" i="1" s="1"/>
  <c r="AF542" i="1"/>
  <c r="AI542" i="1" s="1"/>
  <c r="AF1668" i="1"/>
  <c r="AI1668" i="1" s="1"/>
  <c r="AF1556" i="1"/>
  <c r="AI1556" i="1" s="1"/>
  <c r="AF170" i="1"/>
  <c r="AI170" i="1" s="1"/>
  <c r="AF1065" i="1"/>
  <c r="AI1065" i="1" s="1"/>
  <c r="AF2665" i="1"/>
  <c r="AI2665" i="1" s="1"/>
  <c r="AF883" i="1"/>
  <c r="AI883" i="1" s="1"/>
  <c r="AF2641" i="1"/>
  <c r="AI2641" i="1" s="1"/>
  <c r="AF2318" i="1"/>
  <c r="AI2318" i="1" s="1"/>
  <c r="AF464" i="1"/>
  <c r="AI464" i="1" s="1"/>
  <c r="AF1063" i="1"/>
  <c r="AI1063" i="1" s="1"/>
  <c r="AF1630" i="1"/>
  <c r="AI1630" i="1" s="1"/>
  <c r="AF86" i="1"/>
  <c r="AI86" i="1" s="1"/>
  <c r="AF866" i="1"/>
  <c r="AI866" i="1" s="1"/>
  <c r="AF2375" i="1"/>
  <c r="AI2375" i="1" s="1"/>
  <c r="AF1492" i="1"/>
  <c r="AI1492" i="1" s="1"/>
  <c r="AF502" i="1"/>
  <c r="AI502" i="1" s="1"/>
  <c r="AF791" i="1"/>
  <c r="AI791" i="1" s="1"/>
  <c r="AF1859" i="1"/>
  <c r="AI1859" i="1" s="1"/>
  <c r="AF1654" i="1"/>
  <c r="AI1654" i="1" s="1"/>
  <c r="AF1149" i="1"/>
  <c r="AI1149" i="1" s="1"/>
  <c r="AF342" i="1"/>
  <c r="AI342" i="1" s="1"/>
  <c r="AF1704" i="1"/>
  <c r="AI1704" i="1" s="1"/>
  <c r="AF972" i="1"/>
  <c r="AI972" i="1" s="1"/>
  <c r="AF118" i="1"/>
  <c r="AI118" i="1" s="1"/>
  <c r="AF2412" i="1"/>
  <c r="AI2412" i="1" s="1"/>
  <c r="AF2186" i="1"/>
  <c r="AI2186" i="1" s="1"/>
  <c r="AF2262" i="1"/>
  <c r="AI2262" i="1" s="1"/>
  <c r="AF1715" i="1"/>
  <c r="AI1715" i="1" s="1"/>
  <c r="AF744" i="1"/>
  <c r="AI744" i="1" s="1"/>
  <c r="AF2111" i="1"/>
  <c r="AI2111" i="1" s="1"/>
  <c r="AF2201" i="1"/>
  <c r="AI2201" i="1" s="1"/>
  <c r="AF1324" i="1"/>
  <c r="AI1324" i="1" s="1"/>
  <c r="AF180" i="1"/>
  <c r="AI180" i="1" s="1"/>
  <c r="AF1180" i="1"/>
  <c r="AI1180" i="1" s="1"/>
  <c r="AF1304" i="1"/>
  <c r="AI1304" i="1" s="1"/>
  <c r="AF2210" i="1"/>
  <c r="AI2210" i="1" s="1"/>
  <c r="AF1179" i="1"/>
  <c r="AI1179" i="1" s="1"/>
  <c r="AF2642" i="1"/>
  <c r="AI2642" i="1" s="1"/>
  <c r="AF1195" i="1"/>
  <c r="AI1195" i="1" s="1"/>
  <c r="AF2189" i="1"/>
  <c r="AI2189" i="1" s="1"/>
  <c r="AF1961" i="1"/>
  <c r="AI1961" i="1" s="1"/>
  <c r="AF1931" i="1"/>
  <c r="AI1931" i="1" s="1"/>
  <c r="AF439" i="1"/>
  <c r="AI439" i="1" s="1"/>
  <c r="AF844" i="1"/>
  <c r="AI844" i="1" s="1"/>
  <c r="AF932" i="1"/>
  <c r="AI932" i="1" s="1"/>
  <c r="AF969" i="1"/>
  <c r="AI969" i="1" s="1"/>
  <c r="AF454" i="1"/>
  <c r="AI454" i="1" s="1"/>
  <c r="AF681" i="1"/>
  <c r="AI681" i="1" s="1"/>
  <c r="AF2685" i="1"/>
  <c r="AI2685" i="1" s="1"/>
  <c r="AF1290" i="1"/>
  <c r="AI1290" i="1" s="1"/>
  <c r="AF605" i="1"/>
  <c r="AI605" i="1" s="1"/>
  <c r="AF2777" i="1"/>
  <c r="AI2777" i="1" s="1"/>
  <c r="AF108" i="1"/>
  <c r="AI108" i="1" s="1"/>
  <c r="AF524" i="1"/>
  <c r="AI524" i="1" s="1"/>
  <c r="AF2317" i="1"/>
  <c r="AI2317" i="1" s="1"/>
  <c r="AF1916" i="1"/>
  <c r="AI1916" i="1" s="1"/>
  <c r="AF2286" i="1"/>
  <c r="AI2286" i="1" s="1"/>
  <c r="AF709" i="1"/>
  <c r="AI709" i="1" s="1"/>
  <c r="AF318" i="1"/>
  <c r="AI318" i="1" s="1"/>
  <c r="AF2587" i="1"/>
  <c r="AI2587" i="1" s="1"/>
  <c r="AF458" i="1"/>
  <c r="AI458" i="1" s="1"/>
  <c r="AF175" i="1"/>
  <c r="AI175" i="1" s="1"/>
  <c r="AF579" i="1"/>
  <c r="AI579" i="1" s="1"/>
  <c r="AF2585" i="1"/>
  <c r="AI2585" i="1" s="1"/>
  <c r="AF1500" i="1"/>
  <c r="AI1500" i="1" s="1"/>
  <c r="AF603" i="1"/>
  <c r="AI603" i="1" s="1"/>
  <c r="AF2571" i="1"/>
  <c r="AI2571" i="1" s="1"/>
  <c r="AF2517" i="1"/>
  <c r="AI2517" i="1" s="1"/>
  <c r="AF194" i="1"/>
  <c r="AI194" i="1" s="1"/>
  <c r="AF2047" i="1"/>
  <c r="AI2047" i="1" s="1"/>
  <c r="AF2717" i="1"/>
  <c r="AI2717" i="1" s="1"/>
  <c r="AF1758" i="1"/>
  <c r="AI1758" i="1" s="1"/>
  <c r="AF206" i="1"/>
  <c r="AI206" i="1" s="1"/>
  <c r="AF896" i="1"/>
  <c r="AI896" i="1" s="1"/>
  <c r="AF730" i="1"/>
  <c r="AI730" i="1" s="1"/>
  <c r="AF2516" i="1"/>
  <c r="AI2516" i="1" s="1"/>
  <c r="AF1273" i="1"/>
  <c r="AI1273" i="1" s="1"/>
  <c r="AF1120" i="1"/>
  <c r="AI1120" i="1" s="1"/>
  <c r="AF2684" i="1"/>
  <c r="AI2684" i="1" s="1"/>
  <c r="AF867" i="1"/>
  <c r="AI867" i="1" s="1"/>
  <c r="AF2727" i="1"/>
  <c r="AI2727" i="1" s="1"/>
  <c r="AF2762" i="1"/>
  <c r="AI2762" i="1" s="1"/>
  <c r="AF438" i="1"/>
  <c r="AI438" i="1" s="1"/>
  <c r="AF913" i="1"/>
  <c r="AI913" i="1" s="1"/>
  <c r="AF2480" i="1"/>
  <c r="AI2480" i="1" s="1"/>
  <c r="AF1724" i="1"/>
  <c r="AI1724" i="1" s="1"/>
  <c r="AF1257" i="1"/>
  <c r="AI1257" i="1" s="1"/>
  <c r="AF1361" i="1"/>
  <c r="AI1361" i="1" s="1"/>
  <c r="AF1078" i="1"/>
  <c r="AI1078" i="1" s="1"/>
  <c r="AF2760" i="1"/>
  <c r="AI2760" i="1" s="1"/>
  <c r="AF1841" i="1"/>
  <c r="AI1841" i="1" s="1"/>
  <c r="AF293" i="1"/>
  <c r="AI293" i="1" s="1"/>
  <c r="AF2488" i="1"/>
  <c r="AI2488" i="1" s="1"/>
  <c r="AF330" i="1"/>
  <c r="AI330" i="1" s="1"/>
  <c r="AF1850" i="1"/>
  <c r="AI1850" i="1" s="1"/>
  <c r="AF2080" i="1"/>
  <c r="AI2080" i="1" s="1"/>
  <c r="AF1864" i="1"/>
  <c r="AI1864" i="1" s="1"/>
  <c r="AF447" i="1"/>
  <c r="AI447" i="1" s="1"/>
  <c r="AF2073" i="1"/>
  <c r="AI2073" i="1" s="1"/>
  <c r="AF187" i="1"/>
  <c r="AI187" i="1" s="1"/>
  <c r="AF999" i="1"/>
  <c r="AI999" i="1" s="1"/>
  <c r="AF2536" i="1"/>
  <c r="AI2536" i="1" s="1"/>
  <c r="AF179" i="1"/>
  <c r="AI179" i="1" s="1"/>
  <c r="AF1781" i="1"/>
  <c r="AI1781" i="1" s="1"/>
  <c r="AF1689" i="1"/>
  <c r="AI1689" i="1" s="1"/>
  <c r="AF1211" i="1"/>
  <c r="AI1211" i="1" s="1"/>
  <c r="AF1791" i="1"/>
  <c r="AI1791" i="1" s="1"/>
  <c r="AF444" i="1"/>
  <c r="AI444" i="1" s="1"/>
  <c r="AF1438" i="1"/>
  <c r="AI1438" i="1" s="1"/>
  <c r="AF1136" i="1"/>
  <c r="AI1136" i="1" s="1"/>
  <c r="AF992" i="1"/>
  <c r="AI992" i="1" s="1"/>
  <c r="AF2503" i="1"/>
  <c r="AI2503" i="1" s="1"/>
  <c r="AF2569" i="1"/>
  <c r="AI2569" i="1" s="1"/>
  <c r="AF476" i="1"/>
  <c r="AI476" i="1" s="1"/>
  <c r="AF2401" i="1"/>
  <c r="AI2401" i="1" s="1"/>
  <c r="AF1242" i="1"/>
  <c r="AI1242" i="1" s="1"/>
  <c r="AF1593" i="1"/>
  <c r="AI1593" i="1" s="1"/>
  <c r="AF1957" i="1"/>
  <c r="AI1957" i="1" s="1"/>
  <c r="AF1219" i="1"/>
  <c r="AI1219" i="1" s="1"/>
  <c r="AF2143" i="1"/>
  <c r="AI2143" i="1" s="1"/>
  <c r="AF2790" i="1"/>
  <c r="AI2790" i="1" s="1"/>
  <c r="AF2130" i="1"/>
  <c r="AI2130" i="1" s="1"/>
  <c r="AF2744" i="1"/>
  <c r="AI2744" i="1" s="1"/>
  <c r="AF35" i="1"/>
  <c r="AI35" i="1" s="1"/>
  <c r="AF121" i="1"/>
  <c r="AI121" i="1" s="1"/>
  <c r="AF1307" i="1"/>
  <c r="AI1307" i="1" s="1"/>
  <c r="AF1487" i="1"/>
  <c r="AI1487" i="1" s="1"/>
  <c r="AF736" i="1"/>
  <c r="AI736" i="1" s="1"/>
  <c r="AF340" i="1"/>
  <c r="AI340" i="1" s="1"/>
  <c r="AF2796" i="1"/>
  <c r="AI2796" i="1" s="1"/>
  <c r="AF2394" i="1"/>
  <c r="AI2394" i="1" s="1"/>
  <c r="AF1052" i="1"/>
  <c r="AI1052" i="1" s="1"/>
  <c r="AF1060" i="1"/>
  <c r="AI1060" i="1" s="1"/>
  <c r="AF2005" i="1"/>
  <c r="AI2005" i="1" s="1"/>
  <c r="AF2469" i="1"/>
  <c r="AI2469" i="1" s="1"/>
  <c r="AF2754" i="1"/>
  <c r="AI2754" i="1" s="1"/>
  <c r="AF1185" i="1"/>
  <c r="AI1185" i="1" s="1"/>
  <c r="AF1047" i="1"/>
  <c r="AI1047" i="1" s="1"/>
  <c r="AF1408" i="1"/>
  <c r="AI1408" i="1" s="1"/>
  <c r="AF766" i="1"/>
  <c r="AI766" i="1" s="1"/>
  <c r="AF1359" i="1"/>
  <c r="AI1359" i="1" s="1"/>
  <c r="AF2263" i="1"/>
  <c r="AI2263" i="1" s="1"/>
  <c r="AF2241" i="1"/>
  <c r="AI2241" i="1" s="1"/>
  <c r="AF2054" i="1"/>
  <c r="AI2054" i="1" s="1"/>
  <c r="AF2591" i="1"/>
  <c r="AI2591" i="1" s="1"/>
  <c r="AF461" i="1"/>
  <c r="AI461" i="1" s="1"/>
  <c r="AF621" i="1"/>
  <c r="AI621" i="1" s="1"/>
  <c r="AF4" i="1"/>
  <c r="AI4" i="1" s="1"/>
  <c r="AF931" i="1"/>
  <c r="AI931" i="1" s="1"/>
  <c r="AF2278" i="1"/>
  <c r="AI2278" i="1" s="1"/>
  <c r="AF1443" i="1"/>
  <c r="AI1443" i="1" s="1"/>
  <c r="AF2714" i="1"/>
  <c r="AI2714" i="1" s="1"/>
  <c r="AF1019" i="1"/>
  <c r="AI1019" i="1" s="1"/>
  <c r="AF2078" i="1"/>
  <c r="AI2078" i="1" s="1"/>
  <c r="AF2346" i="1"/>
  <c r="AI2346" i="1" s="1"/>
  <c r="AF210" i="1"/>
  <c r="AI210" i="1" s="1"/>
  <c r="AF1125" i="1"/>
  <c r="AI1125" i="1" s="1"/>
  <c r="AF61" i="1"/>
  <c r="AI61" i="1" s="1"/>
  <c r="AF695" i="1"/>
  <c r="AI695" i="1" s="1"/>
  <c r="AF103" i="1"/>
  <c r="AI103" i="1" s="1"/>
  <c r="AF1376" i="1"/>
  <c r="AI1376" i="1" s="1"/>
  <c r="AF916" i="1"/>
  <c r="AI916" i="1" s="1"/>
  <c r="AF1585" i="1"/>
  <c r="AI1585" i="1" s="1"/>
  <c r="AF1306" i="1"/>
  <c r="AI1306" i="1" s="1"/>
  <c r="AF725" i="1"/>
  <c r="AI725" i="1" s="1"/>
  <c r="AF607" i="1"/>
  <c r="AI607" i="1" s="1"/>
  <c r="AF1433" i="1"/>
  <c r="AI1433" i="1" s="1"/>
  <c r="AF1231" i="1"/>
  <c r="AI1231" i="1" s="1"/>
  <c r="AF623" i="1"/>
  <c r="AI623" i="1" s="1"/>
  <c r="AF1222" i="1"/>
  <c r="AI1222" i="1" s="1"/>
  <c r="AF183" i="1"/>
  <c r="AI183" i="1" s="1"/>
  <c r="AF1544" i="1"/>
  <c r="AI1544" i="1" s="1"/>
  <c r="AF907" i="1"/>
  <c r="AI907" i="1" s="1"/>
  <c r="AF1385" i="1"/>
  <c r="AI1385" i="1" s="1"/>
  <c r="AF147" i="1"/>
  <c r="AI147" i="1" s="1"/>
  <c r="AF809" i="1"/>
  <c r="AI809" i="1" s="1"/>
  <c r="AF1975" i="1"/>
  <c r="AI1975" i="1" s="1"/>
  <c r="AF796" i="1"/>
  <c r="AI796" i="1" s="1"/>
  <c r="AF1049" i="1"/>
  <c r="AI1049" i="1" s="1"/>
  <c r="AF1770" i="1"/>
  <c r="AI1770" i="1" s="1"/>
  <c r="AF1873" i="1"/>
  <c r="AI1873" i="1" s="1"/>
  <c r="AF2092" i="1"/>
  <c r="AI2092" i="1" s="1"/>
  <c r="AF1114" i="1"/>
  <c r="AI1114" i="1" s="1"/>
  <c r="AF1849" i="1"/>
  <c r="AI1849" i="1" s="1"/>
  <c r="AF1069" i="1"/>
  <c r="AI1069" i="1" s="1"/>
  <c r="AF997" i="1"/>
  <c r="AI997" i="1" s="1"/>
  <c r="AF1935" i="1"/>
  <c r="AI1935" i="1" s="1"/>
  <c r="AF2632" i="1"/>
  <c r="AI2632" i="1" s="1"/>
  <c r="AF927" i="1"/>
  <c r="AI927" i="1" s="1"/>
  <c r="AF506" i="1"/>
  <c r="AI506" i="1" s="1"/>
  <c r="AF1551" i="1"/>
  <c r="AI1551" i="1" s="1"/>
  <c r="AF767" i="1"/>
  <c r="AI767" i="1" s="1"/>
  <c r="AF1596" i="1"/>
  <c r="AI1596" i="1" s="1"/>
  <c r="AF168" i="1"/>
  <c r="AI168" i="1" s="1"/>
  <c r="AF780" i="1"/>
  <c r="AI780" i="1" s="1"/>
  <c r="AF343" i="1"/>
  <c r="AI343" i="1" s="1"/>
  <c r="AF667" i="1"/>
  <c r="AI667" i="1" s="1"/>
  <c r="AF1820" i="1"/>
  <c r="AI1820" i="1" s="1"/>
  <c r="AF1729" i="1"/>
  <c r="AI1729" i="1" s="1"/>
  <c r="AF2648" i="1"/>
  <c r="AI2648" i="1" s="1"/>
  <c r="AF1184" i="1"/>
  <c r="AI1184" i="1" s="1"/>
  <c r="AF2157" i="1"/>
  <c r="AI2157" i="1" s="1"/>
  <c r="AF2740" i="1"/>
  <c r="AI2740" i="1" s="1"/>
  <c r="AF1199" i="1"/>
  <c r="AI1199" i="1" s="1"/>
  <c r="AF2447" i="1"/>
  <c r="AI2447" i="1" s="1"/>
  <c r="AF243" i="1"/>
  <c r="AI243" i="1" s="1"/>
  <c r="AF2112" i="1"/>
  <c r="AI2112" i="1" s="1"/>
  <c r="AF1645" i="1"/>
  <c r="AI1645" i="1" s="1"/>
  <c r="AF2352" i="1"/>
  <c r="AI2352" i="1" s="1"/>
  <c r="AF963" i="1"/>
  <c r="AI963" i="1" s="1"/>
  <c r="AF2618" i="1"/>
  <c r="AI2618" i="1" s="1"/>
  <c r="AF2212" i="1"/>
  <c r="AI2212" i="1" s="1"/>
  <c r="AF2176" i="1"/>
  <c r="AI2176" i="1" s="1"/>
  <c r="AF2448" i="1"/>
  <c r="AI2448" i="1" s="1"/>
  <c r="AF2292" i="1"/>
  <c r="AI2292" i="1" s="1"/>
  <c r="AF710" i="1"/>
  <c r="AI710" i="1" s="1"/>
  <c r="AF608" i="1"/>
  <c r="AI608" i="1" s="1"/>
  <c r="AF2500" i="1"/>
  <c r="AI2500" i="1" s="1"/>
  <c r="AF358" i="1"/>
  <c r="AI358" i="1" s="1"/>
  <c r="AF2712" i="1"/>
  <c r="AI2712" i="1" s="1"/>
  <c r="AF405" i="1"/>
  <c r="AI405" i="1" s="1"/>
  <c r="AF1205" i="1"/>
  <c r="AI1205" i="1" s="1"/>
  <c r="AF1735" i="1"/>
  <c r="AI1735" i="1" s="1"/>
  <c r="AF1762" i="1"/>
  <c r="AI1762" i="1" s="1"/>
  <c r="AF663" i="1"/>
  <c r="AI663" i="1" s="1"/>
  <c r="AF613" i="1"/>
  <c r="AI613" i="1" s="1"/>
  <c r="AF1925" i="1"/>
  <c r="AI1925" i="1" s="1"/>
  <c r="AF577" i="1"/>
  <c r="AI577" i="1" s="1"/>
  <c r="AF1658" i="1"/>
  <c r="AI1658" i="1" s="1"/>
  <c r="AF281" i="1"/>
  <c r="AI281" i="1" s="1"/>
  <c r="AF2122" i="1"/>
  <c r="AI2122" i="1" s="1"/>
  <c r="AF1091" i="1"/>
  <c r="AI1091" i="1" s="1"/>
  <c r="AF912" i="1"/>
  <c r="AI912" i="1" s="1"/>
  <c r="AF2154" i="1"/>
  <c r="AI2154" i="1" s="1"/>
  <c r="AF1878" i="1"/>
  <c r="AI1878" i="1" s="1"/>
  <c r="AF501" i="1"/>
  <c r="AI501" i="1" s="1"/>
  <c r="AF2663" i="1"/>
  <c r="AI2663" i="1" s="1"/>
  <c r="AF2764" i="1"/>
  <c r="AI2764" i="1" s="1"/>
  <c r="AF5" i="1"/>
  <c r="AI5" i="1" s="1"/>
  <c r="AF277" i="1"/>
  <c r="AI277" i="1" s="1"/>
  <c r="AF399" i="1"/>
  <c r="AI399" i="1" s="1"/>
  <c r="AF1624" i="1"/>
  <c r="AI1624" i="1" s="1"/>
  <c r="AF973" i="1"/>
  <c r="AI973" i="1" s="1"/>
  <c r="AF9" i="1"/>
  <c r="AI9" i="1" s="1"/>
  <c r="AF544" i="1"/>
  <c r="AI544" i="1" s="1"/>
  <c r="AF2076" i="1"/>
  <c r="AI2076" i="1" s="1"/>
  <c r="AF2765" i="1"/>
  <c r="AI2765" i="1" s="1"/>
  <c r="AF2499" i="1"/>
  <c r="AI2499" i="1" s="1"/>
  <c r="AF1606" i="1"/>
  <c r="AI1606" i="1" s="1"/>
  <c r="AF817" i="1"/>
  <c r="AI817" i="1" s="1"/>
  <c r="AF689" i="1"/>
  <c r="AI689" i="1" s="1"/>
  <c r="AF2046" i="1"/>
  <c r="AI2046" i="1" s="1"/>
  <c r="AF1040" i="1"/>
  <c r="AI1040" i="1" s="1"/>
  <c r="AF2174" i="1"/>
  <c r="AI2174" i="1" s="1"/>
  <c r="AF153" i="1"/>
  <c r="AI153" i="1" s="1"/>
  <c r="AF1055" i="1"/>
  <c r="AI1055" i="1" s="1"/>
  <c r="AF1605" i="1"/>
  <c r="AI1605" i="1" s="1"/>
  <c r="AF2353" i="1"/>
  <c r="AI2353" i="1" s="1"/>
  <c r="AF256" i="1"/>
  <c r="AI256" i="1" s="1"/>
  <c r="AF1730" i="1"/>
  <c r="AI1730" i="1" s="1"/>
  <c r="AF2458" i="1"/>
  <c r="AI2458" i="1" s="1"/>
  <c r="AF1628" i="1"/>
  <c r="AI1628" i="1" s="1"/>
  <c r="AF1529" i="1"/>
  <c r="AI1529" i="1" s="1"/>
  <c r="AF2669" i="1"/>
  <c r="AI2669" i="1" s="1"/>
  <c r="AF1347" i="1"/>
  <c r="AI1347" i="1" s="1"/>
  <c r="AF519" i="1"/>
  <c r="AI519" i="1" s="1"/>
  <c r="AF495" i="1"/>
  <c r="AI495" i="1" s="1"/>
  <c r="AF946" i="1"/>
  <c r="AI946" i="1" s="1"/>
  <c r="AF1169" i="1"/>
  <c r="AI1169" i="1" s="1"/>
  <c r="AF1717" i="1"/>
  <c r="AI1717" i="1" s="1"/>
  <c r="AF987" i="1"/>
  <c r="AI987" i="1" s="1"/>
  <c r="AF1542" i="1"/>
  <c r="AI1542" i="1" s="1"/>
  <c r="AF1024" i="1"/>
  <c r="AI1024" i="1" s="1"/>
  <c r="AF944" i="1"/>
  <c r="AI944" i="1" s="1"/>
  <c r="AF2199" i="1"/>
  <c r="AI2199" i="1" s="1"/>
  <c r="AF1779" i="1"/>
  <c r="AI1779" i="1" s="1"/>
  <c r="AF2351" i="1"/>
  <c r="AI2351" i="1" s="1"/>
  <c r="AF1687" i="1"/>
  <c r="AI1687" i="1" s="1"/>
  <c r="AF978" i="1"/>
  <c r="AI978" i="1" s="1"/>
  <c r="AF1798" i="1"/>
  <c r="AI1798" i="1" s="1"/>
  <c r="AF2390" i="1"/>
  <c r="AI2390" i="1" s="1"/>
  <c r="AF349" i="1"/>
  <c r="AI349" i="1" s="1"/>
  <c r="AF2178" i="1"/>
  <c r="AI2178" i="1" s="1"/>
  <c r="AF1426" i="1"/>
  <c r="AI1426" i="1" s="1"/>
  <c r="AF957" i="1"/>
  <c r="AI957" i="1" s="1"/>
  <c r="AF1475" i="1"/>
  <c r="AI1475" i="1" s="1"/>
  <c r="AF345" i="1"/>
  <c r="AI345" i="1" s="1"/>
  <c r="AF1763" i="1"/>
  <c r="AI1763" i="1" s="1"/>
  <c r="AF2114" i="1"/>
  <c r="AI2114" i="1" s="1"/>
  <c r="AF2059" i="1"/>
  <c r="AI2059" i="1" s="1"/>
  <c r="AF1389" i="1"/>
  <c r="AI1389" i="1" s="1"/>
  <c r="AF2205" i="1"/>
  <c r="AI2205" i="1" s="1"/>
  <c r="AF2296" i="1"/>
  <c r="AI2296" i="1" s="1"/>
  <c r="AF2551" i="1"/>
  <c r="AI2551" i="1" s="1"/>
  <c r="AF2450" i="1"/>
  <c r="AI2450" i="1" s="1"/>
  <c r="AF899" i="1"/>
  <c r="AI899" i="1" s="1"/>
  <c r="AF1869" i="1"/>
  <c r="AI1869" i="1" s="1"/>
  <c r="AF143" i="1"/>
  <c r="AI143" i="1" s="1"/>
  <c r="AF491" i="1"/>
  <c r="AI491" i="1" s="1"/>
  <c r="AF1399" i="1"/>
  <c r="AI1399" i="1" s="1"/>
  <c r="AF2077" i="1"/>
  <c r="AI2077" i="1" s="1"/>
  <c r="AF547" i="1"/>
  <c r="AI547" i="1" s="1"/>
  <c r="AF924" i="1"/>
  <c r="AI924" i="1" s="1"/>
  <c r="AF2228" i="1"/>
  <c r="AI2228" i="1" s="1"/>
  <c r="AF482" i="1"/>
  <c r="AI482" i="1" s="1"/>
  <c r="AF1316" i="1"/>
  <c r="AI1316" i="1" s="1"/>
  <c r="AF2699" i="1"/>
  <c r="AI2699" i="1" s="1"/>
  <c r="AF1002" i="1"/>
  <c r="AI1002" i="1" s="1"/>
  <c r="AF895" i="1"/>
  <c r="AI895" i="1" s="1"/>
  <c r="AF2622" i="1"/>
  <c r="AI2622" i="1" s="1"/>
  <c r="AF2613" i="1"/>
  <c r="AI2613" i="1" s="1"/>
  <c r="AF2261" i="1"/>
  <c r="AI2261" i="1" s="1"/>
  <c r="AF2459" i="1"/>
  <c r="AI2459" i="1" s="1"/>
  <c r="AF1272" i="1"/>
  <c r="AI1272" i="1" s="1"/>
  <c r="AF980" i="1"/>
  <c r="AI980" i="1" s="1"/>
  <c r="AF154" i="1"/>
  <c r="AI154" i="1" s="1"/>
  <c r="AF2426" i="1"/>
  <c r="AI2426" i="1" s="1"/>
  <c r="AF2542" i="1"/>
  <c r="AI2542" i="1" s="1"/>
  <c r="AF515" i="1"/>
  <c r="AI515" i="1" s="1"/>
  <c r="AF2455" i="1"/>
  <c r="AI2455" i="1" s="1"/>
  <c r="AF1625" i="1"/>
  <c r="AI1625" i="1" s="1"/>
  <c r="AF1667" i="1"/>
  <c r="AI1667" i="1" s="1"/>
  <c r="AF1930" i="1"/>
  <c r="AI1930" i="1" s="1"/>
  <c r="AF37" i="1"/>
  <c r="AI37" i="1" s="1"/>
  <c r="AF1333" i="1"/>
  <c r="AI1333" i="1" s="1"/>
  <c r="AF739" i="1"/>
  <c r="AI739" i="1" s="1"/>
  <c r="AF1218" i="1"/>
  <c r="AI1218" i="1" s="1"/>
  <c r="AF1808" i="1"/>
  <c r="AI1808" i="1" s="1"/>
  <c r="AF1266" i="1"/>
  <c r="AI1266" i="1" s="1"/>
  <c r="AF1108" i="1"/>
  <c r="AI1108" i="1" s="1"/>
  <c r="AF1626" i="1"/>
  <c r="AI1626" i="1" s="1"/>
  <c r="AF2525" i="1"/>
  <c r="AI2525" i="1" s="1"/>
  <c r="AF1515" i="1"/>
  <c r="AI1515" i="1" s="1"/>
  <c r="AF745" i="1"/>
  <c r="AI745" i="1" s="1"/>
  <c r="AF787" i="1"/>
  <c r="AI787" i="1" s="1"/>
  <c r="AF707" i="1"/>
  <c r="AI707" i="1" s="1"/>
  <c r="AF1534" i="1"/>
  <c r="AI1534" i="1" s="1"/>
  <c r="AF133" i="1"/>
  <c r="AI133" i="1" s="1"/>
  <c r="AF2505" i="1"/>
  <c r="AI2505" i="1" s="1"/>
  <c r="AF1690" i="1"/>
  <c r="AI1690" i="1" s="1"/>
  <c r="AF2015" i="1"/>
  <c r="AI2015" i="1" s="1"/>
  <c r="AF171" i="1"/>
  <c r="AI171" i="1" s="1"/>
  <c r="AF1506" i="1"/>
  <c r="AI1506" i="1" s="1"/>
  <c r="AF1398" i="1"/>
  <c r="AI1398" i="1" s="1"/>
  <c r="AF1954" i="1"/>
  <c r="AI1954" i="1" s="1"/>
  <c r="AF272" i="1"/>
  <c r="AI272" i="1" s="1"/>
  <c r="AF192" i="1"/>
  <c r="AI192" i="1" s="1"/>
  <c r="AF1986" i="1"/>
  <c r="AI1986" i="1" s="1"/>
  <c r="AF68" i="1"/>
  <c r="AI68" i="1" s="1"/>
  <c r="AF2258" i="1"/>
  <c r="AI2258" i="1" s="1"/>
  <c r="AF2294" i="1"/>
  <c r="AI2294" i="1" s="1"/>
  <c r="AF1279" i="1"/>
  <c r="AI1279" i="1" s="1"/>
  <c r="AF757" i="1"/>
  <c r="AI757" i="1" s="1"/>
  <c r="AF2198" i="1"/>
  <c r="AI2198" i="1" s="1"/>
  <c r="AF459" i="1"/>
  <c r="AI459" i="1" s="1"/>
  <c r="AF1086" i="1"/>
  <c r="AI1086" i="1" s="1"/>
  <c r="AF317" i="1"/>
  <c r="AI317" i="1" s="1"/>
  <c r="AF2137" i="1"/>
  <c r="AI2137" i="1" s="1"/>
  <c r="AF2539" i="1"/>
  <c r="AI2539" i="1" s="1"/>
  <c r="AF2104" i="1"/>
  <c r="AI2104" i="1" s="1"/>
  <c r="AF1826" i="1"/>
  <c r="AI1826" i="1" s="1"/>
  <c r="AF2079" i="1"/>
  <c r="AI2079" i="1" s="1"/>
  <c r="AF619" i="1"/>
  <c r="AI619" i="1" s="1"/>
  <c r="AF2735" i="1"/>
  <c r="AI2735" i="1" s="1"/>
  <c r="AF1293" i="1"/>
  <c r="AI1293" i="1" s="1"/>
  <c r="AF2606" i="1"/>
  <c r="AI2606" i="1" s="1"/>
  <c r="AF1554" i="1"/>
  <c r="AI1554" i="1" s="1"/>
  <c r="AF2140" i="1"/>
  <c r="AI2140" i="1" s="1"/>
  <c r="AF1883" i="1"/>
  <c r="AI1883" i="1" s="1"/>
  <c r="AF1404" i="1"/>
  <c r="AI1404" i="1" s="1"/>
  <c r="AF878" i="1"/>
  <c r="AI878" i="1" s="1"/>
  <c r="AF2588" i="1"/>
  <c r="AI2588" i="1" s="1"/>
  <c r="AF1764" i="1"/>
  <c r="AI1764" i="1" s="1"/>
  <c r="AF536" i="1"/>
  <c r="AI536" i="1" s="1"/>
  <c r="AF1545" i="1"/>
  <c r="AI1545" i="1" s="1"/>
  <c r="AF1674" i="1"/>
  <c r="AI1674" i="1" s="1"/>
  <c r="AF829" i="1"/>
  <c r="AI829" i="1" s="1"/>
  <c r="AF2106" i="1"/>
  <c r="AI2106" i="1" s="1"/>
  <c r="AF113" i="1"/>
  <c r="AI113" i="1" s="1"/>
  <c r="AF17" i="1"/>
  <c r="AI17" i="1" s="1"/>
  <c r="AF76" i="1"/>
  <c r="AI76" i="1" s="1"/>
  <c r="AF563" i="1"/>
  <c r="AI563" i="1" s="1"/>
  <c r="AF1992" i="1"/>
  <c r="AI1992" i="1" s="1"/>
  <c r="AF2589" i="1"/>
  <c r="AI2589" i="1" s="1"/>
  <c r="AF1692" i="1"/>
  <c r="AI1692" i="1" s="1"/>
  <c r="AF1132" i="1"/>
  <c r="AI1132" i="1" s="1"/>
  <c r="AF928" i="1"/>
  <c r="AI928" i="1" s="1"/>
  <c r="AF2344" i="1"/>
  <c r="AI2344" i="1" s="1"/>
  <c r="AF870" i="1"/>
  <c r="AI870" i="1" s="1"/>
  <c r="AF1971" i="1"/>
  <c r="AI1971" i="1" s="1"/>
  <c r="AF440" i="1"/>
  <c r="AI440" i="1" s="1"/>
  <c r="AF1270" i="1"/>
  <c r="AI1270" i="1" s="1"/>
  <c r="AF1167" i="1"/>
  <c r="AI1167" i="1" s="1"/>
  <c r="AF2563" i="1"/>
  <c r="AI2563" i="1" s="1"/>
  <c r="AF1550" i="1"/>
  <c r="AI1550" i="1" s="1"/>
  <c r="AF2343" i="1"/>
  <c r="AI2343" i="1" s="1"/>
  <c r="AF260" i="1"/>
  <c r="AI260" i="1" s="1"/>
  <c r="AF2670" i="1"/>
  <c r="AI2670" i="1" s="1"/>
  <c r="AF962" i="1"/>
  <c r="AI962" i="1" s="1"/>
  <c r="AF1749" i="1"/>
  <c r="AI1749" i="1" s="1"/>
  <c r="AF1932" i="1"/>
  <c r="AI1932" i="1" s="1"/>
  <c r="AF2411" i="1"/>
  <c r="AI2411" i="1" s="1"/>
  <c r="AF2357" i="1"/>
  <c r="AI2357" i="1" s="1"/>
  <c r="AF1947" i="1"/>
  <c r="AI1947" i="1" s="1"/>
  <c r="AF267" i="1"/>
  <c r="AI267" i="1" s="1"/>
  <c r="AF1285" i="1"/>
  <c r="AI1285" i="1" s="1"/>
  <c r="AF2003" i="1"/>
  <c r="AI2003" i="1" s="1"/>
  <c r="AF388" i="1"/>
  <c r="AI388" i="1" s="1"/>
  <c r="AF2" i="1"/>
  <c r="AI2" i="1" s="1"/>
  <c r="AF938" i="1"/>
  <c r="AI938" i="1" s="1"/>
  <c r="AF1482" i="1"/>
  <c r="AI1482" i="1" s="1"/>
  <c r="AF2138" i="1"/>
  <c r="AI2138" i="1" s="1"/>
  <c r="AF2117" i="1"/>
  <c r="AF1100" i="1"/>
  <c r="AI1100" i="1" s="1"/>
  <c r="AF1121" i="1"/>
  <c r="AI1121" i="1" s="1"/>
  <c r="AF2526" i="1"/>
  <c r="AI2526" i="1" s="1"/>
  <c r="AF2136" i="1"/>
  <c r="AI2136" i="1" s="1"/>
  <c r="AF2029" i="1"/>
  <c r="AI2029" i="1" s="1"/>
  <c r="AF8" i="1"/>
  <c r="AI8" i="1" s="1"/>
  <c r="AF958" i="1"/>
  <c r="AI958" i="1" s="1"/>
  <c r="AF776" i="1"/>
  <c r="AI776" i="1" s="1"/>
  <c r="AF1137" i="1"/>
  <c r="AI1137" i="1" s="1"/>
  <c r="AF1663" i="1"/>
  <c r="AI1663" i="1" s="1"/>
  <c r="AF89" i="1"/>
  <c r="AI89" i="1" s="1"/>
  <c r="AF91" i="1"/>
  <c r="AI91" i="1" s="1"/>
  <c r="AF1562" i="1"/>
  <c r="AI1562" i="1" s="1"/>
  <c r="AF1527" i="1"/>
  <c r="AI1527" i="1" s="1"/>
  <c r="AF1415" i="1"/>
  <c r="AI1415" i="1" s="1"/>
  <c r="AF552" i="1"/>
  <c r="AI552" i="1" s="1"/>
  <c r="AF2061" i="1"/>
  <c r="AI2061" i="1" s="1"/>
  <c r="AF1909" i="1"/>
  <c r="AI1909" i="1" s="1"/>
  <c r="AF862" i="1"/>
  <c r="AI862" i="1" s="1"/>
  <c r="AF2242" i="1"/>
  <c r="AI2242" i="1" s="1"/>
  <c r="AF1602" i="1"/>
  <c r="AI1602" i="1" s="1"/>
  <c r="AF2185" i="1"/>
  <c r="AI2185" i="1" s="1"/>
  <c r="AF1298" i="1"/>
  <c r="AI1298" i="1" s="1"/>
  <c r="AF1634" i="1"/>
  <c r="AI1634" i="1" s="1"/>
  <c r="AF2475" i="1"/>
  <c r="AI2475" i="1" s="1"/>
  <c r="AF538" i="1"/>
  <c r="AI538" i="1" s="1"/>
  <c r="AF380" i="1"/>
  <c r="AI380" i="1" s="1"/>
  <c r="AF2334" i="1"/>
  <c r="AI2334" i="1" s="1"/>
  <c r="AF1978" i="1"/>
  <c r="AI1978" i="1" s="1"/>
  <c r="AF172" i="1"/>
  <c r="AI172" i="1" s="1"/>
  <c r="AF1861" i="1"/>
  <c r="AI1861" i="1" s="1"/>
  <c r="AF290" i="1"/>
  <c r="AI290" i="1" s="1"/>
  <c r="AF445" i="1"/>
  <c r="AI445" i="1" s="1"/>
  <c r="AF2602" i="1"/>
  <c r="AI2602" i="1" s="1"/>
  <c r="AF2630" i="1"/>
  <c r="AI2630" i="1" s="1"/>
  <c r="AF1476" i="1"/>
  <c r="AI1476" i="1" s="1"/>
  <c r="AF2463" i="1"/>
  <c r="AI2463" i="1" s="1"/>
  <c r="AF633" i="1"/>
  <c r="AI633" i="1" s="1"/>
  <c r="AF865" i="1"/>
  <c r="AI865" i="1" s="1"/>
  <c r="AF1856" i="1"/>
  <c r="AI1856" i="1" s="1"/>
  <c r="AF288" i="1"/>
  <c r="AI288" i="1" s="1"/>
  <c r="AF905" i="1"/>
  <c r="AI905" i="1" s="1"/>
  <c r="AF2620" i="1"/>
  <c r="AI2620" i="1" s="1"/>
  <c r="AF720" i="1"/>
  <c r="AI720" i="1" s="1"/>
  <c r="AF1983" i="1"/>
  <c r="AI1983" i="1" s="1"/>
  <c r="AF2731" i="1"/>
  <c r="AI2731" i="1" s="1"/>
  <c r="AF197" i="1"/>
  <c r="AI197" i="1" s="1"/>
  <c r="AF2763" i="1"/>
  <c r="AI2763" i="1" s="1"/>
  <c r="AF364" i="1"/>
  <c r="AI364" i="1" s="1"/>
  <c r="AF452" i="1"/>
  <c r="AI452" i="1" s="1"/>
  <c r="AF2050" i="1"/>
  <c r="AI2050" i="1" s="1"/>
  <c r="AF99" i="1"/>
  <c r="AI99" i="1" s="1"/>
  <c r="AF2359" i="1"/>
  <c r="AI2359" i="1" s="1"/>
  <c r="AF1379" i="1"/>
  <c r="AI1379" i="1" s="1"/>
  <c r="AF1050" i="1"/>
  <c r="AI1050" i="1" s="1"/>
  <c r="AF654" i="1"/>
  <c r="AI654" i="1" s="1"/>
  <c r="AF926" i="1"/>
  <c r="AI926" i="1" s="1"/>
  <c r="AF1107" i="1"/>
  <c r="AI1107" i="1" s="1"/>
  <c r="AF1106" i="1"/>
  <c r="AI1106" i="1" s="1"/>
  <c r="AF2049" i="1"/>
  <c r="AI2049" i="1" s="1"/>
  <c r="AF426" i="1"/>
  <c r="AI426" i="1" s="1"/>
  <c r="AF2514" i="1"/>
  <c r="AI2514" i="1" s="1"/>
  <c r="AF702" i="1"/>
  <c r="AI702" i="1" s="1"/>
  <c r="AF1844" i="1"/>
  <c r="AI1844" i="1" s="1"/>
  <c r="AF1946" i="1"/>
  <c r="AI1946" i="1" s="1"/>
  <c r="AF377" i="1"/>
  <c r="AI377" i="1" s="1"/>
  <c r="AF2347" i="1"/>
  <c r="AI2347" i="1" s="1"/>
  <c r="AF1416" i="1"/>
  <c r="AI1416" i="1" s="1"/>
  <c r="AF408" i="1"/>
  <c r="AI408" i="1" s="1"/>
  <c r="AF14" i="1"/>
  <c r="AI14" i="1" s="1"/>
  <c r="AF572" i="1"/>
  <c r="AI572" i="1" s="1"/>
  <c r="AF1235" i="1"/>
  <c r="AI1235" i="1" s="1"/>
  <c r="AF1727" i="1"/>
  <c r="AI1727" i="1" s="1"/>
  <c r="AF2619" i="1"/>
  <c r="AI2619" i="1" s="1"/>
  <c r="AF1598" i="1"/>
  <c r="AI1598" i="1" s="1"/>
  <c r="AF409" i="1"/>
  <c r="AI409" i="1" s="1"/>
  <c r="AF988" i="1"/>
  <c r="AI988" i="1" s="1"/>
  <c r="AF1381" i="1"/>
  <c r="AI1381" i="1" s="1"/>
  <c r="AF186" i="1"/>
  <c r="AI186" i="1" s="1"/>
  <c r="AF2419" i="1"/>
  <c r="AI2419" i="1" s="1"/>
  <c r="AF2721" i="1"/>
  <c r="AI2721" i="1" s="1"/>
  <c r="AF451" i="1"/>
  <c r="AI451" i="1" s="1"/>
  <c r="AF355" i="1"/>
  <c r="AI355" i="1" s="1"/>
  <c r="AF84" i="1"/>
  <c r="AI84" i="1" s="1"/>
  <c r="AF1363" i="1"/>
  <c r="AI1363" i="1" s="1"/>
  <c r="AF1287" i="1"/>
  <c r="AI1287" i="1" s="1"/>
  <c r="AF1009" i="1"/>
  <c r="AI1009" i="1" s="1"/>
  <c r="AF1938" i="1"/>
  <c r="AI1938" i="1" s="1"/>
  <c r="AF2310" i="1"/>
  <c r="AI2310" i="1" s="1"/>
  <c r="AF2682" i="1"/>
  <c r="AI2682" i="1" s="1"/>
  <c r="AF2209" i="1"/>
  <c r="AI2209" i="1" s="1"/>
  <c r="AF637" i="1"/>
  <c r="AI637" i="1" s="1"/>
  <c r="AF334" i="1"/>
  <c r="AI334" i="1" s="1"/>
  <c r="AF1996" i="1"/>
  <c r="AI1996" i="1" s="1"/>
  <c r="AF269" i="1"/>
  <c r="AI269" i="1" s="1"/>
  <c r="AF2388" i="1"/>
  <c r="AI2388" i="1" s="1"/>
  <c r="AF546" i="1"/>
  <c r="AI546" i="1" s="1"/>
  <c r="AF2107" i="1"/>
  <c r="AI2107" i="1" s="1"/>
  <c r="AF781" i="1"/>
  <c r="AI781" i="1" s="1"/>
  <c r="AF1673" i="1"/>
  <c r="AI1673" i="1" s="1"/>
  <c r="AF2302" i="1"/>
  <c r="AI2302" i="1" s="1"/>
  <c r="AF1795" i="1"/>
  <c r="AI1795" i="1" s="1"/>
  <c r="AF34" i="1"/>
  <c r="AI34" i="1" s="1"/>
  <c r="AF331" i="1"/>
  <c r="AI331" i="1" s="1"/>
  <c r="AF1449" i="1"/>
  <c r="AI1449" i="1" s="1"/>
  <c r="AF95" i="1"/>
  <c r="AI95" i="1" s="1"/>
  <c r="AF1559" i="1"/>
  <c r="AI1559" i="1" s="1"/>
  <c r="AF43" i="1"/>
  <c r="AI43" i="1" s="1"/>
  <c r="AF2635" i="1"/>
  <c r="AI2635" i="1" s="1"/>
  <c r="AF2438" i="1"/>
  <c r="AI2438" i="1" s="1"/>
  <c r="AF662" i="1"/>
  <c r="AI662" i="1" s="1"/>
  <c r="AF604" i="1"/>
  <c r="AI604" i="1" s="1"/>
  <c r="AF441" i="1"/>
  <c r="AI441" i="1" s="1"/>
  <c r="AF2720" i="1"/>
  <c r="AI2720" i="1" s="1"/>
  <c r="AF2654" i="1"/>
  <c r="AI2654" i="1" s="1"/>
  <c r="AF1682" i="1"/>
  <c r="AI1682" i="1" s="1"/>
  <c r="AF818" i="1"/>
  <c r="AI818" i="1" s="1"/>
  <c r="AF1023" i="1"/>
  <c r="AI1023" i="1" s="1"/>
  <c r="AF407" i="1"/>
  <c r="AI407" i="1" s="1"/>
  <c r="AF2437" i="1"/>
  <c r="AI2437" i="1" s="1"/>
  <c r="AF1695" i="1"/>
  <c r="AI1695" i="1" s="1"/>
  <c r="AF353" i="1"/>
  <c r="AI353" i="1" s="1"/>
  <c r="AF810" i="1"/>
  <c r="AI810" i="1" s="1"/>
  <c r="AF1148" i="1"/>
  <c r="AI1148" i="1" s="1"/>
  <c r="AF570" i="1"/>
  <c r="AI570" i="1" s="1"/>
  <c r="AF412" i="1"/>
  <c r="AI412" i="1" s="1"/>
  <c r="AF1085" i="1"/>
  <c r="AI1085" i="1" s="1"/>
  <c r="AF1386" i="1"/>
  <c r="AI1386" i="1" s="1"/>
  <c r="AF746" i="1"/>
  <c r="AI746" i="1" s="1"/>
  <c r="AF2607" i="1"/>
  <c r="AI2607" i="1" s="1"/>
  <c r="AF2636" i="1"/>
  <c r="AI2636" i="1" s="1"/>
  <c r="AF428" i="1"/>
  <c r="AI428" i="1" s="1"/>
  <c r="AF2545" i="1"/>
  <c r="AI2545" i="1" s="1"/>
  <c r="AF2369" i="1"/>
  <c r="AI2369" i="1" s="1"/>
  <c r="AF2012" i="1"/>
  <c r="AI2012" i="1" s="1"/>
  <c r="AF2406" i="1"/>
  <c r="AI2406" i="1" s="1"/>
  <c r="AF1460" i="1"/>
  <c r="AI1460" i="1" s="1"/>
  <c r="AF583" i="1"/>
  <c r="AI583" i="1" s="1"/>
  <c r="AF2175" i="1"/>
  <c r="AI2175" i="1" s="1"/>
  <c r="AF991" i="1"/>
  <c r="AI991" i="1" s="1"/>
  <c r="AF897" i="1"/>
  <c r="AI897" i="1" s="1"/>
  <c r="AF2240" i="1"/>
  <c r="AI2240" i="1" s="1"/>
  <c r="AF275" i="1"/>
  <c r="AI275" i="1" s="1"/>
  <c r="AF1452" i="1"/>
  <c r="AI1452" i="1" s="1"/>
  <c r="AF1884" i="1"/>
  <c r="AI1884" i="1" s="1"/>
  <c r="AF27" i="1"/>
  <c r="AI27" i="1" s="1"/>
  <c r="AF2070" i="1"/>
  <c r="AI2070" i="1" s="1"/>
  <c r="AF254" i="1"/>
  <c r="AI254" i="1" s="1"/>
  <c r="AF2379" i="1"/>
  <c r="AI2379" i="1" s="1"/>
  <c r="AF391" i="1"/>
  <c r="AI391" i="1" s="1"/>
  <c r="AF1835" i="1"/>
  <c r="AI1835" i="1" s="1"/>
  <c r="AF73" i="1"/>
  <c r="AI73" i="1" s="1"/>
  <c r="AF1952" i="1"/>
  <c r="AI1952" i="1" s="1"/>
  <c r="AF650" i="1"/>
  <c r="AI650" i="1" s="1"/>
  <c r="AF394" i="1"/>
  <c r="AI394" i="1" s="1"/>
  <c r="AF615" i="1"/>
  <c r="AI615" i="1" s="1"/>
  <c r="AF821" i="1"/>
  <c r="AI821" i="1" s="1"/>
  <c r="AF2556" i="1"/>
  <c r="AI2556" i="1" s="1"/>
  <c r="AF2498" i="1"/>
  <c r="AI2498" i="1" s="1"/>
  <c r="AF872" i="1"/>
  <c r="AI872" i="1" s="1"/>
  <c r="AF1643" i="1"/>
  <c r="AI1643" i="1" s="1"/>
  <c r="AF589" i="1"/>
  <c r="AI589" i="1" s="1"/>
  <c r="AF1889" i="1"/>
  <c r="AI1889" i="1" s="1"/>
  <c r="AF1128" i="1"/>
  <c r="AI1128" i="1" s="1"/>
  <c r="AF2133" i="1"/>
  <c r="AI2133" i="1" s="1"/>
  <c r="AF525" i="1"/>
  <c r="AI525" i="1" s="1"/>
  <c r="AF860" i="1"/>
  <c r="AI860" i="1" s="1"/>
  <c r="AF1254" i="1"/>
  <c r="AI1254" i="1" s="1"/>
  <c r="AF2066" i="1"/>
  <c r="AI2066" i="1" s="1"/>
  <c r="AF1434" i="1"/>
  <c r="AI1434" i="1" s="1"/>
  <c r="AF2757" i="1"/>
  <c r="AI2757" i="1" s="1"/>
  <c r="AF2008" i="1"/>
  <c r="AI2008" i="1" s="1"/>
  <c r="AF1062" i="1"/>
  <c r="AI1062" i="1" s="1"/>
  <c r="AF565" i="1"/>
  <c r="AI565" i="1" s="1"/>
  <c r="AF97" i="1"/>
  <c r="AI97" i="1" s="1"/>
  <c r="AF2471" i="1"/>
  <c r="AI2471" i="1" s="1"/>
  <c r="AF2549" i="1"/>
  <c r="AI2549" i="1" s="1"/>
  <c r="AF1372" i="1"/>
  <c r="AI1372" i="1" s="1"/>
  <c r="AF2467" i="1"/>
  <c r="AI2467" i="1" s="1"/>
  <c r="AF2338" i="1"/>
  <c r="AI2338" i="1" s="1"/>
  <c r="AF568" i="1"/>
  <c r="AI568" i="1" s="1"/>
  <c r="AF914" i="1"/>
  <c r="AI914" i="1" s="1"/>
  <c r="AF360" i="1"/>
  <c r="AI360" i="1" s="1"/>
  <c r="AF2791" i="1"/>
  <c r="AI2791" i="1" s="1"/>
  <c r="AF1390" i="1"/>
  <c r="AI1390" i="1" s="1"/>
  <c r="AF2391" i="1"/>
  <c r="AI2391" i="1" s="1"/>
  <c r="AF868" i="1"/>
  <c r="AI868" i="1" s="1"/>
  <c r="AF455" i="1"/>
  <c r="AI455" i="1" s="1"/>
  <c r="AF2742" i="1"/>
  <c r="AI2742" i="1" s="1"/>
  <c r="AF522" i="1"/>
  <c r="AI522" i="1" s="1"/>
  <c r="AF1672" i="1"/>
  <c r="AI1672" i="1" s="1"/>
  <c r="AF1111" i="1"/>
  <c r="AI1111" i="1" s="1"/>
  <c r="AF101" i="1"/>
  <c r="AI101" i="1" s="1"/>
  <c r="AF949" i="1"/>
  <c r="AI949" i="1" s="1"/>
  <c r="AF1409" i="1"/>
  <c r="AI1409" i="1" s="1"/>
  <c r="AF1734" i="1"/>
  <c r="AI1734" i="1" s="1"/>
  <c r="AF981" i="1"/>
  <c r="AI981" i="1" s="1"/>
  <c r="AF2025" i="1"/>
  <c r="AI2025" i="1" s="1"/>
  <c r="AF2336" i="1"/>
  <c r="AI2336" i="1" s="1"/>
  <c r="AF2128" i="1"/>
  <c r="AI2128" i="1" s="1"/>
  <c r="AF2621" i="1"/>
  <c r="AI2621" i="1" s="1"/>
  <c r="AF1259" i="1"/>
  <c r="AI1259" i="1" s="1"/>
  <c r="AF1521" i="1"/>
  <c r="AI1521" i="1" s="1"/>
  <c r="AF833" i="1"/>
  <c r="AI833" i="1" s="1"/>
  <c r="AF636" i="1"/>
  <c r="AI636" i="1" s="1"/>
  <c r="AF276" i="1"/>
  <c r="AI276" i="1" s="1"/>
  <c r="AF1045" i="1"/>
  <c r="AI1045" i="1" s="1"/>
  <c r="AF1425" i="1"/>
  <c r="AI1425" i="1" s="1"/>
  <c r="AF1203" i="1"/>
  <c r="AI1203" i="1" s="1"/>
  <c r="AF2145" i="1"/>
  <c r="AI2145" i="1" s="1"/>
  <c r="AF1501" i="1"/>
  <c r="AI1501" i="1" s="1"/>
  <c r="AF26" i="1"/>
  <c r="AI26" i="1" s="1"/>
  <c r="AF2358" i="1"/>
  <c r="AI2358" i="1" s="1"/>
  <c r="AF1618" i="1"/>
  <c r="AI1618" i="1" s="1"/>
  <c r="AF253" i="1"/>
  <c r="AI253" i="1" s="1"/>
  <c r="AF402" i="1"/>
  <c r="AI402" i="1" s="1"/>
  <c r="AF2473" i="1"/>
  <c r="AI2473" i="1" s="1"/>
  <c r="AF977" i="1"/>
  <c r="AI977" i="1" s="1"/>
  <c r="AF1958" i="1"/>
  <c r="AI1958" i="1" s="1"/>
  <c r="AF738" i="1"/>
  <c r="AI738" i="1" s="1"/>
  <c r="AF2686" i="1"/>
  <c r="AI2686" i="1" s="1"/>
  <c r="AF1082" i="1"/>
  <c r="AI1082" i="1" s="1"/>
  <c r="AF2633" i="1"/>
  <c r="AI2633" i="1" s="1"/>
  <c r="AF1712" i="1"/>
  <c r="AI1712" i="1" s="1"/>
  <c r="AF486" i="1"/>
  <c r="AI486" i="1" s="1"/>
  <c r="AF36" i="1"/>
  <c r="AI36" i="1" s="1"/>
  <c r="AF554" i="1"/>
  <c r="AI554" i="1" s="1"/>
  <c r="AF1312" i="1"/>
  <c r="AI1312" i="1" s="1"/>
  <c r="AF2356" i="1"/>
  <c r="AI2356" i="1" s="1"/>
  <c r="AF2653" i="1"/>
  <c r="AI2653" i="1" s="1"/>
  <c r="AF1823" i="1"/>
  <c r="AI1823" i="1" s="1"/>
  <c r="AF1982" i="1"/>
  <c r="AI1982" i="1" s="1"/>
  <c r="AF553" i="1"/>
  <c r="AI553" i="1" s="1"/>
  <c r="AF136" i="1"/>
  <c r="AI136" i="1" s="1"/>
  <c r="AF266" i="1"/>
  <c r="AI266" i="1" s="1"/>
  <c r="AF2624" i="1"/>
  <c r="AI2624" i="1" s="1"/>
  <c r="AF2575" i="1"/>
  <c r="AI2575" i="1" s="1"/>
  <c r="AF1248" i="1"/>
  <c r="AI1248" i="1" s="1"/>
  <c r="AF814" i="1"/>
  <c r="AI814" i="1" s="1"/>
  <c r="AF2374" i="1"/>
  <c r="AI2374" i="1" s="1"/>
  <c r="AF800" i="1"/>
  <c r="AI800" i="1" s="1"/>
  <c r="AF848" i="1"/>
  <c r="AI848" i="1" s="1"/>
  <c r="AF2793" i="1"/>
  <c r="AI2793" i="1" s="1"/>
  <c r="AF1609" i="1"/>
  <c r="AI1609" i="1" s="1"/>
  <c r="AF1207" i="1"/>
  <c r="AI1207" i="1" s="1"/>
  <c r="AF2484" i="1"/>
  <c r="AI2484" i="1" s="1"/>
  <c r="AF2190" i="1"/>
  <c r="AI2190" i="1" s="1"/>
  <c r="AF2789" i="1"/>
  <c r="AI2789" i="1" s="1"/>
  <c r="AF1010" i="1"/>
  <c r="AI1010" i="1" s="1"/>
  <c r="AF374" i="1"/>
  <c r="AI374" i="1" s="1"/>
  <c r="AF894" i="1"/>
  <c r="AI894" i="1" s="1"/>
  <c r="AF1970" i="1"/>
  <c r="AI1970" i="1" s="1"/>
  <c r="AF1759" i="1"/>
  <c r="AI1759" i="1" s="1"/>
  <c r="AF805" i="1"/>
  <c r="AI805" i="1" s="1"/>
  <c r="AF1322" i="1"/>
  <c r="AI1322" i="1" s="1"/>
  <c r="AF1789" i="1"/>
  <c r="AI1789" i="1" s="1"/>
  <c r="AF66" i="1"/>
  <c r="AI66" i="1" s="1"/>
  <c r="AF2453" i="1"/>
  <c r="AI2453" i="1" s="1"/>
  <c r="AF777" i="1"/>
  <c r="AI777" i="1" s="1"/>
  <c r="AF2576" i="1"/>
  <c r="AI2576" i="1" s="1"/>
  <c r="AF1336" i="1"/>
  <c r="AI1336" i="1" s="1"/>
  <c r="AF1429" i="1"/>
  <c r="AI1429" i="1" s="1"/>
  <c r="AF436" i="1"/>
  <c r="AI436" i="1" s="1"/>
  <c r="AF1819" i="1"/>
  <c r="AI1819" i="1" s="1"/>
  <c r="AF666" i="1"/>
  <c r="AI666" i="1" s="1"/>
  <c r="AF1214" i="1"/>
  <c r="AI1214" i="1" s="1"/>
  <c r="AF1077" i="1"/>
  <c r="AI1077" i="1" s="1"/>
  <c r="AF1249" i="1"/>
  <c r="AI1249" i="1" s="1"/>
  <c r="AF2442" i="1"/>
  <c r="AI2442" i="1" s="1"/>
  <c r="AF2725" i="1"/>
  <c r="AI2725" i="1" s="1"/>
  <c r="AF2043" i="1"/>
  <c r="AI2043" i="1" s="1"/>
  <c r="AF1295" i="1"/>
  <c r="AI1295" i="1" s="1"/>
  <c r="AF1323" i="1"/>
  <c r="AI1323" i="1" s="1"/>
  <c r="AF2522" i="1"/>
  <c r="AI2522" i="1" s="1"/>
  <c r="AF416" i="1"/>
  <c r="AI416" i="1" s="1"/>
  <c r="AF284" i="1"/>
  <c r="AI284" i="1" s="1"/>
  <c r="AF1456" i="1"/>
  <c r="AI1456" i="1" s="1"/>
  <c r="AF1328" i="1"/>
  <c r="AI1328" i="1" s="1"/>
  <c r="AF222" i="1"/>
  <c r="AI222" i="1" s="1"/>
  <c r="AF490" i="1"/>
  <c r="AI490" i="1" s="1"/>
  <c r="AF430" i="1"/>
  <c r="AI430" i="1" s="1"/>
  <c r="AF1991" i="1"/>
  <c r="AI1991" i="1" s="1"/>
  <c r="AF567" i="1"/>
  <c r="AI567" i="1" s="1"/>
  <c r="AF2533" i="1"/>
  <c r="AI2533" i="1" s="1"/>
  <c r="AF717" i="1"/>
  <c r="AI717" i="1" s="1"/>
  <c r="AF167" i="1"/>
  <c r="AI167" i="1" s="1"/>
  <c r="AF2457" i="1"/>
  <c r="AI2457" i="1" s="1"/>
  <c r="AF1601" i="1"/>
  <c r="AI1601" i="1" s="1"/>
  <c r="AF357" i="1"/>
  <c r="AI357" i="1" s="1"/>
  <c r="AF2415" i="1"/>
  <c r="AI2415" i="1" s="1"/>
  <c r="AF44" i="1"/>
  <c r="AI44" i="1" s="1"/>
  <c r="AF2592" i="1"/>
  <c r="AI2592" i="1" s="1"/>
  <c r="AF1126" i="1"/>
  <c r="AI1126" i="1" s="1"/>
  <c r="AF1496" i="1"/>
  <c r="AI1496" i="1" s="1"/>
  <c r="AF1354" i="1"/>
  <c r="AI1354" i="1" s="1"/>
  <c r="AF2006" i="1"/>
  <c r="AI2006" i="1" s="1"/>
  <c r="AF336" i="1"/>
  <c r="AI336" i="1" s="1"/>
  <c r="AF1766" i="1"/>
  <c r="AI1766" i="1" s="1"/>
  <c r="AF1335" i="1"/>
  <c r="AI1335" i="1" s="1"/>
  <c r="AF523" i="1"/>
  <c r="AI523" i="1" s="1"/>
  <c r="AF2065" i="1"/>
  <c r="AI2065" i="1" s="1"/>
  <c r="AF1463" i="1"/>
  <c r="AI1463" i="1" s="1"/>
  <c r="AF1995" i="1"/>
  <c r="AI1995" i="1" s="1"/>
  <c r="AF2706" i="1"/>
  <c r="AI2706" i="1" s="1"/>
  <c r="AF2557" i="1"/>
  <c r="AI2557" i="1" s="1"/>
  <c r="AF127" i="1"/>
  <c r="AI127" i="1" s="1"/>
  <c r="AF852" i="1"/>
  <c r="AI852" i="1" s="1"/>
  <c r="AF1117" i="1"/>
  <c r="AI1117" i="1" s="1"/>
  <c r="AF1786" i="1"/>
  <c r="AI1786" i="1" s="1"/>
  <c r="AF1843" i="1"/>
  <c r="AI1843" i="1" s="1"/>
  <c r="AF433" i="1"/>
  <c r="AI433" i="1" s="1"/>
  <c r="AF1949" i="1"/>
  <c r="AI1949" i="1" s="1"/>
  <c r="AF2652" i="1"/>
  <c r="AI2652" i="1" s="1"/>
  <c r="AF242" i="1"/>
  <c r="AI242" i="1" s="1"/>
  <c r="AF2192" i="1"/>
  <c r="AI2192" i="1" s="1"/>
  <c r="AF1936" i="1"/>
  <c r="AI1936" i="1" s="1"/>
  <c r="AF611" i="1"/>
  <c r="AI611" i="1" s="1"/>
  <c r="AF1750" i="1"/>
  <c r="AI1750" i="1" s="1"/>
  <c r="AF1566" i="1"/>
  <c r="AI1566" i="1" s="1"/>
  <c r="AF321" i="1"/>
  <c r="AI321" i="1" s="1"/>
  <c r="AF1369" i="1"/>
  <c r="AI1369" i="1" s="1"/>
  <c r="AF2646" i="1"/>
  <c r="AI2646" i="1" s="1"/>
  <c r="AF2422" i="1"/>
  <c r="AI2422" i="1" s="1"/>
  <c r="AF1588" i="1"/>
  <c r="AI1588" i="1" s="1"/>
  <c r="AF2658" i="1"/>
  <c r="AI2658" i="1" s="1"/>
  <c r="AF392" i="1"/>
  <c r="AI392" i="1" s="1"/>
  <c r="AF1176" i="1"/>
  <c r="AI1176" i="1" s="1"/>
  <c r="AF1014" i="1"/>
  <c r="AI1014" i="1" s="1"/>
  <c r="AF1104" i="1"/>
  <c r="AI1104" i="1" s="1"/>
  <c r="AF2555" i="1"/>
  <c r="AI2555" i="1" s="1"/>
  <c r="AF1564" i="1"/>
  <c r="AI1564" i="1" s="1"/>
  <c r="AF2578" i="1"/>
  <c r="AI2578" i="1" s="1"/>
  <c r="AF1812" i="1"/>
  <c r="AI1812" i="1" s="1"/>
  <c r="AF2017" i="1"/>
  <c r="AI2017" i="1" s="1"/>
  <c r="AF920" i="1"/>
  <c r="AI920" i="1" s="1"/>
  <c r="AF512" i="1"/>
  <c r="AI512" i="1" s="1"/>
  <c r="AF1090" i="1"/>
  <c r="AI1090" i="1" s="1"/>
  <c r="AF1326" i="1"/>
  <c r="AI1326" i="1" s="1"/>
  <c r="AF1064" i="1"/>
  <c r="AI1064" i="1" s="1"/>
  <c r="AF923" i="1"/>
  <c r="AI923" i="1" s="1"/>
  <c r="AF2477" i="1"/>
  <c r="AI2477" i="1" s="1"/>
  <c r="AF477" i="1"/>
  <c r="AI477" i="1" s="1"/>
  <c r="AF854" i="1"/>
  <c r="AI854" i="1" s="1"/>
  <c r="AF532" i="1"/>
  <c r="AI532" i="1" s="1"/>
  <c r="AF1917" i="1"/>
  <c r="AI1917" i="1" s="1"/>
  <c r="AF1547" i="1"/>
  <c r="AI1547" i="1" s="1"/>
  <c r="AF1458" i="1"/>
  <c r="AI1458" i="1" s="1"/>
  <c r="AF2155" i="1"/>
  <c r="AI2155" i="1" s="1"/>
  <c r="AF261" i="1"/>
  <c r="AI261" i="1" s="1"/>
  <c r="AF1432" i="1"/>
  <c r="AI1432" i="1" s="1"/>
  <c r="AF1224" i="1"/>
  <c r="AI1224" i="1" s="1"/>
  <c r="AF161" i="1"/>
  <c r="AI161" i="1" s="1"/>
  <c r="AF885" i="1"/>
  <c r="AI885" i="1" s="1"/>
  <c r="AF631" i="1"/>
  <c r="AI631" i="1" s="1"/>
  <c r="AF951" i="1"/>
  <c r="AI951" i="1" s="1"/>
  <c r="AF1681" i="1"/>
  <c r="AI1681" i="1" s="1"/>
  <c r="AF1464" i="1"/>
  <c r="AI1464" i="1" s="1"/>
  <c r="AF1796" i="1"/>
  <c r="AI1796" i="1" s="1"/>
  <c r="AF487" i="1"/>
  <c r="AI487" i="1" s="1"/>
  <c r="AF2244" i="1"/>
  <c r="AI2244" i="1" s="1"/>
  <c r="AF2444" i="1"/>
  <c r="AI2444" i="1" s="1"/>
  <c r="AF1474" i="1"/>
  <c r="AI1474" i="1" s="1"/>
  <c r="AF652" i="1"/>
  <c r="AI652" i="1" s="1"/>
  <c r="AF2303" i="1"/>
  <c r="AI2303" i="1" s="1"/>
  <c r="AF220" i="1"/>
  <c r="AI220" i="1" s="1"/>
  <c r="AF1087" i="1"/>
  <c r="AI1087" i="1" s="1"/>
  <c r="AF2596" i="1"/>
  <c r="AI2596" i="1" s="1"/>
  <c r="AF771" i="1"/>
  <c r="AI771" i="1" s="1"/>
  <c r="AF216" i="1"/>
  <c r="AI216" i="1" s="1"/>
  <c r="AF1037" i="1"/>
  <c r="AI1037" i="1" s="1"/>
  <c r="AF564" i="1"/>
  <c r="AI564" i="1" s="1"/>
  <c r="AF1330" i="1"/>
  <c r="AI1330" i="1" s="1"/>
  <c r="AF2729" i="1"/>
  <c r="AI2729" i="1" s="1"/>
  <c r="AF1990" i="1"/>
  <c r="AI1990" i="1" s="1"/>
  <c r="AF498" i="1"/>
  <c r="AI498" i="1" s="1"/>
  <c r="AF1468" i="1"/>
  <c r="AI1468" i="1" s="1"/>
  <c r="AF2485" i="1"/>
  <c r="AI2485" i="1" s="1"/>
  <c r="AF2124" i="1"/>
  <c r="AI2124" i="1" s="1"/>
  <c r="AF2251" i="1"/>
  <c r="AI2251" i="1" s="1"/>
  <c r="AF130" i="1"/>
  <c r="AI130" i="1" s="1"/>
  <c r="AF2069" i="1"/>
  <c r="AI2069" i="1" s="1"/>
  <c r="AF1313" i="1"/>
  <c r="AI1313" i="1" s="1"/>
  <c r="AF639" i="1"/>
  <c r="AI639" i="1" s="1"/>
  <c r="AF598" i="1"/>
  <c r="AI598" i="1" s="1"/>
  <c r="AF1331" i="1"/>
  <c r="AI1331" i="1" s="1"/>
  <c r="AF2123" i="1"/>
  <c r="AI2123" i="1" s="1"/>
  <c r="AF995" i="1"/>
  <c r="AI995" i="1" s="1"/>
  <c r="AF1410" i="1"/>
  <c r="AI1410" i="1" s="1"/>
  <c r="AF747" i="1"/>
  <c r="AI747" i="1" s="1"/>
  <c r="AF2420" i="1"/>
  <c r="AI2420" i="1" s="1"/>
  <c r="AF1855" i="1"/>
  <c r="AI1855" i="1" s="1"/>
  <c r="AF1706" i="1"/>
  <c r="AI1706" i="1" s="1"/>
  <c r="AF1350" i="1"/>
  <c r="AI1350" i="1" s="1"/>
  <c r="AF425" i="1"/>
  <c r="AI425" i="1" s="1"/>
  <c r="AF1092" i="1"/>
  <c r="AI1092" i="1" s="1"/>
  <c r="AF684" i="1"/>
  <c r="AI684" i="1" s="1"/>
  <c r="AF889" i="1"/>
  <c r="AI889" i="1" s="1"/>
  <c r="AF2345" i="1"/>
  <c r="AI2345" i="1" s="1"/>
  <c r="AF1102" i="1"/>
  <c r="AI1102" i="1" s="1"/>
  <c r="AF1641" i="1"/>
  <c r="AI1641" i="1" s="1"/>
  <c r="AF1967" i="1"/>
  <c r="AI1967" i="1" s="1"/>
  <c r="AF1190" i="1"/>
  <c r="AI1190" i="1" s="1"/>
  <c r="AF2593" i="1"/>
  <c r="AI2593" i="1" s="1"/>
  <c r="AF880" i="1"/>
  <c r="AI880" i="1" s="1"/>
  <c r="AF853" i="1"/>
  <c r="AI853" i="1" s="1"/>
  <c r="AF1349" i="1"/>
  <c r="AI1349" i="1" s="1"/>
  <c r="AF1679" i="1"/>
  <c r="AI1679" i="1" s="1"/>
  <c r="AF1241" i="1"/>
  <c r="AI1241" i="1" s="1"/>
  <c r="AF1397" i="1"/>
  <c r="AI1397" i="1" s="1"/>
  <c r="AF1015" i="1"/>
  <c r="AI1015" i="1" s="1"/>
  <c r="AF1871" i="1"/>
  <c r="AI1871" i="1" s="1"/>
  <c r="AF1115" i="1"/>
  <c r="AI1115" i="1" s="1"/>
  <c r="AF2775" i="1"/>
  <c r="AI2775" i="1" s="1"/>
  <c r="AF2486" i="1"/>
  <c r="AI2486" i="1" s="1"/>
  <c r="AF2056" i="1"/>
  <c r="AI2056" i="1" s="1"/>
  <c r="AF1532" i="1"/>
  <c r="AI1532" i="1" s="1"/>
  <c r="AF1951" i="1"/>
  <c r="AI1951" i="1" s="1"/>
  <c r="AF1157" i="1"/>
  <c r="AI1157" i="1" s="1"/>
  <c r="AF1965" i="1"/>
  <c r="AI1965" i="1" s="1"/>
  <c r="AF2660" i="1"/>
  <c r="AI2660" i="1" s="1"/>
  <c r="AF2657" i="1"/>
  <c r="AI2657" i="1" s="1"/>
  <c r="AF1198" i="1"/>
  <c r="AI1198" i="1" s="1"/>
  <c r="AF93" i="1"/>
  <c r="AI93" i="1" s="1"/>
  <c r="AF1072" i="1"/>
  <c r="AI1072" i="1" s="1"/>
  <c r="AF1153" i="1"/>
  <c r="AI1153" i="1" s="1"/>
  <c r="AF252" i="1"/>
  <c r="AI252" i="1" s="1"/>
  <c r="AF1439" i="1"/>
  <c r="AI1439" i="1" s="1"/>
  <c r="AF1013" i="1"/>
  <c r="AI1013" i="1" s="1"/>
  <c r="AF443" i="1"/>
  <c r="AI443" i="1" s="1"/>
  <c r="AF968" i="1"/>
  <c r="AI968" i="1" s="1"/>
  <c r="AF2733" i="1"/>
  <c r="AI2733" i="1" s="1"/>
  <c r="AF72" i="1"/>
  <c r="AI72" i="1" s="1"/>
  <c r="AF2257" i="1"/>
  <c r="AI2257" i="1" s="1"/>
  <c r="AF2519" i="1"/>
  <c r="AI2519" i="1" s="1"/>
  <c r="AF1151" i="1"/>
  <c r="AI1151" i="1" s="1"/>
  <c r="AF419" i="1"/>
  <c r="AI419" i="1" s="1"/>
  <c r="AF352" i="1"/>
  <c r="AI352" i="1" s="1"/>
  <c r="AF387" i="1"/>
  <c r="AI387" i="1" s="1"/>
  <c r="AF1953" i="1"/>
  <c r="AI1953" i="1" s="1"/>
  <c r="AF307" i="1"/>
  <c r="AI307" i="1" s="1"/>
  <c r="AF2327" i="1"/>
  <c r="AI2327" i="1" s="1"/>
  <c r="AF2091" i="1"/>
  <c r="AI2091" i="1" s="1"/>
  <c r="AF1001" i="1"/>
  <c r="AI1001" i="1" s="1"/>
  <c r="AF2368" i="1"/>
  <c r="AI2368" i="1" s="1"/>
  <c r="AF761" i="1"/>
  <c r="AI761" i="1" s="1"/>
  <c r="AF530" i="1"/>
  <c r="AI530" i="1" s="1"/>
  <c r="AF843" i="1"/>
  <c r="AI843" i="1" s="1"/>
  <c r="AF1401" i="1"/>
  <c r="AI1401" i="1" s="1"/>
  <c r="AF1725" i="1"/>
  <c r="AI1725" i="1" s="1"/>
  <c r="AF305" i="1"/>
  <c r="AI305" i="1" s="1"/>
  <c r="AF772" i="1"/>
  <c r="AI772" i="1" s="1"/>
  <c r="AF1325" i="1"/>
  <c r="AI1325" i="1" s="1"/>
  <c r="AF1972" i="1"/>
  <c r="AI1972" i="1" s="1"/>
  <c r="AF473" i="1"/>
  <c r="AI473" i="1" s="1"/>
  <c r="AF195" i="1"/>
  <c r="AI195" i="1" s="1"/>
  <c r="AF200" i="1"/>
  <c r="AI200" i="1" s="1"/>
  <c r="AF2771" i="1"/>
  <c r="AI2771" i="1" s="1"/>
  <c r="AF411" i="1"/>
  <c r="AI411" i="1" s="1"/>
  <c r="AF213" i="1"/>
  <c r="AI213" i="1" s="1"/>
  <c r="AF2197" i="1"/>
  <c r="AI2197" i="1" s="1"/>
  <c r="AF2102" i="1"/>
  <c r="AI2102" i="1" s="1"/>
  <c r="AF550" i="1"/>
  <c r="AI550" i="1" s="1"/>
  <c r="AF144" i="1"/>
  <c r="AI144" i="1" s="1"/>
  <c r="AF1150" i="1"/>
  <c r="AI1150" i="1" s="1"/>
  <c r="AF1788" i="1"/>
  <c r="AI1788" i="1" s="1"/>
  <c r="AF1945" i="1"/>
  <c r="AI1945" i="1" s="1"/>
  <c r="AF974" i="1"/>
  <c r="AI974" i="1" s="1"/>
  <c r="AF2150" i="1"/>
  <c r="AI2150" i="1" s="1"/>
  <c r="AF2013" i="1"/>
  <c r="AI2013" i="1" s="1"/>
  <c r="AF627" i="1"/>
  <c r="AI627" i="1" s="1"/>
  <c r="AF1922" i="1"/>
  <c r="AI1922" i="1" s="1"/>
  <c r="AF1294" i="1"/>
  <c r="AI1294" i="1" s="1"/>
  <c r="AF337" i="1"/>
  <c r="AI337" i="1" s="1"/>
  <c r="AF1691" i="1"/>
  <c r="AI1691" i="1" s="1"/>
  <c r="AF2320" i="1"/>
  <c r="AI2320" i="1" s="1"/>
  <c r="AF1623" i="1"/>
  <c r="AI1623" i="1" s="1"/>
  <c r="AF2726" i="1"/>
  <c r="AI2726" i="1" s="1"/>
  <c r="AF190" i="1"/>
  <c r="AI190" i="1" s="1"/>
  <c r="AF2474" i="1"/>
  <c r="AI2474" i="1" s="1"/>
  <c r="AF1286" i="1"/>
  <c r="AI1286" i="1" s="1"/>
  <c r="AF2045" i="1"/>
  <c r="AI2045" i="1" s="1"/>
  <c r="AF1742" i="1"/>
  <c r="AI1742" i="1" s="1"/>
  <c r="AF2566" i="1"/>
  <c r="AI2566" i="1" s="1"/>
  <c r="AF141" i="1"/>
  <c r="AI141" i="1" s="1"/>
  <c r="AF182" i="1"/>
  <c r="AI182" i="1" s="1"/>
  <c r="AF1504" i="1"/>
  <c r="AI1504" i="1" s="1"/>
  <c r="AF2629" i="1"/>
  <c r="AI2629" i="1" s="1"/>
  <c r="AF2688" i="1"/>
  <c r="AI2688" i="1" s="1"/>
  <c r="AF258" i="1"/>
  <c r="AI258" i="1" s="1"/>
  <c r="AF480" i="1"/>
  <c r="AI480" i="1" s="1"/>
  <c r="AF947" i="1"/>
  <c r="AI947" i="1" s="1"/>
  <c r="AF1402" i="1"/>
  <c r="AI1402" i="1" s="1"/>
  <c r="AF2052" i="1"/>
  <c r="AI2052" i="1" s="1"/>
  <c r="AF1616" i="1"/>
  <c r="AI1616" i="1" s="1"/>
  <c r="AF2430" i="1"/>
  <c r="AI2430" i="1" s="1"/>
  <c r="AF1929" i="1"/>
  <c r="AI1929" i="1" s="1"/>
  <c r="AF2534" i="1"/>
  <c r="AI2534" i="1" s="1"/>
  <c r="AF1465" i="1"/>
  <c r="AI1465" i="1" s="1"/>
  <c r="AF763" i="1"/>
  <c r="AI763" i="1" s="1"/>
  <c r="AF472" i="1"/>
  <c r="AI472" i="1" s="1"/>
  <c r="AF2304" i="1"/>
  <c r="AI2304" i="1" s="1"/>
  <c r="AF481" i="1"/>
  <c r="AI481" i="1" s="1"/>
  <c r="AF169" i="1"/>
  <c r="AI169" i="1" s="1"/>
  <c r="AF79" i="1"/>
  <c r="AI79" i="1" s="1"/>
  <c r="AF1620" i="1"/>
  <c r="AI1620" i="1" s="1"/>
  <c r="AF908" i="1"/>
  <c r="AI908" i="1" s="1"/>
  <c r="AF2466" i="1"/>
  <c r="AI2466" i="1" s="1"/>
  <c r="AF2707" i="1"/>
  <c r="AI2707" i="1" s="1"/>
  <c r="AF207" i="1"/>
  <c r="AI207" i="1" s="1"/>
  <c r="AF1036" i="1"/>
  <c r="AI1036" i="1" s="1"/>
  <c r="AF966" i="1"/>
  <c r="AI966" i="1" s="1"/>
  <c r="AF1473" i="1"/>
  <c r="AI1473" i="1" s="1"/>
  <c r="AF2311" i="1"/>
  <c r="AI2311" i="1" s="1"/>
  <c r="AF196" i="1"/>
  <c r="AI196" i="1" s="1"/>
  <c r="AF1733" i="1"/>
  <c r="AI1733" i="1" s="1"/>
  <c r="AF217" i="1"/>
  <c r="AI217" i="1" s="1"/>
  <c r="AF1043" i="1"/>
  <c r="AI1043" i="1" s="1"/>
  <c r="AF680" i="1"/>
  <c r="AI680" i="1" s="1"/>
  <c r="AF2577" i="1"/>
  <c r="AI2577" i="1" s="1"/>
  <c r="AF1028" i="1"/>
  <c r="AI1028" i="1" s="1"/>
  <c r="AF965" i="1"/>
  <c r="AI965" i="1" s="1"/>
  <c r="AF953" i="1"/>
  <c r="AI953" i="1" s="1"/>
  <c r="AF384" i="1"/>
  <c r="AI384" i="1" s="1"/>
  <c r="AF2105" i="1"/>
  <c r="AI2105" i="1" s="1"/>
  <c r="AF1721" i="1"/>
  <c r="AI1721" i="1" s="1"/>
  <c r="AF2779" i="1"/>
  <c r="AI2779" i="1" s="1"/>
  <c r="AF1188" i="1"/>
  <c r="AI1188" i="1" s="1"/>
  <c r="AF1156" i="1"/>
  <c r="AI1156" i="1" s="1"/>
  <c r="AF225" i="1"/>
  <c r="AI225" i="1" s="1"/>
  <c r="AF1187" i="1"/>
  <c r="AI1187" i="1" s="1"/>
  <c r="AF494" i="1"/>
  <c r="AI494" i="1" s="1"/>
  <c r="AF1973" i="1"/>
  <c r="AI1973" i="1" s="1"/>
  <c r="AF2075" i="1"/>
  <c r="AI2075" i="1" s="1"/>
  <c r="AF1514" i="1"/>
  <c r="AI1514" i="1" s="1"/>
  <c r="AF1227" i="1"/>
  <c r="AI1227" i="1" s="1"/>
  <c r="AF2580" i="1"/>
  <c r="AI2580" i="1" s="1"/>
  <c r="AF119" i="1"/>
  <c r="AI119" i="1" s="1"/>
  <c r="AF1804" i="1"/>
  <c r="AI1804" i="1" s="1"/>
  <c r="AF1760" i="1"/>
  <c r="AI1760" i="1" s="1"/>
  <c r="AF1411" i="1"/>
  <c r="AI1411" i="1" s="1"/>
  <c r="AF2722" i="1"/>
  <c r="AI2722" i="1" s="1"/>
  <c r="AF2274" i="1"/>
  <c r="AI2274" i="1" s="1"/>
  <c r="AF1491" i="1"/>
  <c r="AI1491" i="1" s="1"/>
  <c r="AF485" i="1"/>
  <c r="AI485" i="1" s="1"/>
  <c r="AF1776" i="1"/>
  <c r="AI1776" i="1" s="1"/>
  <c r="AF1848" i="1"/>
  <c r="AI1848" i="1" s="1"/>
  <c r="AF1348" i="1"/>
  <c r="AI1348" i="1" s="1"/>
  <c r="AF449" i="1"/>
  <c r="AI449" i="1" s="1"/>
  <c r="AF38" i="1"/>
  <c r="AI38" i="1" s="1"/>
  <c r="AF1815" i="1"/>
  <c r="AI1815" i="1" s="1"/>
  <c r="AF1437" i="1"/>
  <c r="AI1437" i="1" s="1"/>
  <c r="AF1525" i="1"/>
  <c r="AI1525" i="1" s="1"/>
  <c r="AF142" i="1"/>
  <c r="AI142" i="1" s="1"/>
  <c r="AF1280" i="1"/>
  <c r="AI1280" i="1" s="1"/>
  <c r="AF1629" i="1"/>
  <c r="AI1629" i="1" s="1"/>
  <c r="AF2651" i="1"/>
  <c r="AI2651" i="1" s="1"/>
  <c r="AF2713" i="1"/>
  <c r="AI2713" i="1" s="1"/>
  <c r="AF230" i="1"/>
  <c r="AI230" i="1" s="1"/>
  <c r="AF1875" i="1"/>
  <c r="AI1875" i="1" s="1"/>
  <c r="AF827" i="1"/>
  <c r="AI827" i="1" s="1"/>
  <c r="AF232" i="1"/>
  <c r="AI232" i="1" s="1"/>
  <c r="AF835" i="1"/>
  <c r="AI835" i="1" s="1"/>
  <c r="AF624" i="1"/>
  <c r="AI624" i="1" s="1"/>
  <c r="AF1364" i="1"/>
  <c r="AI1364" i="1" s="1"/>
  <c r="AF1696" i="1"/>
  <c r="AI1696" i="1" s="1"/>
  <c r="AF2732" i="1"/>
  <c r="AI2732" i="1" s="1"/>
  <c r="AF2456" i="1"/>
  <c r="AI2456" i="1" s="1"/>
  <c r="AF875" i="1"/>
  <c r="AI875" i="1" s="1"/>
  <c r="AF2300" i="1"/>
  <c r="AI2300" i="1" s="1"/>
  <c r="AF2792" i="1"/>
  <c r="AI2792" i="1" s="1"/>
  <c r="AF2537" i="1"/>
  <c r="AI2537" i="1" s="1"/>
  <c r="AF2058" i="1"/>
  <c r="AI2058" i="1" s="1"/>
  <c r="AF1548" i="1"/>
  <c r="AI1548" i="1" s="1"/>
  <c r="AF984" i="1"/>
  <c r="AI984" i="1" s="1"/>
  <c r="AF2381" i="1"/>
  <c r="AI2381" i="1" s="1"/>
  <c r="AF52" i="1"/>
  <c r="AI52" i="1" s="1"/>
  <c r="AF575" i="1"/>
  <c r="AI575" i="1" s="1"/>
  <c r="AF404" i="1"/>
  <c r="AI404" i="1" s="1"/>
  <c r="AF2014" i="1"/>
  <c r="AI2014" i="1" s="1"/>
  <c r="AF718" i="1"/>
  <c r="AI718" i="1" s="1"/>
  <c r="AF2314" i="1"/>
  <c r="AI2314" i="1" s="1"/>
  <c r="AF2734" i="1"/>
  <c r="AI2734" i="1" s="1"/>
  <c r="AF2756" i="1"/>
  <c r="AI2756" i="1" s="1"/>
  <c r="AF2109" i="1"/>
  <c r="AI2109" i="1" s="1"/>
  <c r="AF367" i="1"/>
  <c r="AI367" i="1" s="1"/>
  <c r="AF1524" i="1"/>
  <c r="AI1524" i="1" s="1"/>
  <c r="AF2435" i="1"/>
  <c r="AI2435" i="1" s="1"/>
  <c r="AF2586" i="1"/>
  <c r="AI2586" i="1" s="1"/>
  <c r="AF2367" i="1"/>
  <c r="AI2367" i="1" s="1"/>
  <c r="AF815" i="1"/>
  <c r="AI815" i="1" s="1"/>
  <c r="AF71" i="1"/>
  <c r="AI71" i="1" s="1"/>
  <c r="AF2316" i="1"/>
  <c r="AI2316" i="1" s="1"/>
  <c r="AF2560" i="1"/>
  <c r="AI2560" i="1" s="1"/>
  <c r="AF1800" i="1"/>
  <c r="AI1800" i="1" s="1"/>
  <c r="AF1344" i="1"/>
  <c r="AI1344" i="1" s="1"/>
  <c r="AF2193" i="1"/>
  <c r="AI2193" i="1" s="1"/>
  <c r="AF1959" i="1"/>
  <c r="AI1959" i="1" s="1"/>
  <c r="AF2664" i="1"/>
  <c r="AI2664" i="1" s="1"/>
  <c r="AF1919" i="1"/>
  <c r="AI1919" i="1" s="1"/>
  <c r="AF1457" i="1"/>
  <c r="AI1457" i="1" s="1"/>
  <c r="AF2206" i="1"/>
  <c r="AI2206" i="1" s="1"/>
  <c r="AF2172" i="1"/>
  <c r="AI2172" i="1" s="1"/>
  <c r="AF362" i="1"/>
  <c r="AI362" i="1" s="1"/>
  <c r="AF30" i="1"/>
  <c r="AI30" i="1" s="1"/>
  <c r="AF181" i="1"/>
  <c r="AI181" i="1" s="1"/>
  <c r="AF540" i="1"/>
  <c r="AI540" i="1" s="1"/>
  <c r="AF2239" i="1"/>
  <c r="AI2239" i="1" s="1"/>
  <c r="AF1530" i="1"/>
  <c r="AI1530" i="1" s="1"/>
  <c r="AF1558" i="1"/>
  <c r="AI1558" i="1" s="1"/>
  <c r="AF1301" i="1"/>
  <c r="AI1301" i="1" s="1"/>
  <c r="AF2515" i="1"/>
  <c r="AI2515" i="1" s="1"/>
  <c r="AF1097" i="1"/>
  <c r="AI1097" i="1" s="1"/>
  <c r="AF2149" i="1"/>
  <c r="AI2149" i="1" s="1"/>
  <c r="AF1054" i="1"/>
  <c r="AI1054" i="1" s="1"/>
  <c r="AF864" i="1"/>
  <c r="AI864" i="1" s="1"/>
  <c r="AF1536" i="1"/>
  <c r="AI1536" i="1" s="1"/>
  <c r="AF2595" i="1"/>
  <c r="AI2595" i="1" s="1"/>
  <c r="AF1400" i="1"/>
  <c r="AI1400" i="1" s="1"/>
  <c r="AF594" i="1"/>
  <c r="AI594" i="1" s="1"/>
  <c r="AF160" i="1"/>
  <c r="AI160" i="1" s="1"/>
  <c r="AF812" i="1"/>
  <c r="AI812" i="1" s="1"/>
  <c r="AF1963" i="1"/>
  <c r="AI1963" i="1" s="1"/>
  <c r="AF2037" i="1"/>
  <c r="AI2037" i="1" s="1"/>
  <c r="AF1707" i="1"/>
  <c r="AI1707" i="1" s="1"/>
  <c r="AK1707" i="1" s="1"/>
  <c r="AF856" i="1"/>
  <c r="AI856" i="1" s="1"/>
  <c r="AF2462" i="1"/>
  <c r="AI2462" i="1" s="1"/>
  <c r="AF665" i="1"/>
  <c r="AI665" i="1" s="1"/>
  <c r="AF2094" i="1"/>
  <c r="AI2094" i="1" s="1"/>
  <c r="AF2227" i="1"/>
  <c r="AI2227" i="1" s="1"/>
  <c r="AF2778" i="1"/>
  <c r="AI2778" i="1" s="1"/>
  <c r="AF2416" i="1"/>
  <c r="AI2416" i="1" s="1"/>
  <c r="AF2573" i="1"/>
  <c r="AI2573" i="1" s="1"/>
  <c r="AF857" i="1"/>
  <c r="AI857" i="1" s="1"/>
  <c r="AF174" i="1"/>
  <c r="AI174" i="1" s="1"/>
  <c r="AF51" i="1"/>
  <c r="AI51" i="1" s="1"/>
  <c r="AF2376" i="1"/>
  <c r="AI2376" i="1" s="1"/>
  <c r="AF1152" i="1"/>
  <c r="AI1152" i="1" s="1"/>
  <c r="AF2785" i="1"/>
  <c r="AI2785" i="1" s="1"/>
  <c r="AF1315" i="1"/>
  <c r="AI1315" i="1" s="1"/>
  <c r="AF1234" i="1"/>
  <c r="AI1234" i="1" s="1"/>
  <c r="AF2662" i="1"/>
  <c r="AI2662" i="1" s="1"/>
  <c r="AF1839" i="1"/>
  <c r="AI1839" i="1" s="1"/>
  <c r="AF2491" i="1"/>
  <c r="AI2491" i="1" s="1"/>
  <c r="AF2668" i="1"/>
  <c r="AI2668" i="1" s="1"/>
  <c r="AF2600" i="1"/>
  <c r="AI2600" i="1" s="1"/>
  <c r="AF2741" i="1"/>
  <c r="AI2741" i="1" s="1"/>
  <c r="AF581" i="1"/>
  <c r="AI581" i="1" s="1"/>
  <c r="AF1309" i="1"/>
  <c r="AI1309" i="1" s="1"/>
  <c r="AF2024" i="1"/>
  <c r="AI2024" i="1" s="1"/>
  <c r="AF2784" i="1"/>
  <c r="AI2784" i="1" s="1"/>
  <c r="AF2125" i="1"/>
  <c r="AI2125" i="1" s="1"/>
  <c r="AF292" i="1"/>
  <c r="AI292" i="1" s="1"/>
  <c r="AF214" i="1"/>
  <c r="AI214" i="1" s="1"/>
  <c r="AF1142" i="1"/>
  <c r="AI1142" i="1" s="1"/>
  <c r="AF1252" i="1"/>
  <c r="AI1252" i="1" s="1"/>
  <c r="AF1164" i="1"/>
  <c r="AI1164" i="1" s="1"/>
  <c r="AF2413" i="1"/>
  <c r="AI2413" i="1" s="1"/>
  <c r="AF2452" i="1"/>
  <c r="AI2452" i="1" s="1"/>
  <c r="AF156" i="1"/>
  <c r="AI156" i="1" s="1"/>
  <c r="AF211" i="1"/>
  <c r="AI211" i="1" s="1"/>
  <c r="AF1243" i="1"/>
  <c r="AI1243" i="1" s="1"/>
  <c r="AF1388" i="1"/>
  <c r="AI1388" i="1" s="1"/>
  <c r="AF2326" i="1"/>
  <c r="AI2326" i="1" s="1"/>
  <c r="AF898" i="1"/>
  <c r="AI898" i="1" s="1"/>
  <c r="AF531" i="1"/>
  <c r="AI531" i="1" s="1"/>
  <c r="AF2233" i="1"/>
  <c r="AI2233" i="1" s="1"/>
  <c r="AF1894" i="1"/>
  <c r="AI1894" i="1" s="1"/>
  <c r="AF903" i="1"/>
  <c r="AI903" i="1" s="1"/>
  <c r="AF1384" i="1"/>
  <c r="AI1384" i="1" s="1"/>
  <c r="AF758" i="1"/>
  <c r="AI758" i="1" s="1"/>
  <c r="AF849" i="1"/>
  <c r="AI849" i="1" s="1"/>
  <c r="AF1960" i="1"/>
  <c r="AI1960" i="1" s="1"/>
  <c r="AF1851" i="1"/>
  <c r="AI1851" i="1" s="1"/>
  <c r="AF376" i="1"/>
  <c r="AI376" i="1" s="1"/>
  <c r="AF1025" i="1"/>
  <c r="AI1025" i="1" s="1"/>
  <c r="AF333" i="1"/>
  <c r="AI333" i="1" s="1"/>
  <c r="AF1662" i="1"/>
  <c r="AI1662" i="1" s="1"/>
  <c r="AF3" i="1"/>
  <c r="AI3" i="1" s="1"/>
  <c r="AF231" i="1"/>
  <c r="AI231" i="1" s="1"/>
  <c r="AF1444" i="1"/>
  <c r="AI1444" i="1" s="1"/>
  <c r="AF314" i="1"/>
  <c r="AI314" i="1" s="1"/>
  <c r="AF2705" i="1"/>
  <c r="AI2705" i="1" s="1"/>
  <c r="AF1357" i="1"/>
  <c r="AI1357" i="1" s="1"/>
  <c r="AF2207" i="1"/>
  <c r="AI2207" i="1" s="1"/>
  <c r="AF1253" i="1"/>
  <c r="AI1253" i="1" s="1"/>
  <c r="AF2340" i="1"/>
  <c r="AI2340" i="1" s="1"/>
  <c r="AF1182" i="1"/>
  <c r="AI1182" i="1" s="1"/>
  <c r="AF1366" i="1"/>
  <c r="AI1366" i="1" s="1"/>
  <c r="AF251" i="1"/>
  <c r="AI251" i="1" s="1"/>
  <c r="AF2101" i="1"/>
  <c r="AI2101" i="1" s="1"/>
  <c r="AF596" i="1"/>
  <c r="AI596" i="1" s="1"/>
  <c r="AF1757" i="1"/>
  <c r="AI1757" i="1" s="1"/>
  <c r="AF1565" i="1"/>
  <c r="AI1565" i="1" s="1"/>
  <c r="AF825" i="1"/>
  <c r="AI825" i="1" s="1"/>
  <c r="AF1435" i="1"/>
  <c r="AI1435" i="1" s="1"/>
  <c r="AF1716" i="1"/>
  <c r="AI1716" i="1" s="1"/>
  <c r="AF1877" i="1"/>
  <c r="AI1877" i="1" s="1"/>
  <c r="AF2312" i="1"/>
  <c r="AI2312" i="1" s="1"/>
  <c r="AF1845" i="1"/>
  <c r="AI1845" i="1" s="1"/>
  <c r="AF1678" i="1"/>
  <c r="AI1678" i="1" s="1"/>
  <c r="AF1860" i="1"/>
  <c r="AI1860" i="1" s="1"/>
  <c r="AF2677" i="1"/>
  <c r="AI2677" i="1" s="1"/>
  <c r="AF1237" i="1"/>
  <c r="AI1237" i="1" s="1"/>
  <c r="AF1546" i="1"/>
  <c r="AI1546" i="1" s="1"/>
  <c r="AF841" i="1"/>
  <c r="AI841" i="1" s="1"/>
  <c r="AF576" i="1"/>
  <c r="AI576" i="1" s="1"/>
  <c r="AF597" i="1"/>
  <c r="AI597" i="1" s="1"/>
  <c r="AF2223" i="1"/>
  <c r="AI2223" i="1" s="1"/>
  <c r="AF326" i="1"/>
  <c r="AI326" i="1" s="1"/>
  <c r="AF457" i="1"/>
  <c r="AI457" i="1" s="1"/>
  <c r="AF2667" i="1"/>
  <c r="AI2667" i="1" s="1"/>
  <c r="AF1718" i="1"/>
  <c r="AI1718" i="1" s="1"/>
  <c r="AF2384" i="1"/>
  <c r="AI2384" i="1" s="1"/>
  <c r="AF890" i="1"/>
  <c r="AI890" i="1" s="1"/>
  <c r="AF1503" i="1"/>
  <c r="AI1503" i="1" s="1"/>
  <c r="AF976" i="1"/>
  <c r="AI976" i="1" s="1"/>
  <c r="AF13" i="1"/>
  <c r="AI13" i="1" s="1"/>
  <c r="AF20" i="1"/>
  <c r="AI20" i="1" s="1"/>
  <c r="AF1057" i="1"/>
  <c r="AI1057" i="1" s="1"/>
  <c r="AF2142" i="1"/>
  <c r="AI2142" i="1" s="1"/>
  <c r="AF2752" i="1"/>
  <c r="AI2752" i="1" s="1"/>
  <c r="AF129" i="1"/>
  <c r="AI129" i="1" s="1"/>
  <c r="AF424" i="1"/>
  <c r="AI424" i="1" s="1"/>
  <c r="AF90" i="1"/>
  <c r="AI90" i="1" s="1"/>
  <c r="AF1081" i="1"/>
  <c r="AI1081" i="1" s="1"/>
  <c r="AF420" i="1"/>
  <c r="AI420" i="1" s="1"/>
  <c r="AF2204" i="1"/>
  <c r="AI2204" i="1" s="1"/>
  <c r="AF397" i="1"/>
  <c r="AI397" i="1" s="1"/>
  <c r="AF516" i="1"/>
  <c r="AI516" i="1" s="1"/>
  <c r="AF869" i="1"/>
  <c r="AI869" i="1" s="1"/>
  <c r="AF1984" i="1"/>
  <c r="AI1984" i="1" s="1"/>
  <c r="AF137" i="1"/>
  <c r="AI137" i="1" s="1"/>
  <c r="AF23" i="1"/>
  <c r="AI23" i="1" s="1"/>
  <c r="AF1538" i="1"/>
  <c r="AI1538" i="1" s="1"/>
  <c r="AF851" i="1"/>
  <c r="AI851" i="1" s="1"/>
  <c r="AF224" i="1"/>
  <c r="AI224" i="1" s="1"/>
  <c r="AF1700" i="1"/>
  <c r="AI1700" i="1" s="1"/>
  <c r="AF2782" i="1"/>
  <c r="AI2782" i="1" s="1"/>
  <c r="AF2287" i="1"/>
  <c r="AI2287" i="1" s="1"/>
  <c r="AF2213" i="1"/>
  <c r="AI2213" i="1" s="1"/>
  <c r="AF1189" i="1"/>
  <c r="AI1189" i="1" s="1"/>
  <c r="AF1680" i="1"/>
  <c r="AI1680" i="1" s="1"/>
  <c r="AF1505" i="1"/>
  <c r="AI1505" i="1" s="1"/>
  <c r="AF2546" i="1"/>
  <c r="AI2546" i="1" s="1"/>
  <c r="AF1018" i="1"/>
  <c r="AI1018" i="1" s="1"/>
  <c r="AF884" i="1"/>
  <c r="AI884" i="1" s="1"/>
  <c r="AF2276" i="1"/>
  <c r="AI2276" i="1" s="1"/>
  <c r="AF1123" i="1"/>
  <c r="AI1123" i="1" s="1"/>
  <c r="AF2783" i="1"/>
  <c r="AI2783" i="1" s="1"/>
  <c r="AF1139" i="1"/>
  <c r="AI1139" i="1" s="1"/>
  <c r="AF1675" i="1"/>
  <c r="AI1675" i="1" s="1"/>
  <c r="AF1339" i="1"/>
  <c r="AI1339" i="1" s="1"/>
  <c r="AF2099" i="1"/>
  <c r="AI2099" i="1" s="1"/>
  <c r="AF363" i="1"/>
  <c r="AI363" i="1" s="1"/>
  <c r="AF1440" i="1"/>
  <c r="AI1440" i="1" s="1"/>
  <c r="AF915" i="1"/>
  <c r="AI915" i="1" s="1"/>
  <c r="AF247" i="1"/>
  <c r="AI247" i="1" s="1"/>
  <c r="AF828" i="1"/>
  <c r="AI828" i="1" s="1"/>
  <c r="AF1927" i="1"/>
  <c r="AI1927" i="1" s="1"/>
  <c r="AF1236" i="1"/>
  <c r="AI1236" i="1" s="1"/>
  <c r="AF2400" i="1"/>
  <c r="AI2400" i="1" s="1"/>
  <c r="AF2470" i="1"/>
  <c r="AI2470" i="1" s="1"/>
  <c r="AF201" i="1"/>
  <c r="AI201" i="1" s="1"/>
  <c r="AF1283" i="1"/>
  <c r="AI1283" i="1" s="1"/>
  <c r="AF1017" i="1"/>
  <c r="AI1017" i="1" s="1"/>
  <c r="AF2264" i="1"/>
  <c r="AI2264" i="1" s="1"/>
  <c r="AF2135" i="1"/>
  <c r="AI2135" i="1" s="1"/>
  <c r="AF1480" i="1"/>
  <c r="AI1480" i="1" s="1"/>
  <c r="AF67" i="1"/>
  <c r="AI67" i="1" s="1"/>
  <c r="AF2299" i="1"/>
  <c r="AI2299" i="1" s="1"/>
  <c r="AF2095" i="1"/>
  <c r="AI2095" i="1" s="1"/>
  <c r="AF2753" i="1"/>
  <c r="AI2753" i="1" s="1"/>
  <c r="AF1191" i="1"/>
  <c r="AI1191" i="1" s="1"/>
  <c r="AF2270" i="1"/>
  <c r="AI2270" i="1" s="1"/>
  <c r="AF708" i="1"/>
  <c r="AI708" i="1" s="1"/>
  <c r="AF760" i="1"/>
  <c r="AI760" i="1" s="1"/>
  <c r="AF2451" i="1"/>
  <c r="AI2451" i="1" s="1"/>
  <c r="AF1230" i="1"/>
  <c r="AI1230" i="1" s="1"/>
  <c r="AF764" i="1"/>
  <c r="AI764" i="1" s="1"/>
  <c r="AF645" i="1"/>
  <c r="AI645" i="1" s="1"/>
  <c r="AF2041" i="1"/>
  <c r="AI2041" i="1" s="1"/>
  <c r="AF1377" i="1"/>
  <c r="AI1377" i="1" s="1"/>
  <c r="AF2354" i="1"/>
  <c r="AI2354" i="1" s="1"/>
  <c r="AF617" i="1"/>
  <c r="AI617" i="1" s="1"/>
  <c r="AF279" i="1"/>
  <c r="AI279" i="1" s="1"/>
  <c r="AF2113" i="1"/>
  <c r="AI2113" i="1" s="1"/>
  <c r="AF1035" i="1"/>
  <c r="AI1035" i="1" s="1"/>
  <c r="AF933" i="1"/>
  <c r="AI933" i="1" s="1"/>
  <c r="AF2788" i="1"/>
  <c r="AI2788" i="1" s="1"/>
  <c r="AF1797" i="1"/>
  <c r="AI1797" i="1" s="1"/>
  <c r="AF1012" i="1"/>
  <c r="AI1012" i="1" s="1"/>
  <c r="AF1997" i="1"/>
  <c r="AI1997" i="1" s="1"/>
  <c r="AF2298" i="1"/>
  <c r="AI2298" i="1" s="1"/>
  <c r="AF2004" i="1"/>
  <c r="AI2004" i="1" s="1"/>
  <c r="AF808" i="1"/>
  <c r="AI808" i="1" s="1"/>
  <c r="AF910" i="1"/>
  <c r="AI910" i="1" s="1"/>
  <c r="AF1173" i="1"/>
  <c r="AI1173" i="1" s="1"/>
  <c r="AF674" i="1"/>
  <c r="AI674" i="1" s="1"/>
  <c r="AF2440" i="1"/>
  <c r="AI2440" i="1" s="1"/>
  <c r="AF248" i="1"/>
  <c r="AI248" i="1" s="1"/>
  <c r="AF727" i="1"/>
  <c r="AI727" i="1" s="1"/>
  <c r="AF921" i="1"/>
  <c r="AI921" i="1" s="1"/>
  <c r="AF1310" i="1"/>
  <c r="AI1310" i="1" s="1"/>
  <c r="AF539" i="1"/>
  <c r="AI539" i="1" s="1"/>
  <c r="AF1926" i="1"/>
  <c r="AI1926" i="1" s="1"/>
  <c r="AF658" i="1"/>
  <c r="AI658" i="1" s="1"/>
  <c r="AF1613" i="1"/>
  <c r="AI1613" i="1" s="1"/>
  <c r="AF1807" i="1"/>
  <c r="AI1807" i="1" s="1"/>
  <c r="AF189" i="1"/>
  <c r="AI189" i="1" s="1"/>
  <c r="AF697" i="1"/>
  <c r="AI697" i="1" s="1"/>
  <c r="AF1896" i="1"/>
  <c r="AI1896" i="1" s="1"/>
  <c r="AF88" i="1"/>
  <c r="AI88" i="1" s="1"/>
  <c r="AF606" i="1"/>
  <c r="AI606" i="1" s="1"/>
  <c r="AF838" i="1"/>
  <c r="AI838" i="1" s="1"/>
  <c r="AF25" i="1"/>
  <c r="AI25" i="1" s="1"/>
  <c r="AF1268" i="1"/>
  <c r="AI1268" i="1" s="1"/>
  <c r="AF2202" i="1"/>
  <c r="AI2202" i="1" s="1"/>
  <c r="AF1640" i="1"/>
  <c r="AI1640" i="1" s="1"/>
  <c r="AF234" i="1"/>
  <c r="AI234" i="1" s="1"/>
  <c r="AF1296" i="1"/>
  <c r="AI1296" i="1" s="1"/>
  <c r="AF1116" i="1"/>
  <c r="AI1116" i="1" s="1"/>
  <c r="AF1112" i="1"/>
  <c r="AI1112" i="1" s="1"/>
  <c r="AF1260" i="1"/>
  <c r="AI1260" i="1" s="1"/>
  <c r="AF2387" i="1"/>
  <c r="AI2387" i="1" s="1"/>
  <c r="AF2478" i="1"/>
  <c r="AI2478" i="1" s="1"/>
  <c r="AF770" i="1"/>
  <c r="AI770" i="1" s="1"/>
  <c r="AF1888" i="1"/>
  <c r="AI1888" i="1" s="1"/>
  <c r="AF1539" i="1"/>
  <c r="AI1539" i="1" s="1"/>
  <c r="AF50" i="1"/>
  <c r="AI50" i="1" s="1"/>
  <c r="AF138" i="1"/>
  <c r="AI138" i="1" s="1"/>
  <c r="AF2120" i="1"/>
  <c r="AI2120" i="1" s="1"/>
  <c r="AF2507" i="1"/>
  <c r="AI2507" i="1" s="1"/>
  <c r="AF323" i="1"/>
  <c r="AI323" i="1" s="1"/>
  <c r="AF1543" i="1"/>
  <c r="AI1543" i="1" s="1"/>
  <c r="AF1632" i="1"/>
  <c r="AI1632" i="1" s="1"/>
  <c r="AF2260" i="1"/>
  <c r="AI2260" i="1" s="1"/>
  <c r="AF1428" i="1"/>
  <c r="AI1428" i="1" s="1"/>
  <c r="AF2322" i="1"/>
  <c r="AI2322" i="1" s="1"/>
  <c r="AF2330" i="1"/>
  <c r="AI2330" i="1" s="1"/>
  <c r="AF1942" i="1"/>
  <c r="AI1942" i="1" s="1"/>
  <c r="AF2093" i="1"/>
  <c r="AI2093" i="1" s="1"/>
  <c r="AF2399" i="1"/>
  <c r="AI2399" i="1" s="1"/>
  <c r="AF274" i="1"/>
  <c r="AI274" i="1" s="1"/>
  <c r="AF2313" i="1"/>
  <c r="AI2313" i="1" s="1"/>
  <c r="AF2417" i="1"/>
  <c r="AI2417" i="1" s="1"/>
  <c r="AF463" i="1"/>
  <c r="AI463" i="1" s="1"/>
  <c r="AF332" i="1"/>
  <c r="AI332" i="1" s="1"/>
  <c r="AF289" i="1"/>
  <c r="AI289" i="1" s="1"/>
  <c r="AF2144" i="1"/>
  <c r="AI2144" i="1" s="1"/>
  <c r="AF961" i="1"/>
  <c r="AI961" i="1" s="1"/>
  <c r="AF1642" i="1"/>
  <c r="AI1642" i="1" s="1"/>
  <c r="AF2163" i="1"/>
  <c r="AI2163" i="1" s="1"/>
  <c r="AF2275" i="1"/>
  <c r="AI2275" i="1" s="1"/>
  <c r="AF602" i="1"/>
  <c r="AI602" i="1" s="1"/>
  <c r="AF150" i="1"/>
  <c r="AI150" i="1" s="1"/>
  <c r="AF1731" i="1"/>
  <c r="AI1731" i="1" s="1"/>
  <c r="AF1067" i="1"/>
  <c r="AI1067" i="1" s="1"/>
  <c r="AF348" i="1"/>
  <c r="AI348" i="1" s="1"/>
  <c r="AF1746" i="1"/>
  <c r="AI1746" i="1" s="1"/>
  <c r="AF372" i="1"/>
  <c r="AI372" i="1" s="1"/>
  <c r="AF162" i="1"/>
  <c r="AI162" i="1" s="1"/>
  <c r="AF92" i="1"/>
  <c r="AI92" i="1" s="1"/>
  <c r="AF2232" i="1"/>
  <c r="AI2232" i="1" s="1"/>
  <c r="AF1751" i="1"/>
  <c r="AI1751" i="1" s="1"/>
  <c r="AF1531" i="1"/>
  <c r="AI1531" i="1" s="1"/>
  <c r="AF692" i="1"/>
  <c r="AI692" i="1" s="1"/>
  <c r="AF19" i="1"/>
  <c r="AI19" i="1" s="1"/>
  <c r="AF873" i="1"/>
  <c r="AI873" i="1" s="1"/>
  <c r="AF934" i="1"/>
  <c r="AI934" i="1" s="1"/>
  <c r="AF700" i="1"/>
  <c r="AI700" i="1" s="1"/>
  <c r="AF1467" i="1"/>
  <c r="AI1467" i="1" s="1"/>
  <c r="AF2295" i="1"/>
  <c r="AI2295" i="1" s="1"/>
  <c r="AF1513" i="1"/>
  <c r="AI1513" i="1" s="1"/>
  <c r="AF1488" i="1"/>
  <c r="AI1488" i="1" s="1"/>
  <c r="AF2085" i="1"/>
  <c r="AI2085" i="1" s="1"/>
  <c r="AF956" i="1"/>
  <c r="AI956" i="1" s="1"/>
  <c r="AF1098" i="1"/>
  <c r="AI1098" i="1" s="1"/>
  <c r="AF1752" i="1"/>
  <c r="AI1752" i="1" s="1"/>
  <c r="AF705" i="1"/>
  <c r="AI705" i="1" s="1"/>
  <c r="AF1987" i="1"/>
  <c r="AI1987" i="1" s="1"/>
  <c r="AF1048" i="1"/>
  <c r="AI1048" i="1" s="1"/>
  <c r="AF319" i="1"/>
  <c r="AI319" i="1" s="1"/>
  <c r="AF263" i="1"/>
  <c r="AI263" i="1" s="1"/>
  <c r="AF2639" i="1"/>
  <c r="AI2639" i="1" s="1"/>
  <c r="AF560" i="1"/>
  <c r="AI560" i="1" s="1"/>
  <c r="AF398" i="1"/>
  <c r="AI398" i="1" s="1"/>
  <c r="AF2597" i="1"/>
  <c r="AI2597" i="1" s="1"/>
  <c r="AF1555" i="1"/>
  <c r="AI1555" i="1" s="1"/>
  <c r="AF2373" i="1"/>
  <c r="AI2373" i="1" s="1"/>
  <c r="AF102" i="1"/>
  <c r="AI102" i="1" s="1"/>
  <c r="AF115" i="1"/>
  <c r="AI115" i="1" s="1"/>
  <c r="AF57" i="1"/>
  <c r="AI57" i="1" s="1"/>
  <c r="AF593" i="1"/>
  <c r="AI593" i="1" s="1"/>
  <c r="AF847" i="1"/>
  <c r="AI847" i="1" s="1"/>
  <c r="AF1477" i="1"/>
  <c r="AI1477" i="1" s="1"/>
  <c r="AF790" i="1"/>
  <c r="AI790" i="1" s="1"/>
  <c r="AF1405" i="1"/>
  <c r="AI1405" i="1" s="1"/>
  <c r="AF1005" i="1"/>
  <c r="AI1005" i="1" s="1"/>
  <c r="AF2097" i="1"/>
  <c r="AI2097" i="1" s="1"/>
  <c r="AF975" i="1"/>
  <c r="AI975" i="1" s="1"/>
  <c r="AF1044" i="1"/>
  <c r="AI1044" i="1" s="1"/>
  <c r="AF2482" i="1"/>
  <c r="AI2482" i="1" s="1"/>
  <c r="AF2333" i="1"/>
  <c r="AI2333" i="1" s="1"/>
  <c r="AF959" i="1"/>
  <c r="AI959" i="1" s="1"/>
  <c r="AF2023" i="1"/>
  <c r="AI2023" i="1" s="1"/>
  <c r="AF166" i="1"/>
  <c r="AI166" i="1" s="1"/>
  <c r="AF1250" i="1"/>
  <c r="AI1250" i="1" s="1"/>
  <c r="AF685" i="1"/>
  <c r="AI685" i="1" s="1"/>
  <c r="AF1803" i="1"/>
  <c r="AI1803" i="1" s="1"/>
  <c r="AF2219" i="1"/>
  <c r="AI2219" i="1" s="1"/>
  <c r="AF566" i="1"/>
  <c r="AI566" i="1" s="1"/>
  <c r="AF2211" i="1"/>
  <c r="AI2211" i="1" s="1"/>
  <c r="AF2348" i="1"/>
  <c r="AI2348" i="1" s="1"/>
  <c r="AF1161" i="1"/>
  <c r="AI1161" i="1" s="1"/>
  <c r="AF140" i="1"/>
  <c r="AI140" i="1" s="1"/>
  <c r="AF1754" i="1"/>
  <c r="AI1754" i="1" s="1"/>
  <c r="AF1868" i="1"/>
  <c r="AI1868" i="1" s="1"/>
  <c r="AF2700" i="1"/>
  <c r="AI2700" i="1" s="1"/>
  <c r="AF114" i="1"/>
  <c r="AI114" i="1" s="1"/>
  <c r="AF339" i="1"/>
  <c r="AI339" i="1" s="1"/>
  <c r="AF2127" i="1"/>
  <c r="AI2127" i="1" s="1"/>
  <c r="AF2479" i="1"/>
  <c r="AI2479" i="1" s="1"/>
  <c r="AF145" i="1"/>
  <c r="AI145" i="1" s="1"/>
  <c r="AF1999" i="1"/>
  <c r="AI1999" i="1" s="1"/>
  <c r="AF2529" i="1"/>
  <c r="AI2529" i="1" s="1"/>
  <c r="AF1421" i="1"/>
  <c r="AI1421" i="1" s="1"/>
  <c r="AF675" i="1"/>
  <c r="AI675" i="1" s="1"/>
  <c r="AF797" i="1"/>
  <c r="AI797" i="1" s="1"/>
  <c r="AF2060" i="1"/>
  <c r="AI2060" i="1" s="1"/>
  <c r="AF1083" i="1"/>
  <c r="AI1083" i="1" s="1"/>
  <c r="AF474" i="1"/>
  <c r="AI474" i="1" s="1"/>
  <c r="AF820" i="1"/>
  <c r="AI820" i="1" s="1"/>
  <c r="AF687" i="1"/>
  <c r="AI687" i="1" s="1"/>
  <c r="AF574" i="1"/>
  <c r="AI574" i="1" s="1"/>
  <c r="AF47" i="1"/>
  <c r="AI47" i="1" s="1"/>
  <c r="AF2627" i="1"/>
  <c r="AI2627" i="1" s="1"/>
  <c r="AF1955" i="1"/>
  <c r="AI1955" i="1" s="1"/>
  <c r="AF139" i="1"/>
  <c r="AI139" i="1" s="1"/>
  <c r="AF842" i="1"/>
  <c r="AI842" i="1" s="1"/>
  <c r="AF56" i="1"/>
  <c r="AI56" i="1" s="1"/>
  <c r="AF1822" i="1"/>
  <c r="AI1822" i="1" s="1"/>
  <c r="AF87" i="1"/>
  <c r="AI87" i="1" s="1"/>
  <c r="AF676" i="1"/>
  <c r="AI676" i="1" s="1"/>
  <c r="AF795" i="1"/>
  <c r="AI795" i="1" s="1"/>
  <c r="AF1073" i="1"/>
  <c r="AI1073" i="1" s="1"/>
  <c r="AF132" i="1"/>
  <c r="AI132" i="1" s="1"/>
  <c r="AF1713" i="1"/>
  <c r="AI1713" i="1" s="1"/>
  <c r="AF1075" i="1"/>
  <c r="AI1075" i="1" s="1"/>
  <c r="AF1994" i="1"/>
  <c r="AI1994" i="1" s="1"/>
  <c r="AF647" i="1"/>
  <c r="AI647" i="1" s="1"/>
  <c r="AF1032" i="1"/>
  <c r="AI1032" i="1" s="1"/>
  <c r="AF1600" i="1"/>
  <c r="AI1600" i="1" s="1"/>
  <c r="AF1974" i="1"/>
  <c r="AI1974" i="1" s="1"/>
  <c r="AF1865" i="1"/>
  <c r="AI1865" i="1" s="1"/>
  <c r="AF786" i="1"/>
  <c r="AI786" i="1" s="1"/>
  <c r="AF18" i="1"/>
  <c r="AI18" i="1" s="1"/>
  <c r="AF2248" i="1"/>
  <c r="AI2248" i="1" s="1"/>
  <c r="AF740" i="1"/>
  <c r="AI740" i="1" s="1"/>
  <c r="AF418" i="1"/>
  <c r="AI418" i="1" s="1"/>
  <c r="AF466" i="1"/>
  <c r="AI466" i="1" s="1"/>
  <c r="AF1232" i="1"/>
  <c r="AI1232" i="1" s="1"/>
  <c r="AF1880" i="1"/>
  <c r="AI1880" i="1" s="1"/>
  <c r="AF1122" i="1"/>
  <c r="AI1122" i="1" s="1"/>
  <c r="AF22" i="1"/>
  <c r="AI22" i="1" s="1"/>
  <c r="AF2158" i="1"/>
  <c r="AI2158" i="1" s="1"/>
  <c r="AF2423" i="1"/>
  <c r="AI2423" i="1" s="1"/>
  <c r="AF753" i="1"/>
  <c r="AI753" i="1" s="1"/>
  <c r="AF2361" i="1"/>
  <c r="AI2361" i="1" s="1"/>
  <c r="AF328" i="1"/>
  <c r="AI328" i="1" s="1"/>
  <c r="AF1478" i="1"/>
  <c r="AI1478" i="1" s="1"/>
  <c r="AF1271" i="1"/>
  <c r="AI1271" i="1" s="1"/>
  <c r="AF369" i="1"/>
  <c r="AI369" i="1" s="1"/>
  <c r="AF2398" i="1"/>
  <c r="AI2398" i="1" s="1"/>
  <c r="AF1258" i="1"/>
  <c r="AI1258" i="1" s="1"/>
  <c r="AF1901" i="1"/>
  <c r="AI1901" i="1" s="1"/>
  <c r="AF1576" i="1"/>
  <c r="AI1576" i="1" s="1"/>
  <c r="AF686" i="1"/>
  <c r="AI686" i="1" s="1"/>
  <c r="AF1581" i="1"/>
  <c r="AI1581" i="1" s="1"/>
  <c r="AF2272" i="1"/>
  <c r="AI2272" i="1" s="1"/>
  <c r="AF2541" i="1"/>
  <c r="AI2541" i="1" s="1"/>
  <c r="AF151" i="1"/>
  <c r="AI151" i="1" s="1"/>
  <c r="AF1338" i="1"/>
  <c r="AI1338" i="1" s="1"/>
  <c r="AF116" i="1"/>
  <c r="AI116" i="1" s="1"/>
  <c r="AF64" i="1"/>
  <c r="AI64" i="1" s="1"/>
  <c r="AF2640" i="1"/>
  <c r="AI2640" i="1" s="1"/>
  <c r="AF1739" i="1"/>
  <c r="AI1739" i="1" s="1"/>
  <c r="AF134" i="1"/>
  <c r="AI134" i="1" s="1"/>
  <c r="AF2011" i="1"/>
  <c r="AI2011" i="1" s="1"/>
  <c r="AF65" i="1"/>
  <c r="AI65" i="1" s="1"/>
  <c r="AF1580" i="1"/>
  <c r="AI1580" i="1" s="1"/>
  <c r="AF1911" i="1"/>
  <c r="AI1911" i="1" s="1"/>
  <c r="AF2410" i="1"/>
  <c r="AI2410" i="1" s="1"/>
  <c r="AF1526" i="1"/>
  <c r="AI1526" i="1" s="1"/>
  <c r="AF2483" i="1"/>
  <c r="AI2483" i="1" s="1"/>
  <c r="AF2708" i="1"/>
  <c r="AI2708" i="1" s="1"/>
  <c r="AF1423" i="1"/>
  <c r="AI1423" i="1" s="1"/>
  <c r="AF2380" i="1"/>
  <c r="AI2380" i="1" s="1"/>
  <c r="AF1284" i="1"/>
  <c r="AI1284" i="1" s="1"/>
  <c r="M671" i="1"/>
  <c r="AJ671" i="1" s="1"/>
  <c r="M2711" i="1"/>
  <c r="AJ2711" i="1" s="1"/>
  <c r="M406" i="1"/>
  <c r="AJ406" i="1" s="1"/>
  <c r="M1914" i="1"/>
  <c r="AJ1914" i="1" s="1"/>
  <c r="M1141" i="1"/>
  <c r="AJ1141" i="1" s="1"/>
  <c r="AK1141" i="1" s="1"/>
  <c r="M1286" i="1"/>
  <c r="AJ1286" i="1" s="1"/>
  <c r="M1100" i="1"/>
  <c r="AJ1100" i="1" s="1"/>
  <c r="M2161" i="1"/>
  <c r="AJ2161" i="1" s="1"/>
  <c r="M2494" i="1"/>
  <c r="AJ2494" i="1" s="1"/>
  <c r="M1317" i="1"/>
  <c r="AJ1317" i="1" s="1"/>
  <c r="M2634" i="1"/>
  <c r="AJ2634" i="1" s="1"/>
  <c r="M204" i="1"/>
  <c r="AJ204" i="1" s="1"/>
  <c r="M1284" i="1"/>
  <c r="AJ1284" i="1" s="1"/>
  <c r="M2474" i="1"/>
  <c r="AJ2474" i="1" s="1"/>
  <c r="M2117" i="1"/>
  <c r="AJ2117" i="1" s="1"/>
  <c r="M1707" i="1"/>
  <c r="AJ1707" i="1" s="1"/>
  <c r="M1368" i="1"/>
  <c r="AJ1368" i="1" s="1"/>
  <c r="M1519" i="1"/>
  <c r="AJ1519" i="1" s="1"/>
  <c r="M1355" i="1"/>
  <c r="AJ1355" i="1" s="1"/>
  <c r="M1278" i="1"/>
  <c r="AJ1278" i="1" s="1"/>
  <c r="M2380" i="1"/>
  <c r="AJ2380" i="1" s="1"/>
  <c r="M190" i="1"/>
  <c r="AJ190" i="1" s="1"/>
  <c r="M2138" i="1"/>
  <c r="AJ2138" i="1" s="1"/>
  <c r="M1755" i="1"/>
  <c r="AJ1755" i="1" s="1"/>
  <c r="M735" i="1"/>
  <c r="AJ735" i="1" s="1"/>
  <c r="M586" i="1"/>
  <c r="AJ586" i="1" s="1"/>
  <c r="M909" i="1"/>
  <c r="AJ909" i="1" s="1"/>
  <c r="M2696" i="1"/>
  <c r="AJ2696" i="1" s="1"/>
  <c r="M1423" i="1"/>
  <c r="AJ1423" i="1" s="1"/>
  <c r="M2726" i="1"/>
  <c r="AJ2726" i="1" s="1"/>
  <c r="M1482" i="1"/>
  <c r="AJ1482" i="1" s="1"/>
  <c r="M1644" i="1"/>
  <c r="AJ1644" i="1" s="1"/>
  <c r="M2759" i="1"/>
  <c r="AJ2759" i="1" s="1"/>
  <c r="M614" i="1"/>
  <c r="AJ614" i="1" s="1"/>
  <c r="M2703" i="1"/>
  <c r="AJ2703" i="1" s="1"/>
  <c r="M911" i="1"/>
  <c r="AJ911" i="1" s="1"/>
  <c r="M2708" i="1"/>
  <c r="AJ2708" i="1" s="1"/>
  <c r="M1623" i="1"/>
  <c r="AJ1623" i="1" s="1"/>
  <c r="M938" i="1"/>
  <c r="AJ938" i="1" s="1"/>
  <c r="M1314" i="1"/>
  <c r="AJ1314" i="1" s="1"/>
  <c r="M2038" i="1"/>
  <c r="AJ2038" i="1" s="1"/>
  <c r="M1319" i="1"/>
  <c r="AJ1319" i="1" s="1"/>
  <c r="M799" i="1"/>
  <c r="AJ799" i="1" s="1"/>
  <c r="M306" i="1"/>
  <c r="AJ306" i="1" s="1"/>
  <c r="M2483" i="1"/>
  <c r="AJ2483" i="1" s="1"/>
  <c r="M2320" i="1"/>
  <c r="AJ2320" i="1" s="1"/>
  <c r="M2" i="1"/>
  <c r="AJ2" i="1" s="1"/>
  <c r="M2377" i="1"/>
  <c r="AJ2377" i="1" s="1"/>
  <c r="M2605" i="1"/>
  <c r="AJ2605" i="1" s="1"/>
  <c r="M389" i="1"/>
  <c r="AJ389" i="1" s="1"/>
  <c r="M240" i="1"/>
  <c r="AJ240" i="1" s="1"/>
  <c r="M2165" i="1"/>
  <c r="AJ2165" i="1" s="1"/>
  <c r="M1526" i="1"/>
  <c r="AJ1526" i="1" s="1"/>
  <c r="M1691" i="1"/>
  <c r="AJ1691" i="1" s="1"/>
  <c r="M388" i="1"/>
  <c r="AJ388" i="1" s="1"/>
  <c r="M646" i="1"/>
  <c r="AJ646" i="1" s="1"/>
  <c r="M2291" i="1"/>
  <c r="AJ2291" i="1" s="1"/>
  <c r="M537" i="1"/>
  <c r="AJ537" i="1" s="1"/>
  <c r="M803" i="1"/>
  <c r="AJ803" i="1" s="1"/>
  <c r="M2608" i="1"/>
  <c r="AJ2608" i="1" s="1"/>
  <c r="M2410" i="1"/>
  <c r="AJ2410" i="1" s="1"/>
  <c r="M337" i="1"/>
  <c r="AJ337" i="1" s="1"/>
  <c r="M2003" i="1"/>
  <c r="AJ2003" i="1" s="1"/>
  <c r="M855" i="1"/>
  <c r="AJ855" i="1" s="1"/>
  <c r="M1204" i="1"/>
  <c r="AJ1204" i="1" s="1"/>
  <c r="M861" i="1"/>
  <c r="AJ861" i="1" s="1"/>
  <c r="M2559" i="1"/>
  <c r="AJ2559" i="1" s="1"/>
  <c r="M2615" i="1"/>
  <c r="AJ2615" i="1" s="1"/>
  <c r="M1911" i="1"/>
  <c r="AJ1911" i="1" s="1"/>
  <c r="M1294" i="1"/>
  <c r="AJ1294" i="1" s="1"/>
  <c r="M1285" i="1"/>
  <c r="AJ1285" i="1" s="1"/>
  <c r="M1500" i="1"/>
  <c r="AJ1500" i="1" s="1"/>
  <c r="M669" i="1"/>
  <c r="AJ669" i="1" s="1"/>
  <c r="M2355" i="1"/>
  <c r="AJ2355" i="1" s="1"/>
  <c r="M2489" i="1"/>
  <c r="AJ2489" i="1" s="1"/>
  <c r="M2538" i="1"/>
  <c r="AJ2538" i="1" s="1"/>
  <c r="M1580" i="1"/>
  <c r="AJ1580" i="1" s="1"/>
  <c r="M1922" i="1"/>
  <c r="AJ1922" i="1" s="1"/>
  <c r="M267" i="1"/>
  <c r="AJ267" i="1" s="1"/>
  <c r="M2063" i="1"/>
  <c r="AJ2063" i="1" s="1"/>
  <c r="M2414" i="1"/>
  <c r="AJ2414" i="1" s="1"/>
  <c r="M713" i="1"/>
  <c r="AJ713" i="1" s="1"/>
  <c r="M1838" i="1"/>
  <c r="AJ1838" i="1" s="1"/>
  <c r="M1353" i="1"/>
  <c r="AJ1353" i="1" s="1"/>
  <c r="M65" i="1"/>
  <c r="AJ65" i="1" s="1"/>
  <c r="M627" i="1"/>
  <c r="AJ627" i="1" s="1"/>
  <c r="M1947" i="1"/>
  <c r="AJ1947" i="1" s="1"/>
  <c r="M2585" i="1"/>
  <c r="AJ2585" i="1" s="1"/>
  <c r="M2002" i="1"/>
  <c r="AJ2002" i="1" s="1"/>
  <c r="M1693" i="1"/>
  <c r="AJ1693" i="1" s="1"/>
  <c r="M937" i="1"/>
  <c r="AJ937" i="1" s="1"/>
  <c r="M437" i="1"/>
  <c r="AJ437" i="1" s="1"/>
  <c r="M2011" i="1"/>
  <c r="AJ2011" i="1" s="1"/>
  <c r="M2013" i="1"/>
  <c r="AJ2013" i="1" s="1"/>
  <c r="M2357" i="1"/>
  <c r="AJ2357" i="1" s="1"/>
  <c r="M98" i="1"/>
  <c r="AJ98" i="1" s="1"/>
  <c r="M2245" i="1"/>
  <c r="AJ2245" i="1" s="1"/>
  <c r="M1671" i="1"/>
  <c r="AJ1671" i="1" s="1"/>
  <c r="M1567" i="1"/>
  <c r="AJ1567" i="1" s="1"/>
  <c r="M2020" i="1"/>
  <c r="AJ2020" i="1" s="1"/>
  <c r="M134" i="1"/>
  <c r="AJ134" i="1" s="1"/>
  <c r="M2150" i="1"/>
  <c r="AJ2150" i="1" s="1"/>
  <c r="M2411" i="1"/>
  <c r="AJ2411" i="1" s="1"/>
  <c r="M579" i="1"/>
  <c r="AJ579" i="1" s="1"/>
  <c r="M2036" i="1"/>
  <c r="AJ2036" i="1" s="1"/>
  <c r="M994" i="1"/>
  <c r="AJ994" i="1" s="1"/>
  <c r="M555" i="1"/>
  <c r="AJ555" i="1" s="1"/>
  <c r="M1782" i="1"/>
  <c r="AJ1782" i="1" s="1"/>
  <c r="M1739" i="1"/>
  <c r="AJ1739" i="1" s="1"/>
  <c r="M974" i="1"/>
  <c r="AJ974" i="1" s="1"/>
  <c r="M1932" i="1"/>
  <c r="AJ1932" i="1" s="1"/>
  <c r="M1172" i="1"/>
  <c r="AJ1172" i="1" s="1"/>
  <c r="M1893" i="1"/>
  <c r="AJ1893" i="1" s="1"/>
  <c r="M1665" i="1"/>
  <c r="AJ1665" i="1" s="1"/>
  <c r="M471" i="1"/>
  <c r="AJ471" i="1" s="1"/>
  <c r="M280" i="1"/>
  <c r="AJ280" i="1" s="1"/>
  <c r="M2640" i="1"/>
  <c r="AJ2640" i="1" s="1"/>
  <c r="M1945" i="1"/>
  <c r="AJ1945" i="1" s="1"/>
  <c r="M1749" i="1"/>
  <c r="AJ1749" i="1" s="1"/>
  <c r="M175" i="1"/>
  <c r="AJ175" i="1" s="1"/>
  <c r="M1288" i="1"/>
  <c r="AJ1288" i="1" s="1"/>
  <c r="M784" i="1"/>
  <c r="AJ784" i="1" s="1"/>
  <c r="M2701" i="1"/>
  <c r="AJ2701" i="1" s="1"/>
  <c r="M259" i="1"/>
  <c r="AJ259" i="1" s="1"/>
  <c r="M64" i="1"/>
  <c r="AJ64" i="1" s="1"/>
  <c r="M1788" i="1"/>
  <c r="AJ1788" i="1" s="1"/>
  <c r="M962" i="1"/>
  <c r="AJ962" i="1" s="1"/>
  <c r="M458" i="1"/>
  <c r="AJ458" i="1" s="1"/>
  <c r="M2487" i="1"/>
  <c r="AJ2487" i="1" s="1"/>
  <c r="M2523" i="1"/>
  <c r="AJ2523" i="1" s="1"/>
  <c r="M1502" i="1"/>
  <c r="AJ1502" i="1" s="1"/>
  <c r="M39" i="1"/>
  <c r="AJ39" i="1" s="1"/>
  <c r="M116" i="1"/>
  <c r="AJ116" i="1" s="1"/>
  <c r="M1150" i="1"/>
  <c r="AJ1150" i="1" s="1"/>
  <c r="M2670" i="1"/>
  <c r="AJ2670" i="1" s="1"/>
  <c r="M2587" i="1"/>
  <c r="AJ2587" i="1" s="1"/>
  <c r="M2532" i="1"/>
  <c r="AJ2532" i="1" s="1"/>
  <c r="M2506" i="1"/>
  <c r="AJ2506" i="1" s="1"/>
  <c r="M241" i="1"/>
  <c r="AJ241" i="1" s="1"/>
  <c r="M886" i="1"/>
  <c r="AJ886" i="1" s="1"/>
  <c r="M1338" i="1"/>
  <c r="AJ1338" i="1" s="1"/>
  <c r="M144" i="1"/>
  <c r="AJ144" i="1" s="1"/>
  <c r="M260" i="1"/>
  <c r="AJ260" i="1" s="1"/>
  <c r="M318" i="1"/>
  <c r="AJ318" i="1" s="1"/>
  <c r="M2383" i="1"/>
  <c r="AJ2383" i="1" s="1"/>
  <c r="M794" i="1"/>
  <c r="AJ794" i="1" s="1"/>
  <c r="M1627" i="1"/>
  <c r="AJ1627" i="1" s="1"/>
  <c r="M55" i="1"/>
  <c r="AJ55" i="1" s="1"/>
  <c r="M151" i="1"/>
  <c r="AJ151" i="1" s="1"/>
  <c r="M550" i="1"/>
  <c r="AJ550" i="1" s="1"/>
  <c r="M2343" i="1"/>
  <c r="AJ2343" i="1" s="1"/>
  <c r="M709" i="1"/>
  <c r="AJ709" i="1" s="1"/>
  <c r="M1168" i="1"/>
  <c r="AJ1168" i="1" s="1"/>
  <c r="M2064" i="1"/>
  <c r="AJ2064" i="1" s="1"/>
  <c r="M176" i="1"/>
  <c r="AJ176" i="1" s="1"/>
  <c r="M986" i="1"/>
  <c r="AJ986" i="1" s="1"/>
  <c r="M2541" i="1"/>
  <c r="AJ2541" i="1" s="1"/>
  <c r="M2102" i="1"/>
  <c r="AJ2102" i="1" s="1"/>
  <c r="M1550" i="1"/>
  <c r="AJ1550" i="1" s="1"/>
  <c r="M2286" i="1"/>
  <c r="AJ2286" i="1" s="1"/>
  <c r="M2574" i="1"/>
  <c r="AJ2574" i="1" s="1"/>
  <c r="M185" i="1"/>
  <c r="AJ185" i="1" s="1"/>
  <c r="M2427" i="1"/>
  <c r="AJ2427" i="1" s="1"/>
  <c r="M1403" i="1"/>
  <c r="AJ1403" i="1" s="1"/>
  <c r="M2272" i="1"/>
  <c r="AJ2272" i="1" s="1"/>
  <c r="M2197" i="1"/>
  <c r="AJ2197" i="1" s="1"/>
  <c r="M2563" i="1"/>
  <c r="AJ2563" i="1" s="1"/>
  <c r="M1916" i="1"/>
  <c r="AJ1916" i="1" s="1"/>
  <c r="M2119" i="1"/>
  <c r="AJ2119" i="1" s="1"/>
  <c r="M1920" i="1"/>
  <c r="AJ1920" i="1" s="1"/>
  <c r="M346" i="1"/>
  <c r="AJ346" i="1" s="1"/>
  <c r="M2702" i="1"/>
  <c r="AJ2702" i="1" s="1"/>
  <c r="M1581" i="1"/>
  <c r="AJ1581" i="1" s="1"/>
  <c r="M213" i="1"/>
  <c r="AJ213" i="1" s="1"/>
  <c r="M1167" i="1"/>
  <c r="AJ1167" i="1" s="1"/>
  <c r="M2317" i="1"/>
  <c r="AJ2317" i="1" s="1"/>
  <c r="M2372" i="1"/>
  <c r="AJ2372" i="1" s="1"/>
  <c r="M2758" i="1"/>
  <c r="AJ2758" i="1" s="1"/>
  <c r="M2565" i="1"/>
  <c r="AJ2565" i="1" s="1"/>
  <c r="M1158" i="1"/>
  <c r="AJ1158" i="1" s="1"/>
  <c r="M686" i="1"/>
  <c r="AJ686" i="1" s="1"/>
  <c r="M411" i="1"/>
  <c r="AJ411" i="1" s="1"/>
  <c r="M1270" i="1"/>
  <c r="AJ1270" i="1" s="1"/>
  <c r="M524" i="1"/>
  <c r="AJ524" i="1" s="1"/>
  <c r="M534" i="1"/>
  <c r="AJ534" i="1" s="1"/>
  <c r="M282" i="1"/>
  <c r="AJ282" i="1" s="1"/>
  <c r="M429" i="1"/>
  <c r="AJ429" i="1" s="1"/>
  <c r="M1033" i="1"/>
  <c r="AJ1033" i="1" s="1"/>
  <c r="M1576" i="1"/>
  <c r="AJ1576" i="1" s="1"/>
  <c r="M2771" i="1"/>
  <c r="AJ2771" i="1" s="1"/>
  <c r="M440" i="1"/>
  <c r="AJ440" i="1" s="1"/>
  <c r="M108" i="1"/>
  <c r="AJ108" i="1" s="1"/>
  <c r="M1653" i="1"/>
  <c r="AJ1653" i="1" s="1"/>
  <c r="M2794" i="1"/>
  <c r="AJ2794" i="1" s="1"/>
  <c r="M1650" i="1"/>
  <c r="AJ1650" i="1" s="1"/>
  <c r="M1726" i="1"/>
  <c r="AJ1726" i="1" s="1"/>
  <c r="M1901" i="1"/>
  <c r="AJ1901" i="1" s="1"/>
  <c r="M200" i="1"/>
  <c r="AJ200" i="1" s="1"/>
  <c r="M1971" i="1"/>
  <c r="AJ1971" i="1" s="1"/>
  <c r="M2777" i="1"/>
  <c r="AJ2777" i="1" s="1"/>
  <c r="M836" i="1"/>
  <c r="AJ836" i="1" s="1"/>
  <c r="M1192" i="1"/>
  <c r="AJ1192" i="1" s="1"/>
  <c r="M1866" i="1"/>
  <c r="AJ1866" i="1" s="1"/>
  <c r="M2603" i="1"/>
  <c r="AJ2603" i="1" s="1"/>
  <c r="M1258" i="1"/>
  <c r="AJ1258" i="1" s="1"/>
  <c r="M195" i="1"/>
  <c r="AJ195" i="1" s="1"/>
  <c r="M870" i="1"/>
  <c r="AJ870" i="1" s="1"/>
  <c r="M605" i="1"/>
  <c r="AJ605" i="1" s="1"/>
  <c r="M80" i="1"/>
  <c r="AJ80" i="1" s="1"/>
  <c r="M626" i="1"/>
  <c r="AJ626" i="1" s="1"/>
  <c r="M1046" i="1"/>
  <c r="AJ1046" i="1" s="1"/>
  <c r="M893" i="1"/>
  <c r="AJ893" i="1" s="1"/>
  <c r="M2398" i="1"/>
  <c r="AJ2398" i="1" s="1"/>
  <c r="M473" i="1"/>
  <c r="AJ473" i="1" s="1"/>
  <c r="M2344" i="1"/>
  <c r="AJ2344" i="1" s="1"/>
  <c r="M1290" i="1"/>
  <c r="AJ1290" i="1" s="1"/>
  <c r="M1373" i="1"/>
  <c r="AJ1373" i="1" s="1"/>
  <c r="M2103" i="1"/>
  <c r="AJ2103" i="1" s="1"/>
  <c r="M2184" i="1"/>
  <c r="AJ2184" i="1" s="1"/>
  <c r="M1485" i="1"/>
  <c r="AJ1485" i="1" s="1"/>
  <c r="M369" i="1"/>
  <c r="AJ369" i="1" s="1"/>
  <c r="M1972" i="1"/>
  <c r="AJ1972" i="1" s="1"/>
  <c r="M928" i="1"/>
  <c r="AJ928" i="1" s="1"/>
  <c r="M2685" i="1"/>
  <c r="AJ2685" i="1" s="1"/>
  <c r="M226" i="1"/>
  <c r="AJ226" i="1" s="1"/>
  <c r="M774" i="1"/>
  <c r="AJ774" i="1" s="1"/>
  <c r="M1557" i="1"/>
  <c r="AJ1557" i="1" s="1"/>
  <c r="M2062" i="1"/>
  <c r="AJ2062" i="1" s="1"/>
  <c r="M1271" i="1"/>
  <c r="AJ1271" i="1" s="1"/>
  <c r="M1325" i="1"/>
  <c r="AJ1325" i="1" s="1"/>
  <c r="M1132" i="1"/>
  <c r="AJ1132" i="1" s="1"/>
  <c r="M681" i="1"/>
  <c r="AJ681" i="1" s="1"/>
  <c r="M235" i="1"/>
  <c r="AJ235" i="1" s="1"/>
  <c r="M1799" i="1"/>
  <c r="AJ1799" i="1" s="1"/>
  <c r="M2769" i="1"/>
  <c r="AJ2769" i="1" s="1"/>
  <c r="M1686" i="1"/>
  <c r="AJ1686" i="1" s="1"/>
  <c r="M1478" i="1"/>
  <c r="AJ1478" i="1" s="1"/>
  <c r="M772" i="1"/>
  <c r="AJ772" i="1" s="1"/>
  <c r="M1692" i="1"/>
  <c r="AJ1692" i="1" s="1"/>
  <c r="M454" i="1"/>
  <c r="AJ454" i="1" s="1"/>
  <c r="M1360" i="1"/>
  <c r="AJ1360" i="1" s="1"/>
  <c r="M2288" i="1"/>
  <c r="AJ2288" i="1" s="1"/>
  <c r="M2751" i="1"/>
  <c r="AJ2751" i="1" s="1"/>
  <c r="M2392" i="1"/>
  <c r="AJ2392" i="1" s="1"/>
  <c r="M328" i="1"/>
  <c r="AJ328" i="1" s="1"/>
  <c r="M305" i="1"/>
  <c r="AJ305" i="1" s="1"/>
  <c r="M2589" i="1"/>
  <c r="AJ2589" i="1" s="1"/>
  <c r="M969" i="1"/>
  <c r="AJ969" i="1" s="1"/>
  <c r="M159" i="1"/>
  <c r="AJ159" i="1" s="1"/>
  <c r="M1216" i="1"/>
  <c r="AJ1216" i="1" s="1"/>
  <c r="M74" i="1"/>
  <c r="AJ74" i="1" s="1"/>
  <c r="M1056" i="1"/>
  <c r="AJ1056" i="1" s="1"/>
  <c r="M2361" i="1"/>
  <c r="AJ2361" i="1" s="1"/>
  <c r="M1725" i="1"/>
  <c r="AJ1725" i="1" s="1"/>
  <c r="M1992" i="1"/>
  <c r="AJ1992" i="1" s="1"/>
  <c r="M821" i="1"/>
  <c r="AJ821" i="1" s="1"/>
  <c r="M329" i="1"/>
  <c r="AJ329" i="1" s="1"/>
  <c r="M1775" i="1"/>
  <c r="AJ1775" i="1" s="1"/>
  <c r="M1611" i="1"/>
  <c r="AJ1611" i="1" s="1"/>
  <c r="M184" i="1"/>
  <c r="AJ184" i="1" s="1"/>
  <c r="M753" i="1"/>
  <c r="AJ753" i="1" s="1"/>
  <c r="M1401" i="1"/>
  <c r="AJ1401" i="1" s="1"/>
  <c r="M563" i="1"/>
  <c r="AJ563" i="1" s="1"/>
  <c r="M932" i="1"/>
  <c r="AJ932" i="1" s="1"/>
  <c r="M1027" i="1"/>
  <c r="AJ1027" i="1" s="1"/>
  <c r="M2780" i="1"/>
  <c r="AJ2780" i="1" s="1"/>
  <c r="M237" i="1"/>
  <c r="AJ237" i="1" s="1"/>
  <c r="M48" i="1"/>
  <c r="AJ48" i="1" s="1"/>
  <c r="M2423" i="1"/>
  <c r="AJ2423" i="1" s="1"/>
  <c r="M843" i="1"/>
  <c r="AJ843" i="1" s="1"/>
  <c r="M76" i="1"/>
  <c r="AJ76" i="1" s="1"/>
  <c r="M844" i="1"/>
  <c r="AJ844" i="1" s="1"/>
  <c r="M719" i="1"/>
  <c r="AJ719" i="1" s="1"/>
  <c r="M383" i="1"/>
  <c r="AJ383" i="1" s="1"/>
  <c r="M373" i="1"/>
  <c r="AJ373" i="1" s="1"/>
  <c r="M632" i="1"/>
  <c r="AJ632" i="1" s="1"/>
  <c r="M2158" i="1"/>
  <c r="AJ2158" i="1" s="1"/>
  <c r="M530" i="1"/>
  <c r="AJ530" i="1" s="1"/>
  <c r="M17" i="1"/>
  <c r="AJ17" i="1" s="1"/>
  <c r="M439" i="1"/>
  <c r="AJ439" i="1" s="1"/>
  <c r="M1370" i="1"/>
  <c r="AJ1370" i="1" s="1"/>
  <c r="M1051" i="1"/>
  <c r="AJ1051" i="1" s="1"/>
  <c r="M2512" i="1"/>
  <c r="AJ2512" i="1" s="1"/>
  <c r="M2040" i="1"/>
  <c r="AJ2040" i="1" s="1"/>
  <c r="M22" i="1"/>
  <c r="AJ22" i="1" s="1"/>
  <c r="M761" i="1"/>
  <c r="AJ761" i="1" s="1"/>
  <c r="M113" i="1"/>
  <c r="AJ113" i="1" s="1"/>
  <c r="M1931" i="1"/>
  <c r="AJ1931" i="1" s="1"/>
  <c r="M1490" i="1"/>
  <c r="AJ1490" i="1" s="1"/>
  <c r="M1950" i="1"/>
  <c r="AJ1950" i="1" s="1"/>
  <c r="M1277" i="1"/>
  <c r="AJ1277" i="1" s="1"/>
  <c r="M45" i="1"/>
  <c r="AJ45" i="1" s="1"/>
  <c r="M1122" i="1"/>
  <c r="AJ1122" i="1" s="1"/>
  <c r="M2368" i="1"/>
  <c r="AJ2368" i="1" s="1"/>
  <c r="M2106" i="1"/>
  <c r="AJ2106" i="1" s="1"/>
  <c r="M1961" i="1"/>
  <c r="AJ1961" i="1" s="1"/>
  <c r="M2436" i="1"/>
  <c r="AJ2436" i="1" s="1"/>
  <c r="M1745" i="1"/>
  <c r="AJ1745" i="1" s="1"/>
  <c r="M1292" i="1"/>
  <c r="AJ1292" i="1" s="1"/>
  <c r="M2071" i="1"/>
  <c r="AJ2071" i="1" s="1"/>
  <c r="M1880" i="1"/>
  <c r="AJ1880" i="1" s="1"/>
  <c r="M1001" i="1"/>
  <c r="AJ1001" i="1" s="1"/>
  <c r="M829" i="1"/>
  <c r="AJ829" i="1" s="1"/>
  <c r="M615" i="1"/>
  <c r="AJ615" i="1" s="1"/>
  <c r="M2645" i="1"/>
  <c r="AJ2645" i="1" s="1"/>
  <c r="M930" i="1"/>
  <c r="AJ930" i="1" s="1"/>
  <c r="M2072" i="1"/>
  <c r="AJ2072" i="1" s="1"/>
  <c r="M28" i="1"/>
  <c r="AJ28" i="1" s="1"/>
  <c r="M1232" i="1"/>
  <c r="AJ1232" i="1" s="1"/>
  <c r="M2091" i="1"/>
  <c r="AJ2091" i="1" s="1"/>
  <c r="M1674" i="1"/>
  <c r="AJ1674" i="1" s="1"/>
  <c r="M2189" i="1"/>
  <c r="AJ2189" i="1" s="1"/>
  <c r="M475" i="1"/>
  <c r="AJ475" i="1" s="1"/>
  <c r="M1904" i="1"/>
  <c r="AJ1904" i="1" s="1"/>
  <c r="M2584" i="1"/>
  <c r="AJ2584" i="1" s="1"/>
  <c r="M834" i="1"/>
  <c r="AJ834" i="1" s="1"/>
  <c r="M466" i="1"/>
  <c r="AJ466" i="1" s="1"/>
  <c r="M2327" i="1"/>
  <c r="AJ2327" i="1" s="1"/>
  <c r="M1545" i="1"/>
  <c r="AJ1545" i="1" s="1"/>
  <c r="M394" i="1"/>
  <c r="AJ394" i="1" s="1"/>
  <c r="M2680" i="1"/>
  <c r="AJ2680" i="1" s="1"/>
  <c r="M193" i="1"/>
  <c r="AJ193" i="1" s="1"/>
  <c r="M2493" i="1"/>
  <c r="AJ2493" i="1" s="1"/>
  <c r="M1183" i="1"/>
  <c r="AJ1183" i="1" s="1"/>
  <c r="M418" i="1"/>
  <c r="AJ418" i="1" s="1"/>
  <c r="M307" i="1"/>
  <c r="AJ307" i="1" s="1"/>
  <c r="M536" i="1"/>
  <c r="AJ536" i="1" s="1"/>
  <c r="M650" i="1"/>
  <c r="AJ650" i="1" s="1"/>
  <c r="M1540" i="1"/>
  <c r="AJ1540" i="1" s="1"/>
  <c r="M2366" i="1"/>
  <c r="AJ2366" i="1" s="1"/>
  <c r="M2293" i="1"/>
  <c r="AJ2293" i="1" s="1"/>
  <c r="M2284" i="1"/>
  <c r="AJ2284" i="1" s="1"/>
  <c r="M740" i="1"/>
  <c r="AJ740" i="1" s="1"/>
  <c r="M1953" i="1"/>
  <c r="AJ1953" i="1" s="1"/>
  <c r="M1764" i="1"/>
  <c r="AJ1764" i="1" s="1"/>
  <c r="M1195" i="1"/>
  <c r="AJ1195" i="1" s="1"/>
  <c r="M1694" i="1"/>
  <c r="AJ1694" i="1" s="1"/>
  <c r="M1614" i="1"/>
  <c r="AJ1614" i="1" s="1"/>
  <c r="M1906" i="1"/>
  <c r="AJ1906" i="1" s="1"/>
  <c r="M1134" i="1"/>
  <c r="AJ1134" i="1" s="1"/>
  <c r="M2248" i="1"/>
  <c r="AJ2248" i="1" s="1"/>
  <c r="M387" i="1"/>
  <c r="AJ387" i="1" s="1"/>
  <c r="M2588" i="1"/>
  <c r="AJ2588" i="1" s="1"/>
  <c r="M1952" i="1"/>
  <c r="AJ1952" i="1" s="1"/>
  <c r="M2220" i="1"/>
  <c r="AJ2220" i="1" s="1"/>
  <c r="M2068" i="1"/>
  <c r="AJ2068" i="1" s="1"/>
  <c r="M1854" i="1"/>
  <c r="AJ1854" i="1" s="1"/>
  <c r="M1646" i="1"/>
  <c r="AJ1646" i="1" s="1"/>
  <c r="M18" i="1"/>
  <c r="AJ18" i="1" s="1"/>
  <c r="M352" i="1"/>
  <c r="AJ352" i="1" s="1"/>
  <c r="M878" i="1"/>
  <c r="AJ878" i="1" s="1"/>
  <c r="M2642" i="1"/>
  <c r="AJ2642" i="1" s="1"/>
  <c r="M164" i="1"/>
  <c r="AJ164" i="1" s="1"/>
  <c r="M450" i="1"/>
  <c r="AJ450" i="1" s="1"/>
  <c r="M850" i="1"/>
  <c r="AJ850" i="1" s="1"/>
  <c r="M879" i="1"/>
  <c r="AJ879" i="1" s="1"/>
  <c r="M786" i="1"/>
  <c r="AJ786" i="1" s="1"/>
  <c r="M419" i="1"/>
  <c r="AJ419" i="1" s="1"/>
  <c r="M1404" i="1"/>
  <c r="AJ1404" i="1" s="1"/>
  <c r="M1179" i="1"/>
  <c r="AJ1179" i="1" s="1"/>
  <c r="M2301" i="1"/>
  <c r="AJ2301" i="1" s="1"/>
  <c r="M541" i="1"/>
  <c r="AJ541" i="1" s="1"/>
  <c r="M699" i="1"/>
  <c r="AJ699" i="1" s="1"/>
  <c r="M882" i="1"/>
  <c r="AJ882" i="1" s="1"/>
  <c r="M1865" i="1"/>
  <c r="AJ1865" i="1" s="1"/>
  <c r="M1151" i="1"/>
  <c r="AJ1151" i="1" s="1"/>
  <c r="M1883" i="1"/>
  <c r="AJ1883" i="1" s="1"/>
  <c r="M73" i="1"/>
  <c r="AJ73" i="1" s="1"/>
  <c r="M1459" i="1"/>
  <c r="AJ1459" i="1" s="1"/>
  <c r="M1784" i="1"/>
  <c r="AJ1784" i="1" s="1"/>
  <c r="M1311" i="1"/>
  <c r="AJ1311" i="1" s="1"/>
  <c r="M1569" i="1"/>
  <c r="AJ1569" i="1" s="1"/>
  <c r="M1974" i="1"/>
  <c r="AJ1974" i="1" s="1"/>
  <c r="M2519" i="1"/>
  <c r="AJ2519" i="1" s="1"/>
  <c r="M2140" i="1"/>
  <c r="AJ2140" i="1" s="1"/>
  <c r="M1835" i="1"/>
  <c r="AJ1835" i="1" s="1"/>
  <c r="M2249" i="1"/>
  <c r="AJ2249" i="1" s="1"/>
  <c r="M754" i="1"/>
  <c r="AJ754" i="1" s="1"/>
  <c r="M2321" i="1"/>
  <c r="AJ2321" i="1" s="1"/>
  <c r="M2424" i="1"/>
  <c r="AJ2424" i="1" s="1"/>
  <c r="M1600" i="1"/>
  <c r="AJ1600" i="1" s="1"/>
  <c r="M2257" i="1"/>
  <c r="AJ2257" i="1" s="1"/>
  <c r="M1554" i="1"/>
  <c r="AJ1554" i="1" s="1"/>
  <c r="M2210" i="1"/>
  <c r="AJ2210" i="1" s="1"/>
  <c r="M1941" i="1"/>
  <c r="AJ1941" i="1" s="1"/>
  <c r="M1101" i="1"/>
  <c r="AJ1101" i="1" s="1"/>
  <c r="M1533" i="1"/>
  <c r="AJ1533" i="1" s="1"/>
  <c r="M1510" i="1"/>
  <c r="AJ1510" i="1" s="1"/>
  <c r="M1032" i="1"/>
  <c r="AJ1032" i="1" s="1"/>
  <c r="M72" i="1"/>
  <c r="AJ72" i="1" s="1"/>
  <c r="M2606" i="1"/>
  <c r="AJ2606" i="1" s="1"/>
  <c r="M391" i="1"/>
  <c r="AJ391" i="1" s="1"/>
  <c r="M2081" i="1"/>
  <c r="AJ2081" i="1" s="1"/>
  <c r="M503" i="1"/>
  <c r="AJ503" i="1" s="1"/>
  <c r="M378" i="1"/>
  <c r="AJ378" i="1" s="1"/>
  <c r="M785" i="1"/>
  <c r="AJ785" i="1" s="1"/>
  <c r="M647" i="1"/>
  <c r="AJ647" i="1" s="1"/>
  <c r="M2733" i="1"/>
  <c r="AJ2733" i="1" s="1"/>
  <c r="M1293" i="1"/>
  <c r="AJ1293" i="1" s="1"/>
  <c r="M1304" i="1"/>
  <c r="AJ1304" i="1" s="1"/>
  <c r="M1615" i="1"/>
  <c r="AJ1615" i="1" s="1"/>
  <c r="M562" i="1"/>
  <c r="AJ562" i="1" s="1"/>
  <c r="M1870" i="1"/>
  <c r="AJ1870" i="1" s="1"/>
  <c r="M1383" i="1"/>
  <c r="AJ1383" i="1" s="1"/>
  <c r="M1994" i="1"/>
  <c r="AJ1994" i="1" s="1"/>
  <c r="M968" i="1"/>
  <c r="AJ968" i="1" s="1"/>
  <c r="M2735" i="1"/>
  <c r="AJ2735" i="1" s="1"/>
  <c r="M1180" i="1"/>
  <c r="AJ1180" i="1" s="1"/>
  <c r="M1915" i="1"/>
  <c r="AJ1915" i="1" s="1"/>
  <c r="M1375" i="1"/>
  <c r="AJ1375" i="1" s="1"/>
  <c r="M690" i="1"/>
  <c r="AJ690" i="1" s="1"/>
  <c r="M1834" i="1"/>
  <c r="AJ1834" i="1" s="1"/>
  <c r="M1075" i="1"/>
  <c r="AJ1075" i="1" s="1"/>
  <c r="M443" i="1"/>
  <c r="AJ443" i="1" s="1"/>
  <c r="M619" i="1"/>
  <c r="AJ619" i="1" s="1"/>
  <c r="M180" i="1"/>
  <c r="AJ180" i="1" s="1"/>
  <c r="M1964" i="1"/>
  <c r="AJ1964" i="1" s="1"/>
  <c r="M1921" i="1"/>
  <c r="AJ1921" i="1" s="1"/>
  <c r="M2256" i="1"/>
  <c r="AJ2256" i="1" s="1"/>
  <c r="M2638" i="1"/>
  <c r="AJ2638" i="1" s="1"/>
  <c r="M1713" i="1"/>
  <c r="AJ1713" i="1" s="1"/>
  <c r="M1013" i="1"/>
  <c r="AJ1013" i="1" s="1"/>
  <c r="M2079" i="1"/>
  <c r="AJ2079" i="1" s="1"/>
  <c r="M2379" i="1"/>
  <c r="AJ2379" i="1" s="1"/>
  <c r="M2521" i="1"/>
  <c r="AJ2521" i="1" s="1"/>
  <c r="M2625" i="1"/>
  <c r="AJ2625" i="1" s="1"/>
  <c r="M390" i="1"/>
  <c r="AJ390" i="1" s="1"/>
  <c r="M33" i="1"/>
  <c r="AJ33" i="1" s="1"/>
  <c r="M132" i="1"/>
  <c r="AJ132" i="1" s="1"/>
  <c r="M1439" i="1"/>
  <c r="AJ1439" i="1" s="1"/>
  <c r="M1826" i="1"/>
  <c r="AJ1826" i="1" s="1"/>
  <c r="M1324" i="1"/>
  <c r="AJ1324" i="1" s="1"/>
  <c r="M499" i="1"/>
  <c r="AJ499" i="1" s="1"/>
  <c r="M807" i="1"/>
  <c r="AJ807" i="1" s="1"/>
  <c r="M1647" i="1"/>
  <c r="AJ1647" i="1" s="1"/>
  <c r="M2183" i="1"/>
  <c r="AJ2183" i="1" s="1"/>
  <c r="M1073" i="1"/>
  <c r="AJ1073" i="1" s="1"/>
  <c r="M252" i="1"/>
  <c r="AJ252" i="1" s="1"/>
  <c r="M2104" i="1"/>
  <c r="AJ2104" i="1" s="1"/>
  <c r="M254" i="1"/>
  <c r="AJ254" i="1" s="1"/>
  <c r="M635" i="1"/>
  <c r="AJ635" i="1" s="1"/>
  <c r="M1552" i="1"/>
  <c r="AJ1552" i="1" s="1"/>
  <c r="M936" i="1"/>
  <c r="AJ936" i="1" s="1"/>
  <c r="M63" i="1"/>
  <c r="AJ63" i="1" s="1"/>
  <c r="M795" i="1"/>
  <c r="AJ795" i="1" s="1"/>
  <c r="M1153" i="1"/>
  <c r="AJ1153" i="1" s="1"/>
  <c r="M2539" i="1"/>
  <c r="AJ2539" i="1" s="1"/>
  <c r="M2037" i="1"/>
  <c r="AJ2037" i="1" s="1"/>
  <c r="M2552" i="1"/>
  <c r="AJ2552" i="1" s="1"/>
  <c r="M1897" i="1"/>
  <c r="AJ1897" i="1" s="1"/>
  <c r="M906" i="1"/>
  <c r="AJ906" i="1" s="1"/>
  <c r="M813" i="1"/>
  <c r="AJ813" i="1" s="1"/>
  <c r="M676" i="1"/>
  <c r="AJ676" i="1" s="1"/>
  <c r="M1072" i="1"/>
  <c r="AJ1072" i="1" s="1"/>
  <c r="M2137" i="1"/>
  <c r="AJ2137" i="1" s="1"/>
  <c r="M2201" i="1"/>
  <c r="AJ2201" i="1" s="1"/>
  <c r="M2118" i="1"/>
  <c r="AJ2118" i="1" s="1"/>
  <c r="M952" i="1"/>
  <c r="AJ952" i="1" s="1"/>
  <c r="M729" i="1"/>
  <c r="AJ729" i="1" s="1"/>
  <c r="M94" i="1"/>
  <c r="AJ94" i="1" s="1"/>
  <c r="M87" i="1"/>
  <c r="AJ87" i="1" s="1"/>
  <c r="M93" i="1"/>
  <c r="AJ93" i="1" s="1"/>
  <c r="M317" i="1"/>
  <c r="AJ317" i="1" s="1"/>
  <c r="M2070" i="1"/>
  <c r="AJ2070" i="1" s="1"/>
  <c r="M467" i="1"/>
  <c r="AJ467" i="1" s="1"/>
  <c r="M712" i="1"/>
  <c r="AJ712" i="1" s="1"/>
  <c r="M1535" i="1"/>
  <c r="AJ1535" i="1" s="1"/>
  <c r="M2051" i="1"/>
  <c r="AJ2051" i="1" s="1"/>
  <c r="M1822" i="1"/>
  <c r="AJ1822" i="1" s="1"/>
  <c r="M1198" i="1"/>
  <c r="AJ1198" i="1" s="1"/>
  <c r="M1086" i="1"/>
  <c r="AJ1086" i="1" s="1"/>
  <c r="M2111" i="1"/>
  <c r="AJ2111" i="1" s="1"/>
  <c r="M270" i="1"/>
  <c r="AJ270" i="1" s="1"/>
  <c r="M422" i="1"/>
  <c r="AJ422" i="1" s="1"/>
  <c r="M1661" i="1"/>
  <c r="AJ1661" i="1" s="1"/>
  <c r="M2159" i="1"/>
  <c r="AJ2159" i="1" s="1"/>
  <c r="M56" i="1"/>
  <c r="AJ56" i="1" s="1"/>
  <c r="M2657" i="1"/>
  <c r="AJ2657" i="1" s="1"/>
  <c r="M459" i="1"/>
  <c r="AJ459" i="1" s="1"/>
  <c r="M27" i="1"/>
  <c r="AJ27" i="1" s="1"/>
  <c r="M2689" i="1"/>
  <c r="AJ2689" i="1" s="1"/>
  <c r="M584" i="1"/>
  <c r="AJ584" i="1" s="1"/>
  <c r="M417" i="1"/>
  <c r="AJ417" i="1" s="1"/>
  <c r="M423" i="1"/>
  <c r="AJ423" i="1" s="1"/>
  <c r="M842" i="1"/>
  <c r="AJ842" i="1" s="1"/>
  <c r="M2660" i="1"/>
  <c r="AJ2660" i="1" s="1"/>
  <c r="M2198" i="1"/>
  <c r="AJ2198" i="1" s="1"/>
  <c r="M1884" i="1"/>
  <c r="AJ1884" i="1" s="1"/>
  <c r="M2237" i="1"/>
  <c r="AJ2237" i="1" s="1"/>
  <c r="M1469" i="1"/>
  <c r="AJ1469" i="1" s="1"/>
  <c r="M742" i="1"/>
  <c r="AJ742" i="1" s="1"/>
  <c r="M2151" i="1"/>
  <c r="AJ2151" i="1" s="1"/>
  <c r="M139" i="1"/>
  <c r="AJ139" i="1" s="1"/>
  <c r="M1965" i="1"/>
  <c r="AJ1965" i="1" s="1"/>
  <c r="M757" i="1"/>
  <c r="AJ757" i="1" s="1"/>
  <c r="M744" i="1"/>
  <c r="AJ744" i="1" s="1"/>
  <c r="M1202" i="1"/>
  <c r="AJ1202" i="1" s="1"/>
  <c r="M732" i="1"/>
  <c r="AJ732" i="1" s="1"/>
  <c r="M1225" i="1"/>
  <c r="AJ1225" i="1" s="1"/>
  <c r="M1617" i="1"/>
  <c r="AJ1617" i="1" s="1"/>
  <c r="M1955" i="1"/>
  <c r="AJ1955" i="1" s="1"/>
  <c r="M1157" i="1"/>
  <c r="AJ1157" i="1" s="1"/>
  <c r="M1279" i="1"/>
  <c r="AJ1279" i="1" s="1"/>
  <c r="M1452" i="1"/>
  <c r="AJ1452" i="1" s="1"/>
  <c r="M2039" i="1"/>
  <c r="AJ2039" i="1" s="1"/>
  <c r="M701" i="1"/>
  <c r="AJ701" i="1" s="1"/>
  <c r="M1133" i="1"/>
  <c r="AJ1133" i="1" s="1"/>
  <c r="M1740" i="1"/>
  <c r="AJ1740" i="1" s="1"/>
  <c r="M2627" i="1"/>
  <c r="AJ2627" i="1" s="1"/>
  <c r="M1951" i="1"/>
  <c r="AJ1951" i="1" s="1"/>
  <c r="M2294" i="1"/>
  <c r="AJ2294" i="1" s="1"/>
  <c r="M1963" i="1"/>
  <c r="AJ1963" i="1" s="1"/>
  <c r="M14" i="1"/>
  <c r="AJ14" i="1" s="1"/>
  <c r="M2089" i="1"/>
  <c r="AJ2089" i="1" s="1"/>
  <c r="M2460" i="1"/>
  <c r="AJ2460" i="1" s="1"/>
  <c r="M264" i="1"/>
  <c r="AJ264" i="1" s="1"/>
  <c r="M47" i="1"/>
  <c r="AJ47" i="1" s="1"/>
  <c r="M1532" i="1"/>
  <c r="AJ1532" i="1" s="1"/>
  <c r="M2258" i="1"/>
  <c r="AJ2258" i="1" s="1"/>
  <c r="M1715" i="1"/>
  <c r="AJ1715" i="1" s="1"/>
  <c r="M449" i="1"/>
  <c r="AJ449" i="1" s="1"/>
  <c r="M2761" i="1"/>
  <c r="AJ2761" i="1" s="1"/>
  <c r="M1367" i="1"/>
  <c r="AJ1367" i="1" s="1"/>
  <c r="M42" i="1"/>
  <c r="AJ42" i="1" s="1"/>
  <c r="M574" i="1"/>
  <c r="AJ574" i="1" s="1"/>
  <c r="M2056" i="1"/>
  <c r="AJ2056" i="1" s="1"/>
  <c r="M68" i="1"/>
  <c r="AJ68" i="1" s="1"/>
  <c r="M275" i="1"/>
  <c r="AJ275" i="1" s="1"/>
  <c r="M2290" i="1"/>
  <c r="AJ2290" i="1" s="1"/>
  <c r="M1831" i="1"/>
  <c r="AJ1831" i="1" s="1"/>
  <c r="M2773" i="1"/>
  <c r="AJ2773" i="1" s="1"/>
  <c r="M918" i="1"/>
  <c r="AJ918" i="1" s="1"/>
  <c r="M687" i="1"/>
  <c r="AJ687" i="1" s="1"/>
  <c r="M2486" i="1"/>
  <c r="AJ2486" i="1" s="1"/>
  <c r="M1986" i="1"/>
  <c r="AJ1986" i="1" s="1"/>
  <c r="M812" i="1"/>
  <c r="AJ812" i="1" s="1"/>
  <c r="M7" i="1"/>
  <c r="AJ7" i="1" s="1"/>
  <c r="M2476" i="1"/>
  <c r="AJ2476" i="1" s="1"/>
  <c r="M2226" i="1"/>
  <c r="AJ2226" i="1" s="1"/>
  <c r="M1466" i="1"/>
  <c r="AJ1466" i="1" s="1"/>
  <c r="M820" i="1"/>
  <c r="AJ820" i="1" s="1"/>
  <c r="M2775" i="1"/>
  <c r="AJ2775" i="1" s="1"/>
  <c r="M192" i="1"/>
  <c r="AJ192" i="1" s="1"/>
  <c r="M2240" i="1"/>
  <c r="AJ2240" i="1" s="1"/>
  <c r="M1118" i="1"/>
  <c r="AJ1118" i="1" s="1"/>
  <c r="M876" i="1"/>
  <c r="AJ876" i="1" s="1"/>
  <c r="M622" i="1"/>
  <c r="AJ622" i="1" s="1"/>
  <c r="M152" i="1"/>
  <c r="AJ152" i="1" s="1"/>
  <c r="M474" i="1"/>
  <c r="AJ474" i="1" s="1"/>
  <c r="M1115" i="1"/>
  <c r="AJ1115" i="1" s="1"/>
  <c r="M272" i="1"/>
  <c r="AJ272" i="1" s="1"/>
  <c r="M2262" i="1"/>
  <c r="AJ2262" i="1" s="1"/>
  <c r="M177" i="1"/>
  <c r="AJ177" i="1" s="1"/>
  <c r="M2674" i="1"/>
  <c r="AJ2674" i="1" s="1"/>
  <c r="M2626" i="1"/>
  <c r="AJ2626" i="1" s="1"/>
  <c r="M750" i="1"/>
  <c r="AJ750" i="1" s="1"/>
  <c r="M1083" i="1"/>
  <c r="AJ1083" i="1" s="1"/>
  <c r="M1871" i="1"/>
  <c r="AJ1871" i="1" s="1"/>
  <c r="M1954" i="1"/>
  <c r="AJ1954" i="1" s="1"/>
  <c r="M160" i="1"/>
  <c r="AJ160" i="1" s="1"/>
  <c r="M2033" i="1"/>
  <c r="AJ2033" i="1" s="1"/>
  <c r="M2405" i="1"/>
  <c r="AJ2405" i="1" s="1"/>
  <c r="M672" i="1"/>
  <c r="AJ672" i="1" s="1"/>
  <c r="M2236" i="1"/>
  <c r="AJ2236" i="1" s="1"/>
  <c r="M2060" i="1"/>
  <c r="AJ2060" i="1" s="1"/>
  <c r="M1015" i="1"/>
  <c r="AJ1015" i="1" s="1"/>
  <c r="M1398" i="1"/>
  <c r="AJ1398" i="1" s="1"/>
  <c r="M897" i="1"/>
  <c r="AJ897" i="1" s="1"/>
  <c r="M2554" i="1"/>
  <c r="AJ2554" i="1" s="1"/>
  <c r="M935" i="1"/>
  <c r="AJ935" i="1" s="1"/>
  <c r="M1096" i="1"/>
  <c r="AJ1096" i="1" s="1"/>
  <c r="M1215" i="1"/>
  <c r="AJ1215" i="1" s="1"/>
  <c r="M797" i="1"/>
  <c r="AJ797" i="1" s="1"/>
  <c r="M1397" i="1"/>
  <c r="AJ1397" i="1" s="1"/>
  <c r="M1506" i="1"/>
  <c r="AJ1506" i="1" s="1"/>
  <c r="M2186" i="1"/>
  <c r="AJ2186" i="1" s="1"/>
  <c r="M668" i="1"/>
  <c r="AJ668" i="1" s="1"/>
  <c r="M2000" i="1"/>
  <c r="AJ2000" i="1" s="1"/>
  <c r="M1016" i="1"/>
  <c r="AJ1016" i="1" s="1"/>
  <c r="M1633" i="1"/>
  <c r="AJ1633" i="1" s="1"/>
  <c r="M675" i="1"/>
  <c r="AJ675" i="1" s="1"/>
  <c r="M1241" i="1"/>
  <c r="AJ1241" i="1" s="1"/>
  <c r="M171" i="1"/>
  <c r="AJ171" i="1" s="1"/>
  <c r="M2412" i="1"/>
  <c r="AJ2412" i="1" s="1"/>
  <c r="M271" i="1"/>
  <c r="AJ271" i="1" s="1"/>
  <c r="M2433" i="1"/>
  <c r="AJ2433" i="1" s="1"/>
  <c r="M2385" i="1"/>
  <c r="AJ2385" i="1" s="1"/>
  <c r="M1140" i="1"/>
  <c r="AJ1140" i="1" s="1"/>
  <c r="M1421" i="1"/>
  <c r="AJ1421" i="1" s="1"/>
  <c r="M1679" i="1"/>
  <c r="AJ1679" i="1" s="1"/>
  <c r="M2015" i="1"/>
  <c r="AJ2015" i="1" s="1"/>
  <c r="M594" i="1"/>
  <c r="AJ594" i="1" s="1"/>
  <c r="M2723" i="1"/>
  <c r="AJ2723" i="1" s="1"/>
  <c r="M2191" i="1"/>
  <c r="AJ2191" i="1" s="1"/>
  <c r="M1247" i="1"/>
  <c r="AJ1247" i="1" s="1"/>
  <c r="M1004" i="1"/>
  <c r="AJ1004" i="1" s="1"/>
  <c r="M2529" i="1"/>
  <c r="AJ2529" i="1" s="1"/>
  <c r="M1349" i="1"/>
  <c r="AJ1349" i="1" s="1"/>
  <c r="M1690" i="1"/>
  <c r="AJ1690" i="1" s="1"/>
  <c r="M991" i="1"/>
  <c r="AJ991" i="1" s="1"/>
  <c r="M651" i="1"/>
  <c r="AJ651" i="1" s="1"/>
  <c r="M1424" i="1"/>
  <c r="AJ1424" i="1" s="1"/>
  <c r="M338" i="1"/>
  <c r="AJ338" i="1" s="1"/>
  <c r="M1193" i="1"/>
  <c r="AJ1193" i="1" s="1"/>
  <c r="M1999" i="1"/>
  <c r="AJ1999" i="1" s="1"/>
  <c r="M853" i="1"/>
  <c r="AJ853" i="1" s="1"/>
  <c r="M2505" i="1"/>
  <c r="AJ2505" i="1" s="1"/>
  <c r="M1400" i="1"/>
  <c r="AJ1400" i="1" s="1"/>
  <c r="M1194" i="1"/>
  <c r="AJ1194" i="1" s="1"/>
  <c r="M1608" i="1"/>
  <c r="AJ1608" i="1" s="1"/>
  <c r="M478" i="1"/>
  <c r="AJ478" i="1" s="1"/>
  <c r="M2672" i="1"/>
  <c r="AJ2672" i="1" s="1"/>
  <c r="M145" i="1"/>
  <c r="AJ145" i="1" s="1"/>
  <c r="M880" i="1"/>
  <c r="AJ880" i="1" s="1"/>
  <c r="M133" i="1"/>
  <c r="AJ133" i="1" s="1"/>
  <c r="M118" i="1"/>
  <c r="AJ118" i="1" s="1"/>
  <c r="M2564" i="1"/>
  <c r="AJ2564" i="1" s="1"/>
  <c r="M2141" i="1"/>
  <c r="AJ2141" i="1" s="1"/>
  <c r="M2253" i="1"/>
  <c r="AJ2253" i="1" s="1"/>
  <c r="M1774" i="1"/>
  <c r="AJ1774" i="1" s="1"/>
  <c r="M2479" i="1"/>
  <c r="AJ2479" i="1" s="1"/>
  <c r="M2593" i="1"/>
  <c r="AJ2593" i="1" s="1"/>
  <c r="M1534" i="1"/>
  <c r="AJ1534" i="1" s="1"/>
  <c r="M2175" i="1"/>
  <c r="AJ2175" i="1" s="1"/>
  <c r="M413" i="1"/>
  <c r="AJ413" i="1" s="1"/>
  <c r="M2332" i="1"/>
  <c r="AJ2332" i="1" s="1"/>
  <c r="M456" i="1"/>
  <c r="AJ456" i="1" s="1"/>
  <c r="M2739" i="1"/>
  <c r="AJ2739" i="1" s="1"/>
  <c r="M2127" i="1"/>
  <c r="AJ2127" i="1" s="1"/>
  <c r="M1190" i="1"/>
  <c r="AJ1190" i="1" s="1"/>
  <c r="M707" i="1"/>
  <c r="AJ707" i="1" s="1"/>
  <c r="M972" i="1"/>
  <c r="AJ972" i="1" s="1"/>
  <c r="M1956" i="1"/>
  <c r="AJ1956" i="1" s="1"/>
  <c r="M2308" i="1"/>
  <c r="AJ2308" i="1" s="1"/>
  <c r="M110" i="1"/>
  <c r="AJ110" i="1" s="1"/>
  <c r="M715" i="1"/>
  <c r="AJ715" i="1" s="1"/>
  <c r="M339" i="1"/>
  <c r="AJ339" i="1" s="1"/>
  <c r="M1967" i="1"/>
  <c r="AJ1967" i="1" s="1"/>
  <c r="M787" i="1"/>
  <c r="AJ787" i="1" s="1"/>
  <c r="M2595" i="1"/>
  <c r="AJ2595" i="1" s="1"/>
  <c r="M2396" i="1"/>
  <c r="AJ2396" i="1" s="1"/>
  <c r="M1209" i="1"/>
  <c r="AJ1209" i="1" s="1"/>
  <c r="M620" i="1"/>
  <c r="AJ620" i="1" s="1"/>
  <c r="M295" i="1"/>
  <c r="AJ295" i="1" s="1"/>
  <c r="M114" i="1"/>
  <c r="AJ114" i="1" s="1"/>
  <c r="M1641" i="1"/>
  <c r="AJ1641" i="1" s="1"/>
  <c r="M745" i="1"/>
  <c r="AJ745" i="1" s="1"/>
  <c r="M1704" i="1"/>
  <c r="AJ1704" i="1" s="1"/>
  <c r="M711" i="1"/>
  <c r="AJ711" i="1" s="1"/>
  <c r="M1801" i="1"/>
  <c r="AJ1801" i="1" s="1"/>
  <c r="M548" i="1"/>
  <c r="AJ548" i="1" s="1"/>
  <c r="M278" i="1"/>
  <c r="AJ278" i="1" s="1"/>
  <c r="M2700" i="1"/>
  <c r="AJ2700" i="1" s="1"/>
  <c r="M1102" i="1"/>
  <c r="AJ1102" i="1" s="1"/>
  <c r="M1515" i="1"/>
  <c r="AJ1515" i="1" s="1"/>
  <c r="M583" i="1"/>
  <c r="AJ583" i="1" s="1"/>
  <c r="M2289" i="1"/>
  <c r="AJ2289" i="1" s="1"/>
  <c r="M2402" i="1"/>
  <c r="AJ2402" i="1" s="1"/>
  <c r="M120" i="1"/>
  <c r="AJ120" i="1" s="1"/>
  <c r="M2129" i="1"/>
  <c r="AJ2129" i="1" s="1"/>
  <c r="M1868" i="1"/>
  <c r="AJ1868" i="1" s="1"/>
  <c r="M2345" i="1"/>
  <c r="AJ2345" i="1" s="1"/>
  <c r="M2525" i="1"/>
  <c r="AJ2525" i="1" s="1"/>
  <c r="M1536" i="1"/>
  <c r="AJ1536" i="1" s="1"/>
  <c r="M202" i="1"/>
  <c r="AJ202" i="1" s="1"/>
  <c r="M106" i="1"/>
  <c r="AJ106" i="1" s="1"/>
  <c r="M661" i="1"/>
  <c r="AJ661" i="1" s="1"/>
  <c r="M2561" i="1"/>
  <c r="AJ2561" i="1" s="1"/>
  <c r="M1754" i="1"/>
  <c r="AJ1754" i="1" s="1"/>
  <c r="M889" i="1"/>
  <c r="AJ889" i="1" s="1"/>
  <c r="M1626" i="1"/>
  <c r="AJ1626" i="1" s="1"/>
  <c r="M342" i="1"/>
  <c r="AJ342" i="1" s="1"/>
  <c r="M510" i="1"/>
  <c r="AJ510" i="1" s="1"/>
  <c r="M600" i="1"/>
  <c r="AJ600" i="1" s="1"/>
  <c r="M2650" i="1"/>
  <c r="AJ2650" i="1" s="1"/>
  <c r="M1264" i="1"/>
  <c r="AJ1264" i="1" s="1"/>
  <c r="M140" i="1"/>
  <c r="AJ140" i="1" s="1"/>
  <c r="M684" i="1"/>
  <c r="AJ684" i="1" s="1"/>
  <c r="M1108" i="1"/>
  <c r="AJ1108" i="1" s="1"/>
  <c r="M1460" i="1"/>
  <c r="AJ1460" i="1" s="1"/>
  <c r="M408" i="1"/>
  <c r="AJ408" i="1" s="1"/>
  <c r="M2718" i="1"/>
  <c r="AJ2718" i="1" s="1"/>
  <c r="M1830" i="1"/>
  <c r="AJ1830" i="1" s="1"/>
  <c r="M2180" i="1"/>
  <c r="AJ2180" i="1" s="1"/>
  <c r="M1161" i="1"/>
  <c r="AJ1161" i="1" s="1"/>
  <c r="M1092" i="1"/>
  <c r="AJ1092" i="1" s="1"/>
  <c r="M1266" i="1"/>
  <c r="AJ1266" i="1" s="1"/>
  <c r="M864" i="1"/>
  <c r="AJ864" i="1" s="1"/>
  <c r="M703" i="1"/>
  <c r="AJ703" i="1" s="1"/>
  <c r="M2766" i="1"/>
  <c r="AJ2766" i="1" s="1"/>
  <c r="M655" i="1"/>
  <c r="AJ655" i="1" s="1"/>
  <c r="M1719" i="1"/>
  <c r="AJ1719" i="1" s="1"/>
  <c r="M2348" i="1"/>
  <c r="AJ2348" i="1" s="1"/>
  <c r="M425" i="1"/>
  <c r="AJ425" i="1" s="1"/>
  <c r="M1808" i="1"/>
  <c r="AJ1808" i="1" s="1"/>
  <c r="M2406" i="1"/>
  <c r="AJ2406" i="1" s="1"/>
  <c r="M1053" i="1"/>
  <c r="AJ1053" i="1" s="1"/>
  <c r="M2337" i="1"/>
  <c r="AJ2337" i="1" s="1"/>
  <c r="M2283" i="1"/>
  <c r="AJ2283" i="1" s="1"/>
  <c r="M1741" i="1"/>
  <c r="AJ1741" i="1" s="1"/>
  <c r="M2211" i="1"/>
  <c r="AJ2211" i="1" s="1"/>
  <c r="M1350" i="1"/>
  <c r="AJ1350" i="1" s="1"/>
  <c r="M1218" i="1"/>
  <c r="AJ1218" i="1" s="1"/>
  <c r="M1149" i="1"/>
  <c r="AJ1149" i="1" s="1"/>
  <c r="M1348" i="1"/>
  <c r="AJ1348" i="1" s="1"/>
  <c r="M146" i="1"/>
  <c r="AJ146" i="1" s="1"/>
  <c r="M2454" i="1"/>
  <c r="AJ2454" i="1" s="1"/>
  <c r="M1201" i="1"/>
  <c r="AJ1201" i="1" s="1"/>
  <c r="M566" i="1"/>
  <c r="AJ566" i="1" s="1"/>
  <c r="M1706" i="1"/>
  <c r="AJ1706" i="1" s="1"/>
  <c r="M739" i="1"/>
  <c r="AJ739" i="1" s="1"/>
  <c r="M2012" i="1"/>
  <c r="AJ2012" i="1" s="1"/>
  <c r="M312" i="1"/>
  <c r="AJ312" i="1" s="1"/>
  <c r="M1175" i="1"/>
  <c r="AJ1175" i="1" s="1"/>
  <c r="M2164" i="1"/>
  <c r="AJ2164" i="1" s="1"/>
  <c r="M239" i="1"/>
  <c r="AJ239" i="1" s="1"/>
  <c r="M2219" i="1"/>
  <c r="AJ2219" i="1" s="1"/>
  <c r="M1855" i="1"/>
  <c r="AJ1855" i="1" s="1"/>
  <c r="M1333" i="1"/>
  <c r="AJ1333" i="1" s="1"/>
  <c r="M1054" i="1"/>
  <c r="AJ1054" i="1" s="1"/>
  <c r="M446" i="1"/>
  <c r="AJ446" i="1" s="1"/>
  <c r="M1684" i="1"/>
  <c r="AJ1684" i="1" s="1"/>
  <c r="M483" i="1"/>
  <c r="AJ483" i="1" s="1"/>
  <c r="M1966" i="1"/>
  <c r="AJ1966" i="1" s="1"/>
  <c r="M1803" i="1"/>
  <c r="AJ1803" i="1" s="1"/>
  <c r="M2420" i="1"/>
  <c r="AJ2420" i="1" s="1"/>
  <c r="M37" i="1"/>
  <c r="AJ37" i="1" s="1"/>
  <c r="M1654" i="1"/>
  <c r="AJ1654" i="1" s="1"/>
  <c r="M1416" i="1"/>
  <c r="AJ1416" i="1" s="1"/>
  <c r="M1619" i="1"/>
  <c r="AJ1619" i="1" s="1"/>
  <c r="M887" i="1"/>
  <c r="AJ887" i="1" s="1"/>
  <c r="M734" i="1"/>
  <c r="AJ734" i="1" s="1"/>
  <c r="M685" i="1"/>
  <c r="AJ685" i="1" s="1"/>
  <c r="M747" i="1"/>
  <c r="AJ747" i="1" s="1"/>
  <c r="M1930" i="1"/>
  <c r="AJ1930" i="1" s="1"/>
  <c r="M2149" i="1"/>
  <c r="AJ2149" i="1" s="1"/>
  <c r="M741" i="1"/>
  <c r="AJ741" i="1" s="1"/>
  <c r="M1059" i="1"/>
  <c r="AJ1059" i="1" s="1"/>
  <c r="M1113" i="1"/>
  <c r="AJ1113" i="1" s="1"/>
  <c r="M599" i="1"/>
  <c r="AJ599" i="1" s="1"/>
  <c r="M1250" i="1"/>
  <c r="AJ1250" i="1" s="1"/>
  <c r="M1410" i="1"/>
  <c r="AJ1410" i="1" s="1"/>
  <c r="M1667" i="1"/>
  <c r="AJ1667" i="1" s="1"/>
  <c r="M1859" i="1"/>
  <c r="AJ1859" i="1" s="1"/>
  <c r="M1848" i="1"/>
  <c r="AJ1848" i="1" s="1"/>
  <c r="M2617" i="1"/>
  <c r="AJ2617" i="1" s="1"/>
  <c r="M1021" i="1"/>
  <c r="AJ1021" i="1" s="1"/>
  <c r="M2309" i="1"/>
  <c r="AJ2309" i="1" s="1"/>
  <c r="M166" i="1"/>
  <c r="AJ166" i="1" s="1"/>
  <c r="M995" i="1"/>
  <c r="AJ995" i="1" s="1"/>
  <c r="M1625" i="1"/>
  <c r="AJ1625" i="1" s="1"/>
  <c r="M2369" i="1"/>
  <c r="AJ2369" i="1" s="1"/>
  <c r="M922" i="1"/>
  <c r="AJ922" i="1" s="1"/>
  <c r="M1836" i="1"/>
  <c r="AJ1836" i="1" s="1"/>
  <c r="M2692" i="1"/>
  <c r="AJ2692" i="1" s="1"/>
  <c r="M1840" i="1"/>
  <c r="AJ1840" i="1" s="1"/>
  <c r="M2023" i="1"/>
  <c r="AJ2023" i="1" s="1"/>
  <c r="M2123" i="1"/>
  <c r="AJ2123" i="1" s="1"/>
  <c r="M2455" i="1"/>
  <c r="AJ2455" i="1" s="1"/>
  <c r="M1097" i="1"/>
  <c r="AJ1097" i="1" s="1"/>
  <c r="M2347" i="1"/>
  <c r="AJ2347" i="1" s="1"/>
  <c r="M2096" i="1"/>
  <c r="AJ2096" i="1" s="1"/>
  <c r="M765" i="1"/>
  <c r="AJ765" i="1" s="1"/>
  <c r="M1881" i="1"/>
  <c r="AJ1881" i="1" s="1"/>
  <c r="M959" i="1"/>
  <c r="AJ959" i="1" s="1"/>
  <c r="M1331" i="1"/>
  <c r="AJ1331" i="1" s="1"/>
  <c r="M515" i="1"/>
  <c r="AJ515" i="1" s="1"/>
  <c r="M791" i="1"/>
  <c r="AJ791" i="1" s="1"/>
  <c r="M2082" i="1"/>
  <c r="AJ2082" i="1" s="1"/>
  <c r="M858" i="1"/>
  <c r="AJ858" i="1" s="1"/>
  <c r="M751" i="1"/>
  <c r="AJ751" i="1" s="1"/>
  <c r="M2139" i="1"/>
  <c r="AJ2139" i="1" s="1"/>
  <c r="M2333" i="1"/>
  <c r="AJ2333" i="1" s="1"/>
  <c r="M598" i="1"/>
  <c r="AJ598" i="1" s="1"/>
  <c r="M2542" i="1"/>
  <c r="AJ2542" i="1" s="1"/>
  <c r="M2545" i="1"/>
  <c r="AJ2545" i="1" s="1"/>
  <c r="M513" i="1"/>
  <c r="AJ513" i="1" s="1"/>
  <c r="M1842" i="1"/>
  <c r="AJ1842" i="1" s="1"/>
  <c r="M2389" i="1"/>
  <c r="AJ2389" i="1" s="1"/>
  <c r="M1099" i="1"/>
  <c r="AJ1099" i="1" s="1"/>
  <c r="M2482" i="1"/>
  <c r="AJ2482" i="1" s="1"/>
  <c r="M639" i="1"/>
  <c r="AJ639" i="1" s="1"/>
  <c r="M2426" i="1"/>
  <c r="AJ2426" i="1" s="1"/>
  <c r="M2515" i="1"/>
  <c r="AJ2515" i="1" s="1"/>
  <c r="M377" i="1"/>
  <c r="AJ377" i="1" s="1"/>
  <c r="M2001" i="1"/>
  <c r="AJ2001" i="1" s="1"/>
  <c r="M1998" i="1"/>
  <c r="AJ1998" i="1" s="1"/>
  <c r="M1579" i="1"/>
  <c r="AJ1579" i="1" s="1"/>
  <c r="M1044" i="1"/>
  <c r="AJ1044" i="1" s="1"/>
  <c r="M1313" i="1"/>
  <c r="AJ1313" i="1" s="1"/>
  <c r="M154" i="1"/>
  <c r="AJ154" i="1" s="1"/>
  <c r="M428" i="1"/>
  <c r="AJ428" i="1" s="1"/>
  <c r="M1776" i="1"/>
  <c r="AJ1776" i="1" s="1"/>
  <c r="M1772" i="1"/>
  <c r="AJ1772" i="1" s="1"/>
  <c r="M2208" i="1"/>
  <c r="AJ2208" i="1" s="1"/>
  <c r="M1071" i="1"/>
  <c r="AJ1071" i="1" s="1"/>
  <c r="M975" i="1"/>
  <c r="AJ975" i="1" s="1"/>
  <c r="M2069" i="1"/>
  <c r="AJ2069" i="1" s="1"/>
  <c r="M980" i="1"/>
  <c r="AJ980" i="1" s="1"/>
  <c r="M500" i="1"/>
  <c r="AJ500" i="1" s="1"/>
  <c r="M1787" i="1"/>
  <c r="AJ1787" i="1" s="1"/>
  <c r="M950" i="1"/>
  <c r="AJ950" i="1" s="1"/>
  <c r="M642" i="1"/>
  <c r="AJ642" i="1" s="1"/>
  <c r="M2395" i="1"/>
  <c r="AJ2395" i="1" s="1"/>
  <c r="M2097" i="1"/>
  <c r="AJ2097" i="1" s="1"/>
  <c r="M130" i="1"/>
  <c r="AJ130" i="1" s="1"/>
  <c r="M1272" i="1"/>
  <c r="AJ1272" i="1" s="1"/>
  <c r="M502" i="1"/>
  <c r="AJ502" i="1" s="1"/>
  <c r="M1790" i="1"/>
  <c r="AJ1790" i="1" s="1"/>
  <c r="M1722" i="1"/>
  <c r="AJ1722" i="1" s="1"/>
  <c r="M1447" i="1"/>
  <c r="AJ1447" i="1" s="1"/>
  <c r="M1341" i="1"/>
  <c r="AJ1341" i="1" s="1"/>
  <c r="M1005" i="1"/>
  <c r="AJ1005" i="1" s="1"/>
  <c r="M2251" i="1"/>
  <c r="AJ2251" i="1" s="1"/>
  <c r="M2459" i="1"/>
  <c r="AJ2459" i="1" s="1"/>
  <c r="M2636" i="1"/>
  <c r="AJ2636" i="1" s="1"/>
  <c r="M1817" i="1"/>
  <c r="AJ1817" i="1" s="1"/>
  <c r="M1374" i="1"/>
  <c r="AJ1374" i="1" s="1"/>
  <c r="M2583" i="1"/>
  <c r="AJ2583" i="1" s="1"/>
  <c r="M1635" i="1"/>
  <c r="AJ1635" i="1" s="1"/>
  <c r="M1405" i="1"/>
  <c r="AJ1405" i="1" s="1"/>
  <c r="M2124" i="1"/>
  <c r="AJ2124" i="1" s="1"/>
  <c r="M2261" i="1"/>
  <c r="AJ2261" i="1" s="1"/>
  <c r="M1301" i="1"/>
  <c r="AJ1301" i="1" s="1"/>
  <c r="M1946" i="1"/>
  <c r="AJ1946" i="1" s="1"/>
  <c r="M1516" i="1"/>
  <c r="AJ1516" i="1" s="1"/>
  <c r="M677" i="1"/>
  <c r="AJ677" i="1" s="1"/>
  <c r="M453" i="1"/>
  <c r="AJ453" i="1" s="1"/>
  <c r="M790" i="1"/>
  <c r="AJ790" i="1" s="1"/>
  <c r="M2485" i="1"/>
  <c r="AJ2485" i="1" s="1"/>
  <c r="M2613" i="1"/>
  <c r="AJ2613" i="1" s="1"/>
  <c r="M1492" i="1"/>
  <c r="AJ1492" i="1" s="1"/>
  <c r="M485" i="1"/>
  <c r="AJ485" i="1" s="1"/>
  <c r="M1886" i="1"/>
  <c r="AJ1886" i="1" s="1"/>
  <c r="M2579" i="1"/>
  <c r="AJ2579" i="1" s="1"/>
  <c r="M2328" i="1"/>
  <c r="AJ2328" i="1" s="1"/>
  <c r="M1477" i="1"/>
  <c r="AJ1477" i="1" s="1"/>
  <c r="M1468" i="1"/>
  <c r="AJ1468" i="1" s="1"/>
  <c r="M2622" i="1"/>
  <c r="AJ2622" i="1" s="1"/>
  <c r="M2375" i="1"/>
  <c r="AJ2375" i="1" s="1"/>
  <c r="M1080" i="1"/>
  <c r="AJ1080" i="1" s="1"/>
  <c r="M996" i="1"/>
  <c r="AJ996" i="1" s="1"/>
  <c r="M1223" i="1"/>
  <c r="AJ1223" i="1" s="1"/>
  <c r="M2055" i="1"/>
  <c r="AJ2055" i="1" s="1"/>
  <c r="M847" i="1"/>
  <c r="AJ847" i="1" s="1"/>
  <c r="M498" i="1"/>
  <c r="AJ498" i="1" s="1"/>
  <c r="M895" i="1"/>
  <c r="AJ895" i="1" s="1"/>
  <c r="M2607" i="1"/>
  <c r="AJ2607" i="1" s="1"/>
  <c r="M1844" i="1"/>
  <c r="AJ1844" i="1" s="1"/>
  <c r="M2269" i="1"/>
  <c r="AJ2269" i="1" s="1"/>
  <c r="M793" i="1"/>
  <c r="AJ793" i="1" s="1"/>
  <c r="M901" i="1"/>
  <c r="AJ901" i="1" s="1"/>
  <c r="M593" i="1"/>
  <c r="AJ593" i="1" s="1"/>
  <c r="M1990" i="1"/>
  <c r="AJ1990" i="1" s="1"/>
  <c r="M1002" i="1"/>
  <c r="AJ1002" i="1" s="1"/>
  <c r="M1558" i="1"/>
  <c r="AJ1558" i="1" s="1"/>
  <c r="M2716" i="1"/>
  <c r="AJ2716" i="1" s="1"/>
  <c r="M2019" i="1"/>
  <c r="AJ2019" i="1" s="1"/>
  <c r="M2431" i="1"/>
  <c r="AJ2431" i="1" s="1"/>
  <c r="M1714" i="1"/>
  <c r="AJ1714" i="1" s="1"/>
  <c r="M57" i="1"/>
  <c r="AJ57" i="1" s="1"/>
  <c r="M2729" i="1"/>
  <c r="AJ2729" i="1" s="1"/>
  <c r="M2699" i="1"/>
  <c r="AJ2699" i="1" s="1"/>
  <c r="M866" i="1"/>
  <c r="AJ866" i="1" s="1"/>
  <c r="M1491" i="1"/>
  <c r="AJ1491" i="1" s="1"/>
  <c r="M2146" i="1"/>
  <c r="AJ2146" i="1" s="1"/>
  <c r="M618" i="1"/>
  <c r="AJ618" i="1" s="1"/>
  <c r="M1095" i="1"/>
  <c r="AJ1095" i="1" s="1"/>
  <c r="M115" i="1"/>
  <c r="AJ115" i="1" s="1"/>
  <c r="M1330" i="1"/>
  <c r="AJ1330" i="1" s="1"/>
  <c r="M1316" i="1"/>
  <c r="AJ1316" i="1" s="1"/>
  <c r="M746" i="1"/>
  <c r="AJ746" i="1" s="1"/>
  <c r="M1030" i="1"/>
  <c r="AJ1030" i="1" s="1"/>
  <c r="M1571" i="1"/>
  <c r="AJ1571" i="1" s="1"/>
  <c r="M2021" i="1"/>
  <c r="AJ2021" i="1" s="1"/>
  <c r="M1553" i="1"/>
  <c r="AJ1553" i="1" s="1"/>
  <c r="M102" i="1"/>
  <c r="AJ102" i="1" s="1"/>
  <c r="M564" i="1"/>
  <c r="AJ564" i="1" s="1"/>
  <c r="M482" i="1"/>
  <c r="AJ482" i="1" s="1"/>
  <c r="M86" i="1"/>
  <c r="AJ86" i="1" s="1"/>
  <c r="M29" i="1"/>
  <c r="AJ29" i="1" s="1"/>
  <c r="M2768" i="1"/>
  <c r="AJ2768" i="1" s="1"/>
  <c r="M1688" i="1"/>
  <c r="AJ1688" i="1" s="1"/>
  <c r="M610" i="1"/>
  <c r="AJ610" i="1" s="1"/>
  <c r="M2373" i="1"/>
  <c r="AJ2373" i="1" s="1"/>
  <c r="M1037" i="1"/>
  <c r="AJ1037" i="1" s="1"/>
  <c r="M2228" i="1"/>
  <c r="AJ2228" i="1" s="1"/>
  <c r="M1530" i="1"/>
  <c r="AJ1530" i="1" s="1"/>
  <c r="M971" i="1"/>
  <c r="AJ971" i="1" s="1"/>
  <c r="M59" i="1"/>
  <c r="AJ59" i="1" s="1"/>
  <c r="M2034" i="1"/>
  <c r="AJ2034" i="1" s="1"/>
  <c r="M1761" i="1"/>
  <c r="AJ1761" i="1" s="1"/>
  <c r="M1555" i="1"/>
  <c r="AJ1555" i="1" s="1"/>
  <c r="M216" i="1"/>
  <c r="AJ216" i="1" s="1"/>
  <c r="M924" i="1"/>
  <c r="AJ924" i="1" s="1"/>
  <c r="M1630" i="1"/>
  <c r="AJ1630" i="1" s="1"/>
  <c r="M702" i="1"/>
  <c r="AJ702" i="1" s="1"/>
  <c r="M1594" i="1"/>
  <c r="AJ1594" i="1" s="1"/>
  <c r="M773" i="1"/>
  <c r="AJ773" i="1" s="1"/>
  <c r="M2468" i="1"/>
  <c r="AJ2468" i="1" s="1"/>
  <c r="M2597" i="1"/>
  <c r="AJ2597" i="1" s="1"/>
  <c r="M771" i="1"/>
  <c r="AJ771" i="1" s="1"/>
  <c r="M547" i="1"/>
  <c r="AJ547" i="1" s="1"/>
  <c r="M1386" i="1"/>
  <c r="AJ1386" i="1" s="1"/>
  <c r="M2274" i="1"/>
  <c r="AJ2274" i="1" s="1"/>
  <c r="M2504" i="1"/>
  <c r="AJ2504" i="1" s="1"/>
  <c r="M1549" i="1"/>
  <c r="AJ1549" i="1" s="1"/>
  <c r="M517" i="1"/>
  <c r="AJ517" i="1" s="1"/>
  <c r="M398" i="1"/>
  <c r="AJ398" i="1" s="1"/>
  <c r="M2596" i="1"/>
  <c r="AJ2596" i="1" s="1"/>
  <c r="M2077" i="1"/>
  <c r="AJ2077" i="1" s="1"/>
  <c r="M2239" i="1"/>
  <c r="AJ2239" i="1" s="1"/>
  <c r="M2722" i="1"/>
  <c r="AJ2722" i="1" s="1"/>
  <c r="M2362" i="1"/>
  <c r="AJ2362" i="1" s="1"/>
  <c r="M1767" i="1"/>
  <c r="AJ1767" i="1" s="1"/>
  <c r="M2774" i="1"/>
  <c r="AJ2774" i="1" s="1"/>
  <c r="M560" i="1"/>
  <c r="AJ560" i="1" s="1"/>
  <c r="M1087" i="1"/>
  <c r="AJ1087" i="1" s="1"/>
  <c r="M1399" i="1"/>
  <c r="AJ1399" i="1" s="1"/>
  <c r="M1063" i="1"/>
  <c r="AJ1063" i="1" s="1"/>
  <c r="M105" i="1"/>
  <c r="AJ105" i="1" s="1"/>
  <c r="M2404" i="1"/>
  <c r="AJ2404" i="1" s="1"/>
  <c r="M2709" i="1"/>
  <c r="AJ2709" i="1" s="1"/>
  <c r="M1417" i="1"/>
  <c r="AJ1417" i="1" s="1"/>
  <c r="M2639" i="1"/>
  <c r="AJ2639" i="1" s="1"/>
  <c r="M220" i="1"/>
  <c r="AJ220" i="1" s="1"/>
  <c r="M491" i="1"/>
  <c r="AJ491" i="1" s="1"/>
  <c r="M540" i="1"/>
  <c r="AJ540" i="1" s="1"/>
  <c r="M2325" i="1"/>
  <c r="AJ2325" i="1" s="1"/>
  <c r="M1006" i="1"/>
  <c r="AJ1006" i="1" s="1"/>
  <c r="M104" i="1"/>
  <c r="AJ104" i="1" s="1"/>
  <c r="M2719" i="1"/>
  <c r="AJ2719" i="1" s="1"/>
  <c r="M263" i="1"/>
  <c r="AJ263" i="1" s="1"/>
  <c r="M2303" i="1"/>
  <c r="AJ2303" i="1" s="1"/>
  <c r="M143" i="1"/>
  <c r="AJ143" i="1" s="1"/>
  <c r="M1085" i="1"/>
  <c r="AJ1085" i="1" s="1"/>
  <c r="M2514" i="1"/>
  <c r="AJ2514" i="1" s="1"/>
  <c r="M1200" i="1"/>
  <c r="AJ1200" i="1" s="1"/>
  <c r="M421" i="1"/>
  <c r="AJ421" i="1" s="1"/>
  <c r="M341" i="1"/>
  <c r="AJ341" i="1" s="1"/>
  <c r="M319" i="1"/>
  <c r="AJ319" i="1" s="1"/>
  <c r="M652" i="1"/>
  <c r="AJ652" i="1" s="1"/>
  <c r="M1869" i="1"/>
  <c r="AJ1869" i="1" s="1"/>
  <c r="M1431" i="1"/>
  <c r="AJ1431" i="1" s="1"/>
  <c r="M1411" i="1"/>
  <c r="AJ1411" i="1" s="1"/>
  <c r="M948" i="1"/>
  <c r="AJ948" i="1" s="1"/>
  <c r="M831" i="1"/>
  <c r="AJ831" i="1" s="1"/>
  <c r="M1074" i="1"/>
  <c r="AJ1074" i="1" s="1"/>
  <c r="M1048" i="1"/>
  <c r="AJ1048" i="1" s="1"/>
  <c r="M1474" i="1"/>
  <c r="AJ1474" i="1" s="1"/>
  <c r="M899" i="1"/>
  <c r="AJ899" i="1" s="1"/>
  <c r="M181" i="1"/>
  <c r="AJ181" i="1" s="1"/>
  <c r="M1334" i="1"/>
  <c r="AJ1334" i="1" s="1"/>
  <c r="M2661" i="1"/>
  <c r="AJ2661" i="1" s="1"/>
  <c r="M344" i="1"/>
  <c r="AJ344" i="1" s="1"/>
  <c r="M919" i="1"/>
  <c r="AJ919" i="1" s="1"/>
  <c r="M1987" i="1"/>
  <c r="AJ1987" i="1" s="1"/>
  <c r="M2444" i="1"/>
  <c r="AJ2444" i="1" s="1"/>
  <c r="M2450" i="1"/>
  <c r="AJ2450" i="1" s="1"/>
  <c r="M464" i="1"/>
  <c r="AJ464" i="1" s="1"/>
  <c r="M1511" i="1"/>
  <c r="AJ1511" i="1" s="1"/>
  <c r="M2132" i="1"/>
  <c r="AJ2132" i="1" s="1"/>
  <c r="M2134" i="1"/>
  <c r="AJ2134" i="1" s="1"/>
  <c r="M1110" i="1"/>
  <c r="AJ1110" i="1" s="1"/>
  <c r="M705" i="1"/>
  <c r="AJ705" i="1" s="1"/>
  <c r="M2244" i="1"/>
  <c r="AJ2244" i="1" s="1"/>
  <c r="M2551" i="1"/>
  <c r="AJ2551" i="1" s="1"/>
  <c r="M412" i="1"/>
  <c r="AJ412" i="1" s="1"/>
  <c r="M698" i="1"/>
  <c r="AJ698" i="1" s="1"/>
  <c r="M244" i="1"/>
  <c r="AJ244" i="1" s="1"/>
  <c r="M1827" i="1"/>
  <c r="AJ1827" i="1" s="1"/>
  <c r="M285" i="1"/>
  <c r="AJ285" i="1" s="1"/>
  <c r="M1752" i="1"/>
  <c r="AJ1752" i="1" s="1"/>
  <c r="M487" i="1"/>
  <c r="AJ487" i="1" s="1"/>
  <c r="M2296" i="1"/>
  <c r="AJ2296" i="1" s="1"/>
  <c r="M2318" i="1"/>
  <c r="AJ2318" i="1" s="1"/>
  <c r="M426" i="1"/>
  <c r="AJ426" i="1" s="1"/>
  <c r="M107" i="1"/>
  <c r="AJ107" i="1" s="1"/>
  <c r="M2495" i="1"/>
  <c r="AJ2495" i="1" s="1"/>
  <c r="M1765" i="1"/>
  <c r="AJ1765" i="1" s="1"/>
  <c r="M1098" i="1"/>
  <c r="AJ1098" i="1" s="1"/>
  <c r="M1796" i="1"/>
  <c r="AJ1796" i="1" s="1"/>
  <c r="M2205" i="1"/>
  <c r="AJ2205" i="1" s="1"/>
  <c r="M570" i="1"/>
  <c r="AJ570" i="1" s="1"/>
  <c r="M1760" i="1"/>
  <c r="AJ1760" i="1" s="1"/>
  <c r="M769" i="1"/>
  <c r="AJ769" i="1" s="1"/>
  <c r="M1528" i="1"/>
  <c r="AJ1528" i="1" s="1"/>
  <c r="M504" i="1"/>
  <c r="AJ504" i="1" s="1"/>
  <c r="M956" i="1"/>
  <c r="AJ956" i="1" s="1"/>
  <c r="M1464" i="1"/>
  <c r="AJ1464" i="1" s="1"/>
  <c r="M1389" i="1"/>
  <c r="AJ1389" i="1" s="1"/>
  <c r="M2673" i="1"/>
  <c r="AJ2673" i="1" s="1"/>
  <c r="M2671" i="1"/>
  <c r="AJ2671" i="1" s="1"/>
  <c r="M1697" i="1"/>
  <c r="AJ1697" i="1" s="1"/>
  <c r="M1245" i="1"/>
  <c r="AJ1245" i="1" s="1"/>
  <c r="M845" i="1"/>
  <c r="AJ845" i="1" s="1"/>
  <c r="M2085" i="1"/>
  <c r="AJ2085" i="1" s="1"/>
  <c r="M1681" i="1"/>
  <c r="AJ1681" i="1" s="1"/>
  <c r="M2059" i="1"/>
  <c r="AJ2059" i="1" s="1"/>
  <c r="M30" i="1"/>
  <c r="AJ30" i="1" s="1"/>
  <c r="M1804" i="1"/>
  <c r="AJ1804" i="1" s="1"/>
  <c r="M1837" i="1"/>
  <c r="AJ1837" i="1" s="1"/>
  <c r="M1371" i="1"/>
  <c r="AJ1371" i="1" s="1"/>
  <c r="M1902" i="1"/>
  <c r="AJ1902" i="1" s="1"/>
  <c r="M1488" i="1"/>
  <c r="AJ1488" i="1" s="1"/>
  <c r="M951" i="1"/>
  <c r="AJ951" i="1" s="1"/>
  <c r="M2114" i="1"/>
  <c r="AJ2114" i="1" s="1"/>
  <c r="M2641" i="1"/>
  <c r="AJ2641" i="1" s="1"/>
  <c r="M1453" i="1"/>
  <c r="AJ1453" i="1" s="1"/>
  <c r="M945" i="1"/>
  <c r="AJ945" i="1" s="1"/>
  <c r="M165" i="1"/>
  <c r="AJ165" i="1" s="1"/>
  <c r="M2553" i="1"/>
  <c r="AJ2553" i="1" s="1"/>
  <c r="M1513" i="1"/>
  <c r="AJ1513" i="1" s="1"/>
  <c r="M631" i="1"/>
  <c r="AJ631" i="1" s="1"/>
  <c r="M1763" i="1"/>
  <c r="AJ1763" i="1" s="1"/>
  <c r="M1148" i="1"/>
  <c r="AJ1148" i="1" s="1"/>
  <c r="M119" i="1"/>
  <c r="AJ119" i="1" s="1"/>
  <c r="M2590" i="1"/>
  <c r="AJ2590" i="1" s="1"/>
  <c r="M296" i="1"/>
  <c r="AJ296" i="1" s="1"/>
  <c r="M1445" i="1"/>
  <c r="AJ1445" i="1" s="1"/>
  <c r="M2295" i="1"/>
  <c r="AJ2295" i="1" s="1"/>
  <c r="M885" i="1"/>
  <c r="AJ885" i="1" s="1"/>
  <c r="M345" i="1"/>
  <c r="AJ345" i="1" s="1"/>
  <c r="M726" i="1"/>
  <c r="AJ726" i="1" s="1"/>
  <c r="M2049" i="1"/>
  <c r="AJ2049" i="1" s="1"/>
  <c r="M1708" i="1"/>
  <c r="AJ1708" i="1" s="1"/>
  <c r="M2187" i="1"/>
  <c r="AJ2187" i="1" s="1"/>
  <c r="M678" i="1"/>
  <c r="AJ678" i="1" s="1"/>
  <c r="M1467" i="1"/>
  <c r="AJ1467" i="1" s="1"/>
  <c r="M161" i="1"/>
  <c r="AJ161" i="1" s="1"/>
  <c r="M1475" i="1"/>
  <c r="AJ1475" i="1" s="1"/>
  <c r="M883" i="1"/>
  <c r="AJ883" i="1" s="1"/>
  <c r="M489" i="1"/>
  <c r="AJ489" i="1" s="1"/>
  <c r="M756" i="1"/>
  <c r="AJ756" i="1" s="1"/>
  <c r="M1159" i="1"/>
  <c r="AJ1159" i="1" s="1"/>
  <c r="M304" i="1"/>
  <c r="AJ304" i="1" s="1"/>
  <c r="M700" i="1"/>
  <c r="AJ700" i="1" s="1"/>
  <c r="M1224" i="1"/>
  <c r="AJ1224" i="1" s="1"/>
  <c r="M957" i="1"/>
  <c r="AJ957" i="1" s="1"/>
  <c r="M362" i="1"/>
  <c r="AJ362" i="1" s="1"/>
  <c r="M2580" i="1"/>
  <c r="AJ2580" i="1" s="1"/>
  <c r="M2225" i="1"/>
  <c r="AJ2225" i="1" s="1"/>
  <c r="M2196" i="1"/>
  <c r="AJ2196" i="1" s="1"/>
  <c r="M2644" i="1"/>
  <c r="AJ2644" i="1" s="1"/>
  <c r="M934" i="1"/>
  <c r="AJ934" i="1" s="1"/>
  <c r="M1432" i="1"/>
  <c r="AJ1432" i="1" s="1"/>
  <c r="M1426" i="1"/>
  <c r="AJ1426" i="1" s="1"/>
  <c r="M810" i="1"/>
  <c r="AJ810" i="1" s="1"/>
  <c r="M2611" i="1"/>
  <c r="AJ2611" i="1" s="1"/>
  <c r="M2324" i="1"/>
  <c r="AJ2324" i="1" s="1"/>
  <c r="M900" i="1"/>
  <c r="AJ900" i="1" s="1"/>
  <c r="M533" i="1"/>
  <c r="AJ533" i="1" s="1"/>
  <c r="M873" i="1"/>
  <c r="AJ873" i="1" s="1"/>
  <c r="M261" i="1"/>
  <c r="AJ261" i="1" s="1"/>
  <c r="M2178" i="1"/>
  <c r="AJ2178" i="1" s="1"/>
  <c r="M2665" i="1"/>
  <c r="AJ2665" i="1" s="1"/>
  <c r="M1833" i="1"/>
  <c r="AJ1833" i="1" s="1"/>
  <c r="M1563" i="1"/>
  <c r="AJ1563" i="1" s="1"/>
  <c r="M1905" i="1"/>
  <c r="AJ1905" i="1" s="1"/>
  <c r="M1969" i="1"/>
  <c r="AJ1969" i="1" s="1"/>
  <c r="M19" i="1"/>
  <c r="AJ19" i="1" s="1"/>
  <c r="M2155" i="1"/>
  <c r="AJ2155" i="1" s="1"/>
  <c r="M349" i="1"/>
  <c r="AJ349" i="1" s="1"/>
  <c r="M2282" i="1"/>
  <c r="AJ2282" i="1" s="1"/>
  <c r="M1738" i="1"/>
  <c r="AJ1738" i="1" s="1"/>
  <c r="M2238" i="1"/>
  <c r="AJ2238" i="1" s="1"/>
  <c r="M585" i="1"/>
  <c r="AJ585" i="1" s="1"/>
  <c r="M1825" i="1"/>
  <c r="AJ1825" i="1" s="1"/>
  <c r="M692" i="1"/>
  <c r="AJ692" i="1" s="1"/>
  <c r="M1458" i="1"/>
  <c r="AJ1458" i="1" s="1"/>
  <c r="M2390" i="1"/>
  <c r="AJ2390" i="1" s="1"/>
  <c r="M2172" i="1"/>
  <c r="AJ2172" i="1" s="1"/>
  <c r="M1106" i="1"/>
  <c r="AJ1106" i="1" s="1"/>
  <c r="M556" i="1"/>
  <c r="AJ556" i="1" s="1"/>
  <c r="M1711" i="1"/>
  <c r="AJ1711" i="1" s="1"/>
  <c r="M2434" i="1"/>
  <c r="AJ2434" i="1" s="1"/>
  <c r="M1531" i="1"/>
  <c r="AJ1531" i="1" s="1"/>
  <c r="M1547" i="1"/>
  <c r="AJ1547" i="1" s="1"/>
  <c r="M1798" i="1"/>
  <c r="AJ1798" i="1" s="1"/>
  <c r="M353" i="1"/>
  <c r="AJ353" i="1" s="1"/>
  <c r="M1227" i="1"/>
  <c r="AJ1227" i="1" s="1"/>
  <c r="M1256" i="1"/>
  <c r="AJ1256" i="1" s="1"/>
  <c r="M1155" i="1"/>
  <c r="AJ1155" i="1" s="1"/>
  <c r="M779" i="1"/>
  <c r="AJ779" i="1" s="1"/>
  <c r="M1751" i="1"/>
  <c r="AJ1751" i="1" s="1"/>
  <c r="M1917" i="1"/>
  <c r="AJ1917" i="1" s="1"/>
  <c r="M978" i="1"/>
  <c r="AJ978" i="1" s="1"/>
  <c r="M1065" i="1"/>
  <c r="AJ1065" i="1" s="1"/>
  <c r="M1846" i="1"/>
  <c r="AJ1846" i="1" s="1"/>
  <c r="M1346" i="1"/>
  <c r="AJ1346" i="1" s="1"/>
  <c r="M1196" i="1"/>
  <c r="AJ1196" i="1" s="1"/>
  <c r="M1213" i="1"/>
  <c r="AJ1213" i="1" s="1"/>
  <c r="M2232" i="1"/>
  <c r="AJ2232" i="1" s="1"/>
  <c r="M532" i="1"/>
  <c r="AJ532" i="1" s="1"/>
  <c r="M1687" i="1"/>
  <c r="AJ1687" i="1" s="1"/>
  <c r="M2558" i="1"/>
  <c r="AJ2558" i="1" s="1"/>
  <c r="M128" i="1"/>
  <c r="AJ128" i="1" s="1"/>
  <c r="M874" i="1"/>
  <c r="AJ874" i="1" s="1"/>
  <c r="M49" i="1"/>
  <c r="AJ49" i="1" s="1"/>
  <c r="M354" i="1"/>
  <c r="AJ354" i="1" s="1"/>
  <c r="M92" i="1"/>
  <c r="AJ92" i="1" s="1"/>
  <c r="M854" i="1"/>
  <c r="AJ854" i="1" s="1"/>
  <c r="M2351" i="1"/>
  <c r="AJ2351" i="1" s="1"/>
  <c r="M2206" i="1"/>
  <c r="AJ2206" i="1" s="1"/>
  <c r="M1107" i="1"/>
  <c r="AJ1107" i="1" s="1"/>
  <c r="M126" i="1"/>
  <c r="AJ126" i="1" s="1"/>
  <c r="M1181" i="1"/>
  <c r="AJ1181" i="1" s="1"/>
  <c r="M1768" i="1"/>
  <c r="AJ1768" i="1" s="1"/>
  <c r="M162" i="1"/>
  <c r="AJ162" i="1" s="1"/>
  <c r="M477" i="1"/>
  <c r="AJ477" i="1" s="1"/>
  <c r="M1779" i="1"/>
  <c r="AJ1779" i="1" s="1"/>
  <c r="M1695" i="1"/>
  <c r="AJ1695" i="1" s="1"/>
  <c r="M1514" i="1"/>
  <c r="AJ1514" i="1" s="1"/>
  <c r="M2746" i="1"/>
  <c r="AJ2746" i="1" s="1"/>
  <c r="M1670" i="1"/>
  <c r="AJ1670" i="1" s="1"/>
  <c r="M2472" i="1"/>
  <c r="AJ2472" i="1" s="1"/>
  <c r="M372" i="1"/>
  <c r="AJ372" i="1" s="1"/>
  <c r="M2477" i="1"/>
  <c r="AJ2477" i="1" s="1"/>
  <c r="M2199" i="1"/>
  <c r="AJ2199" i="1" s="1"/>
  <c r="M170" i="1"/>
  <c r="AJ170" i="1" s="1"/>
  <c r="M414" i="1"/>
  <c r="AJ414" i="1" s="1"/>
  <c r="M1575" i="1"/>
  <c r="AJ1575" i="1" s="1"/>
  <c r="M2323" i="1"/>
  <c r="AJ2323" i="1" s="1"/>
  <c r="M2235" i="1"/>
  <c r="AJ2235" i="1" s="1"/>
  <c r="M1746" i="1"/>
  <c r="AJ1746" i="1" s="1"/>
  <c r="M923" i="1"/>
  <c r="AJ923" i="1" s="1"/>
  <c r="M944" i="1"/>
  <c r="AJ944" i="1" s="1"/>
  <c r="M2728" i="1"/>
  <c r="AJ2728" i="1" s="1"/>
  <c r="M755" i="1"/>
  <c r="AJ755" i="1" s="1"/>
  <c r="M10" i="1"/>
  <c r="AJ10" i="1" s="1"/>
  <c r="M558" i="1"/>
  <c r="AJ558" i="1" s="1"/>
  <c r="M1934" i="1"/>
  <c r="AJ1934" i="1" s="1"/>
  <c r="M348" i="1"/>
  <c r="AJ348" i="1" s="1"/>
  <c r="M1064" i="1"/>
  <c r="AJ1064" i="1" s="1"/>
  <c r="M1024" i="1"/>
  <c r="AJ1024" i="1" s="1"/>
  <c r="M1457" i="1"/>
  <c r="AJ1457" i="1" s="1"/>
  <c r="M518" i="1"/>
  <c r="AJ518" i="1" s="1"/>
  <c r="M940" i="1"/>
  <c r="AJ940" i="1" s="1"/>
  <c r="M262" i="1"/>
  <c r="AJ262" i="1" s="1"/>
  <c r="M2612" i="1"/>
  <c r="AJ2612" i="1" s="1"/>
  <c r="M1067" i="1"/>
  <c r="AJ1067" i="1" s="1"/>
  <c r="M1326" i="1"/>
  <c r="AJ1326" i="1" s="1"/>
  <c r="M1542" i="1"/>
  <c r="AJ1542" i="1" s="1"/>
  <c r="M1556" i="1"/>
  <c r="AJ1556" i="1" s="1"/>
  <c r="M2075" i="1"/>
  <c r="AJ2075" i="1" s="1"/>
  <c r="M2397" i="1"/>
  <c r="AJ2397" i="1" s="1"/>
  <c r="M1217" i="1"/>
  <c r="AJ1217" i="1" s="1"/>
  <c r="M1898" i="1"/>
  <c r="AJ1898" i="1" s="1"/>
  <c r="M1731" i="1"/>
  <c r="AJ1731" i="1" s="1"/>
  <c r="M1090" i="1"/>
  <c r="AJ1090" i="1" s="1"/>
  <c r="M987" i="1"/>
  <c r="AJ987" i="1" s="1"/>
  <c r="M2437" i="1"/>
  <c r="AJ2437" i="1" s="1"/>
  <c r="M926" i="1"/>
  <c r="AJ926" i="1" s="1"/>
  <c r="M313" i="1"/>
  <c r="AJ313" i="1" s="1"/>
  <c r="M401" i="1"/>
  <c r="AJ401" i="1" s="1"/>
  <c r="M634" i="1"/>
  <c r="AJ634" i="1" s="1"/>
  <c r="M150" i="1"/>
  <c r="AJ150" i="1" s="1"/>
  <c r="M512" i="1"/>
  <c r="AJ512" i="1" s="1"/>
  <c r="M1717" i="1"/>
  <c r="AJ1717" i="1" s="1"/>
  <c r="M1919" i="1"/>
  <c r="AJ1919" i="1" s="1"/>
  <c r="M1939" i="1"/>
  <c r="AJ1939" i="1" s="1"/>
  <c r="M2403" i="1"/>
  <c r="AJ2403" i="1" s="1"/>
  <c r="M1578" i="1"/>
  <c r="AJ1578" i="1" s="1"/>
  <c r="M493" i="1"/>
  <c r="AJ493" i="1" s="1"/>
  <c r="M602" i="1"/>
  <c r="AJ602" i="1" s="1"/>
  <c r="M920" i="1"/>
  <c r="AJ920" i="1" s="1"/>
  <c r="M1169" i="1"/>
  <c r="AJ1169" i="1" s="1"/>
  <c r="M1668" i="1"/>
  <c r="AJ1668" i="1" s="1"/>
  <c r="M465" i="1"/>
  <c r="AJ465" i="1" s="1"/>
  <c r="M1088" i="1"/>
  <c r="AJ1088" i="1" s="1"/>
  <c r="M2676" i="1"/>
  <c r="AJ2676" i="1" s="1"/>
  <c r="M2247" i="1"/>
  <c r="AJ2247" i="1" s="1"/>
  <c r="M2275" i="1"/>
  <c r="AJ2275" i="1" s="1"/>
  <c r="M2017" i="1"/>
  <c r="AJ2017" i="1" s="1"/>
  <c r="M946" i="1"/>
  <c r="AJ946" i="1" s="1"/>
  <c r="M291" i="1"/>
  <c r="AJ291" i="1" s="1"/>
  <c r="M1471" i="1"/>
  <c r="AJ1471" i="1" s="1"/>
  <c r="M89" i="1"/>
  <c r="AJ89" i="1" s="1"/>
  <c r="M543" i="1"/>
  <c r="AJ543" i="1" s="1"/>
  <c r="M2153" i="1"/>
  <c r="AJ2153" i="1" s="1"/>
  <c r="M2163" i="1"/>
  <c r="AJ2163" i="1" s="1"/>
  <c r="M1812" i="1"/>
  <c r="AJ1812" i="1" s="1"/>
  <c r="M495" i="1"/>
  <c r="AJ495" i="1" s="1"/>
  <c r="M2664" i="1"/>
  <c r="AJ2664" i="1" s="1"/>
  <c r="M1973" i="1"/>
  <c r="AJ1973" i="1" s="1"/>
  <c r="M2513" i="1"/>
  <c r="AJ2513" i="1" s="1"/>
  <c r="M434" i="1"/>
  <c r="AJ434" i="1" s="1"/>
  <c r="M1737" i="1"/>
  <c r="AJ1737" i="1" s="1"/>
  <c r="M1642" i="1"/>
  <c r="AJ1642" i="1" s="1"/>
  <c r="M2578" i="1"/>
  <c r="AJ2578" i="1" s="1"/>
  <c r="M519" i="1"/>
  <c r="AJ519" i="1" s="1"/>
  <c r="M407" i="1"/>
  <c r="AJ407" i="1" s="1"/>
  <c r="M654" i="1"/>
  <c r="AJ654" i="1" s="1"/>
  <c r="M2629" i="1"/>
  <c r="AJ2629" i="1" s="1"/>
  <c r="M1406" i="1"/>
  <c r="AJ1406" i="1" s="1"/>
  <c r="M863" i="1"/>
  <c r="AJ863" i="1" s="1"/>
  <c r="M961" i="1"/>
  <c r="AJ961" i="1" s="1"/>
  <c r="M1564" i="1"/>
  <c r="AJ1564" i="1" s="1"/>
  <c r="M1347" i="1"/>
  <c r="AJ1347" i="1" s="1"/>
  <c r="M557" i="1"/>
  <c r="AJ557" i="1" s="1"/>
  <c r="M497" i="1"/>
  <c r="AJ497" i="1" s="1"/>
  <c r="M659" i="1"/>
  <c r="AJ659" i="1" s="1"/>
  <c r="M2116" i="1"/>
  <c r="AJ2116" i="1" s="1"/>
  <c r="M1903" i="1"/>
  <c r="AJ1903" i="1" s="1"/>
  <c r="M2144" i="1"/>
  <c r="AJ2144" i="1" s="1"/>
  <c r="M2555" i="1"/>
  <c r="AJ2555" i="1" s="1"/>
  <c r="M2669" i="1"/>
  <c r="AJ2669" i="1" s="1"/>
  <c r="M542" i="1"/>
  <c r="AJ542" i="1" s="1"/>
  <c r="M811" i="1"/>
  <c r="AJ811" i="1" s="1"/>
  <c r="M1656" i="1"/>
  <c r="AJ1656" i="1" s="1"/>
  <c r="M381" i="1"/>
  <c r="AJ381" i="1" s="1"/>
  <c r="M2628" i="1"/>
  <c r="AJ2628" i="1" s="1"/>
  <c r="M289" i="1"/>
  <c r="AJ289" i="1" s="1"/>
  <c r="M1104" i="1"/>
  <c r="AJ1104" i="1" s="1"/>
  <c r="M1529" i="1"/>
  <c r="AJ1529" i="1" s="1"/>
  <c r="M1599" i="1"/>
  <c r="AJ1599" i="1" s="1"/>
  <c r="M494" i="1"/>
  <c r="AJ494" i="1" s="1"/>
  <c r="M801" i="1"/>
  <c r="AJ801" i="1" s="1"/>
  <c r="M479" i="1"/>
  <c r="AJ479" i="1" s="1"/>
  <c r="M302" i="1"/>
  <c r="AJ302" i="1" s="1"/>
  <c r="M332" i="1"/>
  <c r="AJ332" i="1" s="1"/>
  <c r="M1014" i="1"/>
  <c r="AJ1014" i="1" s="1"/>
  <c r="M1628" i="1"/>
  <c r="AJ1628" i="1" s="1"/>
  <c r="M2265" i="1"/>
  <c r="AJ2265" i="1" s="1"/>
  <c r="M1743" i="1"/>
  <c r="AJ1743" i="1" s="1"/>
  <c r="M1418" i="1"/>
  <c r="AJ1418" i="1" s="1"/>
  <c r="M315" i="1"/>
  <c r="AJ315" i="1" s="1"/>
  <c r="M1146" i="1"/>
  <c r="AJ1146" i="1" s="1"/>
  <c r="M463" i="1"/>
  <c r="AJ463" i="1" s="1"/>
  <c r="M1176" i="1"/>
  <c r="AJ1176" i="1" s="1"/>
  <c r="M2458" i="1"/>
  <c r="AJ2458" i="1" s="1"/>
  <c r="M1959" i="1"/>
  <c r="AJ1959" i="1" s="1"/>
  <c r="M1050" i="1"/>
  <c r="AJ1050" i="1" s="1"/>
  <c r="M1007" i="1"/>
  <c r="AJ1007" i="1" s="1"/>
  <c r="M311" i="1"/>
  <c r="AJ311" i="1" s="1"/>
  <c r="M1238" i="1"/>
  <c r="AJ1238" i="1" s="1"/>
  <c r="M2417" i="1"/>
  <c r="AJ2417" i="1" s="1"/>
  <c r="M392" i="1"/>
  <c r="AJ392" i="1" s="1"/>
  <c r="M1730" i="1"/>
  <c r="AJ1730" i="1" s="1"/>
  <c r="M2200" i="1"/>
  <c r="AJ2200" i="1" s="1"/>
  <c r="M643" i="1"/>
  <c r="AJ643" i="1" s="1"/>
  <c r="M1255" i="1"/>
  <c r="AJ1255" i="1" s="1"/>
  <c r="M21" i="1"/>
  <c r="AJ21" i="1" s="1"/>
  <c r="M511" i="1"/>
  <c r="AJ511" i="1" s="1"/>
  <c r="M2313" i="1"/>
  <c r="AJ2313" i="1" s="1"/>
  <c r="M2658" i="1"/>
  <c r="AJ2658" i="1" s="1"/>
  <c r="M256" i="1"/>
  <c r="AJ256" i="1" s="1"/>
  <c r="M1023" i="1"/>
  <c r="AJ1023" i="1" s="1"/>
  <c r="M122" i="1"/>
  <c r="AJ122" i="1" s="1"/>
  <c r="M1318" i="1"/>
  <c r="AJ1318" i="1" s="1"/>
  <c r="M2407" i="1"/>
  <c r="AJ2407" i="1" s="1"/>
  <c r="M2246" i="1"/>
  <c r="AJ2246" i="1" s="1"/>
  <c r="M274" i="1"/>
  <c r="AJ274" i="1" s="1"/>
  <c r="M1588" i="1"/>
  <c r="AJ1588" i="1" s="1"/>
  <c r="M2353" i="1"/>
  <c r="AJ2353" i="1" s="1"/>
  <c r="M1977" i="1"/>
  <c r="AJ1977" i="1" s="1"/>
  <c r="M1379" i="1"/>
  <c r="AJ1379" i="1" s="1"/>
  <c r="M1794" i="1"/>
  <c r="AJ1794" i="1" s="1"/>
  <c r="M221" i="1"/>
  <c r="AJ221" i="1" s="1"/>
  <c r="M320" i="1"/>
  <c r="AJ320" i="1" s="1"/>
  <c r="M2399" i="1"/>
  <c r="AJ2399" i="1" s="1"/>
  <c r="M2422" i="1"/>
  <c r="AJ2422" i="1" s="1"/>
  <c r="M1605" i="1"/>
  <c r="AJ1605" i="1" s="1"/>
  <c r="M1924" i="1"/>
  <c r="AJ1924" i="1" s="1"/>
  <c r="M1187" i="1"/>
  <c r="AJ1187" i="1" s="1"/>
  <c r="M1342" i="1"/>
  <c r="AJ1342" i="1" s="1"/>
  <c r="M2465" i="1"/>
  <c r="AJ2465" i="1" s="1"/>
  <c r="M569" i="1"/>
  <c r="AJ569" i="1" s="1"/>
  <c r="M2093" i="1"/>
  <c r="AJ2093" i="1" s="1"/>
  <c r="M2646" i="1"/>
  <c r="AJ2646" i="1" s="1"/>
  <c r="M1055" i="1"/>
  <c r="AJ1055" i="1" s="1"/>
  <c r="M2193" i="1"/>
  <c r="AJ2193" i="1" s="1"/>
  <c r="M2631" i="1"/>
  <c r="AJ2631" i="1" s="1"/>
  <c r="M1299" i="1"/>
  <c r="AJ1299" i="1" s="1"/>
  <c r="M2527" i="1"/>
  <c r="AJ2527" i="1" s="1"/>
  <c r="M77" i="1"/>
  <c r="AJ77" i="1" s="1"/>
  <c r="M1942" i="1"/>
  <c r="AJ1942" i="1" s="1"/>
  <c r="M1369" i="1"/>
  <c r="AJ1369" i="1" s="1"/>
  <c r="M153" i="1"/>
  <c r="AJ153" i="1" s="1"/>
  <c r="M818" i="1"/>
  <c r="AJ818" i="1" s="1"/>
  <c r="M2359" i="1"/>
  <c r="AJ2359" i="1" s="1"/>
  <c r="M229" i="1"/>
  <c r="AJ229" i="1" s="1"/>
  <c r="M2614" i="1"/>
  <c r="AJ2614" i="1" s="1"/>
  <c r="M1493" i="1"/>
  <c r="AJ1493" i="1" s="1"/>
  <c r="M2330" i="1"/>
  <c r="AJ2330" i="1" s="1"/>
  <c r="M321" i="1"/>
  <c r="AJ321" i="1" s="1"/>
  <c r="M2174" i="1"/>
  <c r="AJ2174" i="1" s="1"/>
  <c r="M1413" i="1"/>
  <c r="AJ1413" i="1" s="1"/>
  <c r="M223" i="1"/>
  <c r="AJ223" i="1" s="1"/>
  <c r="M1337" i="1"/>
  <c r="AJ1337" i="1" s="1"/>
  <c r="M2370" i="1"/>
  <c r="AJ2370" i="1" s="1"/>
  <c r="M382" i="1"/>
  <c r="AJ382" i="1" s="1"/>
  <c r="M2322" i="1"/>
  <c r="AJ2322" i="1" s="1"/>
  <c r="M1566" i="1"/>
  <c r="AJ1566" i="1" s="1"/>
  <c r="M1040" i="1"/>
  <c r="AJ1040" i="1" s="1"/>
  <c r="M1682" i="1"/>
  <c r="AJ1682" i="1" s="1"/>
  <c r="M967" i="1"/>
  <c r="AJ967" i="1" s="1"/>
  <c r="M1300" i="1"/>
  <c r="AJ1300" i="1" s="1"/>
  <c r="M2767" i="1"/>
  <c r="AJ2767" i="1" s="1"/>
  <c r="M435" i="1"/>
  <c r="AJ435" i="1" s="1"/>
  <c r="M1428" i="1"/>
  <c r="AJ1428" i="1" s="1"/>
  <c r="M1750" i="1"/>
  <c r="AJ1750" i="1" s="1"/>
  <c r="M2046" i="1"/>
  <c r="AJ2046" i="1" s="1"/>
  <c r="M410" i="1"/>
  <c r="AJ410" i="1" s="1"/>
  <c r="M225" i="1"/>
  <c r="AJ225" i="1" s="1"/>
  <c r="M1862" i="1"/>
  <c r="AJ1862" i="1" s="1"/>
  <c r="M2279" i="1"/>
  <c r="AJ2279" i="1" s="1"/>
  <c r="M460" i="1"/>
  <c r="AJ460" i="1" s="1"/>
  <c r="M2260" i="1"/>
  <c r="AJ2260" i="1" s="1"/>
  <c r="M611" i="1"/>
  <c r="AJ611" i="1" s="1"/>
  <c r="M689" i="1"/>
  <c r="AJ689" i="1" s="1"/>
  <c r="M1344" i="1"/>
  <c r="AJ1344" i="1" s="1"/>
  <c r="M135" i="1"/>
  <c r="AJ135" i="1" s="1"/>
  <c r="M1663" i="1"/>
  <c r="AJ1663" i="1" s="1"/>
  <c r="M964" i="1"/>
  <c r="AJ964" i="1" s="1"/>
  <c r="M1603" i="1"/>
  <c r="AJ1603" i="1" s="1"/>
  <c r="M1632" i="1"/>
  <c r="AJ1632" i="1" s="1"/>
  <c r="M1936" i="1"/>
  <c r="AJ1936" i="1" s="1"/>
  <c r="M817" i="1"/>
  <c r="AJ817" i="1" s="1"/>
  <c r="M219" i="1"/>
  <c r="AJ219" i="1" s="1"/>
  <c r="M99" i="1"/>
  <c r="AJ99" i="1" s="1"/>
  <c r="M1728" i="1"/>
  <c r="AJ1728" i="1" s="1"/>
  <c r="M1039" i="1"/>
  <c r="AJ1039" i="1" s="1"/>
  <c r="M1419" i="1"/>
  <c r="AJ1419" i="1" s="1"/>
  <c r="M1543" i="1"/>
  <c r="AJ1543" i="1" s="1"/>
  <c r="M2192" i="1"/>
  <c r="AJ2192" i="1" s="1"/>
  <c r="M1606" i="1"/>
  <c r="AJ1606" i="1" s="1"/>
  <c r="M2654" i="1"/>
  <c r="AJ2654" i="1" s="1"/>
  <c r="M1144" i="1"/>
  <c r="AJ1144" i="1" s="1"/>
  <c r="M1332" i="1"/>
  <c r="AJ1332" i="1" s="1"/>
  <c r="M155" i="1"/>
  <c r="AJ155" i="1" s="1"/>
  <c r="M2562" i="1"/>
  <c r="AJ2562" i="1" s="1"/>
  <c r="M323" i="1"/>
  <c r="AJ323" i="1" s="1"/>
  <c r="M242" i="1"/>
  <c r="AJ242" i="1" s="1"/>
  <c r="M2499" i="1"/>
  <c r="AJ2499" i="1" s="1"/>
  <c r="M1701" i="1"/>
  <c r="AJ1701" i="1" s="1"/>
  <c r="M2724" i="1"/>
  <c r="AJ2724" i="1" s="1"/>
  <c r="M215" i="1"/>
  <c r="AJ215" i="1" s="1"/>
  <c r="M859" i="1"/>
  <c r="AJ859" i="1" s="1"/>
  <c r="M1709" i="1"/>
  <c r="AJ1709" i="1" s="1"/>
  <c r="M2507" i="1"/>
  <c r="AJ2507" i="1" s="1"/>
  <c r="M2652" i="1"/>
  <c r="AJ2652" i="1" s="1"/>
  <c r="M2765" i="1"/>
  <c r="AJ2765" i="1" s="1"/>
  <c r="M1800" i="1"/>
  <c r="AJ1800" i="1" s="1"/>
  <c r="M1156" i="1"/>
  <c r="AJ1156" i="1" s="1"/>
  <c r="M1137" i="1"/>
  <c r="AJ1137" i="1" s="1"/>
  <c r="M1811" i="1"/>
  <c r="AJ1811" i="1" s="1"/>
  <c r="M762" i="1"/>
  <c r="AJ762" i="1" s="1"/>
  <c r="M2120" i="1"/>
  <c r="AJ2120" i="1" s="1"/>
  <c r="M1949" i="1"/>
  <c r="AJ1949" i="1" s="1"/>
  <c r="M2076" i="1"/>
  <c r="AJ2076" i="1" s="1"/>
  <c r="M1436" i="1"/>
  <c r="AJ1436" i="1" s="1"/>
  <c r="M2307" i="1"/>
  <c r="AJ2307" i="1" s="1"/>
  <c r="M24" i="1"/>
  <c r="AJ24" i="1" s="1"/>
  <c r="M2016" i="1"/>
  <c r="AJ2016" i="1" s="1"/>
  <c r="M1358" i="1"/>
  <c r="AJ1358" i="1" s="1"/>
  <c r="M138" i="1"/>
  <c r="AJ138" i="1" s="1"/>
  <c r="M433" i="1"/>
  <c r="AJ433" i="1" s="1"/>
  <c r="M544" i="1"/>
  <c r="AJ544" i="1" s="1"/>
  <c r="M2720" i="1"/>
  <c r="AJ2720" i="1" s="1"/>
  <c r="M2050" i="1"/>
  <c r="AJ2050" i="1" s="1"/>
  <c r="M1504" i="1"/>
  <c r="AJ1504" i="1" s="1"/>
  <c r="M1771" i="1"/>
  <c r="AJ1771" i="1" s="1"/>
  <c r="AK1771" i="1" s="1"/>
  <c r="M1343" i="1"/>
  <c r="AJ1343" i="1" s="1"/>
  <c r="M50" i="1"/>
  <c r="AJ50" i="1" s="1"/>
  <c r="M1843" i="1"/>
  <c r="AJ1843" i="1" s="1"/>
  <c r="M9" i="1"/>
  <c r="AJ9" i="1" s="1"/>
  <c r="M1561" i="1"/>
  <c r="AJ1561" i="1" s="1"/>
  <c r="M203" i="1"/>
  <c r="AJ203" i="1" s="1"/>
  <c r="M325" i="1"/>
  <c r="AJ325" i="1" s="1"/>
  <c r="M228" i="1"/>
  <c r="AJ228" i="1" s="1"/>
  <c r="AK228" i="1" s="1"/>
  <c r="M1943" i="1"/>
  <c r="AJ1943" i="1" s="1"/>
  <c r="M1539" i="1"/>
  <c r="AJ1539" i="1" s="1"/>
  <c r="M1786" i="1"/>
  <c r="AJ1786" i="1" s="1"/>
  <c r="M973" i="1"/>
  <c r="AJ973" i="1" s="1"/>
  <c r="M2560" i="1"/>
  <c r="AJ2560" i="1" s="1"/>
  <c r="M1188" i="1"/>
  <c r="AJ1188" i="1" s="1"/>
  <c r="M776" i="1"/>
  <c r="AJ776" i="1" s="1"/>
  <c r="M688" i="1"/>
  <c r="AJ688" i="1" s="1"/>
  <c r="M2195" i="1"/>
  <c r="AJ2195" i="1" s="1"/>
  <c r="M1888" i="1"/>
  <c r="AJ1888" i="1" s="1"/>
  <c r="M1117" i="1"/>
  <c r="AJ1117" i="1" s="1"/>
  <c r="M1624" i="1"/>
  <c r="AJ1624" i="1" s="1"/>
  <c r="M1422" i="1"/>
  <c r="AJ1422" i="1" s="1"/>
  <c r="M2027" i="1"/>
  <c r="AJ2027" i="1" s="1"/>
  <c r="M32" i="1"/>
  <c r="AJ32" i="1" s="1"/>
  <c r="M2511" i="1"/>
  <c r="AJ2511" i="1" s="1"/>
  <c r="AK2511" i="1" s="1"/>
  <c r="M2329" i="1"/>
  <c r="AJ2329" i="1" s="1"/>
  <c r="M770" i="1"/>
  <c r="AJ770" i="1" s="1"/>
  <c r="M852" i="1"/>
  <c r="AJ852" i="1" s="1"/>
  <c r="M399" i="1"/>
  <c r="AJ399" i="1" s="1"/>
  <c r="M441" i="1"/>
  <c r="AJ441" i="1" s="1"/>
  <c r="M2331" i="1"/>
  <c r="AJ2331" i="1" s="1"/>
  <c r="M1583" i="1"/>
  <c r="AJ1583" i="1" s="1"/>
  <c r="M299" i="1"/>
  <c r="AJ299" i="1" s="1"/>
  <c r="AK299" i="1" s="1"/>
  <c r="M989" i="1"/>
  <c r="AJ989" i="1" s="1"/>
  <c r="M2478" i="1"/>
  <c r="AJ2478" i="1" s="1"/>
  <c r="M127" i="1"/>
  <c r="AJ127" i="1" s="1"/>
  <c r="M277" i="1"/>
  <c r="AJ277" i="1" s="1"/>
  <c r="M2316" i="1"/>
  <c r="AJ2316" i="1" s="1"/>
  <c r="M452" i="1"/>
  <c r="AJ452" i="1" s="1"/>
  <c r="M958" i="1"/>
  <c r="AJ958" i="1" s="1"/>
  <c r="M2568" i="1"/>
  <c r="AJ2568" i="1" s="1"/>
  <c r="AK2568" i="1" s="1"/>
  <c r="M1976" i="1"/>
  <c r="AJ1976" i="1" s="1"/>
  <c r="M2387" i="1"/>
  <c r="AJ2387" i="1" s="1"/>
  <c r="M2557" i="1"/>
  <c r="AJ2557" i="1" s="1"/>
  <c r="M5" i="1"/>
  <c r="AJ5" i="1" s="1"/>
  <c r="M1785" i="1"/>
  <c r="AJ1785" i="1" s="1"/>
  <c r="M2779" i="1"/>
  <c r="AJ2779" i="1" s="1"/>
  <c r="M268" i="1"/>
  <c r="AJ268" i="1" s="1"/>
  <c r="M1265" i="1"/>
  <c r="AJ1265" i="1" s="1"/>
  <c r="M582" i="1"/>
  <c r="AJ582" i="1" s="1"/>
  <c r="M1260" i="1"/>
  <c r="AJ1260" i="1" s="1"/>
  <c r="M2706" i="1"/>
  <c r="AJ2706" i="1" s="1"/>
  <c r="M2764" i="1"/>
  <c r="AJ2764" i="1" s="1"/>
  <c r="M802" i="1"/>
  <c r="AJ802" i="1" s="1"/>
  <c r="M1499" i="1"/>
  <c r="AJ1499" i="1" s="1"/>
  <c r="M492" i="1"/>
  <c r="AJ492" i="1" s="1"/>
  <c r="M1907" i="1"/>
  <c r="AJ1907" i="1" s="1"/>
  <c r="M1089" i="1"/>
  <c r="AJ1089" i="1" s="1"/>
  <c r="M1112" i="1"/>
  <c r="AJ1112" i="1" s="1"/>
  <c r="M1995" i="1"/>
  <c r="AJ1995" i="1" s="1"/>
  <c r="M2663" i="1"/>
  <c r="AJ2663" i="1" s="1"/>
  <c r="M604" i="1"/>
  <c r="AJ604" i="1" s="1"/>
  <c r="M1940" i="1"/>
  <c r="AJ1940" i="1" s="1"/>
  <c r="M1621" i="1"/>
  <c r="AJ1621" i="1" s="1"/>
  <c r="M1847" i="1"/>
  <c r="AJ1847" i="1" s="1"/>
  <c r="AK1847" i="1" s="1"/>
  <c r="M1981" i="1"/>
  <c r="AJ1981" i="1" s="1"/>
  <c r="M1116" i="1"/>
  <c r="AJ1116" i="1" s="1"/>
  <c r="M1463" i="1"/>
  <c r="AJ1463" i="1" s="1"/>
  <c r="M501" i="1"/>
  <c r="AJ501" i="1" s="1"/>
  <c r="M1162" i="1"/>
  <c r="AJ1162" i="1" s="1"/>
  <c r="M364" i="1"/>
  <c r="AJ364" i="1" s="1"/>
  <c r="M182" i="1"/>
  <c r="AJ182" i="1" s="1"/>
  <c r="M53" i="1"/>
  <c r="AJ53" i="1" s="1"/>
  <c r="AK53" i="1" s="1"/>
  <c r="M507" i="1"/>
  <c r="AJ507" i="1" s="1"/>
  <c r="M1296" i="1"/>
  <c r="AJ1296" i="1" s="1"/>
  <c r="M2065" i="1"/>
  <c r="AJ2065" i="1" s="1"/>
  <c r="M1878" i="1"/>
  <c r="AJ1878" i="1" s="1"/>
  <c r="M71" i="1"/>
  <c r="AJ71" i="1" s="1"/>
  <c r="M1497" i="1"/>
  <c r="AJ1497" i="1" s="1"/>
  <c r="M8" i="1"/>
  <c r="AJ8" i="1" s="1"/>
  <c r="M2524" i="1"/>
  <c r="AJ2524" i="1" s="1"/>
  <c r="M1879" i="1"/>
  <c r="AJ1879" i="1" s="1"/>
  <c r="M234" i="1"/>
  <c r="AJ234" i="1" s="1"/>
  <c r="M523" i="1"/>
  <c r="AJ523" i="1" s="1"/>
  <c r="M2154" i="1"/>
  <c r="AJ2154" i="1" s="1"/>
  <c r="M662" i="1"/>
  <c r="AJ662" i="1" s="1"/>
  <c r="M1721" i="1"/>
  <c r="AJ1721" i="1" s="1"/>
  <c r="M1723" i="1"/>
  <c r="AJ1723" i="1" s="1"/>
  <c r="M1876" i="1"/>
  <c r="AJ1876" i="1" s="1"/>
  <c r="AK1876" i="1" s="1"/>
  <c r="M2675" i="1"/>
  <c r="AJ2675" i="1" s="1"/>
  <c r="M1640" i="1"/>
  <c r="AJ1640" i="1" s="1"/>
  <c r="M1335" i="1"/>
  <c r="AJ1335" i="1" s="1"/>
  <c r="M912" i="1"/>
  <c r="AJ912" i="1" s="1"/>
  <c r="M1160" i="1"/>
  <c r="AJ1160" i="1" s="1"/>
  <c r="M2496" i="1"/>
  <c r="AJ2496" i="1" s="1"/>
  <c r="M2022" i="1"/>
  <c r="AJ2022" i="1" s="1"/>
  <c r="M1378" i="1"/>
  <c r="AJ1378" i="1" s="1"/>
  <c r="AK1378" i="1" s="1"/>
  <c r="M1282" i="1"/>
  <c r="AJ1282" i="1" s="1"/>
  <c r="M2202" i="1"/>
  <c r="AJ2202" i="1" s="1"/>
  <c r="M1766" i="1"/>
  <c r="AJ1766" i="1" s="1"/>
  <c r="M1091" i="1"/>
  <c r="AJ1091" i="1" s="1"/>
  <c r="M815" i="1"/>
  <c r="AJ815" i="1" s="1"/>
  <c r="M298" i="1"/>
  <c r="AJ298" i="1" s="1"/>
  <c r="M2029" i="1"/>
  <c r="AJ2029" i="1" s="1"/>
  <c r="M822" i="1"/>
  <c r="AJ822" i="1" s="1"/>
  <c r="AK822" i="1" s="1"/>
  <c r="M1119" i="1"/>
  <c r="AJ1119" i="1" s="1"/>
  <c r="M1268" i="1"/>
  <c r="AJ1268" i="1" s="1"/>
  <c r="M336" i="1"/>
  <c r="AJ336" i="1" s="1"/>
  <c r="M2122" i="1"/>
  <c r="AJ2122" i="1" s="1"/>
  <c r="M2342" i="1"/>
  <c r="AJ2342" i="1" s="1"/>
  <c r="M2763" i="1"/>
  <c r="AJ2763" i="1" s="1"/>
  <c r="M141" i="1"/>
  <c r="AJ141" i="1" s="1"/>
  <c r="M2182" i="1"/>
  <c r="AJ2182" i="1" s="1"/>
  <c r="AK2182" i="1" s="1"/>
  <c r="M2508" i="1"/>
  <c r="AJ2508" i="1" s="1"/>
  <c r="M25" i="1"/>
  <c r="AJ25" i="1" s="1"/>
  <c r="M2006" i="1"/>
  <c r="AJ2006" i="1" s="1"/>
  <c r="M281" i="1"/>
  <c r="AJ281" i="1" s="1"/>
  <c r="M2438" i="1"/>
  <c r="AJ2438" i="1" s="1"/>
  <c r="M1753" i="1"/>
  <c r="AJ1753" i="1" s="1"/>
  <c r="M529" i="1"/>
  <c r="AJ529" i="1" s="1"/>
  <c r="M733" i="1"/>
  <c r="AJ733" i="1" s="1"/>
  <c r="M1612" i="1"/>
  <c r="AJ1612" i="1" s="1"/>
  <c r="M838" i="1"/>
  <c r="AJ838" i="1" s="1"/>
  <c r="M1354" i="1"/>
  <c r="AJ1354" i="1" s="1"/>
  <c r="M1658" i="1"/>
  <c r="AJ1658" i="1" s="1"/>
  <c r="M902" i="1"/>
  <c r="AJ902" i="1" s="1"/>
  <c r="M679" i="1"/>
  <c r="AJ679" i="1" s="1"/>
  <c r="M2566" i="1"/>
  <c r="AJ2566" i="1" s="1"/>
  <c r="M881" i="1"/>
  <c r="AJ881" i="1" s="1"/>
  <c r="AK881" i="1" s="1"/>
  <c r="M551" i="1"/>
  <c r="AJ551" i="1" s="1"/>
  <c r="M606" i="1"/>
  <c r="AJ606" i="1" s="1"/>
  <c r="M1496" i="1"/>
  <c r="AJ1496" i="1" s="1"/>
  <c r="M577" i="1"/>
  <c r="AJ577" i="1" s="1"/>
  <c r="M2367" i="1"/>
  <c r="AJ2367" i="1" s="1"/>
  <c r="M1450" i="1"/>
  <c r="AJ1450" i="1" s="1"/>
  <c r="M2136" i="1"/>
  <c r="AJ2136" i="1" s="1"/>
  <c r="M595" i="1"/>
  <c r="AJ595" i="1" s="1"/>
  <c r="M724" i="1"/>
  <c r="AJ724" i="1" s="1"/>
  <c r="M88" i="1"/>
  <c r="AJ88" i="1" s="1"/>
  <c r="M1126" i="1"/>
  <c r="AJ1126" i="1" s="1"/>
  <c r="M1925" i="1"/>
  <c r="AJ1925" i="1" s="1"/>
  <c r="M521" i="1"/>
  <c r="AJ521" i="1" s="1"/>
  <c r="M1362" i="1"/>
  <c r="AJ1362" i="1" s="1"/>
  <c r="M752" i="1"/>
  <c r="AJ752" i="1" s="1"/>
  <c r="M2544" i="1"/>
  <c r="AJ2544" i="1" s="1"/>
  <c r="M2666" i="1"/>
  <c r="AJ2666" i="1" s="1"/>
  <c r="M1896" i="1"/>
  <c r="AJ1896" i="1" s="1"/>
  <c r="M2592" i="1"/>
  <c r="AJ2592" i="1" s="1"/>
  <c r="M613" i="1"/>
  <c r="AJ613" i="1" s="1"/>
  <c r="M2635" i="1"/>
  <c r="AJ2635" i="1" s="1"/>
  <c r="M1008" i="1"/>
  <c r="AJ1008" i="1" s="1"/>
  <c r="M1783" i="1"/>
  <c r="AJ1783" i="1" s="1"/>
  <c r="M462" i="1"/>
  <c r="AJ462" i="1" s="1"/>
  <c r="AK462" i="1" s="1"/>
  <c r="M1026" i="1"/>
  <c r="AJ1026" i="1" s="1"/>
  <c r="M697" i="1"/>
  <c r="AJ697" i="1" s="1"/>
  <c r="M44" i="1"/>
  <c r="AJ44" i="1" s="1"/>
  <c r="M663" i="1"/>
  <c r="AJ663" i="1" s="1"/>
  <c r="M1522" i="1"/>
  <c r="AJ1522" i="1" s="1"/>
  <c r="M2105" i="1"/>
  <c r="AJ2105" i="1" s="1"/>
  <c r="M1742" i="1"/>
  <c r="AJ1742" i="1" s="1"/>
  <c r="M1582" i="1"/>
  <c r="AJ1582" i="1" s="1"/>
  <c r="M245" i="1"/>
  <c r="AJ245" i="1" s="1"/>
  <c r="M189" i="1"/>
  <c r="AJ189" i="1" s="1"/>
  <c r="M2415" i="1"/>
  <c r="AJ2415" i="1" s="1"/>
  <c r="M1762" i="1"/>
  <c r="AJ1762" i="1" s="1"/>
  <c r="M2382" i="1"/>
  <c r="AJ2382" i="1" s="1"/>
  <c r="M197" i="1"/>
  <c r="AJ197" i="1" s="1"/>
  <c r="M1890" i="1"/>
  <c r="AJ1890" i="1" s="1"/>
  <c r="M1874" i="1"/>
  <c r="AJ1874" i="1" s="1"/>
  <c r="AK1874" i="1" s="1"/>
  <c r="M2681" i="1"/>
  <c r="AJ2681" i="1" s="1"/>
  <c r="M1807" i="1"/>
  <c r="AJ1807" i="1" s="1"/>
  <c r="M357" i="1"/>
  <c r="AJ357" i="1" s="1"/>
  <c r="M1735" i="1"/>
  <c r="AJ1735" i="1" s="1"/>
  <c r="M2586" i="1"/>
  <c r="AJ2586" i="1" s="1"/>
  <c r="M356" i="1"/>
  <c r="AJ356" i="1" s="1"/>
  <c r="M2526" i="1"/>
  <c r="AJ2526" i="1" s="1"/>
  <c r="M2156" i="1"/>
  <c r="AJ2156" i="1" s="1"/>
  <c r="AK2156" i="1" s="1"/>
  <c r="M1076" i="1"/>
  <c r="AJ1076" i="1" s="1"/>
  <c r="M1613" i="1"/>
  <c r="AJ1613" i="1" s="1"/>
  <c r="M1601" i="1"/>
  <c r="AJ1601" i="1" s="1"/>
  <c r="M1205" i="1"/>
  <c r="AJ1205" i="1" s="1"/>
  <c r="M43" i="1"/>
  <c r="AJ43" i="1" s="1"/>
  <c r="M1197" i="1"/>
  <c r="AJ1197" i="1" s="1"/>
  <c r="M297" i="1"/>
  <c r="AJ297" i="1" s="1"/>
  <c r="M2087" i="1"/>
  <c r="AJ2087" i="1" s="1"/>
  <c r="M1034" i="1"/>
  <c r="AJ1034" i="1" s="1"/>
  <c r="M658" i="1"/>
  <c r="AJ658" i="1" s="1"/>
  <c r="M2457" i="1"/>
  <c r="AJ2457" i="1" s="1"/>
  <c r="M405" i="1"/>
  <c r="AJ405" i="1" s="1"/>
  <c r="M1968" i="1"/>
  <c r="AJ1968" i="1" s="1"/>
  <c r="M2731" i="1"/>
  <c r="AJ2731" i="1" s="1"/>
  <c r="M484" i="1"/>
  <c r="AJ484" i="1" s="1"/>
  <c r="M85" i="1"/>
  <c r="AJ85" i="1" s="1"/>
  <c r="AK85" i="1" s="1"/>
  <c r="M1058" i="1"/>
  <c r="AJ1058" i="1" s="1"/>
  <c r="M1926" i="1"/>
  <c r="AJ1926" i="1" s="1"/>
  <c r="M167" i="1"/>
  <c r="AJ167" i="1" s="1"/>
  <c r="M2712" i="1"/>
  <c r="AJ2712" i="1" s="1"/>
  <c r="M1882" i="1"/>
  <c r="AJ1882" i="1" s="1"/>
  <c r="M384" i="1"/>
  <c r="AJ384" i="1" s="1"/>
  <c r="M324" i="1"/>
  <c r="AJ324" i="1" s="1"/>
  <c r="M2090" i="1"/>
  <c r="AJ2090" i="1" s="1"/>
  <c r="M1573" i="1"/>
  <c r="AJ1573" i="1" s="1"/>
  <c r="M539" i="1"/>
  <c r="AJ539" i="1" s="1"/>
  <c r="M717" i="1"/>
  <c r="AJ717" i="1" s="1"/>
  <c r="M358" i="1"/>
  <c r="AJ358" i="1" s="1"/>
  <c r="M2435" i="1"/>
  <c r="AJ2435" i="1" s="1"/>
  <c r="M1676" i="1"/>
  <c r="AJ1676" i="1" s="1"/>
  <c r="M2045" i="1"/>
  <c r="AJ2045" i="1" s="1"/>
  <c r="M112" i="1"/>
  <c r="AJ112" i="1" s="1"/>
  <c r="AK112" i="1" s="1"/>
  <c r="M1305" i="1"/>
  <c r="AJ1305" i="1" s="1"/>
  <c r="M1310" i="1"/>
  <c r="AJ1310" i="1" s="1"/>
  <c r="M2533" i="1"/>
  <c r="AJ2533" i="1" s="1"/>
  <c r="M2500" i="1"/>
  <c r="AJ2500" i="1" s="1"/>
  <c r="M1559" i="1"/>
  <c r="AJ1559" i="1" s="1"/>
  <c r="M588" i="1"/>
  <c r="AJ588" i="1" s="1"/>
  <c r="M379" i="1"/>
  <c r="AJ379" i="1" s="1"/>
  <c r="M1206" i="1"/>
  <c r="AJ1206" i="1" s="1"/>
  <c r="AK1206" i="1" s="1"/>
  <c r="M749" i="1"/>
  <c r="AJ749" i="1" s="1"/>
  <c r="M921" i="1"/>
  <c r="AJ921" i="1" s="1"/>
  <c r="M567" i="1"/>
  <c r="AJ567" i="1" s="1"/>
  <c r="M608" i="1"/>
  <c r="AJ608" i="1" s="1"/>
  <c r="M1524" i="1"/>
  <c r="AJ1524" i="1" s="1"/>
  <c r="M993" i="1"/>
  <c r="AJ993" i="1" s="1"/>
  <c r="M1233" i="1"/>
  <c r="AJ1233" i="1" s="1"/>
  <c r="M1589" i="1"/>
  <c r="AJ1589" i="1" s="1"/>
  <c r="M2044" i="1"/>
  <c r="AJ2044" i="1" s="1"/>
  <c r="M727" i="1"/>
  <c r="AJ727" i="1" s="1"/>
  <c r="M1991" i="1"/>
  <c r="AJ1991" i="1" s="1"/>
  <c r="M710" i="1"/>
  <c r="AJ710" i="1" s="1"/>
  <c r="M2110" i="1"/>
  <c r="AJ2110" i="1" s="1"/>
  <c r="M953" i="1"/>
  <c r="AJ953" i="1" s="1"/>
  <c r="M124" i="1"/>
  <c r="AJ124" i="1" s="1"/>
  <c r="M365" i="1"/>
  <c r="AJ365" i="1" s="1"/>
  <c r="AK365" i="1" s="1"/>
  <c r="M2698" i="1"/>
  <c r="AJ2698" i="1" s="1"/>
  <c r="M248" i="1"/>
  <c r="AJ248" i="1" s="1"/>
  <c r="M430" i="1"/>
  <c r="AJ430" i="1" s="1"/>
  <c r="M2292" i="1"/>
  <c r="AJ2292" i="1" s="1"/>
  <c r="M2683" i="1"/>
  <c r="AJ2683" i="1" s="1"/>
  <c r="M1983" i="1"/>
  <c r="AJ1983" i="1" s="1"/>
  <c r="M1121" i="1"/>
  <c r="AJ1121" i="1" s="1"/>
  <c r="M2540" i="1"/>
  <c r="AJ2540" i="1" s="1"/>
  <c r="AK2540" i="1" s="1"/>
  <c r="M58" i="1"/>
  <c r="AJ58" i="1" s="1"/>
  <c r="M2440" i="1"/>
  <c r="AJ2440" i="1" s="1"/>
  <c r="M490" i="1"/>
  <c r="AJ490" i="1" s="1"/>
  <c r="M2448" i="1"/>
  <c r="AJ2448" i="1" s="1"/>
  <c r="M95" i="1"/>
  <c r="AJ95" i="1" s="1"/>
  <c r="M1042" i="1"/>
  <c r="AJ1042" i="1" s="1"/>
  <c r="M2166" i="1"/>
  <c r="AJ2166" i="1" s="1"/>
  <c r="AK2166" i="1" s="1"/>
  <c r="M385" i="1"/>
  <c r="AJ385" i="1" s="1"/>
  <c r="M2776" i="1"/>
  <c r="AJ2776" i="1" s="1"/>
  <c r="M674" i="1"/>
  <c r="AJ674" i="1" s="1"/>
  <c r="M222" i="1"/>
  <c r="AJ222" i="1" s="1"/>
  <c r="M2176" i="1"/>
  <c r="AJ2176" i="1" s="1"/>
  <c r="M367" i="1"/>
  <c r="AJ367" i="1" s="1"/>
  <c r="M2224" i="1"/>
  <c r="AJ2224" i="1" s="1"/>
  <c r="M1103" i="1"/>
  <c r="AJ1103" i="1" s="1"/>
  <c r="AK1103" i="1" s="1"/>
  <c r="M1810" i="1"/>
  <c r="AJ1810" i="1" s="1"/>
  <c r="AK1810" i="1" s="1"/>
  <c r="M1029" i="1"/>
  <c r="AJ1029" i="1" s="1"/>
  <c r="M1173" i="1"/>
  <c r="AJ1173" i="1" s="1"/>
  <c r="M1328" i="1"/>
  <c r="AJ1328" i="1" s="1"/>
  <c r="M2212" i="1"/>
  <c r="AJ2212" i="1" s="1"/>
  <c r="M2530" i="1"/>
  <c r="AJ2530" i="1" s="1"/>
  <c r="M965" i="1"/>
  <c r="AJ965" i="1" s="1"/>
  <c r="M1648" i="1"/>
  <c r="AJ1648" i="1" s="1"/>
  <c r="M361" i="1"/>
  <c r="AJ361" i="1" s="1"/>
  <c r="M1928" i="1"/>
  <c r="AJ1928" i="1" s="1"/>
  <c r="M910" i="1"/>
  <c r="AJ910" i="1" s="1"/>
  <c r="M1456" i="1"/>
  <c r="AJ1456" i="1" s="1"/>
  <c r="M2618" i="1"/>
  <c r="AJ2618" i="1" s="1"/>
  <c r="M644" i="1"/>
  <c r="AJ644" i="1" s="1"/>
  <c r="M2281" i="1"/>
  <c r="AJ2281" i="1" s="1"/>
  <c r="M983" i="1"/>
  <c r="AJ983" i="1" s="1"/>
  <c r="AK983" i="1" s="1"/>
  <c r="M891" i="1"/>
  <c r="AJ891" i="1" s="1"/>
  <c r="AK891" i="1" s="1"/>
  <c r="M1166" i="1"/>
  <c r="AJ1166" i="1" s="1"/>
  <c r="M808" i="1"/>
  <c r="AJ808" i="1" s="1"/>
  <c r="M284" i="1"/>
  <c r="AJ284" i="1" s="1"/>
  <c r="M963" i="1"/>
  <c r="AJ963" i="1" s="1"/>
  <c r="M2109" i="1"/>
  <c r="AJ2109" i="1" s="1"/>
  <c r="M720" i="1"/>
  <c r="AJ720" i="1" s="1"/>
  <c r="M955" i="1"/>
  <c r="AJ955" i="1" s="1"/>
  <c r="M2363" i="1"/>
  <c r="AJ2363" i="1" s="1"/>
  <c r="AK2363" i="1" s="1"/>
  <c r="M1356" i="1"/>
  <c r="AJ1356" i="1" s="1"/>
  <c r="M2004" i="1"/>
  <c r="AJ2004" i="1" s="1"/>
  <c r="M416" i="1"/>
  <c r="AJ416" i="1" s="1"/>
  <c r="M2352" i="1"/>
  <c r="AJ2352" i="1" s="1"/>
  <c r="M1449" i="1"/>
  <c r="AJ1449" i="1" s="1"/>
  <c r="M1028" i="1"/>
  <c r="AJ1028" i="1" s="1"/>
  <c r="M904" i="1"/>
  <c r="AJ904" i="1" s="1"/>
  <c r="AK904" i="1" s="1"/>
  <c r="M1221" i="1"/>
  <c r="AJ1221" i="1" s="1"/>
  <c r="M2490" i="1"/>
  <c r="AJ2490" i="1" s="1"/>
  <c r="M2298" i="1"/>
  <c r="AJ2298" i="1" s="1"/>
  <c r="M2522" i="1"/>
  <c r="AJ2522" i="1" s="1"/>
  <c r="M1645" i="1"/>
  <c r="AJ1645" i="1" s="1"/>
  <c r="M1489" i="1"/>
  <c r="AJ1489" i="1" s="1"/>
  <c r="M1486" i="1"/>
  <c r="AJ1486" i="1" s="1"/>
  <c r="M979" i="1"/>
  <c r="AJ979" i="1" s="1"/>
  <c r="M308" i="1"/>
  <c r="AJ308" i="1" s="1"/>
  <c r="M2168" i="1"/>
  <c r="AJ2168" i="1" s="1"/>
  <c r="M1997" i="1"/>
  <c r="AJ1997" i="1" s="1"/>
  <c r="M1323" i="1"/>
  <c r="AJ1323" i="1" s="1"/>
  <c r="M2112" i="1"/>
  <c r="AJ2112" i="1" s="1"/>
  <c r="M1863" i="1"/>
  <c r="AJ1863" i="1" s="1"/>
  <c r="M347" i="1"/>
  <c r="AJ347" i="1" s="1"/>
  <c r="M1446" i="1"/>
  <c r="AJ1446" i="1" s="1"/>
  <c r="AK1446" i="1" s="1"/>
  <c r="M1669" i="1"/>
  <c r="AJ1669" i="1" s="1"/>
  <c r="AK1669" i="1" s="1"/>
  <c r="M300" i="1"/>
  <c r="AJ300" i="1" s="1"/>
  <c r="M1012" i="1"/>
  <c r="AJ1012" i="1" s="1"/>
  <c r="M1295" i="1"/>
  <c r="AJ1295" i="1" s="1"/>
  <c r="M243" i="1"/>
  <c r="AJ243" i="1" s="1"/>
  <c r="M2756" i="1"/>
  <c r="AJ2756" i="1" s="1"/>
  <c r="M2620" i="1"/>
  <c r="AJ2620" i="1" s="1"/>
  <c r="M1509" i="1"/>
  <c r="AJ1509" i="1" s="1"/>
  <c r="M1910" i="1"/>
  <c r="AJ1910" i="1" s="1"/>
  <c r="AK1910" i="1" s="1"/>
  <c r="M612" i="1"/>
  <c r="AJ612" i="1" s="1"/>
  <c r="M1797" i="1"/>
  <c r="AJ1797" i="1" s="1"/>
  <c r="M2043" i="1"/>
  <c r="AJ2043" i="1" s="1"/>
  <c r="M2447" i="1"/>
  <c r="AJ2447" i="1" s="1"/>
  <c r="M2408" i="1"/>
  <c r="AJ2408" i="1" s="1"/>
  <c r="M2577" i="1"/>
  <c r="AJ2577" i="1" s="1"/>
  <c r="M111" i="1"/>
  <c r="AJ111" i="1" s="1"/>
  <c r="AK111" i="1" s="1"/>
  <c r="M1685" i="1"/>
  <c r="AJ1685" i="1" s="1"/>
  <c r="M2273" i="1"/>
  <c r="AJ2273" i="1" s="1"/>
  <c r="M2788" i="1"/>
  <c r="AJ2788" i="1" s="1"/>
  <c r="M2725" i="1"/>
  <c r="AJ2725" i="1" s="1"/>
  <c r="M1199" i="1"/>
  <c r="AJ1199" i="1" s="1"/>
  <c r="M331" i="1"/>
  <c r="AJ331" i="1" s="1"/>
  <c r="M1698" i="1"/>
  <c r="AJ1698" i="1" s="1"/>
  <c r="M208" i="1"/>
  <c r="AJ208" i="1" s="1"/>
  <c r="AK208" i="1" s="1"/>
  <c r="M2335" i="1"/>
  <c r="AJ2335" i="1" s="1"/>
  <c r="AK2335" i="1" s="1"/>
  <c r="M69" i="1"/>
  <c r="AJ69" i="1" s="1"/>
  <c r="M933" i="1"/>
  <c r="AJ933" i="1" s="1"/>
  <c r="M2442" i="1"/>
  <c r="AJ2442" i="1" s="1"/>
  <c r="M2740" i="1"/>
  <c r="AJ2740" i="1" s="1"/>
  <c r="M2567" i="1"/>
  <c r="AJ2567" i="1" s="1"/>
  <c r="M100" i="1"/>
  <c r="AJ100" i="1" s="1"/>
  <c r="M1303" i="1"/>
  <c r="AJ1303" i="1" s="1"/>
  <c r="M571" i="1"/>
  <c r="AJ571" i="1" s="1"/>
  <c r="AK571" i="1" s="1"/>
  <c r="M2266" i="1"/>
  <c r="AJ2266" i="1" s="1"/>
  <c r="M1035" i="1"/>
  <c r="AJ1035" i="1" s="1"/>
  <c r="M1249" i="1"/>
  <c r="AJ1249" i="1" s="1"/>
  <c r="M2157" i="1"/>
  <c r="AJ2157" i="1" s="1"/>
  <c r="M2734" i="1"/>
  <c r="AJ2734" i="1" s="1"/>
  <c r="M591" i="1"/>
  <c r="AJ591" i="1" s="1"/>
  <c r="M1070" i="1"/>
  <c r="AJ1070" i="1" s="1"/>
  <c r="M2795" i="1"/>
  <c r="AJ2795" i="1" s="1"/>
  <c r="AK2795" i="1" s="1"/>
  <c r="M2393" i="1"/>
  <c r="AJ2393" i="1" s="1"/>
  <c r="M2113" i="1"/>
  <c r="AJ2113" i="1" s="1"/>
  <c r="M1077" i="1"/>
  <c r="AJ1077" i="1" s="1"/>
  <c r="M1184" i="1"/>
  <c r="AJ1184" i="1" s="1"/>
  <c r="M82" i="1"/>
  <c r="AJ82" i="1" s="1"/>
  <c r="M680" i="1"/>
  <c r="AJ680" i="1" s="1"/>
  <c r="M2598" i="1"/>
  <c r="AJ2598" i="1" s="1"/>
  <c r="AK2598" i="1" s="1"/>
  <c r="M706" i="1"/>
  <c r="AJ706" i="1" s="1"/>
  <c r="M470" i="1"/>
  <c r="AJ470" i="1" s="1"/>
  <c r="M279" i="1"/>
  <c r="AJ279" i="1" s="1"/>
  <c r="M1214" i="1"/>
  <c r="AJ1214" i="1" s="1"/>
  <c r="M2648" i="1"/>
  <c r="AJ2648" i="1" s="1"/>
  <c r="M34" i="1"/>
  <c r="AJ34" i="1" s="1"/>
  <c r="M905" i="1"/>
  <c r="AJ905" i="1" s="1"/>
  <c r="M1240" i="1"/>
  <c r="AJ1240" i="1" s="1"/>
  <c r="AK1240" i="1" s="1"/>
  <c r="M1660" i="1"/>
  <c r="AJ1660" i="1" s="1"/>
  <c r="AK1660" i="1" s="1"/>
  <c r="M1302" i="1"/>
  <c r="AJ1302" i="1" s="1"/>
  <c r="M617" i="1"/>
  <c r="AJ617" i="1" s="1"/>
  <c r="M666" i="1"/>
  <c r="AJ666" i="1" s="1"/>
  <c r="M1729" i="1"/>
  <c r="AJ1729" i="1" s="1"/>
  <c r="M2738" i="1"/>
  <c r="AJ2738" i="1" s="1"/>
  <c r="M96" i="1"/>
  <c r="AJ96" i="1" s="1"/>
  <c r="M322" i="1"/>
  <c r="AJ322" i="1" s="1"/>
  <c r="M1517" i="1"/>
  <c r="AJ1517" i="1" s="1"/>
  <c r="AK1517" i="1" s="1"/>
  <c r="M1657" i="1"/>
  <c r="AJ1657" i="1" s="1"/>
  <c r="M2354" i="1"/>
  <c r="AJ2354" i="1" s="1"/>
  <c r="M1819" i="1"/>
  <c r="AJ1819" i="1" s="1"/>
  <c r="M1820" i="1"/>
  <c r="AJ1820" i="1" s="1"/>
  <c r="M1472" i="1"/>
  <c r="AJ1472" i="1" s="1"/>
  <c r="M468" i="1"/>
  <c r="AJ468" i="1" s="1"/>
  <c r="M149" i="1"/>
  <c r="AJ149" i="1" s="1"/>
  <c r="M1699" i="1"/>
  <c r="AJ1699" i="1" s="1"/>
  <c r="AK1699" i="1" s="1"/>
  <c r="M2148" i="1"/>
  <c r="AJ2148" i="1" s="1"/>
  <c r="M1377" i="1"/>
  <c r="AJ1377" i="1" s="1"/>
  <c r="M436" i="1"/>
  <c r="AJ436" i="1" s="1"/>
  <c r="M667" i="1"/>
  <c r="AJ667" i="1" s="1"/>
  <c r="M2314" i="1"/>
  <c r="AJ2314" i="1" s="1"/>
  <c r="M1747" i="1"/>
  <c r="AJ1747" i="1" s="1"/>
  <c r="M1631" i="1"/>
  <c r="AJ1631" i="1" s="1"/>
  <c r="M62" i="1"/>
  <c r="AJ62" i="1" s="1"/>
  <c r="AK62" i="1" s="1"/>
  <c r="M1396" i="1"/>
  <c r="AJ1396" i="1" s="1"/>
  <c r="M2041" i="1"/>
  <c r="AJ2041" i="1" s="1"/>
  <c r="M1429" i="1"/>
  <c r="AJ1429" i="1" s="1"/>
  <c r="M343" i="1"/>
  <c r="AJ343" i="1" s="1"/>
  <c r="M718" i="1"/>
  <c r="AJ718" i="1" s="1"/>
  <c r="M1043" i="1"/>
  <c r="AJ1043" i="1" s="1"/>
  <c r="M694" i="1"/>
  <c r="AJ694" i="1" s="1"/>
  <c r="AK694" i="1" s="1"/>
  <c r="M2449" i="1"/>
  <c r="AJ2449" i="1" s="1"/>
  <c r="AK2449" i="1" s="1"/>
  <c r="M759" i="1"/>
  <c r="AJ759" i="1" s="1"/>
  <c r="M645" i="1"/>
  <c r="AJ645" i="1" s="1"/>
  <c r="M1336" i="1"/>
  <c r="AJ1336" i="1" s="1"/>
  <c r="M780" i="1"/>
  <c r="AJ780" i="1" s="1"/>
  <c r="M1795" i="1"/>
  <c r="AJ1795" i="1" s="1"/>
  <c r="M288" i="1"/>
  <c r="AJ288" i="1" s="1"/>
  <c r="M2425" i="1"/>
  <c r="AJ2425" i="1" s="1"/>
  <c r="M1574" i="1"/>
  <c r="AJ1574" i="1" s="1"/>
  <c r="AK1574" i="1" s="1"/>
  <c r="M514" i="1"/>
  <c r="AJ514" i="1" s="1"/>
  <c r="M764" i="1"/>
  <c r="AJ764" i="1" s="1"/>
  <c r="M2576" i="1"/>
  <c r="AJ2576" i="1" s="1"/>
  <c r="M168" i="1"/>
  <c r="AJ168" i="1" s="1"/>
  <c r="M2528" i="1"/>
  <c r="AJ2528" i="1" s="1"/>
  <c r="M673" i="1"/>
  <c r="AJ673" i="1" s="1"/>
  <c r="M1993" i="1"/>
  <c r="AJ1993" i="1" s="1"/>
  <c r="AK1993" i="1" s="1"/>
  <c r="M1512" i="1"/>
  <c r="AJ1512" i="1" s="1"/>
  <c r="AK1512" i="1" s="1"/>
  <c r="M198" i="1"/>
  <c r="AJ198" i="1" s="1"/>
  <c r="M1230" i="1"/>
  <c r="AJ1230" i="1" s="1"/>
  <c r="M777" i="1"/>
  <c r="AJ777" i="1" s="1"/>
  <c r="M1596" i="1"/>
  <c r="AJ1596" i="1" s="1"/>
  <c r="M2014" i="1"/>
  <c r="AJ2014" i="1" s="1"/>
  <c r="M941" i="1"/>
  <c r="AJ941" i="1" s="1"/>
  <c r="M526" i="1"/>
  <c r="AJ526" i="1" s="1"/>
  <c r="M2255" i="1"/>
  <c r="AJ2255" i="1" s="1"/>
  <c r="AK2255" i="1" s="1"/>
  <c r="M1479" i="1"/>
  <c r="AJ1479" i="1" s="1"/>
  <c r="M2451" i="1"/>
  <c r="AJ2451" i="1" s="1"/>
  <c r="M2453" i="1"/>
  <c r="AJ2453" i="1" s="1"/>
  <c r="M767" i="1"/>
  <c r="AJ767" i="1" s="1"/>
  <c r="M46" i="1"/>
  <c r="AJ46" i="1" s="1"/>
  <c r="M549" i="1"/>
  <c r="AJ549" i="1" s="1"/>
  <c r="M2167" i="1"/>
  <c r="AJ2167" i="1" s="1"/>
  <c r="AK2167" i="1" s="1"/>
  <c r="M1858" i="1"/>
  <c r="AJ1858" i="1" s="1"/>
  <c r="AK1858" i="1" s="1"/>
  <c r="M371" i="1"/>
  <c r="AJ371" i="1" s="1"/>
  <c r="M760" i="1"/>
  <c r="AJ760" i="1" s="1"/>
  <c r="M66" i="1"/>
  <c r="AJ66" i="1" s="1"/>
  <c r="M1551" i="1"/>
  <c r="AJ1551" i="1" s="1"/>
  <c r="M2302" i="1"/>
  <c r="AJ2302" i="1" s="1"/>
  <c r="M217" i="1"/>
  <c r="AJ217" i="1" s="1"/>
  <c r="M1867" i="1"/>
  <c r="AJ1867" i="1" s="1"/>
  <c r="M2306" i="1"/>
  <c r="AJ2306" i="1" s="1"/>
  <c r="AK2306" i="1" s="1"/>
  <c r="M1773" i="1"/>
  <c r="AJ1773" i="1" s="1"/>
  <c r="M708" i="1"/>
  <c r="AJ708" i="1" s="1"/>
  <c r="M1789" i="1"/>
  <c r="AJ1789" i="1" s="1"/>
  <c r="M506" i="1"/>
  <c r="AJ506" i="1" s="1"/>
  <c r="M2743" i="1"/>
  <c r="AJ2743" i="1" s="1"/>
  <c r="M1856" i="1"/>
  <c r="AJ1856" i="1" s="1"/>
  <c r="M178" i="1"/>
  <c r="AJ178" i="1" s="1"/>
  <c r="AK178" i="1" s="1"/>
  <c r="M798" i="1"/>
  <c r="AJ798" i="1" s="1"/>
  <c r="M1003" i="1"/>
  <c r="AJ1003" i="1" s="1"/>
  <c r="M2270" i="1"/>
  <c r="AJ2270" i="1" s="1"/>
  <c r="M1322" i="1"/>
  <c r="AJ1322" i="1" s="1"/>
  <c r="M927" i="1"/>
  <c r="AJ927" i="1" s="1"/>
  <c r="M819" i="1"/>
  <c r="AJ819" i="1" s="1"/>
  <c r="M1351" i="1"/>
  <c r="AJ1351" i="1" s="1"/>
  <c r="M2445" i="1"/>
  <c r="AJ2445" i="1" s="1"/>
  <c r="M1813" i="1"/>
  <c r="AJ1813" i="1" s="1"/>
  <c r="AK1813" i="1" s="1"/>
  <c r="M1705" i="1"/>
  <c r="AJ1705" i="1" s="1"/>
  <c r="M1191" i="1"/>
  <c r="AJ1191" i="1" s="1"/>
  <c r="M805" i="1"/>
  <c r="AJ805" i="1" s="1"/>
  <c r="M2632" i="1"/>
  <c r="AJ2632" i="1" s="1"/>
  <c r="M404" i="1"/>
  <c r="AJ404" i="1" s="1"/>
  <c r="M839" i="1"/>
  <c r="AJ839" i="1" s="1"/>
  <c r="M840" i="1"/>
  <c r="AJ840" i="1" s="1"/>
  <c r="M496" i="1"/>
  <c r="AJ496" i="1" s="1"/>
  <c r="AK496" i="1" s="1"/>
  <c r="M1274" i="1"/>
  <c r="AJ1274" i="1" s="1"/>
  <c r="M2753" i="1"/>
  <c r="AJ2753" i="1" s="1"/>
  <c r="M1759" i="1"/>
  <c r="AJ1759" i="1" s="1"/>
  <c r="M1935" i="1"/>
  <c r="AJ1935" i="1" s="1"/>
  <c r="M573" i="1"/>
  <c r="AJ573" i="1" s="1"/>
  <c r="M1586" i="1"/>
  <c r="AJ1586" i="1" s="1"/>
  <c r="M1171" i="1"/>
  <c r="AJ1171" i="1" s="1"/>
  <c r="AK1171" i="1" s="1"/>
  <c r="M1131" i="1"/>
  <c r="AJ1131" i="1" s="1"/>
  <c r="AK1131" i="1" s="1"/>
  <c r="M2550" i="1"/>
  <c r="AJ2550" i="1" s="1"/>
  <c r="M2095" i="1"/>
  <c r="AJ2095" i="1" s="1"/>
  <c r="M1970" i="1"/>
  <c r="AJ1970" i="1" s="1"/>
  <c r="M997" i="1"/>
  <c r="AJ997" i="1" s="1"/>
  <c r="M1832" i="1"/>
  <c r="AJ1832" i="1" s="1"/>
  <c r="M865" i="1"/>
  <c r="AJ865" i="1" s="1"/>
  <c r="M2271" i="1"/>
  <c r="AJ2271" i="1" s="1"/>
  <c r="AK2271" i="1" s="1"/>
  <c r="M2250" i="1"/>
  <c r="AJ2250" i="1" s="1"/>
  <c r="M1649" i="1"/>
  <c r="AJ1649" i="1" s="1"/>
  <c r="M2299" i="1"/>
  <c r="AJ2299" i="1" s="1"/>
  <c r="M894" i="1"/>
  <c r="AJ894" i="1" s="1"/>
  <c r="M1069" i="1"/>
  <c r="AJ1069" i="1" s="1"/>
  <c r="M1673" i="1"/>
  <c r="AJ1673" i="1" s="1"/>
  <c r="M1733" i="1"/>
  <c r="AJ1733" i="1" s="1"/>
  <c r="M1393" i="1"/>
  <c r="AJ1393" i="1" s="1"/>
  <c r="M2649" i="1"/>
  <c r="AJ2649" i="1" s="1"/>
  <c r="AK2649" i="1" s="1"/>
  <c r="M2084" i="1"/>
  <c r="AJ2084" i="1" s="1"/>
  <c r="M67" i="1"/>
  <c r="AJ67" i="1" s="1"/>
  <c r="M374" i="1"/>
  <c r="AJ374" i="1" s="1"/>
  <c r="M1849" i="1"/>
  <c r="AJ1849" i="1" s="1"/>
  <c r="M1276" i="1"/>
  <c r="AJ1276" i="1" s="1"/>
  <c r="M2428" i="1"/>
  <c r="AJ2428" i="1" s="1"/>
  <c r="M2215" i="1"/>
  <c r="AJ2215" i="1" s="1"/>
  <c r="M1523" i="1"/>
  <c r="AJ1523" i="1" s="1"/>
  <c r="M1597" i="1"/>
  <c r="AJ1597" i="1" s="1"/>
  <c r="M1480" i="1"/>
  <c r="AJ1480" i="1" s="1"/>
  <c r="M1010" i="1"/>
  <c r="AJ1010" i="1" s="1"/>
  <c r="M1114" i="1"/>
  <c r="AJ1114" i="1" s="1"/>
  <c r="M575" i="1"/>
  <c r="AJ575" i="1" s="1"/>
  <c r="M633" i="1"/>
  <c r="AJ633" i="1" s="1"/>
  <c r="M1481" i="1"/>
  <c r="AJ1481" i="1" s="1"/>
  <c r="AK1481" i="1" s="1"/>
  <c r="M1948" i="1"/>
  <c r="AJ1948" i="1" s="1"/>
  <c r="AK1948" i="1" s="1"/>
  <c r="M670" i="1"/>
  <c r="AJ670" i="1" s="1"/>
  <c r="M2135" i="1"/>
  <c r="AJ2135" i="1" s="1"/>
  <c r="M2789" i="1"/>
  <c r="AJ2789" i="1" s="1"/>
  <c r="M2092" i="1"/>
  <c r="AJ2092" i="1" s="1"/>
  <c r="M1818" i="1"/>
  <c r="AJ1818" i="1" s="1"/>
  <c r="M1228" i="1"/>
  <c r="AJ1228" i="1" s="1"/>
  <c r="M1412" i="1"/>
  <c r="AJ1412" i="1" s="1"/>
  <c r="AK1412" i="1" s="1"/>
  <c r="M1020" i="1"/>
  <c r="AJ1020" i="1" s="1"/>
  <c r="M1297" i="1"/>
  <c r="AJ1297" i="1" s="1"/>
  <c r="M2264" i="1"/>
  <c r="AJ2264" i="1" s="1"/>
  <c r="M2190" i="1"/>
  <c r="AJ2190" i="1" s="1"/>
  <c r="M1873" i="1"/>
  <c r="AJ1873" i="1" s="1"/>
  <c r="M52" i="1"/>
  <c r="AJ52" i="1" s="1"/>
  <c r="M196" i="1"/>
  <c r="AJ196" i="1" s="1"/>
  <c r="M1011" i="1"/>
  <c r="AJ1011" i="1" s="1"/>
  <c r="AK1011" i="1" s="1"/>
  <c r="M508" i="1"/>
  <c r="AJ508" i="1" s="1"/>
  <c r="AK508" i="1" s="1"/>
  <c r="M403" i="1"/>
  <c r="AJ403" i="1" s="1"/>
  <c r="M1017" i="1"/>
  <c r="AJ1017" i="1" s="1"/>
  <c r="M2484" i="1"/>
  <c r="AJ2484" i="1" s="1"/>
  <c r="M1770" i="1"/>
  <c r="AJ1770" i="1" s="1"/>
  <c r="M781" i="1"/>
  <c r="AJ781" i="1" s="1"/>
  <c r="M2463" i="1"/>
  <c r="AJ2463" i="1" s="1"/>
  <c r="M2441" i="1"/>
  <c r="AJ2441" i="1" s="1"/>
  <c r="M1885" i="1"/>
  <c r="AJ1885" i="1" s="1"/>
  <c r="M2547" i="1"/>
  <c r="AJ2547" i="1" s="1"/>
  <c r="M1283" i="1"/>
  <c r="AJ1283" i="1" s="1"/>
  <c r="M1207" i="1"/>
  <c r="AJ1207" i="1" s="1"/>
  <c r="M1049" i="1"/>
  <c r="AJ1049" i="1" s="1"/>
  <c r="M2381" i="1"/>
  <c r="AJ2381" i="1" s="1"/>
  <c r="M1821" i="1"/>
  <c r="AJ1821" i="1" s="1"/>
  <c r="M31" i="1"/>
  <c r="AJ31" i="1" s="1"/>
  <c r="AK31" i="1" s="1"/>
  <c r="M998" i="1"/>
  <c r="AJ998" i="1" s="1"/>
  <c r="M2214" i="1"/>
  <c r="AJ2214" i="1" s="1"/>
  <c r="M201" i="1"/>
  <c r="AJ201" i="1" s="1"/>
  <c r="M1609" i="1"/>
  <c r="AJ1609" i="1" s="1"/>
  <c r="M796" i="1"/>
  <c r="AJ796" i="1" s="1"/>
  <c r="M1226" i="1"/>
  <c r="AJ1226" i="1" s="1"/>
  <c r="M775" i="1"/>
  <c r="AJ775" i="1" s="1"/>
  <c r="M303" i="1"/>
  <c r="AJ303" i="1" s="1"/>
  <c r="M2730" i="1"/>
  <c r="AJ2730" i="1" s="1"/>
  <c r="AK2730" i="1" s="1"/>
  <c r="M1327" i="1"/>
  <c r="AJ1327" i="1" s="1"/>
  <c r="M2470" i="1"/>
  <c r="AJ2470" i="1" s="1"/>
  <c r="M2793" i="1"/>
  <c r="AJ2793" i="1" s="1"/>
  <c r="M1975" i="1"/>
  <c r="AJ1975" i="1" s="1"/>
  <c r="M2030" i="1"/>
  <c r="AJ2030" i="1" s="1"/>
  <c r="M2643" i="1"/>
  <c r="AJ2643" i="1" s="1"/>
  <c r="M1923" i="1"/>
  <c r="AJ1923" i="1" s="1"/>
  <c r="AK1923" i="1" s="1"/>
  <c r="M431" i="1"/>
  <c r="AJ431" i="1" s="1"/>
  <c r="M1093" i="1"/>
  <c r="AJ1093" i="1" s="1"/>
  <c r="M2400" i="1"/>
  <c r="AJ2400" i="1" s="1"/>
  <c r="M848" i="1"/>
  <c r="AJ848" i="1" s="1"/>
  <c r="M809" i="1"/>
  <c r="AJ809" i="1" s="1"/>
  <c r="M984" i="1"/>
  <c r="AJ984" i="1" s="1"/>
  <c r="M2311" i="1"/>
  <c r="AJ2311" i="1" s="1"/>
  <c r="M2446" i="1"/>
  <c r="AJ2446" i="1" s="1"/>
  <c r="M1985" i="1"/>
  <c r="AJ1985" i="1" s="1"/>
  <c r="M1577" i="1"/>
  <c r="AJ1577" i="1" s="1"/>
  <c r="M1236" i="1"/>
  <c r="AJ1236" i="1" s="1"/>
  <c r="M800" i="1"/>
  <c r="AJ800" i="1" s="1"/>
  <c r="M147" i="1"/>
  <c r="AJ147" i="1" s="1"/>
  <c r="M2107" i="1"/>
  <c r="AJ2107" i="1" s="1"/>
  <c r="M1476" i="1"/>
  <c r="AJ1476" i="1" s="1"/>
  <c r="M75" i="1"/>
  <c r="AJ75" i="1" s="1"/>
  <c r="AK75" i="1" s="1"/>
  <c r="M1604" i="1"/>
  <c r="AJ1604" i="1" s="1"/>
  <c r="AK1604" i="1" s="1"/>
  <c r="M1933" i="1"/>
  <c r="AJ1933" i="1" s="1"/>
  <c r="M1927" i="1"/>
  <c r="AJ1927" i="1" s="1"/>
  <c r="M2374" i="1"/>
  <c r="AJ2374" i="1" s="1"/>
  <c r="M1385" i="1"/>
  <c r="AJ1385" i="1" s="1"/>
  <c r="M939" i="1"/>
  <c r="AJ939" i="1" s="1"/>
  <c r="M1473" i="1"/>
  <c r="AJ1473" i="1" s="1"/>
  <c r="M2230" i="1"/>
  <c r="AJ2230" i="1" s="1"/>
  <c r="M236" i="1"/>
  <c r="AJ236" i="1" s="1"/>
  <c r="AK236" i="1" s="1"/>
  <c r="M1637" i="1"/>
  <c r="AJ1637" i="1" s="1"/>
  <c r="M828" i="1"/>
  <c r="AJ828" i="1" s="1"/>
  <c r="M814" i="1"/>
  <c r="AJ814" i="1" s="1"/>
  <c r="M907" i="1"/>
  <c r="AJ907" i="1" s="1"/>
  <c r="M2510" i="1"/>
  <c r="AJ2510" i="1" s="1"/>
  <c r="M1163" i="1"/>
  <c r="AJ1163" i="1" s="1"/>
  <c r="M2152" i="1"/>
  <c r="AJ2152" i="1" s="1"/>
  <c r="AK2152" i="1" s="1"/>
  <c r="M789" i="1"/>
  <c r="AJ789" i="1" s="1"/>
  <c r="M1872" i="1"/>
  <c r="AJ1872" i="1" s="1"/>
  <c r="M247" i="1"/>
  <c r="AJ247" i="1" s="1"/>
  <c r="M1248" i="1"/>
  <c r="AJ1248" i="1" s="1"/>
  <c r="M1544" i="1"/>
  <c r="AJ1544" i="1" s="1"/>
  <c r="M546" i="1"/>
  <c r="AJ546" i="1" s="1"/>
  <c r="M205" i="1"/>
  <c r="AJ205" i="1" s="1"/>
  <c r="M535" i="1"/>
  <c r="AJ535" i="1" s="1"/>
  <c r="AK535" i="1" s="1"/>
  <c r="M837" i="1"/>
  <c r="AJ837" i="1" s="1"/>
  <c r="AK837" i="1" s="1"/>
  <c r="M432" i="1"/>
  <c r="AJ432" i="1" s="1"/>
  <c r="M915" i="1"/>
  <c r="AJ915" i="1" s="1"/>
  <c r="M2575" i="1"/>
  <c r="AJ2575" i="1" s="1"/>
  <c r="M183" i="1"/>
  <c r="AJ183" i="1" s="1"/>
  <c r="M1548" i="1"/>
  <c r="AJ1548" i="1" s="1"/>
  <c r="M2630" i="1"/>
  <c r="AJ2630" i="1" s="1"/>
  <c r="M1135" i="1"/>
  <c r="AJ1135" i="1" s="1"/>
  <c r="M1000" i="1"/>
  <c r="AJ1000" i="1" s="1"/>
  <c r="AK1000" i="1" s="1"/>
  <c r="M396" i="1"/>
  <c r="AJ396" i="1" s="1"/>
  <c r="M1440" i="1"/>
  <c r="AJ1440" i="1" s="1"/>
  <c r="M2624" i="1"/>
  <c r="AJ2624" i="1" s="1"/>
  <c r="M1222" i="1"/>
  <c r="AJ1222" i="1" s="1"/>
  <c r="M2749" i="1"/>
  <c r="AJ2749" i="1" s="1"/>
  <c r="M966" i="1"/>
  <c r="AJ966" i="1" s="1"/>
  <c r="M2786" i="1"/>
  <c r="AJ2786" i="1" s="1"/>
  <c r="M2694" i="1"/>
  <c r="AJ2694" i="1" s="1"/>
  <c r="AK2694" i="1" s="1"/>
  <c r="M587" i="1"/>
  <c r="AJ587" i="1" s="1"/>
  <c r="M363" i="1"/>
  <c r="AJ363" i="1" s="1"/>
  <c r="M266" i="1"/>
  <c r="AJ266" i="1" s="1"/>
  <c r="M623" i="1"/>
  <c r="AJ623" i="1" s="1"/>
  <c r="M125" i="1"/>
  <c r="AJ125" i="1" s="1"/>
  <c r="M1036" i="1"/>
  <c r="AJ1036" i="1" s="1"/>
  <c r="M2531" i="1"/>
  <c r="AJ2531" i="1" s="1"/>
  <c r="AK2531" i="1" s="1"/>
  <c r="M1275" i="1"/>
  <c r="AJ1275" i="1" s="1"/>
  <c r="M1537" i="1"/>
  <c r="AJ1537" i="1" s="1"/>
  <c r="M2099" i="1"/>
  <c r="AJ2099" i="1" s="1"/>
  <c r="M136" i="1"/>
  <c r="AJ136" i="1" s="1"/>
  <c r="M1231" i="1"/>
  <c r="AJ1231" i="1" s="1"/>
  <c r="M2388" i="1"/>
  <c r="AJ2388" i="1" s="1"/>
  <c r="M1908" i="1"/>
  <c r="AJ1908" i="1" s="1"/>
  <c r="M2747" i="1"/>
  <c r="AJ2747" i="1" s="1"/>
  <c r="AK2747" i="1" s="1"/>
  <c r="M2637" i="1"/>
  <c r="AJ2637" i="1" s="1"/>
  <c r="AK2637" i="1" s="1"/>
  <c r="M257" i="1"/>
  <c r="AJ257" i="1" s="1"/>
  <c r="M1339" i="1"/>
  <c r="AJ1339" i="1" s="1"/>
  <c r="M553" i="1"/>
  <c r="AJ553" i="1" s="1"/>
  <c r="M1433" i="1"/>
  <c r="AJ1433" i="1" s="1"/>
  <c r="M2616" i="1"/>
  <c r="AJ2616" i="1" s="1"/>
  <c r="M1912" i="1"/>
  <c r="AJ1912" i="1" s="1"/>
  <c r="M163" i="1"/>
  <c r="AJ163" i="1" s="1"/>
  <c r="M1622" i="1"/>
  <c r="AJ1622" i="1" s="1"/>
  <c r="M1455" i="1"/>
  <c r="AJ1455" i="1" s="1"/>
  <c r="M1675" i="1"/>
  <c r="AJ1675" i="1" s="1"/>
  <c r="M1982" i="1"/>
  <c r="AJ1982" i="1" s="1"/>
  <c r="M607" i="1"/>
  <c r="AJ607" i="1" s="1"/>
  <c r="M2058" i="1"/>
  <c r="AJ2058" i="1" s="1"/>
  <c r="M990" i="1"/>
  <c r="AJ990" i="1" s="1"/>
  <c r="M2067" i="1"/>
  <c r="AJ2067" i="1" s="1"/>
  <c r="M1186" i="1"/>
  <c r="AJ1186" i="1" s="1"/>
  <c r="AK1186" i="1" s="1"/>
  <c r="M1041" i="1"/>
  <c r="AJ1041" i="1" s="1"/>
  <c r="M1139" i="1"/>
  <c r="AJ1139" i="1" s="1"/>
  <c r="M1823" i="1"/>
  <c r="AJ1823" i="1" s="1"/>
  <c r="M725" i="1"/>
  <c r="AJ725" i="1" s="1"/>
  <c r="M2386" i="1"/>
  <c r="AJ2386" i="1" s="1"/>
  <c r="M207" i="1"/>
  <c r="AJ207" i="1" s="1"/>
  <c r="M2770" i="1"/>
  <c r="AJ2770" i="1" s="1"/>
  <c r="M2305" i="1"/>
  <c r="AJ2305" i="1" s="1"/>
  <c r="AK2305" i="1" s="1"/>
  <c r="M1607" i="1"/>
  <c r="AJ1607" i="1" s="1"/>
  <c r="M2783" i="1"/>
  <c r="AJ2783" i="1" s="1"/>
  <c r="M2653" i="1"/>
  <c r="AJ2653" i="1" s="1"/>
  <c r="M1306" i="1"/>
  <c r="AJ1306" i="1" s="1"/>
  <c r="M269" i="1"/>
  <c r="AJ269" i="1" s="1"/>
  <c r="M2602" i="1"/>
  <c r="AJ2602" i="1" s="1"/>
  <c r="M714" i="1"/>
  <c r="AJ714" i="1" s="1"/>
  <c r="AK714" i="1" s="1"/>
  <c r="M351" i="1"/>
  <c r="AJ351" i="1" s="1"/>
  <c r="AK351" i="1" s="1"/>
  <c r="M1124" i="1"/>
  <c r="AJ1124" i="1" s="1"/>
  <c r="M1123" i="1"/>
  <c r="AJ1123" i="1" s="1"/>
  <c r="M2356" i="1"/>
  <c r="AJ2356" i="1" s="1"/>
  <c r="M1585" i="1"/>
  <c r="AJ1585" i="1" s="1"/>
  <c r="M2018" i="1"/>
  <c r="AJ2018" i="1" s="1"/>
  <c r="M2341" i="1"/>
  <c r="AJ2341" i="1" s="1"/>
  <c r="M1913" i="1"/>
  <c r="AJ1913" i="1" s="1"/>
  <c r="M199" i="1"/>
  <c r="AJ199" i="1" s="1"/>
  <c r="AK199" i="1" s="1"/>
  <c r="M2736" i="1"/>
  <c r="AJ2736" i="1" s="1"/>
  <c r="M2276" i="1"/>
  <c r="AJ2276" i="1" s="1"/>
  <c r="M1312" i="1"/>
  <c r="AJ1312" i="1" s="1"/>
  <c r="M916" i="1"/>
  <c r="AJ916" i="1" s="1"/>
  <c r="M1732" i="1"/>
  <c r="AJ1732" i="1" s="1"/>
  <c r="M832" i="1"/>
  <c r="AJ832" i="1" s="1"/>
  <c r="M1382" i="1"/>
  <c r="AJ1382" i="1" s="1"/>
  <c r="AK1382" i="1" s="1"/>
  <c r="M81" i="1"/>
  <c r="AJ81" i="1" s="1"/>
  <c r="AK81" i="1" s="1"/>
  <c r="M427" i="1"/>
  <c r="AJ427" i="1" s="1"/>
  <c r="M884" i="1"/>
  <c r="AJ884" i="1" s="1"/>
  <c r="M554" i="1"/>
  <c r="AJ554" i="1" s="1"/>
  <c r="M1376" i="1"/>
  <c r="AJ1376" i="1" s="1"/>
  <c r="M2537" i="1"/>
  <c r="AJ2537" i="1" s="1"/>
  <c r="M1769" i="1"/>
  <c r="AJ1769" i="1" s="1"/>
  <c r="M1937" i="1"/>
  <c r="AJ1937" i="1" s="1"/>
  <c r="M1229" i="1"/>
  <c r="AJ1229" i="1" s="1"/>
  <c r="AK1229" i="1" s="1"/>
  <c r="M209" i="1"/>
  <c r="AJ209" i="1" s="1"/>
  <c r="M1018" i="1"/>
  <c r="AJ1018" i="1" s="1"/>
  <c r="M36" i="1"/>
  <c r="AJ36" i="1" s="1"/>
  <c r="M103" i="1"/>
  <c r="AJ103" i="1" s="1"/>
  <c r="M2572" i="1"/>
  <c r="AJ2572" i="1" s="1"/>
  <c r="M2707" i="1"/>
  <c r="AJ2707" i="1" s="1"/>
  <c r="M2518" i="1"/>
  <c r="AJ2518" i="1" s="1"/>
  <c r="AK2518" i="1" s="1"/>
  <c r="M1572" i="1"/>
  <c r="AJ1572" i="1" s="1"/>
  <c r="AK1572" i="1" s="1"/>
  <c r="M1392" i="1"/>
  <c r="AJ1392" i="1" s="1"/>
  <c r="M2546" i="1"/>
  <c r="AJ2546" i="1" s="1"/>
  <c r="M486" i="1"/>
  <c r="AJ486" i="1" s="1"/>
  <c r="M695" i="1"/>
  <c r="AJ695" i="1" s="1"/>
  <c r="M1996" i="1"/>
  <c r="AJ1996" i="1" s="1"/>
  <c r="M445" i="1"/>
  <c r="AJ445" i="1" s="1"/>
  <c r="M283" i="1"/>
  <c r="AJ283" i="1" s="1"/>
  <c r="M768" i="1"/>
  <c r="AJ768" i="1" s="1"/>
  <c r="M1895" i="1"/>
  <c r="AJ1895" i="1" s="1"/>
  <c r="M1505" i="1"/>
  <c r="AJ1505" i="1" s="1"/>
  <c r="M1712" i="1"/>
  <c r="AJ1712" i="1" s="1"/>
  <c r="M61" i="1"/>
  <c r="AJ61" i="1" s="1"/>
  <c r="M1394" i="1"/>
  <c r="AJ1394" i="1" s="1"/>
  <c r="M1806" i="1"/>
  <c r="AJ1806" i="1" s="1"/>
  <c r="M2655" i="1"/>
  <c r="AJ2655" i="1" s="1"/>
  <c r="AK2655" i="1" s="1"/>
  <c r="M2177" i="1"/>
  <c r="AJ2177" i="1" s="1"/>
  <c r="M2695" i="1"/>
  <c r="AJ2695" i="1" s="1"/>
  <c r="M1680" i="1"/>
  <c r="AJ1680" i="1" s="1"/>
  <c r="M2633" i="1"/>
  <c r="AJ2633" i="1" s="1"/>
  <c r="M1125" i="1"/>
  <c r="AJ1125" i="1" s="1"/>
  <c r="M78" i="1"/>
  <c r="AJ78" i="1" s="1"/>
  <c r="M2466" i="1"/>
  <c r="AJ2466" i="1" s="1"/>
  <c r="M1989" i="1"/>
  <c r="AJ1989" i="1" s="1"/>
  <c r="M816" i="1"/>
  <c r="AJ816" i="1" s="1"/>
  <c r="AK816" i="1" s="1"/>
  <c r="M2378" i="1"/>
  <c r="AJ2378" i="1" s="1"/>
  <c r="M1189" i="1"/>
  <c r="AJ1189" i="1" s="1"/>
  <c r="M1082" i="1"/>
  <c r="AJ1082" i="1" s="1"/>
  <c r="M210" i="1"/>
  <c r="AJ210" i="1" s="1"/>
  <c r="M2792" i="1"/>
  <c r="AJ2792" i="1" s="1"/>
  <c r="M2234" i="1"/>
  <c r="AJ2234" i="1" s="1"/>
  <c r="M609" i="1"/>
  <c r="AJ609" i="1" s="1"/>
  <c r="M2243" i="1"/>
  <c r="AJ2243" i="1" s="1"/>
  <c r="AK2243" i="1" s="1"/>
  <c r="M2502" i="1"/>
  <c r="AJ2502" i="1" s="1"/>
  <c r="M2213" i="1"/>
  <c r="AJ2213" i="1" s="1"/>
  <c r="M2686" i="1"/>
  <c r="AJ2686" i="1" s="1"/>
  <c r="M2346" i="1"/>
  <c r="AJ2346" i="1" s="1"/>
  <c r="M393" i="1"/>
  <c r="AJ393" i="1" s="1"/>
  <c r="M327" i="1"/>
  <c r="AJ327" i="1" s="1"/>
  <c r="M1651" i="1"/>
  <c r="AJ1651" i="1" s="1"/>
  <c r="AK1651" i="1" s="1"/>
  <c r="M824" i="1"/>
  <c r="AJ824" i="1" s="1"/>
  <c r="M2098" i="1"/>
  <c r="AJ2098" i="1" s="1"/>
  <c r="M2287" i="1"/>
  <c r="AJ2287" i="1" s="1"/>
  <c r="M738" i="1"/>
  <c r="AJ738" i="1" s="1"/>
  <c r="M2078" i="1"/>
  <c r="AJ2078" i="1" s="1"/>
  <c r="M334" i="1"/>
  <c r="AJ334" i="1" s="1"/>
  <c r="M908" i="1"/>
  <c r="AJ908" i="1" s="1"/>
  <c r="M590" i="1"/>
  <c r="AJ590" i="1" s="1"/>
  <c r="M395" i="1"/>
  <c r="AJ395" i="1" s="1"/>
  <c r="M2429" i="1"/>
  <c r="AJ2429" i="1" s="1"/>
  <c r="M2782" i="1"/>
  <c r="AJ2782" i="1" s="1"/>
  <c r="M1958" i="1"/>
  <c r="AJ1958" i="1" s="1"/>
  <c r="M1019" i="1"/>
  <c r="AJ1019" i="1" s="1"/>
  <c r="M2086" i="1"/>
  <c r="AJ2086" i="1" s="1"/>
  <c r="M290" i="1"/>
  <c r="AJ290" i="1" s="1"/>
  <c r="M660" i="1"/>
  <c r="AJ660" i="1" s="1"/>
  <c r="M561" i="1"/>
  <c r="AJ561" i="1" s="1"/>
  <c r="AK561" i="1" s="1"/>
  <c r="M2009" i="1"/>
  <c r="AJ2009" i="1" s="1"/>
  <c r="M1700" i="1"/>
  <c r="AJ1700" i="1" s="1"/>
  <c r="M977" i="1"/>
  <c r="AJ977" i="1" s="1"/>
  <c r="M2714" i="1"/>
  <c r="AJ2714" i="1" s="1"/>
  <c r="M520" i="1"/>
  <c r="AJ520" i="1" s="1"/>
  <c r="M1407" i="1"/>
  <c r="AJ1407" i="1" s="1"/>
  <c r="M1031" i="1"/>
  <c r="AJ1031" i="1" s="1"/>
  <c r="M1442" i="1"/>
  <c r="AJ1442" i="1" s="1"/>
  <c r="M1802" i="1"/>
  <c r="AJ1802" i="1" s="1"/>
  <c r="M224" i="1"/>
  <c r="AJ224" i="1" s="1"/>
  <c r="M2784" i="1"/>
  <c r="AJ2784" i="1" s="1"/>
  <c r="M1443" i="1"/>
  <c r="AJ1443" i="1" s="1"/>
  <c r="M1756" i="1"/>
  <c r="AJ1756" i="1" s="1"/>
  <c r="M15" i="1"/>
  <c r="AJ15" i="1" s="1"/>
  <c r="M2188" i="1"/>
  <c r="AJ2188" i="1" s="1"/>
  <c r="AK2188" i="1" s="1"/>
  <c r="M1980" i="1"/>
  <c r="AJ1980" i="1" s="1"/>
  <c r="AK1980" i="1" s="1"/>
  <c r="M1365" i="1"/>
  <c r="AJ1365" i="1" s="1"/>
  <c r="M851" i="1"/>
  <c r="AJ851" i="1" s="1"/>
  <c r="M2473" i="1"/>
  <c r="AJ2473" i="1" s="1"/>
  <c r="M2278" i="1"/>
  <c r="AJ2278" i="1" s="1"/>
  <c r="M2300" i="1"/>
  <c r="AJ2300" i="1" s="1"/>
  <c r="M1620" i="1"/>
  <c r="AJ1620" i="1" s="1"/>
  <c r="M1520" i="1"/>
  <c r="AJ1520" i="1" s="1"/>
  <c r="M929" i="1"/>
  <c r="AJ929" i="1" s="1"/>
  <c r="M960" i="1"/>
  <c r="AJ960" i="1" s="1"/>
  <c r="M1538" i="1"/>
  <c r="AJ1538" i="1" s="1"/>
  <c r="M402" i="1"/>
  <c r="AJ402" i="1" s="1"/>
  <c r="M931" i="1"/>
  <c r="AJ931" i="1" s="1"/>
  <c r="M2285" i="1"/>
  <c r="AJ2285" i="1" s="1"/>
  <c r="M2160" i="1"/>
  <c r="AJ2160" i="1" s="1"/>
  <c r="M2048" i="1"/>
  <c r="AJ2048" i="1" s="1"/>
  <c r="AK2048" i="1" s="1"/>
  <c r="M2548" i="1"/>
  <c r="AJ2548" i="1" s="1"/>
  <c r="AK2548" i="1" s="1"/>
  <c r="M653" i="1"/>
  <c r="AJ653" i="1" s="1"/>
  <c r="M23" i="1"/>
  <c r="AJ23" i="1" s="1"/>
  <c r="M253" i="1"/>
  <c r="AJ253" i="1" s="1"/>
  <c r="M4" i="1"/>
  <c r="AJ4" i="1" s="1"/>
  <c r="M637" i="1"/>
  <c r="AJ637" i="1" s="1"/>
  <c r="M1861" i="1"/>
  <c r="AJ1861" i="1" s="1"/>
  <c r="M1587" i="1"/>
  <c r="AJ1587" i="1" s="1"/>
  <c r="M1345" i="1"/>
  <c r="AJ1345" i="1" s="1"/>
  <c r="M1352" i="1"/>
  <c r="AJ1352" i="1" s="1"/>
  <c r="M137" i="1"/>
  <c r="AJ137" i="1" s="1"/>
  <c r="M1618" i="1"/>
  <c r="AJ1618" i="1" s="1"/>
  <c r="M621" i="1"/>
  <c r="AJ621" i="1" s="1"/>
  <c r="M227" i="1"/>
  <c r="AJ227" i="1" s="1"/>
  <c r="M2745" i="1"/>
  <c r="AJ2745" i="1" s="1"/>
  <c r="M1129" i="1"/>
  <c r="AJ1129" i="1" s="1"/>
  <c r="AK1129" i="1" s="1"/>
  <c r="M448" i="1"/>
  <c r="AJ448" i="1" s="1"/>
  <c r="AK448" i="1" s="1"/>
  <c r="M2599" i="1"/>
  <c r="AJ2599" i="1" s="1"/>
  <c r="M1984" i="1"/>
  <c r="AJ1984" i="1" s="1"/>
  <c r="M2358" i="1"/>
  <c r="AJ2358" i="1" s="1"/>
  <c r="M461" i="1"/>
  <c r="AJ461" i="1" s="1"/>
  <c r="M249" i="1"/>
  <c r="AJ249" i="1" s="1"/>
  <c r="M79" i="1"/>
  <c r="AJ79" i="1" s="1"/>
  <c r="M1262" i="1"/>
  <c r="AJ1262" i="1" s="1"/>
  <c r="M2088" i="1"/>
  <c r="AJ2088" i="1" s="1"/>
  <c r="AK2088" i="1" s="1"/>
  <c r="M2083" i="1"/>
  <c r="AJ2083" i="1" s="1"/>
  <c r="M869" i="1"/>
  <c r="AJ869" i="1" s="1"/>
  <c r="M26" i="1"/>
  <c r="AJ26" i="1" s="1"/>
  <c r="M2591" i="1"/>
  <c r="AJ2591" i="1" s="1"/>
  <c r="M875" i="1"/>
  <c r="AJ875" i="1" s="1"/>
  <c r="M823" i="1"/>
  <c r="AJ823" i="1" s="1"/>
  <c r="M1892" i="1"/>
  <c r="AJ1892" i="1" s="1"/>
  <c r="AK1892" i="1" s="1"/>
  <c r="M641" i="1"/>
  <c r="AJ641" i="1" s="1"/>
  <c r="M310" i="1"/>
  <c r="AJ310" i="1" s="1"/>
  <c r="M516" i="1"/>
  <c r="AJ516" i="1" s="1"/>
  <c r="M1501" i="1"/>
  <c r="AJ1501" i="1" s="1"/>
  <c r="M2054" i="1"/>
  <c r="AJ2054" i="1" s="1"/>
  <c r="M375" i="1"/>
  <c r="AJ375" i="1" s="1"/>
  <c r="M2216" i="1"/>
  <c r="AJ2216" i="1" s="1"/>
  <c r="M1154" i="1"/>
  <c r="AJ1154" i="1" s="1"/>
  <c r="M1321" i="1"/>
  <c r="AJ1321" i="1" s="1"/>
  <c r="M1174" i="1"/>
  <c r="AJ1174" i="1" s="1"/>
  <c r="M397" i="1"/>
  <c r="AJ397" i="1" s="1"/>
  <c r="M2145" i="1"/>
  <c r="AJ2145" i="1" s="1"/>
  <c r="M2241" i="1"/>
  <c r="AJ2241" i="1" s="1"/>
  <c r="M2209" i="1"/>
  <c r="AJ2209" i="1" s="1"/>
  <c r="M172" i="1"/>
  <c r="AJ172" i="1" s="1"/>
  <c r="M1395" i="1"/>
  <c r="AJ1395" i="1" s="1"/>
  <c r="AK1395" i="1" s="1"/>
  <c r="M2582" i="1"/>
  <c r="AJ2582" i="1" s="1"/>
  <c r="M877" i="1"/>
  <c r="AJ877" i="1" s="1"/>
  <c r="M2204" i="1"/>
  <c r="AJ2204" i="1" s="1"/>
  <c r="M1203" i="1"/>
  <c r="AJ1203" i="1" s="1"/>
  <c r="M2263" i="1"/>
  <c r="AJ2263" i="1" s="1"/>
  <c r="M2456" i="1"/>
  <c r="AJ2456" i="1" s="1"/>
  <c r="M2509" i="1"/>
  <c r="AJ2509" i="1" s="1"/>
  <c r="M1677" i="1"/>
  <c r="AJ1677" i="1" s="1"/>
  <c r="AK1677" i="1" s="1"/>
  <c r="M2057" i="1"/>
  <c r="AJ2057" i="1" s="1"/>
  <c r="AK2057" i="1" s="1"/>
  <c r="M1988" i="1"/>
  <c r="AJ1988" i="1" s="1"/>
  <c r="M420" i="1"/>
  <c r="AJ420" i="1" s="1"/>
  <c r="M1425" i="1"/>
  <c r="AJ1425" i="1" s="1"/>
  <c r="M1359" i="1"/>
  <c r="AJ1359" i="1" s="1"/>
  <c r="M1793" i="1"/>
  <c r="AJ1793" i="1" s="1"/>
  <c r="M169" i="1"/>
  <c r="AJ169" i="1" s="1"/>
  <c r="M1652" i="1"/>
  <c r="AJ1652" i="1" s="1"/>
  <c r="AK1652" i="1" s="1"/>
  <c r="M2787" i="1"/>
  <c r="AJ2787" i="1" s="1"/>
  <c r="M11" i="1"/>
  <c r="AJ11" i="1" s="1"/>
  <c r="M1081" i="1"/>
  <c r="AJ1081" i="1" s="1"/>
  <c r="M1045" i="1"/>
  <c r="AJ1045" i="1" s="1"/>
  <c r="M766" i="1"/>
  <c r="AJ766" i="1" s="1"/>
  <c r="M2682" i="1"/>
  <c r="AJ2682" i="1" s="1"/>
  <c r="M2203" i="1"/>
  <c r="AJ2203" i="1" s="1"/>
  <c r="M1777" i="1"/>
  <c r="AJ1777" i="1" s="1"/>
  <c r="AK1777" i="1" s="1"/>
  <c r="M985" i="1"/>
  <c r="AJ985" i="1" s="1"/>
  <c r="AK985" i="1" s="1"/>
  <c r="M415" i="1"/>
  <c r="AJ415" i="1" s="1"/>
  <c r="M90" i="1"/>
  <c r="AJ90" i="1" s="1"/>
  <c r="M2024" i="1"/>
  <c r="AJ2024" i="1" s="1"/>
  <c r="M1408" i="1"/>
  <c r="AJ1408" i="1" s="1"/>
  <c r="M2121" i="1"/>
  <c r="AJ2121" i="1" s="1"/>
  <c r="M1147" i="1"/>
  <c r="AJ1147" i="1" s="1"/>
  <c r="M1824" i="1"/>
  <c r="AJ1824" i="1" s="1"/>
  <c r="M157" i="1"/>
  <c r="AJ157" i="1" s="1"/>
  <c r="M1591" i="1"/>
  <c r="AJ1591" i="1" s="1"/>
  <c r="M424" i="1"/>
  <c r="AJ424" i="1" s="1"/>
  <c r="M276" i="1"/>
  <c r="AJ276" i="1" s="1"/>
  <c r="M1047" i="1"/>
  <c r="AJ1047" i="1" s="1"/>
  <c r="M2732" i="1"/>
  <c r="AJ2732" i="1" s="1"/>
  <c r="M481" i="1"/>
  <c r="AJ481" i="1" s="1"/>
  <c r="M1244" i="1"/>
  <c r="AJ1244" i="1" s="1"/>
  <c r="AK1244" i="1" s="1"/>
  <c r="M2221" i="1"/>
  <c r="AJ2221" i="1" s="1"/>
  <c r="M778" i="1"/>
  <c r="AJ778" i="1" s="1"/>
  <c r="M129" i="1"/>
  <c r="AJ129" i="1" s="1"/>
  <c r="M1309" i="1"/>
  <c r="AJ1309" i="1" s="1"/>
  <c r="M1185" i="1"/>
  <c r="AJ1185" i="1" s="1"/>
  <c r="M2439" i="1"/>
  <c r="AJ2439" i="1" s="1"/>
  <c r="M1978" i="1"/>
  <c r="AJ1978" i="1" s="1"/>
  <c r="M954" i="1"/>
  <c r="AJ954" i="1" s="1"/>
  <c r="AK954" i="1" s="1"/>
  <c r="M2179" i="1"/>
  <c r="AJ2179" i="1" s="1"/>
  <c r="M1857" i="1"/>
  <c r="AJ1857" i="1" s="1"/>
  <c r="M2752" i="1"/>
  <c r="AJ2752" i="1" s="1"/>
  <c r="M636" i="1"/>
  <c r="AJ636" i="1" s="1"/>
  <c r="M2754" i="1"/>
  <c r="AJ2754" i="1" s="1"/>
  <c r="M41" i="1"/>
  <c r="AJ41" i="1" s="1"/>
  <c r="M359" i="1"/>
  <c r="AJ359" i="1" s="1"/>
  <c r="M1451" i="1"/>
  <c r="AJ1451" i="1" s="1"/>
  <c r="AK1451" i="1" s="1"/>
  <c r="M731" i="1"/>
  <c r="AJ731" i="1" s="1"/>
  <c r="AK731" i="1" s="1"/>
  <c r="M1683" i="1"/>
  <c r="AJ1683" i="1" s="1"/>
  <c r="M2142" i="1"/>
  <c r="AJ2142" i="1" s="1"/>
  <c r="M581" i="1"/>
  <c r="AJ581" i="1" s="1"/>
  <c r="M2469" i="1"/>
  <c r="AJ2469" i="1" s="1"/>
  <c r="M2310" i="1"/>
  <c r="AJ2310" i="1" s="1"/>
  <c r="M628" i="1"/>
  <c r="AJ628" i="1" s="1"/>
  <c r="M2218" i="1"/>
  <c r="AJ2218" i="1" s="1"/>
  <c r="M1852" i="1"/>
  <c r="AJ1852" i="1" s="1"/>
  <c r="AK1852" i="1" s="1"/>
  <c r="M1177" i="1"/>
  <c r="AJ1177" i="1" s="1"/>
  <c r="M1057" i="1"/>
  <c r="AJ1057" i="1" s="1"/>
  <c r="M833" i="1"/>
  <c r="AJ833" i="1" s="1"/>
  <c r="M2005" i="1"/>
  <c r="AJ2005" i="1" s="1"/>
  <c r="M1387" i="1"/>
  <c r="AJ1387" i="1" s="1"/>
  <c r="M2277" i="1"/>
  <c r="AJ2277" i="1" s="1"/>
  <c r="M1792" i="1"/>
  <c r="AJ1792" i="1" s="1"/>
  <c r="AK1792" i="1" s="1"/>
  <c r="M70" i="1"/>
  <c r="AJ70" i="1" s="1"/>
  <c r="AK70" i="1" s="1"/>
  <c r="M2254" i="1"/>
  <c r="AJ2254" i="1" s="1"/>
  <c r="M20" i="1"/>
  <c r="AJ20" i="1" s="1"/>
  <c r="M2741" i="1"/>
  <c r="AJ2741" i="1" s="1"/>
  <c r="M1060" i="1"/>
  <c r="AJ1060" i="1" s="1"/>
  <c r="M1696" i="1"/>
  <c r="AJ1696" i="1" s="1"/>
  <c r="M2304" i="1"/>
  <c r="AJ2304" i="1" s="1"/>
  <c r="M1736" i="1"/>
  <c r="AJ1736" i="1" s="1"/>
  <c r="M2409" i="1"/>
  <c r="AJ2409" i="1" s="1"/>
  <c r="AK2409" i="1" s="1"/>
  <c r="M616" i="1"/>
  <c r="AJ616" i="1" s="1"/>
  <c r="M13" i="1"/>
  <c r="AJ13" i="1" s="1"/>
  <c r="M1521" i="1"/>
  <c r="AJ1521" i="1" s="1"/>
  <c r="M1052" i="1"/>
  <c r="AJ1052" i="1" s="1"/>
  <c r="M1289" i="1"/>
  <c r="AJ1289" i="1" s="1"/>
  <c r="M2334" i="1"/>
  <c r="AJ2334" i="1" s="1"/>
  <c r="M2026" i="1"/>
  <c r="AJ2026" i="1" s="1"/>
  <c r="AK2026" i="1" s="1"/>
  <c r="M2280" i="1"/>
  <c r="AJ2280" i="1" s="1"/>
  <c r="AK2280" i="1" s="1"/>
  <c r="M238" i="1"/>
  <c r="AJ238" i="1" s="1"/>
  <c r="M976" i="1"/>
  <c r="AJ976" i="1" s="1"/>
  <c r="M2600" i="1"/>
  <c r="AJ2600" i="1" s="1"/>
  <c r="M2394" i="1"/>
  <c r="AJ2394" i="1" s="1"/>
  <c r="M1938" i="1"/>
  <c r="AJ1938" i="1" s="1"/>
  <c r="M1541" i="1"/>
  <c r="AJ1541" i="1" s="1"/>
  <c r="M592" i="1"/>
  <c r="AJ592" i="1" s="1"/>
  <c r="M60" i="1"/>
  <c r="AJ60" i="1" s="1"/>
  <c r="AK60" i="1" s="1"/>
  <c r="M386" i="1"/>
  <c r="AJ386" i="1" s="1"/>
  <c r="M1503" i="1"/>
  <c r="AJ1503" i="1" s="1"/>
  <c r="M1259" i="1"/>
  <c r="AJ1259" i="1" s="1"/>
  <c r="M2796" i="1"/>
  <c r="AJ2796" i="1" s="1"/>
  <c r="M1364" i="1"/>
  <c r="AJ1364" i="1" s="1"/>
  <c r="M696" i="1"/>
  <c r="AJ696" i="1" s="1"/>
  <c r="M2432" i="1"/>
  <c r="AJ2432" i="1" s="1"/>
  <c r="M2147" i="1"/>
  <c r="AJ2147" i="1" s="1"/>
  <c r="M250" i="1"/>
  <c r="AJ250" i="1" s="1"/>
  <c r="M890" i="1"/>
  <c r="AJ890" i="1" s="1"/>
  <c r="M2668" i="1"/>
  <c r="AJ2668" i="1" s="1"/>
  <c r="M340" i="1"/>
  <c r="AJ340" i="1" s="1"/>
  <c r="M1484" i="1"/>
  <c r="AJ1484" i="1" s="1"/>
  <c r="M380" i="1"/>
  <c r="AJ380" i="1" s="1"/>
  <c r="M2053" i="1"/>
  <c r="AJ2053" i="1" s="1"/>
  <c r="AK2053" i="1" s="1"/>
  <c r="M123" i="1"/>
  <c r="AJ123" i="1" s="1"/>
  <c r="AK123" i="1" s="1"/>
  <c r="M488" i="1"/>
  <c r="AJ488" i="1" s="1"/>
  <c r="M2384" i="1"/>
  <c r="AJ2384" i="1" s="1"/>
  <c r="M2621" i="1"/>
  <c r="AJ2621" i="1" s="1"/>
  <c r="M736" i="1"/>
  <c r="AJ736" i="1" s="1"/>
  <c r="M1744" i="1"/>
  <c r="AJ1744" i="1" s="1"/>
  <c r="M1461" i="1"/>
  <c r="AJ1461" i="1" s="1"/>
  <c r="M2520" i="1"/>
  <c r="AJ2520" i="1" s="1"/>
  <c r="AK2520" i="1" s="1"/>
  <c r="M1508" i="1"/>
  <c r="AJ1508" i="1" s="1"/>
  <c r="AK1508" i="1" s="1"/>
  <c r="M1251" i="1"/>
  <c r="AJ1251" i="1" s="1"/>
  <c r="M1718" i="1"/>
  <c r="AJ1718" i="1" s="1"/>
  <c r="M2491" i="1"/>
  <c r="AJ2491" i="1" s="1"/>
  <c r="M1487" i="1"/>
  <c r="AJ1487" i="1" s="1"/>
  <c r="M1009" i="1"/>
  <c r="AJ1009" i="1" s="1"/>
  <c r="M472" i="1"/>
  <c r="AJ472" i="1" s="1"/>
  <c r="M748" i="1"/>
  <c r="AJ748" i="1" s="1"/>
  <c r="M509" i="1"/>
  <c r="AJ509" i="1" s="1"/>
  <c r="AK509" i="1" s="1"/>
  <c r="M982" i="1"/>
  <c r="AJ982" i="1" s="1"/>
  <c r="M2667" i="1"/>
  <c r="AJ2667" i="1" s="1"/>
  <c r="M2128" i="1"/>
  <c r="AJ2128" i="1" s="1"/>
  <c r="M1307" i="1"/>
  <c r="AJ1307" i="1" s="1"/>
  <c r="M1246" i="1"/>
  <c r="AJ1246" i="1" s="1"/>
  <c r="M638" i="1"/>
  <c r="AJ638" i="1" s="1"/>
  <c r="M925" i="1"/>
  <c r="AJ925" i="1" s="1"/>
  <c r="AK925" i="1" s="1"/>
  <c r="M559" i="1"/>
  <c r="AJ559" i="1" s="1"/>
  <c r="AK559" i="1" s="1"/>
  <c r="M1655" i="1"/>
  <c r="AJ1655" i="1" s="1"/>
  <c r="M457" i="1"/>
  <c r="AJ457" i="1" s="1"/>
  <c r="M1839" i="1"/>
  <c r="AJ1839" i="1" s="1"/>
  <c r="M121" i="1"/>
  <c r="AJ121" i="1" s="1"/>
  <c r="M624" i="1"/>
  <c r="AJ624" i="1" s="1"/>
  <c r="M737" i="1"/>
  <c r="AJ737" i="1" s="1"/>
  <c r="M1022" i="1"/>
  <c r="AJ1022" i="1" s="1"/>
  <c r="M601" i="1"/>
  <c r="AJ601" i="1" s="1"/>
  <c r="AK601" i="1" s="1"/>
  <c r="M2737" i="1"/>
  <c r="AJ2737" i="1" s="1"/>
  <c r="M326" i="1"/>
  <c r="AJ326" i="1" s="1"/>
  <c r="M2662" i="1"/>
  <c r="AJ2662" i="1" s="1"/>
  <c r="M35" i="1"/>
  <c r="AJ35" i="1" s="1"/>
  <c r="M1287" i="1"/>
  <c r="AJ1287" i="1" s="1"/>
  <c r="M1380" i="1"/>
  <c r="AJ1380" i="1" s="1"/>
  <c r="M1720" i="1"/>
  <c r="AJ1720" i="1" s="1"/>
  <c r="M1084" i="1"/>
  <c r="AJ1084" i="1" s="1"/>
  <c r="AK1084" i="1" s="1"/>
  <c r="M1220" i="1"/>
  <c r="AJ1220" i="1" s="1"/>
  <c r="M2223" i="1"/>
  <c r="AJ2223" i="1" s="1"/>
  <c r="M2336" i="1"/>
  <c r="AJ2336" i="1" s="1"/>
  <c r="M2744" i="1"/>
  <c r="AJ2744" i="1" s="1"/>
  <c r="M943" i="1"/>
  <c r="AJ943" i="1" s="1"/>
  <c r="M538" i="1"/>
  <c r="AJ538" i="1" s="1"/>
  <c r="M792" i="1"/>
  <c r="AJ792" i="1" s="1"/>
  <c r="AK792" i="1" s="1"/>
  <c r="M1038" i="1"/>
  <c r="AJ1038" i="1" s="1"/>
  <c r="M1263" i="1"/>
  <c r="AJ1263" i="1" s="1"/>
  <c r="M597" i="1"/>
  <c r="AJ597" i="1" s="1"/>
  <c r="M1234" i="1"/>
  <c r="AJ1234" i="1" s="1"/>
  <c r="M2130" i="1"/>
  <c r="AJ2130" i="1" s="1"/>
  <c r="M835" i="1"/>
  <c r="AJ835" i="1" s="1"/>
  <c r="M1269" i="1"/>
  <c r="AJ1269" i="1" s="1"/>
  <c r="M1470" i="1"/>
  <c r="AJ1470" i="1" s="1"/>
  <c r="M309" i="1"/>
  <c r="AJ309" i="1" s="1"/>
  <c r="AK309" i="1" s="1"/>
  <c r="M578" i="1"/>
  <c r="AJ578" i="1" s="1"/>
  <c r="M576" i="1"/>
  <c r="AJ576" i="1" s="1"/>
  <c r="M2025" i="1"/>
  <c r="AJ2025" i="1" s="1"/>
  <c r="M2790" i="1"/>
  <c r="AJ2790" i="1" s="1"/>
  <c r="M629" i="1"/>
  <c r="AJ629" i="1" s="1"/>
  <c r="M1281" i="1"/>
  <c r="AJ1281" i="1" s="1"/>
  <c r="M2535" i="1"/>
  <c r="AJ2535" i="1" s="1"/>
  <c r="M366" i="1"/>
  <c r="AJ366" i="1" s="1"/>
  <c r="AK366" i="1" s="1"/>
  <c r="M1427" i="1"/>
  <c r="AJ1427" i="1" s="1"/>
  <c r="M841" i="1"/>
  <c r="AJ841" i="1" s="1"/>
  <c r="M1315" i="1"/>
  <c r="AJ1315" i="1" s="1"/>
  <c r="M2143" i="1"/>
  <c r="AJ2143" i="1" s="1"/>
  <c r="M1363" i="1"/>
  <c r="AJ1363" i="1" s="1"/>
  <c r="M1568" i="1"/>
  <c r="AJ1568" i="1" s="1"/>
  <c r="M1494" i="1"/>
  <c r="AJ1494" i="1" s="1"/>
  <c r="M2365" i="1"/>
  <c r="AJ2365" i="1" s="1"/>
  <c r="M664" i="1"/>
  <c r="AJ664" i="1" s="1"/>
  <c r="M1546" i="1"/>
  <c r="AJ1546" i="1" s="1"/>
  <c r="M981" i="1"/>
  <c r="AJ981" i="1" s="1"/>
  <c r="M1219" i="1"/>
  <c r="AJ1219" i="1" s="1"/>
  <c r="M232" i="1"/>
  <c r="AJ232" i="1" s="1"/>
  <c r="M1703" i="1"/>
  <c r="AJ1703" i="1" s="1"/>
  <c r="M2297" i="1"/>
  <c r="AJ2297" i="1" s="1"/>
  <c r="AK2297" i="1" s="1"/>
  <c r="M2169" i="1"/>
  <c r="AJ2169" i="1" s="1"/>
  <c r="AK2169" i="1" s="1"/>
  <c r="M368" i="1"/>
  <c r="AJ368" i="1" s="1"/>
  <c r="M1237" i="1"/>
  <c r="AJ1237" i="1" s="1"/>
  <c r="M2785" i="1"/>
  <c r="AJ2785" i="1" s="1"/>
  <c r="M1957" i="1"/>
  <c r="AJ1957" i="1" s="1"/>
  <c r="M2443" i="1"/>
  <c r="AJ2443" i="1" s="1"/>
  <c r="M2475" i="1"/>
  <c r="AJ2475" i="1" s="1"/>
  <c r="M2162" i="1"/>
  <c r="AJ2162" i="1" s="1"/>
  <c r="AK2162" i="1" s="1"/>
  <c r="M2031" i="1"/>
  <c r="AJ2031" i="1" s="1"/>
  <c r="M1267" i="1"/>
  <c r="AJ1267" i="1" s="1"/>
  <c r="M2677" i="1"/>
  <c r="AJ2677" i="1" s="1"/>
  <c r="M1734" i="1"/>
  <c r="AJ1734" i="1" s="1"/>
  <c r="M1593" i="1"/>
  <c r="AJ1593" i="1" s="1"/>
  <c r="M1518" i="1"/>
  <c r="AJ1518" i="1" s="1"/>
  <c r="M2656" i="1"/>
  <c r="AJ2656" i="1" s="1"/>
  <c r="M2252" i="1"/>
  <c r="AJ2252" i="1" s="1"/>
  <c r="AK2252" i="1" s="1"/>
  <c r="M1610" i="1"/>
  <c r="AJ1610" i="1" s="1"/>
  <c r="AK1610" i="1" s="1"/>
  <c r="M743" i="1"/>
  <c r="AJ743" i="1" s="1"/>
  <c r="M1860" i="1"/>
  <c r="AJ1860" i="1" s="1"/>
  <c r="M1152" i="1"/>
  <c r="AJ1152" i="1" s="1"/>
  <c r="M1242" i="1"/>
  <c r="AJ1242" i="1" s="1"/>
  <c r="M827" i="1"/>
  <c r="AJ827" i="1" s="1"/>
  <c r="M2371" i="1"/>
  <c r="AJ2371" i="1" s="1"/>
  <c r="M1748" i="1"/>
  <c r="AJ1748" i="1" s="1"/>
  <c r="M871" i="1"/>
  <c r="AJ871" i="1" s="1"/>
  <c r="M83" i="1"/>
  <c r="AJ83" i="1" s="1"/>
  <c r="M1678" i="1"/>
  <c r="AJ1678" i="1" s="1"/>
  <c r="M1409" i="1"/>
  <c r="AJ1409" i="1" s="1"/>
  <c r="M2401" i="1"/>
  <c r="AJ2401" i="1" s="1"/>
  <c r="M84" i="1"/>
  <c r="AJ84" i="1" s="1"/>
  <c r="M246" i="1"/>
  <c r="AJ246" i="1" s="1"/>
  <c r="M1462" i="1"/>
  <c r="AJ1462" i="1" s="1"/>
  <c r="AK1462" i="1" s="1"/>
  <c r="M6" i="1"/>
  <c r="AJ6" i="1" s="1"/>
  <c r="AK6" i="1" s="1"/>
  <c r="M301" i="1"/>
  <c r="AJ301" i="1" s="1"/>
  <c r="M1845" i="1"/>
  <c r="AJ1845" i="1" s="1"/>
  <c r="M949" i="1"/>
  <c r="AJ949" i="1" s="1"/>
  <c r="M476" i="1"/>
  <c r="AJ476" i="1" s="1"/>
  <c r="M782" i="1"/>
  <c r="AJ782" i="1" s="1"/>
  <c r="M763" i="1"/>
  <c r="AJ763" i="1" s="1"/>
  <c r="M630" i="1"/>
  <c r="AJ630" i="1" s="1"/>
  <c r="M286" i="1"/>
  <c r="AJ286" i="1" s="1"/>
  <c r="M1340" i="1"/>
  <c r="AJ1340" i="1" s="1"/>
  <c r="M2312" i="1"/>
  <c r="AJ2312" i="1" s="1"/>
  <c r="M2376" i="1"/>
  <c r="AJ2376" i="1" s="1"/>
  <c r="M2569" i="1"/>
  <c r="AJ2569" i="1" s="1"/>
  <c r="M1702" i="1"/>
  <c r="AJ1702" i="1" s="1"/>
  <c r="M1634" i="1"/>
  <c r="AJ1634" i="1" s="1"/>
  <c r="M2267" i="1"/>
  <c r="AJ2267" i="1" s="1"/>
  <c r="M2501" i="1"/>
  <c r="AJ2501" i="1" s="1"/>
  <c r="M2229" i="1"/>
  <c r="AJ2229" i="1" s="1"/>
  <c r="M1877" i="1"/>
  <c r="AJ1877" i="1" s="1"/>
  <c r="M51" i="1"/>
  <c r="AJ51" i="1" s="1"/>
  <c r="M2503" i="1"/>
  <c r="AJ2503" i="1" s="1"/>
  <c r="M1875" i="1"/>
  <c r="AJ1875" i="1" s="1"/>
  <c r="M287" i="1"/>
  <c r="AJ287" i="1" s="1"/>
  <c r="M265" i="1"/>
  <c r="AJ265" i="1" s="1"/>
  <c r="M1320" i="1"/>
  <c r="AJ1320" i="1" s="1"/>
  <c r="M716" i="1"/>
  <c r="AJ716" i="1" s="1"/>
  <c r="M1716" i="1"/>
  <c r="AJ1716" i="1" s="1"/>
  <c r="M101" i="1"/>
  <c r="AJ101" i="1" s="1"/>
  <c r="M992" i="1"/>
  <c r="AJ992" i="1" s="1"/>
  <c r="M355" i="1"/>
  <c r="AJ355" i="1" s="1"/>
  <c r="M2418" i="1"/>
  <c r="AJ2418" i="1" s="1"/>
  <c r="M1666" i="1"/>
  <c r="AJ1666" i="1" s="1"/>
  <c r="AK1666" i="1" s="1"/>
  <c r="M2222" i="1"/>
  <c r="AJ2222" i="1" s="1"/>
  <c r="M1170" i="1"/>
  <c r="AJ1170" i="1" s="1"/>
  <c r="M1435" i="1"/>
  <c r="AJ1435" i="1" s="1"/>
  <c r="M174" i="1"/>
  <c r="AJ174" i="1" s="1"/>
  <c r="M1136" i="1"/>
  <c r="AJ1136" i="1" s="1"/>
  <c r="M2035" i="1"/>
  <c r="AJ2035" i="1" s="1"/>
  <c r="M1298" i="1"/>
  <c r="AJ1298" i="1" s="1"/>
  <c r="M804" i="1"/>
  <c r="AJ804" i="1" s="1"/>
  <c r="M2217" i="1"/>
  <c r="AJ2217" i="1" s="1"/>
  <c r="AK2217" i="1" s="1"/>
  <c r="M505" i="1"/>
  <c r="AJ505" i="1" s="1"/>
  <c r="M825" i="1"/>
  <c r="AJ825" i="1" s="1"/>
  <c r="M1111" i="1"/>
  <c r="AJ1111" i="1" s="1"/>
  <c r="M1438" i="1"/>
  <c r="AJ1438" i="1" s="1"/>
  <c r="M1507" i="1"/>
  <c r="AJ1507" i="1" s="1"/>
  <c r="M1465" i="1"/>
  <c r="AJ1465" i="1" s="1"/>
  <c r="M2772" i="1"/>
  <c r="AJ2772" i="1" s="1"/>
  <c r="AK2772" i="1" s="1"/>
  <c r="M1814" i="1"/>
  <c r="AJ1814" i="1" s="1"/>
  <c r="M2464" i="1"/>
  <c r="AJ2464" i="1" s="1"/>
  <c r="M1565" i="1"/>
  <c r="AJ1565" i="1" s="1"/>
  <c r="M1672" i="1"/>
  <c r="AJ1672" i="1" s="1"/>
  <c r="M444" i="1"/>
  <c r="AJ444" i="1" s="1"/>
  <c r="M451" i="1"/>
  <c r="AJ451" i="1" s="1"/>
  <c r="M693" i="1"/>
  <c r="AJ693" i="1" s="1"/>
  <c r="M1414" i="1"/>
  <c r="AJ1414" i="1" s="1"/>
  <c r="AK1414" i="1" s="1"/>
  <c r="M2461" i="1"/>
  <c r="AJ2461" i="1" s="1"/>
  <c r="AK2461" i="1" s="1"/>
  <c r="M970" i="1"/>
  <c r="AJ970" i="1" s="1"/>
  <c r="M1757" i="1"/>
  <c r="AJ1757" i="1" s="1"/>
  <c r="M857" i="1"/>
  <c r="AJ857" i="1" s="1"/>
  <c r="M1791" i="1"/>
  <c r="AJ1791" i="1" s="1"/>
  <c r="M230" i="1"/>
  <c r="AJ230" i="1" s="1"/>
  <c r="M2185" i="1"/>
  <c r="AJ2185" i="1" s="1"/>
  <c r="M1165" i="1"/>
  <c r="AJ1165" i="1" s="1"/>
  <c r="M1261" i="1"/>
  <c r="AJ1261" i="1" s="1"/>
  <c r="M1138" i="1"/>
  <c r="AJ1138" i="1" s="1"/>
  <c r="M596" i="1"/>
  <c r="AJ596" i="1" s="1"/>
  <c r="M522" i="1"/>
  <c r="AJ522" i="1" s="1"/>
  <c r="M1211" i="1"/>
  <c r="AJ1211" i="1" s="1"/>
  <c r="M1664" i="1"/>
  <c r="AJ1664" i="1" s="1"/>
  <c r="M2360" i="1"/>
  <c r="AJ2360" i="1" s="1"/>
  <c r="M1944" i="1"/>
  <c r="AJ1944" i="1" s="1"/>
  <c r="AK1944" i="1" s="1"/>
  <c r="M2570" i="1"/>
  <c r="AJ2570" i="1" s="1"/>
  <c r="M1584" i="1"/>
  <c r="AJ1584" i="1" s="1"/>
  <c r="M2101" i="1"/>
  <c r="AJ2101" i="1" s="1"/>
  <c r="M2742" i="1"/>
  <c r="AJ2742" i="1" s="1"/>
  <c r="M1689" i="1"/>
  <c r="AJ1689" i="1" s="1"/>
  <c r="M1178" i="1"/>
  <c r="AJ1178" i="1" s="1"/>
  <c r="M2534" i="1"/>
  <c r="AJ2534" i="1" s="1"/>
  <c r="M2604" i="1"/>
  <c r="AJ2604" i="1" s="1"/>
  <c r="M1210" i="1"/>
  <c r="AJ1210" i="1" s="1"/>
  <c r="M1828" i="1"/>
  <c r="AJ1828" i="1" s="1"/>
  <c r="M251" i="1"/>
  <c r="AJ251" i="1" s="1"/>
  <c r="M2573" i="1"/>
  <c r="AJ2573" i="1" s="1"/>
  <c r="M1781" i="1"/>
  <c r="AJ1781" i="1" s="1"/>
  <c r="M2721" i="1"/>
  <c r="AJ2721" i="1" s="1"/>
  <c r="M788" i="1"/>
  <c r="AJ788" i="1" s="1"/>
  <c r="M2170" i="1"/>
  <c r="AJ2170" i="1" s="1"/>
  <c r="AK2170" i="1" s="1"/>
  <c r="M1291" i="1"/>
  <c r="AJ1291" i="1" s="1"/>
  <c r="AK1291" i="1" s="1"/>
  <c r="M400" i="1"/>
  <c r="AJ400" i="1" s="1"/>
  <c r="M1366" i="1"/>
  <c r="AJ1366" i="1" s="1"/>
  <c r="M455" i="1"/>
  <c r="AJ455" i="1" s="1"/>
  <c r="M179" i="1"/>
  <c r="AJ179" i="1" s="1"/>
  <c r="M2713" i="1"/>
  <c r="AJ2713" i="1" s="1"/>
  <c r="M1602" i="1"/>
  <c r="AJ1602" i="1" s="1"/>
  <c r="M2581" i="1"/>
  <c r="AJ2581" i="1" s="1"/>
  <c r="M527" i="1"/>
  <c r="AJ527" i="1" s="1"/>
  <c r="AK527" i="1" s="1"/>
  <c r="M117" i="1"/>
  <c r="AJ117" i="1" s="1"/>
  <c r="M1182" i="1"/>
  <c r="AJ1182" i="1" s="1"/>
  <c r="M868" i="1"/>
  <c r="AJ868" i="1" s="1"/>
  <c r="M2536" i="1"/>
  <c r="AJ2536" i="1" s="1"/>
  <c r="M1887" i="1"/>
  <c r="AJ1887" i="1" s="1"/>
  <c r="M1929" i="1"/>
  <c r="AJ1929" i="1" s="1"/>
  <c r="M131" i="1"/>
  <c r="AJ131" i="1" s="1"/>
  <c r="AK131" i="1" s="1"/>
  <c r="M1638" i="1"/>
  <c r="AJ1638" i="1" s="1"/>
  <c r="AK1638" i="1" s="1"/>
  <c r="M1105" i="1"/>
  <c r="AJ1105" i="1" s="1"/>
  <c r="M2340" i="1"/>
  <c r="AJ2340" i="1" s="1"/>
  <c r="M2391" i="1"/>
  <c r="AJ2391" i="1" s="1"/>
  <c r="M999" i="1"/>
  <c r="AJ999" i="1" s="1"/>
  <c r="M2419" i="1"/>
  <c r="AJ2419" i="1" s="1"/>
  <c r="M2601" i="1"/>
  <c r="AJ2601" i="1" s="1"/>
  <c r="M2610" i="1"/>
  <c r="AJ2610" i="1" s="1"/>
  <c r="AK2610" i="1" s="1"/>
  <c r="M2194" i="1"/>
  <c r="AJ2194" i="1" s="1"/>
  <c r="AK2194" i="1" s="1"/>
  <c r="M2339" i="1"/>
  <c r="AJ2339" i="1" s="1"/>
  <c r="M1253" i="1"/>
  <c r="AJ1253" i="1" s="1"/>
  <c r="M2416" i="1"/>
  <c r="AJ2416" i="1" s="1"/>
  <c r="M187" i="1"/>
  <c r="AJ187" i="1" s="1"/>
  <c r="M722" i="1"/>
  <c r="AJ722" i="1" s="1"/>
  <c r="M1962" i="1"/>
  <c r="AJ1962" i="1" s="1"/>
  <c r="M2481" i="1"/>
  <c r="AJ2481" i="1" s="1"/>
  <c r="AK2481" i="1" s="1"/>
  <c r="M625" i="1"/>
  <c r="AJ625" i="1" s="1"/>
  <c r="AK625" i="1" s="1"/>
  <c r="M1430" i="1"/>
  <c r="AJ1430" i="1" s="1"/>
  <c r="M2207" i="1"/>
  <c r="AJ2207" i="1" s="1"/>
  <c r="M1390" i="1"/>
  <c r="AJ1390" i="1" s="1"/>
  <c r="M2073" i="1"/>
  <c r="AJ2073" i="1" s="1"/>
  <c r="M2115" i="1"/>
  <c r="AJ2115" i="1" s="1"/>
  <c r="M148" i="1"/>
  <c r="AJ148" i="1" s="1"/>
  <c r="M2042" i="1"/>
  <c r="AJ2042" i="1" s="1"/>
  <c r="M191" i="1"/>
  <c r="AJ191" i="1" s="1"/>
  <c r="AK191" i="1" s="1"/>
  <c r="M2259" i="1"/>
  <c r="AJ2259" i="1" s="1"/>
  <c r="M1357" i="1"/>
  <c r="AJ1357" i="1" s="1"/>
  <c r="M2791" i="1"/>
  <c r="AJ2791" i="1" s="1"/>
  <c r="M447" i="1"/>
  <c r="AJ447" i="1" s="1"/>
  <c r="M2651" i="1"/>
  <c r="AJ2651" i="1" s="1"/>
  <c r="M2242" i="1"/>
  <c r="AJ2242" i="1" s="1"/>
  <c r="M442" i="1"/>
  <c r="AJ442" i="1" s="1"/>
  <c r="M233" i="1"/>
  <c r="AJ233" i="1" s="1"/>
  <c r="AK233" i="1" s="1"/>
  <c r="M1498" i="1"/>
  <c r="AJ1498" i="1" s="1"/>
  <c r="M2705" i="1"/>
  <c r="AJ2705" i="1" s="1"/>
  <c r="M360" i="1"/>
  <c r="AJ360" i="1" s="1"/>
  <c r="M1864" i="1"/>
  <c r="AJ1864" i="1" s="1"/>
  <c r="M186" i="1"/>
  <c r="AJ186" i="1" s="1"/>
  <c r="M862" i="1"/>
  <c r="AJ862" i="1" s="1"/>
  <c r="M273" i="1"/>
  <c r="AJ273" i="1" s="1"/>
  <c r="AK273" i="1" s="1"/>
  <c r="M783" i="1"/>
  <c r="AJ783" i="1" s="1"/>
  <c r="AK783" i="1" s="1"/>
  <c r="M188" i="1"/>
  <c r="AJ188" i="1" s="1"/>
  <c r="M314" i="1"/>
  <c r="AJ314" i="1" s="1"/>
  <c r="M2778" i="1"/>
  <c r="AJ2778" i="1" s="1"/>
  <c r="M2080" i="1"/>
  <c r="AJ2080" i="1" s="1"/>
  <c r="M469" i="1"/>
  <c r="AJ469" i="1" s="1"/>
  <c r="M2430" i="1"/>
  <c r="AJ2430" i="1" s="1"/>
  <c r="M1780" i="1"/>
  <c r="AJ1780" i="1" s="1"/>
  <c r="AK1780" i="1" s="1"/>
  <c r="M2594" i="1"/>
  <c r="AJ2594" i="1" s="1"/>
  <c r="AK2594" i="1" s="1"/>
  <c r="M1495" i="1"/>
  <c r="AJ1495" i="1" s="1"/>
  <c r="M1444" i="1"/>
  <c r="AJ1444" i="1" s="1"/>
  <c r="M914" i="1"/>
  <c r="AJ914" i="1" s="1"/>
  <c r="M1850" i="1"/>
  <c r="AJ1850" i="1" s="1"/>
  <c r="M1381" i="1"/>
  <c r="AJ1381" i="1" s="1"/>
  <c r="M2028" i="1"/>
  <c r="AJ2028" i="1" s="1"/>
  <c r="M2710" i="1"/>
  <c r="AJ2710" i="1" s="1"/>
  <c r="M2659" i="1"/>
  <c r="AJ2659" i="1" s="1"/>
  <c r="M2492" i="1"/>
  <c r="AJ2492" i="1" s="1"/>
  <c r="M231" i="1"/>
  <c r="AJ231" i="1" s="1"/>
  <c r="M568" i="1"/>
  <c r="AJ568" i="1" s="1"/>
  <c r="M330" i="1"/>
  <c r="AJ330" i="1" s="1"/>
  <c r="M2126" i="1"/>
  <c r="AJ2126" i="1" s="1"/>
  <c r="M1909" i="1"/>
  <c r="AJ1909" i="1" s="1"/>
  <c r="M2704" i="1"/>
  <c r="AJ2704" i="1" s="1"/>
  <c r="AK2704" i="1" s="1"/>
  <c r="M1068" i="1"/>
  <c r="AJ1068" i="1" s="1"/>
  <c r="M1329" i="1"/>
  <c r="AJ1329" i="1" s="1"/>
  <c r="M3" i="1"/>
  <c r="AJ3" i="1" s="1"/>
  <c r="M2338" i="1"/>
  <c r="AJ2338" i="1" s="1"/>
  <c r="M2488" i="1"/>
  <c r="AJ2488" i="1" s="1"/>
  <c r="M988" i="1"/>
  <c r="AJ988" i="1" s="1"/>
  <c r="M1616" i="1"/>
  <c r="AJ1616" i="1" s="1"/>
  <c r="M683" i="1"/>
  <c r="AJ683" i="1" s="1"/>
  <c r="M1809" i="1"/>
  <c r="AJ1809" i="1" s="1"/>
  <c r="AK1809" i="1" s="1"/>
  <c r="M691" i="1"/>
  <c r="AJ691" i="1" s="1"/>
  <c r="M1662" i="1"/>
  <c r="AJ1662" i="1" s="1"/>
  <c r="M2467" i="1"/>
  <c r="AJ2467" i="1" s="1"/>
  <c r="M293" i="1"/>
  <c r="AJ293" i="1" s="1"/>
  <c r="M1629" i="1"/>
  <c r="AJ1629" i="1" s="1"/>
  <c r="M1109" i="1"/>
  <c r="AJ1109" i="1" s="1"/>
  <c r="M2748" i="1"/>
  <c r="AJ2748" i="1" s="1"/>
  <c r="M2781" i="1"/>
  <c r="AJ2781" i="1" s="1"/>
  <c r="AK2781" i="1" s="1"/>
  <c r="M2690" i="1"/>
  <c r="AJ2690" i="1" s="1"/>
  <c r="M333" i="1"/>
  <c r="AJ333" i="1" s="1"/>
  <c r="M2227" i="1"/>
  <c r="AJ2227" i="1" s="1"/>
  <c r="M1841" i="1"/>
  <c r="AJ1841" i="1" s="1"/>
  <c r="M846" i="1"/>
  <c r="AJ846" i="1" s="1"/>
  <c r="M2231" i="1"/>
  <c r="AJ2231" i="1" s="1"/>
  <c r="M1454" i="1"/>
  <c r="AJ1454" i="1" s="1"/>
  <c r="AK1454" i="1" s="1"/>
  <c r="M218" i="1"/>
  <c r="AJ218" i="1" s="1"/>
  <c r="M1891" i="1"/>
  <c r="AJ1891" i="1" s="1"/>
  <c r="M1025" i="1"/>
  <c r="AJ1025" i="1" s="1"/>
  <c r="M1372" i="1"/>
  <c r="AJ1372" i="1" s="1"/>
  <c r="M2760" i="1"/>
  <c r="AJ2760" i="1" s="1"/>
  <c r="M2173" i="1"/>
  <c r="AJ2173" i="1" s="1"/>
  <c r="M2061" i="1"/>
  <c r="AJ2061" i="1" s="1"/>
  <c r="M830" i="1"/>
  <c r="AJ830" i="1" s="1"/>
  <c r="AK830" i="1" s="1"/>
  <c r="M723" i="1"/>
  <c r="AJ723" i="1" s="1"/>
  <c r="AK723" i="1" s="1"/>
  <c r="M1710" i="1"/>
  <c r="AJ1710" i="1" s="1"/>
  <c r="M376" i="1"/>
  <c r="AJ376" i="1" s="1"/>
  <c r="M2549" i="1"/>
  <c r="AJ2549" i="1" s="1"/>
  <c r="M1078" i="1"/>
  <c r="AJ1078" i="1" s="1"/>
  <c r="M409" i="1"/>
  <c r="AJ409" i="1" s="1"/>
  <c r="M1918" i="1"/>
  <c r="AJ1918" i="1" s="1"/>
  <c r="M826" i="1"/>
  <c r="AJ826" i="1" s="1"/>
  <c r="AK826" i="1" s="1"/>
  <c r="M370" i="1"/>
  <c r="AJ370" i="1" s="1"/>
  <c r="AK370" i="1" s="1"/>
  <c r="M1483" i="1"/>
  <c r="AJ1483" i="1" s="1"/>
  <c r="M1851" i="1"/>
  <c r="AJ1851" i="1" s="1"/>
  <c r="M2471" i="1"/>
  <c r="AJ2471" i="1" s="1"/>
  <c r="M1361" i="1"/>
  <c r="AJ1361" i="1" s="1"/>
  <c r="M350" i="1"/>
  <c r="AJ350" i="1" s="1"/>
  <c r="M2052" i="1"/>
  <c r="AJ2052" i="1" s="1"/>
  <c r="M109" i="1"/>
  <c r="AJ109" i="1" s="1"/>
  <c r="M2623" i="1"/>
  <c r="AJ2623" i="1" s="1"/>
  <c r="M40" i="1"/>
  <c r="AJ40" i="1" s="1"/>
  <c r="M1960" i="1"/>
  <c r="AJ1960" i="1" s="1"/>
  <c r="M2094" i="1"/>
  <c r="AJ2094" i="1" s="1"/>
  <c r="M1257" i="1"/>
  <c r="AJ1257" i="1" s="1"/>
  <c r="M2609" i="1"/>
  <c r="AJ2609" i="1" s="1"/>
  <c r="M1659" i="1"/>
  <c r="AJ1659" i="1" s="1"/>
  <c r="M2010" i="1"/>
  <c r="AJ2010" i="1" s="1"/>
  <c r="AK2010" i="1" s="1"/>
  <c r="M1145" i="1"/>
  <c r="AJ1145" i="1" s="1"/>
  <c r="AK1145" i="1" s="1"/>
  <c r="M917" i="1"/>
  <c r="AJ917" i="1" s="1"/>
  <c r="M849" i="1"/>
  <c r="AJ849" i="1" s="1"/>
  <c r="M97" i="1"/>
  <c r="AJ97" i="1" s="1"/>
  <c r="M1724" i="1"/>
  <c r="AJ1724" i="1" s="1"/>
  <c r="M1280" i="1"/>
  <c r="AJ1280" i="1" s="1"/>
  <c r="M552" i="1"/>
  <c r="AJ552" i="1" s="1"/>
  <c r="M2349" i="1"/>
  <c r="AJ2349" i="1" s="1"/>
  <c r="AK2349" i="1" s="1"/>
  <c r="M1143" i="1"/>
  <c r="AJ1143" i="1" s="1"/>
  <c r="AK1143" i="1" s="1"/>
  <c r="M2755" i="1"/>
  <c r="AJ2755" i="1" s="1"/>
  <c r="M758" i="1"/>
  <c r="AJ758" i="1" s="1"/>
  <c r="M565" i="1"/>
  <c r="AJ565" i="1" s="1"/>
  <c r="M2480" i="1"/>
  <c r="AJ2480" i="1" s="1"/>
  <c r="M1598" i="1"/>
  <c r="AJ1598" i="1" s="1"/>
  <c r="M1402" i="1"/>
  <c r="AJ1402" i="1" s="1"/>
  <c r="M2171" i="1"/>
  <c r="AJ2171" i="1" s="1"/>
  <c r="M1979" i="1"/>
  <c r="AJ1979" i="1" s="1"/>
  <c r="AK1979" i="1" s="1"/>
  <c r="M2750" i="1"/>
  <c r="AJ2750" i="1" s="1"/>
  <c r="M1384" i="1"/>
  <c r="AJ1384" i="1" s="1"/>
  <c r="M1062" i="1"/>
  <c r="AJ1062" i="1" s="1"/>
  <c r="M913" i="1"/>
  <c r="AJ913" i="1" s="1"/>
  <c r="M294" i="1"/>
  <c r="AJ294" i="1" s="1"/>
  <c r="M1239" i="1"/>
  <c r="AJ1239" i="1" s="1"/>
  <c r="M2074" i="1"/>
  <c r="AJ2074" i="1" s="1"/>
  <c r="M2678" i="1"/>
  <c r="AJ2678" i="1" s="1"/>
  <c r="M682" i="1"/>
  <c r="AJ682" i="1" s="1"/>
  <c r="M903" i="1"/>
  <c r="AJ903" i="1" s="1"/>
  <c r="M665" i="1"/>
  <c r="AJ665" i="1" s="1"/>
  <c r="M438" i="1"/>
  <c r="AJ438" i="1" s="1"/>
  <c r="M2619" i="1"/>
  <c r="AJ2619" i="1" s="1"/>
  <c r="M1127" i="1"/>
  <c r="AJ1127" i="1" s="1"/>
  <c r="M2032" i="1"/>
  <c r="AJ2032" i="1" s="1"/>
  <c r="AK2032" i="1" s="1"/>
  <c r="M648" i="1"/>
  <c r="AJ648" i="1" s="1"/>
  <c r="AK648" i="1" s="1"/>
  <c r="M1778" i="1"/>
  <c r="AJ1778" i="1" s="1"/>
  <c r="M1894" i="1"/>
  <c r="AJ1894" i="1" s="1"/>
  <c r="M2008" i="1"/>
  <c r="AJ2008" i="1" s="1"/>
  <c r="M2762" i="1"/>
  <c r="AJ2762" i="1" s="1"/>
  <c r="M892" i="1"/>
  <c r="AJ892" i="1" s="1"/>
  <c r="M1900" i="1"/>
  <c r="AJ1900" i="1" s="1"/>
  <c r="M1079" i="1"/>
  <c r="AJ1079" i="1" s="1"/>
  <c r="M16" i="1"/>
  <c r="AJ16" i="1" s="1"/>
  <c r="AK16" i="1" s="1"/>
  <c r="M806" i="1"/>
  <c r="AJ806" i="1" s="1"/>
  <c r="M2233" i="1"/>
  <c r="AJ2233" i="1" s="1"/>
  <c r="M2757" i="1"/>
  <c r="AJ2757" i="1" s="1"/>
  <c r="M2727" i="1"/>
  <c r="AJ2727" i="1" s="1"/>
  <c r="M142" i="1"/>
  <c r="AJ142" i="1" s="1"/>
  <c r="M1415" i="1"/>
  <c r="AJ1415" i="1" s="1"/>
  <c r="M1805" i="1"/>
  <c r="AJ1805" i="1" s="1"/>
  <c r="AK1805" i="1" s="1"/>
  <c r="M1308" i="1"/>
  <c r="AJ1308" i="1" s="1"/>
  <c r="M2543" i="1"/>
  <c r="AJ2543" i="1" s="1"/>
  <c r="M531" i="1"/>
  <c r="AJ531" i="1" s="1"/>
  <c r="M1434" i="1"/>
  <c r="AJ1434" i="1" s="1"/>
  <c r="M867" i="1"/>
  <c r="AJ867" i="1" s="1"/>
  <c r="M657" i="1"/>
  <c r="AJ657" i="1" s="1"/>
  <c r="M947" i="1"/>
  <c r="AJ947" i="1" s="1"/>
  <c r="M1636" i="1"/>
  <c r="AJ1636" i="1" s="1"/>
  <c r="M2364" i="1"/>
  <c r="AJ2364" i="1" s="1"/>
  <c r="M2108" i="1"/>
  <c r="AJ2108" i="1" s="1"/>
  <c r="M898" i="1"/>
  <c r="AJ898" i="1" s="1"/>
  <c r="M2066" i="1"/>
  <c r="AJ2066" i="1" s="1"/>
  <c r="M2684" i="1"/>
  <c r="AJ2684" i="1" s="1"/>
  <c r="M1595" i="1"/>
  <c r="AJ1595" i="1" s="1"/>
  <c r="M580" i="1"/>
  <c r="AJ580" i="1" s="1"/>
  <c r="M2497" i="1"/>
  <c r="AJ2497" i="1" s="1"/>
  <c r="AK2497" i="1" s="1"/>
  <c r="M888" i="1"/>
  <c r="AJ888" i="1" s="1"/>
  <c r="M2181" i="1"/>
  <c r="AJ2181" i="1" s="1"/>
  <c r="M2326" i="1"/>
  <c r="AJ2326" i="1" s="1"/>
  <c r="M2462" i="1"/>
  <c r="AJ2462" i="1" s="1"/>
  <c r="M1120" i="1"/>
  <c r="AJ1120" i="1" s="1"/>
  <c r="M1727" i="1"/>
  <c r="AJ1727" i="1" s="1"/>
  <c r="M2100" i="1"/>
  <c r="AJ2100" i="1" s="1"/>
  <c r="M1592" i="1"/>
  <c r="AJ1592" i="1" s="1"/>
  <c r="M1853" i="1"/>
  <c r="AJ1853" i="1" s="1"/>
  <c r="AK1853" i="1" s="1"/>
  <c r="M316" i="1"/>
  <c r="AJ316" i="1" s="1"/>
  <c r="M1388" i="1"/>
  <c r="AJ1388" i="1" s="1"/>
  <c r="M1254" i="1"/>
  <c r="AJ1254" i="1" s="1"/>
  <c r="M1273" i="1"/>
  <c r="AJ1273" i="1" s="1"/>
  <c r="M1525" i="1"/>
  <c r="AJ1525" i="1" s="1"/>
  <c r="M528" i="1"/>
  <c r="AJ528" i="1" s="1"/>
  <c r="M721" i="1"/>
  <c r="AJ721" i="1" s="1"/>
  <c r="AK721" i="1" s="1"/>
  <c r="M1441" i="1"/>
  <c r="AJ1441" i="1" s="1"/>
  <c r="M1420" i="1"/>
  <c r="AJ1420" i="1" s="1"/>
  <c r="M1243" i="1"/>
  <c r="AJ1243" i="1" s="1"/>
  <c r="M860" i="1"/>
  <c r="AJ860" i="1" s="1"/>
  <c r="M2516" i="1"/>
  <c r="AJ2516" i="1" s="1"/>
  <c r="M545" i="1"/>
  <c r="AJ545" i="1" s="1"/>
  <c r="M480" i="1"/>
  <c r="AJ480" i="1" s="1"/>
  <c r="M1208" i="1"/>
  <c r="AJ1208" i="1" s="1"/>
  <c r="AK1208" i="1" s="1"/>
  <c r="M212" i="1"/>
  <c r="AJ212" i="1" s="1"/>
  <c r="AK212" i="1" s="1"/>
  <c r="M12" i="1"/>
  <c r="AJ12" i="1" s="1"/>
  <c r="M211" i="1"/>
  <c r="AJ211" i="1" s="1"/>
  <c r="M525" i="1"/>
  <c r="AJ525" i="1" s="1"/>
  <c r="M730" i="1"/>
  <c r="AJ730" i="1" s="1"/>
  <c r="M1094" i="1"/>
  <c r="AJ1094" i="1" s="1"/>
  <c r="M1527" i="1"/>
  <c r="AJ1527" i="1" s="1"/>
  <c r="M1639" i="1"/>
  <c r="AJ1639" i="1" s="1"/>
  <c r="M2679" i="1"/>
  <c r="AJ2679" i="1" s="1"/>
  <c r="M173" i="1"/>
  <c r="AJ173" i="1" s="1"/>
  <c r="M156" i="1"/>
  <c r="AJ156" i="1" s="1"/>
  <c r="M2133" i="1"/>
  <c r="AJ2133" i="1" s="1"/>
  <c r="M896" i="1"/>
  <c r="AJ896" i="1" s="1"/>
  <c r="M1437" i="1"/>
  <c r="AJ1437" i="1" s="1"/>
  <c r="M2268" i="1"/>
  <c r="AJ2268" i="1" s="1"/>
  <c r="M2315" i="1"/>
  <c r="AJ2315" i="1" s="1"/>
  <c r="AK2315" i="1" s="1"/>
  <c r="M1816" i="1"/>
  <c r="AJ1816" i="1" s="1"/>
  <c r="M54" i="1"/>
  <c r="AJ54" i="1" s="1"/>
  <c r="M2452" i="1"/>
  <c r="AJ2452" i="1" s="1"/>
  <c r="M1128" i="1"/>
  <c r="AJ1128" i="1" s="1"/>
  <c r="M206" i="1"/>
  <c r="AJ206" i="1" s="1"/>
  <c r="M1235" i="1"/>
  <c r="AJ1235" i="1" s="1"/>
  <c r="M258" i="1"/>
  <c r="AJ258" i="1" s="1"/>
  <c r="M1560" i="1"/>
  <c r="AJ1560" i="1" s="1"/>
  <c r="AK1560" i="1" s="1"/>
  <c r="M2691" i="1"/>
  <c r="AJ2691" i="1" s="1"/>
  <c r="M2350" i="1"/>
  <c r="AJ2350" i="1" s="1"/>
  <c r="M2413" i="1"/>
  <c r="AJ2413" i="1" s="1"/>
  <c r="M1889" i="1"/>
  <c r="AJ1889" i="1" s="1"/>
  <c r="M1758" i="1"/>
  <c r="AJ1758" i="1" s="1"/>
  <c r="M1061" i="1"/>
  <c r="AJ1061" i="1" s="1"/>
  <c r="M2007" i="1"/>
  <c r="AJ2007" i="1" s="1"/>
  <c r="M158" i="1"/>
  <c r="AJ158" i="1" s="1"/>
  <c r="AK158" i="1" s="1"/>
  <c r="M1391" i="1"/>
  <c r="AJ1391" i="1" s="1"/>
  <c r="AK1391" i="1" s="1"/>
  <c r="M1448" i="1"/>
  <c r="AJ1448" i="1" s="1"/>
  <c r="M1164" i="1"/>
  <c r="AJ1164" i="1" s="1"/>
  <c r="M856" i="1"/>
  <c r="AJ856" i="1" s="1"/>
  <c r="M2717" i="1"/>
  <c r="AJ2717" i="1" s="1"/>
  <c r="M640" i="1"/>
  <c r="AJ640" i="1" s="1"/>
  <c r="M1562" i="1"/>
  <c r="AJ1562" i="1" s="1"/>
  <c r="M1130" i="1"/>
  <c r="AJ1130" i="1" s="1"/>
  <c r="M1212" i="1"/>
  <c r="AJ1212" i="1" s="1"/>
  <c r="AK1212" i="1" s="1"/>
  <c r="M649" i="1"/>
  <c r="AJ649" i="1" s="1"/>
  <c r="M1252" i="1"/>
  <c r="AJ1252" i="1" s="1"/>
  <c r="M589" i="1"/>
  <c r="AJ589" i="1" s="1"/>
  <c r="M2047" i="1"/>
  <c r="AJ2047" i="1" s="1"/>
  <c r="M1815" i="1"/>
  <c r="AJ1815" i="1" s="1"/>
  <c r="M728" i="1"/>
  <c r="AJ728" i="1" s="1"/>
  <c r="M2647" i="1"/>
  <c r="AJ2647" i="1" s="1"/>
  <c r="AK2647" i="1" s="1"/>
  <c r="M1829" i="1"/>
  <c r="AJ1829" i="1" s="1"/>
  <c r="AK1829" i="1" s="1"/>
  <c r="M942" i="1"/>
  <c r="AJ942" i="1" s="1"/>
  <c r="M1142" i="1"/>
  <c r="AJ1142" i="1" s="1"/>
  <c r="M1643" i="1"/>
  <c r="AJ1643" i="1" s="1"/>
  <c r="M194" i="1"/>
  <c r="AJ194" i="1" s="1"/>
  <c r="M572" i="1"/>
  <c r="AJ572" i="1" s="1"/>
  <c r="M2421" i="1"/>
  <c r="AJ2421" i="1" s="1"/>
  <c r="M2687" i="1"/>
  <c r="AJ2687" i="1" s="1"/>
  <c r="M1899" i="1"/>
  <c r="AJ1899" i="1" s="1"/>
  <c r="AK1899" i="1" s="1"/>
  <c r="M2693" i="1"/>
  <c r="AJ2693" i="1" s="1"/>
  <c r="M214" i="1"/>
  <c r="AJ214" i="1" s="1"/>
  <c r="M872" i="1"/>
  <c r="AJ872" i="1" s="1"/>
  <c r="M2517" i="1"/>
  <c r="AJ2517" i="1" s="1"/>
  <c r="M704" i="1"/>
  <c r="AJ704" i="1" s="1"/>
  <c r="M2688" i="1"/>
  <c r="AJ2688" i="1" s="1"/>
  <c r="M1590" i="1"/>
  <c r="AJ1590" i="1" s="1"/>
  <c r="AK1590" i="1" s="1"/>
  <c r="M2319" i="1"/>
  <c r="AJ2319" i="1" s="1"/>
  <c r="AK2319" i="1" s="1"/>
  <c r="M255" i="1"/>
  <c r="AJ255" i="1" s="1"/>
  <c r="M292" i="1"/>
  <c r="AJ292" i="1" s="1"/>
  <c r="M2498" i="1"/>
  <c r="AJ2498" i="1" s="1"/>
  <c r="M2571" i="1"/>
  <c r="AJ2571" i="1" s="1"/>
  <c r="M656" i="1"/>
  <c r="AJ656" i="1" s="1"/>
  <c r="M1066" i="1"/>
  <c r="AJ1066" i="1" s="1"/>
  <c r="M1570" i="1"/>
  <c r="AJ1570" i="1" s="1"/>
  <c r="M2697" i="1"/>
  <c r="AJ2697" i="1" s="1"/>
  <c r="AK2697" i="1" s="1"/>
  <c r="M2131" i="1"/>
  <c r="AJ2131" i="1" s="1"/>
  <c r="M2125" i="1"/>
  <c r="AJ2125" i="1" s="1"/>
  <c r="M2556" i="1"/>
  <c r="AJ2556" i="1" s="1"/>
  <c r="M603" i="1"/>
  <c r="AJ603" i="1" s="1"/>
  <c r="M38" i="1"/>
  <c r="AJ38" i="1" s="1"/>
  <c r="M91" i="1"/>
  <c r="AJ91" i="1" s="1"/>
  <c r="M2715" i="1"/>
  <c r="AJ2715" i="1" s="1"/>
  <c r="M335" i="1"/>
  <c r="AJ335" i="1" s="1"/>
  <c r="AK335" i="1" s="1"/>
  <c r="AK1079" i="1" l="1"/>
  <c r="AK2710" i="1"/>
  <c r="AK748" i="1"/>
  <c r="AK1262" i="1"/>
  <c r="AK1520" i="1"/>
  <c r="AK1031" i="1"/>
  <c r="AK660" i="1"/>
  <c r="AK283" i="1"/>
  <c r="AK1937" i="1"/>
  <c r="AK2067" i="1"/>
  <c r="AK163" i="1"/>
  <c r="AK2230" i="1"/>
  <c r="AK2446" i="1"/>
  <c r="AK2215" i="1"/>
  <c r="AK1393" i="1"/>
  <c r="AK526" i="1"/>
  <c r="AK149" i="1"/>
  <c r="AK322" i="1"/>
  <c r="AK1509" i="1"/>
  <c r="AK979" i="1"/>
  <c r="AK1536" i="1"/>
  <c r="AK1530" i="1"/>
  <c r="AK1457" i="1"/>
  <c r="AK1130" i="1"/>
  <c r="AK804" i="1"/>
  <c r="AK630" i="1"/>
  <c r="AK1022" i="1"/>
  <c r="AK1636" i="1"/>
  <c r="AK2604" i="1"/>
  <c r="AK2535" i="1"/>
  <c r="AK1154" i="1"/>
  <c r="AK2171" i="1"/>
  <c r="AK109" i="1"/>
  <c r="AK2581" i="1"/>
  <c r="AK265" i="1"/>
  <c r="AK1494" i="1"/>
  <c r="AK2218" i="1"/>
  <c r="AK1867" i="1"/>
  <c r="AK1441" i="1"/>
  <c r="AK1308" i="1"/>
  <c r="AK2678" i="1"/>
  <c r="AK2623" i="1"/>
  <c r="AK218" i="1"/>
  <c r="AK1068" i="1"/>
  <c r="AK2659" i="1"/>
  <c r="AK2570" i="1"/>
  <c r="AK1261" i="1"/>
  <c r="AK1814" i="1"/>
  <c r="AK2222" i="1"/>
  <c r="AK2501" i="1"/>
  <c r="AK871" i="1"/>
  <c r="AK2365" i="1"/>
  <c r="AK2147" i="1"/>
  <c r="AK2221" i="1"/>
  <c r="AK157" i="1"/>
  <c r="AK2787" i="1"/>
  <c r="AK641" i="1"/>
  <c r="AK1345" i="1"/>
  <c r="AK1442" i="1"/>
  <c r="AK395" i="1"/>
  <c r="AK824" i="1"/>
  <c r="AK2177" i="1"/>
  <c r="AK768" i="1"/>
  <c r="AK1622" i="1"/>
  <c r="AK789" i="1"/>
  <c r="AK431" i="1"/>
  <c r="AK998" i="1"/>
  <c r="AK1885" i="1"/>
  <c r="AK1523" i="1"/>
  <c r="AK2250" i="1"/>
  <c r="AK798" i="1"/>
  <c r="AK1685" i="1"/>
  <c r="AK1221" i="1"/>
  <c r="AK361" i="1"/>
  <c r="AK1589" i="1"/>
  <c r="AK2090" i="1"/>
  <c r="AK1582" i="1"/>
  <c r="AK595" i="1"/>
  <c r="AK733" i="1"/>
  <c r="AK2524" i="1"/>
  <c r="AK1907" i="1"/>
  <c r="AK688" i="1"/>
  <c r="AK458" i="1"/>
  <c r="AK2715" i="1"/>
  <c r="AK267" i="1"/>
  <c r="AK260" i="1"/>
  <c r="AK870" i="1"/>
  <c r="AK76" i="1"/>
  <c r="AK1764" i="1"/>
  <c r="AK1293" i="1"/>
  <c r="AK108" i="1"/>
  <c r="AK1644" i="1"/>
  <c r="AK2691" i="1"/>
  <c r="AK888" i="1"/>
  <c r="AK1038" i="1"/>
  <c r="AK2179" i="1"/>
  <c r="AK2582" i="1"/>
  <c r="AK929" i="1"/>
  <c r="AK385" i="1"/>
  <c r="AK2544" i="1"/>
  <c r="AK1570" i="1"/>
  <c r="AK683" i="1"/>
  <c r="AK1587" i="1"/>
  <c r="AK2445" i="1"/>
  <c r="AK308" i="1"/>
  <c r="AK1020" i="1"/>
  <c r="AK1985" i="1"/>
  <c r="AK1913" i="1"/>
  <c r="AK1648" i="1"/>
  <c r="AK1816" i="1"/>
  <c r="AK2364" i="1"/>
  <c r="AK286" i="1"/>
  <c r="AK1321" i="1"/>
  <c r="AK2087" i="1"/>
  <c r="AK1265" i="1"/>
  <c r="AK442" i="1"/>
  <c r="AK1748" i="1"/>
  <c r="AK2432" i="1"/>
  <c r="AK1989" i="1"/>
  <c r="AK2786" i="1"/>
  <c r="AK2425" i="1"/>
  <c r="AK2679" i="1"/>
  <c r="AK1210" i="1"/>
  <c r="AK1320" i="1"/>
  <c r="AK2031" i="1"/>
  <c r="AK1275" i="1"/>
  <c r="AK706" i="1"/>
  <c r="AK2687" i="1"/>
  <c r="AK2074" i="1"/>
  <c r="AK2042" i="1"/>
  <c r="AK592" i="1"/>
  <c r="AK2441" i="1"/>
  <c r="AK1070" i="1"/>
  <c r="AK1400" i="1"/>
  <c r="AK1301" i="1"/>
  <c r="AK2172" i="1"/>
  <c r="AK1639" i="1"/>
  <c r="AK1592" i="1"/>
  <c r="AK1631" i="1"/>
  <c r="AK955" i="1"/>
  <c r="AK2748" i="1"/>
  <c r="AK1165" i="1"/>
  <c r="AK2267" i="1"/>
  <c r="AK1720" i="1"/>
  <c r="AK1736" i="1"/>
  <c r="AK1824" i="1"/>
  <c r="AK590" i="1"/>
  <c r="AK609" i="1"/>
  <c r="AK303" i="1"/>
  <c r="AK1303" i="1"/>
  <c r="AK1470" i="1"/>
  <c r="AK2770" i="1"/>
  <c r="AK1135" i="1"/>
  <c r="AK840" i="1"/>
  <c r="AK124" i="1"/>
  <c r="AK317" i="1"/>
  <c r="AK68" i="1"/>
  <c r="AK2015" i="1"/>
  <c r="AK1515" i="1"/>
  <c r="AK1333" i="1"/>
  <c r="AK2426" i="1"/>
  <c r="AK895" i="1"/>
  <c r="AK2077" i="1"/>
  <c r="AK2296" i="1"/>
  <c r="AK957" i="1"/>
  <c r="AK2351" i="1"/>
  <c r="AK1169" i="1"/>
  <c r="AK2458" i="1"/>
  <c r="AK1658" i="1"/>
  <c r="AK1800" i="1"/>
  <c r="AK1524" i="1"/>
  <c r="AK404" i="1"/>
  <c r="AK2792" i="1"/>
  <c r="AK835" i="1"/>
  <c r="AK1280" i="1"/>
  <c r="AK1848" i="1"/>
  <c r="AK1804" i="1"/>
  <c r="AK1187" i="1"/>
  <c r="AK953" i="1"/>
  <c r="AK196" i="1"/>
  <c r="AK908" i="1"/>
  <c r="AK650" i="1"/>
  <c r="AK27" i="1"/>
  <c r="AK583" i="1"/>
  <c r="AK2607" i="1"/>
  <c r="AK353" i="1"/>
  <c r="AK2720" i="1"/>
  <c r="AK377" i="1"/>
  <c r="AK1107" i="1"/>
  <c r="AK452" i="1"/>
  <c r="AK2003" i="1"/>
  <c r="AK962" i="1"/>
  <c r="AK440" i="1"/>
  <c r="AK1992" i="1"/>
  <c r="AK1545" i="1"/>
  <c r="AK1554" i="1"/>
  <c r="AK2539" i="1"/>
  <c r="AK2294" i="1"/>
  <c r="AK1506" i="1"/>
  <c r="AK787" i="1"/>
  <c r="AK1218" i="1"/>
  <c r="AK515" i="1"/>
  <c r="AK2613" i="1"/>
  <c r="AK924" i="1"/>
  <c r="AK2450" i="1"/>
  <c r="AK345" i="1"/>
  <c r="AK978" i="1"/>
  <c r="AK987" i="1"/>
  <c r="AK1529" i="1"/>
  <c r="AK153" i="1"/>
  <c r="AK2765" i="1"/>
  <c r="AK5" i="1"/>
  <c r="AK2122" i="1"/>
  <c r="AK1735" i="1"/>
  <c r="AK2292" i="1"/>
  <c r="AK579" i="1"/>
  <c r="AK2317" i="1"/>
  <c r="AK2161" i="1"/>
  <c r="AK2595" i="1"/>
  <c r="AK1558" i="1"/>
  <c r="AK2206" i="1"/>
  <c r="AK2560" i="1"/>
  <c r="AK367" i="1"/>
  <c r="AK1040" i="1"/>
  <c r="AK544" i="1"/>
  <c r="AK2663" i="1"/>
  <c r="AK575" i="1"/>
  <c r="AK1465" i="1"/>
  <c r="AK480" i="1"/>
  <c r="AK2112" i="1"/>
  <c r="AK1478" i="1"/>
  <c r="AK1581" i="1"/>
  <c r="AK139" i="1"/>
  <c r="AK2300" i="1"/>
  <c r="AK232" i="1"/>
  <c r="AK142" i="1"/>
  <c r="AI2117" i="1"/>
  <c r="AK2117" i="1" s="1"/>
  <c r="AK1865" i="1"/>
  <c r="AK132" i="1"/>
  <c r="AK2483" i="1"/>
  <c r="AK1739" i="1"/>
  <c r="AK1880" i="1"/>
  <c r="AK174" i="1"/>
  <c r="AK305" i="1"/>
  <c r="AK1190" i="1"/>
  <c r="AK425" i="1"/>
  <c r="AK2123" i="1"/>
  <c r="AK2124" i="1"/>
  <c r="AK1037" i="1"/>
  <c r="AK1474" i="1"/>
  <c r="AK631" i="1"/>
  <c r="AK242" i="1"/>
  <c r="AK1766" i="1"/>
  <c r="AK2415" i="1"/>
  <c r="AK1991" i="1"/>
  <c r="AK2522" i="1"/>
  <c r="AK1214" i="1"/>
  <c r="AK2453" i="1"/>
  <c r="AK374" i="1"/>
  <c r="AK848" i="1"/>
  <c r="AK136" i="1"/>
  <c r="AK36" i="1"/>
  <c r="AK977" i="1"/>
  <c r="AK2145" i="1"/>
  <c r="AK1259" i="1"/>
  <c r="AK949" i="1"/>
  <c r="AK2391" i="1"/>
  <c r="AK1372" i="1"/>
  <c r="AK1434" i="1"/>
  <c r="AK589" i="1"/>
  <c r="AK2091" i="1"/>
  <c r="AK2646" i="1"/>
  <c r="AK1015" i="1"/>
  <c r="AK1547" i="1"/>
  <c r="AK1839" i="1"/>
  <c r="AK1945" i="1"/>
  <c r="AK1157" i="1"/>
  <c r="AK127" i="1"/>
  <c r="AK2462" i="1"/>
  <c r="AK411" i="1"/>
  <c r="AK252" i="1"/>
  <c r="AK2555" i="1"/>
  <c r="AK2784" i="1"/>
  <c r="AK1691" i="1"/>
  <c r="AK2519" i="1"/>
  <c r="AK1326" i="1"/>
  <c r="AK2024" i="1"/>
  <c r="AK2662" i="1"/>
  <c r="AK857" i="1"/>
  <c r="AK856" i="1"/>
  <c r="AK337" i="1"/>
  <c r="AK1788" i="1"/>
  <c r="AK2771" i="1"/>
  <c r="AK1725" i="1"/>
  <c r="AK2327" i="1"/>
  <c r="AK2257" i="1"/>
  <c r="AK1153" i="1"/>
  <c r="AK1951" i="1"/>
  <c r="AK1397" i="1"/>
  <c r="AK1967" i="1"/>
  <c r="AK1350" i="1"/>
  <c r="AK1331" i="1"/>
  <c r="AK2485" i="1"/>
  <c r="AK216" i="1"/>
  <c r="AK2444" i="1"/>
  <c r="AK885" i="1"/>
  <c r="AK1917" i="1"/>
  <c r="AK1090" i="1"/>
  <c r="AK1104" i="1"/>
  <c r="AK1369" i="1"/>
  <c r="AK2652" i="1"/>
  <c r="AK2557" i="1"/>
  <c r="AK336" i="1"/>
  <c r="AK357" i="1"/>
  <c r="AK430" i="1"/>
  <c r="AK1323" i="1"/>
  <c r="AK666" i="1"/>
  <c r="AK66" i="1"/>
  <c r="AK1010" i="1"/>
  <c r="AK800" i="1"/>
  <c r="AK553" i="1"/>
  <c r="AK486" i="1"/>
  <c r="AK2473" i="1"/>
  <c r="AK1203" i="1"/>
  <c r="AK2621" i="1"/>
  <c r="AK101" i="1"/>
  <c r="AK1390" i="1"/>
  <c r="AK2549" i="1"/>
  <c r="AK2066" i="1"/>
  <c r="AK1643" i="1"/>
  <c r="AK1952" i="1"/>
  <c r="AK1884" i="1"/>
  <c r="AK1460" i="1"/>
  <c r="AK746" i="1"/>
  <c r="AK1695" i="1"/>
  <c r="AK441" i="1"/>
  <c r="AK1449" i="1"/>
  <c r="AK546" i="1"/>
  <c r="AK1100" i="1"/>
  <c r="AK1285" i="1"/>
  <c r="AK2670" i="1"/>
  <c r="AK1971" i="1"/>
  <c r="AK563" i="1"/>
  <c r="AK536" i="1"/>
  <c r="AK2606" i="1"/>
  <c r="AK2137" i="1"/>
  <c r="AK2258" i="1"/>
  <c r="AK171" i="1"/>
  <c r="AK745" i="1"/>
  <c r="AK739" i="1"/>
  <c r="AK2542" i="1"/>
  <c r="AK2622" i="1"/>
  <c r="AK547" i="1"/>
  <c r="AK2551" i="1"/>
  <c r="AK1475" i="1"/>
  <c r="AK1687" i="1"/>
  <c r="AK1717" i="1"/>
  <c r="AK1628" i="1"/>
  <c r="AK2174" i="1"/>
  <c r="AK2076" i="1"/>
  <c r="AK2764" i="1"/>
  <c r="AK281" i="1"/>
  <c r="AK1205" i="1"/>
  <c r="AK2448" i="1"/>
  <c r="AK243" i="1"/>
  <c r="AK1820" i="1"/>
  <c r="AK506" i="1"/>
  <c r="AK175" i="1"/>
  <c r="AK524" i="1"/>
  <c r="AK1755" i="1"/>
  <c r="AK1172" i="1"/>
  <c r="AK1309" i="1"/>
  <c r="AK1286" i="1"/>
  <c r="AK1294" i="1"/>
  <c r="AK1150" i="1"/>
  <c r="AK200" i="1"/>
  <c r="AK1401" i="1"/>
  <c r="AK307" i="1"/>
  <c r="AK72" i="1"/>
  <c r="AK1532" i="1"/>
  <c r="AK1241" i="1"/>
  <c r="AK1641" i="1"/>
  <c r="AK1706" i="1"/>
  <c r="AK598" i="1"/>
  <c r="AK1468" i="1"/>
  <c r="AK2244" i="1"/>
  <c r="AK161" i="1"/>
  <c r="AK532" i="1"/>
  <c r="AK512" i="1"/>
  <c r="AK1014" i="1"/>
  <c r="AK321" i="1"/>
  <c r="AK1949" i="1"/>
  <c r="AK2706" i="1"/>
  <c r="AK2006" i="1"/>
  <c r="AK1601" i="1"/>
  <c r="AK490" i="1"/>
  <c r="AK1295" i="1"/>
  <c r="AK1819" i="1"/>
  <c r="AK1789" i="1"/>
  <c r="AK2789" i="1"/>
  <c r="AK2374" i="1"/>
  <c r="AK1982" i="1"/>
  <c r="AK1712" i="1"/>
  <c r="AK402" i="1"/>
  <c r="AK1425" i="1"/>
  <c r="AK2128" i="1"/>
  <c r="AK1111" i="1"/>
  <c r="AK2791" i="1"/>
  <c r="AK2471" i="1"/>
  <c r="AK1254" i="1"/>
  <c r="AK405" i="1"/>
  <c r="AK2176" i="1"/>
  <c r="AK2447" i="1"/>
  <c r="AK667" i="1"/>
  <c r="AK927" i="1"/>
  <c r="AK2573" i="1"/>
  <c r="AK771" i="1"/>
  <c r="AK1234" i="1"/>
  <c r="AK1072" i="1"/>
  <c r="AK2640" i="1"/>
  <c r="AK2060" i="1"/>
  <c r="AK1083" i="1"/>
  <c r="AK2479" i="1"/>
  <c r="AK1161" i="1"/>
  <c r="AK166" i="1"/>
  <c r="AK1005" i="1"/>
  <c r="AK102" i="1"/>
  <c r="AK95" i="1"/>
  <c r="AK2107" i="1"/>
  <c r="AK2682" i="1"/>
  <c r="AK454" i="1"/>
  <c r="AK1195" i="1"/>
  <c r="AK2201" i="1"/>
  <c r="AK1974" i="1"/>
  <c r="AK2310" i="1"/>
  <c r="AK2721" i="1"/>
  <c r="AK969" i="1"/>
  <c r="AK2642" i="1"/>
  <c r="AK2111" i="1"/>
  <c r="AK1704" i="1"/>
  <c r="AK2375" i="1"/>
  <c r="AK1526" i="1"/>
  <c r="AK1232" i="1"/>
  <c r="AK2127" i="1"/>
  <c r="AK2316" i="1"/>
  <c r="AK52" i="1"/>
  <c r="AK827" i="1"/>
  <c r="AK872" i="1"/>
  <c r="AK73" i="1"/>
  <c r="AK1452" i="1"/>
  <c r="AK2406" i="1"/>
  <c r="AK2437" i="1"/>
  <c r="AK604" i="1"/>
  <c r="AK331" i="1"/>
  <c r="AK2388" i="1"/>
  <c r="AK1938" i="1"/>
  <c r="AK2419" i="1"/>
  <c r="AK932" i="1"/>
  <c r="AK1179" i="1"/>
  <c r="AK744" i="1"/>
  <c r="AK342" i="1"/>
  <c r="AK686" i="1"/>
  <c r="AK1073" i="1"/>
  <c r="AK2109" i="1"/>
  <c r="AK875" i="1"/>
  <c r="AK1525" i="1"/>
  <c r="AK1386" i="1"/>
  <c r="AK2474" i="1"/>
  <c r="AK1922" i="1"/>
  <c r="AK144" i="1"/>
  <c r="AK195" i="1"/>
  <c r="AK843" i="1"/>
  <c r="AK1953" i="1"/>
  <c r="AK2733" i="1"/>
  <c r="AK93" i="1"/>
  <c r="AK328" i="1"/>
  <c r="AK1955" i="1"/>
  <c r="AK2373" i="1"/>
  <c r="AK2478" i="1"/>
  <c r="AK2451" i="1"/>
  <c r="AK1018" i="1"/>
  <c r="AK64" i="1"/>
  <c r="AK1600" i="1"/>
  <c r="AK959" i="1"/>
  <c r="AK1751" i="1"/>
  <c r="AK1942" i="1"/>
  <c r="AK248" i="1"/>
  <c r="AK1480" i="1"/>
  <c r="AK1718" i="1"/>
  <c r="AK319" i="1"/>
  <c r="AK1488" i="1"/>
  <c r="AK692" i="1"/>
  <c r="AK348" i="1"/>
  <c r="AK961" i="1"/>
  <c r="AK2399" i="1"/>
  <c r="AK1543" i="1"/>
  <c r="AK770" i="1"/>
  <c r="AK1640" i="1"/>
  <c r="AK697" i="1"/>
  <c r="AK921" i="1"/>
  <c r="AK2004" i="1"/>
  <c r="AK2113" i="1"/>
  <c r="AK1230" i="1"/>
  <c r="AK2299" i="1"/>
  <c r="AK2470" i="1"/>
  <c r="AK363" i="1"/>
  <c r="AK884" i="1"/>
  <c r="AK2782" i="1"/>
  <c r="AK869" i="1"/>
  <c r="AK129" i="1"/>
  <c r="AK890" i="1"/>
  <c r="AK576" i="1"/>
  <c r="AK2312" i="1"/>
  <c r="AK2101" i="1"/>
  <c r="AK2705" i="1"/>
  <c r="AK376" i="1"/>
  <c r="AK2233" i="1"/>
  <c r="AK2452" i="1"/>
  <c r="AK1742" i="1"/>
  <c r="AK451" i="1"/>
  <c r="AK2619" i="1"/>
  <c r="AK1729" i="1"/>
  <c r="AK1551" i="1"/>
  <c r="AK1114" i="1"/>
  <c r="AK147" i="1"/>
  <c r="AK1433" i="1"/>
  <c r="AK695" i="1"/>
  <c r="AK1443" i="1"/>
  <c r="AK2241" i="1"/>
  <c r="AK2469" i="1"/>
  <c r="AK972" i="1"/>
  <c r="AK1492" i="1"/>
  <c r="AK2641" i="1"/>
  <c r="AK1977" i="1"/>
  <c r="AK2382" i="1"/>
  <c r="AK98" i="1"/>
  <c r="AK1513" i="1"/>
  <c r="AK279" i="1"/>
  <c r="AK516" i="1"/>
  <c r="AK2752" i="1"/>
  <c r="AK2384" i="1"/>
  <c r="AK2092" i="1"/>
  <c r="AK1385" i="1"/>
  <c r="AK607" i="1"/>
  <c r="AK61" i="1"/>
  <c r="AK2278" i="1"/>
  <c r="AK2263" i="1"/>
  <c r="AK883" i="1"/>
  <c r="AK1413" i="1"/>
  <c r="AK1882" i="1"/>
  <c r="AK291" i="1"/>
  <c r="AK1048" i="1"/>
  <c r="AK727" i="1"/>
  <c r="AK1700" i="1"/>
  <c r="AK339" i="1"/>
  <c r="AK2387" i="1"/>
  <c r="AK2142" i="1"/>
  <c r="AK1873" i="1"/>
  <c r="AK907" i="1"/>
  <c r="AK725" i="1"/>
  <c r="AK1125" i="1"/>
  <c r="AK931" i="1"/>
  <c r="AK1359" i="1"/>
  <c r="AK866" i="1"/>
  <c r="AK2665" i="1"/>
  <c r="AK219" i="1"/>
  <c r="AK2683" i="1"/>
  <c r="AK500" i="1"/>
  <c r="AK557" i="1"/>
  <c r="AK2348" i="1"/>
  <c r="AK1531" i="1"/>
  <c r="AK323" i="1"/>
  <c r="AK2298" i="1"/>
  <c r="AK2099" i="1"/>
  <c r="AK2410" i="1"/>
  <c r="AK466" i="1"/>
  <c r="AK2627" i="1"/>
  <c r="AK790" i="1"/>
  <c r="AK2295" i="1"/>
  <c r="AK1731" i="1"/>
  <c r="AK1268" i="1"/>
  <c r="AK617" i="1"/>
  <c r="AK1339" i="1"/>
  <c r="AK224" i="1"/>
  <c r="AK1911" i="1"/>
  <c r="AK116" i="1"/>
  <c r="AK1901" i="1"/>
  <c r="AK753" i="1"/>
  <c r="AK418" i="1"/>
  <c r="AK1032" i="1"/>
  <c r="AK676" i="1"/>
  <c r="AK47" i="1"/>
  <c r="AK675" i="1"/>
  <c r="AK114" i="1"/>
  <c r="AK566" i="1"/>
  <c r="AK2333" i="1"/>
  <c r="AK1477" i="1"/>
  <c r="AK2597" i="1"/>
  <c r="AK705" i="1"/>
  <c r="AK1467" i="1"/>
  <c r="AK2232" i="1"/>
  <c r="AK150" i="1"/>
  <c r="AK332" i="1"/>
  <c r="AK2330" i="1"/>
  <c r="AK2120" i="1"/>
  <c r="AK1260" i="1"/>
  <c r="AK25" i="1"/>
  <c r="AK1613" i="1"/>
  <c r="AK2440" i="1"/>
  <c r="AK1012" i="1"/>
  <c r="AK2354" i="1"/>
  <c r="AK708" i="1"/>
  <c r="AK2135" i="1"/>
  <c r="AK1927" i="1"/>
  <c r="AK1675" i="1"/>
  <c r="AK1505" i="1"/>
  <c r="AK851" i="1"/>
  <c r="AK2204" i="1"/>
  <c r="AK1057" i="1"/>
  <c r="AK581" i="1"/>
  <c r="AK1315" i="1"/>
  <c r="AK2416" i="1"/>
  <c r="AK2037" i="1"/>
  <c r="AK864" i="1"/>
  <c r="AK2239" i="1"/>
  <c r="AK1919" i="1"/>
  <c r="AK71" i="1"/>
  <c r="AK2756" i="1"/>
  <c r="AK2381" i="1"/>
  <c r="AK2456" i="1"/>
  <c r="AK1875" i="1"/>
  <c r="AK1437" i="1"/>
  <c r="AK2056" i="1"/>
  <c r="AK1679" i="1"/>
  <c r="AK1102" i="1"/>
  <c r="AK1855" i="1"/>
  <c r="AK639" i="1"/>
  <c r="AK498" i="1"/>
  <c r="AK2596" i="1"/>
  <c r="AK2023" i="1"/>
  <c r="AK1067" i="1"/>
  <c r="AK2093" i="1"/>
  <c r="AK189" i="1"/>
  <c r="AK2400" i="1"/>
  <c r="AK2361" i="1"/>
  <c r="AK797" i="1"/>
  <c r="AK1555" i="1"/>
  <c r="AK2507" i="1"/>
  <c r="AK1997" i="1"/>
  <c r="AK1236" i="1"/>
  <c r="AK397" i="1"/>
  <c r="AK1284" i="1"/>
  <c r="AK1580" i="1"/>
  <c r="AK1405" i="1"/>
  <c r="AK2144" i="1"/>
  <c r="AK2202" i="1"/>
  <c r="AK67" i="1"/>
  <c r="AK1576" i="1"/>
  <c r="AK795" i="1"/>
  <c r="AK2211" i="1"/>
  <c r="AK1987" i="1"/>
  <c r="AK289" i="1"/>
  <c r="AK1807" i="1"/>
  <c r="AK760" i="1"/>
  <c r="AK2546" i="1"/>
  <c r="AK2728" i="1"/>
  <c r="AK487" i="1"/>
  <c r="AK1224" i="1"/>
  <c r="AK854" i="1"/>
  <c r="AK920" i="1"/>
  <c r="AK1176" i="1"/>
  <c r="AK1566" i="1"/>
  <c r="AK433" i="1"/>
  <c r="AK1995" i="1"/>
  <c r="AK1354" i="1"/>
  <c r="AK2457" i="1"/>
  <c r="AK222" i="1"/>
  <c r="AK2043" i="1"/>
  <c r="AK436" i="1"/>
  <c r="AK1322" i="1"/>
  <c r="AK2190" i="1"/>
  <c r="AK814" i="1"/>
  <c r="AK1823" i="1"/>
  <c r="AK2633" i="1"/>
  <c r="AK253" i="1"/>
  <c r="AK1045" i="1"/>
  <c r="AK2336" i="1"/>
  <c r="AK1672" i="1"/>
  <c r="AK360" i="1"/>
  <c r="AK97" i="1"/>
  <c r="AK860" i="1"/>
  <c r="AK1835" i="1"/>
  <c r="AK275" i="1"/>
  <c r="AK2012" i="1"/>
  <c r="AK1085" i="1"/>
  <c r="AK407" i="1"/>
  <c r="AK662" i="1"/>
  <c r="AK34" i="1"/>
  <c r="AK269" i="1"/>
  <c r="AK1009" i="1"/>
  <c r="AK186" i="1"/>
  <c r="AK572" i="1"/>
  <c r="AK2138" i="1"/>
  <c r="AK1947" i="1"/>
  <c r="AK2343" i="1"/>
  <c r="AK2344" i="1"/>
  <c r="AK17" i="1"/>
  <c r="AK2588" i="1"/>
  <c r="AK2735" i="1"/>
  <c r="AK1086" i="1"/>
  <c r="AK1986" i="1"/>
  <c r="AK1690" i="1"/>
  <c r="AK2525" i="1"/>
  <c r="AK37" i="1"/>
  <c r="AK154" i="1"/>
  <c r="AK1002" i="1"/>
  <c r="AK1399" i="1"/>
  <c r="AK2205" i="1"/>
  <c r="AK1426" i="1"/>
  <c r="AK1779" i="1"/>
  <c r="AK946" i="1"/>
  <c r="AK1730" i="1"/>
  <c r="AK2046" i="1"/>
  <c r="AK9" i="1"/>
  <c r="AK501" i="1"/>
  <c r="AK577" i="1"/>
  <c r="AK2712" i="1"/>
  <c r="AK2212" i="1"/>
  <c r="AK1199" i="1"/>
  <c r="AK343" i="1"/>
  <c r="AK2632" i="1"/>
  <c r="AK1770" i="1"/>
  <c r="AK1544" i="1"/>
  <c r="AK1306" i="1"/>
  <c r="AK210" i="1"/>
  <c r="AK4" i="1"/>
  <c r="AK766" i="1"/>
  <c r="AK2587" i="1"/>
  <c r="AK2777" i="1"/>
  <c r="AK844" i="1"/>
  <c r="AK2210" i="1"/>
  <c r="AK1715" i="1"/>
  <c r="AK1149" i="1"/>
  <c r="AK86" i="1"/>
  <c r="AK1065" i="1"/>
  <c r="AK1436" i="1"/>
  <c r="AK2530" i="1"/>
  <c r="AK1832" i="1"/>
  <c r="AK1314" i="1"/>
  <c r="AK1431" i="1"/>
  <c r="AK1599" i="1"/>
  <c r="AK2380" i="1"/>
  <c r="AK1237" i="1"/>
  <c r="AK1182" i="1"/>
  <c r="AK849" i="1"/>
  <c r="AK1252" i="1"/>
  <c r="AK1491" i="1"/>
  <c r="AK1188" i="1"/>
  <c r="AK966" i="1"/>
  <c r="AK2430" i="1"/>
  <c r="AK2629" i="1"/>
  <c r="AK905" i="1"/>
  <c r="AK2602" i="1"/>
  <c r="AK538" i="1"/>
  <c r="AK1909" i="1"/>
  <c r="AK1663" i="1"/>
  <c r="AK1121" i="1"/>
  <c r="AK1487" i="1"/>
  <c r="AK1219" i="1"/>
  <c r="AK992" i="1"/>
  <c r="AK179" i="1"/>
  <c r="AK1850" i="1"/>
  <c r="AK1257" i="1"/>
  <c r="AK841" i="1"/>
  <c r="AK1877" i="1"/>
  <c r="AK251" i="1"/>
  <c r="AK314" i="1"/>
  <c r="AK1851" i="1"/>
  <c r="AK531" i="1"/>
  <c r="AK2413" i="1"/>
  <c r="AK1776" i="1"/>
  <c r="AK119" i="1"/>
  <c r="AK225" i="1"/>
  <c r="AK965" i="1"/>
  <c r="AK2311" i="1"/>
  <c r="AK1620" i="1"/>
  <c r="AK2534" i="1"/>
  <c r="AK258" i="1"/>
  <c r="AK2045" i="1"/>
  <c r="AK1727" i="1"/>
  <c r="AK1946" i="1"/>
  <c r="AK926" i="1"/>
  <c r="AK364" i="1"/>
  <c r="AK288" i="1"/>
  <c r="AK445" i="1"/>
  <c r="AK2475" i="1"/>
  <c r="AK2061" i="1"/>
  <c r="AK1137" i="1"/>
  <c r="AK2005" i="1"/>
  <c r="AK1307" i="1"/>
  <c r="AK1957" i="1"/>
  <c r="AK1136" i="1"/>
  <c r="AK2536" i="1"/>
  <c r="AK330" i="1"/>
  <c r="AK1724" i="1"/>
  <c r="AK1546" i="1"/>
  <c r="AK1716" i="1"/>
  <c r="AK1366" i="1"/>
  <c r="AK1444" i="1"/>
  <c r="AK1960" i="1"/>
  <c r="AK898" i="1"/>
  <c r="AK1164" i="1"/>
  <c r="AK485" i="1"/>
  <c r="AK2580" i="1"/>
  <c r="AK1156" i="1"/>
  <c r="AK1028" i="1"/>
  <c r="AK1473" i="1"/>
  <c r="AK79" i="1"/>
  <c r="AK1929" i="1"/>
  <c r="AK2688" i="1"/>
  <c r="AK1235" i="1"/>
  <c r="AK1844" i="1"/>
  <c r="AK654" i="1"/>
  <c r="AK2763" i="1"/>
  <c r="AK1856" i="1"/>
  <c r="AK290" i="1"/>
  <c r="AK1634" i="1"/>
  <c r="AK552" i="1"/>
  <c r="AK776" i="1"/>
  <c r="AK1060" i="1"/>
  <c r="AK121" i="1"/>
  <c r="AK1593" i="1"/>
  <c r="AK1438" i="1"/>
  <c r="AK999" i="1"/>
  <c r="AK2488" i="1"/>
  <c r="AK2480" i="1"/>
  <c r="AK2667" i="1"/>
  <c r="AK1435" i="1"/>
  <c r="AK231" i="1"/>
  <c r="AK2326" i="1"/>
  <c r="AK1227" i="1"/>
  <c r="AK2577" i="1"/>
  <c r="AK169" i="1"/>
  <c r="AK2498" i="1"/>
  <c r="AK702" i="1"/>
  <c r="AK1050" i="1"/>
  <c r="AK197" i="1"/>
  <c r="AK865" i="1"/>
  <c r="AK1861" i="1"/>
  <c r="AK1298" i="1"/>
  <c r="AK1415" i="1"/>
  <c r="AK958" i="1"/>
  <c r="AK1052" i="1"/>
  <c r="AK35" i="1"/>
  <c r="AK1242" i="1"/>
  <c r="AK444" i="1"/>
  <c r="AK187" i="1"/>
  <c r="AK293" i="1"/>
  <c r="AK913" i="1"/>
  <c r="AK2516" i="1"/>
  <c r="AK2517" i="1"/>
  <c r="AK2708" i="1"/>
  <c r="AK134" i="1"/>
  <c r="AK2272" i="1"/>
  <c r="AK1271" i="1"/>
  <c r="AK1122" i="1"/>
  <c r="AK786" i="1"/>
  <c r="AK1713" i="1"/>
  <c r="AK842" i="1"/>
  <c r="AK474" i="1"/>
  <c r="AK145" i="1"/>
  <c r="AK140" i="1"/>
  <c r="AK1250" i="1"/>
  <c r="AK2097" i="1"/>
  <c r="AK115" i="1"/>
  <c r="AK263" i="1"/>
  <c r="AK2085" i="1"/>
  <c r="AK19" i="1"/>
  <c r="AK1746" i="1"/>
  <c r="AK1642" i="1"/>
  <c r="AK274" i="1"/>
  <c r="AK1632" i="1"/>
  <c r="AK1888" i="1"/>
  <c r="AK234" i="1"/>
  <c r="AK1896" i="1"/>
  <c r="AK1310" i="1"/>
  <c r="AK808" i="1"/>
  <c r="AK1035" i="1"/>
  <c r="AK764" i="1"/>
  <c r="AK2095" i="1"/>
  <c r="AK201" i="1"/>
  <c r="AK1440" i="1"/>
  <c r="AK2276" i="1"/>
  <c r="AK2287" i="1"/>
  <c r="AK1984" i="1"/>
  <c r="AK424" i="1"/>
  <c r="AK1503" i="1"/>
  <c r="AK597" i="1"/>
  <c r="AK1845" i="1"/>
  <c r="AK596" i="1"/>
  <c r="AK1357" i="1"/>
  <c r="AK1025" i="1"/>
  <c r="AK1894" i="1"/>
  <c r="AK156" i="1"/>
  <c r="AK2125" i="1"/>
  <c r="AK2491" i="1"/>
  <c r="AK51" i="1"/>
  <c r="AK665" i="1"/>
  <c r="AK594" i="1"/>
  <c r="AK2515" i="1"/>
  <c r="AK362" i="1"/>
  <c r="AK1344" i="1"/>
  <c r="AK2435" i="1"/>
  <c r="AK2014" i="1"/>
  <c r="AK2537" i="1"/>
  <c r="AK624" i="1"/>
  <c r="AK1629" i="1"/>
  <c r="AK1348" i="1"/>
  <c r="AK1760" i="1"/>
  <c r="AK494" i="1"/>
  <c r="AK384" i="1"/>
  <c r="AK1733" i="1"/>
  <c r="AK2466" i="1"/>
  <c r="AK763" i="1"/>
  <c r="AK947" i="1"/>
  <c r="AK2566" i="1"/>
  <c r="AK2320" i="1"/>
  <c r="AK974" i="1"/>
  <c r="AK213" i="1"/>
  <c r="AK772" i="1"/>
  <c r="AK1001" i="1"/>
  <c r="AK1151" i="1"/>
  <c r="AK1439" i="1"/>
  <c r="AK1965" i="1"/>
  <c r="AK1871" i="1"/>
  <c r="AK2593" i="1"/>
  <c r="AK1092" i="1"/>
  <c r="AK995" i="1"/>
  <c r="AK2251" i="1"/>
  <c r="AK564" i="1"/>
  <c r="AK652" i="1"/>
  <c r="AK951" i="1"/>
  <c r="AK1458" i="1"/>
  <c r="AK1064" i="1"/>
  <c r="AK1564" i="1"/>
  <c r="AK2422" i="1"/>
  <c r="AK2192" i="1"/>
  <c r="AK852" i="1"/>
  <c r="AK1335" i="1"/>
  <c r="AK44" i="1"/>
  <c r="AK567" i="1"/>
  <c r="AK416" i="1"/>
  <c r="AK1077" i="1"/>
  <c r="AK777" i="1"/>
  <c r="AK894" i="1"/>
  <c r="AK2793" i="1"/>
  <c r="AK266" i="1"/>
  <c r="AK554" i="1"/>
  <c r="AK1958" i="1"/>
  <c r="AK1501" i="1"/>
  <c r="AK1521" i="1"/>
  <c r="AK1409" i="1"/>
  <c r="AK868" i="1"/>
  <c r="AK2467" i="1"/>
  <c r="AK2757" i="1"/>
  <c r="AK1889" i="1"/>
  <c r="AK394" i="1"/>
  <c r="AK2070" i="1"/>
  <c r="AK2175" i="1"/>
  <c r="AK2636" i="1"/>
  <c r="AK810" i="1"/>
  <c r="AK2654" i="1"/>
  <c r="AK1559" i="1"/>
  <c r="AK781" i="1"/>
  <c r="AK2209" i="1"/>
  <c r="AK355" i="1"/>
  <c r="AK1598" i="1"/>
  <c r="AK2347" i="1"/>
  <c r="AK1106" i="1"/>
  <c r="AK2050" i="1"/>
  <c r="AK2620" i="1"/>
  <c r="AK2630" i="1"/>
  <c r="AK380" i="1"/>
  <c r="AK862" i="1"/>
  <c r="AK89" i="1"/>
  <c r="AK2526" i="1"/>
  <c r="AK388" i="1"/>
  <c r="AK1749" i="1"/>
  <c r="AK1270" i="1"/>
  <c r="AK2589" i="1"/>
  <c r="AK1674" i="1"/>
  <c r="AK2140" i="1"/>
  <c r="AK2104" i="1"/>
  <c r="AK1279" i="1"/>
  <c r="AK1398" i="1"/>
  <c r="AK707" i="1"/>
  <c r="AK1808" i="1"/>
  <c r="AK2455" i="1"/>
  <c r="AK2261" i="1"/>
  <c r="AK2228" i="1"/>
  <c r="AK899" i="1"/>
  <c r="AK1763" i="1"/>
  <c r="AK1798" i="1"/>
  <c r="AK1542" i="1"/>
  <c r="AK2669" i="1"/>
  <c r="AK1055" i="1"/>
  <c r="AK2499" i="1"/>
  <c r="AK277" i="1"/>
  <c r="AK1091" i="1"/>
  <c r="AK1762" i="1"/>
  <c r="AK710" i="1"/>
  <c r="AK1645" i="1"/>
  <c r="AK2648" i="1"/>
  <c r="AK767" i="1"/>
  <c r="AK1849" i="1"/>
  <c r="AK809" i="1"/>
  <c r="AK1231" i="1"/>
  <c r="AK103" i="1"/>
  <c r="AK2714" i="1"/>
  <c r="AK2054" i="1"/>
  <c r="AK2754" i="1"/>
  <c r="AK736" i="1"/>
  <c r="AK2143" i="1"/>
  <c r="AK2503" i="1"/>
  <c r="AK1781" i="1"/>
  <c r="AK2080" i="1"/>
  <c r="AK1361" i="1"/>
  <c r="AK867" i="1"/>
  <c r="AK1758" i="1"/>
  <c r="AK2585" i="1"/>
  <c r="AK1916" i="1"/>
  <c r="AK681" i="1"/>
  <c r="AK2189" i="1"/>
  <c r="AK1324" i="1"/>
  <c r="AK118" i="1"/>
  <c r="AK502" i="1"/>
  <c r="AK2318" i="1"/>
  <c r="AK542" i="1"/>
  <c r="AK902" i="1"/>
  <c r="AK1472" i="1"/>
  <c r="AK125" i="1"/>
  <c r="AK2439" i="1"/>
  <c r="AK1664" i="1"/>
  <c r="AK657" i="1"/>
  <c r="AK513" i="1"/>
  <c r="AK1738" i="1"/>
  <c r="AK2724" i="1"/>
  <c r="AK1042" i="1"/>
  <c r="AK1586" i="1"/>
  <c r="AK2160" i="1"/>
  <c r="AK1269" i="1"/>
  <c r="AK1659" i="1"/>
  <c r="AK215" i="1"/>
  <c r="AK379" i="1"/>
  <c r="AK2063" i="1"/>
  <c r="AK2558" i="1"/>
  <c r="AK410" i="1"/>
  <c r="AK1968" i="1"/>
  <c r="AK1276" i="1"/>
  <c r="AK393" i="1"/>
  <c r="AK1744" i="1"/>
  <c r="AK350" i="1"/>
  <c r="AK1053" i="1"/>
  <c r="AK1453" i="1"/>
  <c r="AK2307" i="1"/>
  <c r="AK993" i="1"/>
  <c r="AK775" i="1"/>
  <c r="AK359" i="1"/>
  <c r="AK148" i="1"/>
  <c r="AK32" i="1"/>
  <c r="AK1368" i="1"/>
  <c r="AK2414" i="1"/>
  <c r="AK2383" i="1"/>
  <c r="AK80" i="1"/>
  <c r="AK719" i="1"/>
  <c r="AK1694" i="1"/>
  <c r="AK1615" i="1"/>
  <c r="AK467" i="1"/>
  <c r="AK2033" i="1"/>
  <c r="AK413" i="1"/>
  <c r="AK1030" i="1"/>
  <c r="AK1497" i="1"/>
  <c r="AK15" i="1"/>
  <c r="AK528" i="1"/>
  <c r="AK586" i="1"/>
  <c r="AK1693" i="1"/>
  <c r="AK2064" i="1"/>
  <c r="AK2103" i="1"/>
  <c r="AK1051" i="1"/>
  <c r="AK2068" i="1"/>
  <c r="AK1375" i="1"/>
  <c r="AK422" i="1"/>
  <c r="AK2476" i="1"/>
  <c r="AK1424" i="1"/>
  <c r="AK106" i="1"/>
  <c r="AK1619" i="1"/>
  <c r="AK1772" i="1"/>
  <c r="AK2019" i="1"/>
  <c r="AK2404" i="1"/>
  <c r="AK769" i="1"/>
  <c r="AK2324" i="1"/>
  <c r="AK2746" i="1"/>
  <c r="AK659" i="1"/>
  <c r="AK229" i="1"/>
  <c r="AK1355" i="1"/>
  <c r="AK1838" i="1"/>
  <c r="AK1627" i="1"/>
  <c r="AK1046" i="1"/>
  <c r="AK373" i="1"/>
  <c r="AK1906" i="1"/>
  <c r="AK1870" i="1"/>
  <c r="AK1535" i="1"/>
  <c r="AK2773" i="1"/>
  <c r="AK1247" i="1"/>
  <c r="AK120" i="1"/>
  <c r="AK483" i="1"/>
  <c r="AK1998" i="1"/>
  <c r="AK793" i="1"/>
  <c r="AK1767" i="1"/>
  <c r="AK2495" i="1"/>
  <c r="AK2196" i="1"/>
  <c r="AK1181" i="1"/>
  <c r="AK2676" i="1"/>
  <c r="AK311" i="1"/>
  <c r="AK2767" i="1"/>
  <c r="AK1914" i="1"/>
  <c r="AK2615" i="1"/>
  <c r="AK39" i="1"/>
  <c r="AK1726" i="1"/>
  <c r="AK184" i="1"/>
  <c r="AK1183" i="1"/>
  <c r="AK1510" i="1"/>
  <c r="AK813" i="1"/>
  <c r="AK264" i="1"/>
  <c r="AK1633" i="1"/>
  <c r="AK295" i="1"/>
  <c r="AK1201" i="1"/>
  <c r="AK2139" i="1"/>
  <c r="AK2328" i="1"/>
  <c r="AK2468" i="1"/>
  <c r="AK1110" i="1"/>
  <c r="AK678" i="1"/>
  <c r="AK1213" i="1"/>
  <c r="AK634" i="1"/>
  <c r="AK302" i="1"/>
  <c r="AK1493" i="1"/>
  <c r="AK762" i="1"/>
  <c r="AK582" i="1"/>
  <c r="AK2508" i="1"/>
  <c r="AK1076" i="1"/>
  <c r="AK58" i="1"/>
  <c r="AK300" i="1"/>
  <c r="AK1657" i="1"/>
  <c r="AK1773" i="1"/>
  <c r="AK670" i="1"/>
  <c r="AK1933" i="1"/>
  <c r="AK1455" i="1"/>
  <c r="AK1895" i="1"/>
  <c r="AK1365" i="1"/>
  <c r="AK877" i="1"/>
  <c r="AK1177" i="1"/>
  <c r="AK982" i="1"/>
  <c r="AK368" i="1"/>
  <c r="AK1170" i="1"/>
  <c r="AK117" i="1"/>
  <c r="AK2492" i="1"/>
  <c r="AK917" i="1"/>
  <c r="AK2181" i="1"/>
  <c r="AK649" i="1"/>
  <c r="AK2684" i="1"/>
  <c r="AK2717" i="1"/>
  <c r="AK46" i="1"/>
  <c r="AK2386" i="1"/>
  <c r="AK1387" i="1"/>
  <c r="AK1887" i="1"/>
  <c r="AK1094" i="1"/>
  <c r="AK1817" i="1"/>
  <c r="AK128" i="1"/>
  <c r="AK203" i="1"/>
  <c r="AK2281" i="1"/>
  <c r="AK1228" i="1"/>
  <c r="AK823" i="1"/>
  <c r="AK1568" i="1"/>
  <c r="AK1900" i="1"/>
  <c r="AK24" i="1"/>
  <c r="AK1701" i="1"/>
  <c r="AK2110" i="1"/>
  <c r="AK2030" i="1"/>
  <c r="AK2086" i="1"/>
  <c r="AK943" i="1"/>
  <c r="AK892" i="1"/>
  <c r="AK741" i="1"/>
  <c r="AK1833" i="1"/>
  <c r="AK2027" i="1"/>
  <c r="AK2224" i="1"/>
  <c r="AK205" i="1"/>
  <c r="AK696" i="1"/>
  <c r="AK2028" i="1"/>
  <c r="AK1723" i="1"/>
  <c r="AK735" i="1"/>
  <c r="AK2002" i="1"/>
  <c r="AK1168" i="1"/>
  <c r="AK1373" i="1"/>
  <c r="AK1370" i="1"/>
  <c r="AK2220" i="1"/>
  <c r="AK1915" i="1"/>
  <c r="AK270" i="1"/>
  <c r="AK2554" i="1"/>
  <c r="AK1956" i="1"/>
  <c r="AK1511" i="1"/>
  <c r="AK1362" i="1"/>
  <c r="AK2216" i="1"/>
  <c r="AK2421" i="1"/>
  <c r="AK614" i="1"/>
  <c r="AK1671" i="1"/>
  <c r="AK185" i="1"/>
  <c r="AK774" i="1"/>
  <c r="AK1950" i="1"/>
  <c r="AK450" i="1"/>
  <c r="AK1921" i="1"/>
  <c r="AK584" i="1"/>
  <c r="AK876" i="1"/>
  <c r="AK1608" i="1"/>
  <c r="AK600" i="1"/>
  <c r="AK1059" i="1"/>
  <c r="AK950" i="1"/>
  <c r="AK2146" i="1"/>
  <c r="AK1006" i="1"/>
  <c r="AK1697" i="1"/>
  <c r="AK1563" i="1"/>
  <c r="AK1575" i="1"/>
  <c r="AK1418" i="1"/>
  <c r="AK1337" i="1"/>
  <c r="AK909" i="1"/>
  <c r="AK937" i="1"/>
  <c r="AK176" i="1"/>
  <c r="AK2184" i="1"/>
  <c r="AK2512" i="1"/>
  <c r="AK1854" i="1"/>
  <c r="AK690" i="1"/>
  <c r="AK1661" i="1"/>
  <c r="AK2226" i="1"/>
  <c r="AK338" i="1"/>
  <c r="AK661" i="1"/>
  <c r="AK887" i="1"/>
  <c r="AK2208" i="1"/>
  <c r="AK2431" i="1"/>
  <c r="AK2709" i="1"/>
  <c r="AK1528" i="1"/>
  <c r="AK900" i="1"/>
  <c r="AK1670" i="1"/>
  <c r="AK543" i="1"/>
  <c r="AK21" i="1"/>
  <c r="AK2279" i="1"/>
  <c r="AK204" i="1"/>
  <c r="AK2538" i="1"/>
  <c r="AK886" i="1"/>
  <c r="AK2603" i="1"/>
  <c r="AK48" i="1"/>
  <c r="AK2284" i="1"/>
  <c r="AK785" i="1"/>
  <c r="AK94" i="1"/>
  <c r="AK42" i="1"/>
  <c r="AK1140" i="1"/>
  <c r="AK278" i="1"/>
  <c r="AK239" i="1"/>
  <c r="AK1099" i="1"/>
  <c r="AK2055" i="1"/>
  <c r="AK517" i="1"/>
  <c r="AK285" i="1"/>
  <c r="AK304" i="1"/>
  <c r="AK354" i="1"/>
  <c r="AK493" i="1"/>
  <c r="AK1146" i="1"/>
  <c r="AK382" i="1"/>
  <c r="AK1358" i="1"/>
  <c r="AK1089" i="1"/>
  <c r="AK1612" i="1"/>
  <c r="AK1034" i="1"/>
  <c r="AK2776" i="1"/>
  <c r="AK612" i="1"/>
  <c r="AK2148" i="1"/>
  <c r="AK1003" i="1"/>
  <c r="AK1297" i="1"/>
  <c r="AK1637" i="1"/>
  <c r="AK1041" i="1"/>
  <c r="AK2695" i="1"/>
  <c r="AK960" i="1"/>
  <c r="AK1988" i="1"/>
  <c r="AK2254" i="1"/>
  <c r="AK1655" i="1"/>
  <c r="AK1267" i="1"/>
  <c r="AK505" i="1"/>
  <c r="AK1105" i="1"/>
  <c r="AK1329" i="1"/>
  <c r="AK2755" i="1"/>
  <c r="AK316" i="1"/>
  <c r="AK942" i="1"/>
  <c r="AK1120" i="1"/>
  <c r="AK2047" i="1"/>
  <c r="AK819" i="1"/>
  <c r="AK1732" i="1"/>
  <c r="AK1484" i="1"/>
  <c r="AK2115" i="1"/>
  <c r="AK1061" i="1"/>
  <c r="AK2716" i="1"/>
  <c r="AK518" i="1"/>
  <c r="AK2331" i="1"/>
  <c r="AK347" i="1"/>
  <c r="AK2643" i="1"/>
  <c r="AK2509" i="1"/>
  <c r="AK1703" i="1"/>
  <c r="AK2100" i="1"/>
  <c r="AK325" i="1"/>
  <c r="AK1561" i="1"/>
  <c r="AK644" i="1"/>
  <c r="AK2510" i="1"/>
  <c r="AK1756" i="1"/>
  <c r="AK2443" i="1"/>
  <c r="AK1595" i="1"/>
  <c r="AK2082" i="1"/>
  <c r="AK1846" i="1"/>
  <c r="AK1499" i="1"/>
  <c r="AK1486" i="1"/>
  <c r="AK1912" i="1"/>
  <c r="AK737" i="1"/>
  <c r="AK1918" i="1"/>
  <c r="AK529" i="1"/>
  <c r="AK2759" i="1"/>
  <c r="AK2245" i="1"/>
  <c r="AK2574" i="1"/>
  <c r="AK226" i="1"/>
  <c r="AK1490" i="1"/>
  <c r="AK164" i="1"/>
  <c r="AK1964" i="1"/>
  <c r="AK2689" i="1"/>
  <c r="AK668" i="1"/>
  <c r="AK2396" i="1"/>
  <c r="AK2611" i="1"/>
  <c r="AK588" i="1"/>
  <c r="AK628" i="1"/>
  <c r="AK801" i="1"/>
  <c r="AK1319" i="1"/>
  <c r="AK994" i="1"/>
  <c r="AK1920" i="1"/>
  <c r="AK1799" i="1"/>
  <c r="AK1745" i="1"/>
  <c r="AK541" i="1"/>
  <c r="AK2625" i="1"/>
  <c r="AK1469" i="1"/>
  <c r="AK2674" i="1"/>
  <c r="AK2141" i="1"/>
  <c r="AK2718" i="1"/>
  <c r="AK2617" i="1"/>
  <c r="AK1722" i="1"/>
  <c r="AK1571" i="1"/>
  <c r="AK1200" i="1"/>
  <c r="AK1837" i="1"/>
  <c r="AK2238" i="1"/>
  <c r="AK10" i="1"/>
  <c r="AK1007" i="1"/>
  <c r="AK1300" i="1"/>
  <c r="AK2703" i="1"/>
  <c r="AK1567" i="1"/>
  <c r="AK2427" i="1"/>
  <c r="AK1557" i="1"/>
  <c r="AK1277" i="1"/>
  <c r="AK850" i="1"/>
  <c r="AK2256" i="1"/>
  <c r="AK417" i="1"/>
  <c r="AK622" i="1"/>
  <c r="AK478" i="1"/>
  <c r="AK2650" i="1"/>
  <c r="AK1113" i="1"/>
  <c r="AK642" i="1"/>
  <c r="AK618" i="1"/>
  <c r="AK104" i="1"/>
  <c r="AK1245" i="1"/>
  <c r="AK1905" i="1"/>
  <c r="AK2323" i="1"/>
  <c r="AK434" i="1"/>
  <c r="AK2407" i="1"/>
  <c r="AK964" i="1"/>
  <c r="AK1278" i="1"/>
  <c r="AK1353" i="1"/>
  <c r="AK55" i="1"/>
  <c r="AK893" i="1"/>
  <c r="AK632" i="1"/>
  <c r="AK1134" i="1"/>
  <c r="AK1383" i="1"/>
  <c r="AK2051" i="1"/>
  <c r="AK918" i="1"/>
  <c r="AK1004" i="1"/>
  <c r="AK2129" i="1"/>
  <c r="AK1966" i="1"/>
  <c r="AK1579" i="1"/>
  <c r="AK901" i="1"/>
  <c r="AK2774" i="1"/>
  <c r="AK1765" i="1"/>
  <c r="AK2644" i="1"/>
  <c r="AK1768" i="1"/>
  <c r="AK2247" i="1"/>
  <c r="AK1238" i="1"/>
  <c r="AK435" i="1"/>
  <c r="AK1343" i="1"/>
  <c r="AK1981" i="1"/>
  <c r="AK551" i="1"/>
  <c r="AK1058" i="1"/>
  <c r="AK1029" i="1"/>
  <c r="AK2273" i="1"/>
  <c r="AK1396" i="1"/>
  <c r="AK1705" i="1"/>
  <c r="AK403" i="1"/>
  <c r="AK1872" i="1"/>
  <c r="AK1607" i="1"/>
  <c r="AK2378" i="1"/>
  <c r="AK653" i="1"/>
  <c r="AK11" i="1"/>
  <c r="AK616" i="1"/>
  <c r="AK2737" i="1"/>
  <c r="AK743" i="1"/>
  <c r="AK2464" i="1"/>
  <c r="AK2339" i="1"/>
  <c r="AK691" i="1"/>
  <c r="AK2750" i="1"/>
  <c r="AK1420" i="1"/>
  <c r="AK2693" i="1"/>
  <c r="AK1273" i="1"/>
  <c r="AK194" i="1"/>
  <c r="AK573" i="1"/>
  <c r="AK1394" i="1"/>
  <c r="AK1246" i="1"/>
  <c r="AK2126" i="1"/>
  <c r="AK704" i="1"/>
  <c r="AK971" i="1"/>
  <c r="AK1939" i="1"/>
  <c r="AK1940" i="1"/>
  <c r="AK591" i="1"/>
  <c r="AK1163" i="1"/>
  <c r="AK1147" i="1"/>
  <c r="AK2371" i="1"/>
  <c r="AK2007" i="1"/>
  <c r="AK1583" i="1"/>
  <c r="AK1785" i="1"/>
  <c r="AK1863" i="1"/>
  <c r="AK2749" i="1"/>
  <c r="AK2285" i="1"/>
  <c r="AK782" i="1"/>
  <c r="AK545" i="1"/>
  <c r="AK1787" i="1"/>
  <c r="AK755" i="1"/>
  <c r="AK2496" i="1"/>
  <c r="AK100" i="1"/>
  <c r="AK2341" i="1"/>
  <c r="AK1281" i="1"/>
  <c r="AK1127" i="1"/>
  <c r="AK752" i="1"/>
  <c r="AK2038" i="1"/>
  <c r="AK2036" i="1"/>
  <c r="AK2119" i="1"/>
  <c r="AK235" i="1"/>
  <c r="AK2436" i="1"/>
  <c r="AK2301" i="1"/>
  <c r="AK2521" i="1"/>
  <c r="AK1202" i="1"/>
  <c r="AK271" i="1"/>
  <c r="AK711" i="1"/>
  <c r="AK414" i="1"/>
  <c r="AK1698" i="1"/>
  <c r="AK1380" i="1"/>
  <c r="AK1621" i="1"/>
  <c r="AK389" i="1"/>
  <c r="AK1665" i="1"/>
  <c r="AK2758" i="1"/>
  <c r="AK2288" i="1"/>
  <c r="AK930" i="1"/>
  <c r="AK1784" i="1"/>
  <c r="AK807" i="1"/>
  <c r="AK732" i="1"/>
  <c r="AK2405" i="1"/>
  <c r="AK2332" i="1"/>
  <c r="AK2766" i="1"/>
  <c r="AK1836" i="1"/>
  <c r="AK1374" i="1"/>
  <c r="AK2768" i="1"/>
  <c r="AK948" i="1"/>
  <c r="AK945" i="1"/>
  <c r="AK556" i="1"/>
  <c r="AK940" i="1"/>
  <c r="AK1255" i="1"/>
  <c r="AK1728" i="1"/>
  <c r="AK799" i="1"/>
  <c r="AK555" i="1"/>
  <c r="AK346" i="1"/>
  <c r="AK2769" i="1"/>
  <c r="AK1292" i="1"/>
  <c r="AK699" i="1"/>
  <c r="AK390" i="1"/>
  <c r="AK742" i="1"/>
  <c r="AK2626" i="1"/>
  <c r="AK2253" i="1"/>
  <c r="AK1830" i="1"/>
  <c r="AK1021" i="1"/>
  <c r="AK1447" i="1"/>
  <c r="AK2021" i="1"/>
  <c r="AK421" i="1"/>
  <c r="AK1371" i="1"/>
  <c r="AK585" i="1"/>
  <c r="AK558" i="1"/>
  <c r="AK1406" i="1"/>
  <c r="AK221" i="1"/>
  <c r="AK1039" i="1"/>
  <c r="AK2696" i="1"/>
  <c r="AK437" i="1"/>
  <c r="AK986" i="1"/>
  <c r="AK1485" i="1"/>
  <c r="AK2040" i="1"/>
  <c r="AK1646" i="1"/>
  <c r="AK1834" i="1"/>
  <c r="AK2159" i="1"/>
  <c r="AK1466" i="1"/>
  <c r="AK1193" i="1"/>
  <c r="AK2561" i="1"/>
  <c r="AK734" i="1"/>
  <c r="AK1071" i="1"/>
  <c r="AK1714" i="1"/>
  <c r="AK1417" i="1"/>
  <c r="AK504" i="1"/>
  <c r="AK533" i="1"/>
  <c r="AK2472" i="1"/>
  <c r="AK2153" i="1"/>
  <c r="AK511" i="1"/>
  <c r="AK460" i="1"/>
  <c r="AK1943" i="1"/>
  <c r="AK507" i="1"/>
  <c r="AK724" i="1"/>
  <c r="AK1573" i="1"/>
  <c r="AK1928" i="1"/>
  <c r="AK69" i="1"/>
  <c r="AK759" i="1"/>
  <c r="AK1274" i="1"/>
  <c r="AK2547" i="1"/>
  <c r="AK432" i="1"/>
  <c r="AK1124" i="1"/>
  <c r="AK2502" i="1"/>
  <c r="AK1352" i="1"/>
  <c r="AK415" i="1"/>
  <c r="AK238" i="1"/>
  <c r="AK1220" i="1"/>
  <c r="AK83" i="1"/>
  <c r="AK970" i="1"/>
  <c r="AK1430" i="1"/>
  <c r="AK2690" i="1"/>
  <c r="AK682" i="1"/>
  <c r="AK12" i="1"/>
  <c r="AK255" i="1"/>
  <c r="AK520" i="1"/>
  <c r="AK629" i="1"/>
  <c r="AK846" i="1"/>
  <c r="AK2039" i="1"/>
  <c r="AK105" i="1"/>
  <c r="AK497" i="1"/>
  <c r="AK298" i="1"/>
  <c r="AK96" i="1"/>
  <c r="AK1908" i="1"/>
  <c r="AK2277" i="1"/>
  <c r="AK2418" i="1"/>
  <c r="AK1066" i="1"/>
  <c r="AK492" i="1"/>
  <c r="AK1162" i="1"/>
  <c r="AK2567" i="1"/>
  <c r="AK2616" i="1"/>
  <c r="AK249" i="1"/>
  <c r="AK1507" i="1"/>
  <c r="AK640" i="1"/>
  <c r="AK1080" i="1"/>
  <c r="AK1471" i="1"/>
  <c r="AK1753" i="1"/>
  <c r="AK468" i="1"/>
  <c r="AK1769" i="1"/>
  <c r="AK2656" i="1"/>
  <c r="AK580" i="1"/>
  <c r="AK297" i="1"/>
  <c r="AK2605" i="1"/>
  <c r="AK1893" i="1"/>
  <c r="AK2372" i="1"/>
  <c r="AK1360" i="1"/>
  <c r="AK2645" i="1"/>
  <c r="AK1459" i="1"/>
  <c r="AK499" i="1"/>
  <c r="AK2290" i="1"/>
  <c r="AK2723" i="1"/>
  <c r="AK202" i="1"/>
  <c r="AK465" i="1"/>
  <c r="AK941" i="1"/>
  <c r="AK246" i="1"/>
  <c r="AK324" i="1"/>
  <c r="AK537" i="1"/>
  <c r="AK784" i="1"/>
  <c r="AK282" i="1"/>
  <c r="AK1216" i="1"/>
  <c r="AK1904" i="1"/>
  <c r="AK754" i="1"/>
  <c r="AK1552" i="1"/>
  <c r="AK701" i="1"/>
  <c r="AK935" i="1"/>
  <c r="AK2308" i="1"/>
  <c r="AK2337" i="1"/>
  <c r="AK2096" i="1"/>
  <c r="AK1516" i="1"/>
  <c r="AK59" i="1"/>
  <c r="AK2661" i="1"/>
  <c r="AK2590" i="1"/>
  <c r="AK1256" i="1"/>
  <c r="AK2397" i="1"/>
  <c r="AK1318" i="1"/>
  <c r="AK268" i="1"/>
  <c r="AK240" i="1"/>
  <c r="AK471" i="1"/>
  <c r="AK2565" i="1"/>
  <c r="AK2751" i="1"/>
  <c r="AK2072" i="1"/>
  <c r="AK1311" i="1"/>
  <c r="AK1647" i="1"/>
  <c r="AK1225" i="1"/>
  <c r="AK672" i="1"/>
  <c r="AK456" i="1"/>
  <c r="AK655" i="1"/>
  <c r="AK2692" i="1"/>
  <c r="AK2583" i="1"/>
  <c r="AK1688" i="1"/>
  <c r="AK831" i="1"/>
  <c r="AK165" i="1"/>
  <c r="AK1711" i="1"/>
  <c r="AK262" i="1"/>
  <c r="AK2116" i="1"/>
  <c r="AK2465" i="1"/>
  <c r="AK155" i="1"/>
  <c r="AK911" i="1"/>
  <c r="AK2020" i="1"/>
  <c r="AK1403" i="1"/>
  <c r="AK2062" i="1"/>
  <c r="AK45" i="1"/>
  <c r="AK879" i="1"/>
  <c r="AK2638" i="1"/>
  <c r="AK423" i="1"/>
  <c r="AK152" i="1"/>
  <c r="AK2672" i="1"/>
  <c r="AK1264" i="1"/>
  <c r="AK599" i="1"/>
  <c r="AK2395" i="1"/>
  <c r="AK1095" i="1"/>
  <c r="AK2719" i="1"/>
  <c r="AK845" i="1"/>
  <c r="AK1969" i="1"/>
  <c r="AK2235" i="1"/>
  <c r="AK1737" i="1"/>
  <c r="AK2246" i="1"/>
  <c r="AK1603" i="1"/>
  <c r="AK2195" i="1"/>
  <c r="AK1879" i="1"/>
  <c r="AK2666" i="1"/>
  <c r="AK1305" i="1"/>
  <c r="AK1166" i="1"/>
  <c r="AK2266" i="1"/>
  <c r="AK514" i="1"/>
  <c r="AK2550" i="1"/>
  <c r="AK2214" i="1"/>
  <c r="AK396" i="1"/>
  <c r="AK2736" i="1"/>
  <c r="AK2098" i="1"/>
  <c r="AK2599" i="1"/>
  <c r="AK1591" i="1"/>
  <c r="AK386" i="1"/>
  <c r="AK1263" i="1"/>
  <c r="AK301" i="1"/>
  <c r="AK1138" i="1"/>
  <c r="AK2259" i="1"/>
  <c r="AK1891" i="1"/>
  <c r="AK1778" i="1"/>
  <c r="AK173" i="1"/>
  <c r="AK2131" i="1"/>
  <c r="AK1338" i="1"/>
  <c r="AK1258" i="1"/>
  <c r="AK2423" i="1"/>
  <c r="AK740" i="1"/>
  <c r="AK647" i="1"/>
  <c r="AK87" i="1"/>
  <c r="AK574" i="1"/>
  <c r="AK1421" i="1"/>
  <c r="AK2700" i="1"/>
  <c r="AK2219" i="1"/>
  <c r="AK2482" i="1"/>
  <c r="AK847" i="1"/>
  <c r="AK398" i="1"/>
  <c r="AK1752" i="1"/>
  <c r="AK700" i="1"/>
  <c r="AK92" i="1"/>
  <c r="AK602" i="1"/>
  <c r="AK463" i="1"/>
  <c r="AK2322" i="1"/>
  <c r="AK138" i="1"/>
  <c r="AK1112" i="1"/>
  <c r="AK838" i="1"/>
  <c r="AK658" i="1"/>
  <c r="AK674" i="1"/>
  <c r="AK1797" i="1"/>
  <c r="AK1377" i="1"/>
  <c r="AK2270" i="1"/>
  <c r="AK2264" i="1"/>
  <c r="AK828" i="1"/>
  <c r="AK1139" i="1"/>
  <c r="AK1680" i="1"/>
  <c r="AK1538" i="1"/>
  <c r="AK420" i="1"/>
  <c r="AK20" i="1"/>
  <c r="AK457" i="1"/>
  <c r="AK2677" i="1"/>
  <c r="AK825" i="1"/>
  <c r="AK2340" i="1"/>
  <c r="AK3" i="1"/>
  <c r="AK758" i="1"/>
  <c r="AK1388" i="1"/>
  <c r="AK1142" i="1"/>
  <c r="AK2741" i="1"/>
  <c r="AK2785" i="1"/>
  <c r="AK2778" i="1"/>
  <c r="AK1963" i="1"/>
  <c r="AK1054" i="1"/>
  <c r="AK540" i="1"/>
  <c r="AK2664" i="1"/>
  <c r="AK815" i="1"/>
  <c r="AK2734" i="1"/>
  <c r="AK984" i="1"/>
  <c r="AK2732" i="1"/>
  <c r="AK230" i="1"/>
  <c r="AK1815" i="1"/>
  <c r="AK2274" i="1"/>
  <c r="AK1514" i="1"/>
  <c r="AK2779" i="1"/>
  <c r="AK680" i="1"/>
  <c r="AK1036" i="1"/>
  <c r="AK481" i="1"/>
  <c r="AK1616" i="1"/>
  <c r="AK1504" i="1"/>
  <c r="AK190" i="1"/>
  <c r="AK627" i="1"/>
  <c r="AK550" i="1"/>
  <c r="AK473" i="1"/>
  <c r="AK530" i="1"/>
  <c r="AK387" i="1"/>
  <c r="AK968" i="1"/>
  <c r="AK1198" i="1"/>
  <c r="AK2486" i="1"/>
  <c r="AK1349" i="1"/>
  <c r="AK2345" i="1"/>
  <c r="AK2420" i="1"/>
  <c r="AK1313" i="1"/>
  <c r="AK1990" i="1"/>
  <c r="AK1087" i="1"/>
  <c r="AK1796" i="1"/>
  <c r="AK1432" i="1"/>
  <c r="AK477" i="1"/>
  <c r="AK2017" i="1"/>
  <c r="AK392" i="1"/>
  <c r="AK1750" i="1"/>
  <c r="AK1843" i="1"/>
  <c r="AK1463" i="1"/>
  <c r="AK1496" i="1"/>
  <c r="AK167" i="1"/>
  <c r="AK1328" i="1"/>
  <c r="AK2725" i="1"/>
  <c r="AK1429" i="1"/>
  <c r="AK805" i="1"/>
  <c r="AK2484" i="1"/>
  <c r="AK1248" i="1"/>
  <c r="AK2653" i="1"/>
  <c r="AK1082" i="1"/>
  <c r="AK1618" i="1"/>
  <c r="AK276" i="1"/>
  <c r="AK2025" i="1"/>
  <c r="AK522" i="1"/>
  <c r="AK914" i="1"/>
  <c r="AK565" i="1"/>
  <c r="AK525" i="1"/>
  <c r="AK2556" i="1"/>
  <c r="AK391" i="1"/>
  <c r="AK2240" i="1"/>
  <c r="AK2369" i="1"/>
  <c r="AK412" i="1"/>
  <c r="AK1023" i="1"/>
  <c r="AK2438" i="1"/>
  <c r="AK1795" i="1"/>
  <c r="AK1996" i="1"/>
  <c r="AK1287" i="1"/>
  <c r="AK1381" i="1"/>
  <c r="AK14" i="1"/>
  <c r="AK2514" i="1"/>
  <c r="AK1379" i="1"/>
  <c r="AK2731" i="1"/>
  <c r="AK633" i="1"/>
  <c r="AK172" i="1"/>
  <c r="AK2185" i="1"/>
  <c r="AK1527" i="1"/>
  <c r="AK8" i="1"/>
  <c r="AK1482" i="1"/>
  <c r="AK2357" i="1"/>
  <c r="AK1550" i="1"/>
  <c r="AK928" i="1"/>
  <c r="AK113" i="1"/>
  <c r="AK878" i="1"/>
  <c r="AK619" i="1"/>
  <c r="AK459" i="1"/>
  <c r="AK192" i="1"/>
  <c r="AK2505" i="1"/>
  <c r="AK1626" i="1"/>
  <c r="AK1930" i="1"/>
  <c r="AK980" i="1"/>
  <c r="AK2699" i="1"/>
  <c r="AK491" i="1"/>
  <c r="AK1389" i="1"/>
  <c r="AK2178" i="1"/>
  <c r="AK2199" i="1"/>
  <c r="AK495" i="1"/>
  <c r="AK256" i="1"/>
  <c r="AK689" i="1"/>
  <c r="AK973" i="1"/>
  <c r="AK1878" i="1"/>
  <c r="AK1925" i="1"/>
  <c r="AK358" i="1"/>
  <c r="AK2618" i="1"/>
  <c r="AK2740" i="1"/>
  <c r="AK780" i="1"/>
  <c r="AK1935" i="1"/>
  <c r="AK1049" i="1"/>
  <c r="AK183" i="1"/>
  <c r="AK1585" i="1"/>
  <c r="AK2346" i="1"/>
  <c r="AK621" i="1"/>
  <c r="AK1408" i="1"/>
  <c r="AK2394" i="1"/>
  <c r="AK2744" i="1"/>
  <c r="AK2401" i="1"/>
  <c r="AK1791" i="1"/>
  <c r="AK2073" i="1"/>
  <c r="AK1841" i="1"/>
  <c r="AK438" i="1"/>
  <c r="AK730" i="1"/>
  <c r="AK2571" i="1"/>
  <c r="AK318" i="1"/>
  <c r="AK605" i="1"/>
  <c r="AK439" i="1"/>
  <c r="AK1304" i="1"/>
  <c r="AK2262" i="1"/>
  <c r="AK1654" i="1"/>
  <c r="AK1630" i="1"/>
  <c r="AK170" i="1"/>
  <c r="AK1422" i="1"/>
  <c r="AK1489" i="1"/>
  <c r="AK1818" i="1"/>
  <c r="AK227" i="1"/>
  <c r="AK1518" i="1"/>
  <c r="AK2173" i="1"/>
  <c r="AK510" i="1"/>
  <c r="AK1334" i="1"/>
  <c r="AK1743" i="1"/>
  <c r="AK1450" i="1"/>
  <c r="AK1747" i="1"/>
  <c r="AK832" i="1"/>
  <c r="AK1541" i="1"/>
  <c r="AK2360" i="1"/>
  <c r="AK1656" i="1"/>
  <c r="AK2022" i="1"/>
  <c r="AK2377" i="1"/>
  <c r="AK2673" i="1"/>
  <c r="AK2265" i="1"/>
  <c r="AK2342" i="1"/>
  <c r="AK2738" i="1"/>
  <c r="AK2018" i="1"/>
  <c r="AK1793" i="1"/>
  <c r="AK1178" i="1"/>
  <c r="AK656" i="1"/>
  <c r="AK29" i="1"/>
  <c r="AK811" i="1"/>
  <c r="AK679" i="1"/>
  <c r="AK673" i="1"/>
  <c r="AK327" i="1"/>
  <c r="AK287" i="1"/>
  <c r="AK2268" i="1"/>
  <c r="AK1233" i="1"/>
  <c r="AK2291" i="1"/>
  <c r="AK1288" i="1"/>
  <c r="AK534" i="1"/>
  <c r="AK159" i="1"/>
  <c r="AK475" i="1"/>
  <c r="AK2249" i="1"/>
  <c r="AK635" i="1"/>
  <c r="AK7" i="1"/>
  <c r="AK651" i="1"/>
  <c r="AK703" i="1"/>
  <c r="AK643" i="1"/>
  <c r="AK1821" i="1"/>
  <c r="AK2601" i="1"/>
  <c r="AK2711" i="1"/>
  <c r="AK861" i="1"/>
  <c r="AK2523" i="1"/>
  <c r="AK2794" i="1"/>
  <c r="AK1775" i="1"/>
  <c r="AK193" i="1"/>
  <c r="AK1101" i="1"/>
  <c r="AK1897" i="1"/>
  <c r="AK2089" i="1"/>
  <c r="AK2000" i="1"/>
  <c r="AK1209" i="1"/>
  <c r="AK146" i="1"/>
  <c r="AK858" i="1"/>
  <c r="AK1886" i="1"/>
  <c r="AK1594" i="1"/>
  <c r="AK2132" i="1"/>
  <c r="AK1708" i="1"/>
  <c r="AK1346" i="1"/>
  <c r="AK313" i="1"/>
  <c r="AK1794" i="1"/>
  <c r="AK1890" i="1"/>
  <c r="AK803" i="1"/>
  <c r="AK2701" i="1"/>
  <c r="AK429" i="1"/>
  <c r="AK74" i="1"/>
  <c r="AK2584" i="1"/>
  <c r="AK2321" i="1"/>
  <c r="AK936" i="1"/>
  <c r="AK1133" i="1"/>
  <c r="AK1096" i="1"/>
  <c r="AK110" i="1"/>
  <c r="AK2283" i="1"/>
  <c r="AK765" i="1"/>
  <c r="AK677" i="1"/>
  <c r="AK2034" i="1"/>
  <c r="AK344" i="1"/>
  <c r="AK296" i="1"/>
  <c r="AK1155" i="1"/>
  <c r="AK1217" i="1"/>
  <c r="AK381" i="1"/>
  <c r="AK2527" i="1"/>
  <c r="AK859" i="1"/>
  <c r="AK306" i="1"/>
  <c r="AK1782" i="1"/>
  <c r="AK2702" i="1"/>
  <c r="AK1686" i="1"/>
  <c r="AK2071" i="1"/>
  <c r="AK882" i="1"/>
  <c r="AK33" i="1"/>
  <c r="AK2151" i="1"/>
  <c r="AK750" i="1"/>
  <c r="AK1774" i="1"/>
  <c r="AK2180" i="1"/>
  <c r="AK2309" i="1"/>
  <c r="AK1341" i="1"/>
  <c r="AK1553" i="1"/>
  <c r="AK341" i="1"/>
  <c r="AK1902" i="1"/>
  <c r="AK1825" i="1"/>
  <c r="AK1934" i="1"/>
  <c r="AK863" i="1"/>
  <c r="AK320" i="1"/>
  <c r="AK1419" i="1"/>
  <c r="AK2329" i="1"/>
  <c r="AK2675" i="1"/>
  <c r="AK1026" i="1"/>
  <c r="AK749" i="1"/>
  <c r="AK1356" i="1"/>
  <c r="AK2393" i="1"/>
  <c r="AK198" i="1"/>
  <c r="AK1649" i="1"/>
  <c r="AK1327" i="1"/>
  <c r="AK587" i="1"/>
  <c r="AK427" i="1"/>
  <c r="AK2429" i="1"/>
  <c r="AK2083" i="1"/>
  <c r="AK778" i="1"/>
  <c r="AK250" i="1"/>
  <c r="AK578" i="1"/>
  <c r="AK1340" i="1"/>
  <c r="AK1584" i="1"/>
  <c r="AK1498" i="1"/>
  <c r="AK1710" i="1"/>
  <c r="AK806" i="1"/>
  <c r="AK54" i="1"/>
  <c r="AK65" i="1"/>
  <c r="AK151" i="1"/>
  <c r="AK2398" i="1"/>
  <c r="AK2158" i="1"/>
  <c r="AK2248" i="1"/>
  <c r="AK1994" i="1"/>
  <c r="AK1822" i="1"/>
  <c r="AK687" i="1"/>
  <c r="AK2529" i="1"/>
  <c r="AK1868" i="1"/>
  <c r="AK1803" i="1"/>
  <c r="AK1044" i="1"/>
  <c r="AK593" i="1"/>
  <c r="AK560" i="1"/>
  <c r="AK1098" i="1"/>
  <c r="AK934" i="1"/>
  <c r="AK162" i="1"/>
  <c r="AK2275" i="1"/>
  <c r="AK2417" i="1"/>
  <c r="AK1428" i="1"/>
  <c r="AK50" i="1"/>
  <c r="AK1116" i="1"/>
  <c r="AK606" i="1"/>
  <c r="AK1926" i="1"/>
  <c r="AK1173" i="1"/>
  <c r="AK2788" i="1"/>
  <c r="AK2041" i="1"/>
  <c r="AK1191" i="1"/>
  <c r="AK1017" i="1"/>
  <c r="AK247" i="1"/>
  <c r="AK2783" i="1"/>
  <c r="AK1189" i="1"/>
  <c r="AK23" i="1"/>
  <c r="AK1081" i="1"/>
  <c r="AK13" i="1"/>
  <c r="AK326" i="1"/>
  <c r="AK1860" i="1"/>
  <c r="AK1565" i="1"/>
  <c r="AK1253" i="1"/>
  <c r="AK1662" i="1"/>
  <c r="AK1384" i="1"/>
  <c r="AK1243" i="1"/>
  <c r="AK214" i="1"/>
  <c r="AK2600" i="1"/>
  <c r="AK1152" i="1"/>
  <c r="AK2227" i="1"/>
  <c r="AK812" i="1"/>
  <c r="AK2149" i="1"/>
  <c r="AK181" i="1"/>
  <c r="AK1959" i="1"/>
  <c r="AK2367" i="1"/>
  <c r="AK2314" i="1"/>
  <c r="AK1548" i="1"/>
  <c r="AK1696" i="1"/>
  <c r="AK2713" i="1"/>
  <c r="AK38" i="1"/>
  <c r="AK2722" i="1"/>
  <c r="AK2075" i="1"/>
  <c r="AK1721" i="1"/>
  <c r="AK1043" i="1"/>
  <c r="AK207" i="1"/>
  <c r="AK2304" i="1"/>
  <c r="AK2052" i="1"/>
  <c r="AK182" i="1"/>
  <c r="AK2726" i="1"/>
  <c r="AK2013" i="1"/>
  <c r="AK2102" i="1"/>
  <c r="AK1972" i="1"/>
  <c r="AK761" i="1"/>
  <c r="AK352" i="1"/>
  <c r="AK443" i="1"/>
  <c r="AK2657" i="1"/>
  <c r="AK2775" i="1"/>
  <c r="AK853" i="1"/>
  <c r="AK889" i="1"/>
  <c r="AK747" i="1"/>
  <c r="AK2069" i="1"/>
  <c r="AK2729" i="1"/>
  <c r="AK220" i="1"/>
  <c r="AK1464" i="1"/>
  <c r="AK261" i="1"/>
  <c r="AK2477" i="1"/>
  <c r="AK1812" i="1"/>
  <c r="AK2658" i="1"/>
  <c r="AK611" i="1"/>
  <c r="AK1786" i="1"/>
  <c r="AK2065" i="1"/>
  <c r="AK1126" i="1"/>
  <c r="AK717" i="1"/>
  <c r="AK1456" i="1"/>
  <c r="AK2442" i="1"/>
  <c r="AK1336" i="1"/>
  <c r="AK1759" i="1"/>
  <c r="AK1207" i="1"/>
  <c r="AK2575" i="1"/>
  <c r="AK2356" i="1"/>
  <c r="AK2686" i="1"/>
  <c r="AK2358" i="1"/>
  <c r="AK636" i="1"/>
  <c r="AK981" i="1"/>
  <c r="AK2742" i="1"/>
  <c r="AK568" i="1"/>
  <c r="AK1062" i="1"/>
  <c r="AK2133" i="1"/>
  <c r="AK821" i="1"/>
  <c r="AK2379" i="1"/>
  <c r="AK897" i="1"/>
  <c r="AK2545" i="1"/>
  <c r="AK570" i="1"/>
  <c r="AK818" i="1"/>
  <c r="AK2635" i="1"/>
  <c r="AK2302" i="1"/>
  <c r="AK334" i="1"/>
  <c r="AK1363" i="1"/>
  <c r="AK988" i="1"/>
  <c r="AK408" i="1"/>
  <c r="AK426" i="1"/>
  <c r="AK2359" i="1"/>
  <c r="AK1983" i="1"/>
  <c r="AK2463" i="1"/>
  <c r="AK1978" i="1"/>
  <c r="AK1602" i="1"/>
  <c r="AK1562" i="1"/>
  <c r="AK2029" i="1"/>
  <c r="AK938" i="1"/>
  <c r="AK2411" i="1"/>
  <c r="AK2563" i="1"/>
  <c r="AK1132" i="1"/>
  <c r="AK2106" i="1"/>
  <c r="AK1404" i="1"/>
  <c r="AK2079" i="1"/>
  <c r="AK2198" i="1"/>
  <c r="AK272" i="1"/>
  <c r="AK133" i="1"/>
  <c r="AK1108" i="1"/>
  <c r="AK1667" i="1"/>
  <c r="AK1272" i="1"/>
  <c r="AK1316" i="1"/>
  <c r="AK143" i="1"/>
  <c r="AK2059" i="1"/>
  <c r="AK349" i="1"/>
  <c r="AK944" i="1"/>
  <c r="AK519" i="1"/>
  <c r="AK2353" i="1"/>
  <c r="AK817" i="1"/>
  <c r="AK1624" i="1"/>
  <c r="AK2154" i="1"/>
  <c r="AK613" i="1"/>
  <c r="AK2500" i="1"/>
  <c r="AK963" i="1"/>
  <c r="AK2157" i="1"/>
  <c r="AK168" i="1"/>
  <c r="AK997" i="1"/>
  <c r="AK796" i="1"/>
  <c r="AK1222" i="1"/>
  <c r="AK916" i="1"/>
  <c r="AK2078" i="1"/>
  <c r="AK461" i="1"/>
  <c r="AK1047" i="1"/>
  <c r="AK2796" i="1"/>
  <c r="AK2130" i="1"/>
  <c r="AK476" i="1"/>
  <c r="AK1211" i="1"/>
  <c r="AK447" i="1"/>
  <c r="AK2760" i="1"/>
  <c r="AK2762" i="1"/>
  <c r="AK896" i="1"/>
  <c r="AK603" i="1"/>
  <c r="AK709" i="1"/>
  <c r="AK1290" i="1"/>
  <c r="AK1931" i="1"/>
  <c r="AK1180" i="1"/>
  <c r="AK2186" i="1"/>
  <c r="AK1859" i="1"/>
  <c r="AK1063" i="1"/>
  <c r="AK1556" i="1"/>
  <c r="AK802" i="1"/>
  <c r="AK2408" i="1"/>
  <c r="AK1226" i="1"/>
  <c r="AK375" i="1"/>
  <c r="AK1702" i="1"/>
  <c r="AK2609" i="1"/>
  <c r="AK446" i="1"/>
  <c r="AK2671" i="1"/>
  <c r="AK2631" i="1"/>
  <c r="AK356" i="1"/>
  <c r="AK549" i="1"/>
  <c r="AK1806" i="1"/>
  <c r="AK1461" i="1"/>
  <c r="AK1962" i="1"/>
  <c r="AK1862" i="1"/>
  <c r="AK1783" i="1"/>
  <c r="AK646" i="1"/>
  <c r="AK726" i="1"/>
  <c r="AK2200" i="1"/>
  <c r="AK521" i="1"/>
  <c r="AK2528" i="1"/>
  <c r="AK2572" i="1"/>
  <c r="AK41" i="1"/>
  <c r="AK722" i="1"/>
  <c r="AK2237" i="1"/>
  <c r="AK2325" i="1"/>
  <c r="AK122" i="1"/>
  <c r="AK1008" i="1"/>
  <c r="AK839" i="1"/>
  <c r="AK2745" i="1"/>
  <c r="AK693" i="1"/>
  <c r="AK728" i="1"/>
  <c r="AK671" i="1"/>
  <c r="AK1204" i="1"/>
  <c r="AK2487" i="1"/>
  <c r="AK1653" i="1"/>
  <c r="AK329" i="1"/>
  <c r="AK2680" i="1"/>
  <c r="AK1941" i="1"/>
  <c r="AK2552" i="1"/>
  <c r="AK1118" i="1"/>
  <c r="AK1194" i="1"/>
  <c r="AK312" i="1"/>
  <c r="AK223" i="1"/>
  <c r="AK990" i="1"/>
  <c r="AK2231" i="1"/>
  <c r="AK1317" i="1"/>
  <c r="AK2355" i="1"/>
  <c r="AK2506" i="1"/>
  <c r="AK1192" i="1"/>
  <c r="AK2780" i="1"/>
  <c r="AK2366" i="1"/>
  <c r="AK503" i="1"/>
  <c r="AK952" i="1"/>
  <c r="AK2761" i="1"/>
  <c r="AK2433" i="1"/>
  <c r="AK1801" i="1"/>
  <c r="AK1175" i="1"/>
  <c r="AK1842" i="1"/>
  <c r="AK996" i="1"/>
  <c r="AK2504" i="1"/>
  <c r="AK244" i="1"/>
  <c r="AK756" i="1"/>
  <c r="AK874" i="1"/>
  <c r="AK2403" i="1"/>
  <c r="AK1342" i="1"/>
  <c r="AK406" i="1"/>
  <c r="AK2559" i="1"/>
  <c r="AK1502" i="1"/>
  <c r="AK1650" i="1"/>
  <c r="AK1611" i="1"/>
  <c r="AK2493" i="1"/>
  <c r="AK1533" i="1"/>
  <c r="AK906" i="1"/>
  <c r="AK2460" i="1"/>
  <c r="AK1016" i="1"/>
  <c r="AK620" i="1"/>
  <c r="AK2454" i="1"/>
  <c r="AK751" i="1"/>
  <c r="AK2579" i="1"/>
  <c r="AK773" i="1"/>
  <c r="AK2134" i="1"/>
  <c r="AK2187" i="1"/>
  <c r="AK1196" i="1"/>
  <c r="AK401" i="1"/>
  <c r="AK479" i="1"/>
  <c r="AK2614" i="1"/>
  <c r="AK1811" i="1"/>
  <c r="AK2165" i="1"/>
  <c r="AK280" i="1"/>
  <c r="AK1158" i="1"/>
  <c r="AK2392" i="1"/>
  <c r="AK28" i="1"/>
  <c r="AK1569" i="1"/>
  <c r="AK2183" i="1"/>
  <c r="AK1617" i="1"/>
  <c r="AK2236" i="1"/>
  <c r="AK2739" i="1"/>
  <c r="AK1719" i="1"/>
  <c r="AK1840" i="1"/>
  <c r="AK1635" i="1"/>
  <c r="AK610" i="1"/>
  <c r="AK1074" i="1"/>
  <c r="AK2553" i="1"/>
  <c r="AK2434" i="1"/>
  <c r="AK2612" i="1"/>
  <c r="AK1903" i="1"/>
  <c r="AK569" i="1"/>
  <c r="AK2562" i="1"/>
  <c r="AK989" i="1"/>
  <c r="AK1282" i="1"/>
  <c r="AK245" i="1"/>
  <c r="AK2044" i="1"/>
  <c r="AK2490" i="1"/>
  <c r="AK470" i="1"/>
  <c r="AK1479" i="1"/>
  <c r="AK2084" i="1"/>
  <c r="AK1093" i="1"/>
  <c r="AK1537" i="1"/>
  <c r="AK209" i="1"/>
  <c r="AK2009" i="1"/>
  <c r="AK310" i="1"/>
  <c r="AK1857" i="1"/>
  <c r="AK488" i="1"/>
  <c r="AK1427" i="1"/>
  <c r="AK2229" i="1"/>
  <c r="AK1828" i="1"/>
  <c r="AK188" i="1"/>
  <c r="AK1483" i="1"/>
  <c r="AK2543" i="1"/>
  <c r="AK2350" i="1"/>
  <c r="AK1423" i="1"/>
  <c r="AK2011" i="1"/>
  <c r="AK2541" i="1"/>
  <c r="AK369" i="1"/>
  <c r="AK22" i="1"/>
  <c r="AK18" i="1"/>
  <c r="AK1075" i="1"/>
  <c r="AK56" i="1"/>
  <c r="AK820" i="1"/>
  <c r="AK1999" i="1"/>
  <c r="AK1754" i="1"/>
  <c r="AK685" i="1"/>
  <c r="AK975" i="1"/>
  <c r="AK57" i="1"/>
  <c r="AK2639" i="1"/>
  <c r="AK956" i="1"/>
  <c r="AK873" i="1"/>
  <c r="AK372" i="1"/>
  <c r="AK2163" i="1"/>
  <c r="AK2313" i="1"/>
  <c r="AK2260" i="1"/>
  <c r="AK1539" i="1"/>
  <c r="AK1296" i="1"/>
  <c r="AK88" i="1"/>
  <c r="AK539" i="1"/>
  <c r="AK910" i="1"/>
  <c r="AK933" i="1"/>
  <c r="AK645" i="1"/>
  <c r="AK2753" i="1"/>
  <c r="AK1283" i="1"/>
  <c r="AK915" i="1"/>
  <c r="AK1123" i="1"/>
  <c r="AK2213" i="1"/>
  <c r="AK137" i="1"/>
  <c r="AK90" i="1"/>
  <c r="AK976" i="1"/>
  <c r="AK2223" i="1"/>
  <c r="AK1678" i="1"/>
  <c r="AK1757" i="1"/>
  <c r="AK2207" i="1"/>
  <c r="AK333" i="1"/>
  <c r="AK903" i="1"/>
  <c r="AK211" i="1"/>
  <c r="AK292" i="1"/>
  <c r="AK2668" i="1"/>
  <c r="AK2376" i="1"/>
  <c r="AK2094" i="1"/>
  <c r="AK160" i="1"/>
  <c r="AK1097" i="1"/>
  <c r="AK30" i="1"/>
  <c r="AK2193" i="1"/>
  <c r="AK2586" i="1"/>
  <c r="AK718" i="1"/>
  <c r="AK2058" i="1"/>
  <c r="AK1364" i="1"/>
  <c r="AK2651" i="1"/>
  <c r="AK449" i="1"/>
  <c r="AK1411" i="1"/>
  <c r="AK1973" i="1"/>
  <c r="AK2105" i="1"/>
  <c r="AK217" i="1"/>
  <c r="AK2707" i="1"/>
  <c r="AK472" i="1"/>
  <c r="AK1402" i="1"/>
  <c r="AK141" i="1"/>
  <c r="AK1623" i="1"/>
  <c r="AK2150" i="1"/>
  <c r="AK2197" i="1"/>
  <c r="AK1325" i="1"/>
  <c r="AK2368" i="1"/>
  <c r="AK419" i="1"/>
  <c r="AK1013" i="1"/>
  <c r="AK2660" i="1"/>
  <c r="AK1115" i="1"/>
  <c r="AK880" i="1"/>
  <c r="AK684" i="1"/>
  <c r="AK1410" i="1"/>
  <c r="AK130" i="1"/>
  <c r="AK1330" i="1"/>
  <c r="AK2303" i="1"/>
  <c r="AK1681" i="1"/>
  <c r="AK2155" i="1"/>
  <c r="AK923" i="1"/>
  <c r="AK2578" i="1"/>
  <c r="AK1588" i="1"/>
  <c r="AK1936" i="1"/>
  <c r="AK1117" i="1"/>
  <c r="AK523" i="1"/>
  <c r="AK2592" i="1"/>
  <c r="AK2533" i="1"/>
  <c r="AK284" i="1"/>
  <c r="AK1249" i="1"/>
  <c r="AK2576" i="1"/>
  <c r="AK1970" i="1"/>
  <c r="AK1609" i="1"/>
  <c r="AK2624" i="1"/>
  <c r="AK1312" i="1"/>
  <c r="AK738" i="1"/>
  <c r="AK26" i="1"/>
  <c r="AK833" i="1"/>
  <c r="AK1734" i="1"/>
  <c r="AK455" i="1"/>
  <c r="AK2338" i="1"/>
  <c r="AK2008" i="1"/>
  <c r="AK1128" i="1"/>
  <c r="AK615" i="1"/>
  <c r="AK254" i="1"/>
  <c r="AK991" i="1"/>
  <c r="AK428" i="1"/>
  <c r="AK1148" i="1"/>
  <c r="AK1682" i="1"/>
  <c r="AK43" i="1"/>
  <c r="AK1673" i="1"/>
  <c r="AK637" i="1"/>
  <c r="AK84" i="1"/>
  <c r="AK409" i="1"/>
  <c r="AK1416" i="1"/>
  <c r="AK2049" i="1"/>
  <c r="AK99" i="1"/>
  <c r="AK720" i="1"/>
  <c r="AK1476" i="1"/>
  <c r="AK2334" i="1"/>
  <c r="AK2242" i="1"/>
  <c r="AK91" i="1"/>
  <c r="AK2136" i="1"/>
  <c r="AK2" i="1"/>
  <c r="AK1932" i="1"/>
  <c r="AK1167" i="1"/>
  <c r="AK1692" i="1"/>
  <c r="AK829" i="1"/>
  <c r="AK1883" i="1"/>
  <c r="AK1826" i="1"/>
  <c r="AK757" i="1"/>
  <c r="AK1954" i="1"/>
  <c r="AK1534" i="1"/>
  <c r="AK1266" i="1"/>
  <c r="AK1625" i="1"/>
  <c r="AK2459" i="1"/>
  <c r="AK482" i="1"/>
  <c r="AK1869" i="1"/>
  <c r="AK2114" i="1"/>
  <c r="AK2390" i="1"/>
  <c r="AK1024" i="1"/>
  <c r="AK1347" i="1"/>
  <c r="AK1605" i="1"/>
  <c r="AK1606" i="1"/>
  <c r="AK399" i="1"/>
  <c r="AK912" i="1"/>
  <c r="AK663" i="1"/>
  <c r="AK608" i="1"/>
  <c r="AK2352" i="1"/>
  <c r="AK1184" i="1"/>
  <c r="AK1596" i="1"/>
  <c r="AK1069" i="1"/>
  <c r="AK1975" i="1"/>
  <c r="AK623" i="1"/>
  <c r="AK1376" i="1"/>
  <c r="AK1019" i="1"/>
  <c r="AK2591" i="1"/>
  <c r="AK1185" i="1"/>
  <c r="AK340" i="1"/>
  <c r="AK2790" i="1"/>
  <c r="AK2569" i="1"/>
  <c r="AK1689" i="1"/>
  <c r="AK1864" i="1"/>
  <c r="AK1078" i="1"/>
  <c r="AK2727" i="1"/>
  <c r="AK206" i="1"/>
  <c r="AK1500" i="1"/>
  <c r="AK2286" i="1"/>
  <c r="AK2685" i="1"/>
  <c r="AK1961" i="1"/>
  <c r="AK180" i="1"/>
  <c r="AK2412" i="1"/>
  <c r="AK791" i="1"/>
  <c r="AK464" i="1"/>
  <c r="AK1668" i="1"/>
  <c r="AK1160" i="1"/>
  <c r="AK82" i="1"/>
  <c r="AK939" i="1"/>
  <c r="AK2121" i="1"/>
  <c r="AK2035" i="1"/>
  <c r="AK294" i="1"/>
  <c r="AK922" i="1"/>
  <c r="AK489" i="1"/>
  <c r="AK135" i="1"/>
  <c r="AK1676" i="1"/>
  <c r="AK1351" i="1"/>
  <c r="AK1407" i="1"/>
  <c r="AK638" i="1"/>
  <c r="AK1109" i="1"/>
  <c r="AK1332" i="1"/>
  <c r="AK484" i="1"/>
  <c r="AK855" i="1"/>
  <c r="AK2282" i="1"/>
  <c r="AK1924" i="1"/>
  <c r="AK1522" i="1"/>
  <c r="AK2743" i="1"/>
  <c r="AK78" i="1"/>
  <c r="AK1289" i="1"/>
  <c r="AK469" i="1"/>
  <c r="AK2289" i="1"/>
  <c r="AK698" i="1"/>
  <c r="AK967" i="1"/>
  <c r="AK1197" i="1"/>
  <c r="AK2428" i="1"/>
  <c r="AK2203" i="1"/>
  <c r="AK788" i="1"/>
  <c r="AK2513" i="1"/>
  <c r="AK2494" i="1"/>
  <c r="AK669" i="1"/>
  <c r="AK2532" i="1"/>
  <c r="AK836" i="1"/>
  <c r="AK1027" i="1"/>
  <c r="AK1540" i="1"/>
  <c r="AK2081" i="1"/>
  <c r="AK2118" i="1"/>
  <c r="AK177" i="1"/>
  <c r="AK2564" i="1"/>
  <c r="AK1790" i="1"/>
  <c r="AK1144" i="1"/>
  <c r="AK2234" i="1"/>
  <c r="AK1239" i="1"/>
  <c r="AK1519" i="1"/>
  <c r="AK713" i="1"/>
  <c r="AK794" i="1"/>
  <c r="AK626" i="1"/>
  <c r="AK383" i="1"/>
  <c r="AK1614" i="1"/>
  <c r="AK562" i="1"/>
  <c r="AK712" i="1"/>
  <c r="AK1831" i="1"/>
  <c r="AK2191" i="1"/>
  <c r="AK2402" i="1"/>
  <c r="AK1684" i="1"/>
  <c r="AK2001" i="1"/>
  <c r="AK2269" i="1"/>
  <c r="AK2362" i="1"/>
  <c r="AK107" i="1"/>
  <c r="AK2225" i="1"/>
  <c r="AK126" i="1"/>
  <c r="AK1088" i="1"/>
  <c r="AK1299" i="1"/>
  <c r="AK2634" i="1"/>
  <c r="AK2489" i="1"/>
  <c r="AK241" i="1"/>
  <c r="AK1866" i="1"/>
  <c r="AK237" i="1"/>
  <c r="AK2293" i="1"/>
  <c r="AK378" i="1"/>
  <c r="AK729" i="1"/>
  <c r="AK1367" i="1"/>
  <c r="AK2385" i="1"/>
  <c r="AK548" i="1"/>
  <c r="AK2164" i="1"/>
  <c r="AK2389" i="1"/>
  <c r="AK1223" i="1"/>
  <c r="AK1549" i="1"/>
  <c r="AK1827" i="1"/>
  <c r="AK1159" i="1"/>
  <c r="AK49" i="1"/>
  <c r="AK1578" i="1"/>
  <c r="AK315" i="1"/>
  <c r="AK2370" i="1"/>
  <c r="AK2016" i="1"/>
  <c r="AK2608" i="1"/>
  <c r="AK259" i="1"/>
  <c r="AK1033" i="1"/>
  <c r="AK1056" i="1"/>
  <c r="AK834" i="1"/>
  <c r="AK2424" i="1"/>
  <c r="AK63" i="1"/>
  <c r="AK1740" i="1"/>
  <c r="AK1215" i="1"/>
  <c r="AK715" i="1"/>
  <c r="AK1741" i="1"/>
  <c r="AK1881" i="1"/>
  <c r="AK453" i="1"/>
  <c r="AK1761" i="1"/>
  <c r="AK919" i="1"/>
  <c r="AK1445" i="1"/>
  <c r="AK779" i="1"/>
  <c r="AK1898" i="1"/>
  <c r="AK2628" i="1"/>
  <c r="AK77" i="1"/>
  <c r="AK1709" i="1"/>
  <c r="AK1976" i="1"/>
  <c r="AK1119" i="1"/>
  <c r="AK2681" i="1"/>
  <c r="AK2698" i="1"/>
  <c r="AK2168" i="1"/>
  <c r="AK1302" i="1"/>
  <c r="AK371" i="1"/>
  <c r="AK1597" i="1"/>
  <c r="AK1577" i="1"/>
  <c r="AK257" i="1"/>
  <c r="AK1392" i="1"/>
  <c r="AK1802" i="1"/>
  <c r="AK1174" i="1"/>
  <c r="AK1683" i="1"/>
  <c r="AK1251" i="1"/>
  <c r="AK664" i="1"/>
  <c r="AK716" i="1"/>
  <c r="AK400" i="1"/>
  <c r="AK1495" i="1"/>
  <c r="AK40" i="1"/>
  <c r="AK2108" i="1"/>
  <c r="AK1448" i="1"/>
  <c r="H15" i="2" l="1"/>
  <c r="H25" i="2"/>
  <c r="H18" i="2"/>
  <c r="H20" i="2"/>
  <c r="H23" i="2"/>
  <c r="H28" i="2"/>
  <c r="H10" i="2"/>
  <c r="H30" i="2"/>
  <c r="H12" i="2"/>
  <c r="H17" i="2"/>
  <c r="H9" i="2"/>
  <c r="H14" i="2"/>
  <c r="H24" i="2"/>
  <c r="H22" i="2"/>
  <c r="H19" i="2"/>
  <c r="H29" i="2"/>
  <c r="H11" i="2"/>
  <c r="H16" i="2"/>
  <c r="H27" i="2"/>
  <c r="H21" i="2"/>
  <c r="H26" i="2"/>
  <c r="H8" i="2"/>
  <c r="H7" i="2"/>
  <c r="H13" i="2"/>
</calcChain>
</file>

<file path=xl/sharedStrings.xml><?xml version="1.0" encoding="utf-8"?>
<sst xmlns="http://schemas.openxmlformats.org/spreadsheetml/2006/main" count="28246" uniqueCount="4855">
  <si>
    <t>ID</t>
  </si>
  <si>
    <t>DEPARTAMENTO</t>
  </si>
  <si>
    <t>COD_DPTO</t>
  </si>
  <si>
    <t>MUNICIPIO</t>
  </si>
  <si>
    <t>COD_MCPIO</t>
  </si>
  <si>
    <t>Cod_candidato</t>
  </si>
  <si>
    <t>NOMBRE</t>
  </si>
  <si>
    <t>Votos</t>
  </si>
  <si>
    <t>PARTIDO</t>
  </si>
  <si>
    <t>COD_PARTIDO</t>
  </si>
  <si>
    <t>GENERO</t>
  </si>
  <si>
    <t>EDAD</t>
  </si>
  <si>
    <t>age (estimada)</t>
  </si>
  <si>
    <t>gender (estimado)</t>
  </si>
  <si>
    <t>blurness</t>
  </si>
  <si>
    <t>facequality</t>
  </si>
  <si>
    <t>yaw_angle</t>
  </si>
  <si>
    <t>pitch_angle</t>
  </si>
  <si>
    <t>roll_angle</t>
  </si>
  <si>
    <t>BD</t>
  </si>
  <si>
    <t>alto</t>
  </si>
  <si>
    <t>ancho</t>
  </si>
  <si>
    <t>fhwr</t>
  </si>
  <si>
    <t>alto_rot</t>
  </si>
  <si>
    <t>ancho_rot</t>
  </si>
  <si>
    <t>fhwr_rot</t>
  </si>
  <si>
    <t>alto_correg</t>
  </si>
  <si>
    <t>ancho_correg</t>
  </si>
  <si>
    <t>fhwr_correg</t>
  </si>
  <si>
    <t>ANTIOQUIA</t>
  </si>
  <si>
    <t>101</t>
  </si>
  <si>
    <t>MEDELLIN</t>
  </si>
  <si>
    <t>01</t>
  </si>
  <si>
    <t>JAIRO HERRAN VARGAS</t>
  </si>
  <si>
    <t>COLOMBIA HUMANA - UNIÃ“N PATRIÃ“TICA</t>
  </si>
  <si>
    <t>M</t>
  </si>
  <si>
    <t>Male</t>
  </si>
  <si>
    <t>02</t>
  </si>
  <si>
    <t>ALFREDO RAMOS MAYA</t>
  </si>
  <si>
    <t>PARTIDO CENTRO DEMOCRATICO</t>
  </si>
  <si>
    <t>05</t>
  </si>
  <si>
    <t>JORGE ORLANDO GUTIERREZ SERNA</t>
  </si>
  <si>
    <t>PARTIDO COLOMBIA RENACIENTE</t>
  </si>
  <si>
    <t>07</t>
  </si>
  <si>
    <t>LUIS GUILLERMO HOYOS MENESES</t>
  </si>
  <si>
    <t>PARTIDO DE REIVINDICACIÃ“N Ã‰TNICA PRE</t>
  </si>
  <si>
    <t>08</t>
  </si>
  <si>
    <t>BEATRIZ ELENA RAVE HERRERA</t>
  </si>
  <si>
    <t>PARTIDO ALIANZA VERDE</t>
  </si>
  <si>
    <t>F</t>
  </si>
  <si>
    <t>Female</t>
  </si>
  <si>
    <t>11</t>
  </si>
  <si>
    <t>JUAN CARLOS ROBERTO VELEZ URIBE</t>
  </si>
  <si>
    <t>MEDELLIN AVANZA</t>
  </si>
  <si>
    <t>12</t>
  </si>
  <si>
    <t>JUAN DAVID VALDERRAMA LOPEZ</t>
  </si>
  <si>
    <t>TODOS JUNTOS</t>
  </si>
  <si>
    <t>15</t>
  </si>
  <si>
    <t>DANIEL QUINTERO CALLE</t>
  </si>
  <si>
    <t>INDEPENDIENTES</t>
  </si>
  <si>
    <t>ABEJORRAL</t>
  </si>
  <si>
    <t>04</t>
  </si>
  <si>
    <t>JULIAN ANDRES MUÑOZ LOPEZ</t>
  </si>
  <si>
    <t>03</t>
  </si>
  <si>
    <t>MANUEL ALBERTO GUZMAN MARIN</t>
  </si>
  <si>
    <t>PARTIDO CONSERVADOR COLOMBIANO</t>
  </si>
  <si>
    <t>GUSTAVO ANDRES MARIN CORREA</t>
  </si>
  <si>
    <t>ABRIAQUI</t>
  </si>
  <si>
    <t>HECTOR WILLIAM URREGO QUIROS</t>
  </si>
  <si>
    <t>CONCORDIA</t>
  </si>
  <si>
    <t>100</t>
  </si>
  <si>
    <t>CARLOS GUSTAVO QUIJANO RESTREPO</t>
  </si>
  <si>
    <t>FERNANDO DE JESUS ARDILA VARGAS</t>
  </si>
  <si>
    <t>MOVIMIENTO AUTORIDADES INDIGENAS DE COLOMBIA AICO</t>
  </si>
  <si>
    <t>ALEJANDRIA</t>
  </si>
  <si>
    <t>10</t>
  </si>
  <si>
    <t>OSCAR IGNACIO VALENCIA VARGAS</t>
  </si>
  <si>
    <t>GLORIA CECILIA NARANJO OSORIO</t>
  </si>
  <si>
    <t>SOR MARIA OCAMPO GIRALDO</t>
  </si>
  <si>
    <t>UNIDOS POR ALEJANDRIA</t>
  </si>
  <si>
    <t>COPACABANA</t>
  </si>
  <si>
    <t>103</t>
  </si>
  <si>
    <t>FRANK ARLEY GUZMAN DAZA</t>
  </si>
  <si>
    <t>CARLOS DAVID OROZCO TIBAQUIRA</t>
  </si>
  <si>
    <t>RAMON DIEGO ECHEVERRI HINCAPIE</t>
  </si>
  <si>
    <t>MOVIMIENTO ALTERNATIVO INDIGENA Y SOCIAL MAIS</t>
  </si>
  <si>
    <t>EVANGELISTA TORRES PERALTA</t>
  </si>
  <si>
    <t>PARTIDO COLOMBIA JUSTA LIBRES</t>
  </si>
  <si>
    <t>06</t>
  </si>
  <si>
    <t>JUAN EUGENIO GONZALEZ MOLINA</t>
  </si>
  <si>
    <t>FRANCISCO JAVIER CADAVID GONZALEZ</t>
  </si>
  <si>
    <t>PARTIDO ALIANZA SOCIAL INDEPENDIENTE ASI</t>
  </si>
  <si>
    <t>DUGLAS ALBERTO PULGARIN PALACIO</t>
  </si>
  <si>
    <t>PARTIDO POLO DEMOCRATICO ALTERNATIVO</t>
  </si>
  <si>
    <t>CHIGORODO</t>
  </si>
  <si>
    <t>106</t>
  </si>
  <si>
    <t>LUIS FERNANDO HINESTROZA BOLIVAR</t>
  </si>
  <si>
    <t>DABEIBA</t>
  </si>
  <si>
    <t>109</t>
  </si>
  <si>
    <t>DANIEL HIGUITA HERRERA</t>
  </si>
  <si>
    <t>PARTIDO LIBERAL COLOMBIANO</t>
  </si>
  <si>
    <t>LEYTON URREGO DURANGO</t>
  </si>
  <si>
    <t>UNIDOS POR DABEIBA</t>
  </si>
  <si>
    <t>NAIRON DE JESUS DURANGO RODRIGUEZ</t>
  </si>
  <si>
    <t>SÃ PODEMOS</t>
  </si>
  <si>
    <t>Donmatias</t>
  </si>
  <si>
    <t>112</t>
  </si>
  <si>
    <t>DIANA GIRLESA MUÑOZ LOPEZ</t>
  </si>
  <si>
    <t>PARTIDO CAMBIO RADICAL</t>
  </si>
  <si>
    <t>YEISON CAMILO CORREA ALVAREZ</t>
  </si>
  <si>
    <t>COALICION ALCALDIA DON MATIAS</t>
  </si>
  <si>
    <t>EBEJICO</t>
  </si>
  <si>
    <t>115</t>
  </si>
  <si>
    <t>EDISSON ARIEL TAMAYO MAYA</t>
  </si>
  <si>
    <t>ERIKSON SANCHEZ RAMIREZ</t>
  </si>
  <si>
    <t>MANUEL SALVADOR ZAPATA CUADROS</t>
  </si>
  <si>
    <t>RETOMANDO EL RUMBO</t>
  </si>
  <si>
    <t>CARLOS ALBERTO CORTES ARIAS</t>
  </si>
  <si>
    <t>PARTIDO CONSERVADOR COLOMBIANO  - AV - PU</t>
  </si>
  <si>
    <t>EL BAGRE</t>
  </si>
  <si>
    <t>117</t>
  </si>
  <si>
    <t>JOHE ALEXI BORJAS MIRANDA</t>
  </si>
  <si>
    <t>FABER ENRIQUE TRESPALACIO</t>
  </si>
  <si>
    <t>GERMAN ANDRES HOYOS MEZA</t>
  </si>
  <si>
    <t>JUDIT MARIA FERNANDEZ ORTEGA</t>
  </si>
  <si>
    <t>ROIMIR EDUARDO DURAN MAURY</t>
  </si>
  <si>
    <t>JOSE ALEXANDER PADILLA GIL</t>
  </si>
  <si>
    <t>LUIS GABRIEL MONTERO RODRIGUEZ</t>
  </si>
  <si>
    <t>ENTRERRIOS</t>
  </si>
  <si>
    <t>118</t>
  </si>
  <si>
    <t>OSCAR ALBERTO DE JESUS PEREZ BETANCUR</t>
  </si>
  <si>
    <t>CESAR AUGUSTO ZAPATA MONSALVE</t>
  </si>
  <si>
    <t>JESUS ORLANDO VILLA MONSALVE</t>
  </si>
  <si>
    <t>DIEGO DE JESUS MONSALVE GONZALEZ</t>
  </si>
  <si>
    <t>PARTIDO SOCIAL DE UNIDAD NACIONAL  PARTIDO DE LA U</t>
  </si>
  <si>
    <t>ENVIGADO</t>
  </si>
  <si>
    <t>121</t>
  </si>
  <si>
    <t>CARLOS MANUEL URIBE MESA</t>
  </si>
  <si>
    <t>ANA CAROLINA ARBOLEDA GALLO</t>
  </si>
  <si>
    <t>JOSE HILARIO LOPEZ NIÑO</t>
  </si>
  <si>
    <t>BRAULIO ALONSO ESPINOSA MARQUEZ</t>
  </si>
  <si>
    <t>AQUÃ SUMAMOS TODOS</t>
  </si>
  <si>
    <t>ANDRES DAVID TORRES GOMEZ</t>
  </si>
  <si>
    <t>UNIDOS POR LA EQUIDAD EN ENVIGADO</t>
  </si>
  <si>
    <t>FREDONIA</t>
  </si>
  <si>
    <t>124</t>
  </si>
  <si>
    <t>LINA MARIA BETANCUR ISAZA</t>
  </si>
  <si>
    <t>VICENTE ANTONIO HURTADO MONSALVE</t>
  </si>
  <si>
    <t>DANIEL ALEJANDRO MARIN SERNA</t>
  </si>
  <si>
    <t>ELKIN ALEXANDER HURTADO GOMEZ</t>
  </si>
  <si>
    <t>DUVAN CAMILO CORTES PAREJA</t>
  </si>
  <si>
    <t>JUNTOS PODEMOS</t>
  </si>
  <si>
    <t>FRONTINO</t>
  </si>
  <si>
    <t>127</t>
  </si>
  <si>
    <t>HERNAN DARIO VELEZ MONROY</t>
  </si>
  <si>
    <t>LUZ GABRIELA RIVERA CANO</t>
  </si>
  <si>
    <t>PARTIDO CONSERVADOR COLOMBIANO - CR</t>
  </si>
  <si>
    <t>GIRALDO</t>
  </si>
  <si>
    <t>130</t>
  </si>
  <si>
    <t>JORGE ALCONIDES USUGA CARMONA</t>
  </si>
  <si>
    <t>JOSE JOAQUIN RUEDA LORA</t>
  </si>
  <si>
    <t>TODOS POR EL GIRALDO QUE SOÑAMOS</t>
  </si>
  <si>
    <t>AMAGA</t>
  </si>
  <si>
    <t>13</t>
  </si>
  <si>
    <t>LEONARDO DE JESUS MOLINA RODAS</t>
  </si>
  <si>
    <t>JOHN FREDY GRANADOS HURTADO</t>
  </si>
  <si>
    <t>JUAN CARLOS AMAYA CANO</t>
  </si>
  <si>
    <t>PARTIDO CONSERVADOR COLOMBIANO -  CR</t>
  </si>
  <si>
    <t>GIRARDOTA</t>
  </si>
  <si>
    <t>133</t>
  </si>
  <si>
    <t>DUBER ANDRES SANCHEZ CASTRO</t>
  </si>
  <si>
    <t>DIANA MILENA OSORNO ALZATE</t>
  </si>
  <si>
    <t>LLEGO EL MOMENTO</t>
  </si>
  <si>
    <t>DIEGO ARMANDO AGUDELO TORRES</t>
  </si>
  <si>
    <t>PARTIDO CONSERVADOR COLOMBIANO - P L</t>
  </si>
  <si>
    <t>GRANADA</t>
  </si>
  <si>
    <t>139</t>
  </si>
  <si>
    <t>RAMON ABELARDO PARRA ARISTIZABAL</t>
  </si>
  <si>
    <t>FREDDY CASTAÑO ARISTIZABAL</t>
  </si>
  <si>
    <t>DIEGO ALFONSO NARANJO GOMEZ</t>
  </si>
  <si>
    <t>GUARNE</t>
  </si>
  <si>
    <t>142</t>
  </si>
  <si>
    <t>LEONARDO FABIO AGUDELO CASTAÑO</t>
  </si>
  <si>
    <t>CARLOS ALBERTO ZULETA HINCAPIE</t>
  </si>
  <si>
    <t xml:space="preserve">EDUARD SANTIAGO OSPINA </t>
  </si>
  <si>
    <t>LUIS ENRIQUE CARVAJAL MARIN</t>
  </si>
  <si>
    <t>LUIS EDUARDO OCHOA LONDOÑO</t>
  </si>
  <si>
    <t>DIEGO MAURICIO GRISALES GALLEGO</t>
  </si>
  <si>
    <t>TU SUEÑO ES MI COMPROMISO</t>
  </si>
  <si>
    <t>09</t>
  </si>
  <si>
    <t>JULIAN OSORNO CARDONA</t>
  </si>
  <si>
    <t>PODEMOS SER MAS</t>
  </si>
  <si>
    <t>GUATAPE</t>
  </si>
  <si>
    <t>145</t>
  </si>
  <si>
    <t>IVAN JAIRO GARCIA GIRALDO</t>
  </si>
  <si>
    <t>MARIA MARGARITA JIMENEZ ZULUAGA</t>
  </si>
  <si>
    <t>MARLENY GARCIA OSPINA</t>
  </si>
  <si>
    <t>VAMOS GUATAPE</t>
  </si>
  <si>
    <t>JUAN SEBASTIAN PEREZ FLOREZ</t>
  </si>
  <si>
    <t>EMPRENDAMOS JUNTOS  GUATAPE</t>
  </si>
  <si>
    <t>HELICONIA</t>
  </si>
  <si>
    <t>148</t>
  </si>
  <si>
    <t>JORGE ALEXANDER ALVAREZ ARANGO</t>
  </si>
  <si>
    <t xml:space="preserve">ELKIN ANDRES ROMERO </t>
  </si>
  <si>
    <t>HISPANIA</t>
  </si>
  <si>
    <t>150</t>
  </si>
  <si>
    <t>JUAN CARLOS ROMERO LONDOÑO</t>
  </si>
  <si>
    <t>SIMON VASQUEZ VILLADA</t>
  </si>
  <si>
    <t>HERNANDO DE JESUS ESPINAL RAMIREZ</t>
  </si>
  <si>
    <t>ANDERSON RESTREPO CORTES</t>
  </si>
  <si>
    <t>CATALINA MARIA LOPERA POSADA</t>
  </si>
  <si>
    <t>YASMIN IBONY VANEGAS VALENCIA</t>
  </si>
  <si>
    <t>LEIDY JOHANA CARDONA RUEDA</t>
  </si>
  <si>
    <t>UNIDOS POR LO SOCIAL</t>
  </si>
  <si>
    <t>ITAGUI</t>
  </si>
  <si>
    <t>151</t>
  </si>
  <si>
    <t>ROSA MARIA ACEVEDO JARAMILLO</t>
  </si>
  <si>
    <t>JOSE FERNANDO ESCOBAR ESTRADA</t>
  </si>
  <si>
    <t>BAYRON DE JESUS CARO LUJAN</t>
  </si>
  <si>
    <t xml:space="preserve">TODOS CABEMOS </t>
  </si>
  <si>
    <t>ITUANGO</t>
  </si>
  <si>
    <t>154</t>
  </si>
  <si>
    <t>JESUS IVAN GRACIANO GEORGE</t>
  </si>
  <si>
    <t>FACTOR EMILIO ROJAS DURANGO</t>
  </si>
  <si>
    <t>JAVIER DE JESUS PARIAS POSSO</t>
  </si>
  <si>
    <t>ANA CATALINA SUCERQUIA AREIZA</t>
  </si>
  <si>
    <t>LUIS OCTAVIO GUTIERREZ MONTES</t>
  </si>
  <si>
    <t>NUBIA CIRO ZULETA</t>
  </si>
  <si>
    <t>JARDIN</t>
  </si>
  <si>
    <t>157</t>
  </si>
  <si>
    <t>HECTOR JAIME RENDON OSORIO</t>
  </si>
  <si>
    <t>FREDDY ALONSO TASCON NIAZA</t>
  </si>
  <si>
    <t>ALVARO ANIBAL CARVAJAL OCHOA</t>
  </si>
  <si>
    <t>JERICO</t>
  </si>
  <si>
    <t>160</t>
  </si>
  <si>
    <t>DAVID ALONSO TORO CADAVID</t>
  </si>
  <si>
    <t>LIBIA STELLA OSORIO PELAEZ</t>
  </si>
  <si>
    <t>CARLOS ALBERTO PALACIO MONSALVE</t>
  </si>
  <si>
    <t>COMPROMISO DE TODOS</t>
  </si>
  <si>
    <t>NELSON AUGUSTO RESTREPO RESTREPO</t>
  </si>
  <si>
    <t>ACUERDO CIUDADANO UNIDOS POR JERICO</t>
  </si>
  <si>
    <t>WILTON ALBERTO CHAVERRA RIOS</t>
  </si>
  <si>
    <t>PARTIDO CONSERVADOR COLOMBIANO - ASI - CR - MAIS</t>
  </si>
  <si>
    <t>AMALFI</t>
  </si>
  <si>
    <t>16</t>
  </si>
  <si>
    <t>OSCAR MARIO GARCIA RENDON</t>
  </si>
  <si>
    <t>FEDERICO GIL JARAMILLO</t>
  </si>
  <si>
    <t>A GRAN ALIANZA POR AMALFI JUNOS HACEMOS LA DIFERENCIA</t>
  </si>
  <si>
    <t>WILMAR ALFREDO RIOS ORTEGA</t>
  </si>
  <si>
    <t>EL PACTO ES DE TODOS</t>
  </si>
  <si>
    <t>LA CEJA</t>
  </si>
  <si>
    <t>163</t>
  </si>
  <si>
    <t>SANDRO DE JESUS JURADO GUTIERREZ</t>
  </si>
  <si>
    <t>GEOVANY HENAO GALLEGO</t>
  </si>
  <si>
    <t>CLAUDIA SELENE MOSQUERA CASTRILLON</t>
  </si>
  <si>
    <t>NELSON FERNANDO CARMONA LOPERA</t>
  </si>
  <si>
    <t>NESTOR ALEXANDER SANTA LOPERA</t>
  </si>
  <si>
    <t>COMPROMISO CIUDADANO POR LA CEJA</t>
  </si>
  <si>
    <t>NELSON MARTINEZ ESCOBAR</t>
  </si>
  <si>
    <t>VOLVAMOS A CREER</t>
  </si>
  <si>
    <t>MARIA ILBED SANTA SANTA</t>
  </si>
  <si>
    <t>HAGAMOS LO CORRECTO POR LA CEJA</t>
  </si>
  <si>
    <t>JESUS ALEXANDER TOBON ECHEVERRI</t>
  </si>
  <si>
    <t>LA CEJA NOS UNE</t>
  </si>
  <si>
    <t>LA ESTRELLA</t>
  </si>
  <si>
    <t>166</t>
  </si>
  <si>
    <t>CARLOS ALBERTO MUÑOZ MEJIA</t>
  </si>
  <si>
    <t>JOSE GABRIEL CORRALES TREJOS</t>
  </si>
  <si>
    <t>CHARLES FIGUEROA LOPERA</t>
  </si>
  <si>
    <t>JUAN SEBASTIAN ABAD BETANCUR</t>
  </si>
  <si>
    <t>UN PACTO POR LA GENTE</t>
  </si>
  <si>
    <t>PUERTO NARE</t>
  </si>
  <si>
    <t>168</t>
  </si>
  <si>
    <t>JAMEL DE JESUS MEJIA VASQUEZ</t>
  </si>
  <si>
    <t>JULIAN SANTIAGO MARTINEZ GIRALDO</t>
  </si>
  <si>
    <t>JAMES ARBEY MEJIA FRANCO</t>
  </si>
  <si>
    <t xml:space="preserve">ANDERSON STIVEN COGOLLO </t>
  </si>
  <si>
    <t>JORGE ANDRES POSADA CARRASCAL</t>
  </si>
  <si>
    <t>LA UNION</t>
  </si>
  <si>
    <t>169</t>
  </si>
  <si>
    <t>EDUARDO ANTONIO CASTRO BEDOYA</t>
  </si>
  <si>
    <t>CARLOS ANDRES MARULANDA GARCIA</t>
  </si>
  <si>
    <t>ELEUTERIO DE JESUS MARTINEZ VALENCIA</t>
  </si>
  <si>
    <t>EDGAR ALEXANDER OSORIO LONDOÑO</t>
  </si>
  <si>
    <t xml:space="preserve">LA UNIÃ“N EN BUENAS MANOS </t>
  </si>
  <si>
    <t>LA PINTADA</t>
  </si>
  <si>
    <t>170</t>
  </si>
  <si>
    <t>PABLO DE JESUS CANO PULGARIN</t>
  </si>
  <si>
    <t>MARY LUZ CORRALES CHALARCA</t>
  </si>
  <si>
    <t>JUAN FERNANDO VASQUEZ GOMEZ</t>
  </si>
  <si>
    <t>LIBORINA</t>
  </si>
  <si>
    <t>172</t>
  </si>
  <si>
    <t>NANCY AMPARO AVENDAÑO MORENO</t>
  </si>
  <si>
    <t>ADRIANA MARIA MAYA GALLEGO</t>
  </si>
  <si>
    <t>PARTIDO ADA</t>
  </si>
  <si>
    <t>MACEO</t>
  </si>
  <si>
    <t>175</t>
  </si>
  <si>
    <t>CARLOS ALBERTO RESTREPO GONZALEZ</t>
  </si>
  <si>
    <t>CARLOS ANDRES GOMEZ GONZALEZ</t>
  </si>
  <si>
    <t>MARINILLA</t>
  </si>
  <si>
    <t>178</t>
  </si>
  <si>
    <t>GERMAN DARIO VELEZ OCAMPO</t>
  </si>
  <si>
    <t xml:space="preserve">LUZ MARIBEL GIRALDO </t>
  </si>
  <si>
    <t>JULIO CESAR SERNA GOMEZ</t>
  </si>
  <si>
    <t>AVANCEMOS</t>
  </si>
  <si>
    <t>JOSE MANUEL GONZALEZ BOTERO</t>
  </si>
  <si>
    <t>JUNTOS POR MARINILLA</t>
  </si>
  <si>
    <t>MONTEBELLO</t>
  </si>
  <si>
    <t>181</t>
  </si>
  <si>
    <t>OSCAR ERNESTO CUERVO VILLADA</t>
  </si>
  <si>
    <t>MILSON EVERARDO GRAJALES ROMO</t>
  </si>
  <si>
    <t>MURINDO</t>
  </si>
  <si>
    <t>184</t>
  </si>
  <si>
    <t>EMPERATRIZ MENA PALACIO</t>
  </si>
  <si>
    <t>UNIDOS POR MURINDO</t>
  </si>
  <si>
    <t>MUTATA</t>
  </si>
  <si>
    <t>187</t>
  </si>
  <si>
    <t>JAIME DARIO LOPEZ DUQUE</t>
  </si>
  <si>
    <t>HELVER PEREA CUESTA</t>
  </si>
  <si>
    <t>NARIÑO</t>
  </si>
  <si>
    <t>190</t>
  </si>
  <si>
    <t>JOHN HENRY ARIAS HENAO</t>
  </si>
  <si>
    <t>ANDES</t>
  </si>
  <si>
    <t>19</t>
  </si>
  <si>
    <t>JUAN GONZALO BERRIO ECHAVARRIA</t>
  </si>
  <si>
    <t>DAVID FERNANDO ROMERO VELEZ</t>
  </si>
  <si>
    <t xml:space="preserve"> AMOR POR ANDES</t>
  </si>
  <si>
    <t>GERMAN ALEXANDER VELEZ OROZCO</t>
  </si>
  <si>
    <t xml:space="preserve">PARTIDO CONSERVADOR COLOMBIANO -CR </t>
  </si>
  <si>
    <t>NECHI</t>
  </si>
  <si>
    <t>191</t>
  </si>
  <si>
    <t>ELIZABETH BUILES RESTREPO</t>
  </si>
  <si>
    <t>FRANCISCO JAVIER ARRIETA FRANCO</t>
  </si>
  <si>
    <t>FERNANDO JOSE RODRIGUEZ INDABURO</t>
  </si>
  <si>
    <t>YULIETH DEL CARMEN PALOMINO CHAVEZ</t>
  </si>
  <si>
    <t>NECOCLI</t>
  </si>
  <si>
    <t>192</t>
  </si>
  <si>
    <t>YUVIS MORENO BERRIO</t>
  </si>
  <si>
    <t>JORGE AUGUSTO TOBON CASTRO</t>
  </si>
  <si>
    <t>GUILLERMO JOSE CARDONA MORENO</t>
  </si>
  <si>
    <t>NECOCLI CON FUTURO</t>
  </si>
  <si>
    <t>OLAYA</t>
  </si>
  <si>
    <t>193</t>
  </si>
  <si>
    <t>JOSE HUMBERTO CARDONA GONZALEZ</t>
  </si>
  <si>
    <t>UNIDOS POR OLAYA</t>
  </si>
  <si>
    <t>PEÑOL</t>
  </si>
  <si>
    <t>196</t>
  </si>
  <si>
    <t>ALEX GIRALDO MONTOYA</t>
  </si>
  <si>
    <t>FRANCY LINEIDY RAMIREZ ARBELAEZ</t>
  </si>
  <si>
    <t>JOSE OMAR GARCIA GARCIA</t>
  </si>
  <si>
    <t>LUIS GUILLERMO CIRO VERGARA</t>
  </si>
  <si>
    <t>SORANY ANDREA MARIN MARIN</t>
  </si>
  <si>
    <t>JOHN DAIRO DUQUE ZULUAGA</t>
  </si>
  <si>
    <t>UNIDOS POR EL PEÑOL</t>
  </si>
  <si>
    <t>PEQUE</t>
  </si>
  <si>
    <t>199</t>
  </si>
  <si>
    <t>LUIS ALBERTO VALLE PINEDA</t>
  </si>
  <si>
    <t>PUEBLORRICO</t>
  </si>
  <si>
    <t>202</t>
  </si>
  <si>
    <t>CARLOS ARTURO QUINTERO HURTADO</t>
  </si>
  <si>
    <t>BIEN POR PUEBLORICO</t>
  </si>
  <si>
    <t>FLAVIO ENRIQUE FAJARDO SIERRA</t>
  </si>
  <si>
    <t>UNA FAMILIA LLAMADA PUEBLORRICOÂ </t>
  </si>
  <si>
    <t>PUERTO BERRIO</t>
  </si>
  <si>
    <t>205</t>
  </si>
  <si>
    <t>LUIS OSWALDO IBAÑEZ FLOREZ</t>
  </si>
  <si>
    <t>JOSE ANGEL MESA PULGARIN</t>
  </si>
  <si>
    <t xml:space="preserve">MARIA ETELVINA MORALES </t>
  </si>
  <si>
    <t>JUAN DAVID OCHOA MUÑOZ</t>
  </si>
  <si>
    <t>JOSE FARID NARVAEZ PERDOMO</t>
  </si>
  <si>
    <t>PUERTO TRIUNFO</t>
  </si>
  <si>
    <t>206</t>
  </si>
  <si>
    <t>FRANKLIN PORTILLO GOMEZ</t>
  </si>
  <si>
    <t>ORLEY JOVANNY MORENO CALVO</t>
  </si>
  <si>
    <t xml:space="preserve">SANTIAGO LOPEZ </t>
  </si>
  <si>
    <t>JAVIER ARISTIDES GUERRA CASTILLO</t>
  </si>
  <si>
    <t>MOVIMIENTO INDEPENDIENTE TRIUNFO UNIDO TU</t>
  </si>
  <si>
    <t>REMEDIOS</t>
  </si>
  <si>
    <t>208</t>
  </si>
  <si>
    <t>JOHN JAIRO URIBE CASTRILLON</t>
  </si>
  <si>
    <t>HECTOR ANDRES ORREGO RUIZ</t>
  </si>
  <si>
    <t>DORIAN FRANCISCO SALAZAR PALACIO</t>
  </si>
  <si>
    <t xml:space="preserve">JORGE ELIECER GIL </t>
  </si>
  <si>
    <t>PARTIDO CONSERVADOR COLOMBIANO - PU</t>
  </si>
  <si>
    <t>GONZALO DE JESUS SANCHEZ RAMIREZ</t>
  </si>
  <si>
    <t>REMEDIOS PARA TODO</t>
  </si>
  <si>
    <t>RETIRO</t>
  </si>
  <si>
    <t>211</t>
  </si>
  <si>
    <t>NICOLAS FERNAN GUTIERREZ VILLA</t>
  </si>
  <si>
    <t>NOLBER DE JESUS BEDOYA PUERTA</t>
  </si>
  <si>
    <t>EL CAMBIO QUE EL RETIRO QUIERE</t>
  </si>
  <si>
    <t>RIONEGRO</t>
  </si>
  <si>
    <t>214</t>
  </si>
  <si>
    <t>HERNAN DE JESUS OSPINA SEPULVEDA</t>
  </si>
  <si>
    <t>MAURICIO DE JESUS RENDON GONZALEZ</t>
  </si>
  <si>
    <t>LAURA EMILSE MARULANDA TOBON</t>
  </si>
  <si>
    <t>RIONEGRO TE LLEVO EN EL CORAZON</t>
  </si>
  <si>
    <t>FERNANDO ANDRES VALENCIA VALLEJO</t>
  </si>
  <si>
    <t xml:space="preserve">RIONEGRO PRIMERO LA GENTEÂ  </t>
  </si>
  <si>
    <t>RODRIGO HERNANDEZ ALZATE</t>
  </si>
  <si>
    <t>UNIDOS POR RIONEGRO</t>
  </si>
  <si>
    <t>CARLOS MAURICIO MARTINEZ FLOREZ</t>
  </si>
  <si>
    <t>MÃ¡S OPORTUNIDADES</t>
  </si>
  <si>
    <t>SABANALARGA</t>
  </si>
  <si>
    <t>217</t>
  </si>
  <si>
    <t>LUIS ARTURO JARAMILLO MORENO</t>
  </si>
  <si>
    <t>MOREL ALONSO MAZO GUTIERREZ</t>
  </si>
  <si>
    <t>AICARDO DE JESUS MAZO AREIZA</t>
  </si>
  <si>
    <t>FRANCISCO LUIS URREGO MORENO</t>
  </si>
  <si>
    <t>SABANETA</t>
  </si>
  <si>
    <t>218</t>
  </si>
  <si>
    <t>SANTIAGO MONTOYA MONTOYA</t>
  </si>
  <si>
    <t>SOMOS SABANETA</t>
  </si>
  <si>
    <t>SALGAR</t>
  </si>
  <si>
    <t>220</t>
  </si>
  <si>
    <t>JUAN ALEXANDER GALLEGO CATAÑO</t>
  </si>
  <si>
    <t>VICTOR RAUL DIAZ GALLEGO</t>
  </si>
  <si>
    <t>ANGELOPOLIS</t>
  </si>
  <si>
    <t>22</t>
  </si>
  <si>
    <t>CARLOS MARIO FRANCO MUÑOZ</t>
  </si>
  <si>
    <t>JAIME ALBERTO GOMEZ GOMEZ</t>
  </si>
  <si>
    <t>CREEMOS EN ANGELOPOLIS</t>
  </si>
  <si>
    <t>SAN ANDRES</t>
  </si>
  <si>
    <t>223</t>
  </si>
  <si>
    <t>DIEGO ALFONSO ARENAS ORREGO</t>
  </si>
  <si>
    <t>ANA CAROLINA CARVAJAL ARROYAVE</t>
  </si>
  <si>
    <t>JAFIZA POSADA OSPINA</t>
  </si>
  <si>
    <t>DENIS ARLEY AREIZA PINO</t>
  </si>
  <si>
    <t>JOSE FERNANDO CHAVARRIA CHAVARRIA</t>
  </si>
  <si>
    <t xml:space="preserve">SAN ANDRES CON RENOVACION SI AVANZA </t>
  </si>
  <si>
    <t>SAN CARLOS</t>
  </si>
  <si>
    <t>226</t>
  </si>
  <si>
    <t>CRISTIAN MAURICIO BURITICA GARCIA</t>
  </si>
  <si>
    <t>MARIA PATRICIA GIRALDO RAMIREZ</t>
  </si>
  <si>
    <t>WILSON ESCUDERO GALLEGO</t>
  </si>
  <si>
    <t>YO SOY SAN CARLOS</t>
  </si>
  <si>
    <t>MARY LUZ QUINTERO DUQUE</t>
  </si>
  <si>
    <t xml:space="preserve">SAN CARLOS SOMOS TODOS </t>
  </si>
  <si>
    <t>SAN FRANCISCO</t>
  </si>
  <si>
    <t>227</t>
  </si>
  <si>
    <t>DIEGO ALEJANDRO DUQUE VALENCIA</t>
  </si>
  <si>
    <t>ES TIEMPO DE CRECER</t>
  </si>
  <si>
    <t>SAN JERONIMO</t>
  </si>
  <si>
    <t>229</t>
  </si>
  <si>
    <t>LUIS ALBERTO PULGARIN CANO</t>
  </si>
  <si>
    <t>MAURICIO ANDRES VELASQUEZ SERNA</t>
  </si>
  <si>
    <t>SIGAMOS CRECIENDO</t>
  </si>
  <si>
    <t>ANDRES FELIPE DELGADO OSORIO</t>
  </si>
  <si>
    <t>BIEN POR SAN JERONIMO</t>
  </si>
  <si>
    <t>SAN JOSE DE LA MONTAÑA</t>
  </si>
  <si>
    <t>230</t>
  </si>
  <si>
    <t>EDISON MAURICIO CORREA RESTREPO</t>
  </si>
  <si>
    <t>VAMOS EN SERIO SAN JOSE DE LA MONTAÑA</t>
  </si>
  <si>
    <t>ANIBAL DE JESUS GRANDA ECHAVARRIA</t>
  </si>
  <si>
    <t>EN SAN JOSE PRIMERO LA GENTE</t>
  </si>
  <si>
    <t>SAN JUAN DE URABA</t>
  </si>
  <si>
    <t>231</t>
  </si>
  <si>
    <t>OSBALDO ANGULO DE LA ROSA</t>
  </si>
  <si>
    <t>LUIS DAVID MEJIA LEMOS</t>
  </si>
  <si>
    <t>MARQUEZA CEDEÑO CANAVAL</t>
  </si>
  <si>
    <t>SAN LUIS</t>
  </si>
  <si>
    <t>232</t>
  </si>
  <si>
    <t>CESAR ABAD BUITRAGO ARIAS</t>
  </si>
  <si>
    <t>HENRY EDILSON SUAREZ JIMENEZ</t>
  </si>
  <si>
    <t>SAN PEDRO</t>
  </si>
  <si>
    <t>235</t>
  </si>
  <si>
    <t>JADER ORLANDO GONZALEZ AGUDELO</t>
  </si>
  <si>
    <t>YOVANNY VASQUEZ RUIZ</t>
  </si>
  <si>
    <t>JOSE DANILO ALVAREZ RODRIGUEZ</t>
  </si>
  <si>
    <t>VICTORIA EUGENIA VELASQUEZ ZAPATA</t>
  </si>
  <si>
    <t>GUSTAVO LEON ZAPATA BARRIENTOS</t>
  </si>
  <si>
    <t>JUNTOS CONSTRUIMOS EL CAMBIO</t>
  </si>
  <si>
    <t>SAN PEDRO DE URABA</t>
  </si>
  <si>
    <t>237</t>
  </si>
  <si>
    <t>ADOLFO ANTONIO ALEAN RUIZ</t>
  </si>
  <si>
    <t>JAMES JAIR CORREA ALFARO</t>
  </si>
  <si>
    <t>EN TODO TIEMPO CON LA COMUNIDAD</t>
  </si>
  <si>
    <t>SAN RAFAEL</t>
  </si>
  <si>
    <t>238</t>
  </si>
  <si>
    <t>ALBERTO OSPINA GALVIS</t>
  </si>
  <si>
    <t>LUIS OLIVERIO GUARIN GUARIN</t>
  </si>
  <si>
    <t xml:space="preserve">JHON ALBERTO ORTEGA </t>
  </si>
  <si>
    <t>JOSE HERMES POSADA CANO</t>
  </si>
  <si>
    <t>LIBARDO DE JESUS CIRO MORALES</t>
  </si>
  <si>
    <t>BERNARDO ALONSO ARANGO CLAVIJO</t>
  </si>
  <si>
    <t>GLADIS AMPARO ARBOLEDA OROZCO</t>
  </si>
  <si>
    <t>SAN ROQUE</t>
  </si>
  <si>
    <t>241</t>
  </si>
  <si>
    <t>LUIS ALEJANDRO VILLEGAS CANO</t>
  </si>
  <si>
    <t>ALVARO ALONSO DUQUE MUÑOZ</t>
  </si>
  <si>
    <t>San Vicente</t>
  </si>
  <si>
    <t>244</t>
  </si>
  <si>
    <t>NELSON DE JESUS HENAO ZAPATA</t>
  </si>
  <si>
    <t>DIEGO FERNEY ALZATE LOPEZ</t>
  </si>
  <si>
    <t>YIMI ARLEY GIRALDO MARIN</t>
  </si>
  <si>
    <t>VIVE SAN VICENTE</t>
  </si>
  <si>
    <t>SANTA BARBARA</t>
  </si>
  <si>
    <t>247</t>
  </si>
  <si>
    <t>GILBERTO DE JESUS CARDONA CARDONA</t>
  </si>
  <si>
    <t>SANTA ROSA DE OSOS</t>
  </si>
  <si>
    <t>250</t>
  </si>
  <si>
    <t>CARLOS ALBERTO POSADA ZAPATA</t>
  </si>
  <si>
    <t>FRANCISCO JAIR PALACIO LOPERA</t>
  </si>
  <si>
    <t>YOVANY ALEXANDER ALVAREZ CORREA</t>
  </si>
  <si>
    <t>WILLIAM ALEJANDRO VERGARA PEREZ</t>
  </si>
  <si>
    <t>SANTO DOMINGO</t>
  </si>
  <si>
    <t>253</t>
  </si>
  <si>
    <t>JOSE LEO DAN VASQUEZ CASTRO</t>
  </si>
  <si>
    <t>FABIO IGNACIO MIRA VALENCIA</t>
  </si>
  <si>
    <t>SANTUARIO</t>
  </si>
  <si>
    <t>256</t>
  </si>
  <si>
    <t>JUAN CARLOS SALAZAR DUQUE</t>
  </si>
  <si>
    <t>CARLOS ANDRES ZULUAGA RIVILLAS</t>
  </si>
  <si>
    <t>EL SANTUARIO RUMBO CLARO</t>
  </si>
  <si>
    <t>JUAN DAVID ZULUAGA ZULUAGA</t>
  </si>
  <si>
    <t>CON LA GENTE POR EL SANTUARIO</t>
  </si>
  <si>
    <t>SEGOVIA</t>
  </si>
  <si>
    <t>259</t>
  </si>
  <si>
    <t>GONZALO DE JESUS ATEHORTUA OSPINA</t>
  </si>
  <si>
    <t>DAIRO DE JESUS FERNANDEZ HERNANDEZ</t>
  </si>
  <si>
    <t>JOHNY ALEXIS CASTRILLON SALAZAR</t>
  </si>
  <si>
    <t>MEJOR PARA TODOS</t>
  </si>
  <si>
    <t>SONSON</t>
  </si>
  <si>
    <t>262</t>
  </si>
  <si>
    <t>EDWIN ANDRES MONTES HENAO</t>
  </si>
  <si>
    <t>CARLOS ALBERTO CARDONA ESCOBAR</t>
  </si>
  <si>
    <t>RUBEN SUAREZ BUSTAMANTE</t>
  </si>
  <si>
    <t>SOPETRAN</t>
  </si>
  <si>
    <t>265</t>
  </si>
  <si>
    <t>JHON JAIRO MEJIA MONTOYA</t>
  </si>
  <si>
    <t>NORBERTO GALLEGO ZAPATA</t>
  </si>
  <si>
    <t>UNIDOS POR EL PROGRESO DE SOPETRAM</t>
  </si>
  <si>
    <t>LINA MARIA ARTEAGA BAENA</t>
  </si>
  <si>
    <t xml:space="preserve">SOPETRAN UNIDO AVANZA </t>
  </si>
  <si>
    <t>DIEGO ALEJANDRO VILLA VALDERRAMA</t>
  </si>
  <si>
    <t>TODOS POR SOPETRAN</t>
  </si>
  <si>
    <t>TAMESIS</t>
  </si>
  <si>
    <t>268</t>
  </si>
  <si>
    <t>JUAN MARTIN VASQUEZ HINCAPIE</t>
  </si>
  <si>
    <t>GUSTAVO ADOLFO MARIN TABORDA</t>
  </si>
  <si>
    <t>TARAZA</t>
  </si>
  <si>
    <t>270</t>
  </si>
  <si>
    <t>JOSE DUMAR MONSALVE MAZO</t>
  </si>
  <si>
    <t>HECTOR LEONIDAS GIRALDO ARANGO</t>
  </si>
  <si>
    <t>MOVIMIENTO COMUNITARIO - PARTIDO CONSERVADOR</t>
  </si>
  <si>
    <t>TARSO</t>
  </si>
  <si>
    <t>271</t>
  </si>
  <si>
    <t>VICTOR MANUEL GONZALEZ BETANCUR</t>
  </si>
  <si>
    <t>PARTIDO CONSERVADOR COLOMBIANO - CD - PU</t>
  </si>
  <si>
    <t>TOLEDO</t>
  </si>
  <si>
    <t>277</t>
  </si>
  <si>
    <t>JUAN DAVID SEPULVEDA JARAMILLO</t>
  </si>
  <si>
    <t>PARTIDO FUERZA ALTERNATIVA REVOLUCIONARIA DEL COMUN FARC</t>
  </si>
  <si>
    <t>JOSE EUCARIO AGUDELO BUILES</t>
  </si>
  <si>
    <t>LUIS MANUEL MONSALVE YARCE</t>
  </si>
  <si>
    <t>TURBO</t>
  </si>
  <si>
    <t>280</t>
  </si>
  <si>
    <t>JHON ENRIQUE COPETE PEREA</t>
  </si>
  <si>
    <t>ANDRES FELIPE MATURANA GONZALEZ</t>
  </si>
  <si>
    <t>ALIANZA POR UN TURBO LLENO DE FE</t>
  </si>
  <si>
    <t>ANORI</t>
  </si>
  <si>
    <t>28</t>
  </si>
  <si>
    <t>GUSTAVO ALFREDO SILVA GUTIERREZ</t>
  </si>
  <si>
    <t>JUAN CAMILO PIEDRAHITA CEBALLOS</t>
  </si>
  <si>
    <t>URAMITA</t>
  </si>
  <si>
    <t>282</t>
  </si>
  <si>
    <t>MARIA ELPIDIA MONSALVE GRACIANO</t>
  </si>
  <si>
    <t>JESUS MARIA RUA ARIAS</t>
  </si>
  <si>
    <t>URRAO</t>
  </si>
  <si>
    <t>283</t>
  </si>
  <si>
    <t>GILDARDO DE JESUS PEREZ MORENO</t>
  </si>
  <si>
    <t>CARLOS FERNANDO SIERRA FLOREZ</t>
  </si>
  <si>
    <t>JHON JAIRO HIGUITA RUEDA</t>
  </si>
  <si>
    <t>KENIER ALEXANDER REYES DURANGO</t>
  </si>
  <si>
    <t>ALVARO SALAZAR HERRERA</t>
  </si>
  <si>
    <t>VALDIVIA</t>
  </si>
  <si>
    <t>286</t>
  </si>
  <si>
    <t>FRANCISCO JAVIER CARDENAS DIAZ</t>
  </si>
  <si>
    <t>RAUL NORBERTO ORTIZ VALLEJO</t>
  </si>
  <si>
    <t>VALPARAISO</t>
  </si>
  <si>
    <t>289</t>
  </si>
  <si>
    <t>JAIME ALBERTO RINCON GALVIS</t>
  </si>
  <si>
    <t>ELKIN ADOLFO ZULETA GIRALDO</t>
  </si>
  <si>
    <t>DALGY BIBIANA RICO ANGEL</t>
  </si>
  <si>
    <t>COMPROMISO Y GESTION POR VALPARAISO</t>
  </si>
  <si>
    <t>VEGACHI</t>
  </si>
  <si>
    <t>290</t>
  </si>
  <si>
    <t>FABER ARMANDO VIDAL ESCUDERO</t>
  </si>
  <si>
    <t>PARTIDO CONSERVADOR COLOMBIANO  - AV</t>
  </si>
  <si>
    <t>VIGIA DEL FUERTE</t>
  </si>
  <si>
    <t>291</t>
  </si>
  <si>
    <t>JOSE ROMAÑA PALACIOS</t>
  </si>
  <si>
    <t>SOMOS VIGIA</t>
  </si>
  <si>
    <t>VENECIA</t>
  </si>
  <si>
    <t>292</t>
  </si>
  <si>
    <t>JUAN CAMILO CHAVERRA CANO</t>
  </si>
  <si>
    <t>COMPROMISO SOCIAL POR VENECIA</t>
  </si>
  <si>
    <t>ANA MARIA BEDOYA BALLESTEROS</t>
  </si>
  <si>
    <t>AMOR POR VENECIA</t>
  </si>
  <si>
    <t>OSCAR ANDRES SANCHEZ ALVAREZ</t>
  </si>
  <si>
    <t>VOLEMOS ALTO</t>
  </si>
  <si>
    <t>YARUMAL</t>
  </si>
  <si>
    <t>295</t>
  </si>
  <si>
    <t>CARLOS GUILLERMO ATEHORTUA QUICENO</t>
  </si>
  <si>
    <t>MIGUEL ANGEL PELAEZ HENAO</t>
  </si>
  <si>
    <t>CRISTIAN DAVID CESPEDES CORREA</t>
  </si>
  <si>
    <t>YARUMAL GRANDE PARA TODOS</t>
  </si>
  <si>
    <t>YOLOMBO</t>
  </si>
  <si>
    <t>298</t>
  </si>
  <si>
    <t>JULIEDT ELENA AGUDELO TAMAYO</t>
  </si>
  <si>
    <t>ANDERSON FABIAN RESTREPO SERNA</t>
  </si>
  <si>
    <t>POR QUE LO NUESTRO ES YOLOMBÃ“</t>
  </si>
  <si>
    <t>YONDO</t>
  </si>
  <si>
    <t>300</t>
  </si>
  <si>
    <t>MONICA TATIANA GAMARRA RODRIGUEZ</t>
  </si>
  <si>
    <t>DAMARIS MARIA RODRIGUEZ SALCEDO</t>
  </si>
  <si>
    <t>WILLIAM SKEY FIGUEROA MOSQUERA</t>
  </si>
  <si>
    <t>JOHANA MILENA GARCIA CORDOBA</t>
  </si>
  <si>
    <t>YERSON ANTONIO ARIZA RIVERA</t>
  </si>
  <si>
    <t>FABIAN ANTONIO ECHAVARRIA RANGEL</t>
  </si>
  <si>
    <t>PARTIDO CONSERVADOR COLOMBIANO - PU - AICO</t>
  </si>
  <si>
    <t>ZARAGOZA</t>
  </si>
  <si>
    <t>301</t>
  </si>
  <si>
    <t>ANDRES EMILIO LUJAN MONROY</t>
  </si>
  <si>
    <t>ZARAGOZA CUENTA CONMIGO</t>
  </si>
  <si>
    <t>VICTOR DARIO PERLAZA HINESTROZA</t>
  </si>
  <si>
    <t>PARTIDO CONSERVADOR COLOMBIANO  -CD - CR</t>
  </si>
  <si>
    <t>Santafe de Antioquia</t>
  </si>
  <si>
    <t>31</t>
  </si>
  <si>
    <t>YAMID CARVAJAL CARVAJAL</t>
  </si>
  <si>
    <t>KLAUSS HOLGUIN GARCIA</t>
  </si>
  <si>
    <t>URLEY ANTONIO DURANGO ALCARAZ</t>
  </si>
  <si>
    <t>FREY LEON RODRIGUEZ VARGAS</t>
  </si>
  <si>
    <t>ANZA</t>
  </si>
  <si>
    <t>34</t>
  </si>
  <si>
    <t>ANDRES FELIPE HOLGUIN MUNERA</t>
  </si>
  <si>
    <t>POR ANZÃ</t>
  </si>
  <si>
    <t>JORGE IVAN MOLINA PALACIO</t>
  </si>
  <si>
    <t>SEGUIREMOS CONSTRUYENDO PROGRESO Y BIENESTAR</t>
  </si>
  <si>
    <t>APARTADO</t>
  </si>
  <si>
    <t>35</t>
  </si>
  <si>
    <t>JOSE ANTONIO LOPEZ BULA</t>
  </si>
  <si>
    <t>FELIPE BENICIO CAÑIZALEZ PALACIOS</t>
  </si>
  <si>
    <t>AVANCEMOS JUNTOS</t>
  </si>
  <si>
    <t>HECTOR RANGEL PALACIOS RODRIGUEZ</t>
  </si>
  <si>
    <t>APARTADO, CIUDAD SOSTENIBLE</t>
  </si>
  <si>
    <t>ARBOLETES</t>
  </si>
  <si>
    <t>37</t>
  </si>
  <si>
    <t>MANUEL JOSE PETRO SANCHEZ</t>
  </si>
  <si>
    <t>ALVARO GONZALEZ AVILA</t>
  </si>
  <si>
    <t>ARBOLETES ASUNTO DE TODOS</t>
  </si>
  <si>
    <t>DIANA STELLA GARRIDO HENAO</t>
  </si>
  <si>
    <t>UN GOBIERNO PARA TODOS</t>
  </si>
  <si>
    <t>ARGELIA</t>
  </si>
  <si>
    <t>39</t>
  </si>
  <si>
    <t>JOSE ALBEIRO GOMEZ TORO</t>
  </si>
  <si>
    <t>ARMENIA</t>
  </si>
  <si>
    <t>40</t>
  </si>
  <si>
    <t>JOHN MAURICIO ESTRADA ESTRADA</t>
  </si>
  <si>
    <t>GUILLERMO LEON MOLINA MESA</t>
  </si>
  <si>
    <t>MARTHA LIBIA PARRA GIL</t>
  </si>
  <si>
    <t>NELSON DAVID MEJIA BOLIVAR</t>
  </si>
  <si>
    <t>DIDIER HERNANDO RICO BEDOYA</t>
  </si>
  <si>
    <t>ARMENIA MANTEQUILLA SIEMPRE CONTIGO</t>
  </si>
  <si>
    <t>BARBOSA</t>
  </si>
  <si>
    <t>43</t>
  </si>
  <si>
    <t>FRAN ESTEBAN GARCIA GAVIRIA</t>
  </si>
  <si>
    <t>TRANSFORMANDO EL TERRITORIO</t>
  </si>
  <si>
    <t>BELMIRA</t>
  </si>
  <si>
    <t>46</t>
  </si>
  <si>
    <t>GUSTAVO ALEXIS ARIAS AGUILAR</t>
  </si>
  <si>
    <t>FRANCISCO LUIS AGUILAR GOMEZ</t>
  </si>
  <si>
    <t>BELLO</t>
  </si>
  <si>
    <t>49</t>
  </si>
  <si>
    <t>OSCAR ANDRES PEREZ MUÑOZ</t>
  </si>
  <si>
    <t>CESAR AUGUSTO GOMEZ FONNEGRA</t>
  </si>
  <si>
    <t>JOHN JAIRO HENAO RINCON</t>
  </si>
  <si>
    <t>HUGO ALBERTO BUILES CUARTAS</t>
  </si>
  <si>
    <t>GERMAN ARTURO RODRIGUEZ SERNA</t>
  </si>
  <si>
    <t>MAURICIO ALBERTO MEJIA OCAMPO</t>
  </si>
  <si>
    <t>WILLIAM DE JESUS ORTEGA ROJAS</t>
  </si>
  <si>
    <t>RESCATAR A BELLO UN COMPROMISO DE TODOS</t>
  </si>
  <si>
    <t>JUAN FELIPE RESTREPO TAMAYO</t>
  </si>
  <si>
    <t xml:space="preserve">UNIDOS POR BELLO </t>
  </si>
  <si>
    <t>BETANIA</t>
  </si>
  <si>
    <t>52</t>
  </si>
  <si>
    <t>GABRIEL IVAN ROJAS RESTREPO</t>
  </si>
  <si>
    <t>LUISA FERNANDA BETANCUR RESTREPO</t>
  </si>
  <si>
    <t>COMPROMISO POR BETANIA</t>
  </si>
  <si>
    <t>BETULIA</t>
  </si>
  <si>
    <t>55</t>
  </si>
  <si>
    <t>NESTOR CAMILO SERNA HERNANDEZ</t>
  </si>
  <si>
    <t>RAFAEL ANTONIO CORREA YEPES</t>
  </si>
  <si>
    <t>LA FUERZA DE LA UNIÃ³N</t>
  </si>
  <si>
    <t>BOLIVAR</t>
  </si>
  <si>
    <t>58</t>
  </si>
  <si>
    <t>MAURICIO MARQUEZ VALENCIA</t>
  </si>
  <si>
    <t>CARLOS MARIO SANCHEZ VELEZ</t>
  </si>
  <si>
    <t>JULIO CESAR HIGUITA LOPEZ</t>
  </si>
  <si>
    <t>PARTIDO CONSERVADOR COLOMBIANO - CR- AV- MAIS</t>
  </si>
  <si>
    <t>BURITICA</t>
  </si>
  <si>
    <t>61</t>
  </si>
  <si>
    <t>LUIS HERNANDO GRACIANO ZAPATA</t>
  </si>
  <si>
    <t>HUGO ALEJANDRO VALLE USUGA</t>
  </si>
  <si>
    <t>DAVID HUMBERTO BERRIO PEREIRA</t>
  </si>
  <si>
    <t>BRICEÑO</t>
  </si>
  <si>
    <t>62</t>
  </si>
  <si>
    <t>WILMAR MORENO MONSALVE</t>
  </si>
  <si>
    <t>MOVILIZANDO IDEAS POR UN TERRITORIO SOSTENIBLE</t>
  </si>
  <si>
    <t>CACERES</t>
  </si>
  <si>
    <t>64</t>
  </si>
  <si>
    <t>JUAN CARLOS RODRIGUEZ BLANCO</t>
  </si>
  <si>
    <t>JAVIER DANILO GRISALES SAAVEDRA</t>
  </si>
  <si>
    <t>DAMIANA MARIA MONTERROSA PEREZ</t>
  </si>
  <si>
    <t>CAICEDO</t>
  </si>
  <si>
    <t>67</t>
  </si>
  <si>
    <t>JHON GERARDO CARO VARELA</t>
  </si>
  <si>
    <t>YUBER FELIPE MOLINA MURILLO</t>
  </si>
  <si>
    <t>CAICEDO PARA TODOS</t>
  </si>
  <si>
    <t>CALDAS</t>
  </si>
  <si>
    <t>70</t>
  </si>
  <si>
    <t>SIMON ANDRES POSADA ARANGO</t>
  </si>
  <si>
    <t>JORGE IVAN ALVAREZ SOTO</t>
  </si>
  <si>
    <t>JORGE MARIO RENDON VELEZ</t>
  </si>
  <si>
    <t>DANIEL FELIPE CASTAÑO MESA</t>
  </si>
  <si>
    <t>MAURICIO CANO CARMONA</t>
  </si>
  <si>
    <t>CAÑASGORDAS</t>
  </si>
  <si>
    <t>76</t>
  </si>
  <si>
    <t>TOMAS AUGUSTO OSPINA ROJO</t>
  </si>
  <si>
    <t>MARIBEL GUISAO DIAZ</t>
  </si>
  <si>
    <t>ELSY DEL SOCORRO CARDONA GARCIA</t>
  </si>
  <si>
    <t>CARACOLI</t>
  </si>
  <si>
    <t>78</t>
  </si>
  <si>
    <t>DIEGO ALEXANDER UPEGUI GARCIA</t>
  </si>
  <si>
    <t>FABIAN DARIO MARIN MONSALVE</t>
  </si>
  <si>
    <t>LUIS FERNANDO GOMEZ GIRALDO</t>
  </si>
  <si>
    <t>LUCIA ADRIANA GOMEZ CARMONA</t>
  </si>
  <si>
    <t>CARACOLI JUNTOS HACEMOS EL CAMBIO</t>
  </si>
  <si>
    <t>CARAMANTA</t>
  </si>
  <si>
    <t>79</t>
  </si>
  <si>
    <t>JULIAN ANDRES GRANADA RESTREPO</t>
  </si>
  <si>
    <t>CARAMANTA PARA VOLVER A CREER</t>
  </si>
  <si>
    <t>JOSE FERNANDO ARISTIZABAL CADAVID</t>
  </si>
  <si>
    <t>CAREPA</t>
  </si>
  <si>
    <t>80</t>
  </si>
  <si>
    <t>JONNAN ALEXIS CERQUERA</t>
  </si>
  <si>
    <t>IVAN ALEXANDER FAJARDO PUERTA</t>
  </si>
  <si>
    <t>AGAPITO MURILLO PALACIOS</t>
  </si>
  <si>
    <t>GREGORIO CHAVEZ LOPEZ</t>
  </si>
  <si>
    <t>AIDA LUZ JIMENEZ ROMERO</t>
  </si>
  <si>
    <t>ANTONIO MORENO PALACIOS</t>
  </si>
  <si>
    <t>El Carmen de Viboral</t>
  </si>
  <si>
    <t>82</t>
  </si>
  <si>
    <t>VICENTE DE JESUS ARCILA GIRALDO</t>
  </si>
  <si>
    <t>CAROLINA</t>
  </si>
  <si>
    <t>85</t>
  </si>
  <si>
    <t>CARLOS ANDRES PEREZ VASQUEZ</t>
  </si>
  <si>
    <t>EDWIN DE JESUS RESTREPO ALVAREZ</t>
  </si>
  <si>
    <t>ALBA NIDIA PEREZ MARTINEZ</t>
  </si>
  <si>
    <t>MAURO ALBERTO HINCAPIE PALACIO</t>
  </si>
  <si>
    <t>WILSON AUGUSTO ZAPATA GIL</t>
  </si>
  <si>
    <t>PARA VOLVER A CREER</t>
  </si>
  <si>
    <t>CAUCASIA</t>
  </si>
  <si>
    <t>88</t>
  </si>
  <si>
    <t>FERNANDO DOVAL NAVARRO</t>
  </si>
  <si>
    <t>FERNEY ALONSO HOYOS OQUENDO</t>
  </si>
  <si>
    <t>LEIDERMAN ORTIZ BERRIO</t>
  </si>
  <si>
    <t>JOSE NADIN ARABIA ABISAAD</t>
  </si>
  <si>
    <t>UNIDOS POR CAUCASIA</t>
  </si>
  <si>
    <t>CISNEROS</t>
  </si>
  <si>
    <t>91</t>
  </si>
  <si>
    <t>FREDY ALEXANDER GARCIA SALGADO</t>
  </si>
  <si>
    <t>CARLOS ANDRES ROJAS TIRADO</t>
  </si>
  <si>
    <t>PARTIDO CONSERVADOR COLOMBIANO -  CD - PL</t>
  </si>
  <si>
    <t>COCORNA</t>
  </si>
  <si>
    <t>94</t>
  </si>
  <si>
    <t>JUAN GUILLERMO GOMEZ AGUIRRE</t>
  </si>
  <si>
    <t>SAUL ALBERTO GIRALDO GOMEZ</t>
  </si>
  <si>
    <t>MARIA DOLLY ZULUAGA GOMEZ</t>
  </si>
  <si>
    <t>UNETE COCORNA</t>
  </si>
  <si>
    <t>CONCEPCION</t>
  </si>
  <si>
    <t>97</t>
  </si>
  <si>
    <t>GUSTAVO ALONSO LOPEZ ORREGO</t>
  </si>
  <si>
    <t>ATLANTICO</t>
  </si>
  <si>
    <t>BARRANQUILLA</t>
  </si>
  <si>
    <t>JAIME ALBERTO PUMAREJO HEINS</t>
  </si>
  <si>
    <t>DIOGENES JOSE ROSERO DURANGO</t>
  </si>
  <si>
    <t>RAFAEL SEGUNDO SANCHEZ ANILLO</t>
  </si>
  <si>
    <t>BARANOA</t>
  </si>
  <si>
    <t>MERY ESTHER HEREDIA DE INSIGNARES</t>
  </si>
  <si>
    <t>CARLOS ARTURO BALANZO PADILLA</t>
  </si>
  <si>
    <t>CARMEN ALICIA ALGARIN BLANCO</t>
  </si>
  <si>
    <t>CAMPO DE LA CRUZ</t>
  </si>
  <si>
    <t>RICHARD JOSE GOMEZ MARTINEZ</t>
  </si>
  <si>
    <t>ANTONIO LUIS BALLESTAS AMEZQUITA</t>
  </si>
  <si>
    <t>VANESSA ELVIA TORRES GUETTE</t>
  </si>
  <si>
    <t>LUIS ENRIQUE GOMEZ ISSA</t>
  </si>
  <si>
    <t>FELIX ENRIQUE PELUFFO ESCOBAR</t>
  </si>
  <si>
    <t>CANDELARIA</t>
  </si>
  <si>
    <t>EDGARDO ANTONIO FLORES OBREDOR</t>
  </si>
  <si>
    <t>OMAR DE JESUS SUAREZ PRASCA</t>
  </si>
  <si>
    <t>JOSE ALFREDO FONSECA BOLIVAR</t>
  </si>
  <si>
    <t>GREGORIO DE JESUS BRITO VALENCIA</t>
  </si>
  <si>
    <t>SAUL HERNANDO PACHECO SIERRA</t>
  </si>
  <si>
    <t>EVER ATILIO BOLIVAR CERVANTES</t>
  </si>
  <si>
    <t>GALAPA</t>
  </si>
  <si>
    <t>FABIAN ALBERTO BONETT BERDUGO</t>
  </si>
  <si>
    <t>JAIRO JOAQUIN AVENDAÑO LEYVA</t>
  </si>
  <si>
    <t>JOSE FERNANDO VARGAS MUÑOZ</t>
  </si>
  <si>
    <t>GALAPA A OTRO NIVEL</t>
  </si>
  <si>
    <t>JUAN DE ACOSTA</t>
  </si>
  <si>
    <t>JOYSI BEATRIZ REDONDO ECHEVERRIA</t>
  </si>
  <si>
    <t>CARLOS MANUEL HIGGINS VILLANUEVA</t>
  </si>
  <si>
    <t>TODOS POR JUAN DE ACOSTA</t>
  </si>
  <si>
    <t>LURUACO</t>
  </si>
  <si>
    <t>YAMILA JUAN HANNA</t>
  </si>
  <si>
    <t>MALAMBO</t>
  </si>
  <si>
    <t>YENIS OROZCO BONETT</t>
  </si>
  <si>
    <t>YAIR RAFAEL DE LA CRUZ VALERA</t>
  </si>
  <si>
    <t>VICTOR MANUEL ESCORCIA RODRIGUEZ</t>
  </si>
  <si>
    <t>MANATI</t>
  </si>
  <si>
    <t>25</t>
  </si>
  <si>
    <t>YAMILL FAJITH CABARCAS ROMERO</t>
  </si>
  <si>
    <t>GUADID OSPINO PEÑALOZA</t>
  </si>
  <si>
    <t>MARISABELLA ROMERO SANJUAN</t>
  </si>
  <si>
    <t>YENERYS MARIA ACUÑA CERVANTES</t>
  </si>
  <si>
    <t>PALMAR DE VARELA</t>
  </si>
  <si>
    <t>GALDINO RENE OROZCO FONTALVO</t>
  </si>
  <si>
    <t>PIOJO</t>
  </si>
  <si>
    <t>EDILSA GALLARDO GARCIA</t>
  </si>
  <si>
    <t>OMAIRA GONZALEZ VILLANUEVA</t>
  </si>
  <si>
    <t>POLONUEVO</t>
  </si>
  <si>
    <t>YESID ANTONIO ALVARADO CERA</t>
  </si>
  <si>
    <t>PONEDERA</t>
  </si>
  <si>
    <t>MARBEL LUZ PERTUZ CHARRIS</t>
  </si>
  <si>
    <t>PUERTO COLOMBIA</t>
  </si>
  <si>
    <t>EDISON ENRIQUE MASSA SAMPER</t>
  </si>
  <si>
    <t>KEILER ENRIQUE CALDERIN GOMEZ</t>
  </si>
  <si>
    <t>WILMAN ENRIQUE VARGAS ALTAHONA</t>
  </si>
  <si>
    <t>REPELON</t>
  </si>
  <si>
    <t>JAIRO LUIS RUIZ PEREZ</t>
  </si>
  <si>
    <t>EDUARDO POLO MENDOZA</t>
  </si>
  <si>
    <t>VIDAL JACOB UTRIA PARRA</t>
  </si>
  <si>
    <t>ARISTOTELES OLIVEROS BARCASNEGRA</t>
  </si>
  <si>
    <t>SABANAGRANDE</t>
  </si>
  <si>
    <t>GUSTAVO ADOLFO DE LA ROSA BERDEJO</t>
  </si>
  <si>
    <t>ANGEL IGNACIO ROMERO FONTALVO</t>
  </si>
  <si>
    <t>JAVIER ENRIQUE RODRIGUEZ VASQUEZ</t>
  </si>
  <si>
    <t>SULAY YANETH CARO CHARRIS</t>
  </si>
  <si>
    <t>DARWIN ALEXANDER ROSALES MORA</t>
  </si>
  <si>
    <t>ANTONIO MARIA GUTIERREZ LARA</t>
  </si>
  <si>
    <t>JORGE LUIS MANOTAS MANOTAS</t>
  </si>
  <si>
    <t>FRANCISCO GUILLERMO BERDUGO RODRIGUEZ</t>
  </si>
  <si>
    <t>INDIRA GONZALEZ ESTRADA</t>
  </si>
  <si>
    <t>NINI YOHANA CANTILLO ESTRADA</t>
  </si>
  <si>
    <t>ESTOY CON SABANALARGA PLAN DE TODOS</t>
  </si>
  <si>
    <t>SANTA LUCIA</t>
  </si>
  <si>
    <t>47</t>
  </si>
  <si>
    <t>REHUNSEN MARTINEZ DIAZ</t>
  </si>
  <si>
    <t>JESUS MANUEL MERCADO CORTES</t>
  </si>
  <si>
    <t>EDWARD ECKER MARTINEZ</t>
  </si>
  <si>
    <t>TEODOMIRO ARIZA MEDINA</t>
  </si>
  <si>
    <t>SANTO TOMAS</t>
  </si>
  <si>
    <t>TOMAS JOSE GUARDIOLA SARMIENTO</t>
  </si>
  <si>
    <t>ADOLFO ENRIQUE FONTALVO MOLINA</t>
  </si>
  <si>
    <t>SOLEDAD</t>
  </si>
  <si>
    <t>WILLIAM LEONARDO TORRES ARCILA</t>
  </si>
  <si>
    <t>CARLOS HUMBERTO GUALDRON RIVERA</t>
  </si>
  <si>
    <t>SOLEDAD ES NUESTRA CASA</t>
  </si>
  <si>
    <t>SUAN</t>
  </si>
  <si>
    <t>DANILO RAFAEL CABARCAS OROZCO</t>
  </si>
  <si>
    <t>TUBARA</t>
  </si>
  <si>
    <t>GILBERTO ANTONIO COLL MAURY</t>
  </si>
  <si>
    <t>NEIL GALLARDO GARCIA</t>
  </si>
  <si>
    <t>TODOS SOMOS TUBARA</t>
  </si>
  <si>
    <t>USIACURI</t>
  </si>
  <si>
    <t>MIRYAM ESTHER URUETA DE PADILLA</t>
  </si>
  <si>
    <t>KATHERINE LUZ PASOS ZAPATA</t>
  </si>
  <si>
    <t>JULIO MARIO CALDERON PADILLA</t>
  </si>
  <si>
    <t>105</t>
  </si>
  <si>
    <t>CARTAGENA DE INDIAS</t>
  </si>
  <si>
    <t>WILLIAM GARCIA TIRADO</t>
  </si>
  <si>
    <t>SERGIO ALFONSO LONDOÑO ZUREK</t>
  </si>
  <si>
    <t>GERMAN NESTOR VIANA GUERRERO</t>
  </si>
  <si>
    <t>CLAUDIA PIA FADUL ROSA</t>
  </si>
  <si>
    <t>COMPROMISO CIUDADANO POR CARTAGENA</t>
  </si>
  <si>
    <t>ACHI</t>
  </si>
  <si>
    <t>JUAN CARLOS BECERRA GUZMAN</t>
  </si>
  <si>
    <t>ELDER MARTIN BOHORQUEZ VILLARREAL</t>
  </si>
  <si>
    <t>LUIS BIENVENIDO PADILLA SIERRA</t>
  </si>
  <si>
    <t>ARENAL</t>
  </si>
  <si>
    <t>EUGENIO LOBO QUIÑONEZ</t>
  </si>
  <si>
    <t>ARENAL ADELANTE</t>
  </si>
  <si>
    <t>ALTOS DEL ROSARIO</t>
  </si>
  <si>
    <t>EDILBERTO BELTRAN QUIROZ</t>
  </si>
  <si>
    <t>ARJONA</t>
  </si>
  <si>
    <t>RODRIGO ENRIQUE GUARDO REYES</t>
  </si>
  <si>
    <t>SIGIFREDO ENRIQUE TAPIA BUENDIA</t>
  </si>
  <si>
    <t>ISAIAS RAFAEL SIMANCAS CASTRO</t>
  </si>
  <si>
    <t>ORLANDO VILLADIEGO ARROYO</t>
  </si>
  <si>
    <t xml:space="preserve">VENGA ESA MANO PUEBLO </t>
  </si>
  <si>
    <t>Arroyohondo</t>
  </si>
  <si>
    <t>MARIA DEL ROSARIO HERNANDEZ LUNA</t>
  </si>
  <si>
    <t>BARRANCO DE LOBA</t>
  </si>
  <si>
    <t>MANUEL ESTEBAN RAMOS BAYTER</t>
  </si>
  <si>
    <t>VICTOR MANUEL ARDILA ARIAS</t>
  </si>
  <si>
    <t>JOHANNA VICTORIA SOSSA RODRIGUEZ</t>
  </si>
  <si>
    <t>EDUARDO PEREZ GOMEZ</t>
  </si>
  <si>
    <t>IVAN DARIO SALAS FERIA</t>
  </si>
  <si>
    <t>ALDO JOSE BOLAÑOS FERIA</t>
  </si>
  <si>
    <t>SOPLAVIENTO</t>
  </si>
  <si>
    <t>NEY DURANT BAHOQUE</t>
  </si>
  <si>
    <t>MARIO EFRAIN CARRASQUILLA SARMIENTO</t>
  </si>
  <si>
    <t>TALAIGUA NUEVO</t>
  </si>
  <si>
    <t>110</t>
  </si>
  <si>
    <t>FERNANDO MATUTE TURIZO</t>
  </si>
  <si>
    <t>ANGELICA LEONOR CARPIO QUINTANA</t>
  </si>
  <si>
    <t>MOVIMIENTO INDEPENDIENTE POR TALAIGUA</t>
  </si>
  <si>
    <t>TIQUISIO</t>
  </si>
  <si>
    <t>113</t>
  </si>
  <si>
    <t>LINO JOSE DE LEON BOLAÑO</t>
  </si>
  <si>
    <t>TURBACO</t>
  </si>
  <si>
    <t>GUILLERMO ENRIQUE TORRES CUETER</t>
  </si>
  <si>
    <t>MARITZA DEL CARMEN GONZALEZ CATALAN</t>
  </si>
  <si>
    <t>LUIS GERMAN CAMPO MARTINEZ</t>
  </si>
  <si>
    <t>TURBANA</t>
  </si>
  <si>
    <t>ANA LUCIA JULIO GUERRERO</t>
  </si>
  <si>
    <t>GABINO PAJARO ACEVEDO</t>
  </si>
  <si>
    <t>ADALBERTO GONZALEZ MEZA</t>
  </si>
  <si>
    <t>VILLANUEVA</t>
  </si>
  <si>
    <t>GREGORIO CAMACHO CERA</t>
  </si>
  <si>
    <t>EDWIN PUERTA OROZCO</t>
  </si>
  <si>
    <t>ZAMBRANO</t>
  </si>
  <si>
    <t>JAIRO ENRIQUE LOPEZ BARRETO</t>
  </si>
  <si>
    <t>JONAS RAFAEL OROZCO ARENAS</t>
  </si>
  <si>
    <t>CALAMAR</t>
  </si>
  <si>
    <t>JUAN GUILLERMO HERNANDEZ OSPINO</t>
  </si>
  <si>
    <t>RASCHID FARID ELJAIEK SAGBINI</t>
  </si>
  <si>
    <t>WILSON OSPINO IRIARTE</t>
  </si>
  <si>
    <t>ALEXANDER ENRIQUE OCHOA VILLALBA</t>
  </si>
  <si>
    <t>JORGE LUIS ORTIZ GRANADOS</t>
  </si>
  <si>
    <t>LESTER CONCEPCION ROMERO MERCADO</t>
  </si>
  <si>
    <t>PIEDAD CONSTANCIA CASTELLAR OSPINO</t>
  </si>
  <si>
    <t>GENTE FIRME</t>
  </si>
  <si>
    <t>ALEJANDRO MARIO DE JESUS ARRAZOLA SAGBINI</t>
  </si>
  <si>
    <t>PARTIDO CONSERVADOR COLOMBIANO -  RE</t>
  </si>
  <si>
    <t>CANTAGALLO</t>
  </si>
  <si>
    <t>14</t>
  </si>
  <si>
    <t>YANETH ESTHER CORTEZ DIAZ</t>
  </si>
  <si>
    <t>RAUL LANDINEZ PINZON</t>
  </si>
  <si>
    <t>HENIO RICARDO SARMIENTO IGLESIAS</t>
  </si>
  <si>
    <t>PABLO JOEL ALCOCER ISAZA</t>
  </si>
  <si>
    <t>SOMOS CANTAGALLO -  SOMOS CONSCENTES</t>
  </si>
  <si>
    <t>CICUCO</t>
  </si>
  <si>
    <t>JOSE NICOLAS RAMOS PASTRANA</t>
  </si>
  <si>
    <t>JACID NADIME TURIZO SORACA</t>
  </si>
  <si>
    <t>CORDOBA</t>
  </si>
  <si>
    <t>CARLOS JOSE VILLAMIL BECERRA</t>
  </si>
  <si>
    <t>CLEMENCIA</t>
  </si>
  <si>
    <t>18</t>
  </si>
  <si>
    <t>JAIME CONEO CASTRO</t>
  </si>
  <si>
    <t>MIGUEL ANGEL BOLIVAR ORTIZ</t>
  </si>
  <si>
    <t>EL CARMEN DE BOLIVAR</t>
  </si>
  <si>
    <t>OMAR ENRIQUE FRIERI LEIVA</t>
  </si>
  <si>
    <t>SANDRA CECILIA SALAZAR REDONDO</t>
  </si>
  <si>
    <t>EL GUAMO</t>
  </si>
  <si>
    <t>GUSTAVO ADOLFO GUZMAN NARVAEZ</t>
  </si>
  <si>
    <t>HATILLO DE LOBA</t>
  </si>
  <si>
    <t>26</t>
  </si>
  <si>
    <t>ALBERTO CANTILLO ROJAS</t>
  </si>
  <si>
    <t>OLEDIS ARIAS JIMENEZ</t>
  </si>
  <si>
    <t>LEONOR MORA BARANDICA</t>
  </si>
  <si>
    <t>EL PEÑON</t>
  </si>
  <si>
    <t>27</t>
  </si>
  <si>
    <t>KETTY ARIAS RUIDIAZ</t>
  </si>
  <si>
    <t>LUIS ANTONIO VENECIA CAPATAZ</t>
  </si>
  <si>
    <t>MAGANGUE</t>
  </si>
  <si>
    <t>CARLOS EMIL CABRALES ISAAC</t>
  </si>
  <si>
    <t>HUBERT ALBERTO TARRIBA PEREZ</t>
  </si>
  <si>
    <t>CANDY REINO QUINTERO</t>
  </si>
  <si>
    <t>YALIL ARANA PAYARES</t>
  </si>
  <si>
    <t>PARTIDO CONSERVADOR COLOMBIANO - AICO - ASI</t>
  </si>
  <si>
    <t>MARGARITA</t>
  </si>
  <si>
    <t>ANTONIO CARLOS RAPALINO PEDROZO</t>
  </si>
  <si>
    <t>LUIS RESTREPO MIRANDA</t>
  </si>
  <si>
    <t>MARIA LA BAJA</t>
  </si>
  <si>
    <t>MARIA DE JESUS BLANCO JIMENEZ</t>
  </si>
  <si>
    <t>MONTECRISTO</t>
  </si>
  <si>
    <t>41</t>
  </si>
  <si>
    <t>CARLOS JULIO CONTRERAS PALOMINO</t>
  </si>
  <si>
    <t>MOMPOS</t>
  </si>
  <si>
    <t>HERNAN ENRIQUE SINNING MENCO</t>
  </si>
  <si>
    <t>NESTOR ENRIQUE PEREZ PACHECO</t>
  </si>
  <si>
    <t>ALONSO VIBANCO AGUA</t>
  </si>
  <si>
    <t>MORALES</t>
  </si>
  <si>
    <t>44</t>
  </si>
  <si>
    <t>MARCELO RINCONES DIAZ</t>
  </si>
  <si>
    <t>WILFRE DE LA ROSA QUINTERO</t>
  </si>
  <si>
    <t>NEGUIB ANTONIO ESLAIT BARRIOS</t>
  </si>
  <si>
    <t>DANUIL CRUZADO CHAVEZ</t>
  </si>
  <si>
    <t>NOROSI</t>
  </si>
  <si>
    <t>50</t>
  </si>
  <si>
    <t>ARTURO LONDOÑO JIMENEZ</t>
  </si>
  <si>
    <t>GARIBALDY DE JESUS ARTEAGA GOMEZ</t>
  </si>
  <si>
    <t>PINILLOS</t>
  </si>
  <si>
    <t>59</t>
  </si>
  <si>
    <t>SANDRA ELENA VILLADIEGO VILLADIEGO</t>
  </si>
  <si>
    <t>ALCIDES GULLOSO GARCIA</t>
  </si>
  <si>
    <t>LA VOZ DEL PUEBLO</t>
  </si>
  <si>
    <t>REGIDOR</t>
  </si>
  <si>
    <t>63</t>
  </si>
  <si>
    <t>ELMIS IRNETH CONTRERAS MACHUCA</t>
  </si>
  <si>
    <t>RUBEN DARIO BARROS ROMERO</t>
  </si>
  <si>
    <t>SAN ESTANISLAO</t>
  </si>
  <si>
    <t>JAIME DAVID ROA AMADOR</t>
  </si>
  <si>
    <t>SAN CRISTOBAL</t>
  </si>
  <si>
    <t>72</t>
  </si>
  <si>
    <t>JULIO CESAR CARCAMO ESCORCIA</t>
  </si>
  <si>
    <t>CARLOS MANUEL JULIO MORALES</t>
  </si>
  <si>
    <t>HENRY LUIS ZAPATA UTRIA</t>
  </si>
  <si>
    <t>SAN FERNANDO</t>
  </si>
  <si>
    <t>73</t>
  </si>
  <si>
    <t>JORGE LUIS YEPES MORALES</t>
  </si>
  <si>
    <t>EDGAR JOSE MEJIA JIMENEZ</t>
  </si>
  <si>
    <t>SAN JACINTO</t>
  </si>
  <si>
    <t>OMAR ANTONIO BLANCO BUSTILLO</t>
  </si>
  <si>
    <t>JAVIER JOSE GARCIA BOLAÑO</t>
  </si>
  <si>
    <t>JORGE MANUEL ARRIETA KAMELL</t>
  </si>
  <si>
    <t>MAURICIO CASTELLAR LEON</t>
  </si>
  <si>
    <t>ROLANDO NAPOLEON DIAZ MARTINEZ</t>
  </si>
  <si>
    <t>JORGE ENRIQUE CASTELLAR SCHMITH</t>
  </si>
  <si>
    <t>SAN JACINTO DEL CAUCA</t>
  </si>
  <si>
    <t>MARCIAL ANTONIO CHAVEZ BELTRAN</t>
  </si>
  <si>
    <t>ONEY AURELIO HERNANDEZ RIVERA</t>
  </si>
  <si>
    <t>IBRAIL JOSE BARRAGAN CARCAMO</t>
  </si>
  <si>
    <t>PARTIDO CONSERVADOR COLOMBIANO - CD</t>
  </si>
  <si>
    <t>SAN JUAN NEPOMUCENO</t>
  </si>
  <si>
    <t>IVAN DARIO ARRIETA SANCHEZ</t>
  </si>
  <si>
    <t>HERMIDES RAFAEL BLANCO LAGUNA</t>
  </si>
  <si>
    <t>GUIDO JOSE FIGUEROA MARTINEZ</t>
  </si>
  <si>
    <t>WILFRIDO ALFONSO ROMERO VERGARA</t>
  </si>
  <si>
    <t>SAN MARTIN DE LOBA</t>
  </si>
  <si>
    <t>FIRUS ARTURO AISLANT GIL</t>
  </si>
  <si>
    <t>ROGER ALBERTO ARZUZAR TORRES</t>
  </si>
  <si>
    <t>ALBEIRO AISLANT MORA</t>
  </si>
  <si>
    <t>COALICIÃ“N PROGRAMÃTICA Y POLÃTICA ENTRE PARTIDO SOCIAL DE UNIDAD NACIONAL PARTIDO DE LA U Y PARTI</t>
  </si>
  <si>
    <t>SAN PABLO</t>
  </si>
  <si>
    <t>84</t>
  </si>
  <si>
    <t>CARLOS MARIO MURGAS LACOUTURE</t>
  </si>
  <si>
    <t>ARTEMIO MEJIA ZULUAGA</t>
  </si>
  <si>
    <t>JAIR ACEVEDO CAVADIA</t>
  </si>
  <si>
    <t>OMAR BOHORQUEZ ROJAS</t>
  </si>
  <si>
    <t>MOVIMIENTO DE LA GENTE</t>
  </si>
  <si>
    <t>SANTA CATALINA</t>
  </si>
  <si>
    <t>ESPERANZA RAMIREZ VARELA</t>
  </si>
  <si>
    <t>SANTA ROSA DEL SUR</t>
  </si>
  <si>
    <t>95</t>
  </si>
  <si>
    <t>HECTOR HERNEY OLAYA SANTAMARIA</t>
  </si>
  <si>
    <t>FABIO ORLANDO MENDOZA BARRETO</t>
  </si>
  <si>
    <t>RICHARD ORLANDO COBA VACA</t>
  </si>
  <si>
    <t>SIMITI</t>
  </si>
  <si>
    <t>LEODITH GONZALEZ IGLESIAS</t>
  </si>
  <si>
    <t>JOSE NECTOLIO AGUALIMPIA MEJIA</t>
  </si>
  <si>
    <t>ALBERTO JULIO PEREZ NIZ</t>
  </si>
  <si>
    <t>ORLANDO MANUEL GOMEZ SOLERA</t>
  </si>
  <si>
    <t>NORA PATRICIA ORTIZ AREVALO</t>
  </si>
  <si>
    <t>ARNHOOLKG ARNULFO GELVEZ DIAZ</t>
  </si>
  <si>
    <t>BOYACA</t>
  </si>
  <si>
    <t>107</t>
  </si>
  <si>
    <t>TUNJA</t>
  </si>
  <si>
    <t>MARLEN FUERTE FAUSTINO</t>
  </si>
  <si>
    <t>JOHN ERNESTO CARRERO VILLAMIL</t>
  </si>
  <si>
    <t>LUIS ALEJANDRO FUNEME GONZALEZ</t>
  </si>
  <si>
    <t>PARTIDO CONSERVADOR COLOMBIANO - ASI - PL</t>
  </si>
  <si>
    <t>RAFAEL GUILLERMO ACEVEDO PEDROZA</t>
  </si>
  <si>
    <t>TUNJA PRODUCTIVA SOCIAL Y PARTICIPATIVA 2023</t>
  </si>
  <si>
    <t>PEDRO JOSE SUAREZ VACCA</t>
  </si>
  <si>
    <t>COALICION TUNJA</t>
  </si>
  <si>
    <t>ALMEIDA</t>
  </si>
  <si>
    <t>CARLOS HUMBERTO CASTAÑEDA VARGAS</t>
  </si>
  <si>
    <t>ANGEL CUSTODIO SANCHEZ ROA</t>
  </si>
  <si>
    <t>ORLANDO CASTAÑEDA MONTENEGRO</t>
  </si>
  <si>
    <t>AQUITANIA</t>
  </si>
  <si>
    <t>JAVIER ALBEIRO PRECIADO GUTIERREZ</t>
  </si>
  <si>
    <t>OSCAR DARIO HURTADO PEREZ</t>
  </si>
  <si>
    <t>SOMOS EL CAMBIO</t>
  </si>
  <si>
    <t>HECTOR ORLANDO BARRERA CARDENAS</t>
  </si>
  <si>
    <t>PARTIDO CONSERVADOR COLOMBIANO - ASI</t>
  </si>
  <si>
    <t>GARAGOA</t>
  </si>
  <si>
    <t xml:space="preserve">MICHEL ANGEL SANCHEZ </t>
  </si>
  <si>
    <t>HUGO JOSE MORENO ALFONSO</t>
  </si>
  <si>
    <t xml:space="preserve">OSCAR LEONARDO ROJAS </t>
  </si>
  <si>
    <t xml:space="preserve">FABIO AUGUSTO AREVALO </t>
  </si>
  <si>
    <t>GARAGOA SOMOS TODOS</t>
  </si>
  <si>
    <t>ARCABUCO</t>
  </si>
  <si>
    <t>JOSE EDUAR MOLINA SUAREZ</t>
  </si>
  <si>
    <t>YAMITH RODRIGO RODRIGUEZ LOPEZ</t>
  </si>
  <si>
    <t>PARTIDO CONSERVADOR COLOMBIANO  - CD - PL</t>
  </si>
  <si>
    <t>GUACAMAYAS</t>
  </si>
  <si>
    <t>WILSON FERNANDO BARON GOMEZ</t>
  </si>
  <si>
    <t>JUAN CARLOS BARON BARON</t>
  </si>
  <si>
    <t>DARIO ALEXANDER ALBARRACIN VALDERRAMA</t>
  </si>
  <si>
    <t>TODOS POR GUACAMAYAS</t>
  </si>
  <si>
    <t>GUATEQUE</t>
  </si>
  <si>
    <t>MAURICIO HUMBERTO ROA BERNAL</t>
  </si>
  <si>
    <t>LUIS ALEJANDRO SASTOQUE LEIVA</t>
  </si>
  <si>
    <t>GUAYATA</t>
  </si>
  <si>
    <t>JOHN SANTIAGO RUIZ ALFONSO</t>
  </si>
  <si>
    <t>JULIO ALBERTO ROMERO CAMACHO</t>
  </si>
  <si>
    <t>ALCALDIA DE GUAYATA</t>
  </si>
  <si>
    <t>Guican de la Sierra</t>
  </si>
  <si>
    <t>FRANCISCO JAVIER VARGAS ESTUPIÑAN</t>
  </si>
  <si>
    <t>DIEGO RICARDO LIZARAZO JIMENEZ</t>
  </si>
  <si>
    <t>SALOMON MUÑOZ MARTINEZ</t>
  </si>
  <si>
    <t>JENESANO</t>
  </si>
  <si>
    <t>NUBIA JACQUELINE CARO PEREZ</t>
  </si>
  <si>
    <t>JENESANO UN PROPÃ“SITO DE TODOS</t>
  </si>
  <si>
    <t>ALFONSO CASTELBLANCO GALINDO</t>
  </si>
  <si>
    <t>UNA MISION DE TODOS</t>
  </si>
  <si>
    <t>LABRANZAGRANDE</t>
  </si>
  <si>
    <t>HERNANDO ABRAHAN PEREZ FERNANDEZ</t>
  </si>
  <si>
    <t>SEGUIMOS TRABAJANDO JUNTOS</t>
  </si>
  <si>
    <t>ERICA PAOLA PEÑA ALVAREZ</t>
  </si>
  <si>
    <t>AL SERVICIO DE LA GENTE</t>
  </si>
  <si>
    <t>LA CAPILLA</t>
  </si>
  <si>
    <t>ALVARO EFRAIN ROJAS BERMUDEZ</t>
  </si>
  <si>
    <t>RAUL HERNANDO RODRIGUEZ CHAVARRO</t>
  </si>
  <si>
    <t>BELEN</t>
  </si>
  <si>
    <t>ALBEIRO ARLEY AMADO AMADO</t>
  </si>
  <si>
    <t>LA UVITA</t>
  </si>
  <si>
    <t>136</t>
  </si>
  <si>
    <t>RONALD GERARDO CORDERO JAIME</t>
  </si>
  <si>
    <t>LUIS GUILLERMO BERRIO HERNANDEZ</t>
  </si>
  <si>
    <t>LA VICTORIA</t>
  </si>
  <si>
    <t>137</t>
  </si>
  <si>
    <t>CESAR EDUARDO PALACIOS FLORIDO</t>
  </si>
  <si>
    <t>LEONARDO VEGA BUSTOS</t>
  </si>
  <si>
    <t>UINDOS POR UNA VICTORIA PROSPERA Y SOLIDARIA</t>
  </si>
  <si>
    <t>MACANAL</t>
  </si>
  <si>
    <t>DELMAR LEONARDO ROA PATIÑO</t>
  </si>
  <si>
    <t>GERMAN DANILO SALGUERO ABRIL</t>
  </si>
  <si>
    <t>MARIPI</t>
  </si>
  <si>
    <t>IMER YARIDMA MURCIA MONROY</t>
  </si>
  <si>
    <t xml:space="preserve">MARIPI, UN COMPROMISO DE CORAZÃ“N </t>
  </si>
  <si>
    <t>MILLER FAIR ROMERO MURCIA</t>
  </si>
  <si>
    <t xml:space="preserve">MARIPI PARA TODOS </t>
  </si>
  <si>
    <t>MONGUI</t>
  </si>
  <si>
    <t>OSWALDO PEREZ QUIROZ</t>
  </si>
  <si>
    <t>RAFAEL ALONSO GOMEZ MELO</t>
  </si>
  <si>
    <t>CARMEN LUISA BARRERA CARRERO</t>
  </si>
  <si>
    <t>NELSON EDGARDO GUTIERREZ SILVA</t>
  </si>
  <si>
    <t>UNIDOS PARA AVANZAR</t>
  </si>
  <si>
    <t>MONIQUIRA</t>
  </si>
  <si>
    <t>JORGE ENRIQUE CORDOBA ORJUELA</t>
  </si>
  <si>
    <t>SERVILIO CAICEDO ULLOA</t>
  </si>
  <si>
    <t>GRETHA CAMELA CAMACHO TORRES</t>
  </si>
  <si>
    <t>CONCIENCIA CIUDADANA - ASI</t>
  </si>
  <si>
    <t>JORGE ARMANDO SOLORZANO SIERRA</t>
  </si>
  <si>
    <t xml:space="preserve">COALICION POR LA MONIQUIRA QUE QUEREMOS </t>
  </si>
  <si>
    <t>FREDY IOVANNY PARDO PINZON</t>
  </si>
  <si>
    <t>COALICION ENTRE EL PARTIDO DE LA U Y EL PARTIDO LIBERAL COLOMBIANO</t>
  </si>
  <si>
    <t>MOTAVITA</t>
  </si>
  <si>
    <t>161</t>
  </si>
  <si>
    <t>ALVEIRO MALAVER ECHEVERRIA</t>
  </si>
  <si>
    <t>DALILA YAZMIN PAMPLONA PACHECO</t>
  </si>
  <si>
    <t>FABIAN DARIO DIAZ PULIDO</t>
  </si>
  <si>
    <t>MUZO</t>
  </si>
  <si>
    <t>HUGO EDUBIN GARZON GOMEZ</t>
  </si>
  <si>
    <t>NEICER ALBEIRO SUSA SOTELO</t>
  </si>
  <si>
    <t>PARTIDO CONSERVADOR COLOMBIANO - CR - PL - PU</t>
  </si>
  <si>
    <t>NOBSA</t>
  </si>
  <si>
    <t>JAIRO EDILBERTO TORRES TOBO</t>
  </si>
  <si>
    <t>ALVARO ENRIQUE ACEVEDO MONROY</t>
  </si>
  <si>
    <t>ALFREDO HERNANDO NIÑO SIERRA</t>
  </si>
  <si>
    <t>NOBSA UNIDA</t>
  </si>
  <si>
    <t>JUAN CAMILO CACERES MORENO</t>
  </si>
  <si>
    <t>COALICION POR LA JUSTICIA Y LA DEMOCRACIA</t>
  </si>
  <si>
    <t>HELVER RICARDO GRANADOS GUAUQUE</t>
  </si>
  <si>
    <t>COMPROMISO NOBLE POR TRABAJO Y BIENESTAR PARA TODOS</t>
  </si>
  <si>
    <t>NUEVO COLON</t>
  </si>
  <si>
    <t>HECTOR WILSON CASTELBLANCO RODRIGUEZ</t>
  </si>
  <si>
    <t>OICATA</t>
  </si>
  <si>
    <t>173</t>
  </si>
  <si>
    <t>GERMAN JAVIER RIAÑO OCASION</t>
  </si>
  <si>
    <t>NUBIA ESPERANZA AMEZQUITA QUINCHANEGUA</t>
  </si>
  <si>
    <t>NENDY JOSE FAGUA CAINA</t>
  </si>
  <si>
    <t>FREDY ALEXANDER GARZON ROJAS</t>
  </si>
  <si>
    <t>OICATA CRECE EN BUENAS MANOS</t>
  </si>
  <si>
    <t>SILVESTRE GARCIA CRUZ</t>
  </si>
  <si>
    <t>OICATA CON DESARROLLO</t>
  </si>
  <si>
    <t>PACHAVITA</t>
  </si>
  <si>
    <t>JOSE VICENTE ROJAS DIAZ</t>
  </si>
  <si>
    <t>JOSE FERNANDO ROA ORJUELA</t>
  </si>
  <si>
    <t>UNIDOS POR NUESTRA TIERRA</t>
  </si>
  <si>
    <t>PAEZ</t>
  </si>
  <si>
    <t>179</t>
  </si>
  <si>
    <t>JUAN DIEGO MORALES CALDERON</t>
  </si>
  <si>
    <t>ALCALDIA DE PAEZ</t>
  </si>
  <si>
    <t>PAJARITO</t>
  </si>
  <si>
    <t>JESUS NOE RIVEROS LOPEZ</t>
  </si>
  <si>
    <t>PANQUEBA</t>
  </si>
  <si>
    <t>JORGE MARIO IBAÑEZ ARANGO</t>
  </si>
  <si>
    <t>UNA NUEVA ESPERANZA PARA UN MUNICIPIO PROSPERO</t>
  </si>
  <si>
    <t>PAUNA</t>
  </si>
  <si>
    <t>HENRY IVAN MATALLANA TORRES</t>
  </si>
  <si>
    <t>MARTIN EMILIO URBANO BARRERA</t>
  </si>
  <si>
    <t>BETEITIVA</t>
  </si>
  <si>
    <t>ELI ALVAREZ CARDENAS</t>
  </si>
  <si>
    <t>EDWIN RENE PAVA RINCON</t>
  </si>
  <si>
    <t>PAYA</t>
  </si>
  <si>
    <t>ZULY JOHANA CRISTANCHO BAUTISTA</t>
  </si>
  <si>
    <t>PAZ DE RIO</t>
  </si>
  <si>
    <t>EZEQUIEL JIMENEZ CELY</t>
  </si>
  <si>
    <t>PESCA</t>
  </si>
  <si>
    <t>LUIS EDUARDO MALDONADO BARRERA</t>
  </si>
  <si>
    <t>UNIDOS CONSTRUYAMOS EL DESARROLLO DE PESCA</t>
  </si>
  <si>
    <t>PISBA</t>
  </si>
  <si>
    <t>JAIRO EDUARDO GOMEZ ZAMBRANO</t>
  </si>
  <si>
    <t>PUERTO BOYACA</t>
  </si>
  <si>
    <t>HECTOR EDUARDO LESMES MARTINEZ</t>
  </si>
  <si>
    <t>JUAN DE JESUS MORENO JARAMILLO</t>
  </si>
  <si>
    <t>MONICA JANETH PEREZ RUIZ</t>
  </si>
  <si>
    <t>JICLY ESGARDO MUTIS ISAZA</t>
  </si>
  <si>
    <t>PUERTO BOYACÃ PRIMERO</t>
  </si>
  <si>
    <t>MANUEL ADAN GRISALES SERNA</t>
  </si>
  <si>
    <t>COALICION PUERTO BOYACA</t>
  </si>
  <si>
    <t>QUIPAMA</t>
  </si>
  <si>
    <t>215</t>
  </si>
  <si>
    <t>EDGAR HERNAN MORON TRIANA</t>
  </si>
  <si>
    <t>OFELIA MIRANDA BELTRAN</t>
  </si>
  <si>
    <t>FELIX ALEJANDRO GUTIERREZ VEGA</t>
  </si>
  <si>
    <t xml:space="preserve">LA EVOLUCION DE NUESTRA TIERRA </t>
  </si>
  <si>
    <t>RAMIRIQUI</t>
  </si>
  <si>
    <t>JOSE MOISES AGUIRRE SANABRIA</t>
  </si>
  <si>
    <t>JOSE IGNACIO BAUTISTA ARIAS</t>
  </si>
  <si>
    <t>CAMILO ANDRES AVILA MARQUEZ</t>
  </si>
  <si>
    <t>RAQUIRA</t>
  </si>
  <si>
    <t>JORGE EVELIO AREVALO PALACIOS</t>
  </si>
  <si>
    <t>JORGE ENRIQUE MURCIA CASTELLANOS</t>
  </si>
  <si>
    <t>RAQUIRA COMPROMISO DE TODOS</t>
  </si>
  <si>
    <t>BOAVITA</t>
  </si>
  <si>
    <t>MARIO ROSAS BERMUDEZ</t>
  </si>
  <si>
    <t>POR LA DIGNIDAD DE UN PUEBLO PDP</t>
  </si>
  <si>
    <t>RONDON</t>
  </si>
  <si>
    <t>SANTIAGO ALEXANDER VARGAS DAZA</t>
  </si>
  <si>
    <t>SABOYA</t>
  </si>
  <si>
    <t>MIGUEL ANTONIO TORRES POVEDA</t>
  </si>
  <si>
    <t>JULIO CESAR GUERRERO SANTOS</t>
  </si>
  <si>
    <t>JEFERSON LEONARDO ORTIZ SANABRIA</t>
  </si>
  <si>
    <t>SABOYÃ SOMOS TODOS</t>
  </si>
  <si>
    <t>SACHICA</t>
  </si>
  <si>
    <t>BAIRO DANIEL ORTIZ SABA</t>
  </si>
  <si>
    <t>MIGUEL ANGEL ABRIL GARCIA</t>
  </si>
  <si>
    <t>HUGO BUITRAGO</t>
  </si>
  <si>
    <t>PROPUESTAS CLARAS PARA EL CAMBIO</t>
  </si>
  <si>
    <t>FREDY ALBERTO MEDINA MEDINA</t>
  </si>
  <si>
    <t>JUNTOS CONSTRUYENDO PROGRESO</t>
  </si>
  <si>
    <t>JAVIER ANTONIO PIRAQUIVE DURAN</t>
  </si>
  <si>
    <t>ALCALDIA DE SACHICA</t>
  </si>
  <si>
    <t>SAMACA</t>
  </si>
  <si>
    <t>JIMI ALEJANDRO LA ROTTA BONILLA</t>
  </si>
  <si>
    <t>SAN EDUARDO</t>
  </si>
  <si>
    <t>OSCAR HERNANDO PARRA APONTE</t>
  </si>
  <si>
    <t>YEISON ALBEIRO ALFONSO GAITAN</t>
  </si>
  <si>
    <t>MIGUEL ANTONIO MORA VALLEJO</t>
  </si>
  <si>
    <t>EXPERIENCIA Y CAMBIO PARA VOLVER AL PROGRESO</t>
  </si>
  <si>
    <t>SAN JOSE DE PARE</t>
  </si>
  <si>
    <t>GERMAN ANDRES MARTINEZ MATEUS</t>
  </si>
  <si>
    <t>SAN LUIS DE GACENO</t>
  </si>
  <si>
    <t>JUAN CARLOS BUITRAGO SALGADO</t>
  </si>
  <si>
    <t>SAN MATEO</t>
  </si>
  <si>
    <t>MILTON DIAZ BONILLA</t>
  </si>
  <si>
    <t>CAROL YICETH CENTENO CORREA</t>
  </si>
  <si>
    <t>ALIANZA POR EL PROGRESO DE SAN MATEO</t>
  </si>
  <si>
    <t>SAN MIGUEL DE SEMA</t>
  </si>
  <si>
    <t>248</t>
  </si>
  <si>
    <t>MARIO JOSE AVILA FURQUE</t>
  </si>
  <si>
    <t>JUAN MANUEL RAMIREZ PEÑA</t>
  </si>
  <si>
    <t>OSCAR TRIVIÑO GIL</t>
  </si>
  <si>
    <t>FREDDY ALBERTO CRISTANCHO SANCHEZ</t>
  </si>
  <si>
    <t>SAN PABLO DE BORBUR</t>
  </si>
  <si>
    <t>249</t>
  </si>
  <si>
    <t>NEYDER MAURICIO OBANDO FORERO</t>
  </si>
  <si>
    <t>SEMBRANDO FUTURO POR SAN PABLO DE BORBUR</t>
  </si>
  <si>
    <t>FELICIANO HERNANDEZ MORENO</t>
  </si>
  <si>
    <t>PARTIDO CONSERVADOR COLOMBIANO  - PU - CD - CR</t>
  </si>
  <si>
    <t>SANTA MARIA</t>
  </si>
  <si>
    <t>251</t>
  </si>
  <si>
    <t>PABLO ANTONIO BERNAL SANCHEZ</t>
  </si>
  <si>
    <t>UNIDOS SOMOS MAS</t>
  </si>
  <si>
    <t>LUIS ERNESTO ALFONSO DAZA</t>
  </si>
  <si>
    <t>SANTA MARIA NOS UNE</t>
  </si>
  <si>
    <t>SANTA ROSA DE VITERBO</t>
  </si>
  <si>
    <t>HUGO OSVALDO ROBAYO PEDRAZA</t>
  </si>
  <si>
    <t>SEBASTIAN ERNESTO RUANO RODRIGUEZ</t>
  </si>
  <si>
    <t>EFRAIN ANDRES MOJICA MUÑOZ</t>
  </si>
  <si>
    <t>JUAN ALEXIS MARTINEZ FAJARDO</t>
  </si>
  <si>
    <t>AVANCEMOS POR SANTA ROSA DE VITERBO</t>
  </si>
  <si>
    <t>SANTA SOFIA</t>
  </si>
  <si>
    <t>LUIS EDUARDO GONZALEZ FORERO</t>
  </si>
  <si>
    <t>WILLIAM GUSTAVO PARRA MERCHAN</t>
  </si>
  <si>
    <t>SATIVANORTE</t>
  </si>
  <si>
    <t>JIMENO GARCIA GARCIA</t>
  </si>
  <si>
    <t>SENAIDA BAEZ LOPEZ</t>
  </si>
  <si>
    <t>PACTO POR EL CAMPO</t>
  </si>
  <si>
    <t>SATIVASUR</t>
  </si>
  <si>
    <t xml:space="preserve">NESTOR JULIAN MANRIQUE </t>
  </si>
  <si>
    <t>EDISON MANUEL APARICIO ARISMENDY</t>
  </si>
  <si>
    <t>SIACHOQUE</t>
  </si>
  <si>
    <t>JAIRO GRIJALBA LANCHEROS</t>
  </si>
  <si>
    <t xml:space="preserve">UNIDOS POR SIACHOQUE </t>
  </si>
  <si>
    <t>PLINIO HERNANDEZ GAMBA</t>
  </si>
  <si>
    <t>PARTIDO CONSERVADOR COLOMBIANO  - ASI</t>
  </si>
  <si>
    <t>SOATA</t>
  </si>
  <si>
    <t>IVAN DARIO VALBUENA ARANGO</t>
  </si>
  <si>
    <t>ELMER AYALA MEJIA</t>
  </si>
  <si>
    <t xml:space="preserve">ACTIVATE POR LA SOATA DE TODAS Y TODOS - PARTIDO ALIANZA SOCIAL INDEPENDIENTE </t>
  </si>
  <si>
    <t>SOCOTA</t>
  </si>
  <si>
    <t>WILLIAM EUSEBIO CORREA DURAN</t>
  </si>
  <si>
    <t>NIDIA MILENA TORRES PAEZ</t>
  </si>
  <si>
    <t>PABLO RICARDO LIZARAZO NAVAS</t>
  </si>
  <si>
    <t>PROGRESAMOS CON EXPERIENCIA Y COMPROMISO SOCIAL</t>
  </si>
  <si>
    <t>SOCHA</t>
  </si>
  <si>
    <t>274</t>
  </si>
  <si>
    <t>ZANDRA MARIA BERNAL RINCON</t>
  </si>
  <si>
    <t>PARTIDO CONSERVADOR COLOMBIANO - CD - CR</t>
  </si>
  <si>
    <t>SOGAMOSO</t>
  </si>
  <si>
    <t>CARLOS JULIO VELANDIA SEPULVEDA</t>
  </si>
  <si>
    <t>WHILFREDO RIVERA COGUA</t>
  </si>
  <si>
    <t>MAURICIO BARON GRANADOS</t>
  </si>
  <si>
    <t>ESCRIBAMOS EL FUTURO DE SOGAMOSO</t>
  </si>
  <si>
    <t>WILSON TORRES SUPELANO</t>
  </si>
  <si>
    <t>DECENTES</t>
  </si>
  <si>
    <t>SOMONDOCO</t>
  </si>
  <si>
    <t>MARCOS MAURICIO BOHORQUEZ PERILLA</t>
  </si>
  <si>
    <t>PABLO ANTONIO SOLANO RIVERA</t>
  </si>
  <si>
    <t>PEDRO ALEXANDER QUESADA AVILA</t>
  </si>
  <si>
    <t>JHON ARLEY PINEDA GONZALEZ</t>
  </si>
  <si>
    <t>BEATRIZ PAEZ CASTELLANOS</t>
  </si>
  <si>
    <t>SORA</t>
  </si>
  <si>
    <t>281</t>
  </si>
  <si>
    <t>IVAN CAMILO SAAVEDRA BUITRAGO</t>
  </si>
  <si>
    <t>HERNAN ALONSO ACOSTA MEDINA</t>
  </si>
  <si>
    <t>CONSTRUIMOS FUTURO CON SENTIDO SOCIAL</t>
  </si>
  <si>
    <t>SORACA</t>
  </si>
  <si>
    <t>OSCAR IVAN FUNEME HUERTAS</t>
  </si>
  <si>
    <t>JOSE MISAEL NEVA OCACION</t>
  </si>
  <si>
    <t>SOTAQUIRA</t>
  </si>
  <si>
    <t>MARCO AURELIO NIÑO CHAPARRO</t>
  </si>
  <si>
    <t>HENRY SANTIAGO SUTA TOCA</t>
  </si>
  <si>
    <t>MANUEL ANTONIO ROBLES MATEUS</t>
  </si>
  <si>
    <t>SUSACON</t>
  </si>
  <si>
    <t>SILVIO ALBERTO RINCON ORTEGA</t>
  </si>
  <si>
    <t>SUTATENZA</t>
  </si>
  <si>
    <t>YILMER ANDREY COBA DUARTE</t>
  </si>
  <si>
    <t>OSCAR YOVANY MONTENEGRO SALCEDO</t>
  </si>
  <si>
    <t>TASCO</t>
  </si>
  <si>
    <t>GERMAN CAMILO MORALES RINCON</t>
  </si>
  <si>
    <t>ESTELLA MARQUEZ RODRIGUEZ</t>
  </si>
  <si>
    <t>JUAN YESID CUSBA TIBADUIZA</t>
  </si>
  <si>
    <t xml:space="preserve">PARTIDO SOCIAL DE UNIDAD NACIONAL Y PARTIDO CAMBIO RADICAL </t>
  </si>
  <si>
    <t>TENZA</t>
  </si>
  <si>
    <t>MARIO FERNANDO LOZANO DUARTE</t>
  </si>
  <si>
    <t>OSCAR ANDRES MORENO MENDEZ</t>
  </si>
  <si>
    <t>PARTIDO CONSERVADOR COLOMBIANO - PL - ASI</t>
  </si>
  <si>
    <t>TIBANA</t>
  </si>
  <si>
    <t>304</t>
  </si>
  <si>
    <t>WILLIAM TOMAS GALINDO BORDA</t>
  </si>
  <si>
    <t>YURY DIAZ PATIÑO</t>
  </si>
  <si>
    <t>GUSTAVO ALEXANDER GARCIA PARRA</t>
  </si>
  <si>
    <t>POR AMOR A TIBANÃ</t>
  </si>
  <si>
    <t>LUIS ALBERTO CASTEBLANCO QUINCOS</t>
  </si>
  <si>
    <t>ALCALDIA TIBANA</t>
  </si>
  <si>
    <t>TIBASOSA</t>
  </si>
  <si>
    <t>307</t>
  </si>
  <si>
    <t>EDUARDO SALCEDO VELOSA</t>
  </si>
  <si>
    <t>PRISS DANEISY CABRA CAMARGO</t>
  </si>
  <si>
    <t>LEONARDO ALBERTO RODRIGUEZ REYES</t>
  </si>
  <si>
    <t>MARIA ELVIRA DEL TRANSITO ROMERO CORDOBA</t>
  </si>
  <si>
    <t>GLORIA CECILIA PALACIOS GUASTAR</t>
  </si>
  <si>
    <t>PARTIDO CONSERVADOR COLOMBIANO - PU - PL</t>
  </si>
  <si>
    <t>TINJACA</t>
  </si>
  <si>
    <t>310</t>
  </si>
  <si>
    <t>NESTOR HUBEIMAR CANDELA REYES</t>
  </si>
  <si>
    <t>ALSILVER SIERRA MENDIETA</t>
  </si>
  <si>
    <t>ALVARO ALONZO GUERRERO GUERRERO</t>
  </si>
  <si>
    <t>BUENAVISTA</t>
  </si>
  <si>
    <t>MIGUEL ANTONIO CASTILLO BARRAGAN</t>
  </si>
  <si>
    <t>GOBIERNO DE RESULTADOS</t>
  </si>
  <si>
    <t>TIPACOQUE</t>
  </si>
  <si>
    <t>311</t>
  </si>
  <si>
    <t>HECTOR SEGUNDO RAMIREZ ESCOBAR</t>
  </si>
  <si>
    <t>CARLOS NELSON DIAZ PEREZ</t>
  </si>
  <si>
    <t>TIPACOQUE AVANZA</t>
  </si>
  <si>
    <t>TOGUI</t>
  </si>
  <si>
    <t>316</t>
  </si>
  <si>
    <t>ISIDORO SEGUNDO MUNEVAR URAZAN</t>
  </si>
  <si>
    <t>GERARDO SANCHEZ JIMENEZ</t>
  </si>
  <si>
    <t>CRISTIAN DARIO NEIRA GARZON</t>
  </si>
  <si>
    <t>TOPAGA</t>
  </si>
  <si>
    <t>319</t>
  </si>
  <si>
    <t>ALVARO HENRY BARRERA DIAZ</t>
  </si>
  <si>
    <t>TOTA</t>
  </si>
  <si>
    <t>322</t>
  </si>
  <si>
    <t>PEDRO DIRSO MARTINEZ JOYA</t>
  </si>
  <si>
    <t>EXPERIENCIA MAS CARISMA IGUAL RESULTADOS</t>
  </si>
  <si>
    <t>ERIVERTO CRUZ RIAÑO</t>
  </si>
  <si>
    <t>TOTA POR UN FUTURO PROACTIVO</t>
  </si>
  <si>
    <t>TUNUNGUA</t>
  </si>
  <si>
    <t>324</t>
  </si>
  <si>
    <t>ERMES URIEL COMBITA SANTANA</t>
  </si>
  <si>
    <t>TURMEQUE</t>
  </si>
  <si>
    <t>325</t>
  </si>
  <si>
    <t>PEDRO ANTONIO MURILLO MORENO</t>
  </si>
  <si>
    <t>MARIO ANTONIO VILLAMARIN CRUZ</t>
  </si>
  <si>
    <t xml:space="preserve">MIGUEL ANGEL GOMEZ </t>
  </si>
  <si>
    <t>CLAUDIA JOAN POLINDARA ROMERO</t>
  </si>
  <si>
    <t xml:space="preserve">SILVESTRE MORENO </t>
  </si>
  <si>
    <t>CAMBIAR ES NECESARIO</t>
  </si>
  <si>
    <t>TUTA</t>
  </si>
  <si>
    <t>328</t>
  </si>
  <si>
    <t>INDIRA DE LOS ANGELES MEDINA CARREÑO</t>
  </si>
  <si>
    <t>UMBITA</t>
  </si>
  <si>
    <t>334</t>
  </si>
  <si>
    <t>OSCAR DANIEL SARMIENTO MORENO</t>
  </si>
  <si>
    <t>RAFAEL ERNESTO RAMIREZ VALERO</t>
  </si>
  <si>
    <t>PARTIDO CONSERVADOR COLOMBIANO - CR - CD</t>
  </si>
  <si>
    <t>VENTAQUEMADA</t>
  </si>
  <si>
    <t>337</t>
  </si>
  <si>
    <t>OSCAR CAMILO MONTAÑEZ BOHORQUEZ</t>
  </si>
  <si>
    <t>MARIA ROSALBA ESPITIA CUERVO</t>
  </si>
  <si>
    <t>NELSON BOHORQUEZ OTALORA</t>
  </si>
  <si>
    <t>VIRACACHA</t>
  </si>
  <si>
    <t>340</t>
  </si>
  <si>
    <t>CARLOS ALBERTO MARTINEZ PARRA</t>
  </si>
  <si>
    <t>GREGORIO RODRIGUEZ SOLER</t>
  </si>
  <si>
    <t>PARTIDO CONSERVADOR COLOMBIANO - CD - CR - PL</t>
  </si>
  <si>
    <t>BUSBANZA</t>
  </si>
  <si>
    <t>OMAR VARGAS ALBARRACIN</t>
  </si>
  <si>
    <t>WYLLAN ORLANDO PEÑALOZA ALBARRACIN</t>
  </si>
  <si>
    <t>ZETAQUIRA</t>
  </si>
  <si>
    <t>346</t>
  </si>
  <si>
    <t>OSCAR YAMID RAMIREZ LOPEZ</t>
  </si>
  <si>
    <t>ZETAQUIRA SIGUE ADELANTE</t>
  </si>
  <si>
    <t>JULIO GUILLERMO LANCHEROS LANCHEROS</t>
  </si>
  <si>
    <t>CAMPOHERMOSO</t>
  </si>
  <si>
    <t>MARCO JULIO VEGA GALLEGO</t>
  </si>
  <si>
    <t>CERINZA</t>
  </si>
  <si>
    <t>GLORIA ESPERANZA VEGA PINTO</t>
  </si>
  <si>
    <t>MARCO ANTONIO CUCAITA MARTINEZ</t>
  </si>
  <si>
    <t>HENRY ANTONIO ESLAVA MANOSALVA</t>
  </si>
  <si>
    <t xml:space="preserve">CAMILO JOSUE CASTRO </t>
  </si>
  <si>
    <t>CIENEGA</t>
  </si>
  <si>
    <t>RAMIRO FONSECA CRUZ</t>
  </si>
  <si>
    <t>CUBARA</t>
  </si>
  <si>
    <t>AURA BENILDA TEGRIA CRISTANCHO</t>
  </si>
  <si>
    <t>TODOS POR CUBARA</t>
  </si>
  <si>
    <t>CUCAITA</t>
  </si>
  <si>
    <t>60</t>
  </si>
  <si>
    <t>MARCOS DANIEL BORDA PARRA</t>
  </si>
  <si>
    <t>JOSE MOISES CASTILLO DUARTE</t>
  </si>
  <si>
    <t>CUITIVA</t>
  </si>
  <si>
    <t>DIRIER FABIAN CHAPARRO SUAREZ</t>
  </si>
  <si>
    <t>CHINAVITA</t>
  </si>
  <si>
    <t>FLORENTINO TORRES SANABRIA</t>
  </si>
  <si>
    <t>FIYER ALEXANDER URREGO BEJARANO</t>
  </si>
  <si>
    <t>RAUL ANTONIO CUBIDES RAMIREZ</t>
  </si>
  <si>
    <t>CHIQUINQUIRA</t>
  </si>
  <si>
    <t>AZAEL ANTONIO ORTEGON PAEZ</t>
  </si>
  <si>
    <t>DIANA YOLIMA CASTELLANOS CASTILLO</t>
  </si>
  <si>
    <t>SANDRA IMELDA SANCHEZ PEÑA</t>
  </si>
  <si>
    <t>MAURICIO ALBERTO LANDAZABAL SUAZA</t>
  </si>
  <si>
    <t>JOSE RICARDO SALINAS TORRES</t>
  </si>
  <si>
    <t>LUIS GIOVANNY SALINAS ROZO</t>
  </si>
  <si>
    <t>JEFFERSON LEONARDO CARO CASAS</t>
  </si>
  <si>
    <t>JEFFERSON CARO ALCALDE 2020 - 2023</t>
  </si>
  <si>
    <t>WILMAR ANCISAR TRIANA GONZALEZ</t>
  </si>
  <si>
    <t>SI ES POSIBLE</t>
  </si>
  <si>
    <t>CHIQUIZA</t>
  </si>
  <si>
    <t>68</t>
  </si>
  <si>
    <t>IVAN RENE SUAREZ RIVERA</t>
  </si>
  <si>
    <t>ELKIN YAMID SUAREZ PACHECO</t>
  </si>
  <si>
    <t>CARLOS EDUARDO BORRAS BUITRAGO</t>
  </si>
  <si>
    <t>LO HAREMOS MEJOR</t>
  </si>
  <si>
    <t>CHISCAS</t>
  </si>
  <si>
    <t>GERSON AYMER RUIZ CARREÑO</t>
  </si>
  <si>
    <t>CHITA</t>
  </si>
  <si>
    <t>JOSE MIGUEL VELANDIA ALARCON</t>
  </si>
  <si>
    <t>CHITARAQUE</t>
  </si>
  <si>
    <t>CESAR CAMILO ULLOA MOSQUERA</t>
  </si>
  <si>
    <t>MABEL ALVAREZ HERNANDEZ</t>
  </si>
  <si>
    <t>PARTIDO CONSERVADOR  - ASI</t>
  </si>
  <si>
    <t>CHIVOR</t>
  </si>
  <si>
    <t>DIDIER MAURICIO BERNAL MONDRAGON</t>
  </si>
  <si>
    <t>DIANA MIRELLA MONTENEGRO DAZA</t>
  </si>
  <si>
    <t>DUITAMA</t>
  </si>
  <si>
    <t>FERNANDO ALFONSO BAYONA RINCON</t>
  </si>
  <si>
    <t>OSCAR FERNANDO SERRANO GONZALEZ</t>
  </si>
  <si>
    <t>PEDRO PABLO SIAUCHO CRISTANCHO</t>
  </si>
  <si>
    <t>EDGAR EYSENOBER BAEZ CONDE</t>
  </si>
  <si>
    <t>GERMAN TIBERIO OJEDA PEDRAZA</t>
  </si>
  <si>
    <t>SOMOS DUITAMA CIUDAD CREATIVA</t>
  </si>
  <si>
    <t>EL COCUY</t>
  </si>
  <si>
    <t>HENRY BUITRAGO CORREA</t>
  </si>
  <si>
    <t>ALEJANDRO MUÑOZ SANDOVAL</t>
  </si>
  <si>
    <t>DESARROLLO SOSTENIBLE CON BIENESTAR PARA TODOS</t>
  </si>
  <si>
    <t>EL ESPINO</t>
  </si>
  <si>
    <t>EDBERTO JOSE JAIME COCUNUBO</t>
  </si>
  <si>
    <t>SARAITH SANTISTEBAN CARRERO</t>
  </si>
  <si>
    <t>ARMANDO TARAZONA GALLO</t>
  </si>
  <si>
    <t>EN EQUIPO POR EL ESPINO</t>
  </si>
  <si>
    <t>FIRAVITOBA</t>
  </si>
  <si>
    <t>LUZ AMANDA RODRIGUEZ SALAMANCA</t>
  </si>
  <si>
    <t>JHON EZEQUIEL HERNANDEZ PRECIADO</t>
  </si>
  <si>
    <t>LUIS ALFONSO ROJAS LOPEZ</t>
  </si>
  <si>
    <t>EMILIANO ALFONSO CHAPARRO FONSECA</t>
  </si>
  <si>
    <t>FIRAVITOBA NOS UNE</t>
  </si>
  <si>
    <t>FLORESTA</t>
  </si>
  <si>
    <t>WILMAR JULIAN RINCON MARIÑO</t>
  </si>
  <si>
    <t>JAIME ARTURO SAAVEDRA PENALOSA</t>
  </si>
  <si>
    <t>JUAN CARLOS TORRES OLIVARES</t>
  </si>
  <si>
    <t>PARTIDO DE UNIDAD NACIONAL - MOVIMIENTO ALTERNATIVO INDÃGENA Y SOCIAL - MAIS</t>
  </si>
  <si>
    <t>GACHANTIVA</t>
  </si>
  <si>
    <t>JEFERSSON VLADIMIR SOACHA SANABRIA</t>
  </si>
  <si>
    <t>PEDRO ALONSO AGUILLON PUENTES</t>
  </si>
  <si>
    <t xml:space="preserve">LUIS CARLOS GUERRERO </t>
  </si>
  <si>
    <t>GAMEZA</t>
  </si>
  <si>
    <t>ROBERTO AMARILLO SALAMANCA</t>
  </si>
  <si>
    <t>JOSE ALIRIO OCHICA PEREZ</t>
  </si>
  <si>
    <t>GENERACION DE OPORTUNIDADES</t>
  </si>
  <si>
    <t>JOSE SAMUEL MEDINA ALFONSO</t>
  </si>
  <si>
    <t>COMPROMISO SOCIAL PARA SEGUIR CRECIENDO</t>
  </si>
  <si>
    <t>MANIZALES</t>
  </si>
  <si>
    <t>JORGE HERNAN YEPES ALZATE</t>
  </si>
  <si>
    <t>CARLOS MARIO MARIN CORREA</t>
  </si>
  <si>
    <t>ANDRES FELIPE BETANCOURTH LOPEZ</t>
  </si>
  <si>
    <t>ALTERNATIVA</t>
  </si>
  <si>
    <t>AGUADAS</t>
  </si>
  <si>
    <t>DIEGO FERNANDO GONZALEZ MARIN</t>
  </si>
  <si>
    <t>FABIO GOMEZ MEJIA</t>
  </si>
  <si>
    <t>WILSON CASTAÑO ARIAS</t>
  </si>
  <si>
    <t>ELKIN ALBERTO CANO GIRALDO</t>
  </si>
  <si>
    <t>AGUADAS ALTERNATIVA</t>
  </si>
  <si>
    <t>ANSERMA</t>
  </si>
  <si>
    <t>JAIME ALBERTO OSORIO VALENCIA</t>
  </si>
  <si>
    <t>GUSTAVO RIOS OBANDO</t>
  </si>
  <si>
    <t>RIOSUCIO</t>
  </si>
  <si>
    <t>FERNEY ANTONIO HOYOS HOYOS</t>
  </si>
  <si>
    <t>RISARALDA</t>
  </si>
  <si>
    <t>JOSE ALEXANDER VALENCIA GALLEGO</t>
  </si>
  <si>
    <t>SALAMINA</t>
  </si>
  <si>
    <t>MANUEL FERNANDO TIRADO ALZATE</t>
  </si>
  <si>
    <t>FABIAN LOPEZ GOMEZ</t>
  </si>
  <si>
    <t>IVAN DARIO POSADA BALLESTEROS</t>
  </si>
  <si>
    <t>HENRY BOTERO SANCHEZ</t>
  </si>
  <si>
    <t>JUAN PABLO OSPINA ROSAS</t>
  </si>
  <si>
    <t>PARTIDO LIBERAL-ASI</t>
  </si>
  <si>
    <t>SAMANA</t>
  </si>
  <si>
    <t>PEDRO WIGNER CASTAÑO DIAZ</t>
  </si>
  <si>
    <t>ALFREDO ODACID VALENCIA DOVALE</t>
  </si>
  <si>
    <t xml:space="preserve">JUNTOS HAGAMOS HISTORIA- ADA </t>
  </si>
  <si>
    <t>JAVIER HERNAN CLAVIJO GIRALDO</t>
  </si>
  <si>
    <t>POR LAS VIAS DEL SAMANA QUE QUEREMOS</t>
  </si>
  <si>
    <t>SAN JOSE</t>
  </si>
  <si>
    <t>120</t>
  </si>
  <si>
    <t>CRISTIAN CAMILO ALZATE CASTAÑEDA</t>
  </si>
  <si>
    <t>GLORIA ESTELLA RAVE CLAVIJO</t>
  </si>
  <si>
    <t>GILMA IGLESIAS RENDON</t>
  </si>
  <si>
    <t>LEONARDO FABIO GARCIA FLORES</t>
  </si>
  <si>
    <t>JUNTOS SI PODEMOS CON SENTIDO DE PERTENENCIA</t>
  </si>
  <si>
    <t>SUPIA</t>
  </si>
  <si>
    <t>MARCO ANTONIO LONDOÑO ZULUAGA</t>
  </si>
  <si>
    <t>SIEMPRE CON LA GENTE</t>
  </si>
  <si>
    <t>EDUARD FERNANDO MEZA FLOREZ</t>
  </si>
  <si>
    <t>SUPIA DE TODOS Y PARA TODOS</t>
  </si>
  <si>
    <t>VICTORIA</t>
  </si>
  <si>
    <t>GRACE NOHELIA TRIANA FERNANDEZ</t>
  </si>
  <si>
    <t>JUAN ALBERTO PEREZ COBUS</t>
  </si>
  <si>
    <t>HENRY ALBERTO MURILLO SEPULVEDA</t>
  </si>
  <si>
    <t>VILLAMARIA</t>
  </si>
  <si>
    <t>CARLOS EDUARDO ACEVEDO RAMIREZ</t>
  </si>
  <si>
    <t>ANDRES FELIPE ARISTIZABAL PARRA</t>
  </si>
  <si>
    <t>UN SUEÑO LLAMADO VILLAMARIA</t>
  </si>
  <si>
    <t>JAMES CHRISTIAN HENAO RESTREPO</t>
  </si>
  <si>
    <t>FIRMES CON VILLAMARIA</t>
  </si>
  <si>
    <t>ARANZAZU</t>
  </si>
  <si>
    <t>JOSE LISIMACO AMADOR CUESTAS</t>
  </si>
  <si>
    <t>UNIDOS POR ARANZAZU</t>
  </si>
  <si>
    <t>NICOLAS EDUARDO JIMENEZ MEJIA</t>
  </si>
  <si>
    <t>PARTIDO SOCIAL DE UNIDAD NACIONAL - PARTIDO ALIANZA VERDE</t>
  </si>
  <si>
    <t>VITERBO</t>
  </si>
  <si>
    <t>FABIO ALONSO GOMEZ FLOREZ</t>
  </si>
  <si>
    <t>JAIME ESTEBAN BURGOS GONZALEZ</t>
  </si>
  <si>
    <t>BELALCAZAR</t>
  </si>
  <si>
    <t>CARLOS ARTURO SALAZAR HINCAPIE</t>
  </si>
  <si>
    <t>GLORIA CARMENZA OSPINA MONTES</t>
  </si>
  <si>
    <t>JUNTOS POR BELALCAZAR</t>
  </si>
  <si>
    <t>CHINCHINA</t>
  </si>
  <si>
    <t>FABIO ANDRES PALOMINO ATEHORTUA</t>
  </si>
  <si>
    <t>CARLOS ALBERTO RIVEROS LOPEZ</t>
  </si>
  <si>
    <t>EDUARDO ANDRES GRISALES LOPEZ</t>
  </si>
  <si>
    <t>CHINCHINA AVANZA</t>
  </si>
  <si>
    <t>FILADELFIA</t>
  </si>
  <si>
    <t>MARIA ENIDIA RIOS NARANJO</t>
  </si>
  <si>
    <t>JAIME ALBERTO OROZCO CASTRO</t>
  </si>
  <si>
    <t>JAIME ALBERTO GAVIRIA RAMOS</t>
  </si>
  <si>
    <t>JHONY LEANDRO VILLADA RINCON</t>
  </si>
  <si>
    <t>WILLIAN JAIRO NOREÑA VASQUEZ</t>
  </si>
  <si>
    <t>LA DORADA</t>
  </si>
  <si>
    <t>RAFAEL ANTONIO CARTAGENA SAENZ</t>
  </si>
  <si>
    <t>JOSE VICENTE CASTELLANOS LOZANO</t>
  </si>
  <si>
    <t>CLAUDIA PATRICIA ECHEVERRY BEDOYA</t>
  </si>
  <si>
    <t>EN TUS ZAPATOS</t>
  </si>
  <si>
    <t>WILLIAM FERNAN OLIVEROS SERRANO</t>
  </si>
  <si>
    <t>GRAN CONSENSO POR LA DORADA</t>
  </si>
  <si>
    <t>LA MERCED</t>
  </si>
  <si>
    <t>CLAUDIA MARIA VELEZ MESA</t>
  </si>
  <si>
    <t>JORGE IVAN HERNANDEZ MARIN</t>
  </si>
  <si>
    <t>JAIME ARTURO MARIN CEBALLOS</t>
  </si>
  <si>
    <t>RUBEN DARIO CASTAÑO LONDOÑO</t>
  </si>
  <si>
    <t>PARTIDO CONSERVADOR COLOMBIANO  - CR</t>
  </si>
  <si>
    <t>MANZANARES</t>
  </si>
  <si>
    <t>CARLOS ALBERTO ARISTIZABAL MONTES</t>
  </si>
  <si>
    <t>HENRY RAMIREZ MONTES</t>
  </si>
  <si>
    <t>GERARDO AUGUSTO OSORIO DUQUE</t>
  </si>
  <si>
    <t>MARQUETALIA</t>
  </si>
  <si>
    <t>YARLEDY LLANO GONZALEZ</t>
  </si>
  <si>
    <t>DANNY ALBERTO VELEZ OSORIO</t>
  </si>
  <si>
    <t>OSCAR ALBERTO CARDONA AGUIRRE</t>
  </si>
  <si>
    <t>FRANCISCO JAVIER VELEZ QUIROGA</t>
  </si>
  <si>
    <t>HECTOR ARLEY MEZA ARANGO</t>
  </si>
  <si>
    <t>MARULANDA</t>
  </si>
  <si>
    <t>LEONARDO ANDRES GIRALDO BOTERO</t>
  </si>
  <si>
    <t>NORCASIA</t>
  </si>
  <si>
    <t>JESUS ALBERTO VILLEGAS OROZCO</t>
  </si>
  <si>
    <t>OLGA LUCIA ORDOÑEZ CLAVIJO</t>
  </si>
  <si>
    <t>JOSE YONATAN MANRIQUE GARZON</t>
  </si>
  <si>
    <t>PACORA</t>
  </si>
  <si>
    <t>OSCAR DARIO GRAJALES RIVERA</t>
  </si>
  <si>
    <t>PALESTINA</t>
  </si>
  <si>
    <t>MAURICIO VELASQUEZ MEZA</t>
  </si>
  <si>
    <t>LUIS FELIPE VALENCIA GIL</t>
  </si>
  <si>
    <t>HECTOR WILLIAM JARAMILLO DUQUE</t>
  </si>
  <si>
    <t>PENSILVANIA</t>
  </si>
  <si>
    <t>CAMILO ZULUAGA ZULUAGA</t>
  </si>
  <si>
    <t>SORANY FRANCO PEREZ</t>
  </si>
  <si>
    <t>JORGE ORLANDO GARCIA RESTREPO</t>
  </si>
  <si>
    <t>PENSILVANIA PRIMERO</t>
  </si>
  <si>
    <t>CAUCA</t>
  </si>
  <si>
    <t>POPAYAN</t>
  </si>
  <si>
    <t>CARLOS EDUARDO ALEGRIA FERNANDEZ</t>
  </si>
  <si>
    <t>SANTIAGO ZAMBRANO SIMMONDS</t>
  </si>
  <si>
    <t>ROSALBA JOAQUI JOAQUI</t>
  </si>
  <si>
    <t>JUAN CARLOS LOPEZ CASTRILLON</t>
  </si>
  <si>
    <t>CREO EN POPAYAN</t>
  </si>
  <si>
    <t>ALMAGUER</t>
  </si>
  <si>
    <t>WVEIMAR RODOLFO ALVAREZ MALES</t>
  </si>
  <si>
    <t>FRANCO NELSON HOYOS RUANO</t>
  </si>
  <si>
    <t>ELIO GENTIL ADRADA SAMBONI</t>
  </si>
  <si>
    <t>BALBOA</t>
  </si>
  <si>
    <t>ALBA LUCIA OTERO OCHOA</t>
  </si>
  <si>
    <t>JOHNNY ALEXANDER DAVILA IMBACHI</t>
  </si>
  <si>
    <t>UNIDAD SOCIAL POR BALBOA</t>
  </si>
  <si>
    <t>LEIDY DANYELLY MENESES BOLAÑOS</t>
  </si>
  <si>
    <t>VICTOR ARMANDO MARTINEZ PERAFAN</t>
  </si>
  <si>
    <t>JORGE ALBERTO MACIAS ROSERO</t>
  </si>
  <si>
    <t>HECTOR GERMAN GOMEZ DAZA</t>
  </si>
  <si>
    <t>CARLOS OCTAVIO MEZA SOTELO</t>
  </si>
  <si>
    <t>BUENOS AIRES</t>
  </si>
  <si>
    <t>ADAN DIAZ SANDOVAL</t>
  </si>
  <si>
    <t>WIESNER CORTES MINA</t>
  </si>
  <si>
    <t>OSCAR EDUIN LOPEZ SANCHEZ</t>
  </si>
  <si>
    <t>CAJIBIO</t>
  </si>
  <si>
    <t>JAIME ANIBAL VALENCIA DIAZ</t>
  </si>
  <si>
    <t>CALDONO</t>
  </si>
  <si>
    <t>DARIO JESUS SANDOVAL FERNANDEZ</t>
  </si>
  <si>
    <t>JOSE VICENTE OTERO CHATE</t>
  </si>
  <si>
    <t>PAULO GERMAN PORRAS VELASCO</t>
  </si>
  <si>
    <t>CALOTO</t>
  </si>
  <si>
    <t>GONZALO EMILIO RAMIREZ VELASCO</t>
  </si>
  <si>
    <t>PARTIDO CONSERVADOR COLOMBIANO   - PL</t>
  </si>
  <si>
    <t>CORINTO</t>
  </si>
  <si>
    <t>JEFFERSON RIVERA FERNANDEZ</t>
  </si>
  <si>
    <t>JOSE GERMAN HOYOS VASQUEZ</t>
  </si>
  <si>
    <t>OSCAR EDUARDO OCAMPO GOMEZ</t>
  </si>
  <si>
    <t>MARTHA CECILIA VELASCO GUZMAN</t>
  </si>
  <si>
    <t>LA UNION ES LA FUERZA</t>
  </si>
  <si>
    <t>FLORENCIA</t>
  </si>
  <si>
    <t>ORBEY FUENTES ORTEGA</t>
  </si>
  <si>
    <t>GUAPI</t>
  </si>
  <si>
    <t>EUSTAQUIO CARABALI CAICEDO</t>
  </si>
  <si>
    <t>VICTOR OSWALDO SINISTERRA RUIZ</t>
  </si>
  <si>
    <t>PLUTARCO MARINO GRUESO OBREGON</t>
  </si>
  <si>
    <t>FRENTE AMPLIO POR GUAPI</t>
  </si>
  <si>
    <t>GUACHENE</t>
  </si>
  <si>
    <t>29</t>
  </si>
  <si>
    <t>ELMER ABONIA RODRIGUEZ</t>
  </si>
  <si>
    <t>MIOSORIS CASTILLO BURGOS</t>
  </si>
  <si>
    <t>MILTON ARCENIO ZAPATA DIAZ</t>
  </si>
  <si>
    <t>GENERANDO OPORTUNIDADES</t>
  </si>
  <si>
    <t>INZA</t>
  </si>
  <si>
    <t>DIEGO EDINSON LIZ IPIA</t>
  </si>
  <si>
    <t>WILLIAM MAURICIO CASTILLO MORALES</t>
  </si>
  <si>
    <t>JOHN JAIRO QUIRA YUGUE</t>
  </si>
  <si>
    <t>GEIDY XIOMARA ORTEGA TRUJILLO</t>
  </si>
  <si>
    <t>JUNTOS PARA LLEGAR JUNTOS PARA GOBERNAR</t>
  </si>
  <si>
    <t>LA SIERRA</t>
  </si>
  <si>
    <t>JESUS FERNANDO NOGUERA MUÑOZ</t>
  </si>
  <si>
    <t>MILLER MIGUEL HURTADO MUÑOZ</t>
  </si>
  <si>
    <t>LA FUERZA DEL CAMPO</t>
  </si>
  <si>
    <t>LA VEGA</t>
  </si>
  <si>
    <t>JORGE OCTAVIO GUZMAN GUTIERREZ</t>
  </si>
  <si>
    <t>RUBIEL HOYOS JIMENEZ</t>
  </si>
  <si>
    <t>Lopez de Micay</t>
  </si>
  <si>
    <t>WANNER DARIO SUAREZ MANTILLA</t>
  </si>
  <si>
    <t>MERCADERES</t>
  </si>
  <si>
    <t>FERNANDO ALBEIRO DIAZ SALAMANCA</t>
  </si>
  <si>
    <t>MIRANDA</t>
  </si>
  <si>
    <t>FERNEY ENRIQUE FLOREZ CUNDA</t>
  </si>
  <si>
    <t>SAMUEL LONDOÑO ORTEGA</t>
  </si>
  <si>
    <t xml:space="preserve">COALICION ALCALDIA DE MIRANDA CAUCA </t>
  </si>
  <si>
    <t>CESAR EMILIO PILLIMUE LOPEZ</t>
  </si>
  <si>
    <t>OSCAR YAMIT GUACHETA ARRUBLA</t>
  </si>
  <si>
    <t>MARIA DEL CARMEN CAMPO NARVAEZ</t>
  </si>
  <si>
    <t>VICTOR FELIX SABOGAL ARBOLEDA</t>
  </si>
  <si>
    <t>SARBI SANCHEZ REYES</t>
  </si>
  <si>
    <t>PADILLA</t>
  </si>
  <si>
    <t>53</t>
  </si>
  <si>
    <t>CARLOS ADOLFO ANDRADE NARVAEZ</t>
  </si>
  <si>
    <t>MILTON MARINO VALENCIA CARDENAS</t>
  </si>
  <si>
    <t>HAMILSON GONZALEZ VELASCO</t>
  </si>
  <si>
    <t>JHON FREDY VIQUEZ RAMOS</t>
  </si>
  <si>
    <t>DUBAN ARBEY VELASCO VELASCO</t>
  </si>
  <si>
    <t>PATIA</t>
  </si>
  <si>
    <t>ORLANDO MUÑOZ MARTINEZ</t>
  </si>
  <si>
    <t>PIAMONTE</t>
  </si>
  <si>
    <t>JAIRO ALEXANDER BURBANO MACIAS</t>
  </si>
  <si>
    <t>JOHANA ROSA ARCOS NARVAEZ</t>
  </si>
  <si>
    <t>Piendamo - Tunia</t>
  </si>
  <si>
    <t>DAYANA YINETH ARIAS TROCHEZ</t>
  </si>
  <si>
    <t>VICTOR HUGO FRANCO MUÑOZ</t>
  </si>
  <si>
    <t>PIENDAMO - PARA  VOLVER A CREER</t>
  </si>
  <si>
    <t>PUERTO TEJADA</t>
  </si>
  <si>
    <t>DELIO GIRON MURILLO</t>
  </si>
  <si>
    <t>LEIDY VIVIANA VIVEROS SOLARTE</t>
  </si>
  <si>
    <t>WILSON MARINO ZAPATA CARVAJAL</t>
  </si>
  <si>
    <t>LUZ ADIELA SALAZAR GOMEZ</t>
  </si>
  <si>
    <t>JEISON STIVEN MOLINA MINA</t>
  </si>
  <si>
    <t>BENJAMIN CARABALI RODRIGUEZ</t>
  </si>
  <si>
    <t>MOVIMIENTO PARA LA UNIDAD MUNICIPAL PUERTO TEJADA NOS UNE</t>
  </si>
  <si>
    <t>PURACE</t>
  </si>
  <si>
    <t>VICTOR RAUL BONILLA VASQUEZ</t>
  </si>
  <si>
    <t>ANTONIO JOSE LOPEZ GARCIA</t>
  </si>
  <si>
    <t>OLINTO RUBIEL MAZABUEL QUILINDO</t>
  </si>
  <si>
    <t>GUSTAVO ADOLFO VALENCIA GARCIA</t>
  </si>
  <si>
    <t>ROSAS</t>
  </si>
  <si>
    <t>MARCO ANTONIO ROJAS CARVAJAL</t>
  </si>
  <si>
    <t>ADIELA RIOS PEREZ</t>
  </si>
  <si>
    <t>JOSE ROBERTO CAMPO OSORIO</t>
  </si>
  <si>
    <t>OSCAR GERARDO CARVAJAL HERNANDEZ</t>
  </si>
  <si>
    <t>HUGO ALDRUBAL NARVAEZ DUQUE</t>
  </si>
  <si>
    <t>ROBERTO JOSE DIAZ LOPEZ</t>
  </si>
  <si>
    <t>SALVEMOS A ROSAS</t>
  </si>
  <si>
    <t>SAN SEBASTIAN</t>
  </si>
  <si>
    <t>HUGO ALEXANDER ENRIQUEZ ORDOÑEZ</t>
  </si>
  <si>
    <t>SANTANDER DE QUILICHAO</t>
  </si>
  <si>
    <t>OSCAR JAVIER CONSUEGRA ARCE</t>
  </si>
  <si>
    <t>SILVIA</t>
  </si>
  <si>
    <t>JUAN CARLOS LOPEZ MORALES</t>
  </si>
  <si>
    <t>JOSE EDILBERTO MUELAS HURTADO</t>
  </si>
  <si>
    <t>Sotara Paispamba</t>
  </si>
  <si>
    <t>RODRIGO ANTONIO ORTEGA NARVAEZ</t>
  </si>
  <si>
    <t>LIDERAR PARA SERVIR</t>
  </si>
  <si>
    <t>BLANCA LUCY AGREDO MUÑOZ</t>
  </si>
  <si>
    <t>COSECHEMOS JUNTOS</t>
  </si>
  <si>
    <t>SUCRE</t>
  </si>
  <si>
    <t>86</t>
  </si>
  <si>
    <t>LHEIDY PATRICIA MUÑOZ GOMEZ</t>
  </si>
  <si>
    <t>GILDARDO HOYOS HOYOS</t>
  </si>
  <si>
    <t>SUAREZ</t>
  </si>
  <si>
    <t>87</t>
  </si>
  <si>
    <t>CESAR LIZARDO CERON GALINDO</t>
  </si>
  <si>
    <t xml:space="preserve">ESTAMOS UNIDOS POR SUAREZ </t>
  </si>
  <si>
    <t>TIMBIO</t>
  </si>
  <si>
    <t>MARTHA ISABEL HURTADO AGREDO</t>
  </si>
  <si>
    <t>MILLER JAVIER HERMOSA GUEVARA</t>
  </si>
  <si>
    <t>MARIBEL PERAFAN GALLARDO</t>
  </si>
  <si>
    <t>GILBERTO MARIN TOSNE</t>
  </si>
  <si>
    <t>TIMBIQUI</t>
  </si>
  <si>
    <t>JOSE ELIECER HURTADO HURTADO</t>
  </si>
  <si>
    <t>NEYLA YADIRA AMU VENTE</t>
  </si>
  <si>
    <t>WILMAN GARCIA ALEGRIA</t>
  </si>
  <si>
    <t>TOTORO</t>
  </si>
  <si>
    <t>ALEXANDER EDUARDO HUILA RAMIREZ</t>
  </si>
  <si>
    <t>TOTORO INCLUYENTE OPORTUNIDADES PARA TODOS</t>
  </si>
  <si>
    <t>VILLA RICA</t>
  </si>
  <si>
    <t>98</t>
  </si>
  <si>
    <t xml:space="preserve">DIEGO LUIS OBREGON </t>
  </si>
  <si>
    <t>CESAR</t>
  </si>
  <si>
    <t>AGUSTIN CODAZZI</t>
  </si>
  <si>
    <t>CASTULO ANDRES ALFARO PUERTA</t>
  </si>
  <si>
    <t>IBETH CECILIA LAFAURIE PERDOMO</t>
  </si>
  <si>
    <t>AIDA LEONOR ALVAREZ QUINTERO</t>
  </si>
  <si>
    <t>HERNAN EDUARDO BAQUERO RODRIGUEZ</t>
  </si>
  <si>
    <t>CODAZZI HONESTO BUENO RESPONSABLE - PARTIDO CONSERVADOR</t>
  </si>
  <si>
    <t>ASTREA</t>
  </si>
  <si>
    <t>DANIEL ALARCON VILLALBA</t>
  </si>
  <si>
    <t>ELDIN DAVILA HERNANDEZ</t>
  </si>
  <si>
    <t>BECERRIL</t>
  </si>
  <si>
    <t>180</t>
  </si>
  <si>
    <t>ADALBERTO ANTONIO OROZCO MEZA</t>
  </si>
  <si>
    <t>ADRIANA LORENA BOLAÑO GUZMAN</t>
  </si>
  <si>
    <t>RAUL FERNANDO MACHADO LUNA</t>
  </si>
  <si>
    <t>BOSCONIA</t>
  </si>
  <si>
    <t>200</t>
  </si>
  <si>
    <t>EDULFO  VILLAR ESTRADA</t>
  </si>
  <si>
    <t>DARIO MIGUEL DORIA CEBALLO</t>
  </si>
  <si>
    <t>CARLOS EDUARDO PORTO LOPEZ</t>
  </si>
  <si>
    <t>JUANA DEL CARMEN PACHECO SOTTO</t>
  </si>
  <si>
    <t>ALIANZA DE UNIDAD POR BOSCONIA</t>
  </si>
  <si>
    <t>JHONNY RAFAEL ARIAS RODRIGUEZ</t>
  </si>
  <si>
    <t>POR UNA BOSCONIA MEJOR</t>
  </si>
  <si>
    <t>CURUMANI</t>
  </si>
  <si>
    <t>225</t>
  </si>
  <si>
    <t>RAMON ADEL BENJUMEA TRUJILLO</t>
  </si>
  <si>
    <t>HENRY  CHACON AMAYA</t>
  </si>
  <si>
    <t>ALIANZA POR CURUMANI</t>
  </si>
  <si>
    <t>CHIMICHAGUA</t>
  </si>
  <si>
    <t>JAIME RAFAEL MARTINEZ JIMENEZ</t>
  </si>
  <si>
    <t>CELSO  MORENO BORRERO</t>
  </si>
  <si>
    <t>CARLOS ANDRES CADENA CARCAMO</t>
  </si>
  <si>
    <t>DALMA OSPINO PEREZ</t>
  </si>
  <si>
    <t>CHIRIGUANA</t>
  </si>
  <si>
    <t>375</t>
  </si>
  <si>
    <t>JUAN CARLOS GARCIA MEJIA</t>
  </si>
  <si>
    <t>DAVINSON ENRIQUE TROCONYS CASTAÑEZ</t>
  </si>
  <si>
    <t>CARLOS IVAN CAAMAÑO CUADRO</t>
  </si>
  <si>
    <t>EL COPEY</t>
  </si>
  <si>
    <t>410</t>
  </si>
  <si>
    <t>WILFRIDO ENRIQUE RUIZ RADA</t>
  </si>
  <si>
    <t>RAMON ADUL SEPULVEDA PEÑARANDA</t>
  </si>
  <si>
    <t>JOSE ANTONIO PUMAREJO LADRON DE GUEVARA</t>
  </si>
  <si>
    <t>LUIS HERNANDO RIVAS SIERRA</t>
  </si>
  <si>
    <t>ASSAD CESAR RAISH GAMEZ</t>
  </si>
  <si>
    <t>EL PASO</t>
  </si>
  <si>
    <t>415</t>
  </si>
  <si>
    <t>RUVIELA SANGUINO ORTEGA</t>
  </si>
  <si>
    <t>ANDRY ENRIQUE ARAGON VILLALOBOS</t>
  </si>
  <si>
    <t>MARTIN ALTAMAR ESCOBAR</t>
  </si>
  <si>
    <t>JESUS ALBERTO ORTIZ CERVANTES</t>
  </si>
  <si>
    <t>NEY ENRIQUE RESTREPO DITTA</t>
  </si>
  <si>
    <t>IDALIDES DE JESUS CASTRO CANTILLO</t>
  </si>
  <si>
    <t>JOSE DAVID ORTIZ BOLAÑO</t>
  </si>
  <si>
    <t>CARLOS ALBERTO MORALES CASTILLA</t>
  </si>
  <si>
    <t>LUIS ALBERTO MURGAS PUPO</t>
  </si>
  <si>
    <t>FAVER IMBRETH MARTINEZ</t>
  </si>
  <si>
    <t>GAMARRA</t>
  </si>
  <si>
    <t>450</t>
  </si>
  <si>
    <t>CESAR AUGUSTO CASELLES RAMIREZ</t>
  </si>
  <si>
    <t>ALONSO ABUABARA NORIEGA</t>
  </si>
  <si>
    <t>UNIDOS POR UNA MEJOR GAMARRA</t>
  </si>
  <si>
    <t>GONZALEZ</t>
  </si>
  <si>
    <t>525</t>
  </si>
  <si>
    <t>OSCAR EMIRO OSORIO RIOS</t>
  </si>
  <si>
    <t>LA GLORIA</t>
  </si>
  <si>
    <t>600</t>
  </si>
  <si>
    <t>JORGE ELIECER TORO RODRIGUEZ</t>
  </si>
  <si>
    <t>REYNEL SEGUNDO LOBO ESPELETA</t>
  </si>
  <si>
    <t>JORGE DAVID PACHECO CARRASCAL</t>
  </si>
  <si>
    <t>ROGELIO ALFONSO PARADA CRUZ</t>
  </si>
  <si>
    <t>ALIANZA POR LA GLORIA</t>
  </si>
  <si>
    <t>LA JAGUA DE IBIRICO</t>
  </si>
  <si>
    <t>608</t>
  </si>
  <si>
    <t>CARLOS EDIVER ARIAS RESTREPO</t>
  </si>
  <si>
    <t>HEBERTH LEONARDO PARODI ORTEGA</t>
  </si>
  <si>
    <t>OVELIO ENRIQUE JIMENEZ MACHADO</t>
  </si>
  <si>
    <t>EL PUEBLO PRIMERO</t>
  </si>
  <si>
    <t>LEONARDO FABIO HERNANDEZ CATAÑO</t>
  </si>
  <si>
    <t>RECONCILIACIÃ³N Y UNIDAD JAGUERA</t>
  </si>
  <si>
    <t>MANAURE BALCON DEL CESAR</t>
  </si>
  <si>
    <t>625</t>
  </si>
  <si>
    <t>FABIO ALONSO COSTA ROMERO</t>
  </si>
  <si>
    <t>HENRY  OÑATE FRAGOZO</t>
  </si>
  <si>
    <t>JUAN CARLOS ARAUJO OROZCO</t>
  </si>
  <si>
    <t>PARA QUE MANAURE SIGA GANANDO</t>
  </si>
  <si>
    <t>PAILITAS</t>
  </si>
  <si>
    <t>650</t>
  </si>
  <si>
    <t>EDWIN EULICES LOBO MORA</t>
  </si>
  <si>
    <t>FRANCISCA ANGARITA AVENDAÑO</t>
  </si>
  <si>
    <t>GERSON DAVID QUINTERO CABALLERO</t>
  </si>
  <si>
    <t>CARLOS JAVIER TORO VELASQUEZ</t>
  </si>
  <si>
    <t>JUNTOS POR PAILITAS</t>
  </si>
  <si>
    <t>PELAYA</t>
  </si>
  <si>
    <t>700</t>
  </si>
  <si>
    <t>PRECELIA CAMACHO ZABALA</t>
  </si>
  <si>
    <t>HAROLDO ANIBAL ARENAS ANGARITA</t>
  </si>
  <si>
    <t>PARTIDO CONSERVADOR COLOMBIANO  - ASI - PU</t>
  </si>
  <si>
    <t>ALEXANDER  QUINTERO CONTRERAS</t>
  </si>
  <si>
    <t>JUNTOS POR EL CAMBIO</t>
  </si>
  <si>
    <t>PUEBLO BELLO</t>
  </si>
  <si>
    <t>720</t>
  </si>
  <si>
    <t>GUILLERMO ARTURO BAUTE UHIA</t>
  </si>
  <si>
    <t>LELYS OLIVIO ESTRADA VIDAL</t>
  </si>
  <si>
    <t>PUEBLO BELLO HUMANO</t>
  </si>
  <si>
    <t>ZULEIDY QUINTANA VARGAS</t>
  </si>
  <si>
    <t>SEGURIDAD EQUIDAD IGUALDAD Y COMPETITIVIDAD COMPROMISO DE TODOS</t>
  </si>
  <si>
    <t>RIO DE ORO</t>
  </si>
  <si>
    <t>750</t>
  </si>
  <si>
    <t>JHONNY PEINADO FLOREZ</t>
  </si>
  <si>
    <t>JOSE HELI SANTANA RINCON</t>
  </si>
  <si>
    <t>ARNOLDO RAMON OSORIO RINCON</t>
  </si>
  <si>
    <t>AGUACHICA</t>
  </si>
  <si>
    <t>75</t>
  </si>
  <si>
    <t>OSCAR ENRIQUE ROMERO MARTINEZ</t>
  </si>
  <si>
    <t>ZULEMA MARIA CORREA ORTEGA</t>
  </si>
  <si>
    <t>ROBINSON ANTONIO MANOSALVA SALDAÑA</t>
  </si>
  <si>
    <t>CARLOS ANTONIO PEDROZO ACEVEDO</t>
  </si>
  <si>
    <t xml:space="preserve">SOÑEMOS JUNTOS  </t>
  </si>
  <si>
    <t>WILFRED SMITH TORRES GUTIERREZ DE PIÑERES</t>
  </si>
  <si>
    <t>AGUACHICA VIVA !</t>
  </si>
  <si>
    <t>MANUEL ANDRES RANGEL QUINTERO</t>
  </si>
  <si>
    <t xml:space="preserve">MOVIMIENTO SOCIAL PROGRESA AGUACHICA </t>
  </si>
  <si>
    <t>SAN ALBERTO</t>
  </si>
  <si>
    <t>800</t>
  </si>
  <si>
    <t>MELKIN ALINSON ROBLES GUERRERO</t>
  </si>
  <si>
    <t>LA PAZ</t>
  </si>
  <si>
    <t>825</t>
  </si>
  <si>
    <t>MARIA MONICA MORON ZULETA</t>
  </si>
  <si>
    <t>FRANCISCO DARIO OYOLA OROZCO</t>
  </si>
  <si>
    <t>WILSON RINCON ALVAREZ</t>
  </si>
  <si>
    <t>MARTIN GUILLERMO ZULETA MIELES</t>
  </si>
  <si>
    <t>SAN DIEGO</t>
  </si>
  <si>
    <t>850</t>
  </si>
  <si>
    <t>DENIS ALEXANDER JULIO QUINTERO</t>
  </si>
  <si>
    <t>GLORIA MARIA TORRES ALVAREZ</t>
  </si>
  <si>
    <t>JULIA CAROLINA ENA ROSA USTARIZ OROZCO</t>
  </si>
  <si>
    <t>SAN DIEGO TERRITORIO DE LO POSIBLE</t>
  </si>
  <si>
    <t>CARLOS MARIO CALDERON ORTEGA</t>
  </si>
  <si>
    <t>POR TI SAN DIEGO</t>
  </si>
  <si>
    <t>SAN MARTIN</t>
  </si>
  <si>
    <t>875</t>
  </si>
  <si>
    <t>SAUL ALFONSO LONDOÑO CASADIEGOS</t>
  </si>
  <si>
    <t>TAMALAMEQUE</t>
  </si>
  <si>
    <t>900</t>
  </si>
  <si>
    <t>BIENVENIDA PAEZ OTALVAREZ</t>
  </si>
  <si>
    <t>LUIS HERNANDO LASCARRO TAFUR</t>
  </si>
  <si>
    <t>TRABAJEMOS JUNTOS</t>
  </si>
  <si>
    <t>LEONARDO VEGA SANCHEZ</t>
  </si>
  <si>
    <t>TAMALAMEQUE AVANZA</t>
  </si>
  <si>
    <t>MONTERIA</t>
  </si>
  <si>
    <t>SALIN GHISAYS MARTINEZ</t>
  </si>
  <si>
    <t xml:space="preserve">LEALTAD CON MONTERIA </t>
  </si>
  <si>
    <t>CARLOS ALBERTO ORDOSGOITIA SANIN</t>
  </si>
  <si>
    <t>AHORA LA GENTE</t>
  </si>
  <si>
    <t>AYAPEL</t>
  </si>
  <si>
    <t>ISIDRO JOSE VERGARA FARAK</t>
  </si>
  <si>
    <t>JAIRO ENRIQUE LLANOS PEREZ</t>
  </si>
  <si>
    <t>DIEGO GUSTAVO SALGADO CAMPILLO</t>
  </si>
  <si>
    <t>LUIS MIGUEL ORDOÑEZ MONTIEL</t>
  </si>
  <si>
    <t>JUAN FIDEL BERTEL LOPEZ</t>
  </si>
  <si>
    <t>CANDELARIA DEL CARMEN HOYOS OLAYA</t>
  </si>
  <si>
    <t>MARLET PATRICIA ALVAREZ TUIRAN</t>
  </si>
  <si>
    <t>GUSTAVO LUIS QUINTERO ARRAZOLA</t>
  </si>
  <si>
    <t>OSCAR ARABIA HOYOS</t>
  </si>
  <si>
    <t>ANDRES HERNANDO GOMEZ SANCHEZ</t>
  </si>
  <si>
    <t>FELIX GUTIERREZ CORDOBA</t>
  </si>
  <si>
    <t>CANALETE</t>
  </si>
  <si>
    <t>MIGUEL EUGENIO GONZALEZ SUAREZ</t>
  </si>
  <si>
    <t>EDGARDO RAFAEL ELY ARTUZ</t>
  </si>
  <si>
    <t>POR LA SENDA DEL PROGRESO</t>
  </si>
  <si>
    <t>CERETE</t>
  </si>
  <si>
    <t>LUIS ANTONIO RHENALS OTERO</t>
  </si>
  <si>
    <t>RAIMON CHAGUI FLOREZ</t>
  </si>
  <si>
    <t>CIENAGA DE ORO</t>
  </si>
  <si>
    <t>DIOMEDES DOMINGO DIAZ MESTRA</t>
  </si>
  <si>
    <t>ANDRES FRANCISCO BURGOS JAIME</t>
  </si>
  <si>
    <t>NERLY DEL CARMEN SAEZ SALCEDO</t>
  </si>
  <si>
    <t>CHIMA</t>
  </si>
  <si>
    <t>EULALIA DEL CARMEN VILLADIEGO MUÑOZ</t>
  </si>
  <si>
    <t>CHINU</t>
  </si>
  <si>
    <t>JOSE LUIS MONTES REGINO</t>
  </si>
  <si>
    <t>ORLANDO FABIO CASTILLO BERMEJO</t>
  </si>
  <si>
    <t>LA APARTADA</t>
  </si>
  <si>
    <t>20</t>
  </si>
  <si>
    <t>LUIS CARLOS GONZALEZ JARAMILLO</t>
  </si>
  <si>
    <t>LORICA</t>
  </si>
  <si>
    <t>VLADIMIR RAFAEL SANCHEZ DORIA</t>
  </si>
  <si>
    <t>CARLOS MAURICIO ESTRADA CADAVID</t>
  </si>
  <si>
    <t>LOS CORDOBAS</t>
  </si>
  <si>
    <t>23</t>
  </si>
  <si>
    <t>WILBER ALBERTO CONTRERAS GONZALEZ</t>
  </si>
  <si>
    <t>ANDRES FELIPE RACERO YANCES</t>
  </si>
  <si>
    <t>MOMIL</t>
  </si>
  <si>
    <t>24</t>
  </si>
  <si>
    <t>MANUEL ESTEBAN GARCIA HERNANDEZ</t>
  </si>
  <si>
    <t>EFREN JOSE PUCHE CARRASCAL</t>
  </si>
  <si>
    <t>GABRIEL ANTONIO BITTAR DIAZ</t>
  </si>
  <si>
    <t xml:space="preserve">YO AMO A MOMIL </t>
  </si>
  <si>
    <t>MONTELIBANO</t>
  </si>
  <si>
    <t>REINALDO MANUEL OYOLA LOPEZ</t>
  </si>
  <si>
    <t>JOSE DAVID CURA BUELVAS</t>
  </si>
  <si>
    <t>MOÑITOS</t>
  </si>
  <si>
    <t>JAVIER FRANCISCO OLEA BLANQUICET</t>
  </si>
  <si>
    <t>MANUEL ENRIQUE NAVARRO DIAZ</t>
  </si>
  <si>
    <t xml:space="preserve">GEBILIER RAMOS </t>
  </si>
  <si>
    <t>REMBERTO BURGOS BARRIOS</t>
  </si>
  <si>
    <t>HUMBERTO DE JESUS GOMEZ VILLALBA</t>
  </si>
  <si>
    <t>JOSE FELIX MARTINEZ BRAVO</t>
  </si>
  <si>
    <t>PRIMERO MOÑITOS</t>
  </si>
  <si>
    <t>PLANETA RICA</t>
  </si>
  <si>
    <t>YOHAIDA XIMENA ACOSTA HOYOS</t>
  </si>
  <si>
    <t>RUBEN DARIO TAMAYO ESPITIA</t>
  </si>
  <si>
    <t>CARLOS DAVID GONZALEZ MEVARAT</t>
  </si>
  <si>
    <t>GERMAN ANDRES ANGULO MARTINEZ</t>
  </si>
  <si>
    <t>FIRME POR PLANETA</t>
  </si>
  <si>
    <t>PUEBLO NUEVO</t>
  </si>
  <si>
    <t>LUIS CARLOS RUIZ GOEZ</t>
  </si>
  <si>
    <t>ANDRES AVELINO GONZALEZ MONTIEL</t>
  </si>
  <si>
    <t>PUERTO LIBERTADOR</t>
  </si>
  <si>
    <t>32</t>
  </si>
  <si>
    <t>ROGER DAVID GUZMAN RUIZ</t>
  </si>
  <si>
    <t>EDER JOHN SOTO CUADRADO</t>
  </si>
  <si>
    <t>REOMEDRE RAUL CARRASCAL ROMERO</t>
  </si>
  <si>
    <t>COALICION PAZ PUERTO LIBERTADOR</t>
  </si>
  <si>
    <t>PUERTO ESCONDIDO</t>
  </si>
  <si>
    <t>33</t>
  </si>
  <si>
    <t>MAURICIO ENRIQUE VEGA LOPEZ</t>
  </si>
  <si>
    <t>HEIDY JOHANNA TORRES BECERRA</t>
  </si>
  <si>
    <t>Purisima de la Concepcion</t>
  </si>
  <si>
    <t>MANUEL DEL CRISTO HERAZO TUIRAN</t>
  </si>
  <si>
    <t>ROBERT JOSE MONTES LOPEZ</t>
  </si>
  <si>
    <t>NESTOR MANUEL LEMUS PATERNINA</t>
  </si>
  <si>
    <t>SAHAGUN</t>
  </si>
  <si>
    <t>DIANY DEL ROSARIO CALDERON LOPEZ</t>
  </si>
  <si>
    <t>JESUS EDUARDO PADILLA GOMEZ</t>
  </si>
  <si>
    <t>LUCIA PATRICIA TOUS DE LA OSSA</t>
  </si>
  <si>
    <t>DE LA GENTE Y PARA LA GENTE</t>
  </si>
  <si>
    <t>JORGE DAVID PASTRANA SAGRE</t>
  </si>
  <si>
    <t>MI COMPROMISO ES CON SAHAGÃšN</t>
  </si>
  <si>
    <t>San Andres Sotavento</t>
  </si>
  <si>
    <t>ALEXANDRA DEL CARMEN MENDOZA FERNANDEZ</t>
  </si>
  <si>
    <t>NAIRO ANTONIO PATERNINA GAVIRIA</t>
  </si>
  <si>
    <t>ARMANDO ALFONSO GOMEZ ALEAN</t>
  </si>
  <si>
    <t>SAN ANTERO</t>
  </si>
  <si>
    <t>CARLOS MANUEL DIZ CASTRO</t>
  </si>
  <si>
    <t>SAN BERNARDO DEL VIENTO</t>
  </si>
  <si>
    <t>ROBERTO ANTONIO YANCES TORRES</t>
  </si>
  <si>
    <t>LUIS FRANCISCO LOPEZ ARTEAGA</t>
  </si>
  <si>
    <t>CON DIOS SOMOS MAS QUE VENCEDORES</t>
  </si>
  <si>
    <t>ALBER LUIS AMOLINAR MEJIA</t>
  </si>
  <si>
    <t>UNIDOS POR SAN BERNARDO DEL VIENTO</t>
  </si>
  <si>
    <t>NARCISO EUGENIO GOMEZ BARRERA</t>
  </si>
  <si>
    <t>FRAY DOMINGO MONTERROSA JARAMILLO</t>
  </si>
  <si>
    <t>EVA JULIA VEGA GOMEZ</t>
  </si>
  <si>
    <t>DIANA PATRICIA MEJIA PRETELT</t>
  </si>
  <si>
    <t>OMAR JAVIER GLORIA PEREZ</t>
  </si>
  <si>
    <t>LEDA LUCIA LOPEZ GOMEZ</t>
  </si>
  <si>
    <t>OPORTUNIDAD PARA TODOS</t>
  </si>
  <si>
    <t>SAN JOSE DE URE</t>
  </si>
  <si>
    <t>CUSTODIO LIBORIO ACOSTA URZOLA</t>
  </si>
  <si>
    <t>SAN PELAYO</t>
  </si>
  <si>
    <t>HARVING VLADIMIR ESPITIA ARTEAGA</t>
  </si>
  <si>
    <t>MANUEL FRANCISCO PAEZ AVILA</t>
  </si>
  <si>
    <t>ROBERTO ENRIQUE PAEZ VILLADIEGO</t>
  </si>
  <si>
    <t>ADER LUIS ESPITIA MERCADO</t>
  </si>
  <si>
    <t>TIERRALTA</t>
  </si>
  <si>
    <t>MIGUEL ANGEL TORDECILLA PEREZ</t>
  </si>
  <si>
    <t>JESUS DAVID CONTRERAS RODRIGUEZ</t>
  </si>
  <si>
    <t>DANIEL ENRIQUE MONTERO MONTES</t>
  </si>
  <si>
    <t xml:space="preserve">TIERRA ALTA SI SE PUEDE </t>
  </si>
  <si>
    <t>TUCHIN</t>
  </si>
  <si>
    <t>ALEXIS SALGADO AGUDELO</t>
  </si>
  <si>
    <t>JOSE JOAQUIN URANGO MORALES</t>
  </si>
  <si>
    <t>AQUILES ORTIZ NAVARRO</t>
  </si>
  <si>
    <t>VALENCIA</t>
  </si>
  <si>
    <t>MARIO ATENCIO DORIA</t>
  </si>
  <si>
    <t>JOSE LUIS MUÑOZ VARGAS</t>
  </si>
  <si>
    <t>CUNDINAMARCA</t>
  </si>
  <si>
    <t>AGUA DE DIOS</t>
  </si>
  <si>
    <t>LUIS FELIPE TAPIAS CARDENAS</t>
  </si>
  <si>
    <t>ELIANA ANDREA MANZANARES GONGORA</t>
  </si>
  <si>
    <t xml:space="preserve">GRAN ALIANZA POR AGUA DE DIOS con OPORTUNIDADES PARA TODOS </t>
  </si>
  <si>
    <t>DIEGO ALEJANDRO MESA BAQUERO</t>
  </si>
  <si>
    <t>AGUA DE DIOS CON DESARROLLO UN SUEÑO POSIBLE</t>
  </si>
  <si>
    <t>PEDRO HERNAN CAMACHO CASTAÑEDA</t>
  </si>
  <si>
    <t>UNIDOS POR AGUA DE DIOS</t>
  </si>
  <si>
    <t>ALBAN</t>
  </si>
  <si>
    <t>LILIANA BERNAL CONTRERAS</t>
  </si>
  <si>
    <t>GERMAN ENRIQUE ESPITIA CRUZ</t>
  </si>
  <si>
    <t>WILSON RODRIGUEZ DAZA</t>
  </si>
  <si>
    <t>GACHANCIPA</t>
  </si>
  <si>
    <t>KAREN MILENA LEON AROCA</t>
  </si>
  <si>
    <t>COALICION COMPROMETIDOS POR EL CAMBIO.</t>
  </si>
  <si>
    <t>ALFONSO LOPEZ SANCHEZ</t>
  </si>
  <si>
    <t>POR UNA MEJOR GACHANCIPA SEGURA, SOCIAL Y PROSPERA</t>
  </si>
  <si>
    <t>AUGUSTO SARMIENTO CIFUENTES</t>
  </si>
  <si>
    <t>COALICION ALCALDIA DE GACHANCIPA</t>
  </si>
  <si>
    <t>JULIO ENRIQUE SARMIENTO SANCHEZ</t>
  </si>
  <si>
    <t>TODOS HACEMOS EL CAMBIO</t>
  </si>
  <si>
    <t>GACHETA</t>
  </si>
  <si>
    <t>MILTON ALFONSO MARTIN VELANDIA</t>
  </si>
  <si>
    <t>LUIS HERNANDO VELANDIA BELTRAN</t>
  </si>
  <si>
    <t>MONICA ROMERO PARRA</t>
  </si>
  <si>
    <t>JAVIER ROLANDO FONSECA OLAYA</t>
  </si>
  <si>
    <t>ALIANZA POR GACHETA</t>
  </si>
  <si>
    <t>ADRIAN RODRIGUEZ RODRIGUEZ</t>
  </si>
  <si>
    <t>PARTIDO CONSERVADOR COLOMBIANO - AICO</t>
  </si>
  <si>
    <t>GAMA</t>
  </si>
  <si>
    <t>JUAN PABLO LINARES GOMEZ</t>
  </si>
  <si>
    <t>PARTIDO CONSERVADOR COLOMBIANO  - PU -CR</t>
  </si>
  <si>
    <t>GIRARDOT</t>
  </si>
  <si>
    <t>NESTOR IVAN PAREDES NARVAEZ</t>
  </si>
  <si>
    <t>SANDRA IVONNE SERRANO ARCINIEGAS</t>
  </si>
  <si>
    <t>JOSE FRANCISCO LOZANO SIERRA</t>
  </si>
  <si>
    <t>COALICION LOZANO ALCALDE</t>
  </si>
  <si>
    <t>JUAN PABLO OSPINA GUERRA</t>
  </si>
  <si>
    <t xml:space="preserve">JUNTOS PODEMOS </t>
  </si>
  <si>
    <t>SALOMON SAID ARIAS</t>
  </si>
  <si>
    <t>COALICION POR ALCALDIA DE GIRARDOT</t>
  </si>
  <si>
    <t>GUACHETA</t>
  </si>
  <si>
    <t>FABIAN ALONSO CAÑON RUBIANO</t>
  </si>
  <si>
    <t>JEFFER MANUEL SIATOBA BARBOSA</t>
  </si>
  <si>
    <t>GUACHETA UNIDA INCLUYENTE Y TRANSFORMADA</t>
  </si>
  <si>
    <t>GUADUAS</t>
  </si>
  <si>
    <t xml:space="preserve">DIEGO ARIEL JIMENEZ </t>
  </si>
  <si>
    <t>EVANGELISTA CORTES MAHECHA</t>
  </si>
  <si>
    <t>GUASCA</t>
  </si>
  <si>
    <t>GLORIA ALEXANDRA RINCON ZAMBRANO</t>
  </si>
  <si>
    <t>GUATAQUI</t>
  </si>
  <si>
    <t>MARIA NATALIA GODOY BARRERO</t>
  </si>
  <si>
    <t>LA RUTA DEL PROGRESO</t>
  </si>
  <si>
    <t>GUATAVITA</t>
  </si>
  <si>
    <t>WILSON ALEXANDER BAEZ RAMOS</t>
  </si>
  <si>
    <t>GUAYABAL DE SIQUIMA</t>
  </si>
  <si>
    <t>WILSON CRISTANCHO GAMBOA</t>
  </si>
  <si>
    <t>GUAYABETAL</t>
  </si>
  <si>
    <t>128</t>
  </si>
  <si>
    <t>SONIA YAMILE MORENO BAQUERO</t>
  </si>
  <si>
    <t>GUTIERREZ</t>
  </si>
  <si>
    <t>JUAN PABLO SANCHEZ MORALES</t>
  </si>
  <si>
    <t>UNIDOS POR GUTIERREZ</t>
  </si>
  <si>
    <t>ANOLAIMA</t>
  </si>
  <si>
    <t>FERNANDO RAMIREZ CASTAÑEDA</t>
  </si>
  <si>
    <t xml:space="preserve">JOSE JOAQUIN BERMUDEZ </t>
  </si>
  <si>
    <t>CARLOS ALEXYS GONZALEZ CHACON</t>
  </si>
  <si>
    <t>ANOLAIMA HAGAMOSLO YA</t>
  </si>
  <si>
    <t>132</t>
  </si>
  <si>
    <t>SANDRA RUEDA ACOSTA</t>
  </si>
  <si>
    <t>PARTIDO CONSERVADOR COLOMBIANO - CR - ASI</t>
  </si>
  <si>
    <t>JERUSALEN</t>
  </si>
  <si>
    <t>NIDIA ROCIO HUERTAS DIAZ</t>
  </si>
  <si>
    <t xml:space="preserve">JOSE DOMINGO TRIANA </t>
  </si>
  <si>
    <t>ALEXIS BARRERA BARRERO</t>
  </si>
  <si>
    <t>LUIS CARLOS SOLAQUE ROMERO</t>
  </si>
  <si>
    <t xml:space="preserve">TODOS DE LA MANO POR LA RENOVACIÃ“N Y EL CAMBIO </t>
  </si>
  <si>
    <t>GUILLERMO ENRIQUE GONZALEZ BERNAL</t>
  </si>
  <si>
    <t>JERUSALEN SOMOS TODOS</t>
  </si>
  <si>
    <t>JUNIN</t>
  </si>
  <si>
    <t>MARIO ALEJANDRO RODRIGUEZ GARAVITO</t>
  </si>
  <si>
    <t>LA CALERA</t>
  </si>
  <si>
    <t>LUIS ERNESTO GOMEZ ROZO</t>
  </si>
  <si>
    <t>ANDRES MAURICIO RINCON CHIMBACO</t>
  </si>
  <si>
    <t>CARLOS CENEN ESCOBAR RIOJA</t>
  </si>
  <si>
    <t>JUAN CARLOS HERNANDEZ AREVALO</t>
  </si>
  <si>
    <t>LA MESA</t>
  </si>
  <si>
    <t>OSCAR JAVIER ROSAS ARRUBLA</t>
  </si>
  <si>
    <t>GUILLERMO VARGAS RINCON</t>
  </si>
  <si>
    <t>UNA MESA PARA TODOS</t>
  </si>
  <si>
    <t>LA PALMA</t>
  </si>
  <si>
    <t>JOSE ANTONIO GONZALEZ BUSTOS</t>
  </si>
  <si>
    <t>LA PEÑA</t>
  </si>
  <si>
    <t>LEOVICELDO BELTRAN RAMIREZ</t>
  </si>
  <si>
    <t>SI SE DICE SE HACE</t>
  </si>
  <si>
    <t>LUIS ANGEL FARFAN TRIANA</t>
  </si>
  <si>
    <t>JHON FERLLI JIMENEZ GAMBA</t>
  </si>
  <si>
    <t>LENGUAZAQUE</t>
  </si>
  <si>
    <t>FRANCISCO HILDEBRANDO SANCHEZ DUARTE</t>
  </si>
  <si>
    <t xml:space="preserve">LENGUAZAQUE SOMOS TODOS </t>
  </si>
  <si>
    <t>FRANCISCO AUGUSTO LOPEZ RODRIGUEZ</t>
  </si>
  <si>
    <t>PARTIDO CONSERVADOR COLOMBIANO - CD - PL</t>
  </si>
  <si>
    <t>MACHETA</t>
  </si>
  <si>
    <t>JUAN BERNARDO CASTRO CASTILLO</t>
  </si>
  <si>
    <t xml:space="preserve">UN GOBIERNO PARA TODOS </t>
  </si>
  <si>
    <t>MADRID</t>
  </si>
  <si>
    <t>RONALD FELIPE LOAIZA BULLA</t>
  </si>
  <si>
    <t>ARBELAEZ</t>
  </si>
  <si>
    <t>JOSE RAMIRO ACUÑA RODRIGUEZ</t>
  </si>
  <si>
    <t>MANTA</t>
  </si>
  <si>
    <t>GUILLERMO ARTURO ROBAYO PIÑEROS</t>
  </si>
  <si>
    <t>LUIS FELIPE VASQUEZ LEON</t>
  </si>
  <si>
    <t>ACALDIA MANTA CUNDINAMARCA</t>
  </si>
  <si>
    <t>MEDINA</t>
  </si>
  <si>
    <t>IVAN RAMIRO GARZON SALGADO</t>
  </si>
  <si>
    <t>JHON WILMER BELTRAN PEÑA</t>
  </si>
  <si>
    <t>MOSQUERA</t>
  </si>
  <si>
    <t>GUSTAVO ADOLFO OSORIO RAMIREZ</t>
  </si>
  <si>
    <t>CARLOS ALFONSO SABOGAL MARTINEZ</t>
  </si>
  <si>
    <t>GIAN CARLO GEROMETTA BURBANO</t>
  </si>
  <si>
    <t>JUNTOS HACIA EL FUTURO DE MOSQUERA</t>
  </si>
  <si>
    <t>NEMOCON</t>
  </si>
  <si>
    <t>CRISTIAN CAMILO CARRILLO CHACON</t>
  </si>
  <si>
    <t>NEMOCON UN PROYECTO CON IDEAS</t>
  </si>
  <si>
    <t>JULIAN ALFREDO RODRIGUEZ MONTAÑO</t>
  </si>
  <si>
    <t>COALICION POR LA ALCALDIA DE NEMOCON</t>
  </si>
  <si>
    <t>LUIS HERNANDO PINZON VARGAS</t>
  </si>
  <si>
    <t>PARTIDO CONSERVADOR COLOMBIANO - AV</t>
  </si>
  <si>
    <t>NILO</t>
  </si>
  <si>
    <t>LEONARDO GOMEZ PEREZ</t>
  </si>
  <si>
    <t>ARMANDO LAVERDE VARGAS</t>
  </si>
  <si>
    <t>FREDY ALBERTO AMADO ANGULO</t>
  </si>
  <si>
    <t>AVANCEMOS JUNTOS POR NILO</t>
  </si>
  <si>
    <t>NIMAIMA</t>
  </si>
  <si>
    <t>LUIS AUGUSTO MENDEZ TRIANA</t>
  </si>
  <si>
    <t>JOSUE ORTIZ MORENO</t>
  </si>
  <si>
    <t>PARTIDO CONSERVADOR COLOMBIANO - PL</t>
  </si>
  <si>
    <t>NOCAIMA</t>
  </si>
  <si>
    <t>JUAN CARLOS VASQUEZ ARIAS</t>
  </si>
  <si>
    <t>PARTIDO CONSERVADOR COLOMBIANO - PU - CR</t>
  </si>
  <si>
    <t>PACHO</t>
  </si>
  <si>
    <t>NESTOR VICENTE OSTOS BUSTOS</t>
  </si>
  <si>
    <t>CARLOS JAVIER DIAZ SANCHEZ</t>
  </si>
  <si>
    <t>HECTOR ARNULFO DELGADO TRIANA</t>
  </si>
  <si>
    <t>EDWIN ARIEL ORTIZ FERNANDEZ</t>
  </si>
  <si>
    <t>OSCAR HERNANDO BABATIVA BONILLA</t>
  </si>
  <si>
    <t>BELTRAN</t>
  </si>
  <si>
    <t>FATINITZA JARAMILLO CARDENAS</t>
  </si>
  <si>
    <t xml:space="preserve">PARA SEGUIR AVANZANDO </t>
  </si>
  <si>
    <t>PAIME</t>
  </si>
  <si>
    <t>ALIS YANETH INFANTE RODRIGUEZ</t>
  </si>
  <si>
    <t>PASCA</t>
  </si>
  <si>
    <t>JAIRO ENRIQUE ARIAS VARGAS</t>
  </si>
  <si>
    <t>DIANA CAROLINA TORRES CASTELLANOS</t>
  </si>
  <si>
    <t xml:space="preserve">LABRAMOS JUNTOS Y COSECHAMOS TODOS </t>
  </si>
  <si>
    <t>PUERTO SALGAR</t>
  </si>
  <si>
    <t>DIANA CONSUELO TRIANA MELO</t>
  </si>
  <si>
    <t>PULI</t>
  </si>
  <si>
    <t>WILDER HERNAN ROMERO BENAVIDES</t>
  </si>
  <si>
    <t>QUEBRADANEGRA</t>
  </si>
  <si>
    <t>MIGUEL ANTONIO ALGECIRAS BUITRAGO</t>
  </si>
  <si>
    <t>FELIX ANTONIO NIETO BARRAGAN</t>
  </si>
  <si>
    <t>GERARDO ALVAREZ</t>
  </si>
  <si>
    <t>PARTIDO CONSERVADOR COLOMBIANO - CR-PU-PC</t>
  </si>
  <si>
    <t>QUETAME</t>
  </si>
  <si>
    <t>NUBIA INES NAVARRO NAVARRO</t>
  </si>
  <si>
    <t>UN SOLO TERRITORIO UNA SOLA VOZ</t>
  </si>
  <si>
    <t>EDWARD RAMIRO AGUILERA PARDO</t>
  </si>
  <si>
    <t>PARTIDO CONSERVADOR COLOMBIANO - RE</t>
  </si>
  <si>
    <t>QUIPILE</t>
  </si>
  <si>
    <t>NIDIA CRUZ ORTEGA</t>
  </si>
  <si>
    <t>TRABAJEMOS DE LA MANO POR QUIPILE</t>
  </si>
  <si>
    <t>APULO</t>
  </si>
  <si>
    <t>CHRISTYAN DAVID CRUZ LEAL</t>
  </si>
  <si>
    <t>LEALES CON APULO</t>
  </si>
  <si>
    <t>RICAURTE</t>
  </si>
  <si>
    <t>JOSE YESID OLAYA PALACIO</t>
  </si>
  <si>
    <t>MIGUEL CESAR GARCIA ESTRELLA</t>
  </si>
  <si>
    <t>SAN ANTONIO DEL TEQUENDAMA</t>
  </si>
  <si>
    <t>JOSE FLAMINIO VANEGAS</t>
  </si>
  <si>
    <t>JUNTOS POR EL SAN ANTONIO QUE QUEREMOS</t>
  </si>
  <si>
    <t>JOSE ANIBAL MANRIQUE AREVALO</t>
  </si>
  <si>
    <t xml:space="preserve"> SAN ANTONIO MISIÃ“N DE TODOS </t>
  </si>
  <si>
    <t>SAN BERNARDO</t>
  </si>
  <si>
    <t>ERNESTO MARIN PEÑARANDA</t>
  </si>
  <si>
    <t>DAVID SANCHEZ TORRES</t>
  </si>
  <si>
    <t>PEDRO JULIO GUTIERREZ SABOGAL</t>
  </si>
  <si>
    <t>SAN BERNARDO NOS UNE</t>
  </si>
  <si>
    <t>SAN CAYETANO</t>
  </si>
  <si>
    <t>ELVER EDILSON UMAÑA SIERRA</t>
  </si>
  <si>
    <t>COMPROMISO POR SAN CAYETANO</t>
  </si>
  <si>
    <t>YEIMY YADIRA CAÑON SALAZAR</t>
  </si>
  <si>
    <t>LIDERES TRABAJANDO POR SAN CAYETANO</t>
  </si>
  <si>
    <t>PEDRO FERNANDO BALLEN BARACALDO</t>
  </si>
  <si>
    <t>JORGE ENRIQUE INFANTE BERMUDEZ</t>
  </si>
  <si>
    <t>YEISON STIB BOHORQUEZ CONTRERAS</t>
  </si>
  <si>
    <t>COALICION SAN FRANCISCO</t>
  </si>
  <si>
    <t>SAN JUAN DE RIOSECO</t>
  </si>
  <si>
    <t>CAMILO ANDRES MOGOLLON AMAZO</t>
  </si>
  <si>
    <t xml:space="preserve">HAGAMOS EQUIPO POR SAN JUAN </t>
  </si>
  <si>
    <t>ERIKA CONSTANZA GONZALEZ RUBIO</t>
  </si>
  <si>
    <t>POR TI SAN JUAN</t>
  </si>
  <si>
    <t>SASAIMA</t>
  </si>
  <si>
    <t>ARTURO JIMENEZ PULIDO</t>
  </si>
  <si>
    <t xml:space="preserve">SI PODEMOS </t>
  </si>
  <si>
    <t>DANNY ENRIQUE RICO ZAMORA</t>
  </si>
  <si>
    <t>PARTIDO CONSERVADOR CONSERVADOR - PU - PL</t>
  </si>
  <si>
    <t>SESQUILE</t>
  </si>
  <si>
    <t>LUIS ALFONSO HUERTAS SARMIENTO</t>
  </si>
  <si>
    <t>ELSA QUINTERO MARTINEZ</t>
  </si>
  <si>
    <t xml:space="preserve">GESTION Y APOYO TODOS POR UN MEJOR  FUTURO </t>
  </si>
  <si>
    <t>HECTOR ORLANDO DIAZ GOMEZ</t>
  </si>
  <si>
    <t>PARTIDO CONSERVADOR COLOMBIANO PL - AV</t>
  </si>
  <si>
    <t>SIBATE</t>
  </si>
  <si>
    <t>239</t>
  </si>
  <si>
    <t>CARLOS ALFONSO LOPEZ PARRA</t>
  </si>
  <si>
    <t>EN CAMINO AL DESARROLLO</t>
  </si>
  <si>
    <t>SILVANIA</t>
  </si>
  <si>
    <t>GASPAR ALFONSO PRIETO GONZALEZ</t>
  </si>
  <si>
    <t>JUAN DE JESUS PULIDO GARZON</t>
  </si>
  <si>
    <t>NOHORA ELIZABETH SANCHEZ SUAREZ</t>
  </si>
  <si>
    <t>TODOS POR SILVANIA</t>
  </si>
  <si>
    <t>SIMIJACA</t>
  </si>
  <si>
    <t>EDGAR AGUILAR CASTRO</t>
  </si>
  <si>
    <t>PARTIDO CONSERVADOR COLOMBIANO-CR</t>
  </si>
  <si>
    <t>SOACHA</t>
  </si>
  <si>
    <t>JUAN CARLOS SALDARRIAGA GAVIRIA</t>
  </si>
  <si>
    <t>SOACHA CIUDAD PODEROSA</t>
  </si>
  <si>
    <t>JORGE GIOVANNI RAMIREZ MOYA</t>
  </si>
  <si>
    <t>ALIANZA POR SOACHA</t>
  </si>
  <si>
    <t>JOSE ERNESTO MORALES MORALES</t>
  </si>
  <si>
    <t xml:space="preserve">SOACHA HUMANA Y ALTERNATIVA </t>
  </si>
  <si>
    <t>SOPO</t>
  </si>
  <si>
    <t xml:space="preserve">MAURICIO ROMERO </t>
  </si>
  <si>
    <t>CARLOS HERNAN PENAGOS PEÑA</t>
  </si>
  <si>
    <t>SOPO - COALICION</t>
  </si>
  <si>
    <t>SUESCA</t>
  </si>
  <si>
    <t>RICHARD FRANKLYN SINTURA PORRAS</t>
  </si>
  <si>
    <t>DIEGO EDUARDO CANESTO ARENAS</t>
  </si>
  <si>
    <t xml:space="preserve">COALICIÃ“N SUESCA PROGRESA </t>
  </si>
  <si>
    <t>SUPATA</t>
  </si>
  <si>
    <t>VIRGILIO GUTIERREZ</t>
  </si>
  <si>
    <t>ES EL CAMBIO</t>
  </si>
  <si>
    <t>SUSA</t>
  </si>
  <si>
    <t>XIMENA BALLESTEROS CASTILLO</t>
  </si>
  <si>
    <t>JUAN GABRIEL FUQUENE ALARCON</t>
  </si>
  <si>
    <t>SUTATAUSA</t>
  </si>
  <si>
    <t>LUIS JOSE BOADA GONZALEZ</t>
  </si>
  <si>
    <t>JOSE HUMBERTO RODRIGUEZ QUIROGA</t>
  </si>
  <si>
    <t>POR EL PROGRESO DE SUTATAUSA</t>
  </si>
  <si>
    <t>TABIO</t>
  </si>
  <si>
    <t>BLANCA FLOR JULIO GIRALDO</t>
  </si>
  <si>
    <t>LEONEL RIOS HERNANDEZ</t>
  </si>
  <si>
    <t>YINNA MARCELA GARCIA FLORIDO</t>
  </si>
  <si>
    <t>JAIRO IGNACIO CORTES DIAZ</t>
  </si>
  <si>
    <t>CESAR MAURICIO GARCIA MONTANO</t>
  </si>
  <si>
    <t>PABLO ENRIQUE CAMACHO CARRILLO</t>
  </si>
  <si>
    <t>PODEMOS HACERLO MEJOR</t>
  </si>
  <si>
    <t>TAUSA</t>
  </si>
  <si>
    <t>JOSE MANUEL FONSECA USCATEGUI</t>
  </si>
  <si>
    <t>TITO JAVIER PACHON GOMEZ</t>
  </si>
  <si>
    <t>TAUSA... TRANSFORMACIÃ“N EN MARCHA</t>
  </si>
  <si>
    <t>TENA</t>
  </si>
  <si>
    <t>VICTOR JULIO MORENO ALFONSO</t>
  </si>
  <si>
    <t xml:space="preserve">TENA RESPONSABILIDAD DE TODOS </t>
  </si>
  <si>
    <t>TENJO</t>
  </si>
  <si>
    <t>IVAN DAVID NEMOCON ESPINOSA</t>
  </si>
  <si>
    <t>RAQUEL FORERO MEJIA</t>
  </si>
  <si>
    <t>DANIEL GUTIERREZ CAÑIZARES</t>
  </si>
  <si>
    <t>GUSTAVO EDDISON BELTRAN ORTIZ</t>
  </si>
  <si>
    <t>MOVIMIENTO SOCIAL RENACER POR UN TENJO DE OPORTUNIDADES RETO</t>
  </si>
  <si>
    <t>ALBERTO JAVIER GARCIA HERNANDEZ</t>
  </si>
  <si>
    <t>RECUPERAR EL RUMBO</t>
  </si>
  <si>
    <t>TIBACUY</t>
  </si>
  <si>
    <t>OMAR MONDRAGON BELTRAN</t>
  </si>
  <si>
    <t xml:space="preserve">TIBACUY EMPODERADO AGRO TURISTICO Y COMPROMETIDO CON EL MEDIO AMBIENTE </t>
  </si>
  <si>
    <t>YOHANA YADIRA ALDANA PABON</t>
  </si>
  <si>
    <t>TIBIRITA</t>
  </si>
  <si>
    <t>MARIA ANTONIA MARTIN MATEUS</t>
  </si>
  <si>
    <t>NUESTRO OBJETIVO ES TIBIRITA</t>
  </si>
  <si>
    <t>GUSTAVO MAHECHA CONTRERAS</t>
  </si>
  <si>
    <t>PARTIDO CONSERVADOR COLOMBIANO  - CR - RE</t>
  </si>
  <si>
    <t>TOCAIMA</t>
  </si>
  <si>
    <t>ROBINSON MORA HERRERA</t>
  </si>
  <si>
    <t>JANNETH STEPHANY MURILLO CASTILLO</t>
  </si>
  <si>
    <t xml:space="preserve">UNIDOS CONSTRUYENDO TOCAIMA </t>
  </si>
  <si>
    <t>JULIAN RODRIGO MORA PINEDA</t>
  </si>
  <si>
    <t xml:space="preserve">FUTURO EN MARCHA </t>
  </si>
  <si>
    <t>TOCANCIPA</t>
  </si>
  <si>
    <t>CARLOS HUMBERTO CUESTAS CASAS</t>
  </si>
  <si>
    <t>URIEL PARDO OLARTE</t>
  </si>
  <si>
    <t>TOCANCIPA, EL MOMENTO ES AHORA</t>
  </si>
  <si>
    <t>JORGE ANDRES PORRAS VARGAS</t>
  </si>
  <si>
    <t xml:space="preserve">AVANCEMOS TOCANCIPA  </t>
  </si>
  <si>
    <t>TOPAIPI</t>
  </si>
  <si>
    <t>WILMAR SEGURA BARACALDO</t>
  </si>
  <si>
    <t>UBALA</t>
  </si>
  <si>
    <t>REYES DANILO LESMES CABALLERO</t>
  </si>
  <si>
    <t>WILLIAM CAMACHO URREGO</t>
  </si>
  <si>
    <t>LAS ACCIONES HACEN LA DIFERENCIA CON INCLUSIÃ“N SOCIAL</t>
  </si>
  <si>
    <t>CRISPIN DE JESUS BELTRAN URREGO</t>
  </si>
  <si>
    <t>PARTIDO CONSERVADOR COLOMBIANO - PU - ASI- CD</t>
  </si>
  <si>
    <t>CACHIPAY</t>
  </si>
  <si>
    <t>30</t>
  </si>
  <si>
    <t>JOSE ARCADIO CARDENAS MARTINEZ</t>
  </si>
  <si>
    <t>TRANSPARENCIA GESTIÃ“N COMPROMISO</t>
  </si>
  <si>
    <t>UBAQUE</t>
  </si>
  <si>
    <t>AIDA LILIANA VELASQUEZ PARDO</t>
  </si>
  <si>
    <t>UBAQUE UN GOBIERNO DE VERDAD</t>
  </si>
  <si>
    <t>UNE</t>
  </si>
  <si>
    <t>FREDY ALONSO CUBILLOS POVEDA</t>
  </si>
  <si>
    <t>NUESTRO COMPROMISO ES UNE</t>
  </si>
  <si>
    <t>ALVARO GOMEZ RICO</t>
  </si>
  <si>
    <t xml:space="preserve">UNE VIVE  </t>
  </si>
  <si>
    <t>CAJICA</t>
  </si>
  <si>
    <t>FABIOLA JACOME RINCON</t>
  </si>
  <si>
    <t>CAJICA ES EL MOMENTO</t>
  </si>
  <si>
    <t>MARIA TERESA PIEDRAHITA CORDOBA</t>
  </si>
  <si>
    <t>CAJICÃ¡ TRANSPARENTE</t>
  </si>
  <si>
    <t>FABIO HERNAN RAMIREZ RODRIGUEZ</t>
  </si>
  <si>
    <t>UNIDOS CON TODA SEGURIDAD</t>
  </si>
  <si>
    <t>UTICA</t>
  </si>
  <si>
    <t>JOSE GABRIEL HERNANDEZ BELTRAN</t>
  </si>
  <si>
    <t>318</t>
  </si>
  <si>
    <t>YONY ALEXANDER ROMERO CRUZ</t>
  </si>
  <si>
    <t>NUEVAS IDEAS NUEVO LIDERAZGO</t>
  </si>
  <si>
    <t xml:space="preserve">ALEJANDRO MONTEALEGRE </t>
  </si>
  <si>
    <t>PARTIDO CONSERVADOR COLOMBIANO - AICO - MAIS</t>
  </si>
  <si>
    <t>VERGARA</t>
  </si>
  <si>
    <t>ADRIANA MARIA HERNANDEZ OLARTE</t>
  </si>
  <si>
    <t>PARTIDO CONSERVADOR COLOMBIANO - CD  -PU</t>
  </si>
  <si>
    <t>VILLAGOMEZ</t>
  </si>
  <si>
    <t>323</t>
  </si>
  <si>
    <t>SANDRA YESNEY PADILLA SANTANA</t>
  </si>
  <si>
    <t>VILLAPINZON</t>
  </si>
  <si>
    <t>NELSON JAVIER TORRES ROMERO</t>
  </si>
  <si>
    <t>VILLAPINZON PRIMERO LO NUESTRO</t>
  </si>
  <si>
    <t>DIEGO ORLANDO MOLINA PEÑARANDA</t>
  </si>
  <si>
    <t>PARTIDO CONSERVADOR COLOMBIANO - CD -ASI</t>
  </si>
  <si>
    <t>VILLETA</t>
  </si>
  <si>
    <t>YESID GALVIS SANCHEZ</t>
  </si>
  <si>
    <t>HERNAN ALONSO MORENO</t>
  </si>
  <si>
    <t>GRUPO SIGNIFICATIVO FIRMANDO POR VILLETA Y EL PARTIDO CONSERVADOR</t>
  </si>
  <si>
    <t>FREDDY RODRIGO HERNANDEZ MORERA</t>
  </si>
  <si>
    <t>ALCALDE DE VILLETA</t>
  </si>
  <si>
    <t>VIOTA</t>
  </si>
  <si>
    <t>331</t>
  </si>
  <si>
    <t>CARLOS EDUARDO GAMEZ BOHORQUEZ</t>
  </si>
  <si>
    <t>YACOPI</t>
  </si>
  <si>
    <t>JOSE GUILLERMO BERNAL PEREZ</t>
  </si>
  <si>
    <t>JULIAN RODRIGUEZ VALLEJO</t>
  </si>
  <si>
    <t>HERLING ZUCED ESCOBAR TOVAR</t>
  </si>
  <si>
    <t>AVANZA YACOPI</t>
  </si>
  <si>
    <t>WILKINSON ALFONSO FLORIDO ALVAREZ</t>
  </si>
  <si>
    <t>EN ACCION RENOVADORA POR YACOPI</t>
  </si>
  <si>
    <t>ZIPACON</t>
  </si>
  <si>
    <t>JOHN ALEXANDER RIVEROS RIVEROS</t>
  </si>
  <si>
    <t>ALVARO GABRIEL PRADA GONZALEZ</t>
  </si>
  <si>
    <t>CRIST INDIRA RAMOS NOPE</t>
  </si>
  <si>
    <t>ZIPACON GENTE DE CORAZON</t>
  </si>
  <si>
    <t>ZIPAQUIRA</t>
  </si>
  <si>
    <t>DAVID RICARDO BARACALDO VELEZ</t>
  </si>
  <si>
    <t>GERMAN FELIPE VANEGAS CALA</t>
  </si>
  <si>
    <t>ZIPAQUIRA LIBRES</t>
  </si>
  <si>
    <t>NYDIA YOLIMA CORREDOR HERNANDEZ</t>
  </si>
  <si>
    <t>COALICION INDEPENDIENTE ZIPAQUIRA ES MÃ¡S CONTIGO</t>
  </si>
  <si>
    <t>CAPARRAPI</t>
  </si>
  <si>
    <t>NINFA TRIANA MEDINA</t>
  </si>
  <si>
    <t>GONZALO RAMIREZ GAITAN</t>
  </si>
  <si>
    <t xml:space="preserve">CARLOS HUMBERTO CALVO </t>
  </si>
  <si>
    <t>EDUARD ADOLFO SALGUERO MAHECHA</t>
  </si>
  <si>
    <t>CAPARRAPI TAREA DE TODOS</t>
  </si>
  <si>
    <t>CAQUEZA</t>
  </si>
  <si>
    <t>ALBA YOLIMA BENITO CLAVIJO</t>
  </si>
  <si>
    <t>CARMEN DE CARUPA</t>
  </si>
  <si>
    <t>GIOVANNI MURCIA LEYVA</t>
  </si>
  <si>
    <t xml:space="preserve">CONSTRUYENDO SOCIEDAD,GOBIERNO DE RESULTADOS </t>
  </si>
  <si>
    <t>ANDRES FELIPE RODRIGUEZ MURCIA</t>
  </si>
  <si>
    <t>PARTIDO CONSERVADOR COLOMBIANO    - AV</t>
  </si>
  <si>
    <t>COGUA</t>
  </si>
  <si>
    <t>JORGE ESTID GARNICA TINJACA</t>
  </si>
  <si>
    <t>JORGE ENRIQUE SALAZAR RAMOS</t>
  </si>
  <si>
    <t>NESTOR ALONSO GUERRERO NEME</t>
  </si>
  <si>
    <t>COALICIÃ“N PROGRAMÃTICA Y POLÃTICA ENTRE PARTIDO SOCIAL DE UNIDAD NACIONAL PARTIDO DE LA U Y MOVI</t>
  </si>
  <si>
    <t>CRISTIAN CHAVEZ SALAS</t>
  </si>
  <si>
    <t>SENTIDO POR LO NUESTRO</t>
  </si>
  <si>
    <t>COTA</t>
  </si>
  <si>
    <t>GABRIEL EDUARDO RAMIREZ RUIZ</t>
  </si>
  <si>
    <t>NESTOR ORLANDO BALSERO GARCIA</t>
  </si>
  <si>
    <t>NESTOR ORLANDO GUITARRERO SANCHEZ</t>
  </si>
  <si>
    <t>OLIVER FRANCO FONSECA</t>
  </si>
  <si>
    <t>SEAMOS FRANCOS CON COTA</t>
  </si>
  <si>
    <t>CUCUNUBA</t>
  </si>
  <si>
    <t>CAMILO ERNESTO GOMEZ SUAREZ</t>
  </si>
  <si>
    <t>CHAGUANI</t>
  </si>
  <si>
    <t>EDGAR ALEXANDER MEDINA MAHECHA</t>
  </si>
  <si>
    <t>ANDRES FELIPE MORENO RUBIO</t>
  </si>
  <si>
    <t>CHAGUANÃ, ES NUESTRO COMPROMISO</t>
  </si>
  <si>
    <t>CHIA</t>
  </si>
  <si>
    <t>JUAN PABLO RAMIREZ GALINDO</t>
  </si>
  <si>
    <t>FLOR DE MARIA CELY LOPEZ</t>
  </si>
  <si>
    <t>DIEGO RAUL ROMERO SERRANO</t>
  </si>
  <si>
    <t>JAVIER ANTONIO CASTELLANOS SIERRA</t>
  </si>
  <si>
    <t>ORLANDO GAONA OVALLE</t>
  </si>
  <si>
    <t>JORGE ORLANDO GAITAN MAHECHA</t>
  </si>
  <si>
    <t>CHIA ALIANZA DE TODOS</t>
  </si>
  <si>
    <t>SANDRA HOYOS ACOSTA</t>
  </si>
  <si>
    <t>PENSANDO Y SOÑANDO EN CHIA</t>
  </si>
  <si>
    <t>LUZ ALEJANDRA RODRIGUEZ PRIETO</t>
  </si>
  <si>
    <t>DE CORAZON POR CHIA - AICO</t>
  </si>
  <si>
    <t>WILLIAM EVERARDO TAMAYO DONOSO</t>
  </si>
  <si>
    <t>FIRMES Y AVANZANDO</t>
  </si>
  <si>
    <t>CHIPAQUE</t>
  </si>
  <si>
    <t>CAMILO ALBEIRO PARDO MUÑOZ</t>
  </si>
  <si>
    <t>PARTIDO CONSERVADOR COLOMBIANO - ASI - CD</t>
  </si>
  <si>
    <t>CHOCONTA</t>
  </si>
  <si>
    <t>MIGUEL ANTONIO RODRIGUEZ ESTUPIÑAN</t>
  </si>
  <si>
    <t>CESAR AUGUSTO ROBAYO MELO</t>
  </si>
  <si>
    <t>ARNULFO GUTIERREZ CAMARGO</t>
  </si>
  <si>
    <t>JAVIER GARZON FARFAN</t>
  </si>
  <si>
    <t>JOSE JAIME PINZON RIAÑO</t>
  </si>
  <si>
    <t>COALICIÃ“N PROGRAMÃTICA Y POLÃTICA ENTRE PARTIDO SOCIAL DE UNIDAD NACIONAL PARTIDO DE LA U Y PART</t>
  </si>
  <si>
    <t>RODRIGO ARMANDO CHICUASUQUE FERNANDEZ</t>
  </si>
  <si>
    <t>UNIDOS Y COMPROMETIDOS POR CHOCONTA</t>
  </si>
  <si>
    <t>EL COLEGIO</t>
  </si>
  <si>
    <t>GILBERTO MORENO VARGAS</t>
  </si>
  <si>
    <t>ALEXANDER ELIZALDE GARCIA</t>
  </si>
  <si>
    <t>DIEGO ANDRES LOPEZ SUAREZ</t>
  </si>
  <si>
    <t>MESITAS SEGUIRA AVANZANDO</t>
  </si>
  <si>
    <t>ANDRES HERNANDO GUERRERO PUERTO</t>
  </si>
  <si>
    <t>UNIDOS ES POSIBLE</t>
  </si>
  <si>
    <t>NILSON JAVIER TRIANA BUITRAGO</t>
  </si>
  <si>
    <t>EL ROSAL</t>
  </si>
  <si>
    <t>JORGE MIKAN SALGADO</t>
  </si>
  <si>
    <t>OALICIÃ“N PROGRAMÃTICA Y POLÃTICA ENTRE PARTIDO SOCIAL DE UNIDAD NACIONAL PARTIDO DE LA U 2 PART</t>
  </si>
  <si>
    <t>FACATATIVA</t>
  </si>
  <si>
    <t>FRANCISCO ALVARO FAJARDO PINILLA</t>
  </si>
  <si>
    <t>PABLO EVARISTO BERNAL MURILLO</t>
  </si>
  <si>
    <t>ALBA ROCIO GARCIA GOMEZ</t>
  </si>
  <si>
    <t>GUILLERMO EDUARDO ALDANA DIMAS</t>
  </si>
  <si>
    <t>DIEGO HERNAN GARZON PLAZAS</t>
  </si>
  <si>
    <t>COALICIÃ“N DIEGO GARZON ALCALDE</t>
  </si>
  <si>
    <t>MARTHA HAYDEE CARRILLO SIERRA</t>
  </si>
  <si>
    <t>FOMEQUE</t>
  </si>
  <si>
    <t>JORGE ARTURO ROMERO ROMERO</t>
  </si>
  <si>
    <t>NELSON ALBEIRO TORRES PARRADO</t>
  </si>
  <si>
    <t>CARLOS ARTURO ROJAS SANABRIA</t>
  </si>
  <si>
    <t>EDUAR ESNEIDER ACOSTA VARGAS</t>
  </si>
  <si>
    <t>PARTIDO SOCIAL DE UNIDAD NACIONAL Y MOVIMIENTO ALTERNATIVO INDÃGENA Y SOCIAL - MAIS</t>
  </si>
  <si>
    <t>FOSCA</t>
  </si>
  <si>
    <t>JOSE GILBERTO REY ROMERO</t>
  </si>
  <si>
    <t>PARTIDO CONSERVADOR COLOMBIANO - P U</t>
  </si>
  <si>
    <t>FUNZA</t>
  </si>
  <si>
    <t>DANIEL FELIPE BERNAL MONTEALEGRE</t>
  </si>
  <si>
    <t xml:space="preserve">CONTIGO FUNZA EVOLUCIONA </t>
  </si>
  <si>
    <t>FUQUENE</t>
  </si>
  <si>
    <t>WALTER JEISON MORA CASTIBLANCO</t>
  </si>
  <si>
    <t>MAURICIO CARRILLO GARZON</t>
  </si>
  <si>
    <t>GOBIERNO CON SERIEDAD Y COMPROMISO</t>
  </si>
  <si>
    <t>CESARROSBEN YESID PAEZ RINCON</t>
  </si>
  <si>
    <t>FUQUENE SOMOS TODOS</t>
  </si>
  <si>
    <t>FUSAGASUGA</t>
  </si>
  <si>
    <t>ALBERT GIOVANNI GARAY RODRIGUEZ</t>
  </si>
  <si>
    <t>JHON JAIRO HORTUA VILLALBA</t>
  </si>
  <si>
    <t>OMAR ORLANDO ORTIZ ORTIZ</t>
  </si>
  <si>
    <t>ALEYDA BEYANITH GAVIRIA MONTOYA</t>
  </si>
  <si>
    <t>PACTO POR FUSAGASUGA</t>
  </si>
  <si>
    <t>WILLIAM MAHECHA SASIPA</t>
  </si>
  <si>
    <t>PARTIDO CONSERVADOR COLOMBIANO -  ADA</t>
  </si>
  <si>
    <t>BOGOTA D.C.</t>
  </si>
  <si>
    <t>Bogota, D.C.</t>
  </si>
  <si>
    <t>CARLOS FERNANDO GALAN PACHON</t>
  </si>
  <si>
    <t>BOGOTÃ PARA LA GENTE</t>
  </si>
  <si>
    <t>CHOCO</t>
  </si>
  <si>
    <t>17</t>
  </si>
  <si>
    <t>QUIBDO</t>
  </si>
  <si>
    <t>WAGNER ONEILL MOSQUERA PALACIOS</t>
  </si>
  <si>
    <t>RICARDO ISAAC MORENO CUESTA</t>
  </si>
  <si>
    <t>HAROLD MOSQUERA RENGIFO</t>
  </si>
  <si>
    <t>POR QUIBDÃ“</t>
  </si>
  <si>
    <t>ATRATO</t>
  </si>
  <si>
    <t>EUCLIDES PINO CORDOBA</t>
  </si>
  <si>
    <t>JUAN GENECY BEJARANO MARTINEZ</t>
  </si>
  <si>
    <t>JESUS HEBERT THERAN HINESTROZA</t>
  </si>
  <si>
    <t>DE CORAZON CON INDU</t>
  </si>
  <si>
    <t>ACANDI</t>
  </si>
  <si>
    <t>EDWIN FERNANDO SERNA DAVID</t>
  </si>
  <si>
    <t>FELIX ENRIQUE RAMOS SERRANO</t>
  </si>
  <si>
    <t>EMILIA BELLO ALTAMIRANDA</t>
  </si>
  <si>
    <t>ACANDI UN PROYECTO DE TODOS</t>
  </si>
  <si>
    <t>ASAEL RODRIGUEZ PALACIOS</t>
  </si>
  <si>
    <t>JUMA COLOMBIA RENANCIENTE</t>
  </si>
  <si>
    <t>ALTO BAUDO</t>
  </si>
  <si>
    <t>TULIO MOSQUERA ASPRILLA</t>
  </si>
  <si>
    <t>LORENZO PALACIOS MENDOZA</t>
  </si>
  <si>
    <t>ULISES PALACIOS PALACIOS</t>
  </si>
  <si>
    <t>CREO EN TI ALTO BAUDO CON DIOS Y EL PUEBLO - EL PROGRESO CONTINUA</t>
  </si>
  <si>
    <t>FREDYS PALACIOS RAMIREZ</t>
  </si>
  <si>
    <t xml:space="preserve">VAMOS EN EL CAMINO CORRECTO SIENDO POSIBLE UN FUTURO PARA TODOS </t>
  </si>
  <si>
    <t>BAJO BAUDO</t>
  </si>
  <si>
    <t>JESUS ENOR BUENAVENTURA IBARGUEN</t>
  </si>
  <si>
    <t>BOJAYA</t>
  </si>
  <si>
    <t>ORLANDO HINESTROZA MOSQUERA</t>
  </si>
  <si>
    <t>CONDOTO</t>
  </si>
  <si>
    <t>JAVIER ANTONIO HINESTROZA PINO</t>
  </si>
  <si>
    <t>LA TUTOMANIA UNIDOS SOMOS MAS POR CONDOTO</t>
  </si>
  <si>
    <t>EL CARMEN</t>
  </si>
  <si>
    <t>NATALIA ANDREA MAZO PEREZ</t>
  </si>
  <si>
    <t>JORGE LUIS SANCHEZ CARO</t>
  </si>
  <si>
    <t>RAMON ANTONIO CARTAGENA MORALES</t>
  </si>
  <si>
    <t>JAIME ARTURO HERRERA MAYA</t>
  </si>
  <si>
    <t>UN GOBIERNO SOCIAL CON INCLUSION PARA TODOS</t>
  </si>
  <si>
    <t>ALBEIRO ZULETA RESTREPO</t>
  </si>
  <si>
    <t>CAMINANDO UNIDOS POR EL ATRATO</t>
  </si>
  <si>
    <t>EL CANTON DEL SAN PABLO</t>
  </si>
  <si>
    <t>HAROL PALACIOS MOSQUERA</t>
  </si>
  <si>
    <t>OSCAR ANTONIO PALACIOS PALACIOS</t>
  </si>
  <si>
    <t>PROSPERIDAD PA MI GENTE</t>
  </si>
  <si>
    <t>ISTMINA</t>
  </si>
  <si>
    <t>MARIA PAULA RIVAS ASPRILLA</t>
  </si>
  <si>
    <t>JHON JAIRO MOSQUERA MOSQUERA</t>
  </si>
  <si>
    <t>JAISON MOSQUERA SANCHEZ</t>
  </si>
  <si>
    <t>UNIDOS POR ITSMINA</t>
  </si>
  <si>
    <t>JURADO</t>
  </si>
  <si>
    <t>JENNY LUCIA RIVAS HERRERA</t>
  </si>
  <si>
    <t>DENIO JIMENEZ RIVAS</t>
  </si>
  <si>
    <t>LLORO</t>
  </si>
  <si>
    <t>ALVARO MATURANA RAMIREZ</t>
  </si>
  <si>
    <t>LORLEYVIS RENTERIA GUTIERREZ</t>
  </si>
  <si>
    <t>LLORO SOMOS TODOS SIEMPRE ADELANTE</t>
  </si>
  <si>
    <t>MEDIO BAUDO</t>
  </si>
  <si>
    <t>LUIS FABIO POTES ANGULO</t>
  </si>
  <si>
    <t>MEDIO SAN JUAN</t>
  </si>
  <si>
    <t>MARLEN YECED COPETE PEREA</t>
  </si>
  <si>
    <t>JHON LEIVINSON CRUZ AGUILAR</t>
  </si>
  <si>
    <t>YESID MOSQUERA IBARGUEN</t>
  </si>
  <si>
    <t>JUNTOS LO HAREMOS POSIBLE POR EL MEDIO SAN JUAN</t>
  </si>
  <si>
    <t>NOVITA</t>
  </si>
  <si>
    <t>LUIS GERARDO MOSQUERA HURTADO</t>
  </si>
  <si>
    <t>MIGUEL ANTONIO SALAZAR LOPEZ</t>
  </si>
  <si>
    <t>JANISED VELASQUEZ MOSQUERA</t>
  </si>
  <si>
    <t>LEON FABIO HURTADO MOSQUERA</t>
  </si>
  <si>
    <t>POR UNA NOVITA MEJOR PARA TODOS</t>
  </si>
  <si>
    <t>NUQUI</t>
  </si>
  <si>
    <t>WILMAN PEREA PANDALES</t>
  </si>
  <si>
    <t>GUILLERMO MENA MARMOLEJO</t>
  </si>
  <si>
    <t>MERECILDITO CABRERA MECHA</t>
  </si>
  <si>
    <t>CON MINGA HACEMOS MAS</t>
  </si>
  <si>
    <t>RIO IRO</t>
  </si>
  <si>
    <t>EDSON DE JESUS PEREA MOSQUERA</t>
  </si>
  <si>
    <t>RIO QUITO</t>
  </si>
  <si>
    <t>JULIAN MOSQUERA MENA</t>
  </si>
  <si>
    <t>HERLIN ANTONIO MOSQUERA CORDOBA</t>
  </si>
  <si>
    <t>EL BUEN HIJO VUELVE A CASA</t>
  </si>
  <si>
    <t>SAN JOSE DEL PALMAR</t>
  </si>
  <si>
    <t>ANGELA MARIA ESCOBAR ARIAS</t>
  </si>
  <si>
    <t>CRISTOBAL GIRALDO CALDERON</t>
  </si>
  <si>
    <t>YINA MARELVY MORENO MOSQUERA</t>
  </si>
  <si>
    <t>EL LITORAL DEL SAN JUAN</t>
  </si>
  <si>
    <t>38</t>
  </si>
  <si>
    <t>ELIO CARLINO MORENO IBARGUEN</t>
  </si>
  <si>
    <t>MILTON MENA MORENO</t>
  </si>
  <si>
    <t>JHON JAIRO GUTIERREZ PRETEL</t>
  </si>
  <si>
    <t>LIBORIO ROSERO CACERES</t>
  </si>
  <si>
    <t>SIPI</t>
  </si>
  <si>
    <t>MELQUIN FERNANDO MURILLO MORENO</t>
  </si>
  <si>
    <t>JUAN WILMER RIVAS MURILLO</t>
  </si>
  <si>
    <t>TADO</t>
  </si>
  <si>
    <t>WILSON EMIRO MURILLO PEÑA</t>
  </si>
  <si>
    <t>AULIO CESAR LEDEZMA COPETE</t>
  </si>
  <si>
    <t>JUNTOS POR TADÃ“- GESTIÃ“N Y RESULTADOS</t>
  </si>
  <si>
    <t>UNGUIA</t>
  </si>
  <si>
    <t>48</t>
  </si>
  <si>
    <t>JUAN DAVID QUINTO CAMPAÑA</t>
  </si>
  <si>
    <t>ANUAR FERNANDO TAPIAS RUIZ</t>
  </si>
  <si>
    <t>UNION PANAMERICANA</t>
  </si>
  <si>
    <t xml:space="preserve">GEYSON COPETE </t>
  </si>
  <si>
    <t>LA UNION SOMOS TODOS</t>
  </si>
  <si>
    <t>HUILA</t>
  </si>
  <si>
    <t>NEIVA</t>
  </si>
  <si>
    <t>CIELO ORTIZ SERRATO</t>
  </si>
  <si>
    <t>JOSE FERNEY DUCUARA CASTRO</t>
  </si>
  <si>
    <t>GERMAN CASAGUA BONILLA</t>
  </si>
  <si>
    <t>ACCIONES POR NEIVA</t>
  </si>
  <si>
    <t>GORKY MUÑOZ CALDERON</t>
  </si>
  <si>
    <t>POR NEIVA</t>
  </si>
  <si>
    <t>DILBERTO TRUJILLO DUSSAN</t>
  </si>
  <si>
    <t>TODOS DEL MISMO LADO</t>
  </si>
  <si>
    <t>ANDRES MAURICIO MUÑOZ LEGUIZAMO</t>
  </si>
  <si>
    <t>UNIDOS POR NEIVA</t>
  </si>
  <si>
    <t>ACEVEDO</t>
  </si>
  <si>
    <t>ROGERT TORO MUÑOZ</t>
  </si>
  <si>
    <t>AIPE</t>
  </si>
  <si>
    <t>ANGEL ROA CELIS</t>
  </si>
  <si>
    <t>MARIA ANGELICA GUTIERREZ BONILLA</t>
  </si>
  <si>
    <t>LUIS ANGEL RAMIREZ VARGAS</t>
  </si>
  <si>
    <t>LUIS FELIPE CELIS TOVAR</t>
  </si>
  <si>
    <t>AIPE ALTERNATIVO</t>
  </si>
  <si>
    <t>ALGECIRAS</t>
  </si>
  <si>
    <t>LIBARDO PINTO LISCANO</t>
  </si>
  <si>
    <t>ALCALDIA ALGECIRAS HUILA</t>
  </si>
  <si>
    <t>ALTAMIRA</t>
  </si>
  <si>
    <t xml:space="preserve">JORGE ALBINO SANCHEZ </t>
  </si>
  <si>
    <t>FRANCISCO JAVIER NARVAEZ CANO</t>
  </si>
  <si>
    <t>BARAYA</t>
  </si>
  <si>
    <t>MILTON EDUARDO PINEDA MORALES</t>
  </si>
  <si>
    <t>CAMPOALEGRE</t>
  </si>
  <si>
    <t>ARTURO CULMA MEDINA</t>
  </si>
  <si>
    <t>FRANK YULL FIERRO MAYORGA</t>
  </si>
  <si>
    <t>RENOVACIÃ“N</t>
  </si>
  <si>
    <t>TESALIA</t>
  </si>
  <si>
    <t>DIVIER YUCUMA CHIMBACO</t>
  </si>
  <si>
    <t>CARLOS HUMBERTO PERDOMO ZUÑIGA</t>
  </si>
  <si>
    <t>OLMER GUSTAVO RAMOS CUENCA</t>
  </si>
  <si>
    <t>ORMALIA VARGAS MONTERO</t>
  </si>
  <si>
    <t>TESALIA PROGRESA DE VERDAD</t>
  </si>
  <si>
    <t>LUCENY VALENZUELA MAYORCA</t>
  </si>
  <si>
    <t>VAMOS TODOS</t>
  </si>
  <si>
    <t>COLOMBIA</t>
  </si>
  <si>
    <t>ARBEY VARGAS MANGUERA</t>
  </si>
  <si>
    <t>ISAURO LOZANO DIAZ</t>
  </si>
  <si>
    <t>UNIDOS POR TI COLOMBIA</t>
  </si>
  <si>
    <t>ELIAS</t>
  </si>
  <si>
    <t>MARCO ANTONIO VARGAS SALAS</t>
  </si>
  <si>
    <t>GARZON</t>
  </si>
  <si>
    <t>LEONARDO VALENZUELA RAMIREZ</t>
  </si>
  <si>
    <t>ORLANDO SIERRA CHAVARRO</t>
  </si>
  <si>
    <t>FRANCISCO ENRIQUE CALDERON FERIZ</t>
  </si>
  <si>
    <t>SANDRA BEATRIZ ALVARADO ROJAS</t>
  </si>
  <si>
    <t>DELIO GONZALEZ CARVAJAL</t>
  </si>
  <si>
    <t>GIGANTE</t>
  </si>
  <si>
    <t>IVAN LUNA ORTIZ</t>
  </si>
  <si>
    <t>FARLEY ANDRES SALDAÑA ORTIZ</t>
  </si>
  <si>
    <t>GLADYS PERDOMO MOSQUERA</t>
  </si>
  <si>
    <t>CESAR GERMAN ROA TRUJILLO</t>
  </si>
  <si>
    <t>LUCY ARTUNDUAGA VEGA</t>
  </si>
  <si>
    <t>UNIDOS POR GIGANTE</t>
  </si>
  <si>
    <t>GUADALUPE</t>
  </si>
  <si>
    <t>CHARLES BARRERA ZUÑIGA</t>
  </si>
  <si>
    <t>OSCAR ORLANDO RAMIREZ FLOREZ</t>
  </si>
  <si>
    <t>OSCAR FERNANDO ESPAÑA ALGECIRA</t>
  </si>
  <si>
    <t>NILSON TRUJILLO VARGAS</t>
  </si>
  <si>
    <t>MARCO ANTONIO CERRA MOLINA</t>
  </si>
  <si>
    <t>GUADALUPE PRODUCTIVO Y EMPRENDEDOR</t>
  </si>
  <si>
    <t>HOBO</t>
  </si>
  <si>
    <t>ISMAEL MARTINEZ POLANIA</t>
  </si>
  <si>
    <t>MARCO TULIO PEÑA SAENZ</t>
  </si>
  <si>
    <t>YHON ALBER MORA LIZCANO</t>
  </si>
  <si>
    <t>ISNOS</t>
  </si>
  <si>
    <t>WILSON FERNANDO BOLAÑOS CLAROS</t>
  </si>
  <si>
    <t>EDIER ENRIQUE ROSERO LOPEZ</t>
  </si>
  <si>
    <t>UNIDOS POR ISNOS PODEMOS</t>
  </si>
  <si>
    <t>IQUIRA</t>
  </si>
  <si>
    <t>JESUS YAMIN PERDOMO LEIVA</t>
  </si>
  <si>
    <t>DIEGO OMAR QUINTERO YUSTRES</t>
  </si>
  <si>
    <t>JAVIER VELASQUEZ ANDRADE</t>
  </si>
  <si>
    <t>LA ARGENTINA</t>
  </si>
  <si>
    <t>JAVIER HERNAN RINCON SILVA</t>
  </si>
  <si>
    <t>FREDY CRUZ CHAVARRO</t>
  </si>
  <si>
    <t>LA PLATA</t>
  </si>
  <si>
    <t>GLORIA FANNY CAUPAZ FLOREZ</t>
  </si>
  <si>
    <t>NATAGA</t>
  </si>
  <si>
    <t>HECTOR ANGEL AMEZQUITA PERDOMO</t>
  </si>
  <si>
    <t>NATAGA PARA TODOS</t>
  </si>
  <si>
    <t>OPORAPA</t>
  </si>
  <si>
    <t>51</t>
  </si>
  <si>
    <t>MARCO ANTONIO MOLINA MAZABEL</t>
  </si>
  <si>
    <t>PAICOL</t>
  </si>
  <si>
    <t>ANIBAL CHAVARRO CHANTRE</t>
  </si>
  <si>
    <t>PALERMO</t>
  </si>
  <si>
    <t>MARIO HERNAN TRUJILLO MUÑOZ</t>
  </si>
  <si>
    <t>NATALIA CAVIEDES CHINCHILLA</t>
  </si>
  <si>
    <t xml:space="preserve">ES AHORA O NUNCA </t>
  </si>
  <si>
    <t>56</t>
  </si>
  <si>
    <t>LUIS ALEJANDRO PIÑARTE BARRERA</t>
  </si>
  <si>
    <t>WILSON JESUS CASTILLO ORTIZ</t>
  </si>
  <si>
    <t>ALBEIRO NIETO CALDERON</t>
  </si>
  <si>
    <t>LUIS HERNAN CASTILLO BOHORQUEZ</t>
  </si>
  <si>
    <t>PITAL</t>
  </si>
  <si>
    <t>OMAR GAITAN PASCUAS</t>
  </si>
  <si>
    <t>DIEGO FERNANDO RAMIREZ URQUINA</t>
  </si>
  <si>
    <t>HUGO FERNEY CASANOVA NIPI</t>
  </si>
  <si>
    <t>PITALITO</t>
  </si>
  <si>
    <t>JAVIER VALDERRAMA YAGUE</t>
  </si>
  <si>
    <t>FRANKY ALEXANDER VEGA MURCIA</t>
  </si>
  <si>
    <t>EDGAR MUÑOZ TORRES</t>
  </si>
  <si>
    <t>PARTIDO CONSERVADOR COLOMBIANO  -PU - ASI</t>
  </si>
  <si>
    <t>RIVERA</t>
  </si>
  <si>
    <t xml:space="preserve">JUSTO GERMAN TOLEDO </t>
  </si>
  <si>
    <t xml:space="preserve">ALVARO AGUIRRE </t>
  </si>
  <si>
    <t>ERASMO CRUZ CRUZ</t>
  </si>
  <si>
    <t>ORLANDO RODRIGUEZ COLLAZOS</t>
  </si>
  <si>
    <t xml:space="preserve">MOVIMIENTO CIUDADANO RIVERA MERECE SER </t>
  </si>
  <si>
    <t>JOSE LUIS BAHAMON MONTEALEGRE</t>
  </si>
  <si>
    <t>RIVERA SII</t>
  </si>
  <si>
    <t>JOHN JAIRO YEPES PERDOMO</t>
  </si>
  <si>
    <t>RIVERA PARA TODOS</t>
  </si>
  <si>
    <t>SALADOBLANCO</t>
  </si>
  <si>
    <t>JOSE FERNANDO ROJAS QUINAYAS</t>
  </si>
  <si>
    <t>YULDOR PARRA PARRA</t>
  </si>
  <si>
    <t>BARAON JOSE BUITRAGO CHAUX</t>
  </si>
  <si>
    <t xml:space="preserve">SALADOBLANCO SOMOS TODOS </t>
  </si>
  <si>
    <t>SAN AGUSTIN</t>
  </si>
  <si>
    <t>LUIS FERNANDO LLANOS PABON</t>
  </si>
  <si>
    <t>HEBER MUÑOZ ESPAÑA</t>
  </si>
  <si>
    <t>HEBER NEL MUÑOZ YASNO</t>
  </si>
  <si>
    <t>BERNARDO URBANO BOLAÑOS</t>
  </si>
  <si>
    <t>CAMILO ERNESTO GARCIA QUINTERO</t>
  </si>
  <si>
    <t>74</t>
  </si>
  <si>
    <t xml:space="preserve">VIANCY CAROLINA GARCIA </t>
  </si>
  <si>
    <t>RICARDO ALBEIRO CASTAÑO CASTRO</t>
  </si>
  <si>
    <t>JULIO CESAR PERALTA ARDILA</t>
  </si>
  <si>
    <t>EMPRENDIMIENTO SAMARIO</t>
  </si>
  <si>
    <t>SUAZA</t>
  </si>
  <si>
    <t>FROILAN HERNANDO CABRERA CAMPO</t>
  </si>
  <si>
    <t>TARQUI</t>
  </si>
  <si>
    <t>ERIC RENE MORERA TOVAR</t>
  </si>
  <si>
    <t>ALVARO TRUJILLO HERNANDEZ</t>
  </si>
  <si>
    <t>TODOS POR TARQUI</t>
  </si>
  <si>
    <t>DORA LILIANA TRUJILLO PAVA</t>
  </si>
  <si>
    <t xml:space="preserve">TARQUI NOS UNE  </t>
  </si>
  <si>
    <t>TELLO</t>
  </si>
  <si>
    <t>FERNANDO ALIPIO SOLANO GOMEZ</t>
  </si>
  <si>
    <t>ALIANZA ESTRATÃ©GICA TELLO MERECE MAS</t>
  </si>
  <si>
    <t>TERUEL</t>
  </si>
  <si>
    <t>ALEXANDER TRUJILLO ZULETA</t>
  </si>
  <si>
    <t>TIMANA</t>
  </si>
  <si>
    <t>MARCO ADRIAN ARTUNDUAGA GOMEZ</t>
  </si>
  <si>
    <t>NESTOR NUÑEZ ROMERO</t>
  </si>
  <si>
    <t>OLIVER SAPUY CORREA</t>
  </si>
  <si>
    <t>VILLAVIEJA</t>
  </si>
  <si>
    <t>ALVARO ANDRES CHARRY PERDOMO</t>
  </si>
  <si>
    <t>NEWTON FLOREZ LINARES</t>
  </si>
  <si>
    <t>EFRAIN VANEGAS RUIZ</t>
  </si>
  <si>
    <t>UNIDOS POR VILLAVIEJA</t>
  </si>
  <si>
    <t>YAGUARA</t>
  </si>
  <si>
    <t>JUAN CARLOS CASALLAS RIVAS</t>
  </si>
  <si>
    <t>REYNALDO CASTILLO TAMAYO</t>
  </si>
  <si>
    <t>MAGDALENA</t>
  </si>
  <si>
    <t>21</t>
  </si>
  <si>
    <t>SANTA MARTA</t>
  </si>
  <si>
    <t>HUMBERTO ALFONSO DIAZ COSTA</t>
  </si>
  <si>
    <t>LOS GRANDES DIAZ</t>
  </si>
  <si>
    <t>ALGARROBO</t>
  </si>
  <si>
    <t>CHRISTIAN GEORGE EL SAIEH SANCHEZ</t>
  </si>
  <si>
    <t>LICET BELEN PRIETO MONTEJO</t>
  </si>
  <si>
    <t>JUNTOS UNIDOS POR ALGARROBO</t>
  </si>
  <si>
    <t>JAIDER JOSE ISAZA GUTIERREZ</t>
  </si>
  <si>
    <t xml:space="preserve">PARTIDO CONSERVADOR COLOMBIANO - PL -CD  </t>
  </si>
  <si>
    <t>ARACATACA</t>
  </si>
  <si>
    <t>LUIS EMILIO CORREA GUERRERO</t>
  </si>
  <si>
    <t>JORGE LUIS SAADE CORMANE</t>
  </si>
  <si>
    <t>ARIGUANI</t>
  </si>
  <si>
    <t>LUIS CLIMACO MERIÑO CANTILLO</t>
  </si>
  <si>
    <t>NILSON MANUEL RIOS SUAREZ</t>
  </si>
  <si>
    <t>ANIBAL ENRIQUE PALMERA ANAYA</t>
  </si>
  <si>
    <t>DAVID FERNANDO FARELO DAZA</t>
  </si>
  <si>
    <t>COALICION FIRME POR LA RENOVACION DE ARIGUANI</t>
  </si>
  <si>
    <t>JOSE GREGORIO MERIÑO GOMEZ</t>
  </si>
  <si>
    <t>PIENSA DIFERENTE</t>
  </si>
  <si>
    <t>Chibolo</t>
  </si>
  <si>
    <t>TIRZO MANUEL ARMELLA SIERRA</t>
  </si>
  <si>
    <t>BERNARDINO OROZCO ANDRADE</t>
  </si>
  <si>
    <t>CIENAGA</t>
  </si>
  <si>
    <t>BLANCA ROSA FERNANDEZ GUERRERO</t>
  </si>
  <si>
    <t>FAVIO ENRIQUE ESPINOZA EBRATH</t>
  </si>
  <si>
    <t>ORLANDO RAFAEL BERMUDEZ GARCIA</t>
  </si>
  <si>
    <t>SHIRLEY PATRICIA CHARRIS LOPEZ</t>
  </si>
  <si>
    <t>LUIS ALBERTO TETE SAMPER</t>
  </si>
  <si>
    <t>DE LA MANO CON EL PUEBLO</t>
  </si>
  <si>
    <t>ELISEO JOSE BARRAZA BARRIOS</t>
  </si>
  <si>
    <t>ALBERTO RAFAEL OSPINO BARRIOS</t>
  </si>
  <si>
    <t>EL BANCO</t>
  </si>
  <si>
    <t>RONALD DARIO FLOREZ SIERRA</t>
  </si>
  <si>
    <t>EL PIÑON</t>
  </si>
  <si>
    <t>JHAIR ALBERTO CABALLERO VARELA</t>
  </si>
  <si>
    <t>MARIA ELENA SANTODOMINGO VIZCAINO</t>
  </si>
  <si>
    <t>DIANA LETICIA SALAS MARTINEZ</t>
  </si>
  <si>
    <t>CARLOS ALBERTO CARBONELL ALVAREZ</t>
  </si>
  <si>
    <t>COMPROMISO SERIO</t>
  </si>
  <si>
    <t>EL RETEN</t>
  </si>
  <si>
    <t>NANCY ESTER VILLARREAL DE CASALINS</t>
  </si>
  <si>
    <t>FERNANDO GUEVARA SILVA</t>
  </si>
  <si>
    <t>JESUS ANTONIO GALINDO VAN-STRAHLEN</t>
  </si>
  <si>
    <t>JORGE ELIECER SERRANO CASALINS</t>
  </si>
  <si>
    <t>EL RETEN AVANZA</t>
  </si>
  <si>
    <t>FUNDACION</t>
  </si>
  <si>
    <t>RONALD ANDRES PATIÑO FONTALVO</t>
  </si>
  <si>
    <t>LUZ STELLA DURAN MANJARREZ</t>
  </si>
  <si>
    <t>GUAMAL</t>
  </si>
  <si>
    <t>LUIS CARLOS BAENA LOPEZ</t>
  </si>
  <si>
    <t>JOSE LUIS RAMOS GOMEZ</t>
  </si>
  <si>
    <t>ANTONIO MIGUEL MERLANO BORJA</t>
  </si>
  <si>
    <t>NUEVA GRANADA</t>
  </si>
  <si>
    <t>42</t>
  </si>
  <si>
    <t>HERNAN BARRERA PRADA</t>
  </si>
  <si>
    <t>PIEDAD DEL SOCORRO CERA CASTELLAR</t>
  </si>
  <si>
    <t>JOSE JOAQUIN DE LEON MOSCOTE</t>
  </si>
  <si>
    <t>ROBERTO LUIS STUMMO GUERRA</t>
  </si>
  <si>
    <t>JAIRO SAUL FARELO NORIEGA</t>
  </si>
  <si>
    <t>PEDRAZA</t>
  </si>
  <si>
    <t>CESAR ENRIQUE RODRIGUEZ OSPINO</t>
  </si>
  <si>
    <t>PIJIÑO DEL CARMEN</t>
  </si>
  <si>
    <t>EGAN ELJADUE GUTIERREZ</t>
  </si>
  <si>
    <t>CARLOS ALFONSO MACHADO ARQUEZ</t>
  </si>
  <si>
    <t>PIVIJAY</t>
  </si>
  <si>
    <t>JORGE IVAN SALAH ROPAIN</t>
  </si>
  <si>
    <t>PLATO</t>
  </si>
  <si>
    <t>ALFONSO RAFAEL ALFARO TEJEDA</t>
  </si>
  <si>
    <t>PLATÃ³ TIERRA DE OPORTUNIDADES</t>
  </si>
  <si>
    <t>JAIME ALONSO PEÑA PEÑARANDA</t>
  </si>
  <si>
    <t>LA LLAVE ERES TU</t>
  </si>
  <si>
    <t>PUEBLOVIEJO</t>
  </si>
  <si>
    <t>JAINER ALBERTO ROBLES RODRIGUEZ</t>
  </si>
  <si>
    <t>FABIAN DAVID OBISPO BORJA</t>
  </si>
  <si>
    <t>REMOLINO</t>
  </si>
  <si>
    <t>CARLOS JULIO VARGAS FONTALVO</t>
  </si>
  <si>
    <t>BENJAMIN ARTURO DONADO CELEDON</t>
  </si>
  <si>
    <t>LUIS RAMON OROZCO OROZCO</t>
  </si>
  <si>
    <t>SAN SEBASTIAN DE BUENAVISTA</t>
  </si>
  <si>
    <t>VICTOR MANUEL ARIAS TORRES</t>
  </si>
  <si>
    <t>JOSE RICARDO ABUABARA PEREZ</t>
  </si>
  <si>
    <t>AMPARO GONZALEZ CADRAZCO</t>
  </si>
  <si>
    <t>SAN ZENON</t>
  </si>
  <si>
    <t>GENOR BOLAÑO PADILLA</t>
  </si>
  <si>
    <t>SANTA BARBARA DE PINTO</t>
  </si>
  <si>
    <t>LUIS DANIEL ABRIL SINNING</t>
  </si>
  <si>
    <t>SITIONUEVO</t>
  </si>
  <si>
    <t>JAVIER RAFAEL BOLAÑO MENDOZA</t>
  </si>
  <si>
    <t>SANDRA MILENA GUTIERREZ MORALES</t>
  </si>
  <si>
    <t>ZAPAYAN</t>
  </si>
  <si>
    <t>90</t>
  </si>
  <si>
    <t>FARAK ENRIQUE VIANA ROJANO</t>
  </si>
  <si>
    <t>ROSIBEL DE JESUS SALGADO ARROYO</t>
  </si>
  <si>
    <t>ANTENOR ENRIQUE DE LA HOZ MOVILLA</t>
  </si>
  <si>
    <t>ZONA BANANERA</t>
  </si>
  <si>
    <t>JORGE LUIS VILLALOBOS MONTES</t>
  </si>
  <si>
    <t>LUIS ALBERTO MOLINARES FELIPE</t>
  </si>
  <si>
    <t>PASTO</t>
  </si>
  <si>
    <t>JAVIER TATO ALVAREZ MONTENEGRO</t>
  </si>
  <si>
    <t>ALBERTO QUINTERO ARTURO</t>
  </si>
  <si>
    <t>GERMAN CHAMORRO DE LA ROSA</t>
  </si>
  <si>
    <t>CORRAMOS JUNTOS POR PASTO</t>
  </si>
  <si>
    <t>ANCUYA</t>
  </si>
  <si>
    <t>ESMERALDA ROCIO DIAZ DELGADO</t>
  </si>
  <si>
    <t>DOLORES ELIZABETH PORTILLA ACOSTA</t>
  </si>
  <si>
    <t>LUIS ALFONSO MELO PORTILLA</t>
  </si>
  <si>
    <t>PROVIDENCIA</t>
  </si>
  <si>
    <t>GUILLERMO RODRIGUEZ PORTILLO</t>
  </si>
  <si>
    <t>PUERRES</t>
  </si>
  <si>
    <t>GRACIELA ESMERALDA LUCERO HERNANDEZ</t>
  </si>
  <si>
    <t>LUIS HERALDO DIAZ URBANO</t>
  </si>
  <si>
    <t>HERNEY ALBEIRO ORTIZ QUIROZ</t>
  </si>
  <si>
    <t>PUPIALES</t>
  </si>
  <si>
    <t>WYLTON OLEYDER BELALCAZAR GAON</t>
  </si>
  <si>
    <t>RICARDO JESUS BENAVIDES AYALA</t>
  </si>
  <si>
    <t>PEDRO NEL BURGOS HERNANDEZ</t>
  </si>
  <si>
    <t>LUIS AURELIO ARAUJO HERNANDEZ</t>
  </si>
  <si>
    <t>JORGE ELIECER PAI NARVAEZ</t>
  </si>
  <si>
    <t>JOSE RICARDO BENAVIDES MORAN</t>
  </si>
  <si>
    <t>ALFREDO ALFONSO ROSERO ROSALES</t>
  </si>
  <si>
    <t>GILMAR EDER BURGOS MOREANO</t>
  </si>
  <si>
    <t>BLANCA DORIS PUCHANA MOREANO</t>
  </si>
  <si>
    <t>ROBERTO PAYAN</t>
  </si>
  <si>
    <t>OSME JAVIER SEGURA CABEZAS</t>
  </si>
  <si>
    <t>SOCRATES EDMUNDO SEGURA VALENCIA</t>
  </si>
  <si>
    <t>SAMANIEGO</t>
  </si>
  <si>
    <t>OMAR LAUREANO IBARRA OBANDO</t>
  </si>
  <si>
    <t>SANDONA</t>
  </si>
  <si>
    <t>ANTONIO FABIAN PORTILLO NARVAEZ</t>
  </si>
  <si>
    <t>DUVER RICARDO ORTEGA GAVIRIA</t>
  </si>
  <si>
    <t>JAIRO ARLEY IBARRA MORENO</t>
  </si>
  <si>
    <t>MARIA EUGENIA CORONEL BOLAÑOS</t>
  </si>
  <si>
    <t>OSCAR ANCIZAR GOMEZ MUÑOZ</t>
  </si>
  <si>
    <t>SAN LORENZO</t>
  </si>
  <si>
    <t>LUIS FERNANDO MORENO DELGADO</t>
  </si>
  <si>
    <t>HERMES MAURICIO NARVAEZ MONTERO</t>
  </si>
  <si>
    <t>RUBER ALMINCAR MUÑOZ TENORIO</t>
  </si>
  <si>
    <t>OLMEDO CASTILLO GAVIRIA</t>
  </si>
  <si>
    <t>SAN PEDRO DE CARTAGO</t>
  </si>
  <si>
    <t>123</t>
  </si>
  <si>
    <t>WALTER FERNANDO RODRIGUEZ LOPEZ</t>
  </si>
  <si>
    <t>JOSE LEONARDO PABON BOLAÑOS</t>
  </si>
  <si>
    <t>OSCAR LEONARDO MUÑOZ MUÑOZ</t>
  </si>
  <si>
    <t>RICARDO EMIRO GOMEZ LASSO</t>
  </si>
  <si>
    <t>SAN PABLO PARA TODOS</t>
  </si>
  <si>
    <t>SANTACRUZ</t>
  </si>
  <si>
    <t>MARIO FREDY ANAMA DIAZ</t>
  </si>
  <si>
    <t>SAPUYES</t>
  </si>
  <si>
    <t>CARLOS EDUARDO CHAVES LOPEZ</t>
  </si>
  <si>
    <t>HECTOR HERMES RIVERA CASTRO</t>
  </si>
  <si>
    <t>LUIS EDUARDO ESTRADA OLIVA</t>
  </si>
  <si>
    <t>POR UN NUEVO SAPUYES</t>
  </si>
  <si>
    <t>ARBOLEDA</t>
  </si>
  <si>
    <t>ALVARO EVELIO MARTINEZ CORDOBA</t>
  </si>
  <si>
    <t>CARLOS FRANCISCO JOSE SANTA MARIA RODRIGUEZ</t>
  </si>
  <si>
    <t>TAMINANGO</t>
  </si>
  <si>
    <t>MILLER LEONARDO URBANO OJEDA</t>
  </si>
  <si>
    <t>LEIDY MARCELA CALVACHE DELGADO</t>
  </si>
  <si>
    <t>EDELVIVES MARTINEZ VARGAS</t>
  </si>
  <si>
    <t>HERMES FERNANDO LATORRE CALVACHE</t>
  </si>
  <si>
    <t>PEDRO ANTONIO GAVIRIA MUÑOZ</t>
  </si>
  <si>
    <t>RENE RODRIGO BURBANO ARTEAGA</t>
  </si>
  <si>
    <t>CONVERGENCIA COLOMBIA HUMANA TAMINANGO</t>
  </si>
  <si>
    <t>EDILBERTO ARAUJO MUÑOZ</t>
  </si>
  <si>
    <t>POR UN NUEVO LIBERALISMO TAMINANGO</t>
  </si>
  <si>
    <t>TANGUA</t>
  </si>
  <si>
    <t xml:space="preserve">DANIANA MARITZA DE LA CRUZ </t>
  </si>
  <si>
    <t>EMERSON JAVIER MEJIA RIVAS</t>
  </si>
  <si>
    <t>San Andres de Tumaco</t>
  </si>
  <si>
    <t>ALVIN GUSTAVO QUIÑONES CASANOVA</t>
  </si>
  <si>
    <t>HELLEN LEILANITH ZAMBRANO NOGUERA</t>
  </si>
  <si>
    <t xml:space="preserve">SEGUNDO JUVENCIO CAICEDO </t>
  </si>
  <si>
    <t>MARIA EMILSEN ANGULO GUEVARA</t>
  </si>
  <si>
    <t>MARCO FIDEL MARINEZ GAVIRIA</t>
  </si>
  <si>
    <t>VICTOR IGNACIO JARAMILLO CASIERRA</t>
  </si>
  <si>
    <t xml:space="preserve">FRANCISCO LIBIO CORNEJO </t>
  </si>
  <si>
    <t>EVER ELIECER CASTILLO SOLIS</t>
  </si>
  <si>
    <t>ALCALDIA DE TUMACO</t>
  </si>
  <si>
    <t>TUQUERRES</t>
  </si>
  <si>
    <t>JHON JAIRO ALTAMIRANO CAICEDO</t>
  </si>
  <si>
    <t>JUAN FERNANDO LOPEZ MENESES</t>
  </si>
  <si>
    <t>SOMOS TUQUERRES PARA UN BUEN VIVIR</t>
  </si>
  <si>
    <t>BARBACOAS</t>
  </si>
  <si>
    <t>BORIS ADEODATO SEGURA RINCON</t>
  </si>
  <si>
    <t>BUESACO</t>
  </si>
  <si>
    <t>NILSON LUIS LOPEZ DIAZ</t>
  </si>
  <si>
    <t>PACTO CON EL PUEBLO Y CON EL CAMPO</t>
  </si>
  <si>
    <t>CONSACA</t>
  </si>
  <si>
    <t>WEYKMAN ALEXEY JOJOA PARRA</t>
  </si>
  <si>
    <t>EDUARDO ADOLFO JOJOA TOBAR</t>
  </si>
  <si>
    <t>PABLO GILBERTO PORTILLA ZAMBRANO</t>
  </si>
  <si>
    <t>CONTADERO</t>
  </si>
  <si>
    <t>FELIX GERMAN MEJIA PALACIOS</t>
  </si>
  <si>
    <t>NAYIVE IDALY DEL ROSARIO CEBALLOS VALLEJO</t>
  </si>
  <si>
    <t>GALO PORFIRIO CHAMORRO DAVILA</t>
  </si>
  <si>
    <t>DAVID ALBEIRO BENAVIDES ARTEAGA</t>
  </si>
  <si>
    <t>UNIDOS POR EL PROGRESO</t>
  </si>
  <si>
    <t>SERGIO ORLANDO PAZ CHAVES</t>
  </si>
  <si>
    <t>LUIS LEANDRO JARAMILLO PALACIOS</t>
  </si>
  <si>
    <t>MOVIMIENTO AUTORIDADES INDIGENAS DE COLOMBIA AICO Y PARTIDO MOVIMIENTO ALTENATIVO INDIGENA Y SOCIAL MAIS</t>
  </si>
  <si>
    <t>Cuaspud Carlosama</t>
  </si>
  <si>
    <t>ALDEMAR JAIRZINHO PAGUAY ORDOÑEZ</t>
  </si>
  <si>
    <t>CUMBAL</t>
  </si>
  <si>
    <t>LUIS ALBERTO RUANO MALTE</t>
  </si>
  <si>
    <t>ABRAHAM MITIS REINA</t>
  </si>
  <si>
    <t>CHACHAGUI</t>
  </si>
  <si>
    <t>ARNULFO EDUARDO PINTA LOPEZ</t>
  </si>
  <si>
    <t>OSCAR MAURICIO ORTEGA MEZA</t>
  </si>
  <si>
    <t>CUMBITARA</t>
  </si>
  <si>
    <t>JUAN CARLOS RODRIGUEZ GOMEZ</t>
  </si>
  <si>
    <t>OMAR EDILBERTO MELO BRAVO</t>
  </si>
  <si>
    <t>CUMBITARA SOMOS TODOS</t>
  </si>
  <si>
    <t>EL ROSARIO</t>
  </si>
  <si>
    <t>LAURO NEL ARTURO GUERRERO</t>
  </si>
  <si>
    <t>ALBERTO FOLLECO ERASO</t>
  </si>
  <si>
    <t>El Tablon de Gomez</t>
  </si>
  <si>
    <t>DAVID ALEXANDER RODRIGUEZ ORDOÑEZ</t>
  </si>
  <si>
    <t>OSCAR DIDIER BOLAÑOS GONZALEZ</t>
  </si>
  <si>
    <t>EL TABLON SOMOS TODOS</t>
  </si>
  <si>
    <t>EL PEÑOL</t>
  </si>
  <si>
    <t>EDILSON FABIAN MELO LOPEZ</t>
  </si>
  <si>
    <t>EL TAMBO</t>
  </si>
  <si>
    <t>WILLIAM ERNESTO DORADO HIDALGO</t>
  </si>
  <si>
    <t>MANUEL ANDRES LOPEZ MAYA</t>
  </si>
  <si>
    <t>CARLOS ALBERTO PORTILLA BUCHELY</t>
  </si>
  <si>
    <t>JAIRO SEBASTIAN ROJAS SOLARTE</t>
  </si>
  <si>
    <t>UNA NUEVA GENERACION UN NUEVO GOBIERNO</t>
  </si>
  <si>
    <t>FRANCISCO PIZARRO</t>
  </si>
  <si>
    <t>LEYSI ERADIO VIDAL CORTES</t>
  </si>
  <si>
    <t>LUIS GERARDO VALENCIA CUENU</t>
  </si>
  <si>
    <t>FUNES</t>
  </si>
  <si>
    <t>MIGUEL ANTONIO LASSO MEDINA</t>
  </si>
  <si>
    <t>JHON HENRY CUNDAR AREVALO</t>
  </si>
  <si>
    <t>ALCALDE DE FUNES</t>
  </si>
  <si>
    <t>GUAITARILLA</t>
  </si>
  <si>
    <t>MARIO FERNANDO CASTRO TOVAR</t>
  </si>
  <si>
    <t xml:space="preserve">ADELANTE GUAITARILLA </t>
  </si>
  <si>
    <t>LUCY LILIANA PORTILLA MELO</t>
  </si>
  <si>
    <t>GUALMATAN</t>
  </si>
  <si>
    <t>NELSON AERCIO CORAL CEBALLOS</t>
  </si>
  <si>
    <t>HUGO HERNAN MEJIA REVELO</t>
  </si>
  <si>
    <t>IMUES</t>
  </si>
  <si>
    <t>SANDRA MIREYA PEREZ MORA</t>
  </si>
  <si>
    <t>IMUÃ‰S.VOLVAMOS A CREER</t>
  </si>
  <si>
    <t>IPIALES</t>
  </si>
  <si>
    <t>MARIO JESUS LOPEZ DORADO</t>
  </si>
  <si>
    <t>LA CRUZ</t>
  </si>
  <si>
    <t>GUIDO GALLARDO BOLAÑOS</t>
  </si>
  <si>
    <t>GERMAN BRAVO RUSSY</t>
  </si>
  <si>
    <t>JAIME ALONSO BOLAÑOS BOLAÑOS</t>
  </si>
  <si>
    <t>HUMILDAD CAPACIDAD Y EXPERIENCIA</t>
  </si>
  <si>
    <t>CARLOS ANDRES BOLAÑOS MORALES</t>
  </si>
  <si>
    <t xml:space="preserve">CONVERGENCIA POR LA CRUZ </t>
  </si>
  <si>
    <t>LUIS CARLOS ZAMBRANO CARLOSAMA</t>
  </si>
  <si>
    <t>UNA MINGA PARA EL PROGRESO DE TODOS</t>
  </si>
  <si>
    <t>LA LLANADA</t>
  </si>
  <si>
    <t>77</t>
  </si>
  <si>
    <t>HERNAN BERNARDO ALVAREZ ALVAREZ</t>
  </si>
  <si>
    <t>JULIO CESAR OTERO CHAMORRO</t>
  </si>
  <si>
    <t>LA TOLA</t>
  </si>
  <si>
    <t>JOSE LUIS RODRIGUEZ SANCHEZ</t>
  </si>
  <si>
    <t>VICTOR MARIA LOPEZ RIVERA</t>
  </si>
  <si>
    <t>YOLANDA RIVERA BRAVO</t>
  </si>
  <si>
    <t>ROBERTH JUAN ZARAMA ROSERO</t>
  </si>
  <si>
    <t>JAIME JAVIER MONTENEGRO TORRES</t>
  </si>
  <si>
    <t>FABIAN MAURICIO ECHEVERRIA PEINADO</t>
  </si>
  <si>
    <t>PARTIDO CONSERVADOR - PL</t>
  </si>
  <si>
    <t>LEIVA</t>
  </si>
  <si>
    <t>HERMES SANCHEZ ADRADA</t>
  </si>
  <si>
    <t>CRISTHIAN GABRIEL ERASO SANCHEZ</t>
  </si>
  <si>
    <t>LINARES</t>
  </si>
  <si>
    <t>WILSON FERNANDO PANTOJA YELA</t>
  </si>
  <si>
    <t>YASMIN HERNANDEZ JURADO</t>
  </si>
  <si>
    <t>LOS ANDES</t>
  </si>
  <si>
    <t>JOSE MENESES MARROQUIN</t>
  </si>
  <si>
    <t>DARWUIN ANTONIO ESTRADA ROSERO</t>
  </si>
  <si>
    <t>YONNY FERNANDO DELGADO MONTENEGRO</t>
  </si>
  <si>
    <t>UNIDAD POR LOS ANDES</t>
  </si>
  <si>
    <t>MAGUI</t>
  </si>
  <si>
    <t>ALEJANDRO JUVENAL QUIÑONES CABEZAS</t>
  </si>
  <si>
    <t>SEGUNDO OLEGARIO TORRES GONZALEZ</t>
  </si>
  <si>
    <t>MALLAMA</t>
  </si>
  <si>
    <t>SHIRLEY ARACELLY BRAVO REY</t>
  </si>
  <si>
    <t>FRANCISCO GIOVANNI MELO REVELO</t>
  </si>
  <si>
    <t>WILLIAM ROBERT ALVAREZ RUIZ</t>
  </si>
  <si>
    <t>JAME CRUZ CUERO VALENCIA</t>
  </si>
  <si>
    <t>OLAYA HERRERA</t>
  </si>
  <si>
    <t>ANGEL ANTONIO CIFUENTES SANCHEZ</t>
  </si>
  <si>
    <t>HERMINSUL CAICEDO CUERO</t>
  </si>
  <si>
    <t>CRUZ DALMIRO OLMEDO TORRES</t>
  </si>
  <si>
    <t>96</t>
  </si>
  <si>
    <t>ADRIAN ALEXANDER BURBANO ENRIQUEZ</t>
  </si>
  <si>
    <t>YOHNNY EDMUNDO CABRERA RIVERA</t>
  </si>
  <si>
    <t>OSPINA</t>
  </si>
  <si>
    <t>JOSE ALEJANDRO VILLOTA BENAVIDES</t>
  </si>
  <si>
    <t>POLICARPA</t>
  </si>
  <si>
    <t>CARLOS ALBERTO ROSERO ORDOÑEZ</t>
  </si>
  <si>
    <t>EDUAR YONFREY ROJAS LOPEZ</t>
  </si>
  <si>
    <t>JAIME DAVID SANCHEZ RODRIGUEZ</t>
  </si>
  <si>
    <t>PEREIRA</t>
  </si>
  <si>
    <t>CARLOS ALBERTO BOTERO LOPEZ</t>
  </si>
  <si>
    <t>ALEJANDRO GARCIA RIOS</t>
  </si>
  <si>
    <t>JESUS MARIA HERNANDEZ CRUZ</t>
  </si>
  <si>
    <t>PACTO POR PEREIRA</t>
  </si>
  <si>
    <t>CAROLINA BUSTAMANTE ZULUAGA</t>
  </si>
  <si>
    <t>PEREIRA NOS UNE - AICO</t>
  </si>
  <si>
    <t>MAURICIO SALAZAR PELAEZ</t>
  </si>
  <si>
    <t xml:space="preserve">PRIMERO PEREIRA </t>
  </si>
  <si>
    <t>CARLOS ALBERTO MAYA LOPEZ</t>
  </si>
  <si>
    <t>MAS CAMBIO</t>
  </si>
  <si>
    <t>OSCAR JAMES OSORIO GAVIRIA</t>
  </si>
  <si>
    <t>BEATRIZ ELENA LOAIZA OSORIO</t>
  </si>
  <si>
    <t>ALVARO LOPEZ GARCIA</t>
  </si>
  <si>
    <t>HUBERTO VASQUEZ VASQUEZ</t>
  </si>
  <si>
    <t xml:space="preserve">CON SENTIMIENTO FUTURISTA </t>
  </si>
  <si>
    <t>DOSQUEBRADAS</t>
  </si>
  <si>
    <t>OSCAR AUGUSTO GUTIERREZ PINEDA</t>
  </si>
  <si>
    <t>JHON MARIO RAMIREZ LOPEZ</t>
  </si>
  <si>
    <t>JOSE ALBEIRO CARDENAS LOPEZ</t>
  </si>
  <si>
    <t>OSCAR MAURICIO TORO VALENCIA</t>
  </si>
  <si>
    <t xml:space="preserve">DOSQUEBRADAS SI ES POSIBLE </t>
  </si>
  <si>
    <t>GUATICA</t>
  </si>
  <si>
    <t>ELKIN DARIO DIAZ JARAMILLO</t>
  </si>
  <si>
    <t>WILLIAM DAVID SOTO RAMIREZ</t>
  </si>
  <si>
    <t>ALDEMAR ZULUAGA OSSA</t>
  </si>
  <si>
    <t>LA CELIA</t>
  </si>
  <si>
    <t>HERNANDO ARCILA OSORIO</t>
  </si>
  <si>
    <t>JOHN JAIRO SOTO HURTADO</t>
  </si>
  <si>
    <t>MARSELLA</t>
  </si>
  <si>
    <t>54</t>
  </si>
  <si>
    <t>JAIME ALBERTO PARRA CORREA</t>
  </si>
  <si>
    <t>ALBERTO PELAEZ HENAO</t>
  </si>
  <si>
    <t>ALBERTO RIVERA CIFUENTES</t>
  </si>
  <si>
    <t>MISTRATO</t>
  </si>
  <si>
    <t>JORGE MARIO MEDINA GALEANO</t>
  </si>
  <si>
    <t>PUEBLO RICO</t>
  </si>
  <si>
    <t>WILFREDO JOHANY HERRERA OTALVARO</t>
  </si>
  <si>
    <t>LEONARDO FABIO SIAGAMA GUTIERREZ</t>
  </si>
  <si>
    <t>JAIME ANDRES ZAPATA VELASQUEZ</t>
  </si>
  <si>
    <t>JUAN MAURICIO GONZALEZ ISAZA</t>
  </si>
  <si>
    <t>QUINCHIA</t>
  </si>
  <si>
    <t xml:space="preserve">ROCIEL DE JESUS BECERRA </t>
  </si>
  <si>
    <t>ABSALON TREJOS ARIAS</t>
  </si>
  <si>
    <t>MAURICIO LADINO GOMEZ</t>
  </si>
  <si>
    <t>NEURIDIO ALBERTO VINASCO MARIN</t>
  </si>
  <si>
    <t>SANTA ROSA DE CABAL</t>
  </si>
  <si>
    <t>CARLOS EDUARDO TORO AVILA</t>
  </si>
  <si>
    <t>JORGE ALBERTO MARIN LOPEZ</t>
  </si>
  <si>
    <t>JOSE RODRIGO TORO MONTES</t>
  </si>
  <si>
    <t>LUZ AMPARO RESTREPO FERNANDEZ</t>
  </si>
  <si>
    <t>NORTE DE SANTANDER</t>
  </si>
  <si>
    <t>San Jose de Cucuta</t>
  </si>
  <si>
    <t>JAIME RICARDO MARTHEY TELLO</t>
  </si>
  <si>
    <t>CARLOS EDUARDO MAYORGA AYALA</t>
  </si>
  <si>
    <t>IVAN JAVIER GELVEZ JIMENEZ</t>
  </si>
  <si>
    <t>JUAN CARLOS ROSAS VILLAMIZAR</t>
  </si>
  <si>
    <t>CRISTIAN ALBERTO BUITRAGO RUEDA</t>
  </si>
  <si>
    <t>VICTOR FIDEL SUAREZ VERGEL</t>
  </si>
  <si>
    <t>JAIRO TOMAS YAÑEZ RODRIGUEZ</t>
  </si>
  <si>
    <t>LUIS ENRIQUE RIVERA BARBOSA</t>
  </si>
  <si>
    <t>HERNANDO ACEVEDO LIEVANO</t>
  </si>
  <si>
    <t>ALTERNATIVA DEMOCRATICA</t>
  </si>
  <si>
    <t>JORGE ENRIQUE ACEVEDO PEÑALOZA</t>
  </si>
  <si>
    <t xml:space="preserve">CÃšCUTA PARA TODOS </t>
  </si>
  <si>
    <t>JOSE FERNANDO BAUTISTA QUINTERO</t>
  </si>
  <si>
    <t>CIUDADANOS POR EL CAMBIO</t>
  </si>
  <si>
    <t>ABREGO</t>
  </si>
  <si>
    <t>RONAR RICARDO BAYONA NAVARRO</t>
  </si>
  <si>
    <t xml:space="preserve">MARCO ANTONIO GARCIA </t>
  </si>
  <si>
    <t>OLGER LEONARDO PALACIOS JAIME</t>
  </si>
  <si>
    <t>JHON ALDAIR ALVAREZ BACCA</t>
  </si>
  <si>
    <t>JUAN CARLOS JACOME ROPERO</t>
  </si>
  <si>
    <t>ABREGO EN MANOS DE LA EXPERIENCIA</t>
  </si>
  <si>
    <t>VILLA DEL ROSARIO</t>
  </si>
  <si>
    <t>LUIS GERSON RUIZ HERNANDEZ</t>
  </si>
  <si>
    <t>HILSE YAMILE ALDANA PEREZ</t>
  </si>
  <si>
    <t>CARLOS JULIO SOCHA HERNANDEZ</t>
  </si>
  <si>
    <t>BOCHALEMA</t>
  </si>
  <si>
    <t>DUGLAS SEPULVEDA CONTRERAS</t>
  </si>
  <si>
    <t>RAFAEL EUSEBIO ORTIZ MORA</t>
  </si>
  <si>
    <t>BOCHALEMA AVANZA</t>
  </si>
  <si>
    <t>BUCARASICA</t>
  </si>
  <si>
    <t>ISRAEL ALONSO VERJEL TARAZONA</t>
  </si>
  <si>
    <t>VICTOR JULIO RANGEL GONZALEZ</t>
  </si>
  <si>
    <t>CACOTA</t>
  </si>
  <si>
    <t>CRISTIAN CAMILO ORTIZ RAMIREZ</t>
  </si>
  <si>
    <t>CIRO ADOLFO GAUTA VILLAMIZAR</t>
  </si>
  <si>
    <t>CACHIRA</t>
  </si>
  <si>
    <t>JAVIER ALEXIS PABON ACEVEDO</t>
  </si>
  <si>
    <t>CONVENCION</t>
  </si>
  <si>
    <t>DIMAR BARBOSA RIOBO</t>
  </si>
  <si>
    <t>ALEXANDER BOTELLO LOPEZ</t>
  </si>
  <si>
    <t>OMAR ANTONIO ANTELIZ SANCHEZ</t>
  </si>
  <si>
    <t>CUCUTILLA</t>
  </si>
  <si>
    <t>ANGEL EVELIO ALBARRACIN RUBIO</t>
  </si>
  <si>
    <t>EDGAR EDUARDO URBINA ALBARRACIN</t>
  </si>
  <si>
    <t>JUAN CARLOS PEREZ PARADA</t>
  </si>
  <si>
    <t>CHINACOTA</t>
  </si>
  <si>
    <t>LEONARDO AYALA TORRES</t>
  </si>
  <si>
    <t>CRISTIAN ADRIAN RESTREPO BONET</t>
  </si>
  <si>
    <t>ADOLFO LEON GOMEZ PARADA</t>
  </si>
  <si>
    <t>JOSE LUIS DUARTE CONTRERAS</t>
  </si>
  <si>
    <t>JUNTOS</t>
  </si>
  <si>
    <t>CHITAGA</t>
  </si>
  <si>
    <t>JORGE ROJAS PACHECO</t>
  </si>
  <si>
    <t>CARLOS ALBERTO QUINTERO RIVERA</t>
  </si>
  <si>
    <t>CREANDO MAS OPORTUNIDADES PARA CHITAGA</t>
  </si>
  <si>
    <t>DURANIA</t>
  </si>
  <si>
    <t>DIEGO ARMANDO GONZALEZ RANGEL</t>
  </si>
  <si>
    <t>DEISY MARCELA MARQUEZ CARRILLO</t>
  </si>
  <si>
    <t>TODOS SOMOS DURANIA</t>
  </si>
  <si>
    <t>NELSON HERNANDO VARGAS COLMENARES</t>
  </si>
  <si>
    <t>GESTIÃ“N LIDERAZGO Y PROGRESO PARA TODOS</t>
  </si>
  <si>
    <t>EL TARRA</t>
  </si>
  <si>
    <t>36</t>
  </si>
  <si>
    <t>YOHAN VARGAS SANCHEZ</t>
  </si>
  <si>
    <t>YAIR DIAZ PEÑARANDA</t>
  </si>
  <si>
    <t>EYDER ROBLES ORTIZ</t>
  </si>
  <si>
    <t>PENSANDO EN GRANDE</t>
  </si>
  <si>
    <t>ROVINSON SANABRIA CAÑIZARES</t>
  </si>
  <si>
    <t>COALICION POR LA PAZ Y DEMOCRACIA</t>
  </si>
  <si>
    <t>REYNERIO PACHECO RAMIREZ</t>
  </si>
  <si>
    <t>JOSE GEOVANNY URIBE NAVARRO</t>
  </si>
  <si>
    <t>WILFREDO GELVEZ PRADO</t>
  </si>
  <si>
    <t>MERECEMOS MÃS</t>
  </si>
  <si>
    <t>EL ZULIA</t>
  </si>
  <si>
    <t>EDUARDO TORRES REMOLINA</t>
  </si>
  <si>
    <t>JUAN CARLOS VIDUEÑEZ LAZARO</t>
  </si>
  <si>
    <t>EDSON LEANDRO BECERRA VASQUEZ</t>
  </si>
  <si>
    <t>GRAMALOTE</t>
  </si>
  <si>
    <t>MARTIN EMILIO QUINTERO CASTILLO</t>
  </si>
  <si>
    <t>MARIO CRISTOPHER DE LA TRINIDAD VARGAS RIVEROS</t>
  </si>
  <si>
    <t>ENTRE TODOS PODEMOS</t>
  </si>
  <si>
    <t>HACARI</t>
  </si>
  <si>
    <t>DEYVY BAYONA GUERRERO</t>
  </si>
  <si>
    <t>EDIOMAR ROPERO MARTINEZ</t>
  </si>
  <si>
    <t>COALICIÃ³N PROGRAMÃ¡TICA ALIANZA VERDE- POLO DEMOCRÃ¡TICO ALTERNATIVO- COLOMBIA HUMANA UP</t>
  </si>
  <si>
    <t>HERRAN</t>
  </si>
  <si>
    <t>HERNANDO JOSE CELY MOGOLLON</t>
  </si>
  <si>
    <t>RETOMEMOS EL RUMBO PORQUE EN HERNAN USTED TAMBIEN CUENTA</t>
  </si>
  <si>
    <t>LABATECA</t>
  </si>
  <si>
    <t>WILDEN FABIAN CAPACHO MONTERREY</t>
  </si>
  <si>
    <t>PARTIDO CONSERVADOR COLOMBIANO - AV - PU</t>
  </si>
  <si>
    <t>LA ESPERANZA</t>
  </si>
  <si>
    <t>TORCOROMA ROJAS PEREZ</t>
  </si>
  <si>
    <t>JOHN FREDY RAMIREZ SANABRIA</t>
  </si>
  <si>
    <t>ANTONIO MARIA PEREZ PABON</t>
  </si>
  <si>
    <t>MARLENE AMPARO EUGENIO VILLAMIZAR</t>
  </si>
  <si>
    <t>POR LA ESPERANZA QUE QUEREMOS</t>
  </si>
  <si>
    <t>LA PLAYA</t>
  </si>
  <si>
    <t>NAYID EDGARDO DELGADO PEREZ</t>
  </si>
  <si>
    <t>RUBEN DARIO BAYONA RIBON</t>
  </si>
  <si>
    <t>IDER HUMBERTO ALVAREZ GARCIA</t>
  </si>
  <si>
    <t>LOS PATIOS</t>
  </si>
  <si>
    <t>RAMIRO LANDINEZ SUAREZ</t>
  </si>
  <si>
    <t>JOSE MIGUEL BONILLA CASTIBLANCO</t>
  </si>
  <si>
    <t>LOS PATIOS AVANZAN</t>
  </si>
  <si>
    <t>EDISON JAVIER URBINA MENDOZA</t>
  </si>
  <si>
    <t>LOURDES</t>
  </si>
  <si>
    <t>JAIME MONTAGUTH VEGA</t>
  </si>
  <si>
    <t>MANUEL ANTONIO ORTIZ PABON</t>
  </si>
  <si>
    <t>LORENZO MARTINEZ MONCADA</t>
  </si>
  <si>
    <t>MUTISCUA</t>
  </si>
  <si>
    <t>NESTOR YEZID ALVAREZ ACEVEDO</t>
  </si>
  <si>
    <t>MISAEL GAMBOA ROJAS</t>
  </si>
  <si>
    <t>RETOMEMOS EL RUMBO CON EXPERIENCIA TRABAJO Y HUMILDAD</t>
  </si>
  <si>
    <t>OCAÑA</t>
  </si>
  <si>
    <t>MIGUEL FRANCISCO URIBE CENTANARO</t>
  </si>
  <si>
    <t>FRANCISCO GONZALEZ FORTUNATO</t>
  </si>
  <si>
    <t>SAID NAVARRO ALVAREZ</t>
  </si>
  <si>
    <t>HERNANDO DE JESUS SANGUINO SALCEDO</t>
  </si>
  <si>
    <t>SAMIR FERNANDO CASADIEGO SANJUAN</t>
  </si>
  <si>
    <t>WILMER YESID GUERRERO AVENDAÑO</t>
  </si>
  <si>
    <t>POR LA OCAÑA QUE QUERES</t>
  </si>
  <si>
    <t>SILVANO CALVO CALVO</t>
  </si>
  <si>
    <t>OCAÃ±A SOLIDARIA Y EN PAZ</t>
  </si>
  <si>
    <t>PAMPLONA</t>
  </si>
  <si>
    <t>HUMBERTO PISCIOTTI QUINTERO</t>
  </si>
  <si>
    <t>SANTIAGO ALFONSO BURBANO RODRIGUEZ</t>
  </si>
  <si>
    <t>PAMPLONA POSITIVA</t>
  </si>
  <si>
    <t>ANDREA CAROLINA ARAQUE CHACON</t>
  </si>
  <si>
    <t>EL FUTURO NOS UNE</t>
  </si>
  <si>
    <t>PAMPLONITA</t>
  </si>
  <si>
    <t>ELKIN ASDRUVAL MOGOLLON MOGOLLON</t>
  </si>
  <si>
    <t>JOSE GUILLERMO BERMUDEZ GARCIA</t>
  </si>
  <si>
    <t>PUERTO SANTANDER</t>
  </si>
  <si>
    <t>69</t>
  </si>
  <si>
    <t>LUIS SALVADOR FORERO BECERRA</t>
  </si>
  <si>
    <t>RAGONVALIA</t>
  </si>
  <si>
    <t>SORANGEL CONTRERAS CAICEDO</t>
  </si>
  <si>
    <t>PEDRO EDUARDO JAUREGUI PEÑA</t>
  </si>
  <si>
    <t>NEYLY ROCIO LIZARAZO CONTRERAS</t>
  </si>
  <si>
    <t>SALAZAR</t>
  </si>
  <si>
    <t>CLAUDIA SOFIA MONTEJO TORRES</t>
  </si>
  <si>
    <t>FRANK CARLOS CASTRILLON ROJAS</t>
  </si>
  <si>
    <t>PARTIDO CONSERVADOR COLOMBIANO - PU - AV</t>
  </si>
  <si>
    <t>SAN CALIXTO</t>
  </si>
  <si>
    <t>DIEGO HERNESTO ZARAZA PARADA</t>
  </si>
  <si>
    <t>JONATHAN ALSINA CAÑIZARES</t>
  </si>
  <si>
    <t>JESUS BAUTISTA OBREGON CACERES</t>
  </si>
  <si>
    <t>BETSAIDA MONTEJO PEREZ</t>
  </si>
  <si>
    <t>NOSOTROS SI CUMPLIMOS</t>
  </si>
  <si>
    <t>NICOLAS LOPEZ GAONA</t>
  </si>
  <si>
    <t>COALICION POR LA PAZ Y LA DEMOCRACIA</t>
  </si>
  <si>
    <t>ZULMA MILENA BARRETO PRADILLA</t>
  </si>
  <si>
    <t>MARIO ENRIQUE BERBESI HERNANDEZ</t>
  </si>
  <si>
    <t>NURY ESPERANZA ORTEGA MUÑOZ</t>
  </si>
  <si>
    <t xml:space="preserve">LUIS ESTEBAN RUBIO </t>
  </si>
  <si>
    <t>ANGELICA ESTEBAN ACEVEDO</t>
  </si>
  <si>
    <t>SAN CAYETANO PARA TODOS</t>
  </si>
  <si>
    <t>ANTONIO JOSE MARIN CARDENAS</t>
  </si>
  <si>
    <t>SAN CAYETANO UN COMPROMISO DE TODOS</t>
  </si>
  <si>
    <t>SANTIAGO</t>
  </si>
  <si>
    <t>ALVARO UREÑA GOMEZ</t>
  </si>
  <si>
    <t xml:space="preserve">PARTIDO CONSERVADOR COLOMBIANO - </t>
  </si>
  <si>
    <t>SARDINATA</t>
  </si>
  <si>
    <t>EBHER LIZARAZO FUENTES</t>
  </si>
  <si>
    <t>LUIS HELI MOLINA ARIAS</t>
  </si>
  <si>
    <t>HERMIDES MONCADA OSORIO</t>
  </si>
  <si>
    <t>RAMONA DELIA PEÑARANDA TORRES</t>
  </si>
  <si>
    <t>PARTIDO CONSERVADOR COLOMBIANO - PL -PU</t>
  </si>
  <si>
    <t>SILOS</t>
  </si>
  <si>
    <t>WILLIAM PORTILLA PABON</t>
  </si>
  <si>
    <t>TEORAMA</t>
  </si>
  <si>
    <t>UBER SAID CONDE SERRANO</t>
  </si>
  <si>
    <t>ROBINSON SALAZAR BENITEZ</t>
  </si>
  <si>
    <t>UNIDOS POR EL CAMBIO</t>
  </si>
  <si>
    <t>TIBU</t>
  </si>
  <si>
    <t>93</t>
  </si>
  <si>
    <t>OSBAL YASID GOMEZ PACHECO</t>
  </si>
  <si>
    <t>ANA MARIA PEREZ RAMIREZ</t>
  </si>
  <si>
    <t>PASIÃ“N POR NUESTRA TIERRA</t>
  </si>
  <si>
    <t>CARLOS JAVIER PRADA MOGOLLON</t>
  </si>
  <si>
    <t>VICTOR ARMANDO GAMBOA VELASCO</t>
  </si>
  <si>
    <t>TOLEDO NUESTRO COMPROMISO</t>
  </si>
  <si>
    <t>HUBER HERNANDO PLAZA VILLAMIZAR</t>
  </si>
  <si>
    <t>TOLEDO AVANZA</t>
  </si>
  <si>
    <t>VILLA CARO</t>
  </si>
  <si>
    <t>CARLOS DANIEL SERRANO RODRIGUEZ</t>
  </si>
  <si>
    <t>QUINDIO</t>
  </si>
  <si>
    <t>MARIO ALBERTO SANCHEZ GUTIERREZ</t>
  </si>
  <si>
    <t>PIEDAD CORREAL RUBIANO</t>
  </si>
  <si>
    <t>POR LA DEFENSA DE ARMENIA</t>
  </si>
  <si>
    <t>FERNANDO RIVEROS DELGADO</t>
  </si>
  <si>
    <t>FABER RIVEROS NICHOLLS</t>
  </si>
  <si>
    <t>ALEXIS GOMEZ GOMEZ</t>
  </si>
  <si>
    <t>GOBERNABILIDAD EMPODERAMIENTO Y TERRITORIO PARA LA  TRANSFORMACION</t>
  </si>
  <si>
    <t>FRANCISCO JAVIER MARTINEZ PARRADO</t>
  </si>
  <si>
    <t>CALARCA</t>
  </si>
  <si>
    <t>GONZALO GARCIA RIVERA</t>
  </si>
  <si>
    <t>CALARCA CUENTA CONTIGO</t>
  </si>
  <si>
    <t>LUIS ALBERTO BALSERO CONTRERAS</t>
  </si>
  <si>
    <t>CALARCA PARA TODOS</t>
  </si>
  <si>
    <t>CIRCASIA</t>
  </si>
  <si>
    <t>HOBER DE JESUS CIFUENTES VELEZ</t>
  </si>
  <si>
    <t>CESAR ALONSO ARIAS BARBOSA</t>
  </si>
  <si>
    <t>CESAR AUGUSTO HOLGUIN SEPULVEDA</t>
  </si>
  <si>
    <t>ANA YULIETH DIAZ UBAQUE</t>
  </si>
  <si>
    <t>LLEGÃ“ EL TIEMPO DE LA GENTE</t>
  </si>
  <si>
    <t>JULIAN ANDRES PEÑA SIERRA</t>
  </si>
  <si>
    <t>ANGELA MARIA TURRIAGO VALENCIA</t>
  </si>
  <si>
    <t>LUIS FERNANDO MARIN LONDOÑO</t>
  </si>
  <si>
    <t>EMI JOHANA OLARTE HENAO</t>
  </si>
  <si>
    <t>CORDOBA NUESTRA RESPONSABILIDAD Y COMPROMISO</t>
  </si>
  <si>
    <t>FILANDIA</t>
  </si>
  <si>
    <t>JAIME FRANCO ALZATE</t>
  </si>
  <si>
    <t>HECTOR FABIO URREA RAMIREZ</t>
  </si>
  <si>
    <t>LUIS ABEL CARDENAS LEON</t>
  </si>
  <si>
    <t>JOSE ALEXANDER ARROYAVE ORTIZ</t>
  </si>
  <si>
    <t>VAMOS</t>
  </si>
  <si>
    <t>GENOVA</t>
  </si>
  <si>
    <t>ELSY TOBON GONZALEZ</t>
  </si>
  <si>
    <t>CARLOS ALBERTO SIERRA NEIRA</t>
  </si>
  <si>
    <t>ELAYNE LOAIZA JURADO</t>
  </si>
  <si>
    <t>GÃ©NONA NOS MUEVE</t>
  </si>
  <si>
    <t>JORGE IVAN OSORIO VELASQUEZ</t>
  </si>
  <si>
    <t>UNIDOS CONSTRUIREMOS UN CAMBIO PARA GENOVA</t>
  </si>
  <si>
    <t>LA TEBAIDA</t>
  </si>
  <si>
    <t>CARLOS FABIO MONTOYA BUITRAGO</t>
  </si>
  <si>
    <t>MONTENEGRO</t>
  </si>
  <si>
    <t>LUIS EDUARDO MOGOLLON CANDIA</t>
  </si>
  <si>
    <t>JAMES CAÑAS RENDON</t>
  </si>
  <si>
    <t xml:space="preserve">JOSE JOEL VEGA </t>
  </si>
  <si>
    <t>PIJAO</t>
  </si>
  <si>
    <t>JUAN CAMILO PINZON CUERVO</t>
  </si>
  <si>
    <t>JUNTOS CONSTRUIREMOS PROSPERIDAD</t>
  </si>
  <si>
    <t>ALBERTO PEÑA VALENCIA</t>
  </si>
  <si>
    <t>PARTIDO CONSERVADOR COLOMBIANO - CD - PU - AICO</t>
  </si>
  <si>
    <t>QUIMBAYA</t>
  </si>
  <si>
    <t>ABELARDO CASTAÑO MARIN</t>
  </si>
  <si>
    <t>SANTANDER</t>
  </si>
  <si>
    <t>BUCARAMANGA</t>
  </si>
  <si>
    <t>ARIEL GERARDO GARCIA GOMEZ</t>
  </si>
  <si>
    <t>SERGIO ISNARDO MUÑOZ VILLARREAL</t>
  </si>
  <si>
    <t>SERGIO ISNARDO ALCALDE</t>
  </si>
  <si>
    <t>JAIME ANDRES BELTRAN MARTINEZ</t>
  </si>
  <si>
    <t>CON JAIME ANDRES PODEMOS</t>
  </si>
  <si>
    <t>CLAUDIA LUCERO LOPEZ RODRIGUEZ</t>
  </si>
  <si>
    <t xml:space="preserve">HAGAMOS CIUDADANIA POR BUCARAMANGA   </t>
  </si>
  <si>
    <t>AGUADA</t>
  </si>
  <si>
    <t>OSCAR MAURICIO SANCHEZ SANTAMARIA</t>
  </si>
  <si>
    <t>ALBANIA</t>
  </si>
  <si>
    <t>HUMBERTO URIAS SIERRA SANCHEZ</t>
  </si>
  <si>
    <t>DELCY ESPERANZA ROJAS GAMBOA</t>
  </si>
  <si>
    <t>NESTOR MAURICIO CARRILLO SALINAS</t>
  </si>
  <si>
    <t>GUAPOTA</t>
  </si>
  <si>
    <t>EDISSON ARLEY CORTES VALLEJO</t>
  </si>
  <si>
    <t>SI PODEMOS CAMBIAR</t>
  </si>
  <si>
    <t>ARATOCA</t>
  </si>
  <si>
    <t>MONICA NATALIA AVELLANEDA GALVIS</t>
  </si>
  <si>
    <t>VICTOR HUGO FERREIRA MUÑOZ</t>
  </si>
  <si>
    <t>SALOMON MEJIA MEJIA</t>
  </si>
  <si>
    <t>HORACIO ROJAS HERNANDEZ</t>
  </si>
  <si>
    <t>WILLER FABIAN BELTRAN RUEDA</t>
  </si>
  <si>
    <t>OLGA PIEDAD GUERRERO MUÑOZ</t>
  </si>
  <si>
    <t xml:space="preserve">ARATOCA ELIGE CON DIGDNIDAD </t>
  </si>
  <si>
    <t>GUEPSA</t>
  </si>
  <si>
    <t>WILLIAM HUMBERTO CHACON GRANDAS</t>
  </si>
  <si>
    <t>HATO</t>
  </si>
  <si>
    <t>VICENTE CALA DIAZ</t>
  </si>
  <si>
    <t>ELIANA YUCELLY GONZALEZ SANCHEZ</t>
  </si>
  <si>
    <t>HECHO A MANO</t>
  </si>
  <si>
    <t>JOSE PABLO TOLOZA RONDON</t>
  </si>
  <si>
    <t>DE LA MANO CON MI PUEBLO</t>
  </si>
  <si>
    <t>JESUS MARIA</t>
  </si>
  <si>
    <t>EDUARD JESUS SANCHEZ ARIZA</t>
  </si>
  <si>
    <t>FREINER LEONEL FARFAN LAMUS</t>
  </si>
  <si>
    <t>FELIX OCTAVIO PARRA PINEDA</t>
  </si>
  <si>
    <t>OMAIRA LIZETH CAMACHO OSMA</t>
  </si>
  <si>
    <t>JORDAN</t>
  </si>
  <si>
    <t>ALVARO FERREIRA FERREIRA</t>
  </si>
  <si>
    <t>GLORIA ISABEL FERREIRA FAJARDO</t>
  </si>
  <si>
    <t>PARTIDO CONSERVADOR COLOMBIANO  - CD</t>
  </si>
  <si>
    <t>CIELO CARYN DIAZ AMADO</t>
  </si>
  <si>
    <t>PARTIDO CONSERVADOR COLOMBIANO - PV - PL</t>
  </si>
  <si>
    <t>CHISTIAN FERNANDO TAVERA AMADO</t>
  </si>
  <si>
    <t>CULTIVANDO JUNTOS EL DESARROLLO PACEÑO</t>
  </si>
  <si>
    <t>LA BELLEZA</t>
  </si>
  <si>
    <t>119</t>
  </si>
  <si>
    <t>MIGUEL FELIPE SIERRA PEÑA</t>
  </si>
  <si>
    <t>LANDAZURI</t>
  </si>
  <si>
    <t>ISRAEL FONTECHA RODRIGUEZ</t>
  </si>
  <si>
    <t>RICARDO BERNAL TORREZ</t>
  </si>
  <si>
    <t>CARLOS ANDRES MORALES QUIROGA</t>
  </si>
  <si>
    <t>CONSTRUYENDO EL CAMBIO</t>
  </si>
  <si>
    <t>LEBRIJA</t>
  </si>
  <si>
    <t>GABRIEL MARTINEZ CALDERON</t>
  </si>
  <si>
    <t>JAVIER URIBE MOTTA</t>
  </si>
  <si>
    <t>LUIS CARLOS AYALA RUEDA</t>
  </si>
  <si>
    <t>UNIDOS POR LEBRIJA CONSTRUIMOS FUTURO</t>
  </si>
  <si>
    <t>LOS SANTOS</t>
  </si>
  <si>
    <t>RAMIRO MENESES GONZALEZ</t>
  </si>
  <si>
    <t>PEDRO ELIAS CORTES TORRES</t>
  </si>
  <si>
    <t>LUIS BERNARDO ALMEIDA ESPINOSA</t>
  </si>
  <si>
    <t xml:space="preserve">GRAN ALIANZA DE LA FUERZA DEL PUEBLO POR AMOR A LOS SANTOS </t>
  </si>
  <si>
    <t>CAROL ANDREA TARAZONA FLOREZ</t>
  </si>
  <si>
    <t xml:space="preserve">EL MOMENTO ES AHORA </t>
  </si>
  <si>
    <t>MALAGA</t>
  </si>
  <si>
    <t>SERGIO LEONARDO DIAZ RUBIANO</t>
  </si>
  <si>
    <t>JAVIER ALFONSO MARQUEZ GARCES</t>
  </si>
  <si>
    <t>ANTONIO MARIA RUIZ AYALA</t>
  </si>
  <si>
    <t>PARTIDO CONSERVADOR COLOMBIANO -CD - CR - ASI</t>
  </si>
  <si>
    <t>OSCAR MIGUEL JOYA ARENALES</t>
  </si>
  <si>
    <t>COALICION PARTIDO DE LA U CON PARTIDO LIBERAL COLOMBIANO PARTIDO ADA- Y PARTIDO AICO</t>
  </si>
  <si>
    <t>DIANA MILENA CARRERO BECERRA</t>
  </si>
  <si>
    <t>CONSTRUYENDO JUNTOS LA MÃLAGA QUE QUEREMOS</t>
  </si>
  <si>
    <t>JUAN CARLOS SANCHEZ ACUÑA</t>
  </si>
  <si>
    <t>VICTOR MANUEL CAMACHO CAMARGO</t>
  </si>
  <si>
    <t>BARBOSA UNA NUEVA HISTORIA</t>
  </si>
  <si>
    <t>YORGIN HARVEY CELY OVALLE</t>
  </si>
  <si>
    <t xml:space="preserve">DESPIERTA BARBOSA  </t>
  </si>
  <si>
    <t>MATANZA</t>
  </si>
  <si>
    <t>SANDRA DEL PILAR RANGEL LEON</t>
  </si>
  <si>
    <t>ALFREDO ARDILA MEJIA</t>
  </si>
  <si>
    <t>LUIS BERNARDO ECHEVERRY ROJAS</t>
  </si>
  <si>
    <t>PARTIDO CONSERVADOR - CD</t>
  </si>
  <si>
    <t>MOGOTES</t>
  </si>
  <si>
    <t>ADRIAN MAURICIO CASTELLANOS GARCIA</t>
  </si>
  <si>
    <t>NANCY EDITH PINTO JIMENEZ</t>
  </si>
  <si>
    <t xml:space="preserve">PARTIDO CONSERVADOR COLOMBIANO - PU - ASI </t>
  </si>
  <si>
    <t>OCAMONTE</t>
  </si>
  <si>
    <t>AUGUSTO TOMAS PORRAS SALAZAR</t>
  </si>
  <si>
    <t>ANDREA LOPEZ ZABALA</t>
  </si>
  <si>
    <t xml:space="preserve"> OCAMONTE NOS UNE</t>
  </si>
  <si>
    <t>ROBERTO JOSE PILONIETA LOPEZ</t>
  </si>
  <si>
    <t xml:space="preserve">PARTIDO CONSERVADOR COLOMBIANO - CR- CD - PU </t>
  </si>
  <si>
    <t>OIBA</t>
  </si>
  <si>
    <t>EDWAR JULIAN DIAZ RODRIGUEZ</t>
  </si>
  <si>
    <t>EL MEJOR CAMINO PARA OIBA</t>
  </si>
  <si>
    <t>ONZAGA</t>
  </si>
  <si>
    <t>JOHANA GRIMALDOS BARON</t>
  </si>
  <si>
    <t>CON FIRMEZA POR ONZAGA</t>
  </si>
  <si>
    <t>MARCOS FERNANDO CARDENAS SANDOVAL</t>
  </si>
  <si>
    <t>UNIDOS PODEMOS</t>
  </si>
  <si>
    <t>JUAN FERNANDO CACERES NAVAS</t>
  </si>
  <si>
    <t>ONZAGA CUENTE CON NOSOTROS</t>
  </si>
  <si>
    <t>PALMAR</t>
  </si>
  <si>
    <t>CRISTIAN ANDRES SALAS CALA</t>
  </si>
  <si>
    <t>FREDY CALA QUINTERO</t>
  </si>
  <si>
    <t>ALCALDIA DE PALMAR</t>
  </si>
  <si>
    <t>PALMAS DEL SOCORRO</t>
  </si>
  <si>
    <t>WILBERT MENDOZA ARENAS</t>
  </si>
  <si>
    <t>JAVIER CASTILLO VALBUENA</t>
  </si>
  <si>
    <t>COALICIÃ“N PROGRAMATICA Y POLITICA ENTRE EL PARTIDO DE LA U Y PARTIDO ALIZAN SOCIAL INDEPENDIENTE</t>
  </si>
  <si>
    <t>PARAMO</t>
  </si>
  <si>
    <t>JUAN DE DIOS RIVERA HERNANDEZ</t>
  </si>
  <si>
    <t>PARAMO CON TODOS</t>
  </si>
  <si>
    <t>PIEDECUESTA</t>
  </si>
  <si>
    <t>EVA CAROLINA GONZALEZ DUARTE</t>
  </si>
  <si>
    <t>JORGE ARMANDO NAVAS GRANADOS</t>
  </si>
  <si>
    <t>PIEDECUESTA LA FUERZA DEL PROGRESO</t>
  </si>
  <si>
    <t>BARICHARA</t>
  </si>
  <si>
    <t>RUBEN DARIO BAUTISTA GOMEZ</t>
  </si>
  <si>
    <t>ALFONSO RODRIGUEZ PATIÑO</t>
  </si>
  <si>
    <t>BARICHARA NUESTRO SENTIR</t>
  </si>
  <si>
    <t>MILTON EDILSON CHAPARRO JIMENEZ</t>
  </si>
  <si>
    <t>PINCHOTE</t>
  </si>
  <si>
    <t>ALEJANDRO HERNANDEZ GUTIERREZ</t>
  </si>
  <si>
    <t>PINCHOTE VUELVE A CRECER</t>
  </si>
  <si>
    <t>PUENTE NACIONAL</t>
  </si>
  <si>
    <t>MARCO ELVER CASTAÑEDA ROZO</t>
  </si>
  <si>
    <t>YICELA PARDO MARTINEZ</t>
  </si>
  <si>
    <t xml:space="preserve">UNIDOS POR PUENTE NACIONAL </t>
  </si>
  <si>
    <t>JULIO VICENTE NIÑO MATEUS</t>
  </si>
  <si>
    <t>PUERTO PARRA</t>
  </si>
  <si>
    <t>167</t>
  </si>
  <si>
    <t>XIMENA PATRICIA RODRIGUEZ ORTIZ</t>
  </si>
  <si>
    <t>JOSE DANIEL ACEVEDO MEJIA</t>
  </si>
  <si>
    <t>ABELARDO PEREZ ROMERO</t>
  </si>
  <si>
    <t>PUERTO WILCHES</t>
  </si>
  <si>
    <t>JAIRO DEMIS TOQUICA AGUILAR</t>
  </si>
  <si>
    <t>NILSON SALGUERO RINCON</t>
  </si>
  <si>
    <t>ADAY EDSON SUAREZ MARTINEZ</t>
  </si>
  <si>
    <t>ALEXANDRA MEJIA MORON</t>
  </si>
  <si>
    <t>JOSE ELIAS ZORRO MANRIQUE</t>
  </si>
  <si>
    <t>LUCELY SUAREZ PEÑA</t>
  </si>
  <si>
    <t/>
  </si>
  <si>
    <t>JOHANN ALEXIS RUIZ PAUL</t>
  </si>
  <si>
    <t>COALICION POR LA ALCALDIA DE PUERTO WILCHES</t>
  </si>
  <si>
    <t>YASSABELL MARTINEZ ACEVEDO</t>
  </si>
  <si>
    <t>#TUDECIDESYASSABELL</t>
  </si>
  <si>
    <t>PATRICIA AVILA MONSALVE</t>
  </si>
  <si>
    <t>ADRIANA EDITH MACIAS ALARCON</t>
  </si>
  <si>
    <t>HECTOR JOHANNY SANTANA MUÑOZ</t>
  </si>
  <si>
    <t>SABANA DE TORRES</t>
  </si>
  <si>
    <t>174</t>
  </si>
  <si>
    <t>JESUS EDUARDO CUBILLOS MORENO</t>
  </si>
  <si>
    <t>JOSE ROSEMBER ROJAS MORENO</t>
  </si>
  <si>
    <t>KENDY YULAY JAIMES CARRILLO</t>
  </si>
  <si>
    <t>ALIANZA SOCIAL INDEPENDIENTE COLOMBIA RENACIENTE</t>
  </si>
  <si>
    <t>LUZ CONSUELO ORTIZ ROJAS</t>
  </si>
  <si>
    <t>DEJANDO HUELLAS CONSTRUIMOS FUTURO</t>
  </si>
  <si>
    <t>SAN BENITO</t>
  </si>
  <si>
    <t>JAIME AMADO ARGUELLO</t>
  </si>
  <si>
    <t>SAN BENITO PARA TODOS</t>
  </si>
  <si>
    <t>SAN GIL</t>
  </si>
  <si>
    <t>LINA MARIA BARRERA RUEDA</t>
  </si>
  <si>
    <t>ALBA LUCIA MUÑOZ NEIRA</t>
  </si>
  <si>
    <t>HERMES ORTIZ RODRIGUEZ</t>
  </si>
  <si>
    <t>SAN GIL  MERECE MÃ¡S</t>
  </si>
  <si>
    <t>SERGIO ALBERTO PALOMINO HERNANDEZ</t>
  </si>
  <si>
    <t>TODOS SOMOS SAN GIL-</t>
  </si>
  <si>
    <t>JOSE DE JESUS VILLAR TORRES</t>
  </si>
  <si>
    <t>AUTORIDAD ORDEN Y SEGURIDAD POR SAN GIL</t>
  </si>
  <si>
    <t>SAN JOAQUIN</t>
  </si>
  <si>
    <t>CARLOS JOSE DIAZ QUINTERO</t>
  </si>
  <si>
    <t>GERARDO GUALDRON PRADA</t>
  </si>
  <si>
    <t>SAN JOSE DE MIRANDA</t>
  </si>
  <si>
    <t>ALFONSO MORENO BLANCO</t>
  </si>
  <si>
    <t>PATROCINIO RODRIGUEZ LEAL</t>
  </si>
  <si>
    <t>ISAIAS CRUZ CORREA</t>
  </si>
  <si>
    <t>DONALDO ORTIZ CARDENAS</t>
  </si>
  <si>
    <t>CON FE Y ESPERANZA AVANCEMOS JUNTOS</t>
  </si>
  <si>
    <t>SAN MIGUEL</t>
  </si>
  <si>
    <t>JAIRO LEONEL ACUÑA BONILLA</t>
  </si>
  <si>
    <t>PARTIDO CONSERVADOR COLOMBIANO - PV</t>
  </si>
  <si>
    <t>BARRANCABERMEJA</t>
  </si>
  <si>
    <t>ALFONSO ELJACH MANRIQUE</t>
  </si>
  <si>
    <t>PABLO JESUS ARTEAGA GARRIDO</t>
  </si>
  <si>
    <t>NICOLAS ANDRES CONTRERAS BAEZ</t>
  </si>
  <si>
    <t>NUEVA BARRANCABERMEJA</t>
  </si>
  <si>
    <t>JONATHAN STIVEL VASQUEZ GOMEZ</t>
  </si>
  <si>
    <t>COALICION CIVICOS AL 100</t>
  </si>
  <si>
    <t>CLAUDIA PATRICIA ANDRADE GONZALEZ</t>
  </si>
  <si>
    <t>BARRANCABERMEJA LIBRE HUMANA Y EN PAZ</t>
  </si>
  <si>
    <t>SAN VICENTE DE CHUCURI</t>
  </si>
  <si>
    <t>FERNANDO CABALLERO GARCIA</t>
  </si>
  <si>
    <t>MANUEL ALFONSO ESTEBAN MACIAS</t>
  </si>
  <si>
    <t>FREDDY QUINTANILLA PEREZ</t>
  </si>
  <si>
    <t>SANTA HELENA DEL OPON</t>
  </si>
  <si>
    <t>194</t>
  </si>
  <si>
    <t>JORGE ELIECER BELTRAN VASQUEZ</t>
  </si>
  <si>
    <t>SIMACOTA</t>
  </si>
  <si>
    <t>LUCILA FRANCO CASTILLO</t>
  </si>
  <si>
    <t>ISMAEL ORLANDO AREVALO OBREGOZO</t>
  </si>
  <si>
    <t>NELSON ORLANDO ORTIZ BELTRAN</t>
  </si>
  <si>
    <t>CARLOS FERNANDO QUIROGA GOMEZ</t>
  </si>
  <si>
    <t>SOCORRO</t>
  </si>
  <si>
    <t>DORALBA MARQUEZ PLATA</t>
  </si>
  <si>
    <t>CLAUDIA LUZ ALBA PORRAS RODRIGUEZ</t>
  </si>
  <si>
    <t>FUERZA SOCORRO</t>
  </si>
  <si>
    <t>SUAITA</t>
  </si>
  <si>
    <t>EDUAR ALONSO GONZALEZ NINO</t>
  </si>
  <si>
    <t>JULIO CESAR VILLATE JESSEN</t>
  </si>
  <si>
    <t>SUAITA DE PUERTAS ABIERTAS</t>
  </si>
  <si>
    <t>LAURA MAGALY PEÑA BARRERA</t>
  </si>
  <si>
    <t>ALIANZA SOCIAL INDEPENDIENTE MOVIMIENTO ALTERNATIVO INDIGENA Y SOCIAL</t>
  </si>
  <si>
    <t>CARLOS JULIO MARIN GARCIA</t>
  </si>
  <si>
    <t>SURATA</t>
  </si>
  <si>
    <t>ANA FRANCISCA CORONADO GOMEZ</t>
  </si>
  <si>
    <t>SURATA SOMOS MAS</t>
  </si>
  <si>
    <t>HENRY DELGADO PULIDO</t>
  </si>
  <si>
    <t>UNIDOS POR SURATA</t>
  </si>
  <si>
    <t>TONA</t>
  </si>
  <si>
    <t>JAVIER ENRIQUE LANDAZABAL MARTINEZ</t>
  </si>
  <si>
    <t>VALLE DE SAN JOSE</t>
  </si>
  <si>
    <t>JOSE VICENTE PORRAS BUENAHORA</t>
  </si>
  <si>
    <t>ALBA XIMENA MEDINA SILVA</t>
  </si>
  <si>
    <t>MEJOR ES POSIBLE</t>
  </si>
  <si>
    <t>ALEXIS BURGOS RINCON</t>
  </si>
  <si>
    <t>COALICION PARTIDO DE LA U CON EL PARTIDO CAMBIO RADICAL - PARTIDO CONSERVADOR Y PARTIDO LIBERAL</t>
  </si>
  <si>
    <t>VETAS</t>
  </si>
  <si>
    <t>219</t>
  </si>
  <si>
    <t>HERNAN BAUTISTA MORENO</t>
  </si>
  <si>
    <t>IVONNE CONSUELO GONZALEZ JACOME</t>
  </si>
  <si>
    <t>VETAS SIN LIMITES</t>
  </si>
  <si>
    <t>VELEZ</t>
  </si>
  <si>
    <t>GERARDO JEREZ ZAFRA</t>
  </si>
  <si>
    <t>JORGE ALBERTO NIEVES FONTECHA</t>
  </si>
  <si>
    <t>ARNOLDO PRADA MONSALVE</t>
  </si>
  <si>
    <t>POR UNA BETULIA INCLUYENTE</t>
  </si>
  <si>
    <t>221</t>
  </si>
  <si>
    <t>ANTONIO FUENTES VIVIESCAS</t>
  </si>
  <si>
    <t>JOSE ALFREDO JIMENEZ BARON</t>
  </si>
  <si>
    <t>VILLANUEVA NOS UNE</t>
  </si>
  <si>
    <t>ZAPATOCA</t>
  </si>
  <si>
    <t>HERNAN AGREDO ACEVEDO</t>
  </si>
  <si>
    <t>CESAR AUGUSTO SUAREZ GARRIDO</t>
  </si>
  <si>
    <t>NESTOR DURAN GOMEZ</t>
  </si>
  <si>
    <t>PARTIDO CONSERVADOR COLOMBIANO  - PL - CD - PU</t>
  </si>
  <si>
    <t>EDINSON GONZALO DAZA IRREÑO</t>
  </si>
  <si>
    <t>COALICIÃ“N EDINSON GONZALO DAZA IRREÑO</t>
  </si>
  <si>
    <t>CABRERA</t>
  </si>
  <si>
    <t>NELSON ENRRIQUE PIMIENTO BARRERA</t>
  </si>
  <si>
    <t>CALIFORNIA</t>
  </si>
  <si>
    <t xml:space="preserve">GERARDO GARCIA </t>
  </si>
  <si>
    <t>GENNY GAMBOA GUERRERO</t>
  </si>
  <si>
    <t>CAPITANEJO</t>
  </si>
  <si>
    <t>ISIDRO MOGOLLON BLANCO</t>
  </si>
  <si>
    <t>CARCASI</t>
  </si>
  <si>
    <t>GERARDO HARVEY DURAN CACERES</t>
  </si>
  <si>
    <t>CON LA FUERZA DEL PUEBLO</t>
  </si>
  <si>
    <t>CEPITA</t>
  </si>
  <si>
    <t>HERNANDO NIÑO QUIÑONEZ</t>
  </si>
  <si>
    <t>CARLOS ANDRES QUIÑONEZ MENDOZA</t>
  </si>
  <si>
    <t>OSCAR JAVIER REY REY</t>
  </si>
  <si>
    <t>COALICIÃ“N PARTIDO DE LA UNIDAD Y PARTIDO ASI ALIANZA SOCIAL INDEPENDIENTE</t>
  </si>
  <si>
    <t>JUAN CARLOS REY AVENDAÑO</t>
  </si>
  <si>
    <t>CEPITÃ SIEMPRE ADELANTE</t>
  </si>
  <si>
    <t>CERRITO</t>
  </si>
  <si>
    <t>HENRY CARDENAS CARVAJAL</t>
  </si>
  <si>
    <t>PORQUE EL CERRITO ES DE TODOS AGROPECUARIO Y EMPRENDEDOR</t>
  </si>
  <si>
    <t>CIMITARRA</t>
  </si>
  <si>
    <t>45</t>
  </si>
  <si>
    <t>EDERSON NIÑO NAVARRO</t>
  </si>
  <si>
    <t>JIM ALEXANDER MORENO LANDAZABAL</t>
  </si>
  <si>
    <t>NESTOR WADITH PAEZ VEGA</t>
  </si>
  <si>
    <t>HENRY RIAÑO CASTILLO</t>
  </si>
  <si>
    <t>CREEMOS EN CIMITARRA</t>
  </si>
  <si>
    <t>EDGAR ORTIZ HERNANDEZ</t>
  </si>
  <si>
    <t>CARLOS ALIRIO MENESES CORDERO</t>
  </si>
  <si>
    <t>JOSE ALBERTO CALDERON CASTAÑEDA</t>
  </si>
  <si>
    <t>CALDERON EL CORAZON DEL PUEBLO</t>
  </si>
  <si>
    <t>CONFINES</t>
  </si>
  <si>
    <t>DIEGO ARMANDO RIVERO CASTILLO</t>
  </si>
  <si>
    <t>PARTIDO CONSERVADOR COLOMBIANO  - PL - ASI</t>
  </si>
  <si>
    <t>CURITI</t>
  </si>
  <si>
    <t>CARLOS ALONSO FIGUEROA</t>
  </si>
  <si>
    <t>ANGEL MIGUEL TRIANA SANCHEZ</t>
  </si>
  <si>
    <t>SOMOS TODOS</t>
  </si>
  <si>
    <t>CHARALA</t>
  </si>
  <si>
    <t>ELADIO ANTONIO BERDUGO PICO</t>
  </si>
  <si>
    <t>DAVID CARDENAS OROZCO</t>
  </si>
  <si>
    <t>CIRO ALFONSO CRUZ RIVERA</t>
  </si>
  <si>
    <t>EDILSON ARENAS SILVA</t>
  </si>
  <si>
    <t>EL MOMENTO ES AHORA</t>
  </si>
  <si>
    <t>FERNANDO VILLARREAL AMADO</t>
  </si>
  <si>
    <t>SERGIO ALEXANDER GONZALEZ HERNANDEZ</t>
  </si>
  <si>
    <t>CHIPATA</t>
  </si>
  <si>
    <t>ARGEMIRO ANGULO DIAZ</t>
  </si>
  <si>
    <t>71</t>
  </si>
  <si>
    <t>RODOLFO LANDAZABAL MERCHAN</t>
  </si>
  <si>
    <t>JORGE VICTOR BELTRAN SALAMANCA</t>
  </si>
  <si>
    <t>DIEGO FERNANDO PLATA ALVAREZ</t>
  </si>
  <si>
    <t>PARTIDO CONSERVADOR COLOMBIANO - PV -PL</t>
  </si>
  <si>
    <t>ALFONSO DIAZ MONTAÑEZ</t>
  </si>
  <si>
    <t>PACTO POR EL CARMEN</t>
  </si>
  <si>
    <t>EL GUACAMAYO</t>
  </si>
  <si>
    <t>JORGE EDUARDO CRUZ ORTIZ</t>
  </si>
  <si>
    <t>EL PLAYON</t>
  </si>
  <si>
    <t xml:space="preserve">GUSTAVO ADOLFO VILLAMIZAR </t>
  </si>
  <si>
    <t>LACIDES DE LA CRUZ PUMAREJO GUEVARA</t>
  </si>
  <si>
    <t>JORGE ENRIQUE SIERRA OLAYA</t>
  </si>
  <si>
    <t>YULI HERNANDEZ MANTILLA</t>
  </si>
  <si>
    <t>AL PLAYON LE PONEMOS CORAZON</t>
  </si>
  <si>
    <t>FERNEY SANTAMARIA HERNANDEZ</t>
  </si>
  <si>
    <t>COALICION ALCALDIA DE EL PEÑON</t>
  </si>
  <si>
    <t>ENCINO</t>
  </si>
  <si>
    <t>JOSE GABRIEL GIRATA PICO</t>
  </si>
  <si>
    <t xml:space="preserve">TODOS SOMOS ENCINO </t>
  </si>
  <si>
    <t>RUTH HERMINDA MORENO FLOREZ</t>
  </si>
  <si>
    <t>POR UN ENCINO CON EQUIDAD</t>
  </si>
  <si>
    <t>ENCISO</t>
  </si>
  <si>
    <t>YAMITH HERNANDEZ BLANCO</t>
  </si>
  <si>
    <t>HAY UN CAMINO MEJOR</t>
  </si>
  <si>
    <t>JOSE DOMINGO HERNANDEZ NIÑO</t>
  </si>
  <si>
    <t>POR UN FUTURO MEJOR</t>
  </si>
  <si>
    <t>ISRAEL SANDOVAL MANRIQUE</t>
  </si>
  <si>
    <t>DE LA MANO DE DIOS AL SERVICIO DE NUESTRA GENTE</t>
  </si>
  <si>
    <t>FLORIAN</t>
  </si>
  <si>
    <t>JORGE ALEJANDRO RIVAS QUIROGA</t>
  </si>
  <si>
    <t>NESTOR ORLANDO DELGADO PARDO</t>
  </si>
  <si>
    <t>FLORIAN EDUCADO PRODUCTIVO Y COMPETITIVO</t>
  </si>
  <si>
    <t>FLORIDABLANCA</t>
  </si>
  <si>
    <t>JUAN CARLOS AYALA SUAREZ</t>
  </si>
  <si>
    <t>JOSE ARIEL JAIMES CABALLERO</t>
  </si>
  <si>
    <t>WILLIAN CESAR GOMEZ MARTINEZ</t>
  </si>
  <si>
    <t>EDUARDO MARTINEZ DUARTE</t>
  </si>
  <si>
    <t>MARIA MERCEDES MUÑOZ AYALA</t>
  </si>
  <si>
    <t>SUMEMOSLE A FLORIDABLANCA</t>
  </si>
  <si>
    <t>MIGUEL ANGEL MORENO SUAREZ</t>
  </si>
  <si>
    <t>RENACE FLORIDABLANCA SANTANDER</t>
  </si>
  <si>
    <t>GALAN</t>
  </si>
  <si>
    <t>ABRAHAM GONZALEZ PORRAS</t>
  </si>
  <si>
    <t>JORGE MARTINEZ GALVIS</t>
  </si>
  <si>
    <t>GAMBITA</t>
  </si>
  <si>
    <t>OSCAR LOPEZ HERRERA</t>
  </si>
  <si>
    <t>AIDUBBY JULIANA MATEUS ESPITIA</t>
  </si>
  <si>
    <t>SIMEPRE GAMBITA</t>
  </si>
  <si>
    <t xml:space="preserve">WILLIAM HERRERA </t>
  </si>
  <si>
    <t>PORTIDO CONSERVADOR COLOMBIANO</t>
  </si>
  <si>
    <t>GUACA</t>
  </si>
  <si>
    <t>ANGEL FERNEY VILLAMIZAR VILLAMIZAR</t>
  </si>
  <si>
    <t>RAMIRO ALONSO REATIGA ALVARADO</t>
  </si>
  <si>
    <t>ELBA CARVAJAL VALENCIA</t>
  </si>
  <si>
    <t>NEYLA MEJIA LOZANO</t>
  </si>
  <si>
    <t>PARTIDO CONSERVADOR COLOMBIANO - CR- AV</t>
  </si>
  <si>
    <t>HECTOR HERNANDO FRANCO GOMEZ</t>
  </si>
  <si>
    <t>ALVARO ENRIQUE LEON FRANCO</t>
  </si>
  <si>
    <t>SINCELEJO</t>
  </si>
  <si>
    <t>MARIO ALBERTO FERNANDEZ ALCOCER</t>
  </si>
  <si>
    <t>TATIANA PAOLA VALETA LAMBRAÑO</t>
  </si>
  <si>
    <t>CARLOS ARTURO VERGARA MONTES</t>
  </si>
  <si>
    <t>JOSE EDER JARO ALZATE ZULUAGA</t>
  </si>
  <si>
    <t>MARIO ALBERTO RUIZ SOTO</t>
  </si>
  <si>
    <t>ADOLFO ANTONIO ORDOÑEZ CHADID</t>
  </si>
  <si>
    <t>OVEJAS</t>
  </si>
  <si>
    <t>EDISON ZAMORA PULGAR</t>
  </si>
  <si>
    <t>FREDDY ORLANDO RICARDO CANTILLO</t>
  </si>
  <si>
    <t>ANTONIO JOSE GARCIA DE LA ROSA</t>
  </si>
  <si>
    <t>IRWIN JAVID MERCADO OLIVEROS</t>
  </si>
  <si>
    <t>PEDRO JOSE LOZANO RODRIGUEZ</t>
  </si>
  <si>
    <t>FRANCISCO BUENAVENTURA AMELL AMELL</t>
  </si>
  <si>
    <t>FRANCISCO HERNANDO HERNANDEZ RODRIGUEZ</t>
  </si>
  <si>
    <t>PALMITO</t>
  </si>
  <si>
    <t>JORGE LUIS MARTINEZ HERNANDEZ</t>
  </si>
  <si>
    <t>OSCAR ENRIQUE GOMEZ ESCUDERO</t>
  </si>
  <si>
    <t>DEIVIS ALBERTO LEDEZMA PACHECO</t>
  </si>
  <si>
    <t>SAMPUES</t>
  </si>
  <si>
    <t>CARLOS HUGO MONTOYA ARIAS</t>
  </si>
  <si>
    <t>SAIRA BERNARDA VERGARA PEREZ</t>
  </si>
  <si>
    <t>EDGARDO JOSE VERGARA HERNANDEZ</t>
  </si>
  <si>
    <t>ALEJANDRO JOSE SIERRA MARZAN</t>
  </si>
  <si>
    <t>SAN BENITO ABAD</t>
  </si>
  <si>
    <t>MANUEL DEL CRISTO CADRAZCO SALCEDO</t>
  </si>
  <si>
    <t>EMIL ENRIQUE CUETO VALDERRAMA</t>
  </si>
  <si>
    <t>SAN JUAN DE BETULIA</t>
  </si>
  <si>
    <t>JUAN CARLOS GIL VELASQUEZ</t>
  </si>
  <si>
    <t>OSCAR ALFREDO JARABA PINEDA</t>
  </si>
  <si>
    <t>FELIPE NERIS AGUAS ALVAREZ</t>
  </si>
  <si>
    <t>ROBERTO CARLOS ORTEGA ALDANA</t>
  </si>
  <si>
    <t>SAN MARCOS</t>
  </si>
  <si>
    <t>JORGE LUIS LOPEZ MUÑOZ</t>
  </si>
  <si>
    <t>ANGEL MOISES BARRETO CHARRASQUIEL</t>
  </si>
  <si>
    <t>ANUAR YAMIL ARABIA ORTEGA</t>
  </si>
  <si>
    <t>ROBERTO LUIS VILLEGAS CUELLO</t>
  </si>
  <si>
    <t>LEVIS DANITH MONTIEL ACOSTA</t>
  </si>
  <si>
    <t>HELDER JOSE CARRIAZO ESCAF</t>
  </si>
  <si>
    <t>LUIS FERNANDO DUMAR HERAZO</t>
  </si>
  <si>
    <t>ARNULFO MIGUEL ORTEGA LOPEZ</t>
  </si>
  <si>
    <t>CAIMITO</t>
  </si>
  <si>
    <t>JAIME MANUEL URIBE COTERA</t>
  </si>
  <si>
    <t>RAFAEL DE JESUS SILGADO VILLALBA</t>
  </si>
  <si>
    <t>MIGUEL ESTEBAN ACOSTA RICARDO</t>
  </si>
  <si>
    <t>EDUARDO ENRIQUE PASTRANA VASQUEZ</t>
  </si>
  <si>
    <t>ALEJANDRO DE JESUS DE LA OSSA MONTIEL</t>
  </si>
  <si>
    <t>OSCAR MARIO HEREDIA VERGARA</t>
  </si>
  <si>
    <t>ALCALDIA DE CAIMITO</t>
  </si>
  <si>
    <t>SAN ONOFRE</t>
  </si>
  <si>
    <t>JESUS HERNANDO JULIO TEHERAN</t>
  </si>
  <si>
    <t>240</t>
  </si>
  <si>
    <t>AUGUSTO RAFAEL BENITEZ DE LA OSSA</t>
  </si>
  <si>
    <t>POR UN MEJOR FUTURO PARA SAN PEDRO</t>
  </si>
  <si>
    <t>JESUS MIGUEL GARCIA PIÑA</t>
  </si>
  <si>
    <t>ALCALDIA DE SAN PEDRO</t>
  </si>
  <si>
    <t>San Luis de Since</t>
  </si>
  <si>
    <t>260</t>
  </si>
  <si>
    <t>WILLIAM RAFAEL AGUAS ROMERO</t>
  </si>
  <si>
    <t>ADELAIDA JOSEFINA HERNANDEZ ANAYA</t>
  </si>
  <si>
    <t>PARTIDO CONSERVADOR COLOMBIANO - PU - CR CD - ASI</t>
  </si>
  <si>
    <t>LUIS MIGUEL ACOSTA DE LA OSSA</t>
  </si>
  <si>
    <t xml:space="preserve">UNIDOS PARA SERVIRLE A LA GENTE </t>
  </si>
  <si>
    <t>NAME JOSE JORGE VILORIA</t>
  </si>
  <si>
    <t>ELVIRA JULIA MERCADO ACEVEDO</t>
  </si>
  <si>
    <t>PEDRO LUIS CHAVEZ BUENO</t>
  </si>
  <si>
    <t>JOSE MIGUEL DIAZ CASTRO</t>
  </si>
  <si>
    <t>PEDRO DANIEL DOMINGUEZ VILLAMIL</t>
  </si>
  <si>
    <t>Santiago de Tolu</t>
  </si>
  <si>
    <t>JORGE ISAAC PUERTA ALVAREZ</t>
  </si>
  <si>
    <t>CESAR AUGUSTO PEROZA SIERRA</t>
  </si>
  <si>
    <t>DAVID JOSE TOSCANO MONTERROZA</t>
  </si>
  <si>
    <t>ABEL DE JESUS PERINAN LAMBIS</t>
  </si>
  <si>
    <t>DARWIN DAVID OZUNA CABARCAS</t>
  </si>
  <si>
    <t>COLOSO</t>
  </si>
  <si>
    <t>BENITO MIGUEL SALAZAR ALQUERQUE</t>
  </si>
  <si>
    <t>ISAIAS JAVIER DIAZ BARRIOS</t>
  </si>
  <si>
    <t>COLOSO INCLUYENTE Y TRANSPARENTE</t>
  </si>
  <si>
    <t>Tolu Viejo</t>
  </si>
  <si>
    <t>320</t>
  </si>
  <si>
    <t>ALVARO CESAR CONTRERAS CORENA</t>
  </si>
  <si>
    <t>DAIVER ENRIQUE NARVAEZ TOUS</t>
  </si>
  <si>
    <t>ROGER DAVID CARDENAS DIAZ</t>
  </si>
  <si>
    <t>GUIOMAR FERNANDO RODRIGUEZ DIAZ</t>
  </si>
  <si>
    <t>COROZAL</t>
  </si>
  <si>
    <t>ROGER DE JESUS RAMOS SUAREZ</t>
  </si>
  <si>
    <t>COVEÑAS</t>
  </si>
  <si>
    <t>RAFAEL ANTONIO OSPINA TOSCANO</t>
  </si>
  <si>
    <t>JUAN PABLO ZUBIRIA MACIAS</t>
  </si>
  <si>
    <t>DIANA PATRICIA GALVIS MERCADO</t>
  </si>
  <si>
    <t>RUPERTO LUIS PADILLA DIAZ</t>
  </si>
  <si>
    <t>CARLOS ALBERTO REDONDO RINCON</t>
  </si>
  <si>
    <t>SEBASTIAN ROMERO GONZALEZ</t>
  </si>
  <si>
    <t>JOSE ANGEL GUERRERO TAPIA</t>
  </si>
  <si>
    <t>WBALDO JOSE SALAS MARTINEZ</t>
  </si>
  <si>
    <t>EL ROBLE</t>
  </si>
  <si>
    <t>FERNANDO MANUEL VERGARA ORTEGA</t>
  </si>
  <si>
    <t>CRISTHIAN RAFAEL SALGADO ATENCIA</t>
  </si>
  <si>
    <t>SERGUEY ALFREDO VERGARA VERGARA</t>
  </si>
  <si>
    <t>CHALAN</t>
  </si>
  <si>
    <t>WILTON JOAQUIN BARRETO PEREZ</t>
  </si>
  <si>
    <t>GALERAS</t>
  </si>
  <si>
    <t>FRANK JOSE CUETO VANEGAS</t>
  </si>
  <si>
    <t>JOSE IGNACIO HERNANDEZ VEGA</t>
  </si>
  <si>
    <t>ALCALDIA DE GALERAS - SUCRE</t>
  </si>
  <si>
    <t>GUARANDA</t>
  </si>
  <si>
    <t>ROBIRO GUSTAVO DIAZ TOVAR</t>
  </si>
  <si>
    <t>NATACHA PERDOMO DE LA OSSA</t>
  </si>
  <si>
    <t>JAVIER FRANCISCO RICARDO JIMENEZ</t>
  </si>
  <si>
    <t>LOS PALMITOS</t>
  </si>
  <si>
    <t>SAMIRA MARGARITA FARAK MENDOZA</t>
  </si>
  <si>
    <t>ROSA DEL CARMEN PEREZ TOVAR</t>
  </si>
  <si>
    <t>DIANA JUDITH PEREZ MARQUEZ</t>
  </si>
  <si>
    <t>LIZANDRO SEGUNDO MEZA DOMINGUEZ</t>
  </si>
  <si>
    <t>MAJAGUAL</t>
  </si>
  <si>
    <t>OSCAR ARIEL GUZMAN LUNA</t>
  </si>
  <si>
    <t>ELSA YAIDET YEPES RODELO</t>
  </si>
  <si>
    <t>MORROA</t>
  </si>
  <si>
    <t>TONIO FRANCISCO OLMOS NAVAS</t>
  </si>
  <si>
    <t>JORGE LUIS ROMERO SALCEDO</t>
  </si>
  <si>
    <t>JUAN JOSE DOMINGUEZ BERTEL</t>
  </si>
  <si>
    <t>ALCALDIA DE MORROA</t>
  </si>
  <si>
    <t>TOLIMA</t>
  </si>
  <si>
    <t>IBAGUE</t>
  </si>
  <si>
    <t>CAMILO ERNESTO DELGADO HERRERA</t>
  </si>
  <si>
    <t>LEONIDAS LOPEZ HERRAN</t>
  </si>
  <si>
    <t>RUBEN DARIO CORREA CARVAJAL</t>
  </si>
  <si>
    <t>ANDRES FABIAN HURTADO BARRERA</t>
  </si>
  <si>
    <t>JOSE ALBERTO GIRON ROJAS</t>
  </si>
  <si>
    <t>MAIS - AICO</t>
  </si>
  <si>
    <t>HUGO ERNESTO ZARRATE OSORIO</t>
  </si>
  <si>
    <t>CONVERGENCIA ALTERNATIVA</t>
  </si>
  <si>
    <t>ALFREDO BOCANEGRA VARON</t>
  </si>
  <si>
    <t>#IBAGUERENACERA</t>
  </si>
  <si>
    <t>JOSE HILDEBRANDO BARRETO CASTILLO</t>
  </si>
  <si>
    <t>FIRME POR IBAGUÃ©</t>
  </si>
  <si>
    <t>ALPUJARRA</t>
  </si>
  <si>
    <t>NATALIA LORENA OSORIO TORRES</t>
  </si>
  <si>
    <t>ALBEIRO TRUJILLO CASTRO</t>
  </si>
  <si>
    <t>MARIA RUTH DELY GUERRERO LOZANO</t>
  </si>
  <si>
    <t>ALVARADO</t>
  </si>
  <si>
    <t>LEIDY VIVIANA PEREZ RINCON</t>
  </si>
  <si>
    <t>JHON FREDY GARCIA AREVALO</t>
  </si>
  <si>
    <t>HENRY JULIAN RAMIREZ ALVAREZ</t>
  </si>
  <si>
    <t>HENRY HERRERA VIÑA</t>
  </si>
  <si>
    <t>COALICION ALVARADO</t>
  </si>
  <si>
    <t>RONCESVALLES</t>
  </si>
  <si>
    <t>JORGE HUMBERTO MONTAÑO HENAO</t>
  </si>
  <si>
    <t>OMAR RICARDO ESPINOSA ALVAREZ</t>
  </si>
  <si>
    <t>RONCESVALLES SI TIENE FUTURO</t>
  </si>
  <si>
    <t>AMBALEMA</t>
  </si>
  <si>
    <t>JORGE ARMANDO LOZADA MESA</t>
  </si>
  <si>
    <t>JUSTINIANO CHACON ORJUELA</t>
  </si>
  <si>
    <t>NORMA ALICIA ARGUELLES ACUÑA</t>
  </si>
  <si>
    <t>ROVIRA</t>
  </si>
  <si>
    <t>EDILBERTO GUZMAN SANCHEZ</t>
  </si>
  <si>
    <t>VICTOR ALFONSO GUALTERO GOMEZ</t>
  </si>
  <si>
    <t>JOSE ALAHIN TICORA RAMIREZ</t>
  </si>
  <si>
    <t>DIEGO ANDRES GUERRA QUINTERO</t>
  </si>
  <si>
    <t>SAUL ANTONIO GUZMAN GONZALEZ</t>
  </si>
  <si>
    <t>UNIDOS HACEMOS LA DIFERENCIA</t>
  </si>
  <si>
    <t>SONIA ALEXANDRA PELAEZ BARRAGAN</t>
  </si>
  <si>
    <t>SP SOLUCIONES Y PROGRESO</t>
  </si>
  <si>
    <t>SALDAÑA</t>
  </si>
  <si>
    <t>ORLANDO CUELLAR VASQUEZ</t>
  </si>
  <si>
    <t>REINALDO BARRETO MONTAÑA</t>
  </si>
  <si>
    <t>LUIS JORGE RODRIGUEZ PEÑA</t>
  </si>
  <si>
    <t>JUNTOS POR SALDAÃ±A</t>
  </si>
  <si>
    <t>CARLOS ENRIQUE MURILLO LUGO</t>
  </si>
  <si>
    <t>JESUS ARIEL LOZANO LOZANO</t>
  </si>
  <si>
    <t>SANTA ISABEL</t>
  </si>
  <si>
    <t>EDISON DELGADO HINCAPIE</t>
  </si>
  <si>
    <t>DIANA MAGALY CARO GALINDO</t>
  </si>
  <si>
    <t>RODOLFO ANDRES LOPEZ SIERRA</t>
  </si>
  <si>
    <t>UNIDOS POR SANTA ISABEL OPORTUNIDAD, EMPRENDIMIENTO Y PROGRESO</t>
  </si>
  <si>
    <t>HUMBERTO SUAREZ LOZANO</t>
  </si>
  <si>
    <t>CLARA INES MURILLO RODRIGUEZ</t>
  </si>
  <si>
    <t>IDEAS</t>
  </si>
  <si>
    <t>JORGE ENRIQUE LABRADOR BRIÑEZ</t>
  </si>
  <si>
    <t>SUAREZ, EL PROGRESO REGRESA</t>
  </si>
  <si>
    <t>PEDRO FUERTES NINO</t>
  </si>
  <si>
    <t>PARTIDO CONSERVADOR COLOMBIANO  -  PU</t>
  </si>
  <si>
    <t>VALLE DE SAN JUAN</t>
  </si>
  <si>
    <t>DANIEL RICARDO GARCIA CASTILLO</t>
  </si>
  <si>
    <t>VENADILLO</t>
  </si>
  <si>
    <t>JOSE EDGAR AREVALO SIERRA</t>
  </si>
  <si>
    <t>VILLAHERMOSA</t>
  </si>
  <si>
    <t>CLAUDIA CECILIA AGUIRRE ECHEVERRY</t>
  </si>
  <si>
    <t>JOSE RICARDO VALLEJO SANCHEZ</t>
  </si>
  <si>
    <t>CESAR AUGUSTO RESTREPO</t>
  </si>
  <si>
    <t>LEIDY ISABEL GONZALEZ BETANCOURT</t>
  </si>
  <si>
    <t>VILLARRICA</t>
  </si>
  <si>
    <t>JULIO CESAR PEREZ ANGEL</t>
  </si>
  <si>
    <t>JAVIER ORLANDO MONTILLA ORTIZ</t>
  </si>
  <si>
    <t>GUSTAVO CASTRO CARDENAS</t>
  </si>
  <si>
    <t>ALEXANDER MONROY ROJAS</t>
  </si>
  <si>
    <t>AURORA RODRIGUEZ BERNAL</t>
  </si>
  <si>
    <t>FRANKI JUTINICO LANCHEROS</t>
  </si>
  <si>
    <t>GUSTAVO ROZO GALVIS</t>
  </si>
  <si>
    <t>HERNANDO TRUJILLO TRUJILLO</t>
  </si>
  <si>
    <t>ANZOATEGUI</t>
  </si>
  <si>
    <t>JHONATHAN MATERON ARIZA</t>
  </si>
  <si>
    <t>CARLOS HUMBERTO DIAZ MARTINEZ</t>
  </si>
  <si>
    <t>ATACO</t>
  </si>
  <si>
    <t>CRISTOBAL QUEVEDO MEDINA</t>
  </si>
  <si>
    <t>OLIVO RODRIGUEZ DIAZ</t>
  </si>
  <si>
    <t>LUIS VICENTE ZAMBRANO RAMIREZ</t>
  </si>
  <si>
    <t>MARILYN MONTES POLANIA</t>
  </si>
  <si>
    <t>CON LAS BASES CONSTRUIMOS TERRITORIO ATACO TE NECESITA</t>
  </si>
  <si>
    <t>MILLER ALDANA CASTRO</t>
  </si>
  <si>
    <t>NUESTRO COMPROMISO ES ATACO</t>
  </si>
  <si>
    <t>CARMEN DE APICALA</t>
  </si>
  <si>
    <t>ALVARO HERNANDO FORERO PEÑA</t>
  </si>
  <si>
    <t>HECTOR PEDRO LAMAR LEAL</t>
  </si>
  <si>
    <t xml:space="preserve">HUGO ALBERTO AGUDELO </t>
  </si>
  <si>
    <t>GERMAN MOGOLLON DONOSO</t>
  </si>
  <si>
    <t>CARLOS GERMAN FARFAN PATIÑO</t>
  </si>
  <si>
    <t>LA FUERZA DEL CAMBIO</t>
  </si>
  <si>
    <t>CASABIANCA</t>
  </si>
  <si>
    <t>MARIA YINETH CIFUENTES GIRALDO</t>
  </si>
  <si>
    <t>COALICION POR LA ALCALDIA DE CASABIANCA</t>
  </si>
  <si>
    <t>IRSA TATIANA MORENO URBANO</t>
  </si>
  <si>
    <t>PARTIDO CONSERVADOR COLOMBIANO -  CD</t>
  </si>
  <si>
    <t>COELLO</t>
  </si>
  <si>
    <t>BALBINO PALMA GONZALEZ</t>
  </si>
  <si>
    <t>DIEGO ALEXANDER PERDOMO DEVIA</t>
  </si>
  <si>
    <t>WILLIAM NORBEY CESPEDES BUSTOS</t>
  </si>
  <si>
    <t>COYAIMA</t>
  </si>
  <si>
    <t>WILLIAM WALTER LUNA YARA</t>
  </si>
  <si>
    <t>CESAR SANCHEZ ARAGON</t>
  </si>
  <si>
    <t>JUAN CARLOS LOZANO MORALES</t>
  </si>
  <si>
    <t>COALICIÃ“N COYAIMA</t>
  </si>
  <si>
    <t>JESUS MONCALEANO SANCHEZ</t>
  </si>
  <si>
    <t>Construyendo mÃ¡s Territorio</t>
  </si>
  <si>
    <t>CUNDAY</t>
  </si>
  <si>
    <t>WILLIAM ESCOBAR LOPEZ</t>
  </si>
  <si>
    <t>OSCAR ORLANDO ARDILA RUIZ</t>
  </si>
  <si>
    <t>TODOS SOMOS CUNDAY PARA SEGUIR CREYENDO</t>
  </si>
  <si>
    <t>CHAPARRAL</t>
  </si>
  <si>
    <t>JOSE DAVID DEVIA SUAREZ</t>
  </si>
  <si>
    <t>JOSE ANTONIO ALVAREZ QUIJANO</t>
  </si>
  <si>
    <t>HUGO FERNANDO ARCE HERNANDEZ</t>
  </si>
  <si>
    <t>MOVIMIENTO CIUDADANO UNIDOS POR CHAPARRAL</t>
  </si>
  <si>
    <t>DOLORES</t>
  </si>
  <si>
    <t>GERARDO TRUJILLO MATTA</t>
  </si>
  <si>
    <t>JOHN ARMANDO VERGEL RODRIGUEZ</t>
  </si>
  <si>
    <t>MERCEDES IBARRA VARGAS</t>
  </si>
  <si>
    <t>CESAR GIOVANNY HERRERA PEÑA</t>
  </si>
  <si>
    <t>EDISON CUELLAR TAMARA</t>
  </si>
  <si>
    <t>ESPINAL</t>
  </si>
  <si>
    <t>GERMAN RODRIGUEZ GONGORA</t>
  </si>
  <si>
    <t>CARLOS ALBERTO BARRERO PRADA</t>
  </si>
  <si>
    <t>RUTH CASTRO SEGURA</t>
  </si>
  <si>
    <t xml:space="preserve">CONVERGENCIA POR UNA NUEVA CIUDAD </t>
  </si>
  <si>
    <t>FALAN</t>
  </si>
  <si>
    <t>YESSICA FERNANDA ACOSTA GUZMAN</t>
  </si>
  <si>
    <t>MOVIMIENTO DE UNIDAD SOCIAL Y DEMOCRATICO</t>
  </si>
  <si>
    <t>LUCERO CASTAÑO CASTILLO</t>
  </si>
  <si>
    <t>PARTIDO CONSERVADOR COLOMBIANO -PU</t>
  </si>
  <si>
    <t>FLANDES</t>
  </si>
  <si>
    <t>HENRY BERNAL VELASQUEZ</t>
  </si>
  <si>
    <t>ANA JUDITH GAMBOA MANTILLA</t>
  </si>
  <si>
    <t>FRESNO</t>
  </si>
  <si>
    <t>EDGAR EULISES RUIZ BETANCOURTH</t>
  </si>
  <si>
    <t>CARMEN EMILIA BARCO HOYOS</t>
  </si>
  <si>
    <t>GUSTAVO CASTAÑO GIRALDO</t>
  </si>
  <si>
    <t>PORQUE TÃ™ CUENTAS,  SÃ™MATE</t>
  </si>
  <si>
    <t>GUAMO</t>
  </si>
  <si>
    <t>GABRIEL ANTONIO BRIÑEZ CALDERON</t>
  </si>
  <si>
    <t>JORGE ENRIQUE SANCHEZ LEON</t>
  </si>
  <si>
    <t>GLORIA PATRICIA GUZMAN OLIVERA</t>
  </si>
  <si>
    <t>ALVARO MONROY CALLEJAS</t>
  </si>
  <si>
    <t>RODRIGO OSPITIA GARZON</t>
  </si>
  <si>
    <t>RAFAEL NUÑEZ ARANDA</t>
  </si>
  <si>
    <t>ROBINSON VILLANUEVA GONGORA</t>
  </si>
  <si>
    <t>RAFAEL MONROY GUZMAN</t>
  </si>
  <si>
    <t>JESUS ALFONSO GARCIA ALVAREZ</t>
  </si>
  <si>
    <t>HERVEO</t>
  </si>
  <si>
    <t>GINA VANESA SILVA BURITICA</t>
  </si>
  <si>
    <t>HONDA</t>
  </si>
  <si>
    <t>RICHAR FABIAN CARDOZO CONTRERAS</t>
  </si>
  <si>
    <t>ICONONZO</t>
  </si>
  <si>
    <t>JOSE GUILLERMO RODRIGUEZ JIMENEZ</t>
  </si>
  <si>
    <t>JORGE WILLIAM ROJAS MUÑOZ</t>
  </si>
  <si>
    <t>MARGOTH MORALES RODRIGUEZ</t>
  </si>
  <si>
    <t>LERIDA</t>
  </si>
  <si>
    <t>LUIS CARLOS AMEZQUITA CARDENAS</t>
  </si>
  <si>
    <t>LIBANO</t>
  </si>
  <si>
    <t>GUILLERMO ARMANDO NAVARRO VARGAS</t>
  </si>
  <si>
    <t>JOSE GERMAN AMORTEGUI CASTAÑO</t>
  </si>
  <si>
    <t xml:space="preserve">LUIS GABRIEL CALDERON </t>
  </si>
  <si>
    <t>DIEGO FERNANDO PADILLA MENDIETA</t>
  </si>
  <si>
    <t>JOSE HUMBERTO PAEZ CEBALLOS</t>
  </si>
  <si>
    <t>JESUS ANTONIO GIRALDO VEGA</t>
  </si>
  <si>
    <t>DAISSY BARRAGAN AVILA</t>
  </si>
  <si>
    <t>COALICION ALTERNATIVA</t>
  </si>
  <si>
    <t>Mariquita</t>
  </si>
  <si>
    <t>CESAR AUGUSTO BERMUDEZ PAZ</t>
  </si>
  <si>
    <t>SANDRA MILENA NIETO REINA</t>
  </si>
  <si>
    <t>OSCAR JAVIER SEGURA MARTINEZ</t>
  </si>
  <si>
    <t>GERMAN MARTINEZ CARDENAS</t>
  </si>
  <si>
    <t>JUAN CARLOS CASTAÑO POSADA</t>
  </si>
  <si>
    <t>CARLOS JULIO DIAZ MORALES</t>
  </si>
  <si>
    <t>SOLIDARIOS</t>
  </si>
  <si>
    <t>MELGAR</t>
  </si>
  <si>
    <t>AGUSTIN MANRIQUE GALEANO</t>
  </si>
  <si>
    <t>MARIA DEL PILAR ROJAS LIEVANO</t>
  </si>
  <si>
    <t>ALCALDIA DE MELGAR</t>
  </si>
  <si>
    <t>MURILLO</t>
  </si>
  <si>
    <t>BEATRIZ VALENCIA GOMEZ</t>
  </si>
  <si>
    <t>SERGIO ANDRES RODRIGUEZ HERNANDEZ</t>
  </si>
  <si>
    <t>ANTONIO JOSE GARCIA RODRIGUEZ</t>
  </si>
  <si>
    <t>MURILLO PIENSA... SOSTENIBLE COMPETITIVO E INCLUYENTE</t>
  </si>
  <si>
    <t>NATAGAIMA</t>
  </si>
  <si>
    <t>EDGAR MAURICIO ZAMBRANO NIETO</t>
  </si>
  <si>
    <t>SERGIO JOSE ORTIZ JAVELA</t>
  </si>
  <si>
    <t>LAURA PATRICIA AYERBE CORTES</t>
  </si>
  <si>
    <t>PARTIDO CONSERVADOR COLOMBIANO -  PU</t>
  </si>
  <si>
    <t>ORTEGA</t>
  </si>
  <si>
    <t>CARLOS HUMBERTO COLLAZOS RONCANCIO</t>
  </si>
  <si>
    <t>JOSE MARIO COLLAZOS CALDERON</t>
  </si>
  <si>
    <t>LUIS HOLLAND SOTO RODRIGUEZ</t>
  </si>
  <si>
    <t>DIEGO ARBEY MATIZ GARZON</t>
  </si>
  <si>
    <t>OMAR IVAN CARRILLO RAMIREZ</t>
  </si>
  <si>
    <t>PALOCABILDO</t>
  </si>
  <si>
    <t>NELSON GOMEZ VELASQUEZ</t>
  </si>
  <si>
    <t>UNIDOS SOMOS MÃ¡S</t>
  </si>
  <si>
    <t>PIEDRAS</t>
  </si>
  <si>
    <t>CARLOS IVAN OLAYA BENAVIDES</t>
  </si>
  <si>
    <t>JULIO CESAR GONGORA SANCHEZ</t>
  </si>
  <si>
    <t>JOSE ADALVER SANCHEZ TORRES</t>
  </si>
  <si>
    <t>PLANADAS</t>
  </si>
  <si>
    <t>89</t>
  </si>
  <si>
    <t>DAVID LOZADA LOSADA</t>
  </si>
  <si>
    <t>HUGO PERDOMO RUIZ</t>
  </si>
  <si>
    <t>CARLOS ANDRES BENITEZ AVILES</t>
  </si>
  <si>
    <t>GUSTABO ADOLFO BUITRAGO VERA</t>
  </si>
  <si>
    <t>NIYIRETH GONZALEZ CASTRO</t>
  </si>
  <si>
    <t>JHON JAIRO HUEJE</t>
  </si>
  <si>
    <t>JHON EDWARD SANCHEZ CAMARGO</t>
  </si>
  <si>
    <t>PRADO</t>
  </si>
  <si>
    <t>LUIS ERNESTO CASTAÑEDA SANCHEZ</t>
  </si>
  <si>
    <t>SANDRA MILENA CONDE SANCHEZ</t>
  </si>
  <si>
    <t>JUNTOS HACIENDO Y CRECIENDO</t>
  </si>
  <si>
    <t>CARLOS ANDRES NAVARRO BASTO</t>
  </si>
  <si>
    <t xml:space="preserve">FIRME POR PRADO </t>
  </si>
  <si>
    <t>PURIFICACION</t>
  </si>
  <si>
    <t>MOISES CORTES ALVAREZ</t>
  </si>
  <si>
    <t>JOHN FERNANDO SALCEDO MONTEALEGRE</t>
  </si>
  <si>
    <t>JORGE EDUARDO LOZADA HERRAN</t>
  </si>
  <si>
    <t>CRISTHIAN ANDRES BARRAGAN CORRECHA</t>
  </si>
  <si>
    <t>COALICION PURIFICACION</t>
  </si>
  <si>
    <t>RIOBLANCO</t>
  </si>
  <si>
    <t>JHON HELBER QUINTERO PALMA</t>
  </si>
  <si>
    <t>VALLE</t>
  </si>
  <si>
    <t>CALI</t>
  </si>
  <si>
    <t>DANIS ANTONIO RENTERIA CHALA</t>
  </si>
  <si>
    <t>JOHN MICHEL MAYA BEDOYA</t>
  </si>
  <si>
    <t>ROBERTO ORTIZ URUEÑA</t>
  </si>
  <si>
    <t>FIRME CON EL CHONTICO</t>
  </si>
  <si>
    <t>ALCALA</t>
  </si>
  <si>
    <t>LUZ ADRIANA MARIN MARIN</t>
  </si>
  <si>
    <t>ANDALUCIA</t>
  </si>
  <si>
    <t>MIGUEL FERNANDO RAMIREZ ROLDAN</t>
  </si>
  <si>
    <t xml:space="preserve">HUGO FERNANDO PATIÑO </t>
  </si>
  <si>
    <t>ELLICEL ARCILA POSSO</t>
  </si>
  <si>
    <t>MARIA EUGENIA SANMARTIN GOMEZ</t>
  </si>
  <si>
    <t xml:space="preserve">ANDALUCIA GRANDEZA Y VIDA </t>
  </si>
  <si>
    <t>TORO</t>
  </si>
  <si>
    <t>MARIA DE FATIMA ROLDAN ROSALES</t>
  </si>
  <si>
    <t>ANSERMANUEVO</t>
  </si>
  <si>
    <t>LINA MARIA BARCO RODRIGUEZ</t>
  </si>
  <si>
    <t>TRUJILLO</t>
  </si>
  <si>
    <t>LUIS FERNANDO RAMIREZ GARCIA</t>
  </si>
  <si>
    <t>DIEGO FERNANDO GUERRERO QUICENO</t>
  </si>
  <si>
    <t>PARTIDO CONSERVADOR COLOMBIANO - MAIS</t>
  </si>
  <si>
    <t>NASLY FERNANDA VIDALES GONZALEZ</t>
  </si>
  <si>
    <t>TODOS POR EL PROGRESO DE TRUJILLO</t>
  </si>
  <si>
    <t>JOSE LUIS DUQUE CASTAÑO</t>
  </si>
  <si>
    <t>TRUJILLO COMPROMISO DE TODOS</t>
  </si>
  <si>
    <t>TULUA</t>
  </si>
  <si>
    <t>JORGE ALBERTO CASTAÑO PARRA</t>
  </si>
  <si>
    <t>JOHN JAIRO GOMEZ AGUIRRE</t>
  </si>
  <si>
    <t>MARCELINO AYALA OCAMPO</t>
  </si>
  <si>
    <t>CONVERGENCIA POR TULUA HUMANA</t>
  </si>
  <si>
    <t>MARCO ALEJANDRO ARBELAEZ VARGAS</t>
  </si>
  <si>
    <t>UNIDOS TRABAJANDO POR TULUA</t>
  </si>
  <si>
    <t>ULLOA</t>
  </si>
  <si>
    <t>JUAN ANTONIO PEÑA GOMEZ</t>
  </si>
  <si>
    <t>VERSALLES</t>
  </si>
  <si>
    <t>WILLIAM JOSE MURILLO MARTINEZ</t>
  </si>
  <si>
    <t>PARTIDO CONSERVADOR COLOMBIANO - CD -CR</t>
  </si>
  <si>
    <t>VIJES</t>
  </si>
  <si>
    <t>JUAN DAVID GARCIA GUERRERO</t>
  </si>
  <si>
    <t xml:space="preserve">GUSTAVO ADOLFO HENAO </t>
  </si>
  <si>
    <t>YUMBO</t>
  </si>
  <si>
    <t>JHON JAIRO SANTAMARIA PERDOMO</t>
  </si>
  <si>
    <t>FERNANDO DAVID MURGUEITIO CARDENAS</t>
  </si>
  <si>
    <t>AVANCEMOS HACIA LA UNIDAD Y LA RESTAURACION DE YUMBO</t>
  </si>
  <si>
    <t>ZARZAL</t>
  </si>
  <si>
    <t>MARIA TERESA GIRALDO RENDON</t>
  </si>
  <si>
    <t>CESAR AUGUSTO SANCHEZ ROBLEDO</t>
  </si>
  <si>
    <t xml:space="preserve">PEDRO ANTONIO ORDOÑEZ </t>
  </si>
  <si>
    <t xml:space="preserve">COALICIÃ³N MOVIMIENTO MAIS Y PARTIDO LIBERAL </t>
  </si>
  <si>
    <t>GILDARDO RESTREPO LOPEZ</t>
  </si>
  <si>
    <t>CESAR DAVID GRAJALES SUAREZ</t>
  </si>
  <si>
    <t>NODIER DE JESUS CARDONA PATIÑO</t>
  </si>
  <si>
    <t>EVELIO MARTINEZ MARTINEZ</t>
  </si>
  <si>
    <t>BUENAVENTURA</t>
  </si>
  <si>
    <t>DANIEL OLAVE ORDOÑEZ</t>
  </si>
  <si>
    <t>LIBIA MOSQUERA VIVEROS</t>
  </si>
  <si>
    <t xml:space="preserve">HECTOR COPETE </t>
  </si>
  <si>
    <t>LIGIA DEL CARMEN CORDOBA MARTINEZ</t>
  </si>
  <si>
    <t>ES POSIBLE PARTIDO DE LA U-MAIS</t>
  </si>
  <si>
    <t>Guadalajara de Buga</t>
  </si>
  <si>
    <t>JUAN PABLO LIBREROS RODRIGUEZ</t>
  </si>
  <si>
    <t>ANDRES FELIPE MONCAYO ZAPATA</t>
  </si>
  <si>
    <t>JULIAN ADOLFO ROJAS MONSALVE</t>
  </si>
  <si>
    <t xml:space="preserve">BUGA DE LA GENTE </t>
  </si>
  <si>
    <t>TULIA MARIA DE LAS MERCEDES BARRETO DE GURISATTI</t>
  </si>
  <si>
    <t>BUGA HUMANA</t>
  </si>
  <si>
    <t>MELISSA URDINOLA RODRIGUEZ</t>
  </si>
  <si>
    <t>PARA LLEGAR MÃS LEJOS</t>
  </si>
  <si>
    <t>BUGALAGRANDE</t>
  </si>
  <si>
    <t>JULIO CESAR ROJAS TRUJILLO</t>
  </si>
  <si>
    <t>EDUARDO JOSE NAVARRO SANCHEZ</t>
  </si>
  <si>
    <t>CARLOS ALBERTO TAGUADO TROCHE</t>
  </si>
  <si>
    <t>CARLOS EDUARDO GONZALEZ VILLAREJO</t>
  </si>
  <si>
    <t>CAICEDONIA</t>
  </si>
  <si>
    <t>LUIS ALBERTO CARVAJAL BERNAL</t>
  </si>
  <si>
    <t>CARLOS ALBERTO OROZCO FRANCO</t>
  </si>
  <si>
    <t>EDUARDO ANDRES CAMACHO HURTADO</t>
  </si>
  <si>
    <t>HECTOR ARLEY JARAMILLO SILVA</t>
  </si>
  <si>
    <t>JORGE ELIECER RAMIREZ MOSQUERA</t>
  </si>
  <si>
    <t>VIVIANA MARIA SANCHEZ ESCOBAR</t>
  </si>
  <si>
    <t>YAMILETH CADENA VARELA</t>
  </si>
  <si>
    <t>JHONATAN BORJA PEREZ</t>
  </si>
  <si>
    <t>CONVERGENCIA CANDELARIA</t>
  </si>
  <si>
    <t>CARTAGO</t>
  </si>
  <si>
    <t>ROBINSON ARANGO OSPINA</t>
  </si>
  <si>
    <t>HUGO EDUARDO CEDEÑO ESPINOZA</t>
  </si>
  <si>
    <t>VICTOR ALFONSO ALVAREZ MEJIA</t>
  </si>
  <si>
    <t>DAGUA</t>
  </si>
  <si>
    <t>WILMAR GONZALEZ CRUZ</t>
  </si>
  <si>
    <t>RAFAEL PEREZ MANQUILLO</t>
  </si>
  <si>
    <t>RAUL BOLAÑOS ARGAEZ</t>
  </si>
  <si>
    <t>CALIMA</t>
  </si>
  <si>
    <t>ALEJANDRO ANTONIO CADAVID PINILLA</t>
  </si>
  <si>
    <t>RODRIGO ANDRES GIL POSSO</t>
  </si>
  <si>
    <t xml:space="preserve">PARTIDO CONSERVADOR COLOMBIANO -  PU - MAIS </t>
  </si>
  <si>
    <t>EL AGUILA</t>
  </si>
  <si>
    <t>DUVER HERNEY GIRALDO HENAO</t>
  </si>
  <si>
    <t>WILSON DE JESUS GALVIS CARDONA</t>
  </si>
  <si>
    <t>GILDER LOPEZ SERNA</t>
  </si>
  <si>
    <t>JUAN CARLOS AGUDELO RODAS</t>
  </si>
  <si>
    <t>YULIAN DANIEL GALLEGO GARCIA</t>
  </si>
  <si>
    <t>EL CERRITO</t>
  </si>
  <si>
    <t xml:space="preserve">LUIS FERNANDO ARANGO </t>
  </si>
  <si>
    <t>EL CERRITO HUMANO</t>
  </si>
  <si>
    <t>EL DOVIO</t>
  </si>
  <si>
    <t>EDILSON ANTONIO ARREDONDO GONZALEZ</t>
  </si>
  <si>
    <t>JAIR GARCIA DELGADO</t>
  </si>
  <si>
    <t>JULIO ALBERTO CARDONA RESTREPO</t>
  </si>
  <si>
    <t>MIGUEL GUZMAN GARCIA</t>
  </si>
  <si>
    <t>FLORIDA</t>
  </si>
  <si>
    <t>ANA MILENA ARBELAEZ VALENCIA</t>
  </si>
  <si>
    <t>DIMAS ANTONIO MARTINEZ TORO</t>
  </si>
  <si>
    <t>JOSE JULIAN ALZATE FLOREZ</t>
  </si>
  <si>
    <t>GINEBRA</t>
  </si>
  <si>
    <t>ALVARO ALFONSO DOMINGUEZ VILLAMIL</t>
  </si>
  <si>
    <t>MARIELA PLAZA BUITRAGO</t>
  </si>
  <si>
    <t>FRANCISCO JAVIER TENORIO LARA</t>
  </si>
  <si>
    <t>GUACARI</t>
  </si>
  <si>
    <t>DIEGO FERNANDO BERRIO TASCON</t>
  </si>
  <si>
    <t>CAROLINA SANCHEZ CERVERA</t>
  </si>
  <si>
    <t xml:space="preserve">DIDIER FERNANDO CARRILLO </t>
  </si>
  <si>
    <t>YINE ZENAIDA PROAÑOS GONZALEZ</t>
  </si>
  <si>
    <t>OSCAR HERNAN SANCLEMENTE TORO</t>
  </si>
  <si>
    <t>JAMUNDI</t>
  </si>
  <si>
    <t>DIEGO LUIS LOBOA GOMEZ</t>
  </si>
  <si>
    <t>JAIME ANDRES PENILLA REYES</t>
  </si>
  <si>
    <t>WILLIAM DARIO SICACHA GUTIERREZ</t>
  </si>
  <si>
    <t>JUAN CARLOS MUÑOZ SEPULVEDA</t>
  </si>
  <si>
    <t>KAROL VIVIANA BORJA MONTOYA</t>
  </si>
  <si>
    <t>JUAN ESTEBAN GIRALDO RUIZ</t>
  </si>
  <si>
    <t>CLAUDIA ELENA ARCE MARMOLEJO</t>
  </si>
  <si>
    <t>OBANDO</t>
  </si>
  <si>
    <t>ARGIRIO DE JESUS VILLEGAS RAMIREZ</t>
  </si>
  <si>
    <t>DIEGO ARMANDO ORTIZ BUITRAGO</t>
  </si>
  <si>
    <t>NYDIA LUCERO OSPINA LOPEZ</t>
  </si>
  <si>
    <t>ALEXANDER SERNA GIRALDO</t>
  </si>
  <si>
    <t>PALMIRA</t>
  </si>
  <si>
    <t>LUIS ALFONSO CHAVEZ  RIVERA</t>
  </si>
  <si>
    <t>GIOVANNY MONCAYO VELEZ</t>
  </si>
  <si>
    <t>UN CAMBIO CON SEGURIDAD</t>
  </si>
  <si>
    <t>OSCAR EDUARDO ESCOBAR GARCIA</t>
  </si>
  <si>
    <t>RESCATEMOS A PALMIRA</t>
  </si>
  <si>
    <t>PRADERA</t>
  </si>
  <si>
    <t>MARTHA CONSUELO ESCOBAR PINEDA</t>
  </si>
  <si>
    <t>JUSTINO SINISTERRA SINISTERRA</t>
  </si>
  <si>
    <t>RESTREPO</t>
  </si>
  <si>
    <t>TANIA ALVAREZ HOYOS</t>
  </si>
  <si>
    <t>LUIS EDILMER ORTEGA MENESES</t>
  </si>
  <si>
    <t>RIOFRIO</t>
  </si>
  <si>
    <t>JOSE DE JESUS CASTAÑO RESTREPO</t>
  </si>
  <si>
    <t>HERIBERTO CABAL AGUILAR</t>
  </si>
  <si>
    <t>JUNTOS LO HAREMOS MEJOR</t>
  </si>
  <si>
    <t>ROLDANILLO</t>
  </si>
  <si>
    <t>JORGE MARIO ESCARRIA RODRIGUEZ</t>
  </si>
  <si>
    <t>ANTONIO JOSE JIMENEZ PATIÑO</t>
  </si>
  <si>
    <t>HAROLD MAURICIO NARANJO CORTES</t>
  </si>
  <si>
    <t>TRANSFORMACION EN MARCHA</t>
  </si>
  <si>
    <t>JHON JAIME OSPINA LOAIZA</t>
  </si>
  <si>
    <t>SEVILLA</t>
  </si>
  <si>
    <t>JORGE AUGUSTO PALACIO GARZON</t>
  </si>
  <si>
    <t>NICOLAS CORTES VALENCIA</t>
  </si>
  <si>
    <t>JOSE RAUL DIAZ GALINDO</t>
  </si>
  <si>
    <t>MARIA FERNANDA ARBELAEZ VALENCIA</t>
  </si>
  <si>
    <t>DIEGO FERNANDO AVILA PATIÑO</t>
  </si>
  <si>
    <t>ARAUCA</t>
  </si>
  <si>
    <t>NINI JOHANNA PATARROYO MONTENEGRO</t>
  </si>
  <si>
    <t>EDGAR FERNANDO TOVAR PEDRAZA</t>
  </si>
  <si>
    <t>JHON RONAL VELANDIA ROMERO</t>
  </si>
  <si>
    <t>CONSTRUYAMOS UN ARAUCA DIFERENTE</t>
  </si>
  <si>
    <t>TAME</t>
  </si>
  <si>
    <t>JORGE ELIECER RINCON LOZADA</t>
  </si>
  <si>
    <t>ARAUQUITA</t>
  </si>
  <si>
    <t>OTTO FRITZGERALD REINA VEGA</t>
  </si>
  <si>
    <t>CRAVO NORTE</t>
  </si>
  <si>
    <t>VICTOR YECID CHAVEZ BRICEÑO</t>
  </si>
  <si>
    <t>MARCOS JULIO VIVAS NAVARRO</t>
  </si>
  <si>
    <t>OSCAR EDUARDO SANTANA SANTANA</t>
  </si>
  <si>
    <t>ANULFO BRICEÑO BRITO</t>
  </si>
  <si>
    <t>TODOS POR CRAVO NORTE</t>
  </si>
  <si>
    <t>PUERTO RONDON</t>
  </si>
  <si>
    <t>LUIS GONZALO MARTINEZ PEÑA</t>
  </si>
  <si>
    <t>CARLOS ALBERTO VARGAS MELO</t>
  </si>
  <si>
    <t>HENRY ARLEY GALLARDO LOPEZ</t>
  </si>
  <si>
    <t xml:space="preserve">TODOS POR PUERTO RONDÃ“N </t>
  </si>
  <si>
    <t>SARAVENA</t>
  </si>
  <si>
    <t>OMAR SALCEDO MARTINEZ</t>
  </si>
  <si>
    <t>SANDRA PATRICIA CACERES SUAREZ</t>
  </si>
  <si>
    <t>ASAEL GIL QUIROGA</t>
  </si>
  <si>
    <t>FREDY SALDAÑA CONTRERAS</t>
  </si>
  <si>
    <t>LEISON BOTIA AMAYA</t>
  </si>
  <si>
    <t xml:space="preserve">ALIADOS PARA CRECER </t>
  </si>
  <si>
    <t>CAQUETA</t>
  </si>
  <si>
    <t>JOSE DELBY VARGAS GUTIERREZ</t>
  </si>
  <si>
    <t>JUAN PABLO DUQUE GONZALEZ</t>
  </si>
  <si>
    <t>PARTIDO CONSERVADOR  - CR - PL - PU</t>
  </si>
  <si>
    <t>CARLOS ALBAN QUINTERO TRUJILLO</t>
  </si>
  <si>
    <t>JOSE FERNANDO GOMEZ MAZABEL</t>
  </si>
  <si>
    <t>LEILA MERY VARGAS TOLEDO</t>
  </si>
  <si>
    <t>CARTAGENA DEL CHAIRA</t>
  </si>
  <si>
    <t>MARIA ALEICY OSPINA GOMEZ</t>
  </si>
  <si>
    <t>EDILBERTO MOLINA HERNANDEZ</t>
  </si>
  <si>
    <t>EL CAMBIO ES AHORA</t>
  </si>
  <si>
    <t>HECTOR MARIA ARREDONDO GARZON</t>
  </si>
  <si>
    <t xml:space="preserve">UNIDOS POR TI CARTAGENA DEL CHAIRA </t>
  </si>
  <si>
    <t>DARWIN ANDRES FLOREZ CASTAÑEDA</t>
  </si>
  <si>
    <t>COALICIÃ“N POR CARTAGENA DEL CHAIRA</t>
  </si>
  <si>
    <t>BELEN DE LOS ANDAQUIES</t>
  </si>
  <si>
    <t>OSCAR EDUARDO YANGUAS ARGUELLO</t>
  </si>
  <si>
    <t>RAFAEL CALDERON CALDERON</t>
  </si>
  <si>
    <t>MAGNO TOMAS ROSERO BARRERA</t>
  </si>
  <si>
    <t>EL DONCELLO</t>
  </si>
  <si>
    <t>EDGAR ALBERTO ALVAREZ RENGIFO</t>
  </si>
  <si>
    <t>EL DONCELLO, LA FUERZA QUE NOS MUEVE</t>
  </si>
  <si>
    <t>GERSON ENRIQUE GAVIRIA CUESTAS</t>
  </si>
  <si>
    <t xml:space="preserve">POR EL DONCELLO QUE TODOS QUEREMOS </t>
  </si>
  <si>
    <t>EL PAUJIL</t>
  </si>
  <si>
    <t>LEYDER ALBERTO ESPINOSA TIMOTE</t>
  </si>
  <si>
    <t>YEISSON DUBAN FONSECA RESTREPO</t>
  </si>
  <si>
    <t>PUERTO RICO</t>
  </si>
  <si>
    <t>EDGAR MEDINA PEREZ</t>
  </si>
  <si>
    <t>EULISES DE JESUS ARANGO RAMIREZ</t>
  </si>
  <si>
    <t>SAN VICENTE DEL CAGUAN</t>
  </si>
  <si>
    <t>MARTHA CECILIA COLLAZOS SUAZA</t>
  </si>
  <si>
    <t>CURILLO</t>
  </si>
  <si>
    <t>JAVIER VILLANUEVA POSSO</t>
  </si>
  <si>
    <t>MISAEL DIAZ ARDILA</t>
  </si>
  <si>
    <t>RUBEN FONQUE PEÑA</t>
  </si>
  <si>
    <t>ACENETH PRADO CORDOBA</t>
  </si>
  <si>
    <t>JAIRO MEDINA PEREZ</t>
  </si>
  <si>
    <t>LUIS ENEL AGUDELO GAITAN</t>
  </si>
  <si>
    <t xml:space="preserve">JOHN EDULFER VARGAS </t>
  </si>
  <si>
    <t>MILAN</t>
  </si>
  <si>
    <t>NAYIVE LOPEZ OLAYA</t>
  </si>
  <si>
    <t>PARTIDO CONSERVADOR  COLOMBIANO - ASI - CR- PU</t>
  </si>
  <si>
    <t>MORELIA</t>
  </si>
  <si>
    <t>HERNAN FLOREZ CUELLAR</t>
  </si>
  <si>
    <t>YAZHIR RICARDO MORA</t>
  </si>
  <si>
    <t>JUNTOS POR UN MEJOR MORELIA</t>
  </si>
  <si>
    <t>SAN JOSE DEL FRAGUA</t>
  </si>
  <si>
    <t>CARMENZA COLLAZOS URQUINA</t>
  </si>
  <si>
    <t>SOLANO</t>
  </si>
  <si>
    <t>LUIS HERNANDO GONZALEZ BARRETO</t>
  </si>
  <si>
    <t xml:space="preserve">ENTRE TODOS SOLANO PROGRESA </t>
  </si>
  <si>
    <t>EDINSON TASCON RUBIO</t>
  </si>
  <si>
    <t>TODOS POR UN SOLANO MAS HUMANO Y PRODUCTIVO</t>
  </si>
  <si>
    <t>JESUS ALBERTO DUSSAN ORTIZ</t>
  </si>
  <si>
    <t xml:space="preserve">MÃS OBRAS PARA SOLANO </t>
  </si>
  <si>
    <t>SOLITA</t>
  </si>
  <si>
    <t>AURORA LEMUS SALDAÑA</t>
  </si>
  <si>
    <t>CAMILO GUTIERREZ MORENO</t>
  </si>
  <si>
    <t>MELVIN ALEJANDRO MARTIN LEGUIZAMON</t>
  </si>
  <si>
    <t>LUIS ANTONIO MORALES CUBILLOS</t>
  </si>
  <si>
    <t>LUIS EDUARDO OCAMPO GAVIRIA</t>
  </si>
  <si>
    <t>MARICEL VALENCIA ENDO</t>
  </si>
  <si>
    <t>ES EL MOMENTO DEL CAMBIO ÃšNETE</t>
  </si>
  <si>
    <t>ALIRIO RUEDA LEON</t>
  </si>
  <si>
    <t>ARBENZ PEREZ QUINTERO</t>
  </si>
  <si>
    <t>LENNY NATALIA CASTAÑO CUENCA</t>
  </si>
  <si>
    <t>HARLINZON RAMIREZ ROJAS</t>
  </si>
  <si>
    <t>CASANARE</t>
  </si>
  <si>
    <t>YOPAL</t>
  </si>
  <si>
    <t>ALEXANDER CORTES MEDINA</t>
  </si>
  <si>
    <t>BLANCA MILENA BONILLA ALVARADO</t>
  </si>
  <si>
    <t>LUIS EDUARDO CASTRO</t>
  </si>
  <si>
    <t xml:space="preserve">JUAN JOSE SARMIENTO </t>
  </si>
  <si>
    <t>SOMOS UNA FUERZA PARA EL BIEN</t>
  </si>
  <si>
    <t>CHAMEZA</t>
  </si>
  <si>
    <t>JOHN ALEXANDER CUBIDES NUMPAQUE</t>
  </si>
  <si>
    <t>HATO COROZAL</t>
  </si>
  <si>
    <t>DARIO YESID GARCIA BARRAY</t>
  </si>
  <si>
    <t>NINSA ROMELIA RIOS BENITEZ</t>
  </si>
  <si>
    <t>YIMI WALTER COLLAZOS SEPULVEDA</t>
  </si>
  <si>
    <t>AGUAZUL</t>
  </si>
  <si>
    <t>EDITH YADIRA AVELLA ROA</t>
  </si>
  <si>
    <t>MARIA DEL CONSUELO URREGO CRISTANCHO</t>
  </si>
  <si>
    <t>UNION CIVICA POR AGUAZUL</t>
  </si>
  <si>
    <t>LA SALINA</t>
  </si>
  <si>
    <t>480</t>
  </si>
  <si>
    <t>CARLOS ANDRES RODRIGUEZ HERRERA</t>
  </si>
  <si>
    <t>MARIO ROBERTO SAAVEDRA SALAMANCA</t>
  </si>
  <si>
    <t>MANI</t>
  </si>
  <si>
    <t>520</t>
  </si>
  <si>
    <t>JERSSON ESNEYDER MONTOYA HOYOS</t>
  </si>
  <si>
    <t>ALVARO GEOVANNY CHIGUASUQUE GRANADOS</t>
  </si>
  <si>
    <t>MONTERREY</t>
  </si>
  <si>
    <t>540</t>
  </si>
  <si>
    <t>JORGE ELIECER MORALES HERNANDEZ</t>
  </si>
  <si>
    <t>JORGE LUIS FUERBRINGER BERMEO</t>
  </si>
  <si>
    <t>HUGO ALEJANDRO BALLESTEROS RIVERA</t>
  </si>
  <si>
    <t>LUIS ALIRIO VARGAS ROJAS</t>
  </si>
  <si>
    <t>JOSE ANDRADE BERNAL SILVA</t>
  </si>
  <si>
    <t>JAVIER ALEXANDER RODRIGUEZ MORENO</t>
  </si>
  <si>
    <t>HOLMAN TOLOZA ALFONSO</t>
  </si>
  <si>
    <t>TRABAJEMOS CON SENTIDO SOCIAL</t>
  </si>
  <si>
    <t>NUNCHIA</t>
  </si>
  <si>
    <t>560</t>
  </si>
  <si>
    <t>JAIVER LEANDRO PEREZ ALFONSO</t>
  </si>
  <si>
    <t>JABIER ROA ALARCON</t>
  </si>
  <si>
    <t>JULIA ELVIRA DIAZ CHINCHILLA</t>
  </si>
  <si>
    <t>NUNCHIA SOCIAL Y EMPRENDEDORA</t>
  </si>
  <si>
    <t>OROCUE</t>
  </si>
  <si>
    <t>640</t>
  </si>
  <si>
    <t>MONCHY YOBANY MORENO GUALDRON</t>
  </si>
  <si>
    <t>JUAN MANUEL NIÑO SOTO</t>
  </si>
  <si>
    <t>PORE</t>
  </si>
  <si>
    <t>JOSE RAMEN PEREZ ALBARRACIN</t>
  </si>
  <si>
    <t>RECETOR</t>
  </si>
  <si>
    <t>760</t>
  </si>
  <si>
    <t>NESTOR ALI GONZALEZ BERNAL</t>
  </si>
  <si>
    <t>RAMON IGNACIO FONSECA CASTILLO</t>
  </si>
  <si>
    <t>UN GOBIERNO PARA EL PUEBLO</t>
  </si>
  <si>
    <t>WILLIAM ALBERTO ROA ALONSO</t>
  </si>
  <si>
    <t>CARLOS EFREN ESPINOSA BERNAL</t>
  </si>
  <si>
    <t>SACAMA</t>
  </si>
  <si>
    <t>815</t>
  </si>
  <si>
    <t>ISIDORO DIAZ DIAZ</t>
  </si>
  <si>
    <t>MARTHA SULEIMA SUAREZ BARON</t>
  </si>
  <si>
    <t>SAN LUIS DE PALENQUE</t>
  </si>
  <si>
    <t>830</t>
  </si>
  <si>
    <t>GABRIELA DEL PILAR GUAUQUE VELANDIA</t>
  </si>
  <si>
    <t>ZULMELIDA LEAL GUIO</t>
  </si>
  <si>
    <t>MOVIMIENTO CIUDADANO VAMOS</t>
  </si>
  <si>
    <t>TAMARA</t>
  </si>
  <si>
    <t>840</t>
  </si>
  <si>
    <t>ANGELA ROBIRA DURAN OVEJERO</t>
  </si>
  <si>
    <t>TAURAMENA</t>
  </si>
  <si>
    <t>ALEXANDER CONTRERAS CARDENAS</t>
  </si>
  <si>
    <t>MARIA CONSTANZA VEGA ORDUZ</t>
  </si>
  <si>
    <t>AVANZA TAURAMENA</t>
  </si>
  <si>
    <t>TRINIDAD</t>
  </si>
  <si>
    <t>865</t>
  </si>
  <si>
    <t>JESUS NOLBERTO MONROY MORENO</t>
  </si>
  <si>
    <t>JOHNY ARNOLDO CRUZ RODRIGUEZ</t>
  </si>
  <si>
    <t>HELMAN DAVID RIVERA GUTIERREZ</t>
  </si>
  <si>
    <t>880</t>
  </si>
  <si>
    <t>OSWAL FONTECHA PACHON</t>
  </si>
  <si>
    <t>NORA NELLY CARRANZA MEDINA</t>
  </si>
  <si>
    <t>JOSE ADOLFO DIAZ LADINO</t>
  </si>
  <si>
    <t>HECTOR FERNANDO VIZCAINO CAGUEÑO</t>
  </si>
  <si>
    <t>MOVIMIENTO SOCIAL CREE EN VILLANUEVA</t>
  </si>
  <si>
    <t>OSCAR HERNANDO FRANCO MEJIA</t>
  </si>
  <si>
    <t>FORTALECIENDO VILLA NUEVA</t>
  </si>
  <si>
    <t>LA GUAJIRA</t>
  </si>
  <si>
    <t>RIOHACHA</t>
  </si>
  <si>
    <t>BLAS ANTONIO QUINTERO MENDOZA</t>
  </si>
  <si>
    <t>GERSSON JAIR CASTILLO DAZA</t>
  </si>
  <si>
    <t>RIOHACHA DECIDE</t>
  </si>
  <si>
    <t>LICET AYALA SOLANO</t>
  </si>
  <si>
    <t>ALVARO GUSTAVO ROSADO ARAGON</t>
  </si>
  <si>
    <t xml:space="preserve">CHARLIS EUCLIDES DUARTE </t>
  </si>
  <si>
    <t>BARRANCAS</t>
  </si>
  <si>
    <t>IVAN MAURICIO DE JESUS SOTO BALAN</t>
  </si>
  <si>
    <t>PEDRO GONZALO CARRILLO URARIYU</t>
  </si>
  <si>
    <t>BARRANCAS EN POSITIVO</t>
  </si>
  <si>
    <t>LORENZO JAVIER IGUARAN SOLANO</t>
  </si>
  <si>
    <t>GENTE PILA</t>
  </si>
  <si>
    <t>DIBULLA</t>
  </si>
  <si>
    <t>ENDRIS RICARDO REDONDO MORALES</t>
  </si>
  <si>
    <t>LEOMARVIN MIGUEL ROJAS HERNANDEZ</t>
  </si>
  <si>
    <t>EL MOLINO</t>
  </si>
  <si>
    <t>JOSE FERNANDO ZABALETA LOPEZ</t>
  </si>
  <si>
    <t>JUAN PABLO VEGA ESCOBAR</t>
  </si>
  <si>
    <t xml:space="preserve">VAMOS MOLINO  </t>
  </si>
  <si>
    <t>FONSECA</t>
  </si>
  <si>
    <t>JOSE LUIS GAMEZ VILLALOBO</t>
  </si>
  <si>
    <t>HAMILTON RAUL GARCIA PEÑARANDA</t>
  </si>
  <si>
    <t>PODEMOS MOVIMIENTO CIUDADANO</t>
  </si>
  <si>
    <t>PEDRO SEGUNDO MANJARRES FRAGOSO</t>
  </si>
  <si>
    <t>TODOS SOMOS AMISTAD</t>
  </si>
  <si>
    <t>DISTRACCION</t>
  </si>
  <si>
    <t>CARLOS ANDRES TOVAR OROZCO</t>
  </si>
  <si>
    <t>HATONUEVO</t>
  </si>
  <si>
    <t>LUIS ARTURO PALMEZANO RIVERO</t>
  </si>
  <si>
    <t>MAICAO</t>
  </si>
  <si>
    <t>JUAN CARLOS PARODY MARTINEZ</t>
  </si>
  <si>
    <t>POR UN MAICAO PRODUCTIVO Y EDUCADO</t>
  </si>
  <si>
    <t>JIMMY RAHALL BOSCAN TORRES</t>
  </si>
  <si>
    <t>PARTIDO CONSERVADOR COLOMBIANO - CD -PU</t>
  </si>
  <si>
    <t>MANAURE</t>
  </si>
  <si>
    <t>MARCO TULIO ALARCON VASQUEZ</t>
  </si>
  <si>
    <t>MANAURE MARCANDO LA DIFERENCIA</t>
  </si>
  <si>
    <t>JUAN JOSE ROBLES JULIO</t>
  </si>
  <si>
    <t>LA JAGUA DEL PILAR</t>
  </si>
  <si>
    <t>WALDIN SOTO DURAN</t>
  </si>
  <si>
    <t>JEIDER ADRIAN LAGO MEJIA</t>
  </si>
  <si>
    <t>SAN JUAN DEL CESAR</t>
  </si>
  <si>
    <t>RAFAEL EDUARDO HINOJOSA MENESES</t>
  </si>
  <si>
    <t>ALVARO JOSE DIAZ GUERRA</t>
  </si>
  <si>
    <t>URIBIA</t>
  </si>
  <si>
    <t>BONIFACIO HENRIQUEZ PALMAR</t>
  </si>
  <si>
    <t>UNIDOS POR LA TRANSFORMACIÃ“N DE URIBIA</t>
  </si>
  <si>
    <t>URUMITA</t>
  </si>
  <si>
    <t>URIEL GUERRA MOLINA</t>
  </si>
  <si>
    <t>URUMITA GANA</t>
  </si>
  <si>
    <t>MARY LUZ CORRALES MALAGON</t>
  </si>
  <si>
    <t>COALICION SOMOS LUZ</t>
  </si>
  <si>
    <t>DIEGO ALBERTO BAQUERO ALTAMAR</t>
  </si>
  <si>
    <t>JORGE ALBERTO OLIVARES NUÑEZ</t>
  </si>
  <si>
    <t>CARLOS ALBERTO BARROS MATTOS</t>
  </si>
  <si>
    <t>VILLANUEVA MIA Y DE TODOS</t>
  </si>
  <si>
    <t>RODRIGO ALBERTO DAZA CARDENAS</t>
  </si>
  <si>
    <t xml:space="preserve">PARTIDO CONSERVADOR COLOMBIANO - PV </t>
  </si>
  <si>
    <t>GUAINIA</t>
  </si>
  <si>
    <t>INIRIDA</t>
  </si>
  <si>
    <t>NONATO PEREIRA DASILVA</t>
  </si>
  <si>
    <t>MIGUEL MORALES HERRERA</t>
  </si>
  <si>
    <t>META</t>
  </si>
  <si>
    <t>VILLAVICENCIO</t>
  </si>
  <si>
    <t>GILBERTO GIRALDO SALAZAR</t>
  </si>
  <si>
    <t>EVERARDO DUQUE NIETO</t>
  </si>
  <si>
    <t>ALEXANDER BAQUERO SANABRIA</t>
  </si>
  <si>
    <t>FABIAN HERNAN GONZALO TORRES CARRILLO</t>
  </si>
  <si>
    <t>JORGE FELIPE CARREÑO SANCHEZ</t>
  </si>
  <si>
    <t>FELIPE CARREÑO EL PODER  DE LA CONFIANZA</t>
  </si>
  <si>
    <t>JUAN FELIPE HARMAN ORTIZ</t>
  </si>
  <si>
    <t>SOMOS LA ALTERNATIVA</t>
  </si>
  <si>
    <t>ACACIAS</t>
  </si>
  <si>
    <t>ERALDO CUBIDES RODRIGUEZ</t>
  </si>
  <si>
    <t>EDUARDO CORTES TRUJILLO</t>
  </si>
  <si>
    <t>LUIS ARTURO FONTECHA CAMACHO</t>
  </si>
  <si>
    <t>NELSON GILBERTO GUTIERREZ VACA</t>
  </si>
  <si>
    <t>ACACIAS ES FUTURO!</t>
  </si>
  <si>
    <t>ARCENIO VARGAS ALVAREZ</t>
  </si>
  <si>
    <t>CABUYARO</t>
  </si>
  <si>
    <t>ODWAY TORRES BEJARANO</t>
  </si>
  <si>
    <t>JOSE ANDRES CASTAÑEDA MARTINEZ</t>
  </si>
  <si>
    <t>FABIAN ANDRES HERNANDEZ GONZALEZ</t>
  </si>
  <si>
    <t>CASTILLA LA NUEVA</t>
  </si>
  <si>
    <t>EDGAR FERNANDO AMEZQUITA HERRERA</t>
  </si>
  <si>
    <t>PARTIDO CONSERVADOR COLOMBIANO - PU-PL-CR-AV</t>
  </si>
  <si>
    <t>CUBARRAL</t>
  </si>
  <si>
    <t>EDER FAVIAN CARDONA LOPEZ</t>
  </si>
  <si>
    <t>ROGERS MAURICIO DEVIA ESCOBAR</t>
  </si>
  <si>
    <t>JOSE RODRIGO ENCISO QUIROGA</t>
  </si>
  <si>
    <t>PARTIDO CONSERVADOR COLOMBIANO CR -  PU</t>
  </si>
  <si>
    <t>CUMARAL</t>
  </si>
  <si>
    <t>FRANCISCO RICARDO ROMERO BOSCAN</t>
  </si>
  <si>
    <t>DARWIN FAVIAN PINZON GARZON</t>
  </si>
  <si>
    <t>EIBER AGATON PIÑEROS</t>
  </si>
  <si>
    <t>ALVARO AUGUSTO MARTINEZ FELIX</t>
  </si>
  <si>
    <t>ROMAN VALERIO BERNAL GAITAN</t>
  </si>
  <si>
    <t>UNIDOS POR CUMARAL</t>
  </si>
  <si>
    <t>ENRIQUE ALBERTO DOUSDEBES ROJAS</t>
  </si>
  <si>
    <t>ALBERTO ALCALDE</t>
  </si>
  <si>
    <t>EL CALVARIO</t>
  </si>
  <si>
    <t>WILIAN ALFONSO CRUZ SARMIENTO</t>
  </si>
  <si>
    <t>UNIDOS POR EL CALVARIO</t>
  </si>
  <si>
    <t>EL CASTILLO</t>
  </si>
  <si>
    <t>NILVER ALONSO CIFUENTES URREA</t>
  </si>
  <si>
    <t>SONIA JULIETH LEON CAMACHO</t>
  </si>
  <si>
    <t>RODRIGO POSSO MONTOYA</t>
  </si>
  <si>
    <t>DAIMER OTALORA VERA</t>
  </si>
  <si>
    <t>ALBEIRO SANTIAGO SUAREZ</t>
  </si>
  <si>
    <t>WILMAR ROA MALAGON</t>
  </si>
  <si>
    <t xml:space="preserve">EL CASTILLO SOMOS TODOS </t>
  </si>
  <si>
    <t>EL DORADO</t>
  </si>
  <si>
    <t>JHON EDISON VELASQUEZ MORENO</t>
  </si>
  <si>
    <t>JHON FREYDMAN RONDON LARA</t>
  </si>
  <si>
    <t>Fuente de Oro</t>
  </si>
  <si>
    <t>WUESLEY SANTOS GONZALEZ</t>
  </si>
  <si>
    <t>DIANA PATRICIA MANCERA CRUZ</t>
  </si>
  <si>
    <t>UNIDOS SOMOS LA FUERZA</t>
  </si>
  <si>
    <t>LUIS ALFREDO VILLALOBOS NARANJO</t>
  </si>
  <si>
    <t>DERLY PARRA MOLINA</t>
  </si>
  <si>
    <t>ASDRUBAL MARTINEZ GIL</t>
  </si>
  <si>
    <t xml:space="preserve">FREDY HERNAN PEREZ </t>
  </si>
  <si>
    <t>GRANADA UNIDA</t>
  </si>
  <si>
    <t>RICARDO CESAR CASAS PATIÑO</t>
  </si>
  <si>
    <t>UN PACTO POR EL PROGRESO DE GRANADA</t>
  </si>
  <si>
    <t>YIDER TORRES GUEVARA</t>
  </si>
  <si>
    <t>GRANADA SOMOS EL CAMBIO</t>
  </si>
  <si>
    <t>JUAN CARLOS SANCHEZ DIAZ</t>
  </si>
  <si>
    <t>FE Y CONFIANZA POR UNA GRANADA IDEAL</t>
  </si>
  <si>
    <t>JORGE HUMBERTO ROJAS PARRA</t>
  </si>
  <si>
    <t>ROSARIO DIAZ DE CALDERON</t>
  </si>
  <si>
    <t>VAMOS A CAMBIAR GUAMAL</t>
  </si>
  <si>
    <t>GERMAN GIOVANY PEÑON NIÑO</t>
  </si>
  <si>
    <t>GUAMAL PROGRESA</t>
  </si>
  <si>
    <t>YAEN LESMA SANTAMARIA ORTEGA</t>
  </si>
  <si>
    <t>JOSE FERNANDO PEÑA RABELO</t>
  </si>
  <si>
    <t>GUAMAL SOMOS TODOS</t>
  </si>
  <si>
    <t>LA MACARENA</t>
  </si>
  <si>
    <t>EUNICE RAMIREZ YACUMA</t>
  </si>
  <si>
    <t>PABLO EMILIO ROJAS HERNANDEZ</t>
  </si>
  <si>
    <t>HERMINSO CARDENAS MONTEALEGRE</t>
  </si>
  <si>
    <t>LA MACARENA ES MI COMPROMISO</t>
  </si>
  <si>
    <t>LEJANIAS</t>
  </si>
  <si>
    <t>YOBANY QUINTERO FIERRO</t>
  </si>
  <si>
    <t>OSCAR IVAN CHAPARRO SUAREZ</t>
  </si>
  <si>
    <t>PUERTO GAITAN</t>
  </si>
  <si>
    <t>OSCAR ERUIN BOLAÑOS CUBILLOS</t>
  </si>
  <si>
    <t>MESETAS</t>
  </si>
  <si>
    <t>YEISON VIDAL RONCANCIO MORA</t>
  </si>
  <si>
    <t>MISS YOHANNA NAVARRO CONDE</t>
  </si>
  <si>
    <t>YONIER ALFREDO FLOREZ MENDIETA</t>
  </si>
  <si>
    <t>ALBERT GUTIERREZ BARRAGAN</t>
  </si>
  <si>
    <t>APERSONADO POR MESETAS - RENOVACIÃ“N EN MARCHA</t>
  </si>
  <si>
    <t>PUERTO LOPEZ</t>
  </si>
  <si>
    <t>PEDRO JUNNYR MOLANO BERNAL</t>
  </si>
  <si>
    <t>JAIME MONSALVE PENAGOS</t>
  </si>
  <si>
    <t>PEDRO VIDAL VELANDIA BEJARANO</t>
  </si>
  <si>
    <t>JAIRO HERNANDO ZABALETA LINARES</t>
  </si>
  <si>
    <t>MOVIMIENTO INDEPENDIENTE PORTOLOPENCE MIP</t>
  </si>
  <si>
    <t>MAPIRIPAN</t>
  </si>
  <si>
    <t>MARIELINA ARAGON VACCA</t>
  </si>
  <si>
    <t xml:space="preserve">YIRAN FERNANDO BELTRAN </t>
  </si>
  <si>
    <t>CONRADO SALAZAR CARDONA</t>
  </si>
  <si>
    <t>JOHN EDUARD ROA SAAVEDRA</t>
  </si>
  <si>
    <t>MAPIRIPAN SI PODEMOS</t>
  </si>
  <si>
    <t>PUERTO CONCORDIA</t>
  </si>
  <si>
    <t>JOSE HEDILBERTO AGUIRRE MORALES</t>
  </si>
  <si>
    <t>PUERTO LLERAS</t>
  </si>
  <si>
    <t>PAULA ANDREA VEGA SANCHEZ</t>
  </si>
  <si>
    <t>LUIS ALFREDO CORTES ARBOLEDA</t>
  </si>
  <si>
    <t>ELIBER GONZALEZ VALENCIA</t>
  </si>
  <si>
    <t>JUAQUIN ELADIO RUIZ IBARRA</t>
  </si>
  <si>
    <t>MARLY JOHANA GUTIERREZ RINCON</t>
  </si>
  <si>
    <t>PUERTO LLERAS SOMOS TODOS</t>
  </si>
  <si>
    <t>DIANA MARIA NAVARRO CIFUENTES</t>
  </si>
  <si>
    <t>JOHN LIBANIEL MORENO CORTES</t>
  </si>
  <si>
    <t>JUAN CARLOS CAMACHO CASTELLANOS</t>
  </si>
  <si>
    <t>ANDRES FELIPE BECERRA CORTES</t>
  </si>
  <si>
    <t>JOSE ALEXANDER DIAZ VERGARA</t>
  </si>
  <si>
    <t>JORGE ENRIQUE LEIVA QUIJANO</t>
  </si>
  <si>
    <t>IVAN DANILO ALFEREZ FIGUEREDO</t>
  </si>
  <si>
    <t>GUILLERMO GARCIA PERALTA</t>
  </si>
  <si>
    <t>MARLEN MOJICA GARZON</t>
  </si>
  <si>
    <t>RESTREPO BUENA SEÃ±AL</t>
  </si>
  <si>
    <t>SAN CARLOS DE GUAROA</t>
  </si>
  <si>
    <t>ASTRID CONSTANZA CUSBA RODRIGUEZ</t>
  </si>
  <si>
    <t>CESAR ALFONSO MUÑOZ MUÑOZ</t>
  </si>
  <si>
    <t>ESTAMOS DE CORAZON</t>
  </si>
  <si>
    <t>SAN JUAN DE ARAMA</t>
  </si>
  <si>
    <t>ELBER FIERRO POVEDA</t>
  </si>
  <si>
    <t>UNIDAD RESPETO Y COMPROMISO</t>
  </si>
  <si>
    <t>EDUARD CASTELLANOS BETANCOURTH</t>
  </si>
  <si>
    <t>RECUPEREMOS SAN JUAN</t>
  </si>
  <si>
    <t>SAN JUANITO</t>
  </si>
  <si>
    <t>NESTOR DARIO DIAZ JIMENEZ</t>
  </si>
  <si>
    <t>CESAR AUGUSTO AYA ROZO</t>
  </si>
  <si>
    <t>UNIDOS POR SAN JUANITO</t>
  </si>
  <si>
    <t>San Martin</t>
  </si>
  <si>
    <t>BRYAN ALBERTO MORENO SANCHEZ</t>
  </si>
  <si>
    <t>MARCELA YESENIA RODRIGUEZ SABOGAL</t>
  </si>
  <si>
    <t>URIBE</t>
  </si>
  <si>
    <t>LUZ GIOVANA VELANDIA SARMIENTO</t>
  </si>
  <si>
    <t>DEISON CANTOR RODRIGUEZ</t>
  </si>
  <si>
    <t>ROBINSON RIAÑO RONDON</t>
  </si>
  <si>
    <t>UNIDOS CONSTRUIMOS PAZ</t>
  </si>
  <si>
    <t>Vistahermosa</t>
  </si>
  <si>
    <t>EULALIA LADINO COVALEDA</t>
  </si>
  <si>
    <t>DANIELA DEL PILAR GAITAN GARZON</t>
  </si>
  <si>
    <t>JHON JAIRO IBARRA CAICEDO</t>
  </si>
  <si>
    <t>VISTA HERMOSA SOMOS TODOS</t>
  </si>
  <si>
    <t>GUAVIARE</t>
  </si>
  <si>
    <t>SAN JOSE DEL GUAVIARE</t>
  </si>
  <si>
    <t>JULIO ARCINIEGAS CIFUENTES</t>
  </si>
  <si>
    <t>RAMON GUEVARA GOMEZ</t>
  </si>
  <si>
    <t>LUISA FERNANDA RAVE CLAVIJO</t>
  </si>
  <si>
    <t>SEVERO GUERRERO DIAZ</t>
  </si>
  <si>
    <t>SAN JOSÃ‰ MODERNA SOSTENIBLE E INCLUYENTE</t>
  </si>
  <si>
    <t>JORGE ALEXANDER QUEVEDO HERRERA</t>
  </si>
  <si>
    <t>COALICIÃ“N JORGE ALEXANDER QUEVEDO HERRERA ALCALDÃA SAN JOSE DEL GUAVIARE - GUAVIARE</t>
  </si>
  <si>
    <t>ROHYMAND GIOVANNY GARCES REINA</t>
  </si>
  <si>
    <t>MAURICIO ALEXANDER ORTIZ QUINTERO</t>
  </si>
  <si>
    <t>ALIANZA POR CALAMAR</t>
  </si>
  <si>
    <t>EL RETORNO</t>
  </si>
  <si>
    <t>ALEX HERNAN OCAMPO RODRIGUEZ</t>
  </si>
  <si>
    <t>UNIDOS POR EL PROGRESO Y DESARROLLO DEL RETORNO</t>
  </si>
  <si>
    <t>FIDEL ANTONIO DAZA CUESTA</t>
  </si>
  <si>
    <t>JUNTOS POR EL RETORNO</t>
  </si>
  <si>
    <t>MIRAFLORES</t>
  </si>
  <si>
    <t>ARLEY DE JESUS ACOSTA OROZCO</t>
  </si>
  <si>
    <t>SHIRLEY PAOLA ORTIZ VALENCIA</t>
  </si>
  <si>
    <t xml:space="preserve">EDWIN IOVANNI DIAZ </t>
  </si>
  <si>
    <t>BARTOLOME ANTONIO TAYLOR JAY</t>
  </si>
  <si>
    <t>JORGE NORBERTO GARI HOOKER</t>
  </si>
  <si>
    <t>AMAZONAS</t>
  </si>
  <si>
    <t>LETICIA</t>
  </si>
  <si>
    <t>JORGE LUIS MENDOZA MUÑOZ</t>
  </si>
  <si>
    <t>JHON JAIRO ACUÑA MARIN</t>
  </si>
  <si>
    <t>ELQUIN JADRIAN UNI HEREDIA</t>
  </si>
  <si>
    <t>JIMMY ANCIZAR TRIANA ARBELAEZ</t>
  </si>
  <si>
    <t>JHICEL BENJUMEA ACOSTA</t>
  </si>
  <si>
    <t>HAROLD PIERR RENGIFO VARGAS</t>
  </si>
  <si>
    <t>HUGO ALBERTO PEREZ ARAUJO</t>
  </si>
  <si>
    <t>JOSE FERNANDO RAMIREZ BANDEIRA</t>
  </si>
  <si>
    <t>JUSSAN ALEXANDER FUKER FIGUEREDO</t>
  </si>
  <si>
    <t>JUNTOS POR EL AMAZONAS</t>
  </si>
  <si>
    <t>PUERTO NARIÑO</t>
  </si>
  <si>
    <t>CARLOS ANDRES VASQUEZ COELLO</t>
  </si>
  <si>
    <t>NATIVIDAD RODRIGUEZ COELLO</t>
  </si>
  <si>
    <t>EDILBERTO SUAREZ PINTO</t>
  </si>
  <si>
    <t>ALIRIO DE JESUS VASQUEZ</t>
  </si>
  <si>
    <t>POR EL DESARROLLO DE PUERTO NARIÃ±O</t>
  </si>
  <si>
    <t>PUTUMAYO</t>
  </si>
  <si>
    <t>MOCOA</t>
  </si>
  <si>
    <t>ONOFRE ANTONIO VASQUEZ GUZMAN</t>
  </si>
  <si>
    <t>ORLANDO DIAZ FERREIRA</t>
  </si>
  <si>
    <t>ELVER PORFIDIO CERON CHICUNQUE</t>
  </si>
  <si>
    <t>JHON JAIRO IMBACHI LOPEZ</t>
  </si>
  <si>
    <t>AHORA SI, LA RECONSTRUCCION ES CON EL PUEBLO</t>
  </si>
  <si>
    <t>PUERTO ASIS</t>
  </si>
  <si>
    <t>DIEGO FERNANDO MORENO ORDOÑEZ</t>
  </si>
  <si>
    <t>JORGE HERLINTO GARCIA LOPEZ</t>
  </si>
  <si>
    <t>ALEXANDRA OMAIRA BENAVIDES GONZALEZ</t>
  </si>
  <si>
    <t>GERMAN MARTINEZ PULIDO</t>
  </si>
  <si>
    <t>ROSA NIDIA VALENCIA ACOSTA</t>
  </si>
  <si>
    <t>UNIDOS AVANZAREMOS</t>
  </si>
  <si>
    <t>PUERTO LEGUIZAMO</t>
  </si>
  <si>
    <t xml:space="preserve">AYDE CAICEDO </t>
  </si>
  <si>
    <t>UNIDOS POR LEGUIZAMO</t>
  </si>
  <si>
    <t>RUBEN ARTURO VELASQUEZ ALVARADO</t>
  </si>
  <si>
    <t>HAY RAZONES PARA CREER</t>
  </si>
  <si>
    <t>SANDRA PATRICIA DIMAS PERDOMO</t>
  </si>
  <si>
    <t>PACTO POR MI LEGUIZAMO DE CORAZON</t>
  </si>
  <si>
    <t>COLON</t>
  </si>
  <si>
    <t>JESUS ANTONIO QUINCHOA JUAJIBIOY</t>
  </si>
  <si>
    <t>JOSE BERNARDO GONZALEZ BUCHELY</t>
  </si>
  <si>
    <t>JONY DANIEL RUEDA POLO</t>
  </si>
  <si>
    <t>NUESTRO MOTIVO...COLON</t>
  </si>
  <si>
    <t>EDISON GONZALEZ BERNATE</t>
  </si>
  <si>
    <t>MARIA ELENA LARA BURBANO</t>
  </si>
  <si>
    <t>ERWIN ENRIQUEZ ENRIQUEZ</t>
  </si>
  <si>
    <t>OSCAR ALEJANDRO NARVAEZ JANSASOY</t>
  </si>
  <si>
    <t>HERNEY LUNA PEJENDINO</t>
  </si>
  <si>
    <t>JORGE ELIECER FUERTES ANDRADE</t>
  </si>
  <si>
    <t xml:space="preserve">FUERTES CON SANTIAGO </t>
  </si>
  <si>
    <t>BEYER PEÑA GAMBA</t>
  </si>
  <si>
    <t>DARWIN VALLEJOS SOLARTE</t>
  </si>
  <si>
    <t xml:space="preserve">CONSTRUYENDO JUNTOS </t>
  </si>
  <si>
    <t>SIBUNDOY</t>
  </si>
  <si>
    <t>MARTHA IRALDA VILLOTA RAMOS</t>
  </si>
  <si>
    <t>JUAN BAUTISTA AGREDA CHINDOY</t>
  </si>
  <si>
    <t>ANDRES CAICEDO CHAVES</t>
  </si>
  <si>
    <t>JHON JAIRO ANDRADE CAICEDO</t>
  </si>
  <si>
    <t>SIBUNDOY HAGAMOS EQUIPO</t>
  </si>
  <si>
    <t>ORITO</t>
  </si>
  <si>
    <t>HERMAN EROT HOYOS MARTINEZ</t>
  </si>
  <si>
    <t>SANDRO MENESES POTOSI</t>
  </si>
  <si>
    <t>LUIS RAMIRO BURBANO GUERRA</t>
  </si>
  <si>
    <t>PUERTO GUZMAN</t>
  </si>
  <si>
    <t>EDISON GERARDO MORA ROJAS</t>
  </si>
  <si>
    <t>ALBEIRO YOVANI CORTES DELGADO</t>
  </si>
  <si>
    <t>PUERTO CAICEDO</t>
  </si>
  <si>
    <t>JOSE YAMID DIAZ RENDON</t>
  </si>
  <si>
    <t>ONOFRE YEFRY CORDOBA QUINTERO</t>
  </si>
  <si>
    <t>ANA ROCIO BUITRAGO ALVAREZ</t>
  </si>
  <si>
    <t>EDERTH ADRIAN IBARRA OLIVA</t>
  </si>
  <si>
    <t>POR UN PACTO POR PUERTO CAICEDO</t>
  </si>
  <si>
    <t>JHON JAIR TRUJILLO BURBANO</t>
  </si>
  <si>
    <t xml:space="preserve">TODOS POR UN PUERTO CAICEDO DIGNO </t>
  </si>
  <si>
    <t>VALLE DEL GUAMUEZ</t>
  </si>
  <si>
    <t>RICARDO ARANGO GOMEZ</t>
  </si>
  <si>
    <t>WILSON HEBERARDO ORTEGA GUEVARA</t>
  </si>
  <si>
    <t>WILIAN ANDRES BOTINA YELA</t>
  </si>
  <si>
    <t>JHON WILMER ROSERO HERNANDEZ</t>
  </si>
  <si>
    <t>VALLEGUAMUENCES SOMOS TODOS</t>
  </si>
  <si>
    <t>LEIDY YOHANA GARCIA MELENDEZ</t>
  </si>
  <si>
    <t>UNIDOS PODEMOS POR EL VALLE DEL GUAMUEZ</t>
  </si>
  <si>
    <t>VILLAGARZON</t>
  </si>
  <si>
    <t>JOSE ULISES MORA MELO</t>
  </si>
  <si>
    <t>LUIS EDUARDO GARCIA FRANCO</t>
  </si>
  <si>
    <t>CARLOS ARMANDO BENAVIDES ARTEAGA</t>
  </si>
  <si>
    <t>JALYLE MARLEY DIAZ ROJAS</t>
  </si>
  <si>
    <t>CON DIOS Y CON EL  PUEBLO</t>
  </si>
  <si>
    <t>HILIANA HIBETH TORO PIANDA</t>
  </si>
  <si>
    <t>VILLA GARZÃ³N MI CORAZÃ³N</t>
  </si>
  <si>
    <t>VAUPES</t>
  </si>
  <si>
    <t>CARURU</t>
  </si>
  <si>
    <t>FANNY NARVAEZ VALENCIA</t>
  </si>
  <si>
    <t>JOHN LEIVER RAMIREZ NEIRA</t>
  </si>
  <si>
    <t>BORIS ORLANDO HERNANDEZ MENESES</t>
  </si>
  <si>
    <t>TARAIRA</t>
  </si>
  <si>
    <t>EDGAR JOSE GONZALEZ TANIMUCA</t>
  </si>
  <si>
    <t>VICHADA</t>
  </si>
  <si>
    <t>PUERTO CARREÑO</t>
  </si>
  <si>
    <t>NAYIBE YULIMA ESTRADA PORTILLA</t>
  </si>
  <si>
    <t>LUIS ENRIQUE REQUINIVA CASTILLO</t>
  </si>
  <si>
    <t>JAIR ESTEBAN BELTRAN HINOJOSA</t>
  </si>
  <si>
    <t>CARREÑO ES TAREA DE TODOS</t>
  </si>
  <si>
    <t>SANTA ROSALIA</t>
  </si>
  <si>
    <t>FERNANDO MARTINEZ SUAREZ</t>
  </si>
  <si>
    <t>ALVARO HOLGUIN GRANADOS</t>
  </si>
  <si>
    <t>UNIDOS POR ROSALÃ­A</t>
  </si>
  <si>
    <t>CUMARIBO</t>
  </si>
  <si>
    <t>RAFAEL RINCON CHIPIAJE</t>
  </si>
  <si>
    <t>PEDRO PABLO HERNANDEZ ROMERO</t>
  </si>
  <si>
    <t>JUAN CARLOS CORDERO ROJAS</t>
  </si>
  <si>
    <t>CUMARIBO MERECE MAS</t>
  </si>
  <si>
    <t>EDAD_CAT</t>
  </si>
  <si>
    <t>Clasificación Met 3</t>
  </si>
  <si>
    <t>Izquierda</t>
  </si>
  <si>
    <t>Derecha</t>
  </si>
  <si>
    <t>Centro</t>
  </si>
  <si>
    <t>Sin dato</t>
  </si>
  <si>
    <t>Ideologia</t>
  </si>
  <si>
    <t>Sexo</t>
  </si>
  <si>
    <t>Dominancia</t>
  </si>
  <si>
    <t>Edad</t>
  </si>
  <si>
    <t>C</t>
  </si>
  <si>
    <t>A</t>
  </si>
  <si>
    <t>J</t>
  </si>
  <si>
    <t>B</t>
  </si>
  <si>
    <t>D</t>
  </si>
  <si>
    <t>I</t>
  </si>
  <si>
    <t>Código</t>
  </si>
  <si>
    <t>IFAJ</t>
  </si>
  <si>
    <t>IFAM</t>
  </si>
  <si>
    <t>IFBJ</t>
  </si>
  <si>
    <t>IFBM</t>
  </si>
  <si>
    <t>IMAJ</t>
  </si>
  <si>
    <t>IMAM</t>
  </si>
  <si>
    <t>IMBJ</t>
  </si>
  <si>
    <t>IMBM</t>
  </si>
  <si>
    <t>CFAJ</t>
  </si>
  <si>
    <t>CFAM</t>
  </si>
  <si>
    <t>CFBJ</t>
  </si>
  <si>
    <t>CFBM</t>
  </si>
  <si>
    <t>CMAJ</t>
  </si>
  <si>
    <t>CMAM</t>
  </si>
  <si>
    <t>CMBJ</t>
  </si>
  <si>
    <t>CMBM</t>
  </si>
  <si>
    <t>DFAJ</t>
  </si>
  <si>
    <t>DFAM</t>
  </si>
  <si>
    <t>DFBJ</t>
  </si>
  <si>
    <t>DFBM</t>
  </si>
  <si>
    <t>DMAJ</t>
  </si>
  <si>
    <t>DMAM</t>
  </si>
  <si>
    <t>DMBJ</t>
  </si>
  <si>
    <t>DMBM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</si>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</sst>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41B47B-993A-EE46-A6C7-EBD748AF6EA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1bc01a1-3b19-4779-a39a-9a07006897d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2796"/>
  <sheetViews>
    <sheetView workbookViewId="0">
      <selection activeCell="AE2812" sqref="AE2812"/>
    </sheetView>
  </sheetViews>
  <sheetFormatPr baseColWidth="10" defaultColWidth="14.5" defaultRowHeight="15" customHeight="1" x14ac:dyDescent="0.2"/>
  <cols>
    <col min="1" max="8" width="8.83203125" customWidth="1"/>
    <col min="9" max="9" width="17.5" customWidth="1"/>
    <col min="10" max="15" width="8.83203125" customWidth="1"/>
    <col min="16" max="23" width="8.83203125" hidden="1" customWidth="1"/>
    <col min="24" max="24" width="8.83203125" customWidth="1"/>
    <col min="25" max="30" width="8.83203125" hidden="1" customWidth="1"/>
  </cols>
  <sheetData>
    <row r="1" spans="1:37" ht="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4813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3" t="s">
        <v>4814</v>
      </c>
      <c r="AF1">
        <f>MEDIAN(X2:X2796)</f>
        <v>1.7692307692307692</v>
      </c>
      <c r="AG1" t="s">
        <v>4819</v>
      </c>
      <c r="AH1" t="s">
        <v>4820</v>
      </c>
      <c r="AI1" t="s">
        <v>4821</v>
      </c>
      <c r="AJ1" t="s">
        <v>4822</v>
      </c>
      <c r="AK1" s="1" t="s">
        <v>4829</v>
      </c>
    </row>
    <row r="2" spans="1:37" hidden="1" x14ac:dyDescent="0.2">
      <c r="A2" s="1">
        <v>10112103</v>
      </c>
      <c r="B2" s="1" t="s">
        <v>29</v>
      </c>
      <c r="C2" s="1" t="s">
        <v>30</v>
      </c>
      <c r="D2" s="1" t="s">
        <v>135</v>
      </c>
      <c r="E2" s="1" t="s">
        <v>136</v>
      </c>
      <c r="F2" s="1" t="s">
        <v>63</v>
      </c>
      <c r="G2" s="1" t="s">
        <v>139</v>
      </c>
      <c r="H2" s="1">
        <v>1987</v>
      </c>
      <c r="I2" s="1" t="s">
        <v>93</v>
      </c>
      <c r="J2" s="1">
        <v>9</v>
      </c>
      <c r="K2" s="1" t="s">
        <v>35</v>
      </c>
      <c r="L2" s="1">
        <v>65</v>
      </c>
      <c r="M2" s="1" t="str">
        <f>IF(L2&lt;=45,"Joven","Mayor")</f>
        <v>Mayor</v>
      </c>
      <c r="N2" s="1">
        <v>74</v>
      </c>
      <c r="O2" s="1" t="s">
        <v>36</v>
      </c>
      <c r="P2" s="1">
        <v>9.1999999999999998E-2</v>
      </c>
      <c r="Q2" s="1">
        <v>93.483999999999995</v>
      </c>
      <c r="R2" s="1">
        <v>2.5709925</v>
      </c>
      <c r="S2" s="1">
        <v>1.0271691000000001</v>
      </c>
      <c r="T2" s="1">
        <v>-2.8453186000000001</v>
      </c>
      <c r="U2" s="1">
        <v>1.472</v>
      </c>
      <c r="V2" s="1">
        <v>109</v>
      </c>
      <c r="W2" s="1">
        <v>153</v>
      </c>
      <c r="X2" s="1">
        <v>1.4036697247706422</v>
      </c>
      <c r="Y2" s="1">
        <v>112</v>
      </c>
      <c r="Z2" s="1">
        <v>153</v>
      </c>
      <c r="AA2" s="1">
        <v>1.3660714285714286</v>
      </c>
      <c r="AB2" s="1">
        <v>113.8475156734939</v>
      </c>
      <c r="AC2" s="1">
        <v>152.76173980484009</v>
      </c>
      <c r="AD2" s="1">
        <v>1.3418100421527797</v>
      </c>
      <c r="AE2" t="s">
        <v>4815</v>
      </c>
      <c r="AF2" t="str">
        <f>IF(X2&lt;$AF$1,"Bajo","Alto")</f>
        <v>Bajo</v>
      </c>
      <c r="AG2" t="str">
        <f>LEFT(AE2,1)</f>
        <v>I</v>
      </c>
      <c r="AH2" t="str">
        <f>K2</f>
        <v>M</v>
      </c>
      <c r="AI2" t="str">
        <f>LEFT(AF2,1)</f>
        <v>B</v>
      </c>
      <c r="AJ2" t="str">
        <f>LEFT(M2,1)</f>
        <v>M</v>
      </c>
      <c r="AK2" t="str">
        <f>_xlfn.CONCAT(AG2,AH2,AI2,AJ2)</f>
        <v>IMBM</v>
      </c>
    </row>
    <row r="3" spans="1:37" hidden="1" x14ac:dyDescent="0.2">
      <c r="A3" s="1">
        <v>4686502</v>
      </c>
      <c r="B3" s="1" t="s">
        <v>4382</v>
      </c>
      <c r="C3" s="1" t="s">
        <v>669</v>
      </c>
      <c r="D3" s="1" t="s">
        <v>4452</v>
      </c>
      <c r="E3" s="1" t="s">
        <v>4453</v>
      </c>
      <c r="F3" s="1" t="s">
        <v>37</v>
      </c>
      <c r="G3" s="1" t="s">
        <v>4454</v>
      </c>
      <c r="H3" s="1">
        <v>3002</v>
      </c>
      <c r="I3" s="1" t="s">
        <v>39</v>
      </c>
      <c r="J3" s="1">
        <v>11</v>
      </c>
      <c r="K3" s="1" t="s">
        <v>35</v>
      </c>
      <c r="L3" s="1">
        <v>29</v>
      </c>
      <c r="M3" s="1" t="str">
        <f>IF(L3&lt;=45,"Joven","Mayor")</f>
        <v>Joven</v>
      </c>
      <c r="N3" s="1">
        <v>31</v>
      </c>
      <c r="O3" s="1" t="s">
        <v>36</v>
      </c>
      <c r="P3" s="1">
        <v>0.14599999999999999</v>
      </c>
      <c r="Q3" s="1">
        <v>94.204999999999998</v>
      </c>
      <c r="R3" s="1">
        <v>0.9806665</v>
      </c>
      <c r="S3" s="1">
        <v>2.0414880000000002</v>
      </c>
      <c r="T3" s="1">
        <v>4.2579937000000001</v>
      </c>
      <c r="U3" s="1">
        <v>1.296</v>
      </c>
      <c r="V3" s="1">
        <v>74</v>
      </c>
      <c r="W3" s="1">
        <v>165</v>
      </c>
      <c r="X3" s="1">
        <v>2.2297297297297298</v>
      </c>
      <c r="Y3" s="1">
        <v>80</v>
      </c>
      <c r="Z3" s="1">
        <v>165</v>
      </c>
      <c r="AA3" s="1">
        <v>2.0625</v>
      </c>
      <c r="AB3" s="1">
        <v>77.285386111401749</v>
      </c>
      <c r="AC3" s="1">
        <v>164.99005868075159</v>
      </c>
      <c r="AD3" s="1">
        <v>2.1348157391997677</v>
      </c>
      <c r="AE3" t="s">
        <v>4816</v>
      </c>
      <c r="AF3" t="str">
        <f>IF(X3&lt;$AF$1,"Bajo","Alto")</f>
        <v>Alto</v>
      </c>
      <c r="AG3" t="str">
        <f>LEFT(AE3,1)</f>
        <v>D</v>
      </c>
      <c r="AH3" t="str">
        <f>K3</f>
        <v>M</v>
      </c>
      <c r="AI3" t="str">
        <f>LEFT(AF3,1)</f>
        <v>A</v>
      </c>
      <c r="AJ3" t="str">
        <f>LEFT(M3,1)</f>
        <v>J</v>
      </c>
      <c r="AK3" t="str">
        <f>_xlfn.CONCAT(AG3,AH3,AI3,AJ3)</f>
        <v>DMAJ</v>
      </c>
    </row>
    <row r="4" spans="1:37" hidden="1" x14ac:dyDescent="0.2">
      <c r="A4" s="1">
        <v>281006</v>
      </c>
      <c r="B4" s="1" t="s">
        <v>1775</v>
      </c>
      <c r="C4" s="1" t="s">
        <v>561</v>
      </c>
      <c r="D4" s="1" t="s">
        <v>1386</v>
      </c>
      <c r="E4" s="1" t="s">
        <v>75</v>
      </c>
      <c r="F4" s="1" t="s">
        <v>88</v>
      </c>
      <c r="G4" s="1" t="s">
        <v>3782</v>
      </c>
      <c r="H4" s="1">
        <v>158</v>
      </c>
      <c r="I4" s="1" t="s">
        <v>134</v>
      </c>
      <c r="J4" s="1">
        <v>8</v>
      </c>
      <c r="K4" s="1" t="s">
        <v>35</v>
      </c>
      <c r="L4" s="1">
        <v>67</v>
      </c>
      <c r="M4" s="1" t="str">
        <f>IF(L4&lt;=45,"Joven","Mayor")</f>
        <v>Mayor</v>
      </c>
      <c r="N4" s="1">
        <v>54</v>
      </c>
      <c r="O4" s="1" t="s">
        <v>36</v>
      </c>
      <c r="P4" s="1">
        <v>0.434</v>
      </c>
      <c r="Q4" s="1">
        <v>92.986000000000004</v>
      </c>
      <c r="R4" s="1">
        <v>-2.5990799999999998</v>
      </c>
      <c r="S4" s="1">
        <v>2.8451342999999998</v>
      </c>
      <c r="T4" s="1">
        <v>5.9556427000000003</v>
      </c>
      <c r="U4" s="1">
        <v>7.46</v>
      </c>
      <c r="V4" s="1">
        <v>87</v>
      </c>
      <c r="W4" s="1">
        <v>120</v>
      </c>
      <c r="X4" s="1">
        <v>1.3793103448275863</v>
      </c>
      <c r="Y4" s="1">
        <v>87</v>
      </c>
      <c r="Z4" s="1">
        <v>120</v>
      </c>
      <c r="AA4" s="1">
        <v>1.3793103448275863</v>
      </c>
      <c r="AB4" s="1">
        <v>89.643174114171416</v>
      </c>
      <c r="AC4" s="1">
        <v>119.144785567772</v>
      </c>
      <c r="AD4" s="1">
        <v>1.3291004780355804</v>
      </c>
      <c r="AE4" t="s">
        <v>4817</v>
      </c>
      <c r="AF4" t="str">
        <f>IF(X4&lt;$AF$1,"Bajo","Alto")</f>
        <v>Bajo</v>
      </c>
      <c r="AG4" t="str">
        <f>LEFT(AE4,1)</f>
        <v>C</v>
      </c>
      <c r="AH4" t="str">
        <f>K4</f>
        <v>M</v>
      </c>
      <c r="AI4" t="str">
        <f>LEFT(AF4,1)</f>
        <v>B</v>
      </c>
      <c r="AJ4" t="str">
        <f>LEFT(M4,1)</f>
        <v>M</v>
      </c>
      <c r="AK4" t="str">
        <f>_xlfn.CONCAT(AG4,AH4,AI4,AJ4)</f>
        <v>CMBM</v>
      </c>
    </row>
    <row r="5" spans="1:37" hidden="1" x14ac:dyDescent="0.2">
      <c r="A5" s="1">
        <v>171103</v>
      </c>
      <c r="B5" s="1" t="s">
        <v>2551</v>
      </c>
      <c r="C5" s="1" t="s">
        <v>2552</v>
      </c>
      <c r="D5" s="1" t="s">
        <v>2579</v>
      </c>
      <c r="E5" s="1" t="s">
        <v>51</v>
      </c>
      <c r="F5" s="1" t="s">
        <v>63</v>
      </c>
      <c r="G5" s="1" t="s">
        <v>2580</v>
      </c>
      <c r="H5" s="1">
        <v>9</v>
      </c>
      <c r="I5" s="1" t="s">
        <v>108</v>
      </c>
      <c r="J5" s="1">
        <v>3</v>
      </c>
      <c r="K5" s="1" t="s">
        <v>35</v>
      </c>
      <c r="L5" s="1">
        <v>53</v>
      </c>
      <c r="M5" s="1" t="str">
        <f>IF(L5&lt;=45,"Joven","Mayor")</f>
        <v>Mayor</v>
      </c>
      <c r="N5" s="1">
        <v>56</v>
      </c>
      <c r="O5" s="1" t="s">
        <v>36</v>
      </c>
      <c r="P5" s="1">
        <v>0.32200000000000001</v>
      </c>
      <c r="Q5" s="1">
        <v>94.076999999999998</v>
      </c>
      <c r="R5" s="1">
        <v>0.52961369999999997</v>
      </c>
      <c r="S5" s="1">
        <v>3.5385559</v>
      </c>
      <c r="T5" s="1">
        <v>0.10976691</v>
      </c>
      <c r="U5" s="1">
        <v>13.263999999999999</v>
      </c>
      <c r="V5" s="1">
        <v>102</v>
      </c>
      <c r="W5" s="1">
        <v>143</v>
      </c>
      <c r="X5" s="1">
        <v>1.4019607843137254</v>
      </c>
      <c r="Y5" s="1">
        <v>104</v>
      </c>
      <c r="Z5" s="1">
        <v>143</v>
      </c>
      <c r="AA5" s="1">
        <v>1.375</v>
      </c>
      <c r="AB5" s="1">
        <v>103.92126164068419</v>
      </c>
      <c r="AC5" s="1">
        <v>142.99973757601771</v>
      </c>
      <c r="AD5" s="1">
        <v>1.3760392754896527</v>
      </c>
      <c r="AE5" t="s">
        <v>4817</v>
      </c>
      <c r="AF5" t="str">
        <f>IF(X5&lt;$AF$1,"Bajo","Alto")</f>
        <v>Bajo</v>
      </c>
      <c r="AG5" t="str">
        <f>LEFT(AE5,1)</f>
        <v>C</v>
      </c>
      <c r="AH5" t="str">
        <f>K5</f>
        <v>M</v>
      </c>
      <c r="AI5" t="str">
        <f>LEFT(AF5,1)</f>
        <v>B</v>
      </c>
      <c r="AJ5" t="str">
        <f>LEFT(M5,1)</f>
        <v>M</v>
      </c>
      <c r="AK5" t="str">
        <f>_xlfn.CONCAT(AG5,AH5,AI5,AJ5)</f>
        <v>CMBM</v>
      </c>
    </row>
    <row r="6" spans="1:37" hidden="1" x14ac:dyDescent="0.2">
      <c r="A6" s="1">
        <v>312206</v>
      </c>
      <c r="B6" s="1" t="s">
        <v>4122</v>
      </c>
      <c r="C6" s="1" t="s">
        <v>628</v>
      </c>
      <c r="D6" s="1" t="s">
        <v>4182</v>
      </c>
      <c r="E6" s="1" t="s">
        <v>418</v>
      </c>
      <c r="F6" s="1" t="s">
        <v>88</v>
      </c>
      <c r="G6" s="1" t="s">
        <v>4187</v>
      </c>
      <c r="H6" s="1">
        <v>1566</v>
      </c>
      <c r="I6" s="1" t="s">
        <v>4188</v>
      </c>
      <c r="J6" s="1">
        <v>3820</v>
      </c>
      <c r="K6" s="1" t="s">
        <v>49</v>
      </c>
      <c r="L6" s="1">
        <v>70</v>
      </c>
      <c r="M6" s="1" t="str">
        <f>IF(L6&lt;=45,"Joven","Mayor")</f>
        <v>Mayor</v>
      </c>
      <c r="N6" s="1">
        <v>66</v>
      </c>
      <c r="O6" s="1" t="s">
        <v>50</v>
      </c>
      <c r="P6" s="1">
        <v>0.35899999999999999</v>
      </c>
      <c r="Q6" s="1">
        <v>93.695999999999998</v>
      </c>
      <c r="R6" s="1">
        <v>0.39352816000000002</v>
      </c>
      <c r="S6" s="1">
        <v>5.2670440000000003</v>
      </c>
      <c r="T6" s="1">
        <v>-0.43452626</v>
      </c>
      <c r="U6" s="1">
        <v>2.7029999999999998</v>
      </c>
      <c r="V6" s="1">
        <v>102</v>
      </c>
      <c r="W6" s="1">
        <v>148</v>
      </c>
      <c r="X6" s="1">
        <v>1.4509803921568627</v>
      </c>
      <c r="Y6" s="1">
        <v>104</v>
      </c>
      <c r="Z6" s="1">
        <v>148</v>
      </c>
      <c r="AA6" s="1">
        <v>1.4230769230769231</v>
      </c>
      <c r="AB6" s="1">
        <v>103.6936555463342</v>
      </c>
      <c r="AC6" s="1">
        <v>148.01091153731929</v>
      </c>
      <c r="AD6" s="1">
        <v>1.427386379209888</v>
      </c>
      <c r="AE6" t="s">
        <v>4817</v>
      </c>
      <c r="AF6" t="str">
        <f>IF(X6&lt;$AF$1,"Bajo","Alto")</f>
        <v>Bajo</v>
      </c>
      <c r="AG6" t="str">
        <f>LEFT(AE6,1)</f>
        <v>C</v>
      </c>
      <c r="AH6" t="str">
        <f>K6</f>
        <v>F</v>
      </c>
      <c r="AI6" t="str">
        <f>LEFT(AF6,1)</f>
        <v>B</v>
      </c>
      <c r="AJ6" t="str">
        <f>LEFT(M6,1)</f>
        <v>M</v>
      </c>
      <c r="AK6" t="str">
        <f>_xlfn.CONCAT(AG6,AH6,AI6,AJ6)</f>
        <v>CFBM</v>
      </c>
    </row>
    <row r="7" spans="1:37" hidden="1" x14ac:dyDescent="0.2">
      <c r="A7" s="1">
        <v>1057607</v>
      </c>
      <c r="B7" s="1" t="s">
        <v>694</v>
      </c>
      <c r="C7" s="1" t="s">
        <v>879</v>
      </c>
      <c r="D7" s="1" t="s">
        <v>1024</v>
      </c>
      <c r="E7" s="1" t="s">
        <v>727</v>
      </c>
      <c r="F7" s="1" t="s">
        <v>43</v>
      </c>
      <c r="G7" s="1" t="s">
        <v>1030</v>
      </c>
      <c r="H7" s="1">
        <v>8158</v>
      </c>
      <c r="I7" s="1" t="s">
        <v>91</v>
      </c>
      <c r="J7" s="1">
        <v>6</v>
      </c>
      <c r="K7" s="1" t="s">
        <v>35</v>
      </c>
      <c r="L7" s="1">
        <v>49</v>
      </c>
      <c r="M7" s="1" t="str">
        <f>IF(L7&lt;=45,"Joven","Mayor")</f>
        <v>Mayor</v>
      </c>
      <c r="N7" s="1">
        <v>52</v>
      </c>
      <c r="O7" s="1" t="s">
        <v>36</v>
      </c>
      <c r="P7" s="1">
        <v>0.79800000000000004</v>
      </c>
      <c r="Q7" s="1">
        <v>77.245000000000005</v>
      </c>
      <c r="R7" s="1">
        <v>10.541581000000001</v>
      </c>
      <c r="S7" s="1">
        <v>-5.7630653000000001</v>
      </c>
      <c r="T7" s="1">
        <v>-5.8310149999999998</v>
      </c>
      <c r="U7" s="1">
        <v>5.0830000000000002</v>
      </c>
      <c r="V7" s="1">
        <v>77</v>
      </c>
      <c r="W7" s="1">
        <v>173</v>
      </c>
      <c r="X7" s="1">
        <v>2.2467532467532467</v>
      </c>
      <c r="Y7" s="1">
        <v>84</v>
      </c>
      <c r="Z7" s="1">
        <v>173</v>
      </c>
      <c r="AA7" s="1">
        <v>2.0595238095238093</v>
      </c>
      <c r="AB7" s="1">
        <v>81.681332465750756</v>
      </c>
      <c r="AC7" s="1">
        <v>172.91763236262159</v>
      </c>
      <c r="AD7" s="1">
        <v>2.1169785940395438</v>
      </c>
      <c r="AE7" t="s">
        <v>4817</v>
      </c>
      <c r="AF7" t="str">
        <f>IF(X7&lt;$AF$1,"Bajo","Alto")</f>
        <v>Alto</v>
      </c>
      <c r="AG7" t="str">
        <f>LEFT(AE7,1)</f>
        <v>C</v>
      </c>
      <c r="AH7" t="str">
        <f>K7</f>
        <v>M</v>
      </c>
      <c r="AI7" t="str">
        <f>LEFT(AF7,1)</f>
        <v>A</v>
      </c>
      <c r="AJ7" t="str">
        <f>LEFT(M7,1)</f>
        <v>M</v>
      </c>
      <c r="AK7" t="str">
        <f>_xlfn.CONCAT(AG7,AH7,AI7,AJ7)</f>
        <v>CMAM</v>
      </c>
    </row>
    <row r="8" spans="1:37" hidden="1" x14ac:dyDescent="0.2">
      <c r="A8" s="1">
        <v>173803</v>
      </c>
      <c r="B8" s="1" t="s">
        <v>2551</v>
      </c>
      <c r="C8" s="1" t="s">
        <v>2552</v>
      </c>
      <c r="D8" s="1" t="s">
        <v>2636</v>
      </c>
      <c r="E8" s="1" t="s">
        <v>2637</v>
      </c>
      <c r="F8" s="1" t="s">
        <v>63</v>
      </c>
      <c r="G8" s="1" t="s">
        <v>2640</v>
      </c>
      <c r="H8" s="1">
        <v>1667</v>
      </c>
      <c r="I8" s="1" t="s">
        <v>48</v>
      </c>
      <c r="J8" s="1">
        <v>4</v>
      </c>
      <c r="K8" s="1" t="s">
        <v>35</v>
      </c>
      <c r="L8" s="1">
        <v>42</v>
      </c>
      <c r="M8" s="1" t="str">
        <f>IF(L8&lt;=45,"Joven","Mayor")</f>
        <v>Joven</v>
      </c>
      <c r="N8" s="1">
        <v>49</v>
      </c>
      <c r="O8" s="1" t="s">
        <v>36</v>
      </c>
      <c r="P8" s="1">
        <v>1.1299999999999999</v>
      </c>
      <c r="Q8" s="1">
        <v>48.268000000000001</v>
      </c>
      <c r="R8" s="1">
        <v>16.222785999999999</v>
      </c>
      <c r="S8" s="1">
        <v>0.9361081</v>
      </c>
      <c r="T8" s="1">
        <v>-23.891529999999999</v>
      </c>
      <c r="U8" s="1">
        <v>1.202</v>
      </c>
      <c r="V8" s="1">
        <v>39</v>
      </c>
      <c r="W8" s="1">
        <v>95</v>
      </c>
      <c r="X8" s="1">
        <v>2.4358974358974357</v>
      </c>
      <c r="Y8" s="1">
        <v>56</v>
      </c>
      <c r="Z8" s="1">
        <v>95</v>
      </c>
      <c r="AA8" s="1">
        <v>1.6964285714285714</v>
      </c>
      <c r="AB8" s="1">
        <v>50.643477509790053</v>
      </c>
      <c r="AC8" s="1">
        <v>99.820020242340433</v>
      </c>
      <c r="AD8" s="1">
        <v>1.9710340827808261</v>
      </c>
      <c r="AE8" t="s">
        <v>4817</v>
      </c>
      <c r="AF8" t="str">
        <f>IF(X8&lt;$AF$1,"Bajo","Alto")</f>
        <v>Alto</v>
      </c>
      <c r="AG8" t="str">
        <f>LEFT(AE8,1)</f>
        <v>C</v>
      </c>
      <c r="AH8" t="str">
        <f>K8</f>
        <v>M</v>
      </c>
      <c r="AI8" t="str">
        <f>LEFT(AF8,1)</f>
        <v>A</v>
      </c>
      <c r="AJ8" t="str">
        <f>LEFT(M8,1)</f>
        <v>J</v>
      </c>
      <c r="AK8" t="str">
        <f>_xlfn.CONCAT(AG8,AH8,AI8,AJ8)</f>
        <v>CMAJ</v>
      </c>
    </row>
    <row r="9" spans="1:37" hidden="1" x14ac:dyDescent="0.2">
      <c r="A9" s="1">
        <v>156703</v>
      </c>
      <c r="B9" s="1" t="s">
        <v>2077</v>
      </c>
      <c r="C9" s="1" t="s">
        <v>57</v>
      </c>
      <c r="D9" s="1" t="s">
        <v>2502</v>
      </c>
      <c r="E9" s="1" t="s">
        <v>715</v>
      </c>
      <c r="F9" s="1" t="s">
        <v>63</v>
      </c>
      <c r="G9" s="1" t="s">
        <v>2505</v>
      </c>
      <c r="H9" s="1">
        <v>4899</v>
      </c>
      <c r="I9" s="1" t="s">
        <v>2506</v>
      </c>
      <c r="J9" s="1">
        <v>4221</v>
      </c>
      <c r="K9" s="1" t="s">
        <v>35</v>
      </c>
      <c r="L9" s="1">
        <v>36</v>
      </c>
      <c r="M9" s="1" t="str">
        <f>IF(L9&lt;=45,"Joven","Mayor")</f>
        <v>Joven</v>
      </c>
      <c r="N9" s="1">
        <v>47</v>
      </c>
      <c r="O9" s="1" t="s">
        <v>36</v>
      </c>
      <c r="P9" s="1">
        <v>0.35</v>
      </c>
      <c r="Q9" s="1">
        <v>80.076999999999998</v>
      </c>
      <c r="R9" s="1">
        <v>8.6318940000000008</v>
      </c>
      <c r="S9" s="1">
        <v>9.6749840000000003</v>
      </c>
      <c r="T9" s="1">
        <v>-3.4609217999999999</v>
      </c>
      <c r="U9" s="1">
        <v>0.60099999999999998</v>
      </c>
      <c r="V9" s="1">
        <v>136</v>
      </c>
      <c r="W9" s="1">
        <v>188</v>
      </c>
      <c r="X9" s="1">
        <v>1.3823529411764706</v>
      </c>
      <c r="Y9" s="1">
        <v>137</v>
      </c>
      <c r="Z9" s="1">
        <v>188</v>
      </c>
      <c r="AA9" s="1">
        <v>1.3722627737226278</v>
      </c>
      <c r="AB9" s="1">
        <v>139.2252178742801</v>
      </c>
      <c r="AC9" s="1">
        <v>187.59675859877959</v>
      </c>
      <c r="AD9" s="1">
        <v>1.3474337585032823</v>
      </c>
      <c r="AE9" t="s">
        <v>4817</v>
      </c>
      <c r="AF9" t="str">
        <f>IF(X9&lt;$AF$1,"Bajo","Alto")</f>
        <v>Bajo</v>
      </c>
      <c r="AG9" t="str">
        <f>LEFT(AE9,1)</f>
        <v>C</v>
      </c>
      <c r="AH9" t="str">
        <f>K9</f>
        <v>M</v>
      </c>
      <c r="AI9" t="str">
        <f>LEFT(AF9,1)</f>
        <v>B</v>
      </c>
      <c r="AJ9" t="str">
        <f>LEFT(M9,1)</f>
        <v>J</v>
      </c>
      <c r="AK9" t="str">
        <f>_xlfn.CONCAT(AG9,AH9,AI9,AJ9)</f>
        <v>CMBJ</v>
      </c>
    </row>
    <row r="10" spans="1:37" hidden="1" x14ac:dyDescent="0.2">
      <c r="A10" s="1">
        <v>134902</v>
      </c>
      <c r="B10" s="1" t="s">
        <v>956</v>
      </c>
      <c r="C10" s="1" t="s">
        <v>163</v>
      </c>
      <c r="D10" s="1" t="s">
        <v>430</v>
      </c>
      <c r="E10" s="1" t="s">
        <v>673</v>
      </c>
      <c r="F10" s="1" t="s">
        <v>37</v>
      </c>
      <c r="G10" s="1" t="s">
        <v>2052</v>
      </c>
      <c r="H10" s="1">
        <v>5212</v>
      </c>
      <c r="I10" s="1" t="s">
        <v>39</v>
      </c>
      <c r="J10" s="1">
        <v>11</v>
      </c>
      <c r="K10" s="1" t="s">
        <v>35</v>
      </c>
      <c r="L10" s="1">
        <v>39</v>
      </c>
      <c r="M10" s="1" t="str">
        <f>IF(L10&lt;=45,"Joven","Mayor")</f>
        <v>Joven</v>
      </c>
      <c r="N10" s="1">
        <v>43</v>
      </c>
      <c r="O10" s="1" t="s">
        <v>36</v>
      </c>
      <c r="P10" s="1">
        <v>0.58699999999999997</v>
      </c>
      <c r="Q10" s="1">
        <v>79.905000000000001</v>
      </c>
      <c r="R10" s="1">
        <v>9.9207780000000003</v>
      </c>
      <c r="S10" s="1">
        <v>-5.1692505000000004</v>
      </c>
      <c r="T10" s="1">
        <v>-7.0143990000000001</v>
      </c>
      <c r="U10" s="1">
        <v>19.605</v>
      </c>
      <c r="V10" s="1">
        <v>66</v>
      </c>
      <c r="W10" s="1">
        <v>143</v>
      </c>
      <c r="X10" s="1">
        <v>2.1666666666666665</v>
      </c>
      <c r="Y10" s="1">
        <v>75</v>
      </c>
      <c r="Z10" s="1">
        <v>143</v>
      </c>
      <c r="AA10" s="1">
        <v>1.9066666666666667</v>
      </c>
      <c r="AB10" s="1">
        <v>70.04238605260025</v>
      </c>
      <c r="AC10" s="1">
        <v>142.7845469786221</v>
      </c>
      <c r="AD10" s="1">
        <v>2.0385448729772588</v>
      </c>
      <c r="AE10" t="s">
        <v>4816</v>
      </c>
      <c r="AF10" t="str">
        <f>IF(X10&lt;$AF$1,"Bajo","Alto")</f>
        <v>Alto</v>
      </c>
      <c r="AG10" t="str">
        <f>LEFT(AE10,1)</f>
        <v>D</v>
      </c>
      <c r="AH10" t="str">
        <f>K10</f>
        <v>M</v>
      </c>
      <c r="AI10" t="str">
        <f>LEFT(AF10,1)</f>
        <v>A</v>
      </c>
      <c r="AJ10" t="str">
        <f>LEFT(M10,1)</f>
        <v>J</v>
      </c>
      <c r="AK10" t="str">
        <f>_xlfn.CONCAT(AG10,AH10,AI10,AJ10)</f>
        <v>DMAJ</v>
      </c>
    </row>
    <row r="11" spans="1:37" hidden="1" x14ac:dyDescent="0.2">
      <c r="A11" s="1">
        <v>284204</v>
      </c>
      <c r="B11" s="1" t="s">
        <v>1775</v>
      </c>
      <c r="C11" s="1" t="s">
        <v>561</v>
      </c>
      <c r="D11" s="1" t="s">
        <v>3863</v>
      </c>
      <c r="E11" s="1" t="s">
        <v>2872</v>
      </c>
      <c r="F11" s="1" t="s">
        <v>61</v>
      </c>
      <c r="G11" s="1" t="s">
        <v>3866</v>
      </c>
      <c r="H11" s="1">
        <v>3236</v>
      </c>
      <c r="I11" s="1" t="s">
        <v>134</v>
      </c>
      <c r="J11" s="1">
        <v>8</v>
      </c>
      <c r="K11" s="1" t="s">
        <v>35</v>
      </c>
      <c r="L11" s="1">
        <v>40</v>
      </c>
      <c r="M11" s="1" t="str">
        <f>IF(L11&lt;=45,"Joven","Mayor")</f>
        <v>Joven</v>
      </c>
      <c r="N11" s="1">
        <v>47</v>
      </c>
      <c r="O11" s="1" t="s">
        <v>36</v>
      </c>
      <c r="P11" s="1">
        <v>0.25800000000000001</v>
      </c>
      <c r="Q11" s="1">
        <v>41.191000000000003</v>
      </c>
      <c r="R11" s="1">
        <v>17.109182000000001</v>
      </c>
      <c r="S11" s="1">
        <v>-2.1733772999999998</v>
      </c>
      <c r="T11" s="1">
        <v>-18.046333000000001</v>
      </c>
      <c r="U11" s="1">
        <v>7.7690000000000001</v>
      </c>
      <c r="V11" s="1">
        <v>74</v>
      </c>
      <c r="W11" s="1">
        <v>172</v>
      </c>
      <c r="X11" s="1">
        <v>2.3243243243243241</v>
      </c>
      <c r="Y11" s="1">
        <v>99</v>
      </c>
      <c r="Z11" s="1">
        <v>172</v>
      </c>
      <c r="AA11" s="1">
        <v>1.7373737373737375</v>
      </c>
      <c r="AB11" s="1">
        <v>88.327253997445723</v>
      </c>
      <c r="AC11" s="1">
        <v>174.69098131779219</v>
      </c>
      <c r="AD11" s="1">
        <v>1.9777698661711363</v>
      </c>
      <c r="AE11" t="s">
        <v>4817</v>
      </c>
      <c r="AF11" t="str">
        <f>IF(X11&lt;$AF$1,"Bajo","Alto")</f>
        <v>Alto</v>
      </c>
      <c r="AG11" t="str">
        <f>LEFT(AE11,1)</f>
        <v>C</v>
      </c>
      <c r="AH11" t="str">
        <f>K11</f>
        <v>M</v>
      </c>
      <c r="AI11" t="str">
        <f>LEFT(AF11,1)</f>
        <v>A</v>
      </c>
      <c r="AJ11" t="str">
        <f>LEFT(M11,1)</f>
        <v>J</v>
      </c>
      <c r="AK11" t="str">
        <f>_xlfn.CONCAT(AG11,AH11,AI11,AJ11)</f>
        <v>CMAJ</v>
      </c>
    </row>
    <row r="12" spans="1:37" hidden="1" x14ac:dyDescent="0.2">
      <c r="A12" s="1">
        <v>540701</v>
      </c>
      <c r="B12" s="1" t="s">
        <v>4677</v>
      </c>
      <c r="C12" s="1" t="s">
        <v>3148</v>
      </c>
      <c r="D12" s="1" t="s">
        <v>4689</v>
      </c>
      <c r="E12" s="1" t="s">
        <v>43</v>
      </c>
      <c r="F12" s="1" t="s">
        <v>32</v>
      </c>
      <c r="G12" s="1" t="s">
        <v>4690</v>
      </c>
      <c r="H12" s="1">
        <v>2872</v>
      </c>
      <c r="I12" s="1" t="s">
        <v>4691</v>
      </c>
      <c r="J12" s="1">
        <v>3386</v>
      </c>
      <c r="K12" s="1" t="s">
        <v>35</v>
      </c>
      <c r="L12" s="1">
        <v>32</v>
      </c>
      <c r="M12" s="1" t="str">
        <f>IF(L12&lt;=45,"Joven","Mayor")</f>
        <v>Joven</v>
      </c>
      <c r="N12" s="1">
        <v>42</v>
      </c>
      <c r="O12" s="1" t="s">
        <v>36</v>
      </c>
      <c r="P12" s="1">
        <v>0.27900000000000003</v>
      </c>
      <c r="Q12" s="1">
        <v>90.96</v>
      </c>
      <c r="R12" s="1">
        <v>-3.8850566999999998</v>
      </c>
      <c r="S12" s="1">
        <v>5.9307837000000001</v>
      </c>
      <c r="T12" s="1">
        <v>1.3835135E-2</v>
      </c>
      <c r="U12" s="1">
        <v>2.3279999999999998</v>
      </c>
      <c r="V12" s="1">
        <v>73</v>
      </c>
      <c r="W12" s="1">
        <v>164</v>
      </c>
      <c r="X12" s="1">
        <v>2.2465753424657535</v>
      </c>
      <c r="Y12" s="1">
        <v>73</v>
      </c>
      <c r="Z12" s="1">
        <v>164</v>
      </c>
      <c r="AA12" s="1">
        <v>2.2465753424657535</v>
      </c>
      <c r="AB12" s="1">
        <v>73.009173680713275</v>
      </c>
      <c r="AC12" s="1">
        <v>163.99854640688139</v>
      </c>
      <c r="AD12" s="1">
        <v>2.2462731481400762</v>
      </c>
      <c r="AE12" t="s">
        <v>4817</v>
      </c>
      <c r="AF12" t="str">
        <f>IF(X12&lt;$AF$1,"Bajo","Alto")</f>
        <v>Alto</v>
      </c>
      <c r="AG12" t="str">
        <f>LEFT(AE12,1)</f>
        <v>C</v>
      </c>
      <c r="AH12" t="str">
        <f>K12</f>
        <v>M</v>
      </c>
      <c r="AI12" t="str">
        <f>LEFT(AF12,1)</f>
        <v>A</v>
      </c>
      <c r="AJ12" t="str">
        <f>LEFT(M12,1)</f>
        <v>J</v>
      </c>
      <c r="AK12" t="str">
        <f>_xlfn.CONCAT(AG12,AH12,AI12,AJ12)</f>
        <v>CMAJ</v>
      </c>
    </row>
    <row r="13" spans="1:37" hidden="1" x14ac:dyDescent="0.2">
      <c r="A13" s="1">
        <v>2912706</v>
      </c>
      <c r="B13" s="1" t="s">
        <v>3890</v>
      </c>
      <c r="C13" s="1" t="s">
        <v>1695</v>
      </c>
      <c r="D13" s="1" t="s">
        <v>3959</v>
      </c>
      <c r="E13" s="1" t="s">
        <v>153</v>
      </c>
      <c r="F13" s="1" t="s">
        <v>88</v>
      </c>
      <c r="G13" s="1" t="s">
        <v>3965</v>
      </c>
      <c r="H13" s="1">
        <v>17</v>
      </c>
      <c r="I13" s="1" t="s">
        <v>48</v>
      </c>
      <c r="J13" s="1">
        <v>4</v>
      </c>
      <c r="K13" s="1" t="s">
        <v>35</v>
      </c>
      <c r="L13" s="1">
        <v>42</v>
      </c>
      <c r="M13" s="1" t="str">
        <f>IF(L13&lt;=45,"Joven","Mayor")</f>
        <v>Joven</v>
      </c>
      <c r="N13" s="1">
        <v>43</v>
      </c>
      <c r="O13" s="1" t="s">
        <v>36</v>
      </c>
      <c r="P13" s="1">
        <v>0.35899999999999999</v>
      </c>
      <c r="Q13" s="1">
        <v>66.099000000000004</v>
      </c>
      <c r="R13" s="1">
        <v>7.4904289999999998</v>
      </c>
      <c r="S13" s="1">
        <v>18.845206999999998</v>
      </c>
      <c r="T13" s="1">
        <v>-1.8962249</v>
      </c>
      <c r="U13" s="1">
        <v>2.2909999999999999</v>
      </c>
      <c r="V13" s="1">
        <v>118</v>
      </c>
      <c r="W13" s="1">
        <v>167</v>
      </c>
      <c r="X13" s="1">
        <v>1.4152542372881356</v>
      </c>
      <c r="Y13" s="1">
        <v>118</v>
      </c>
      <c r="Z13" s="1">
        <v>167</v>
      </c>
      <c r="AA13" s="1">
        <v>1.4152542372881356</v>
      </c>
      <c r="AB13" s="1">
        <v>119.3582240436856</v>
      </c>
      <c r="AC13" s="1">
        <v>166.87546118918911</v>
      </c>
      <c r="AD13" s="1">
        <v>1.3981061005742847</v>
      </c>
      <c r="AE13" t="s">
        <v>4817</v>
      </c>
      <c r="AF13" t="str">
        <f>IF(X13&lt;$AF$1,"Bajo","Alto")</f>
        <v>Bajo</v>
      </c>
      <c r="AG13" t="str">
        <f>LEFT(AE13,1)</f>
        <v>C</v>
      </c>
      <c r="AH13" t="str">
        <f>K13</f>
        <v>M</v>
      </c>
      <c r="AI13" t="str">
        <f>LEFT(AF13,1)</f>
        <v>B</v>
      </c>
      <c r="AJ13" t="str">
        <f>LEFT(M13,1)</f>
        <v>J</v>
      </c>
      <c r="AK13" t="str">
        <f>_xlfn.CONCAT(AG13,AH13,AI13,AJ13)</f>
        <v>CMBJ</v>
      </c>
    </row>
    <row r="14" spans="1:37" hidden="1" x14ac:dyDescent="0.2">
      <c r="A14" s="1">
        <v>1054302</v>
      </c>
      <c r="B14" s="1" t="s">
        <v>694</v>
      </c>
      <c r="C14" s="1" t="s">
        <v>879</v>
      </c>
      <c r="D14" s="1" t="s">
        <v>990</v>
      </c>
      <c r="E14" s="1" t="s">
        <v>665</v>
      </c>
      <c r="F14" s="1" t="s">
        <v>37</v>
      </c>
      <c r="G14" s="1" t="s">
        <v>991</v>
      </c>
      <c r="H14" s="1">
        <v>2130</v>
      </c>
      <c r="I14" s="1" t="s">
        <v>87</v>
      </c>
      <c r="J14" s="1">
        <v>14</v>
      </c>
      <c r="K14" s="1" t="s">
        <v>35</v>
      </c>
      <c r="L14" s="1">
        <v>43</v>
      </c>
      <c r="M14" s="1" t="str">
        <f>IF(L14&lt;=45,"Joven","Mayor")</f>
        <v>Joven</v>
      </c>
      <c r="N14" s="1">
        <v>46</v>
      </c>
      <c r="O14" s="1" t="s">
        <v>36</v>
      </c>
      <c r="P14" s="1">
        <v>0.51600000000000001</v>
      </c>
      <c r="Q14" s="1">
        <v>90.123999999999995</v>
      </c>
      <c r="R14" s="1">
        <v>-3.3236110000000001</v>
      </c>
      <c r="S14" s="1">
        <v>-8.6839150000000007</v>
      </c>
      <c r="T14" s="1">
        <v>5.1559505000000003</v>
      </c>
      <c r="U14" s="1">
        <v>2.6179999999999999</v>
      </c>
      <c r="V14" s="1">
        <v>69</v>
      </c>
      <c r="W14" s="1">
        <v>147</v>
      </c>
      <c r="X14" s="1">
        <v>2.1304347826086958</v>
      </c>
      <c r="Y14" s="1">
        <v>74</v>
      </c>
      <c r="Z14" s="1">
        <v>147</v>
      </c>
      <c r="AA14" s="1">
        <v>1.9864864864864864</v>
      </c>
      <c r="AB14" s="1">
        <v>72.315487407438013</v>
      </c>
      <c r="AC14" s="1">
        <v>147.03427452396861</v>
      </c>
      <c r="AD14" s="1">
        <v>2.0332335409087681</v>
      </c>
      <c r="AE14" t="s">
        <v>4816</v>
      </c>
      <c r="AF14" t="str">
        <f>IF(X14&lt;$AF$1,"Bajo","Alto")</f>
        <v>Alto</v>
      </c>
      <c r="AG14" t="str">
        <f>LEFT(AE14,1)</f>
        <v>D</v>
      </c>
      <c r="AH14" t="str">
        <f>K14</f>
        <v>M</v>
      </c>
      <c r="AI14" t="str">
        <f>LEFT(AF14,1)</f>
        <v>A</v>
      </c>
      <c r="AJ14" t="str">
        <f>LEFT(M14,1)</f>
        <v>J</v>
      </c>
      <c r="AK14" t="str">
        <f>_xlfn.CONCAT(AG14,AH14,AI14,AJ14)</f>
        <v>DMAJ</v>
      </c>
    </row>
    <row r="15" spans="1:37" hidden="1" x14ac:dyDescent="0.2">
      <c r="A15" s="1">
        <v>278503</v>
      </c>
      <c r="B15" s="1" t="s">
        <v>3409</v>
      </c>
      <c r="C15" s="1" t="s">
        <v>973</v>
      </c>
      <c r="D15" s="1" t="s">
        <v>3751</v>
      </c>
      <c r="E15" s="1" t="s">
        <v>755</v>
      </c>
      <c r="F15" s="1" t="s">
        <v>63</v>
      </c>
      <c r="G15" s="1" t="s">
        <v>3753</v>
      </c>
      <c r="H15" s="1">
        <v>882</v>
      </c>
      <c r="I15" s="1" t="s">
        <v>48</v>
      </c>
      <c r="J15" s="1">
        <v>4</v>
      </c>
      <c r="K15" s="1" t="s">
        <v>35</v>
      </c>
      <c r="L15" s="1">
        <v>50</v>
      </c>
      <c r="M15" s="1" t="str">
        <f>IF(L15&lt;=45,"Joven","Mayor")</f>
        <v>Mayor</v>
      </c>
      <c r="N15" s="1">
        <v>39</v>
      </c>
      <c r="O15" s="1" t="s">
        <v>36</v>
      </c>
      <c r="P15" s="1">
        <v>0.35299999999999998</v>
      </c>
      <c r="Q15" s="1">
        <v>86.186999999999998</v>
      </c>
      <c r="R15" s="1">
        <v>5.9260063000000001</v>
      </c>
      <c r="S15" s="1">
        <v>9.5083490000000008</v>
      </c>
      <c r="T15" s="1">
        <v>-3.2748089999999999</v>
      </c>
      <c r="U15" s="1">
        <v>23.72</v>
      </c>
      <c r="V15" s="1">
        <v>123</v>
      </c>
      <c r="W15" s="1">
        <v>174</v>
      </c>
      <c r="X15" s="1">
        <v>1.4146341463414633</v>
      </c>
      <c r="Y15" s="1">
        <v>125</v>
      </c>
      <c r="Z15" s="1">
        <v>174</v>
      </c>
      <c r="AA15" s="1">
        <v>1.3919999999999999</v>
      </c>
      <c r="AB15" s="1">
        <v>125.99814930996899</v>
      </c>
      <c r="AC15" s="1">
        <v>174.17286373290429</v>
      </c>
      <c r="AD15" s="1">
        <v>1.3823446192405597</v>
      </c>
      <c r="AE15" t="s">
        <v>4817</v>
      </c>
      <c r="AF15" t="str">
        <f>IF(X15&lt;$AF$1,"Bajo","Alto")</f>
        <v>Bajo</v>
      </c>
      <c r="AG15" t="str">
        <f>LEFT(AE15,1)</f>
        <v>C</v>
      </c>
      <c r="AH15" t="str">
        <f>K15</f>
        <v>M</v>
      </c>
      <c r="AI15" t="str">
        <f>LEFT(AF15,1)</f>
        <v>B</v>
      </c>
      <c r="AJ15" t="str">
        <f>LEFT(M15,1)</f>
        <v>M</v>
      </c>
      <c r="AK15" t="str">
        <f>_xlfn.CONCAT(AG15,AH15,AI15,AJ15)</f>
        <v>CMBM</v>
      </c>
    </row>
    <row r="16" spans="1:37" hidden="1" x14ac:dyDescent="0.2">
      <c r="A16" s="1">
        <v>524302</v>
      </c>
      <c r="B16" s="1" t="s">
        <v>4529</v>
      </c>
      <c r="C16" s="1" t="s">
        <v>685</v>
      </c>
      <c r="D16" s="1" t="s">
        <v>4612</v>
      </c>
      <c r="E16" s="1" t="s">
        <v>665</v>
      </c>
      <c r="F16" s="1" t="s">
        <v>37</v>
      </c>
      <c r="G16" s="1" t="s">
        <v>4613</v>
      </c>
      <c r="H16" s="1">
        <v>290</v>
      </c>
      <c r="I16" s="1" t="s">
        <v>87</v>
      </c>
      <c r="J16" s="1">
        <v>14</v>
      </c>
      <c r="K16" s="1" t="s">
        <v>35</v>
      </c>
      <c r="L16" s="1">
        <v>56</v>
      </c>
      <c r="M16" s="1" t="str">
        <f>IF(L16&lt;=45,"Joven","Mayor")</f>
        <v>Mayor</v>
      </c>
      <c r="N16" s="1">
        <v>63</v>
      </c>
      <c r="O16" s="1" t="s">
        <v>36</v>
      </c>
      <c r="P16" s="1">
        <v>0.78400000000000003</v>
      </c>
      <c r="Q16" s="1">
        <v>90.436000000000007</v>
      </c>
      <c r="R16" s="1">
        <v>4.7782555000000002</v>
      </c>
      <c r="S16" s="1">
        <v>4.3644853000000001</v>
      </c>
      <c r="T16" s="1">
        <v>-4.2492369999999999</v>
      </c>
      <c r="U16" s="1">
        <v>5.0460000000000003</v>
      </c>
      <c r="V16" s="1">
        <v>122</v>
      </c>
      <c r="W16" s="1">
        <v>173</v>
      </c>
      <c r="X16" s="1">
        <v>1.4180327868852458</v>
      </c>
      <c r="Y16" s="1">
        <v>122</v>
      </c>
      <c r="Z16" s="1">
        <v>173</v>
      </c>
      <c r="AA16" s="1">
        <v>1.4180327868852458</v>
      </c>
      <c r="AB16" s="1">
        <v>124.9248322098445</v>
      </c>
      <c r="AC16" s="1">
        <v>172.30216710948801</v>
      </c>
      <c r="AD16" s="1">
        <v>1.379246736309885</v>
      </c>
      <c r="AE16" t="s">
        <v>4816</v>
      </c>
      <c r="AF16" t="str">
        <f>IF(X16&lt;$AF$1,"Bajo","Alto")</f>
        <v>Bajo</v>
      </c>
      <c r="AG16" t="str">
        <f>LEFT(AE16,1)</f>
        <v>D</v>
      </c>
      <c r="AH16" t="str">
        <f>K16</f>
        <v>M</v>
      </c>
      <c r="AI16" t="str">
        <f>LEFT(AF16,1)</f>
        <v>B</v>
      </c>
      <c r="AJ16" t="str">
        <f>LEFT(M16,1)</f>
        <v>M</v>
      </c>
      <c r="AK16" t="str">
        <f>_xlfn.CONCAT(AG16,AH16,AI16,AJ16)</f>
        <v>DMBM</v>
      </c>
    </row>
    <row r="17" spans="1:37" hidden="1" x14ac:dyDescent="0.2">
      <c r="A17" s="1">
        <v>10128905</v>
      </c>
      <c r="B17" s="1" t="s">
        <v>29</v>
      </c>
      <c r="C17" s="1" t="s">
        <v>30</v>
      </c>
      <c r="D17" s="1" t="s">
        <v>579</v>
      </c>
      <c r="E17" s="1" t="s">
        <v>580</v>
      </c>
      <c r="F17" s="1" t="s">
        <v>40</v>
      </c>
      <c r="G17" s="1" t="s">
        <v>583</v>
      </c>
      <c r="H17" s="1">
        <v>844</v>
      </c>
      <c r="I17" s="1" t="s">
        <v>584</v>
      </c>
      <c r="J17" s="1">
        <v>2365</v>
      </c>
      <c r="K17" s="1" t="s">
        <v>49</v>
      </c>
      <c r="L17" s="1">
        <v>31</v>
      </c>
      <c r="M17" s="1" t="str">
        <f>IF(L17&lt;=45,"Joven","Mayor")</f>
        <v>Joven</v>
      </c>
      <c r="N17" s="1">
        <v>22</v>
      </c>
      <c r="O17" s="1" t="s">
        <v>36</v>
      </c>
      <c r="P17" s="1">
        <v>0.39300000000000002</v>
      </c>
      <c r="Q17" s="1">
        <v>87.766000000000005</v>
      </c>
      <c r="R17" s="1">
        <v>-6.7836284999999998</v>
      </c>
      <c r="S17" s="1">
        <v>4.4312899999999997</v>
      </c>
      <c r="T17" s="1">
        <v>-8.6853359999999995</v>
      </c>
      <c r="U17" s="1">
        <v>1.2589999999999999</v>
      </c>
      <c r="V17" s="1">
        <v>74</v>
      </c>
      <c r="W17" s="1">
        <v>179</v>
      </c>
      <c r="X17" s="1">
        <v>2.4189189189189189</v>
      </c>
      <c r="Y17" s="1">
        <v>96</v>
      </c>
      <c r="Z17" s="1">
        <v>179</v>
      </c>
      <c r="AA17" s="1">
        <v>1.8645833333333333</v>
      </c>
      <c r="AB17" s="1">
        <v>91.878969968222009</v>
      </c>
      <c r="AC17" s="1">
        <v>184.34671298834201</v>
      </c>
      <c r="AD17" s="1">
        <v>2.0064081372712561</v>
      </c>
      <c r="AE17" t="s">
        <v>4817</v>
      </c>
      <c r="AF17" t="str">
        <f>IF(X17&lt;$AF$1,"Bajo","Alto")</f>
        <v>Alto</v>
      </c>
      <c r="AG17" t="str">
        <f>LEFT(AE17,1)</f>
        <v>C</v>
      </c>
      <c r="AH17" t="str">
        <f>K17</f>
        <v>F</v>
      </c>
      <c r="AI17" t="str">
        <f>LEFT(AF17,1)</f>
        <v>A</v>
      </c>
      <c r="AJ17" t="str">
        <f>LEFT(M17,1)</f>
        <v>J</v>
      </c>
      <c r="AK17" t="str">
        <f>_xlfn.CONCAT(AG17,AH17,AI17,AJ17)</f>
        <v>CFAJ</v>
      </c>
    </row>
    <row r="18" spans="1:37" hidden="1" x14ac:dyDescent="0.2">
      <c r="A18" s="1">
        <v>1017604</v>
      </c>
      <c r="B18" s="1" t="s">
        <v>29</v>
      </c>
      <c r="C18" s="1" t="s">
        <v>30</v>
      </c>
      <c r="D18" s="1" t="s">
        <v>726</v>
      </c>
      <c r="E18" s="1" t="s">
        <v>727</v>
      </c>
      <c r="F18" s="1" t="s">
        <v>61</v>
      </c>
      <c r="G18" s="1" t="s">
        <v>729</v>
      </c>
      <c r="H18" s="1">
        <v>13</v>
      </c>
      <c r="I18" s="1" t="s">
        <v>91</v>
      </c>
      <c r="J18" s="1">
        <v>6</v>
      </c>
      <c r="K18" s="1" t="s">
        <v>49</v>
      </c>
      <c r="L18" s="1">
        <v>41</v>
      </c>
      <c r="M18" s="1" t="str">
        <f>IF(L18&lt;=45,"Joven","Mayor")</f>
        <v>Joven</v>
      </c>
      <c r="N18" s="1">
        <v>41</v>
      </c>
      <c r="O18" s="1" t="s">
        <v>50</v>
      </c>
      <c r="P18" s="1">
        <v>1.266</v>
      </c>
      <c r="Q18" s="1">
        <v>72.540000000000006</v>
      </c>
      <c r="R18" s="1">
        <v>-12.442648</v>
      </c>
      <c r="S18" s="1">
        <v>0.21223532000000001</v>
      </c>
      <c r="T18" s="1">
        <v>9.6040770000000002</v>
      </c>
      <c r="U18" s="1">
        <v>15.119</v>
      </c>
      <c r="V18" s="1">
        <v>90</v>
      </c>
      <c r="W18" s="1">
        <v>126</v>
      </c>
      <c r="X18" s="1">
        <v>1.4</v>
      </c>
      <c r="Y18" s="1">
        <v>101</v>
      </c>
      <c r="Z18" s="1">
        <v>126</v>
      </c>
      <c r="AA18" s="1">
        <v>1.2475247524752475</v>
      </c>
      <c r="AB18" s="1">
        <v>96.413164818623954</v>
      </c>
      <c r="AC18" s="1">
        <v>126.0692331183391</v>
      </c>
      <c r="AD18" s="1">
        <v>1.3075935569121213</v>
      </c>
      <c r="AE18" t="s">
        <v>4817</v>
      </c>
      <c r="AF18" t="str">
        <f>IF(X18&lt;$AF$1,"Bajo","Alto")</f>
        <v>Bajo</v>
      </c>
      <c r="AG18" t="str">
        <f>LEFT(AE18,1)</f>
        <v>C</v>
      </c>
      <c r="AH18" t="str">
        <f>K18</f>
        <v>F</v>
      </c>
      <c r="AI18" t="str">
        <f>LEFT(AF18,1)</f>
        <v>B</v>
      </c>
      <c r="AJ18" t="str">
        <f>LEFT(M18,1)</f>
        <v>J</v>
      </c>
      <c r="AK18" t="str">
        <f>_xlfn.CONCAT(AG18,AH18,AI18,AJ18)</f>
        <v>CFBJ</v>
      </c>
    </row>
    <row r="19" spans="1:37" hidden="1" x14ac:dyDescent="0.2">
      <c r="A19" s="1">
        <v>1287501</v>
      </c>
      <c r="B19" s="1" t="s">
        <v>1798</v>
      </c>
      <c r="C19" s="1" t="s">
        <v>54</v>
      </c>
      <c r="D19" s="1" t="s">
        <v>1939</v>
      </c>
      <c r="E19" s="1" t="s">
        <v>1940</v>
      </c>
      <c r="F19" s="1" t="s">
        <v>32</v>
      </c>
      <c r="G19" s="1" t="s">
        <v>1941</v>
      </c>
      <c r="H19" s="1">
        <v>956</v>
      </c>
      <c r="I19" s="1" t="s">
        <v>85</v>
      </c>
      <c r="J19" s="1">
        <v>12</v>
      </c>
      <c r="K19" s="1" t="s">
        <v>35</v>
      </c>
      <c r="L19" s="1">
        <v>43</v>
      </c>
      <c r="M19" s="1" t="str">
        <f>IF(L19&lt;=45,"Joven","Mayor")</f>
        <v>Joven</v>
      </c>
      <c r="N19" s="1">
        <v>26</v>
      </c>
      <c r="O19" s="1" t="s">
        <v>36</v>
      </c>
      <c r="P19" s="1">
        <v>0.36599999999999999</v>
      </c>
      <c r="Q19" s="1">
        <v>93.698999999999998</v>
      </c>
      <c r="R19" s="1">
        <v>-0.99443970000000004</v>
      </c>
      <c r="S19" s="1">
        <v>-4.0748905999999998</v>
      </c>
      <c r="T19" s="1">
        <v>-0.7501911</v>
      </c>
      <c r="U19" s="1">
        <v>10.382999999999999</v>
      </c>
      <c r="V19" s="1">
        <v>74</v>
      </c>
      <c r="W19" s="1">
        <v>160</v>
      </c>
      <c r="X19" s="1">
        <v>2.1621621621621623</v>
      </c>
      <c r="Y19" s="1">
        <v>78</v>
      </c>
      <c r="Z19" s="1">
        <v>160</v>
      </c>
      <c r="AA19" s="1">
        <v>2.0512820512820511</v>
      </c>
      <c r="AB19" s="1">
        <v>77.495782781841626</v>
      </c>
      <c r="AC19" s="1">
        <v>160.09102887054181</v>
      </c>
      <c r="AD19" s="1">
        <v>2.06580310726345</v>
      </c>
      <c r="AE19" t="s">
        <v>4815</v>
      </c>
      <c r="AF19" t="str">
        <f>IF(X19&lt;$AF$1,"Bajo","Alto")</f>
        <v>Alto</v>
      </c>
      <c r="AG19" t="str">
        <f>LEFT(AE19,1)</f>
        <v>I</v>
      </c>
      <c r="AH19" t="str">
        <f>K19</f>
        <v>M</v>
      </c>
      <c r="AI19" t="str">
        <f>LEFT(AF19,1)</f>
        <v>A</v>
      </c>
      <c r="AJ19" t="str">
        <f>LEFT(M19,1)</f>
        <v>J</v>
      </c>
      <c r="AK19" t="str">
        <f>_xlfn.CONCAT(AG19,AH19,AI19,AJ19)</f>
        <v>IMAJ</v>
      </c>
    </row>
    <row r="20" spans="1:37" hidden="1" x14ac:dyDescent="0.2">
      <c r="A20" s="1">
        <v>2912402</v>
      </c>
      <c r="B20" s="1" t="s">
        <v>3890</v>
      </c>
      <c r="C20" s="1" t="s">
        <v>1695</v>
      </c>
      <c r="D20" s="1" t="s">
        <v>3954</v>
      </c>
      <c r="E20" s="1" t="s">
        <v>145</v>
      </c>
      <c r="F20" s="1" t="s">
        <v>37</v>
      </c>
      <c r="G20" s="1" t="s">
        <v>3956</v>
      </c>
      <c r="H20" s="1">
        <v>224</v>
      </c>
      <c r="I20" s="1" t="s">
        <v>39</v>
      </c>
      <c r="J20" s="1">
        <v>11</v>
      </c>
      <c r="K20" s="1" t="s">
        <v>35</v>
      </c>
      <c r="L20" s="1">
        <v>48</v>
      </c>
      <c r="M20" s="1" t="str">
        <f>IF(L20&lt;=45,"Joven","Mayor")</f>
        <v>Mayor</v>
      </c>
      <c r="N20" s="1">
        <v>48</v>
      </c>
      <c r="O20" s="1" t="s">
        <v>36</v>
      </c>
      <c r="P20" s="1">
        <v>0.36</v>
      </c>
      <c r="Q20" s="1">
        <v>92.772000000000006</v>
      </c>
      <c r="R20" s="1">
        <v>2.5732987</v>
      </c>
      <c r="S20" s="1">
        <v>3.8173404</v>
      </c>
      <c r="T20" s="1">
        <v>3.1019154000000002</v>
      </c>
      <c r="U20" s="1">
        <v>21.541</v>
      </c>
      <c r="V20" s="1">
        <v>92</v>
      </c>
      <c r="W20" s="1">
        <v>135</v>
      </c>
      <c r="X20" s="1">
        <v>1.4673913043478262</v>
      </c>
      <c r="Y20" s="1">
        <v>97</v>
      </c>
      <c r="Z20" s="1">
        <v>135</v>
      </c>
      <c r="AA20" s="1">
        <v>1.3917525773195876</v>
      </c>
      <c r="AB20" s="1">
        <v>94.909842618833181</v>
      </c>
      <c r="AC20" s="1">
        <v>134.8563185521316</v>
      </c>
      <c r="AD20" s="1">
        <v>1.4208886542329144</v>
      </c>
      <c r="AE20" t="s">
        <v>4816</v>
      </c>
      <c r="AF20" t="str">
        <f>IF(X20&lt;$AF$1,"Bajo","Alto")</f>
        <v>Bajo</v>
      </c>
      <c r="AG20" t="str">
        <f>LEFT(AE20,1)</f>
        <v>D</v>
      </c>
      <c r="AH20" t="str">
        <f>K20</f>
        <v>M</v>
      </c>
      <c r="AI20" t="str">
        <f>LEFT(AF20,1)</f>
        <v>B</v>
      </c>
      <c r="AJ20" t="str">
        <f>LEFT(M20,1)</f>
        <v>M</v>
      </c>
      <c r="AK20" t="str">
        <f>_xlfn.CONCAT(AG20,AH20,AI20,AJ20)</f>
        <v>DMBM</v>
      </c>
    </row>
    <row r="21" spans="1:37" ht="15.75" hidden="1" customHeight="1" x14ac:dyDescent="0.2">
      <c r="A21" s="1">
        <v>1522301</v>
      </c>
      <c r="B21" s="1" t="s">
        <v>2077</v>
      </c>
      <c r="C21" s="1" t="s">
        <v>57</v>
      </c>
      <c r="D21" s="1" t="s">
        <v>2261</v>
      </c>
      <c r="E21" s="1" t="s">
        <v>423</v>
      </c>
      <c r="F21" s="1" t="s">
        <v>32</v>
      </c>
      <c r="G21" s="1" t="s">
        <v>2262</v>
      </c>
      <c r="H21" s="1">
        <v>93</v>
      </c>
      <c r="I21" s="1" t="s">
        <v>34</v>
      </c>
      <c r="J21" s="1">
        <v>10</v>
      </c>
      <c r="K21" s="1" t="s">
        <v>35</v>
      </c>
      <c r="L21" s="1">
        <v>63</v>
      </c>
      <c r="M21" s="1" t="str">
        <f>IF(L21&lt;=45,"Joven","Mayor")</f>
        <v>Mayor</v>
      </c>
      <c r="N21" s="1">
        <v>61</v>
      </c>
      <c r="O21" s="1" t="s">
        <v>36</v>
      </c>
      <c r="P21" s="1">
        <v>0.12</v>
      </c>
      <c r="Q21" s="1">
        <v>88.566000000000003</v>
      </c>
      <c r="R21" s="1">
        <v>-6.2810360000000003</v>
      </c>
      <c r="S21" s="1">
        <v>-4.6896990000000001</v>
      </c>
      <c r="T21" s="1">
        <v>-0.95231779999999999</v>
      </c>
      <c r="U21" s="1">
        <v>0.86099999999999999</v>
      </c>
      <c r="V21" s="1">
        <v>99</v>
      </c>
      <c r="W21" s="1">
        <v>150</v>
      </c>
      <c r="X21" s="1">
        <v>1.5151515151515151</v>
      </c>
      <c r="Y21" s="1">
        <v>99</v>
      </c>
      <c r="Z21" s="1">
        <v>150</v>
      </c>
      <c r="AA21" s="1">
        <v>1.5151515151515151</v>
      </c>
      <c r="AB21" s="1">
        <v>99.73423964155495</v>
      </c>
      <c r="AC21" s="1">
        <v>150.02914189920099</v>
      </c>
      <c r="AD21" s="1">
        <v>1.5042892234242324</v>
      </c>
      <c r="AE21" t="s">
        <v>4815</v>
      </c>
      <c r="AF21" t="str">
        <f>IF(X21&lt;$AF$1,"Bajo","Alto")</f>
        <v>Bajo</v>
      </c>
      <c r="AG21" t="str">
        <f>LEFT(AE21,1)</f>
        <v>I</v>
      </c>
      <c r="AH21" t="str">
        <f>K21</f>
        <v>M</v>
      </c>
      <c r="AI21" t="str">
        <f>LEFT(AF21,1)</f>
        <v>B</v>
      </c>
      <c r="AJ21" t="str">
        <f>LEFT(M21,1)</f>
        <v>M</v>
      </c>
      <c r="AK21" t="str">
        <f>_xlfn.CONCAT(AG21,AH21,AI21,AJ21)</f>
        <v>IMBM</v>
      </c>
    </row>
    <row r="22" spans="1:37" ht="15.75" hidden="1" customHeight="1" x14ac:dyDescent="0.2">
      <c r="A22" s="1">
        <v>10129501</v>
      </c>
      <c r="B22" s="1" t="s">
        <v>29</v>
      </c>
      <c r="C22" s="1" t="s">
        <v>30</v>
      </c>
      <c r="D22" s="1" t="s">
        <v>601</v>
      </c>
      <c r="E22" s="1" t="s">
        <v>602</v>
      </c>
      <c r="F22" s="1" t="s">
        <v>32</v>
      </c>
      <c r="G22" s="1" t="s">
        <v>603</v>
      </c>
      <c r="H22" s="1">
        <v>4949</v>
      </c>
      <c r="I22" s="1" t="s">
        <v>39</v>
      </c>
      <c r="J22" s="1">
        <v>11</v>
      </c>
      <c r="K22" s="1" t="s">
        <v>35</v>
      </c>
      <c r="L22" s="1">
        <v>56</v>
      </c>
      <c r="M22" s="1" t="str">
        <f>IF(L22&lt;=45,"Joven","Mayor")</f>
        <v>Mayor</v>
      </c>
      <c r="N22" s="1">
        <v>52</v>
      </c>
      <c r="O22" s="1" t="s">
        <v>36</v>
      </c>
      <c r="P22" s="1">
        <v>0.10199999999999999</v>
      </c>
      <c r="Q22" s="1">
        <v>72.960999999999999</v>
      </c>
      <c r="R22" s="1">
        <v>-11.756330500000001</v>
      </c>
      <c r="S22" s="1">
        <v>5.6425460000000003</v>
      </c>
      <c r="T22" s="1">
        <v>2.0449153999999998</v>
      </c>
      <c r="U22" s="1">
        <v>31.428000000000001</v>
      </c>
      <c r="V22" s="1">
        <v>81</v>
      </c>
      <c r="W22" s="1">
        <v>122</v>
      </c>
      <c r="X22" s="1">
        <v>1.5061728395061729</v>
      </c>
      <c r="Y22" s="1">
        <v>82</v>
      </c>
      <c r="Z22" s="1">
        <v>122</v>
      </c>
      <c r="AA22" s="1">
        <v>1.4878048780487805</v>
      </c>
      <c r="AB22" s="1">
        <v>82.125952768294383</v>
      </c>
      <c r="AC22" s="1">
        <v>121.9579886296428</v>
      </c>
      <c r="AD22" s="1">
        <v>1.4850115526054026</v>
      </c>
      <c r="AE22" t="s">
        <v>4816</v>
      </c>
      <c r="AF22" t="str">
        <f>IF(X22&lt;$AF$1,"Bajo","Alto")</f>
        <v>Bajo</v>
      </c>
      <c r="AG22" t="str">
        <f>LEFT(AE22,1)</f>
        <v>D</v>
      </c>
      <c r="AH22" t="str">
        <f>K22</f>
        <v>M</v>
      </c>
      <c r="AI22" t="str">
        <f>LEFT(AF22,1)</f>
        <v>B</v>
      </c>
      <c r="AJ22" t="str">
        <f>LEFT(M22,1)</f>
        <v>M</v>
      </c>
      <c r="AK22" t="str">
        <f>_xlfn.CONCAT(AG22,AH22,AI22,AJ22)</f>
        <v>DMBM</v>
      </c>
    </row>
    <row r="23" spans="1:37" ht="15.75" hidden="1" customHeight="1" x14ac:dyDescent="0.2">
      <c r="A23" s="1">
        <v>281003</v>
      </c>
      <c r="B23" s="1" t="s">
        <v>1775</v>
      </c>
      <c r="C23" s="1" t="s">
        <v>561</v>
      </c>
      <c r="D23" s="1" t="s">
        <v>1386</v>
      </c>
      <c r="E23" s="1" t="s">
        <v>75</v>
      </c>
      <c r="F23" s="1" t="s">
        <v>63</v>
      </c>
      <c r="G23" s="1" t="s">
        <v>3780</v>
      </c>
      <c r="H23" s="1">
        <v>95</v>
      </c>
      <c r="I23" s="1" t="s">
        <v>294</v>
      </c>
      <c r="J23" s="1">
        <v>16</v>
      </c>
      <c r="K23" s="1" t="s">
        <v>35</v>
      </c>
      <c r="L23" s="1">
        <v>51</v>
      </c>
      <c r="M23" s="1" t="str">
        <f>IF(L23&lt;=45,"Joven","Mayor")</f>
        <v>Mayor</v>
      </c>
      <c r="N23" s="1">
        <v>39</v>
      </c>
      <c r="O23" s="1" t="s">
        <v>36</v>
      </c>
      <c r="P23" s="1">
        <v>0.36699999999999999</v>
      </c>
      <c r="Q23" s="1">
        <v>84.070999999999998</v>
      </c>
      <c r="R23" s="1">
        <v>7.5789894999999996</v>
      </c>
      <c r="S23" s="1">
        <v>8.112349</v>
      </c>
      <c r="T23" s="1">
        <v>-0.70330197000000005</v>
      </c>
      <c r="U23" s="1">
        <v>8.23</v>
      </c>
      <c r="V23" s="1">
        <v>129</v>
      </c>
      <c r="W23" s="1">
        <v>184</v>
      </c>
      <c r="X23" s="1">
        <v>1.4263565891472869</v>
      </c>
      <c r="Y23" s="1">
        <v>133</v>
      </c>
      <c r="Z23" s="1">
        <v>184</v>
      </c>
      <c r="AA23" s="1">
        <v>1.3834586466165413</v>
      </c>
      <c r="AB23" s="1">
        <v>132.35169971120689</v>
      </c>
      <c r="AC23" s="1">
        <v>183.98613816333361</v>
      </c>
      <c r="AD23" s="1">
        <v>1.3901305277136125</v>
      </c>
      <c r="AE23" t="s">
        <v>4817</v>
      </c>
      <c r="AF23" t="str">
        <f>IF(X23&lt;$AF$1,"Bajo","Alto")</f>
        <v>Bajo</v>
      </c>
      <c r="AG23" t="str">
        <f>LEFT(AE23,1)</f>
        <v>C</v>
      </c>
      <c r="AH23" t="str">
        <f>K23</f>
        <v>M</v>
      </c>
      <c r="AI23" t="str">
        <f>LEFT(AF23,1)</f>
        <v>B</v>
      </c>
      <c r="AJ23" t="str">
        <f>LEFT(M23,1)</f>
        <v>M</v>
      </c>
      <c r="AK23" t="str">
        <f>_xlfn.CONCAT(AG23,AH23,AI23,AJ23)</f>
        <v>CMBM</v>
      </c>
    </row>
    <row r="24" spans="1:37" ht="15.75" hidden="1" customHeight="1" x14ac:dyDescent="0.2">
      <c r="A24" s="1">
        <v>155511</v>
      </c>
      <c r="B24" s="1" t="s">
        <v>2077</v>
      </c>
      <c r="C24" s="1" t="s">
        <v>57</v>
      </c>
      <c r="D24" s="1" t="s">
        <v>2476</v>
      </c>
      <c r="E24" s="1" t="s">
        <v>690</v>
      </c>
      <c r="F24" s="1" t="s">
        <v>51</v>
      </c>
      <c r="G24" s="1" t="s">
        <v>2482</v>
      </c>
      <c r="H24" s="1">
        <v>9616</v>
      </c>
      <c r="I24" s="1" t="s">
        <v>2483</v>
      </c>
      <c r="J24" s="1">
        <v>94</v>
      </c>
      <c r="K24" s="1" t="s">
        <v>35</v>
      </c>
      <c r="L24" s="1">
        <v>67</v>
      </c>
      <c r="M24" s="1" t="str">
        <f>IF(L24&lt;=45,"Joven","Mayor")</f>
        <v>Mayor</v>
      </c>
      <c r="N24" s="1">
        <v>64</v>
      </c>
      <c r="O24" s="1" t="s">
        <v>36</v>
      </c>
      <c r="P24" s="1">
        <v>0.26300000000000001</v>
      </c>
      <c r="Q24" s="1">
        <v>93.733000000000004</v>
      </c>
      <c r="R24" s="1">
        <v>0.50558510000000001</v>
      </c>
      <c r="S24" s="1">
        <v>5.0170608000000003</v>
      </c>
      <c r="T24" s="1">
        <v>-1.7989508000000001</v>
      </c>
      <c r="U24" s="1">
        <v>17.856999999999999</v>
      </c>
      <c r="V24" s="1">
        <v>113</v>
      </c>
      <c r="W24" s="1">
        <v>162</v>
      </c>
      <c r="X24" s="1">
        <v>1.4336283185840708</v>
      </c>
      <c r="Y24" s="1">
        <v>115</v>
      </c>
      <c r="Z24" s="1">
        <v>162</v>
      </c>
      <c r="AA24" s="1">
        <v>1.4086956521739131</v>
      </c>
      <c r="AB24" s="1">
        <v>114.2941819121843</v>
      </c>
      <c r="AC24" s="1">
        <v>161.88876347735689</v>
      </c>
      <c r="AD24" s="1">
        <v>1.4164217352878115</v>
      </c>
      <c r="AE24" t="s">
        <v>4817</v>
      </c>
      <c r="AF24" t="str">
        <f>IF(X24&lt;$AF$1,"Bajo","Alto")</f>
        <v>Bajo</v>
      </c>
      <c r="AG24" t="str">
        <f>LEFT(AE24,1)</f>
        <v>C</v>
      </c>
      <c r="AH24" t="str">
        <f>K24</f>
        <v>M</v>
      </c>
      <c r="AI24" t="str">
        <f>LEFT(AF24,1)</f>
        <v>B</v>
      </c>
      <c r="AJ24" t="str">
        <f>LEFT(M24,1)</f>
        <v>M</v>
      </c>
      <c r="AK24" t="str">
        <f>_xlfn.CONCAT(AG24,AH24,AI24,AJ24)</f>
        <v>CMBM</v>
      </c>
    </row>
    <row r="25" spans="1:37" ht="15.75" hidden="1" customHeight="1" x14ac:dyDescent="0.2">
      <c r="A25" s="1">
        <v>193402</v>
      </c>
      <c r="B25" s="1" t="s">
        <v>2656</v>
      </c>
      <c r="C25" s="1" t="s">
        <v>323</v>
      </c>
      <c r="D25" s="1" t="s">
        <v>2702</v>
      </c>
      <c r="E25" s="1" t="s">
        <v>634</v>
      </c>
      <c r="F25" s="1" t="s">
        <v>37</v>
      </c>
      <c r="G25" s="1" t="s">
        <v>2704</v>
      </c>
      <c r="H25" s="1">
        <v>275</v>
      </c>
      <c r="I25" s="1" t="s">
        <v>85</v>
      </c>
      <c r="J25" s="1">
        <v>12</v>
      </c>
      <c r="K25" s="1" t="s">
        <v>35</v>
      </c>
      <c r="L25" s="1">
        <v>56</v>
      </c>
      <c r="M25" s="1" t="str">
        <f>IF(L25&lt;=45,"Joven","Mayor")</f>
        <v>Mayor</v>
      </c>
      <c r="N25" s="1">
        <v>70</v>
      </c>
      <c r="O25" s="1" t="s">
        <v>36</v>
      </c>
      <c r="P25" s="1">
        <v>1.0109999999999999</v>
      </c>
      <c r="Q25" s="1">
        <v>90.424000000000007</v>
      </c>
      <c r="R25" s="1">
        <v>4.4733404999999999</v>
      </c>
      <c r="S25" s="1">
        <v>5.0930759999999999</v>
      </c>
      <c r="T25" s="1">
        <v>-3.3289604000000002</v>
      </c>
      <c r="U25" s="1">
        <v>2.1070000000000002</v>
      </c>
      <c r="V25" s="1">
        <v>89</v>
      </c>
      <c r="W25" s="1">
        <v>135</v>
      </c>
      <c r="X25" s="1">
        <v>1.5168539325842696</v>
      </c>
      <c r="Y25" s="1">
        <v>91</v>
      </c>
      <c r="Z25" s="1">
        <v>135</v>
      </c>
      <c r="AA25" s="1">
        <v>1.4835164835164836</v>
      </c>
      <c r="AB25" s="1">
        <v>91.462909395906308</v>
      </c>
      <c r="AC25" s="1">
        <v>135.12061188294771</v>
      </c>
      <c r="AD25" s="1">
        <v>1.4773268505822912</v>
      </c>
      <c r="AE25" t="s">
        <v>4815</v>
      </c>
      <c r="AF25" t="str">
        <f>IF(X25&lt;$AF$1,"Bajo","Alto")</f>
        <v>Bajo</v>
      </c>
      <c r="AG25" t="str">
        <f>LEFT(AE25,1)</f>
        <v>I</v>
      </c>
      <c r="AH25" t="str">
        <f>K25</f>
        <v>M</v>
      </c>
      <c r="AI25" t="str">
        <f>LEFT(AF25,1)</f>
        <v>B</v>
      </c>
      <c r="AJ25" t="str">
        <f>LEFT(M25,1)</f>
        <v>M</v>
      </c>
      <c r="AK25" t="str">
        <f>_xlfn.CONCAT(AG25,AH25,AI25,AJ25)</f>
        <v>IMBM</v>
      </c>
    </row>
    <row r="26" spans="1:37" ht="15.75" hidden="1" customHeight="1" x14ac:dyDescent="0.2">
      <c r="A26" s="1">
        <v>282002</v>
      </c>
      <c r="B26" s="1" t="s">
        <v>1775</v>
      </c>
      <c r="C26" s="1" t="s">
        <v>561</v>
      </c>
      <c r="D26" s="1" t="s">
        <v>3809</v>
      </c>
      <c r="E26" s="1" t="s">
        <v>1983</v>
      </c>
      <c r="F26" s="1" t="s">
        <v>37</v>
      </c>
      <c r="G26" s="1" t="s">
        <v>3811</v>
      </c>
      <c r="H26" s="1">
        <v>13</v>
      </c>
      <c r="I26" s="1" t="s">
        <v>34</v>
      </c>
      <c r="J26" s="1">
        <v>10</v>
      </c>
      <c r="K26" s="1" t="s">
        <v>35</v>
      </c>
      <c r="L26" s="1">
        <v>63</v>
      </c>
      <c r="M26" s="1" t="str">
        <f>IF(L26&lt;=45,"Joven","Mayor")</f>
        <v>Mayor</v>
      </c>
      <c r="N26" s="1">
        <v>71</v>
      </c>
      <c r="O26" s="1" t="s">
        <v>36</v>
      </c>
      <c r="P26" s="1">
        <v>0.71699999999999997</v>
      </c>
      <c r="Q26" s="1">
        <v>94.819000000000003</v>
      </c>
      <c r="R26" s="1">
        <v>8.5213440000000001E-2</v>
      </c>
      <c r="S26" s="1">
        <v>1.1372265E-3</v>
      </c>
      <c r="T26" s="1">
        <v>-0.20312511999999999</v>
      </c>
      <c r="U26" s="1">
        <v>8.3529999999999998</v>
      </c>
      <c r="V26" s="1">
        <v>92</v>
      </c>
      <c r="W26" s="1">
        <v>141</v>
      </c>
      <c r="X26" s="1">
        <v>1.5326086956521738</v>
      </c>
      <c r="Y26" s="1">
        <v>93</v>
      </c>
      <c r="Z26" s="1">
        <v>141</v>
      </c>
      <c r="AA26" s="1">
        <v>1.5161290322580645</v>
      </c>
      <c r="AB26" s="1">
        <v>93.134132966332572</v>
      </c>
      <c r="AC26" s="1">
        <v>140.98847834049141</v>
      </c>
      <c r="AD26" s="1">
        <v>1.5138217735001398</v>
      </c>
      <c r="AE26" t="s">
        <v>4815</v>
      </c>
      <c r="AF26" t="str">
        <f>IF(X26&lt;$AF$1,"Bajo","Alto")</f>
        <v>Bajo</v>
      </c>
      <c r="AG26" t="str">
        <f>LEFT(AE26,1)</f>
        <v>I</v>
      </c>
      <c r="AH26" t="str">
        <f>K26</f>
        <v>M</v>
      </c>
      <c r="AI26" t="str">
        <f>LEFT(AF26,1)</f>
        <v>B</v>
      </c>
      <c r="AJ26" t="str">
        <f>LEFT(M26,1)</f>
        <v>M</v>
      </c>
      <c r="AK26" t="str">
        <f>_xlfn.CONCAT(AG26,AH26,AI26,AJ26)</f>
        <v>IMBM</v>
      </c>
    </row>
    <row r="27" spans="1:37" ht="15.75" hidden="1" customHeight="1" x14ac:dyDescent="0.2">
      <c r="A27" s="1">
        <v>1051301</v>
      </c>
      <c r="B27" s="1" t="s">
        <v>694</v>
      </c>
      <c r="C27" s="1" t="s">
        <v>879</v>
      </c>
      <c r="D27" s="1" t="s">
        <v>935</v>
      </c>
      <c r="E27" s="1" t="s">
        <v>163</v>
      </c>
      <c r="F27" s="1" t="s">
        <v>32</v>
      </c>
      <c r="G27" s="1" t="s">
        <v>936</v>
      </c>
      <c r="H27" s="1">
        <v>102</v>
      </c>
      <c r="I27" s="1" t="s">
        <v>100</v>
      </c>
      <c r="J27" s="1">
        <v>1</v>
      </c>
      <c r="K27" s="1" t="s">
        <v>35</v>
      </c>
      <c r="L27" s="1">
        <v>41</v>
      </c>
      <c r="M27" s="1" t="str">
        <f>IF(L27&lt;=45,"Joven","Mayor")</f>
        <v>Joven</v>
      </c>
      <c r="N27" s="1">
        <v>46</v>
      </c>
      <c r="O27" s="1" t="s">
        <v>36</v>
      </c>
      <c r="P27" s="1">
        <v>0.21099999999999999</v>
      </c>
      <c r="Q27" s="1">
        <v>49.460999999999999</v>
      </c>
      <c r="R27" s="1">
        <v>15.12351</v>
      </c>
      <c r="S27" s="1">
        <v>-9.1405060000000002</v>
      </c>
      <c r="T27" s="1">
        <v>-12.636647</v>
      </c>
      <c r="U27" s="1">
        <v>2.8940000000000001</v>
      </c>
      <c r="V27" s="1">
        <v>99</v>
      </c>
      <c r="W27" s="1">
        <v>219</v>
      </c>
      <c r="X27" s="1">
        <v>2.2121212121212119</v>
      </c>
      <c r="Y27" s="1">
        <v>125</v>
      </c>
      <c r="Z27" s="1">
        <v>219</v>
      </c>
      <c r="AA27" s="1">
        <v>1.752</v>
      </c>
      <c r="AB27" s="1">
        <v>113.0026658940892</v>
      </c>
      <c r="AC27" s="1">
        <v>220.25819289433181</v>
      </c>
      <c r="AD27" s="1">
        <v>1.9491415636226401</v>
      </c>
      <c r="AE27" t="s">
        <v>4817</v>
      </c>
      <c r="AF27" t="str">
        <f>IF(X27&lt;$AF$1,"Bajo","Alto")</f>
        <v>Alto</v>
      </c>
      <c r="AG27" t="str">
        <f>LEFT(AE27,1)</f>
        <v>C</v>
      </c>
      <c r="AH27" t="str">
        <f>K27</f>
        <v>M</v>
      </c>
      <c r="AI27" t="str">
        <f>LEFT(AF27,1)</f>
        <v>A</v>
      </c>
      <c r="AJ27" t="str">
        <f>LEFT(M27,1)</f>
        <v>J</v>
      </c>
      <c r="AK27" t="str">
        <f>_xlfn.CONCAT(AG27,AH27,AI27,AJ27)</f>
        <v>CMAJ</v>
      </c>
    </row>
    <row r="28" spans="1:37" ht="15.75" hidden="1" customHeight="1" x14ac:dyDescent="0.2">
      <c r="A28" s="1">
        <v>1013702</v>
      </c>
      <c r="B28" s="1" t="s">
        <v>29</v>
      </c>
      <c r="C28" s="1" t="s">
        <v>30</v>
      </c>
      <c r="D28" s="1" t="s">
        <v>646</v>
      </c>
      <c r="E28" s="1" t="s">
        <v>647</v>
      </c>
      <c r="F28" s="1" t="s">
        <v>37</v>
      </c>
      <c r="G28" s="1" t="s">
        <v>649</v>
      </c>
      <c r="H28" s="1">
        <v>7259</v>
      </c>
      <c r="I28" s="1" t="s">
        <v>650</v>
      </c>
      <c r="J28" s="1">
        <v>2673</v>
      </c>
      <c r="K28" s="1" t="s">
        <v>35</v>
      </c>
      <c r="L28" s="1">
        <v>50</v>
      </c>
      <c r="M28" s="1" t="str">
        <f>IF(L28&lt;=45,"Joven","Mayor")</f>
        <v>Mayor</v>
      </c>
      <c r="N28" s="1">
        <v>44</v>
      </c>
      <c r="O28" s="1" t="s">
        <v>36</v>
      </c>
      <c r="P28" s="1">
        <v>0.34499999999999997</v>
      </c>
      <c r="Q28" s="1">
        <v>80.182000000000002</v>
      </c>
      <c r="R28" s="1">
        <v>9.9456019999999992</v>
      </c>
      <c r="S28" s="1">
        <v>-4.8538030000000001</v>
      </c>
      <c r="T28" s="1">
        <v>-11.946956</v>
      </c>
      <c r="U28" s="1">
        <v>3.5369999999999999</v>
      </c>
      <c r="V28" s="1">
        <v>97</v>
      </c>
      <c r="W28" s="1">
        <v>217</v>
      </c>
      <c r="X28" s="1">
        <v>2.2371134020618557</v>
      </c>
      <c r="Y28" s="1">
        <v>119</v>
      </c>
      <c r="Z28" s="1">
        <v>217</v>
      </c>
      <c r="AA28" s="1">
        <v>1.8235294117647058</v>
      </c>
      <c r="AB28" s="1">
        <v>109.38937027902671</v>
      </c>
      <c r="AC28" s="1">
        <v>219.54491862437129</v>
      </c>
      <c r="AD28" s="1">
        <v>2.0070041363650191</v>
      </c>
      <c r="AE28" t="s">
        <v>4817</v>
      </c>
      <c r="AF28" t="str">
        <f>IF(X28&lt;$AF$1,"Bajo","Alto")</f>
        <v>Alto</v>
      </c>
      <c r="AG28" t="str">
        <f>LEFT(AE28,1)</f>
        <v>C</v>
      </c>
      <c r="AH28" t="str">
        <f>K28</f>
        <v>M</v>
      </c>
      <c r="AI28" t="str">
        <f>LEFT(AF28,1)</f>
        <v>A</v>
      </c>
      <c r="AJ28" t="str">
        <f>LEFT(M28,1)</f>
        <v>M</v>
      </c>
      <c r="AK28" t="str">
        <f>_xlfn.CONCAT(AG28,AH28,AI28,AJ28)</f>
        <v>CMAM</v>
      </c>
    </row>
    <row r="29" spans="1:37" ht="15.75" hidden="1" customHeight="1" x14ac:dyDescent="0.2">
      <c r="A29" s="1">
        <v>1098201</v>
      </c>
      <c r="B29" s="1" t="s">
        <v>719</v>
      </c>
      <c r="C29" s="1" t="s">
        <v>98</v>
      </c>
      <c r="D29" s="1" t="s">
        <v>1639</v>
      </c>
      <c r="E29" s="1" t="s">
        <v>752</v>
      </c>
      <c r="F29" s="1" t="s">
        <v>32</v>
      </c>
      <c r="G29" s="1" t="s">
        <v>1640</v>
      </c>
      <c r="H29" s="1">
        <v>2308</v>
      </c>
      <c r="I29" s="1" t="s">
        <v>100</v>
      </c>
      <c r="J29" s="1">
        <v>1</v>
      </c>
      <c r="K29" s="1" t="s">
        <v>35</v>
      </c>
      <c r="L29" s="1">
        <v>47</v>
      </c>
      <c r="M29" s="1" t="str">
        <f>IF(L29&lt;=45,"Joven","Mayor")</f>
        <v>Mayor</v>
      </c>
      <c r="N29" s="1">
        <v>41</v>
      </c>
      <c r="O29" s="1" t="s">
        <v>36</v>
      </c>
      <c r="P29" s="1">
        <v>1.022</v>
      </c>
      <c r="Q29" s="1">
        <v>93.597999999999999</v>
      </c>
      <c r="R29" s="1">
        <v>1.8999699000000001</v>
      </c>
      <c r="S29" s="1">
        <v>-1.4463915000000001</v>
      </c>
      <c r="T29" s="1">
        <v>8.4113819999999997</v>
      </c>
      <c r="U29" s="1">
        <v>57.832000000000001</v>
      </c>
      <c r="V29" s="1">
        <v>68</v>
      </c>
      <c r="W29" s="1">
        <v>152</v>
      </c>
      <c r="X29" s="1">
        <v>2.2352941176470589</v>
      </c>
      <c r="Y29" s="1">
        <v>83</v>
      </c>
      <c r="Z29" s="1">
        <v>152</v>
      </c>
      <c r="AA29" s="1">
        <v>1.8313253012048192</v>
      </c>
      <c r="AB29" s="1">
        <v>78.157645570088334</v>
      </c>
      <c r="AC29" s="1">
        <v>153.87568977180041</v>
      </c>
      <c r="AD29" s="1">
        <v>1.968786145608896</v>
      </c>
      <c r="AE29" t="s">
        <v>4817</v>
      </c>
      <c r="AF29" t="str">
        <f>IF(X29&lt;$AF$1,"Bajo","Alto")</f>
        <v>Alto</v>
      </c>
      <c r="AG29" t="str">
        <f>LEFT(AE29,1)</f>
        <v>C</v>
      </c>
      <c r="AH29" t="str">
        <f>K29</f>
        <v>M</v>
      </c>
      <c r="AI29" t="str">
        <f>LEFT(AF29,1)</f>
        <v>A</v>
      </c>
      <c r="AJ29" t="str">
        <f>LEFT(M29,1)</f>
        <v>M</v>
      </c>
      <c r="AK29" t="str">
        <f>_xlfn.CONCAT(AG29,AH29,AI29,AJ29)</f>
        <v>CMAM</v>
      </c>
    </row>
    <row r="30" spans="1:37" ht="15.75" hidden="1" customHeight="1" x14ac:dyDescent="0.2">
      <c r="A30" s="1">
        <v>1230008</v>
      </c>
      <c r="B30" s="1" t="s">
        <v>1798</v>
      </c>
      <c r="C30" s="1" t="s">
        <v>54</v>
      </c>
      <c r="D30" s="1" t="s">
        <v>1827</v>
      </c>
      <c r="E30" s="1" t="s">
        <v>613</v>
      </c>
      <c r="F30" s="1" t="s">
        <v>46</v>
      </c>
      <c r="G30" s="1" t="s">
        <v>1831</v>
      </c>
      <c r="H30" s="1">
        <v>4444</v>
      </c>
      <c r="I30" s="1" t="s">
        <v>134</v>
      </c>
      <c r="J30" s="1">
        <v>8</v>
      </c>
      <c r="K30" s="1" t="s">
        <v>49</v>
      </c>
      <c r="L30" s="1">
        <v>48</v>
      </c>
      <c r="M30" s="1" t="str">
        <f>IF(L30&lt;=45,"Joven","Mayor")</f>
        <v>Mayor</v>
      </c>
      <c r="N30" s="1">
        <v>53</v>
      </c>
      <c r="O30" s="1" t="s">
        <v>50</v>
      </c>
      <c r="P30" s="1">
        <v>0.22700000000000001</v>
      </c>
      <c r="Q30" s="1">
        <v>0.66300000000000003</v>
      </c>
      <c r="R30" s="1">
        <v>25.748197999999999</v>
      </c>
      <c r="S30" s="1">
        <v>-14.193075</v>
      </c>
      <c r="T30" s="1">
        <v>-19.612932000000001</v>
      </c>
      <c r="U30" s="1">
        <v>29.324000000000002</v>
      </c>
      <c r="V30" s="1">
        <v>46</v>
      </c>
      <c r="W30" s="1">
        <v>105</v>
      </c>
      <c r="X30" s="1">
        <v>2.2826086956521738</v>
      </c>
      <c r="Y30" s="1">
        <v>63</v>
      </c>
      <c r="Z30" s="1">
        <v>105</v>
      </c>
      <c r="AA30" s="1">
        <v>1.6666666666666667</v>
      </c>
      <c r="AB30" s="1">
        <v>56.323870365309631</v>
      </c>
      <c r="AC30" s="1">
        <v>109.984998357284</v>
      </c>
      <c r="AD30" s="1">
        <v>1.9527244424776733</v>
      </c>
      <c r="AE30" t="s">
        <v>4817</v>
      </c>
      <c r="AF30" t="str">
        <f>IF(X30&lt;$AF$1,"Bajo","Alto")</f>
        <v>Alto</v>
      </c>
      <c r="AG30" t="str">
        <f>LEFT(AE30,1)</f>
        <v>C</v>
      </c>
      <c r="AH30" t="str">
        <f>K30</f>
        <v>F</v>
      </c>
      <c r="AI30" t="str">
        <f>LEFT(AF30,1)</f>
        <v>A</v>
      </c>
      <c r="AJ30" t="str">
        <f>LEFT(M30,1)</f>
        <v>M</v>
      </c>
      <c r="AK30" t="str">
        <f>_xlfn.CONCAT(AG30,AH30,AI30,AJ30)</f>
        <v>CFAM</v>
      </c>
    </row>
    <row r="31" spans="1:37" ht="15.75" hidden="1" customHeight="1" x14ac:dyDescent="0.2">
      <c r="A31" s="1">
        <v>259403</v>
      </c>
      <c r="B31" s="1" t="s">
        <v>3169</v>
      </c>
      <c r="C31" s="1" t="s">
        <v>821</v>
      </c>
      <c r="D31" s="1" t="s">
        <v>549</v>
      </c>
      <c r="E31" s="1" t="s">
        <v>775</v>
      </c>
      <c r="F31" s="1" t="s">
        <v>63</v>
      </c>
      <c r="G31" s="1" t="s">
        <v>3354</v>
      </c>
      <c r="H31" s="1">
        <v>2750</v>
      </c>
      <c r="I31" s="1" t="s">
        <v>3355</v>
      </c>
      <c r="J31" s="1">
        <v>3187</v>
      </c>
      <c r="K31" s="1" t="s">
        <v>35</v>
      </c>
      <c r="L31" s="1">
        <v>32</v>
      </c>
      <c r="M31" s="1" t="str">
        <f>IF(L31&lt;=45,"Joven","Mayor")</f>
        <v>Joven</v>
      </c>
      <c r="N31" s="1">
        <v>40</v>
      </c>
      <c r="O31" s="1" t="s">
        <v>36</v>
      </c>
      <c r="P31" s="1">
        <v>0.34</v>
      </c>
      <c r="Q31" s="1">
        <v>53.743000000000002</v>
      </c>
      <c r="R31" s="1">
        <v>14.984475</v>
      </c>
      <c r="S31" s="1">
        <v>-6.2512259999999999</v>
      </c>
      <c r="T31" s="1">
        <v>-12.265838</v>
      </c>
      <c r="U31" s="1">
        <v>13.416</v>
      </c>
      <c r="V31" s="1">
        <v>83</v>
      </c>
      <c r="W31" s="1">
        <v>181</v>
      </c>
      <c r="X31" s="1">
        <v>2.1807228915662651</v>
      </c>
      <c r="Y31" s="1">
        <v>100</v>
      </c>
      <c r="Z31" s="1">
        <v>181</v>
      </c>
      <c r="AA31" s="1">
        <v>1.81</v>
      </c>
      <c r="AB31" s="1">
        <v>93.427282815584022</v>
      </c>
      <c r="AC31" s="1">
        <v>181.32961133643039</v>
      </c>
      <c r="AD31" s="1">
        <v>1.9408635879345506</v>
      </c>
      <c r="AE31" t="s">
        <v>4817</v>
      </c>
      <c r="AF31" t="str">
        <f>IF(X31&lt;$AF$1,"Bajo","Alto")</f>
        <v>Alto</v>
      </c>
      <c r="AG31" t="str">
        <f>LEFT(AE31,1)</f>
        <v>C</v>
      </c>
      <c r="AH31" t="str">
        <f>K31</f>
        <v>M</v>
      </c>
      <c r="AI31" t="str">
        <f>LEFT(AF31,1)</f>
        <v>A</v>
      </c>
      <c r="AJ31" t="str">
        <f>LEFT(M31,1)</f>
        <v>J</v>
      </c>
      <c r="AK31" t="str">
        <f>_xlfn.CONCAT(AG31,AH31,AI31,AJ31)</f>
        <v>CMAJ</v>
      </c>
    </row>
    <row r="32" spans="1:37" ht="15.75" hidden="1" customHeight="1" x14ac:dyDescent="0.2">
      <c r="A32" s="1">
        <v>159402</v>
      </c>
      <c r="B32" s="1" t="s">
        <v>2077</v>
      </c>
      <c r="C32" s="1" t="s">
        <v>57</v>
      </c>
      <c r="D32" s="1" t="s">
        <v>2539</v>
      </c>
      <c r="E32" s="1" t="s">
        <v>775</v>
      </c>
      <c r="F32" s="1" t="s">
        <v>37</v>
      </c>
      <c r="G32" s="1" t="s">
        <v>2540</v>
      </c>
      <c r="H32" s="1">
        <v>1604</v>
      </c>
      <c r="I32" s="1" t="s">
        <v>87</v>
      </c>
      <c r="J32" s="1">
        <v>14</v>
      </c>
      <c r="K32" s="1" t="s">
        <v>35</v>
      </c>
      <c r="L32" s="1">
        <v>34</v>
      </c>
      <c r="M32" s="1" t="str">
        <f>IF(L32&lt;=45,"Joven","Mayor")</f>
        <v>Joven</v>
      </c>
      <c r="N32" s="1">
        <v>47</v>
      </c>
      <c r="O32" s="1" t="s">
        <v>36</v>
      </c>
      <c r="P32" s="1">
        <v>0.18</v>
      </c>
      <c r="Q32" s="1">
        <v>76.417000000000002</v>
      </c>
      <c r="R32" s="1">
        <v>10.197564</v>
      </c>
      <c r="S32" s="1">
        <v>8.5145289999999996</v>
      </c>
      <c r="T32" s="1">
        <v>-10.207967999999999</v>
      </c>
      <c r="U32" s="1">
        <v>59.642000000000003</v>
      </c>
      <c r="V32" s="1">
        <v>108</v>
      </c>
      <c r="W32" s="1">
        <v>229</v>
      </c>
      <c r="X32" s="1">
        <v>2.1203703703703702</v>
      </c>
      <c r="Y32" s="1">
        <v>120</v>
      </c>
      <c r="Z32" s="1">
        <v>229</v>
      </c>
      <c r="AA32" s="1">
        <v>1.9083333333333334</v>
      </c>
      <c r="AB32" s="1">
        <v>117.4554262785819</v>
      </c>
      <c r="AC32" s="1">
        <v>229.2740278986216</v>
      </c>
      <c r="AD32" s="1">
        <v>1.9520088186886086</v>
      </c>
      <c r="AE32" t="s">
        <v>4816</v>
      </c>
      <c r="AF32" t="str">
        <f>IF(X32&lt;$AF$1,"Bajo","Alto")</f>
        <v>Alto</v>
      </c>
      <c r="AG32" t="str">
        <f>LEFT(AE32,1)</f>
        <v>D</v>
      </c>
      <c r="AH32" t="str">
        <f>K32</f>
        <v>M</v>
      </c>
      <c r="AI32" t="str">
        <f>LEFT(AF32,1)</f>
        <v>A</v>
      </c>
      <c r="AJ32" t="str">
        <f>LEFT(M32,1)</f>
        <v>J</v>
      </c>
      <c r="AK32" t="str">
        <f>_xlfn.CONCAT(AG32,AH32,AI32,AJ32)</f>
        <v>DMAJ</v>
      </c>
    </row>
    <row r="33" spans="1:37" ht="15.75" hidden="1" customHeight="1" x14ac:dyDescent="0.2">
      <c r="A33" s="1">
        <v>1034609</v>
      </c>
      <c r="B33" s="1" t="s">
        <v>783</v>
      </c>
      <c r="C33" s="1" t="s">
        <v>81</v>
      </c>
      <c r="D33" s="1" t="s">
        <v>403</v>
      </c>
      <c r="E33" s="1" t="s">
        <v>669</v>
      </c>
      <c r="F33" s="1" t="s">
        <v>189</v>
      </c>
      <c r="G33" s="1" t="s">
        <v>852</v>
      </c>
      <c r="H33" s="1">
        <v>152</v>
      </c>
      <c r="I33" s="1" t="s">
        <v>48</v>
      </c>
      <c r="J33" s="1">
        <v>4</v>
      </c>
      <c r="K33" s="1" t="s">
        <v>35</v>
      </c>
      <c r="L33" s="1">
        <v>46</v>
      </c>
      <c r="M33" s="1" t="str">
        <f>IF(L33&lt;=45,"Joven","Mayor")</f>
        <v>Mayor</v>
      </c>
      <c r="N33" s="1">
        <v>53</v>
      </c>
      <c r="O33" s="1" t="s">
        <v>36</v>
      </c>
      <c r="P33" s="1">
        <v>0.55500000000000005</v>
      </c>
      <c r="Q33" s="1">
        <v>65.313000000000002</v>
      </c>
      <c r="R33" s="1">
        <v>11.560511999999999</v>
      </c>
      <c r="S33" s="1">
        <v>12.312284</v>
      </c>
      <c r="T33" s="1">
        <v>-7.6500700000000004</v>
      </c>
      <c r="U33" s="1">
        <v>19.442</v>
      </c>
      <c r="V33" s="1">
        <v>67</v>
      </c>
      <c r="W33" s="1">
        <v>145</v>
      </c>
      <c r="X33" s="1">
        <v>2.1641791044776117</v>
      </c>
      <c r="Y33" s="1">
        <v>75</v>
      </c>
      <c r="Z33" s="1">
        <v>145</v>
      </c>
      <c r="AA33" s="1">
        <v>1.9333333333333333</v>
      </c>
      <c r="AB33" s="1">
        <v>71.595451602643834</v>
      </c>
      <c r="AC33" s="1">
        <v>145.17378782860709</v>
      </c>
      <c r="AD33" s="1">
        <v>2.0276956786909381</v>
      </c>
      <c r="AE33" t="s">
        <v>4817</v>
      </c>
      <c r="AF33" t="str">
        <f>IF(X33&lt;$AF$1,"Bajo","Alto")</f>
        <v>Alto</v>
      </c>
      <c r="AG33" t="str">
        <f>LEFT(AE33,1)</f>
        <v>C</v>
      </c>
      <c r="AH33" t="str">
        <f>K33</f>
        <v>M</v>
      </c>
      <c r="AI33" t="str">
        <f>LEFT(AF33,1)</f>
        <v>A</v>
      </c>
      <c r="AJ33" t="str">
        <f>LEFT(M33,1)</f>
        <v>M</v>
      </c>
      <c r="AK33" t="str">
        <f>_xlfn.CONCAT(AG33,AH33,AI33,AJ33)</f>
        <v>CMAM</v>
      </c>
    </row>
    <row r="34" spans="1:37" ht="15.75" hidden="1" customHeight="1" x14ac:dyDescent="0.2">
      <c r="A34" s="1">
        <v>238001</v>
      </c>
      <c r="B34" s="1" t="s">
        <v>319</v>
      </c>
      <c r="C34" s="1" t="s">
        <v>1989</v>
      </c>
      <c r="D34" s="1" t="s">
        <v>3086</v>
      </c>
      <c r="E34" s="1" t="s">
        <v>744</v>
      </c>
      <c r="F34" s="1" t="s">
        <v>32</v>
      </c>
      <c r="G34" s="1" t="s">
        <v>3087</v>
      </c>
      <c r="H34" s="1">
        <v>2759</v>
      </c>
      <c r="I34" s="1" t="s">
        <v>100</v>
      </c>
      <c r="J34" s="1">
        <v>1</v>
      </c>
      <c r="K34" s="1" t="s">
        <v>35</v>
      </c>
      <c r="L34" s="1">
        <v>56</v>
      </c>
      <c r="M34" s="1" t="str">
        <f>IF(L34&lt;=45,"Joven","Mayor")</f>
        <v>Mayor</v>
      </c>
      <c r="N34" s="1">
        <v>66</v>
      </c>
      <c r="O34" s="1" t="s">
        <v>36</v>
      </c>
      <c r="P34" s="1">
        <v>0.34499999999999997</v>
      </c>
      <c r="Q34" s="1">
        <v>93.266999999999996</v>
      </c>
      <c r="R34" s="1">
        <v>1.2158154000000001</v>
      </c>
      <c r="S34" s="1">
        <v>5.2118998000000003</v>
      </c>
      <c r="T34" s="1">
        <v>0.5010966</v>
      </c>
      <c r="U34" s="1">
        <v>6.367</v>
      </c>
      <c r="V34" s="1">
        <v>109</v>
      </c>
      <c r="W34" s="1">
        <v>157</v>
      </c>
      <c r="X34" s="1">
        <v>1.4403669724770642</v>
      </c>
      <c r="Y34" s="1">
        <v>111</v>
      </c>
      <c r="Z34" s="1">
        <v>157</v>
      </c>
      <c r="AA34" s="1">
        <v>1.4144144144144144</v>
      </c>
      <c r="AB34" s="1">
        <v>110.65467361272179</v>
      </c>
      <c r="AC34" s="1">
        <v>157.02023269238731</v>
      </c>
      <c r="AD34" s="1">
        <v>1.4190113039593741</v>
      </c>
      <c r="AE34" t="s">
        <v>4817</v>
      </c>
      <c r="AF34" t="str">
        <f>IF(X34&lt;$AF$1,"Bajo","Alto")</f>
        <v>Bajo</v>
      </c>
      <c r="AG34" t="str">
        <f>LEFT(AE34,1)</f>
        <v>C</v>
      </c>
      <c r="AH34" t="str">
        <f>K34</f>
        <v>M</v>
      </c>
      <c r="AI34" t="str">
        <f>LEFT(AF34,1)</f>
        <v>B</v>
      </c>
      <c r="AJ34" t="str">
        <f>LEFT(M34,1)</f>
        <v>M</v>
      </c>
      <c r="AK34" t="str">
        <f>_xlfn.CONCAT(AG34,AH34,AI34,AJ34)</f>
        <v>CMBM</v>
      </c>
    </row>
    <row r="35" spans="1:37" ht="15.75" hidden="1" customHeight="1" x14ac:dyDescent="0.2">
      <c r="A35" s="1">
        <v>297601</v>
      </c>
      <c r="B35" s="1" t="s">
        <v>3890</v>
      </c>
      <c r="C35" s="1" t="s">
        <v>1695</v>
      </c>
      <c r="D35" s="1" t="s">
        <v>4064</v>
      </c>
      <c r="E35" s="1" t="s">
        <v>727</v>
      </c>
      <c r="F35" s="1" t="s">
        <v>32</v>
      </c>
      <c r="G35" s="1" t="s">
        <v>4065</v>
      </c>
      <c r="H35" s="1">
        <v>550</v>
      </c>
      <c r="I35" s="1" t="s">
        <v>100</v>
      </c>
      <c r="J35" s="1">
        <v>1</v>
      </c>
      <c r="K35" s="1" t="s">
        <v>35</v>
      </c>
      <c r="L35" s="1">
        <v>42</v>
      </c>
      <c r="M35" s="1" t="str">
        <f>IF(L35&lt;=45,"Joven","Mayor")</f>
        <v>Joven</v>
      </c>
      <c r="N35" s="1">
        <v>49</v>
      </c>
      <c r="O35" s="1" t="s">
        <v>36</v>
      </c>
      <c r="P35" s="1">
        <v>0.38700000000000001</v>
      </c>
      <c r="Q35" s="1">
        <v>87.977999999999994</v>
      </c>
      <c r="R35" s="1">
        <v>6.126684</v>
      </c>
      <c r="S35" s="1">
        <v>6.1912159999999998</v>
      </c>
      <c r="T35" s="1">
        <v>-3.2637303000000002</v>
      </c>
      <c r="U35" s="1">
        <v>6.1980000000000004</v>
      </c>
      <c r="V35" s="1">
        <v>102</v>
      </c>
      <c r="W35" s="1">
        <v>146</v>
      </c>
      <c r="X35" s="1">
        <v>1.4313725490196079</v>
      </c>
      <c r="Y35" s="1">
        <v>108</v>
      </c>
      <c r="Z35" s="1">
        <v>146</v>
      </c>
      <c r="AA35" s="1">
        <v>1.3518518518518519</v>
      </c>
      <c r="AB35" s="1">
        <v>105.6044805189556</v>
      </c>
      <c r="AC35" s="1">
        <v>146.16172046542761</v>
      </c>
      <c r="AD35" s="1">
        <v>1.3840484773673229</v>
      </c>
      <c r="AE35" t="s">
        <v>4817</v>
      </c>
      <c r="AF35" t="str">
        <f>IF(X35&lt;$AF$1,"Bajo","Alto")</f>
        <v>Bajo</v>
      </c>
      <c r="AG35" t="str">
        <f>LEFT(AE35,1)</f>
        <v>C</v>
      </c>
      <c r="AH35" t="str">
        <f>K35</f>
        <v>M</v>
      </c>
      <c r="AI35" t="str">
        <f>LEFT(AF35,1)</f>
        <v>B</v>
      </c>
      <c r="AJ35" t="str">
        <f>LEFT(M35,1)</f>
        <v>J</v>
      </c>
      <c r="AK35" t="str">
        <f>_xlfn.CONCAT(AG35,AH35,AI35,AJ35)</f>
        <v>CMBJ</v>
      </c>
    </row>
    <row r="36" spans="1:37" ht="15.75" hidden="1" customHeight="1" x14ac:dyDescent="0.2">
      <c r="A36" s="1">
        <v>2719606</v>
      </c>
      <c r="B36" s="1" t="s">
        <v>3409</v>
      </c>
      <c r="C36" s="1" t="s">
        <v>973</v>
      </c>
      <c r="D36" s="1" t="s">
        <v>3611</v>
      </c>
      <c r="E36" s="1" t="s">
        <v>346</v>
      </c>
      <c r="F36" s="1" t="s">
        <v>88</v>
      </c>
      <c r="G36" s="1" t="s">
        <v>3615</v>
      </c>
      <c r="H36" s="1">
        <v>738</v>
      </c>
      <c r="I36" s="1" t="s">
        <v>134</v>
      </c>
      <c r="J36" s="1">
        <v>8</v>
      </c>
      <c r="K36" s="1" t="s">
        <v>35</v>
      </c>
      <c r="L36" s="1">
        <v>30</v>
      </c>
      <c r="M36" s="1" t="str">
        <f>IF(L36&lt;=45,"Joven","Mayor")</f>
        <v>Joven</v>
      </c>
      <c r="N36" s="1">
        <v>36</v>
      </c>
      <c r="O36" s="1" t="s">
        <v>36</v>
      </c>
      <c r="P36" s="1">
        <v>0.35499999999999998</v>
      </c>
      <c r="Q36" s="1">
        <v>93.451999999999998</v>
      </c>
      <c r="R36" s="1">
        <v>-2.1346493</v>
      </c>
      <c r="S36" s="1">
        <v>-2.2677182999999999</v>
      </c>
      <c r="T36" s="1">
        <v>8.863486</v>
      </c>
      <c r="U36" s="1">
        <v>8.3019999999999996</v>
      </c>
      <c r="V36" s="1">
        <v>77</v>
      </c>
      <c r="W36" s="1">
        <v>167</v>
      </c>
      <c r="X36" s="1">
        <v>2.168831168831169</v>
      </c>
      <c r="Y36" s="1">
        <v>95</v>
      </c>
      <c r="Z36" s="1">
        <v>167</v>
      </c>
      <c r="AA36" s="1">
        <v>1.7578947368421052</v>
      </c>
      <c r="AB36" s="1">
        <v>89.243112588861777</v>
      </c>
      <c r="AC36" s="1">
        <v>168.70366721753911</v>
      </c>
      <c r="AD36" s="1">
        <v>1.8903830483227073</v>
      </c>
      <c r="AE36" t="s">
        <v>4817</v>
      </c>
      <c r="AF36" t="str">
        <f>IF(X36&lt;$AF$1,"Bajo","Alto")</f>
        <v>Alto</v>
      </c>
      <c r="AG36" t="str">
        <f>LEFT(AE36,1)</f>
        <v>C</v>
      </c>
      <c r="AH36" t="str">
        <f>K36</f>
        <v>M</v>
      </c>
      <c r="AI36" t="str">
        <f>LEFT(AF36,1)</f>
        <v>A</v>
      </c>
      <c r="AJ36" t="str">
        <f>LEFT(M36,1)</f>
        <v>J</v>
      </c>
      <c r="AK36" t="str">
        <f>_xlfn.CONCAT(AG36,AH36,AI36,AJ36)</f>
        <v>CMAJ</v>
      </c>
    </row>
    <row r="37" spans="1:37" ht="15.75" hidden="1" customHeight="1" x14ac:dyDescent="0.2">
      <c r="A37" s="1">
        <v>10730701</v>
      </c>
      <c r="B37" s="1" t="s">
        <v>1067</v>
      </c>
      <c r="C37" s="1" t="s">
        <v>1068</v>
      </c>
      <c r="D37" s="1" t="s">
        <v>1373</v>
      </c>
      <c r="E37" s="1" t="s">
        <v>1374</v>
      </c>
      <c r="F37" s="1" t="s">
        <v>32</v>
      </c>
      <c r="G37" s="1" t="s">
        <v>1375</v>
      </c>
      <c r="H37" s="1">
        <v>1854</v>
      </c>
      <c r="I37" s="1" t="s">
        <v>39</v>
      </c>
      <c r="J37" s="1">
        <v>11</v>
      </c>
      <c r="K37" s="1" t="s">
        <v>35</v>
      </c>
      <c r="L37" s="1">
        <v>35</v>
      </c>
      <c r="M37" s="1" t="str">
        <f>IF(L37&lt;=45,"Joven","Mayor")</f>
        <v>Joven</v>
      </c>
      <c r="N37" s="1">
        <v>35</v>
      </c>
      <c r="O37" s="1" t="s">
        <v>36</v>
      </c>
      <c r="P37" s="1">
        <v>1.1100000000000001</v>
      </c>
      <c r="Q37" s="1">
        <v>81.367999999999995</v>
      </c>
      <c r="R37" s="1">
        <v>-8.7831460000000003</v>
      </c>
      <c r="S37" s="1">
        <v>7.2883614999999997</v>
      </c>
      <c r="T37" s="1">
        <v>8.7897809999999996</v>
      </c>
      <c r="U37" s="1">
        <v>9.1150000000000002</v>
      </c>
      <c r="V37" s="1">
        <v>68</v>
      </c>
      <c r="W37" s="1">
        <v>144</v>
      </c>
      <c r="X37" s="1">
        <v>2.1176470588235294</v>
      </c>
      <c r="Y37" s="1">
        <v>73</v>
      </c>
      <c r="Z37" s="1">
        <v>144</v>
      </c>
      <c r="AA37" s="1">
        <v>1.9726027397260273</v>
      </c>
      <c r="AB37" s="1">
        <v>73.313767432600571</v>
      </c>
      <c r="AC37" s="1">
        <v>143.22567129190611</v>
      </c>
      <c r="AD37" s="1">
        <v>1.9535985710129757</v>
      </c>
      <c r="AE37" t="s">
        <v>4816</v>
      </c>
      <c r="AF37" t="str">
        <f>IF(X37&lt;$AF$1,"Bajo","Alto")</f>
        <v>Alto</v>
      </c>
      <c r="AG37" t="str">
        <f>LEFT(AE37,1)</f>
        <v>D</v>
      </c>
      <c r="AH37" t="str">
        <f>K37</f>
        <v>M</v>
      </c>
      <c r="AI37" t="str">
        <f>LEFT(AF37,1)</f>
        <v>A</v>
      </c>
      <c r="AJ37" t="str">
        <f>LEFT(M37,1)</f>
        <v>J</v>
      </c>
      <c r="AK37" t="str">
        <f>_xlfn.CONCAT(AG37,AH37,AI37,AJ37)</f>
        <v>DMAJ</v>
      </c>
    </row>
    <row r="38" spans="1:37" ht="15.75" hidden="1" customHeight="1" x14ac:dyDescent="0.2">
      <c r="A38" s="1">
        <v>720601</v>
      </c>
      <c r="B38" s="1" t="s">
        <v>4798</v>
      </c>
      <c r="C38" s="1" t="s">
        <v>1016</v>
      </c>
      <c r="D38" s="1" t="s">
        <v>4808</v>
      </c>
      <c r="E38" s="1" t="s">
        <v>88</v>
      </c>
      <c r="F38" s="1" t="s">
        <v>32</v>
      </c>
      <c r="G38" s="1" t="s">
        <v>4809</v>
      </c>
      <c r="H38" s="1">
        <v>2886</v>
      </c>
      <c r="I38" s="1" t="s">
        <v>85</v>
      </c>
      <c r="J38" s="1">
        <v>12</v>
      </c>
      <c r="K38" s="1" t="s">
        <v>35</v>
      </c>
      <c r="L38" s="1">
        <v>30</v>
      </c>
      <c r="M38" s="1" t="str">
        <f>IF(L38&lt;=45,"Joven","Mayor")</f>
        <v>Joven</v>
      </c>
      <c r="N38" s="1">
        <v>37</v>
      </c>
      <c r="O38" s="1" t="s">
        <v>36</v>
      </c>
      <c r="P38" s="1">
        <v>0.14099999999999999</v>
      </c>
      <c r="Q38" s="1">
        <v>87.263000000000005</v>
      </c>
      <c r="R38" s="1">
        <v>5.9916210000000003</v>
      </c>
      <c r="S38" s="1">
        <v>7.9721437000000002</v>
      </c>
      <c r="T38" s="1">
        <v>-7.193632</v>
      </c>
      <c r="U38" s="1">
        <v>36.313000000000002</v>
      </c>
      <c r="V38" s="1">
        <v>106</v>
      </c>
      <c r="W38" s="1">
        <v>213</v>
      </c>
      <c r="X38" s="1">
        <v>2.0094339622641511</v>
      </c>
      <c r="Y38" s="1">
        <v>111</v>
      </c>
      <c r="Z38" s="1">
        <v>213</v>
      </c>
      <c r="AA38" s="1">
        <v>1.9189189189189189</v>
      </c>
      <c r="AB38" s="1">
        <v>112.8042352182504</v>
      </c>
      <c r="AC38" s="1">
        <v>212.45040383393641</v>
      </c>
      <c r="AD38" s="1">
        <v>1.8833548529706661</v>
      </c>
      <c r="AE38" t="s">
        <v>4815</v>
      </c>
      <c r="AF38" t="str">
        <f>IF(X38&lt;$AF$1,"Bajo","Alto")</f>
        <v>Alto</v>
      </c>
      <c r="AG38" t="str">
        <f>LEFT(AE38,1)</f>
        <v>I</v>
      </c>
      <c r="AH38" t="str">
        <f>K38</f>
        <v>M</v>
      </c>
      <c r="AI38" t="str">
        <f>LEFT(AF38,1)</f>
        <v>A</v>
      </c>
      <c r="AJ38" t="str">
        <f>LEFT(M38,1)</f>
        <v>J</v>
      </c>
      <c r="AK38" t="str">
        <f>_xlfn.CONCAT(AG38,AH38,AI38,AJ38)</f>
        <v>IMAJ</v>
      </c>
    </row>
    <row r="39" spans="1:37" ht="15.75" hidden="1" customHeight="1" x14ac:dyDescent="0.2">
      <c r="A39" s="1">
        <v>10117201</v>
      </c>
      <c r="B39" s="1" t="s">
        <v>29</v>
      </c>
      <c r="C39" s="1" t="s">
        <v>30</v>
      </c>
      <c r="D39" s="1" t="s">
        <v>290</v>
      </c>
      <c r="E39" s="1" t="s">
        <v>291</v>
      </c>
      <c r="F39" s="1" t="s">
        <v>32</v>
      </c>
      <c r="G39" s="1" t="s">
        <v>292</v>
      </c>
      <c r="H39" s="1">
        <v>728</v>
      </c>
      <c r="I39" s="1" t="s">
        <v>39</v>
      </c>
      <c r="J39" s="1">
        <v>11</v>
      </c>
      <c r="K39" s="1" t="s">
        <v>49</v>
      </c>
      <c r="L39" s="1">
        <v>50</v>
      </c>
      <c r="M39" s="1" t="str">
        <f>IF(L39&lt;=45,"Joven","Mayor")</f>
        <v>Mayor</v>
      </c>
      <c r="N39" s="1">
        <v>36</v>
      </c>
      <c r="O39" s="1" t="s">
        <v>50</v>
      </c>
      <c r="P39" s="1">
        <v>0.36099999999999999</v>
      </c>
      <c r="Q39" s="1">
        <v>77.022000000000006</v>
      </c>
      <c r="R39" s="1">
        <v>11.517969000000001</v>
      </c>
      <c r="S39" s="1">
        <v>-0.53647889999999998</v>
      </c>
      <c r="T39" s="1">
        <v>-19.877490000000002</v>
      </c>
      <c r="U39" s="1">
        <v>92.759</v>
      </c>
      <c r="V39" s="1">
        <v>71</v>
      </c>
      <c r="W39" s="1">
        <v>142</v>
      </c>
      <c r="X39" s="1">
        <v>2</v>
      </c>
      <c r="Y39" s="1">
        <v>90</v>
      </c>
      <c r="Z39" s="1">
        <v>142</v>
      </c>
      <c r="AA39" s="1">
        <v>1.5777777777777777</v>
      </c>
      <c r="AB39" s="1">
        <v>84.450472118554444</v>
      </c>
      <c r="AC39" s="1">
        <v>142.38015569154049</v>
      </c>
      <c r="AD39" s="1">
        <v>1.6859604466350691</v>
      </c>
      <c r="AE39" t="s">
        <v>4816</v>
      </c>
      <c r="AF39" t="str">
        <f>IF(X39&lt;$AF$1,"Bajo","Alto")</f>
        <v>Alto</v>
      </c>
      <c r="AG39" t="str">
        <f>LEFT(AE39,1)</f>
        <v>D</v>
      </c>
      <c r="AH39" t="str">
        <f>K39</f>
        <v>F</v>
      </c>
      <c r="AI39" t="str">
        <f>LEFT(AF39,1)</f>
        <v>A</v>
      </c>
      <c r="AJ39" t="str">
        <f>LEFT(M39,1)</f>
        <v>M</v>
      </c>
      <c r="AK39" t="str">
        <f>_xlfn.CONCAT(AG39,AH39,AI39,AJ39)</f>
        <v>DFAM</v>
      </c>
    </row>
    <row r="40" spans="1:37" ht="15.75" hidden="1" customHeight="1" x14ac:dyDescent="0.2">
      <c r="A40" s="1">
        <v>520111</v>
      </c>
      <c r="B40" s="1" t="s">
        <v>4529</v>
      </c>
      <c r="C40" s="1" t="s">
        <v>685</v>
      </c>
      <c r="D40" s="1" t="s">
        <v>4530</v>
      </c>
      <c r="E40" s="1" t="s">
        <v>32</v>
      </c>
      <c r="F40" s="1" t="s">
        <v>51</v>
      </c>
      <c r="G40" s="1" t="s">
        <v>4537</v>
      </c>
      <c r="H40" s="1">
        <v>48957</v>
      </c>
      <c r="I40" s="1" t="s">
        <v>4538</v>
      </c>
      <c r="J40" s="1">
        <v>2070</v>
      </c>
      <c r="K40" s="1" t="s">
        <v>35</v>
      </c>
      <c r="L40" s="1">
        <v>31</v>
      </c>
      <c r="M40" s="1" t="str">
        <f>IF(L40&lt;=45,"Joven","Mayor")</f>
        <v>Joven</v>
      </c>
      <c r="N40" s="1">
        <v>31</v>
      </c>
      <c r="O40" s="1" t="s">
        <v>36</v>
      </c>
      <c r="P40" s="1">
        <v>0.28000000000000003</v>
      </c>
      <c r="Q40" s="1">
        <v>93.379000000000005</v>
      </c>
      <c r="R40" s="1">
        <v>2.9093222999999999</v>
      </c>
      <c r="S40" s="1">
        <v>4.2155924999999997E-2</v>
      </c>
      <c r="T40" s="1">
        <v>1.7658798</v>
      </c>
      <c r="U40" s="1">
        <v>6.5529999999999999</v>
      </c>
      <c r="V40" s="1">
        <v>92</v>
      </c>
      <c r="W40" s="1">
        <v>199</v>
      </c>
      <c r="X40" s="1">
        <v>2.1630434782608696</v>
      </c>
      <c r="Y40" s="1">
        <v>96</v>
      </c>
      <c r="Z40" s="1">
        <v>199</v>
      </c>
      <c r="AA40" s="1">
        <v>2.0729166666666665</v>
      </c>
      <c r="AB40" s="1">
        <v>94.567709310773353</v>
      </c>
      <c r="AC40" s="1">
        <v>199.367725685252</v>
      </c>
      <c r="AD40" s="1">
        <v>2.1082008556438576</v>
      </c>
      <c r="AE40" t="s">
        <v>4817</v>
      </c>
      <c r="AF40" t="str">
        <f>IF(X40&lt;$AF$1,"Bajo","Alto")</f>
        <v>Alto</v>
      </c>
      <c r="AG40" t="str">
        <f>LEFT(AE40,1)</f>
        <v>C</v>
      </c>
      <c r="AH40" t="str">
        <f>K40</f>
        <v>M</v>
      </c>
      <c r="AI40" t="str">
        <f>LEFT(AF40,1)</f>
        <v>A</v>
      </c>
      <c r="AJ40" t="str">
        <f>LEFT(M40,1)</f>
        <v>J</v>
      </c>
      <c r="AK40" t="str">
        <f>_xlfn.CONCAT(AG40,AH40,AI40,AJ40)</f>
        <v>CMAJ</v>
      </c>
    </row>
    <row r="41" spans="1:37" ht="15.75" hidden="1" customHeight="1" x14ac:dyDescent="0.2">
      <c r="A41" s="1">
        <v>2910303</v>
      </c>
      <c r="B41" s="1" t="s">
        <v>3890</v>
      </c>
      <c r="C41" s="1" t="s">
        <v>1695</v>
      </c>
      <c r="D41" s="1" t="s">
        <v>3922</v>
      </c>
      <c r="E41" s="1" t="s">
        <v>81</v>
      </c>
      <c r="F41" s="1" t="s">
        <v>63</v>
      </c>
      <c r="G41" s="1" t="s">
        <v>3923</v>
      </c>
      <c r="H41" s="1">
        <v>62</v>
      </c>
      <c r="I41" s="1" t="s">
        <v>42</v>
      </c>
      <c r="J41" s="1">
        <v>15</v>
      </c>
      <c r="K41" s="1" t="s">
        <v>35</v>
      </c>
      <c r="L41" s="1">
        <v>40</v>
      </c>
      <c r="M41" s="1" t="str">
        <f>IF(L41&lt;=45,"Joven","Mayor")</f>
        <v>Joven</v>
      </c>
      <c r="N41" s="1">
        <v>46</v>
      </c>
      <c r="O41" s="1" t="s">
        <v>36</v>
      </c>
      <c r="P41" s="1">
        <v>0.376</v>
      </c>
      <c r="Q41" s="1">
        <v>76.878</v>
      </c>
      <c r="R41" s="1">
        <v>10.869911</v>
      </c>
      <c r="S41" s="1">
        <v>5.0158795999999999</v>
      </c>
      <c r="T41" s="1">
        <v>-4.7987393999999997</v>
      </c>
      <c r="U41" s="1">
        <v>1.444</v>
      </c>
      <c r="V41" s="1">
        <v>103</v>
      </c>
      <c r="W41" s="1">
        <v>148</v>
      </c>
      <c r="X41" s="1">
        <v>1.4368932038834952</v>
      </c>
      <c r="Y41" s="1">
        <v>103</v>
      </c>
      <c r="Z41" s="1">
        <v>148</v>
      </c>
      <c r="AA41" s="1">
        <v>1.4368932038834952</v>
      </c>
      <c r="AB41" s="1">
        <v>106.068846778843</v>
      </c>
      <c r="AC41" s="1">
        <v>147.4812156083585</v>
      </c>
      <c r="AD41" s="1">
        <v>1.3904291418936763</v>
      </c>
      <c r="AE41" t="s">
        <v>4817</v>
      </c>
      <c r="AF41" t="str">
        <f>IF(X41&lt;$AF$1,"Bajo","Alto")</f>
        <v>Bajo</v>
      </c>
      <c r="AG41" t="str">
        <f>LEFT(AE41,1)</f>
        <v>C</v>
      </c>
      <c r="AH41" t="str">
        <f>K41</f>
        <v>M</v>
      </c>
      <c r="AI41" t="str">
        <f>LEFT(AF41,1)</f>
        <v>B</v>
      </c>
      <c r="AJ41" t="str">
        <f>LEFT(M41,1)</f>
        <v>J</v>
      </c>
      <c r="AK41" t="str">
        <f>_xlfn.CONCAT(AG41,AH41,AI41,AJ41)</f>
        <v>CMBJ</v>
      </c>
    </row>
    <row r="42" spans="1:37" ht="15.75" hidden="1" customHeight="1" x14ac:dyDescent="0.2">
      <c r="A42" s="1">
        <v>1056302</v>
      </c>
      <c r="B42" s="1" t="s">
        <v>694</v>
      </c>
      <c r="C42" s="1" t="s">
        <v>879</v>
      </c>
      <c r="D42" s="1" t="s">
        <v>1009</v>
      </c>
      <c r="E42" s="1" t="s">
        <v>1010</v>
      </c>
      <c r="F42" s="1" t="s">
        <v>37</v>
      </c>
      <c r="G42" s="1" t="s">
        <v>1011</v>
      </c>
      <c r="H42" s="1">
        <v>46</v>
      </c>
      <c r="I42" s="1" t="s">
        <v>34</v>
      </c>
      <c r="J42" s="1">
        <v>10</v>
      </c>
      <c r="K42" s="1" t="s">
        <v>35</v>
      </c>
      <c r="L42" s="1">
        <v>39</v>
      </c>
      <c r="M42" s="1" t="str">
        <f>IF(L42&lt;=45,"Joven","Mayor")</f>
        <v>Joven</v>
      </c>
      <c r="N42" s="1">
        <v>28</v>
      </c>
      <c r="O42" s="1" t="s">
        <v>36</v>
      </c>
      <c r="P42" s="1">
        <v>3.5379999999999998</v>
      </c>
      <c r="Q42" s="1">
        <v>91.843000000000004</v>
      </c>
      <c r="R42" s="1">
        <v>0.66545849999999995</v>
      </c>
      <c r="S42" s="1">
        <v>7.5241933000000003</v>
      </c>
      <c r="T42" s="1">
        <v>-4.4111814000000003</v>
      </c>
      <c r="U42" s="1">
        <v>58.317999999999998</v>
      </c>
      <c r="V42" s="1">
        <v>139</v>
      </c>
      <c r="W42" s="1">
        <v>207</v>
      </c>
      <c r="X42" s="1">
        <v>1.4892086330935252</v>
      </c>
      <c r="Y42" s="1">
        <v>140</v>
      </c>
      <c r="Z42" s="1">
        <v>207</v>
      </c>
      <c r="AA42" s="1">
        <v>1.4785714285714286</v>
      </c>
      <c r="AB42" s="1">
        <v>143.27997865630749</v>
      </c>
      <c r="AC42" s="1">
        <v>207.002125429507</v>
      </c>
      <c r="AD42" s="1">
        <v>1.4447386674034399</v>
      </c>
      <c r="AE42" t="s">
        <v>4815</v>
      </c>
      <c r="AF42" t="str">
        <f>IF(X42&lt;$AF$1,"Bajo","Alto")</f>
        <v>Bajo</v>
      </c>
      <c r="AG42" t="str">
        <f>LEFT(AE42,1)</f>
        <v>I</v>
      </c>
      <c r="AH42" t="str">
        <f>K42</f>
        <v>M</v>
      </c>
      <c r="AI42" t="str">
        <f>LEFT(AF42,1)</f>
        <v>B</v>
      </c>
      <c r="AJ42" t="str">
        <f>LEFT(M42,1)</f>
        <v>J</v>
      </c>
      <c r="AK42" t="str">
        <f>_xlfn.CONCAT(AG42,AH42,AI42,AJ42)</f>
        <v>IMBJ</v>
      </c>
    </row>
    <row r="43" spans="1:37" ht="15.75" hidden="1" customHeight="1" x14ac:dyDescent="0.2">
      <c r="A43" s="1">
        <v>199102</v>
      </c>
      <c r="B43" s="1" t="s">
        <v>2656</v>
      </c>
      <c r="C43" s="1" t="s">
        <v>323</v>
      </c>
      <c r="D43" s="1" t="s">
        <v>2808</v>
      </c>
      <c r="E43" s="1" t="s">
        <v>770</v>
      </c>
      <c r="F43" s="1" t="s">
        <v>37</v>
      </c>
      <c r="G43" s="1" t="s">
        <v>2810</v>
      </c>
      <c r="H43" s="1">
        <v>24</v>
      </c>
      <c r="I43" s="1" t="s">
        <v>87</v>
      </c>
      <c r="J43" s="1">
        <v>14</v>
      </c>
      <c r="K43" s="1" t="s">
        <v>35</v>
      </c>
      <c r="L43" s="1">
        <v>52</v>
      </c>
      <c r="M43" s="1" t="str">
        <f>IF(L43&lt;=45,"Joven","Mayor")</f>
        <v>Mayor</v>
      </c>
      <c r="N43" s="1">
        <v>65</v>
      </c>
      <c r="O43" s="1" t="s">
        <v>36</v>
      </c>
      <c r="P43" s="1">
        <v>0.39</v>
      </c>
      <c r="Q43" s="1">
        <v>94.412000000000006</v>
      </c>
      <c r="R43" s="1">
        <v>-9.4413705000000001E-2</v>
      </c>
      <c r="S43" s="1">
        <v>-2.8384437999999999</v>
      </c>
      <c r="T43" s="1">
        <v>-15.950882999999999</v>
      </c>
      <c r="U43" s="1">
        <v>9.9770000000000003</v>
      </c>
      <c r="V43" s="1">
        <v>74</v>
      </c>
      <c r="W43" s="1">
        <v>170</v>
      </c>
      <c r="X43" s="1">
        <v>2.2972972972972974</v>
      </c>
      <c r="Y43" s="1">
        <v>100</v>
      </c>
      <c r="Z43" s="1">
        <v>170</v>
      </c>
      <c r="AA43" s="1">
        <v>1.7</v>
      </c>
      <c r="AB43" s="1">
        <v>89.829059549725798</v>
      </c>
      <c r="AC43" s="1">
        <v>174.99675255014429</v>
      </c>
      <c r="AD43" s="1">
        <v>1.9481084787854541</v>
      </c>
      <c r="AE43" t="s">
        <v>4816</v>
      </c>
      <c r="AF43" t="str">
        <f>IF(X43&lt;$AF$1,"Bajo","Alto")</f>
        <v>Alto</v>
      </c>
      <c r="AG43" t="str">
        <f>LEFT(AE43,1)</f>
        <v>D</v>
      </c>
      <c r="AH43" t="str">
        <f>K43</f>
        <v>M</v>
      </c>
      <c r="AI43" t="str">
        <f>LEFT(AF43,1)</f>
        <v>A</v>
      </c>
      <c r="AJ43" t="str">
        <f>LEFT(M43,1)</f>
        <v>M</v>
      </c>
      <c r="AK43" t="str">
        <f>_xlfn.CONCAT(AG43,AH43,AI43,AJ43)</f>
        <v>DMAM</v>
      </c>
    </row>
    <row r="44" spans="1:37" ht="15.75" hidden="1" customHeight="1" x14ac:dyDescent="0.2">
      <c r="A44" s="1">
        <v>196402</v>
      </c>
      <c r="B44" s="1" t="s">
        <v>2656</v>
      </c>
      <c r="C44" s="1" t="s">
        <v>323</v>
      </c>
      <c r="D44" s="1" t="s">
        <v>2765</v>
      </c>
      <c r="E44" s="1" t="s">
        <v>710</v>
      </c>
      <c r="F44" s="1" t="s">
        <v>37</v>
      </c>
      <c r="G44" s="1" t="s">
        <v>2767</v>
      </c>
      <c r="H44" s="1">
        <v>10</v>
      </c>
      <c r="I44" s="1" t="s">
        <v>42</v>
      </c>
      <c r="J44" s="1">
        <v>15</v>
      </c>
      <c r="K44" s="1" t="s">
        <v>35</v>
      </c>
      <c r="L44" s="1">
        <v>71</v>
      </c>
      <c r="M44" s="1" t="str">
        <f>IF(L44&lt;=45,"Joven","Mayor")</f>
        <v>Mayor</v>
      </c>
      <c r="N44" s="1">
        <v>66</v>
      </c>
      <c r="O44" s="1" t="s">
        <v>36</v>
      </c>
      <c r="P44" s="1">
        <v>0.36099999999999999</v>
      </c>
      <c r="Q44" s="1">
        <v>93.843999999999994</v>
      </c>
      <c r="R44" s="1">
        <v>1.1187354</v>
      </c>
      <c r="S44" s="1">
        <v>3.1926877</v>
      </c>
      <c r="T44" s="1">
        <v>1.78294</v>
      </c>
      <c r="U44" s="1">
        <v>0.77</v>
      </c>
      <c r="V44" s="1">
        <v>113</v>
      </c>
      <c r="W44" s="1">
        <v>163</v>
      </c>
      <c r="X44" s="1">
        <v>1.4424778761061947</v>
      </c>
      <c r="Y44" s="1">
        <v>116</v>
      </c>
      <c r="Z44" s="1">
        <v>163</v>
      </c>
      <c r="AA44" s="1">
        <v>1.4051724137931034</v>
      </c>
      <c r="AB44" s="1">
        <v>114.6993147128842</v>
      </c>
      <c r="AC44" s="1">
        <v>163.13887866017191</v>
      </c>
      <c r="AD44" s="1">
        <v>1.4223178147885349</v>
      </c>
      <c r="AE44" t="s">
        <v>4817</v>
      </c>
      <c r="AF44" t="str">
        <f>IF(X44&lt;$AF$1,"Bajo","Alto")</f>
        <v>Bajo</v>
      </c>
      <c r="AG44" t="str">
        <f>LEFT(AE44,1)</f>
        <v>C</v>
      </c>
      <c r="AH44" t="str">
        <f>K44</f>
        <v>M</v>
      </c>
      <c r="AI44" t="str">
        <f>LEFT(AF44,1)</f>
        <v>B</v>
      </c>
      <c r="AJ44" t="str">
        <f>LEFT(M44,1)</f>
        <v>M</v>
      </c>
      <c r="AK44" t="str">
        <f>_xlfn.CONCAT(AG44,AH44,AI44,AJ44)</f>
        <v>CMBM</v>
      </c>
    </row>
    <row r="45" spans="1:37" ht="15.75" hidden="1" customHeight="1" x14ac:dyDescent="0.2">
      <c r="A45" s="1">
        <v>10130003</v>
      </c>
      <c r="B45" s="1" t="s">
        <v>29</v>
      </c>
      <c r="C45" s="1" t="s">
        <v>30</v>
      </c>
      <c r="D45" s="1" t="s">
        <v>612</v>
      </c>
      <c r="E45" s="1" t="s">
        <v>613</v>
      </c>
      <c r="F45" s="1" t="s">
        <v>63</v>
      </c>
      <c r="G45" s="1" t="s">
        <v>616</v>
      </c>
      <c r="H45" s="1">
        <v>1624</v>
      </c>
      <c r="I45" s="1" t="s">
        <v>42</v>
      </c>
      <c r="J45" s="1">
        <v>15</v>
      </c>
      <c r="K45" s="1" t="s">
        <v>35</v>
      </c>
      <c r="L45" s="1">
        <v>54</v>
      </c>
      <c r="M45" s="1" t="str">
        <f>IF(L45&lt;=45,"Joven","Mayor")</f>
        <v>Mayor</v>
      </c>
      <c r="N45" s="1">
        <v>54</v>
      </c>
      <c r="O45" s="1" t="s">
        <v>36</v>
      </c>
      <c r="P45" s="1">
        <v>0.36299999999999999</v>
      </c>
      <c r="Q45" s="1">
        <v>33.006</v>
      </c>
      <c r="R45" s="1">
        <v>17.707466</v>
      </c>
      <c r="S45" s="1">
        <v>-6.6767645</v>
      </c>
      <c r="T45" s="1">
        <v>-6.3518879999999998</v>
      </c>
      <c r="U45" s="1">
        <v>6.48</v>
      </c>
      <c r="V45" s="1">
        <v>94</v>
      </c>
      <c r="W45" s="1">
        <v>136</v>
      </c>
      <c r="X45" s="1">
        <v>1.446808510638298</v>
      </c>
      <c r="Y45" s="1">
        <v>97</v>
      </c>
      <c r="Z45" s="1">
        <v>136</v>
      </c>
      <c r="AA45" s="1">
        <v>1.402061855670103</v>
      </c>
      <c r="AB45" s="1">
        <v>97.405788924479111</v>
      </c>
      <c r="AC45" s="1">
        <v>135.16511921224171</v>
      </c>
      <c r="AD45" s="1">
        <v>1.3876497557762018</v>
      </c>
      <c r="AE45" t="s">
        <v>4817</v>
      </c>
      <c r="AF45" t="str">
        <f>IF(X45&lt;$AF$1,"Bajo","Alto")</f>
        <v>Bajo</v>
      </c>
      <c r="AG45" t="str">
        <f>LEFT(AE45,1)</f>
        <v>C</v>
      </c>
      <c r="AH45" t="str">
        <f>K45</f>
        <v>M</v>
      </c>
      <c r="AI45" t="str">
        <f>LEFT(AF45,1)</f>
        <v>B</v>
      </c>
      <c r="AJ45" t="str">
        <f>LEFT(M45,1)</f>
        <v>M</v>
      </c>
      <c r="AK45" t="str">
        <f>_xlfn.CONCAT(AG45,AH45,AI45,AJ45)</f>
        <v>CMBM</v>
      </c>
    </row>
    <row r="46" spans="1:37" ht="15.75" hidden="1" customHeight="1" x14ac:dyDescent="0.2">
      <c r="A46" s="1">
        <v>250109</v>
      </c>
      <c r="B46" s="1" t="s">
        <v>3169</v>
      </c>
      <c r="C46" s="1" t="s">
        <v>821</v>
      </c>
      <c r="D46" s="1" t="s">
        <v>3170</v>
      </c>
      <c r="E46" s="1" t="s">
        <v>32</v>
      </c>
      <c r="F46" s="1" t="s">
        <v>189</v>
      </c>
      <c r="G46" s="1" t="s">
        <v>3178</v>
      </c>
      <c r="H46" s="1">
        <v>841</v>
      </c>
      <c r="I46" s="1" t="s">
        <v>93</v>
      </c>
      <c r="J46" s="1">
        <v>9</v>
      </c>
      <c r="K46" s="1" t="s">
        <v>35</v>
      </c>
      <c r="L46" s="1">
        <v>64</v>
      </c>
      <c r="M46" s="1" t="str">
        <f>IF(L46&lt;=45,"Joven","Mayor")</f>
        <v>Mayor</v>
      </c>
      <c r="N46" s="1">
        <v>58</v>
      </c>
      <c r="O46" s="1" t="s">
        <v>36</v>
      </c>
      <c r="P46" s="1">
        <v>0.374</v>
      </c>
      <c r="Q46" s="1">
        <v>92.725999999999999</v>
      </c>
      <c r="R46" s="1">
        <v>-2.8441887000000001</v>
      </c>
      <c r="S46" s="1">
        <v>-3.2294748000000002</v>
      </c>
      <c r="T46" s="1">
        <v>14.933023</v>
      </c>
      <c r="U46" s="1">
        <v>1.5620000000000001</v>
      </c>
      <c r="V46" s="1">
        <v>88</v>
      </c>
      <c r="W46" s="1">
        <v>191</v>
      </c>
      <c r="X46" s="1">
        <v>2.1704545454545454</v>
      </c>
      <c r="Y46" s="1">
        <v>101</v>
      </c>
      <c r="Z46" s="1">
        <v>191</v>
      </c>
      <c r="AA46" s="1">
        <v>1.891089108910891</v>
      </c>
      <c r="AB46" s="1">
        <v>100.74711275281081</v>
      </c>
      <c r="AC46" s="1">
        <v>187.89946059181469</v>
      </c>
      <c r="AD46" s="1">
        <v>1.8650605010670378</v>
      </c>
      <c r="AE46" t="s">
        <v>4815</v>
      </c>
      <c r="AF46" t="str">
        <f>IF(X46&lt;$AF$1,"Bajo","Alto")</f>
        <v>Alto</v>
      </c>
      <c r="AG46" t="str">
        <f>LEFT(AE46,1)</f>
        <v>I</v>
      </c>
      <c r="AH46" t="str">
        <f>K46</f>
        <v>M</v>
      </c>
      <c r="AI46" t="str">
        <f>LEFT(AF46,1)</f>
        <v>A</v>
      </c>
      <c r="AJ46" t="str">
        <f>LEFT(M46,1)</f>
        <v>M</v>
      </c>
      <c r="AK46" t="str">
        <f>_xlfn.CONCAT(AG46,AH46,AI46,AJ46)</f>
        <v>IMAM</v>
      </c>
    </row>
    <row r="47" spans="1:37" ht="15.75" hidden="1" customHeight="1" x14ac:dyDescent="0.2">
      <c r="A47" s="1">
        <v>1054402</v>
      </c>
      <c r="B47" s="1" t="s">
        <v>694</v>
      </c>
      <c r="C47" s="1" t="s">
        <v>879</v>
      </c>
      <c r="D47" s="1" t="s">
        <v>994</v>
      </c>
      <c r="E47" s="1" t="s">
        <v>995</v>
      </c>
      <c r="F47" s="1" t="s">
        <v>37</v>
      </c>
      <c r="G47" s="1" t="s">
        <v>997</v>
      </c>
      <c r="H47" s="1">
        <v>776</v>
      </c>
      <c r="I47" s="1" t="s">
        <v>87</v>
      </c>
      <c r="J47" s="1">
        <v>14</v>
      </c>
      <c r="K47" s="1" t="s">
        <v>35</v>
      </c>
      <c r="L47" s="1">
        <v>39</v>
      </c>
      <c r="M47" s="1" t="str">
        <f>IF(L47&lt;=45,"Joven","Mayor")</f>
        <v>Joven</v>
      </c>
      <c r="N47" s="1">
        <v>42</v>
      </c>
      <c r="O47" s="1" t="s">
        <v>36</v>
      </c>
      <c r="P47" s="1">
        <v>5.1870000000000003</v>
      </c>
      <c r="Q47" s="1">
        <v>89.141000000000005</v>
      </c>
      <c r="R47" s="1">
        <v>3.0685777999999999</v>
      </c>
      <c r="S47" s="1">
        <v>7.6599060000000003</v>
      </c>
      <c r="T47" s="1">
        <v>1.6309229999999999</v>
      </c>
      <c r="U47" s="1">
        <v>13.833</v>
      </c>
      <c r="V47" s="1">
        <v>91</v>
      </c>
      <c r="W47" s="1">
        <v>137</v>
      </c>
      <c r="X47" s="1">
        <v>1.5054945054945055</v>
      </c>
      <c r="Y47" s="1">
        <v>93</v>
      </c>
      <c r="Z47" s="1">
        <v>137</v>
      </c>
      <c r="AA47" s="1">
        <v>1.4731182795698925</v>
      </c>
      <c r="AB47" s="1">
        <v>92.044658922741519</v>
      </c>
      <c r="AC47" s="1">
        <v>137.11526808313559</v>
      </c>
      <c r="AD47" s="1">
        <v>1.4896602332811562</v>
      </c>
      <c r="AE47" t="s">
        <v>4816</v>
      </c>
      <c r="AF47" t="str">
        <f>IF(X47&lt;$AF$1,"Bajo","Alto")</f>
        <v>Bajo</v>
      </c>
      <c r="AG47" t="str">
        <f>LEFT(AE47,1)</f>
        <v>D</v>
      </c>
      <c r="AH47" t="str">
        <f>K47</f>
        <v>M</v>
      </c>
      <c r="AI47" t="str">
        <f>LEFT(AF47,1)</f>
        <v>B</v>
      </c>
      <c r="AJ47" t="str">
        <f>LEFT(M47,1)</f>
        <v>J</v>
      </c>
      <c r="AK47" t="str">
        <f>_xlfn.CONCAT(AG47,AH47,AI47,AJ47)</f>
        <v>DMBJ</v>
      </c>
    </row>
    <row r="48" spans="1:37" ht="15.75" hidden="1" customHeight="1" x14ac:dyDescent="0.2">
      <c r="A48" s="1">
        <v>10128201</v>
      </c>
      <c r="B48" s="1" t="s">
        <v>29</v>
      </c>
      <c r="C48" s="1" t="s">
        <v>30</v>
      </c>
      <c r="D48" s="1" t="s">
        <v>564</v>
      </c>
      <c r="E48" s="1" t="s">
        <v>565</v>
      </c>
      <c r="F48" s="1" t="s">
        <v>32</v>
      </c>
      <c r="G48" s="1" t="s">
        <v>566</v>
      </c>
      <c r="H48" s="1">
        <v>1824</v>
      </c>
      <c r="I48" s="1" t="s">
        <v>100</v>
      </c>
      <c r="J48" s="1">
        <v>1</v>
      </c>
      <c r="K48" s="1" t="s">
        <v>49</v>
      </c>
      <c r="L48" s="1">
        <v>57</v>
      </c>
      <c r="M48" s="1" t="str">
        <f>IF(L48&lt;=45,"Joven","Mayor")</f>
        <v>Mayor</v>
      </c>
      <c r="N48" s="1">
        <v>39</v>
      </c>
      <c r="O48" s="1" t="s">
        <v>50</v>
      </c>
      <c r="P48" s="1">
        <v>0.36399999999999999</v>
      </c>
      <c r="Q48" s="1">
        <v>84.41</v>
      </c>
      <c r="R48" s="1">
        <v>-8.1620690000000007</v>
      </c>
      <c r="S48" s="1">
        <v>5.7123755999999997</v>
      </c>
      <c r="T48" s="1">
        <v>11.830824</v>
      </c>
      <c r="U48" s="1">
        <v>41.945999999999998</v>
      </c>
      <c r="V48" s="1">
        <v>98</v>
      </c>
      <c r="W48" s="1">
        <v>211</v>
      </c>
      <c r="X48" s="1">
        <v>2.1530612244897958</v>
      </c>
      <c r="Y48" s="1">
        <v>112</v>
      </c>
      <c r="Z48" s="1">
        <v>211</v>
      </c>
      <c r="AA48" s="1">
        <v>1.8839285714285714</v>
      </c>
      <c r="AB48" s="1">
        <v>106.7844083422785</v>
      </c>
      <c r="AC48" s="1">
        <v>210.61822868037959</v>
      </c>
      <c r="AD48" s="1">
        <v>1.9723687376276897</v>
      </c>
      <c r="AE48" t="s">
        <v>4817</v>
      </c>
      <c r="AF48" t="str">
        <f>IF(X48&lt;$AF$1,"Bajo","Alto")</f>
        <v>Alto</v>
      </c>
      <c r="AG48" t="str">
        <f>LEFT(AE48,1)</f>
        <v>C</v>
      </c>
      <c r="AH48" t="str">
        <f>K48</f>
        <v>F</v>
      </c>
      <c r="AI48" t="str">
        <f>LEFT(AF48,1)</f>
        <v>A</v>
      </c>
      <c r="AJ48" t="str">
        <f>LEFT(M48,1)</f>
        <v>M</v>
      </c>
      <c r="AK48" t="str">
        <f>_xlfn.CONCAT(AG48,AH48,AI48,AJ48)</f>
        <v>CFAM</v>
      </c>
    </row>
    <row r="49" spans="1:37" ht="15.75" hidden="1" customHeight="1" x14ac:dyDescent="0.2">
      <c r="A49" s="1">
        <v>132702</v>
      </c>
      <c r="B49" s="1" t="s">
        <v>956</v>
      </c>
      <c r="C49" s="1" t="s">
        <v>163</v>
      </c>
      <c r="D49" s="1" t="s">
        <v>2001</v>
      </c>
      <c r="E49" s="1" t="s">
        <v>973</v>
      </c>
      <c r="F49" s="1" t="s">
        <v>37</v>
      </c>
      <c r="G49" s="1" t="s">
        <v>2003</v>
      </c>
      <c r="H49" s="1">
        <v>15</v>
      </c>
      <c r="I49" s="1" t="s">
        <v>34</v>
      </c>
      <c r="J49" s="1">
        <v>10</v>
      </c>
      <c r="K49" s="1" t="s">
        <v>35</v>
      </c>
      <c r="L49" s="1">
        <v>63</v>
      </c>
      <c r="M49" s="1" t="str">
        <f>IF(L49&lt;=45,"Joven","Mayor")</f>
        <v>Mayor</v>
      </c>
      <c r="N49" s="1">
        <v>59</v>
      </c>
      <c r="O49" s="1" t="s">
        <v>36</v>
      </c>
      <c r="P49" s="1">
        <v>0.214</v>
      </c>
      <c r="Q49" s="1">
        <v>93.796999999999997</v>
      </c>
      <c r="R49" s="1">
        <v>2.1581150999999998</v>
      </c>
      <c r="S49" s="1">
        <v>0.58210030000000001</v>
      </c>
      <c r="T49" s="1">
        <v>-1.5131652</v>
      </c>
      <c r="U49" s="1">
        <v>0.66900000000000004</v>
      </c>
      <c r="V49" s="1">
        <v>89</v>
      </c>
      <c r="W49" s="1">
        <v>137</v>
      </c>
      <c r="X49" s="1">
        <v>1.5393258426966292</v>
      </c>
      <c r="Y49" s="1">
        <v>93</v>
      </c>
      <c r="Z49" s="1">
        <v>137</v>
      </c>
      <c r="AA49" s="1">
        <v>1.4731182795698925</v>
      </c>
      <c r="AB49" s="1">
        <v>92.096150104914841</v>
      </c>
      <c r="AC49" s="1">
        <v>137.11066574344389</v>
      </c>
      <c r="AD49" s="1">
        <v>1.4887773874070636</v>
      </c>
      <c r="AE49" t="s">
        <v>4815</v>
      </c>
      <c r="AF49" t="str">
        <f>IF(X49&lt;$AF$1,"Bajo","Alto")</f>
        <v>Bajo</v>
      </c>
      <c r="AG49" t="str">
        <f>LEFT(AE49,1)</f>
        <v>I</v>
      </c>
      <c r="AH49" t="str">
        <f>K49</f>
        <v>M</v>
      </c>
      <c r="AI49" t="str">
        <f>LEFT(AF49,1)</f>
        <v>B</v>
      </c>
      <c r="AJ49" t="str">
        <f>LEFT(M49,1)</f>
        <v>M</v>
      </c>
      <c r="AK49" t="str">
        <f>_xlfn.CONCAT(AG49,AH49,AI49,AJ49)</f>
        <v>IMBM</v>
      </c>
    </row>
    <row r="50" spans="1:37" ht="15.75" hidden="1" customHeight="1" x14ac:dyDescent="0.2">
      <c r="A50" s="1">
        <v>156701</v>
      </c>
      <c r="B50" s="1" t="s">
        <v>2077</v>
      </c>
      <c r="C50" s="1" t="s">
        <v>57</v>
      </c>
      <c r="D50" s="1" t="s">
        <v>2502</v>
      </c>
      <c r="E50" s="1" t="s">
        <v>715</v>
      </c>
      <c r="F50" s="1" t="s">
        <v>32</v>
      </c>
      <c r="G50" s="1" t="s">
        <v>2503</v>
      </c>
      <c r="H50" s="1">
        <v>1492</v>
      </c>
      <c r="I50" s="1" t="s">
        <v>100</v>
      </c>
      <c r="J50" s="1">
        <v>1</v>
      </c>
      <c r="K50" s="1" t="s">
        <v>35</v>
      </c>
      <c r="L50" s="1">
        <v>55</v>
      </c>
      <c r="M50" s="1" t="str">
        <f>IF(L50&lt;=45,"Joven","Mayor")</f>
        <v>Mayor</v>
      </c>
      <c r="N50" s="1">
        <v>50</v>
      </c>
      <c r="O50" s="1" t="s">
        <v>36</v>
      </c>
      <c r="P50" s="1">
        <v>0.41199999999999998</v>
      </c>
      <c r="Q50" s="1">
        <v>92.057000000000002</v>
      </c>
      <c r="R50" s="1">
        <v>-2.4408739000000002</v>
      </c>
      <c r="S50" s="1">
        <v>6.2812742999999998</v>
      </c>
      <c r="T50" s="1">
        <v>-7.2687410000000003</v>
      </c>
      <c r="U50" s="1">
        <v>1.054</v>
      </c>
      <c r="V50" s="1">
        <v>80</v>
      </c>
      <c r="W50" s="1">
        <v>172</v>
      </c>
      <c r="X50" s="1">
        <v>2.15</v>
      </c>
      <c r="Y50" s="1">
        <v>96</v>
      </c>
      <c r="Z50" s="1">
        <v>172</v>
      </c>
      <c r="AA50" s="1">
        <v>1.7916666666666667</v>
      </c>
      <c r="AB50" s="1">
        <v>91.432804137910352</v>
      </c>
      <c r="AC50" s="1">
        <v>173.78082826776199</v>
      </c>
      <c r="AD50" s="1">
        <v>1.9006398185671314</v>
      </c>
      <c r="AE50" t="s">
        <v>4817</v>
      </c>
      <c r="AF50" t="str">
        <f>IF(X50&lt;$AF$1,"Bajo","Alto")</f>
        <v>Alto</v>
      </c>
      <c r="AG50" t="str">
        <f>LEFT(AE50,1)</f>
        <v>C</v>
      </c>
      <c r="AH50" t="str">
        <f>K50</f>
        <v>M</v>
      </c>
      <c r="AI50" t="str">
        <f>LEFT(AF50,1)</f>
        <v>A</v>
      </c>
      <c r="AJ50" t="str">
        <f>LEFT(M50,1)</f>
        <v>M</v>
      </c>
      <c r="AK50" t="str">
        <f>_xlfn.CONCAT(AG50,AH50,AI50,AJ50)</f>
        <v>CMAM</v>
      </c>
    </row>
    <row r="51" spans="1:37" ht="15.75" hidden="1" customHeight="1" x14ac:dyDescent="0.2">
      <c r="A51" s="1">
        <v>313703</v>
      </c>
      <c r="B51" s="1" t="s">
        <v>4122</v>
      </c>
      <c r="C51" s="1" t="s">
        <v>628</v>
      </c>
      <c r="D51" s="1" t="s">
        <v>4210</v>
      </c>
      <c r="E51" s="1" t="s">
        <v>647</v>
      </c>
      <c r="F51" s="1" t="s">
        <v>63</v>
      </c>
      <c r="G51" s="1" t="s">
        <v>4213</v>
      </c>
      <c r="H51" s="1">
        <v>7746</v>
      </c>
      <c r="I51" s="1" t="s">
        <v>108</v>
      </c>
      <c r="J51" s="1">
        <v>3</v>
      </c>
      <c r="K51" s="1" t="s">
        <v>35</v>
      </c>
      <c r="L51" s="1">
        <v>35</v>
      </c>
      <c r="M51" s="1" t="str">
        <f>IF(L51&lt;=45,"Joven","Mayor")</f>
        <v>Joven</v>
      </c>
      <c r="N51" s="1">
        <v>41</v>
      </c>
      <c r="O51" s="1" t="s">
        <v>36</v>
      </c>
      <c r="P51" s="1">
        <v>0.34499999999999997</v>
      </c>
      <c r="Q51" s="1">
        <v>92.343000000000004</v>
      </c>
      <c r="R51" s="1">
        <v>-3.8546657999999998</v>
      </c>
      <c r="S51" s="1">
        <v>1.4672407000000001</v>
      </c>
      <c r="T51" s="1">
        <v>5.3393949999999997</v>
      </c>
      <c r="U51" s="1">
        <v>64.084000000000003</v>
      </c>
      <c r="V51" s="1">
        <v>62</v>
      </c>
      <c r="W51" s="1">
        <v>134</v>
      </c>
      <c r="X51" s="1">
        <v>2.161290322580645</v>
      </c>
      <c r="Y51" s="1">
        <v>62</v>
      </c>
      <c r="Z51" s="1">
        <v>134</v>
      </c>
      <c r="AA51" s="1">
        <v>2.161290322580645</v>
      </c>
      <c r="AB51" s="1">
        <v>64.708745333712159</v>
      </c>
      <c r="AC51" s="1">
        <v>133.046346687192</v>
      </c>
      <c r="AD51" s="1">
        <v>2.0560798389932176</v>
      </c>
      <c r="AE51" t="s">
        <v>4817</v>
      </c>
      <c r="AF51" t="str">
        <f>IF(X51&lt;$AF$1,"Bajo","Alto")</f>
        <v>Alto</v>
      </c>
      <c r="AG51" t="str">
        <f>LEFT(AE51,1)</f>
        <v>C</v>
      </c>
      <c r="AH51" t="str">
        <f>K51</f>
        <v>M</v>
      </c>
      <c r="AI51" t="str">
        <f>LEFT(AF51,1)</f>
        <v>A</v>
      </c>
      <c r="AJ51" t="str">
        <f>LEFT(M51,1)</f>
        <v>J</v>
      </c>
      <c r="AK51" t="str">
        <f>_xlfn.CONCAT(AG51,AH51,AI51,AJ51)</f>
        <v>CMAJ</v>
      </c>
    </row>
    <row r="52" spans="1:37" ht="15.75" hidden="1" customHeight="1" x14ac:dyDescent="0.2">
      <c r="A52" s="1">
        <v>257901</v>
      </c>
      <c r="B52" s="1" t="s">
        <v>3169</v>
      </c>
      <c r="C52" s="1" t="s">
        <v>821</v>
      </c>
      <c r="D52" s="1" t="s">
        <v>2266</v>
      </c>
      <c r="E52" s="1" t="s">
        <v>739</v>
      </c>
      <c r="F52" s="1" t="s">
        <v>32</v>
      </c>
      <c r="G52" s="1" t="s">
        <v>3323</v>
      </c>
      <c r="H52" s="1">
        <v>516</v>
      </c>
      <c r="I52" s="1" t="s">
        <v>39</v>
      </c>
      <c r="J52" s="1">
        <v>11</v>
      </c>
      <c r="K52" s="1" t="s">
        <v>49</v>
      </c>
      <c r="L52" s="1">
        <v>42</v>
      </c>
      <c r="M52" s="1" t="str">
        <f>IF(L52&lt;=45,"Joven","Mayor")</f>
        <v>Joven</v>
      </c>
      <c r="N52" s="1">
        <v>40</v>
      </c>
      <c r="O52" s="1" t="s">
        <v>50</v>
      </c>
      <c r="P52" s="1">
        <v>0.3</v>
      </c>
      <c r="Q52" s="1">
        <v>91.567999999999998</v>
      </c>
      <c r="R52" s="1">
        <v>-3.3667889</v>
      </c>
      <c r="S52" s="1">
        <v>5.6133946999999997</v>
      </c>
      <c r="T52" s="1">
        <v>-0.57856980000000002</v>
      </c>
      <c r="U52" s="1">
        <v>8.2799999999999994</v>
      </c>
      <c r="V52" s="1">
        <v>112</v>
      </c>
      <c r="W52" s="1">
        <v>171</v>
      </c>
      <c r="X52" s="1">
        <v>1.5267857142857142</v>
      </c>
      <c r="Y52" s="1">
        <v>112</v>
      </c>
      <c r="Z52" s="1">
        <v>171</v>
      </c>
      <c r="AA52" s="1">
        <v>1.5267857142857142</v>
      </c>
      <c r="AB52" s="1">
        <v>112.4890808507639</v>
      </c>
      <c r="AC52" s="1">
        <v>171.01147731549869</v>
      </c>
      <c r="AD52" s="1">
        <v>1.5202495746442699</v>
      </c>
      <c r="AE52" t="s">
        <v>4816</v>
      </c>
      <c r="AF52" t="str">
        <f>IF(X52&lt;$AF$1,"Bajo","Alto")</f>
        <v>Bajo</v>
      </c>
      <c r="AG52" t="str">
        <f>LEFT(AE52,1)</f>
        <v>D</v>
      </c>
      <c r="AH52" t="str">
        <f>K52</f>
        <v>F</v>
      </c>
      <c r="AI52" t="str">
        <f>LEFT(AF52,1)</f>
        <v>B</v>
      </c>
      <c r="AJ52" t="str">
        <f>LEFT(M52,1)</f>
        <v>J</v>
      </c>
      <c r="AK52" t="str">
        <f>_xlfn.CONCAT(AG52,AH52,AI52,AJ52)</f>
        <v>DFBJ</v>
      </c>
    </row>
    <row r="53" spans="1:37" ht="15.75" hidden="1" customHeight="1" x14ac:dyDescent="0.2">
      <c r="A53" s="1">
        <v>173503</v>
      </c>
      <c r="B53" s="1" t="s">
        <v>2551</v>
      </c>
      <c r="C53" s="1" t="s">
        <v>2552</v>
      </c>
      <c r="D53" s="1" t="s">
        <v>2628</v>
      </c>
      <c r="E53" s="1" t="s">
        <v>640</v>
      </c>
      <c r="F53" s="1" t="s">
        <v>63</v>
      </c>
      <c r="G53" s="1" t="s">
        <v>2629</v>
      </c>
      <c r="H53" s="1">
        <v>1386</v>
      </c>
      <c r="I53" s="1" t="s">
        <v>48</v>
      </c>
      <c r="J53" s="1">
        <v>4</v>
      </c>
      <c r="K53" s="1" t="s">
        <v>35</v>
      </c>
      <c r="L53" s="1">
        <v>55</v>
      </c>
      <c r="M53" s="1" t="str">
        <f>IF(L53&lt;=45,"Joven","Mayor")</f>
        <v>Mayor</v>
      </c>
      <c r="N53" s="1">
        <v>58</v>
      </c>
      <c r="O53" s="1" t="s">
        <v>36</v>
      </c>
      <c r="P53" s="1">
        <v>0.34499999999999997</v>
      </c>
      <c r="Q53" s="1">
        <v>33.173000000000002</v>
      </c>
      <c r="R53" s="1">
        <v>17.890644000000002</v>
      </c>
      <c r="S53" s="1">
        <v>4.7513959999999997</v>
      </c>
      <c r="T53" s="1">
        <v>-11.528635</v>
      </c>
      <c r="U53" s="1">
        <v>7.6219999999999999</v>
      </c>
      <c r="V53" s="1">
        <v>96</v>
      </c>
      <c r="W53" s="1">
        <v>139</v>
      </c>
      <c r="X53" s="1">
        <v>1.4479166666666667</v>
      </c>
      <c r="Y53" s="1">
        <v>104</v>
      </c>
      <c r="Z53" s="1">
        <v>139</v>
      </c>
      <c r="AA53" s="1">
        <v>1.3365384615384615</v>
      </c>
      <c r="AB53" s="1">
        <v>103.8562194588874</v>
      </c>
      <c r="AC53" s="1">
        <v>139.59324716868969</v>
      </c>
      <c r="AD53" s="1">
        <v>1.3441009878464638</v>
      </c>
      <c r="AE53" t="s">
        <v>4817</v>
      </c>
      <c r="AF53" t="str">
        <f>IF(X53&lt;$AF$1,"Bajo","Alto")</f>
        <v>Bajo</v>
      </c>
      <c r="AG53" t="str">
        <f>LEFT(AE53,1)</f>
        <v>C</v>
      </c>
      <c r="AH53" t="str">
        <f>K53</f>
        <v>M</v>
      </c>
      <c r="AI53" t="str">
        <f>LEFT(AF53,1)</f>
        <v>B</v>
      </c>
      <c r="AJ53" t="str">
        <f>LEFT(M53,1)</f>
        <v>M</v>
      </c>
      <c r="AK53" t="str">
        <f>_xlfn.CONCAT(AG53,AH53,AI53,AJ53)</f>
        <v>CMBM</v>
      </c>
    </row>
    <row r="54" spans="1:37" ht="15.75" hidden="1" customHeight="1" x14ac:dyDescent="0.2">
      <c r="A54" s="1">
        <v>600702</v>
      </c>
      <c r="B54" s="1" t="s">
        <v>4700</v>
      </c>
      <c r="C54" s="1" t="s">
        <v>1458</v>
      </c>
      <c r="D54" s="1" t="s">
        <v>4712</v>
      </c>
      <c r="E54" s="1" t="s">
        <v>43</v>
      </c>
      <c r="F54" s="1" t="s">
        <v>37</v>
      </c>
      <c r="G54" s="1" t="s">
        <v>4713</v>
      </c>
      <c r="H54" s="1">
        <v>18</v>
      </c>
      <c r="I54" s="1" t="s">
        <v>65</v>
      </c>
      <c r="J54" s="1">
        <v>2</v>
      </c>
      <c r="K54" s="1" t="s">
        <v>35</v>
      </c>
      <c r="L54" s="1">
        <v>24</v>
      </c>
      <c r="M54" s="1" t="str">
        <f>IF(L54&lt;=45,"Joven","Mayor")</f>
        <v>Joven</v>
      </c>
      <c r="N54" s="1">
        <v>25</v>
      </c>
      <c r="O54" s="1" t="s">
        <v>36</v>
      </c>
      <c r="P54" s="1">
        <v>0.38100000000000001</v>
      </c>
      <c r="Q54" s="1">
        <v>91.075000000000003</v>
      </c>
      <c r="R54" s="1">
        <v>1.5763145999999999</v>
      </c>
      <c r="S54" s="1">
        <v>9.8326844999999992</v>
      </c>
      <c r="T54" s="1">
        <v>-1.3006244</v>
      </c>
      <c r="U54" s="1">
        <v>7.59</v>
      </c>
      <c r="V54" s="1">
        <v>112</v>
      </c>
      <c r="W54" s="1">
        <v>161</v>
      </c>
      <c r="X54" s="1">
        <v>1.4375</v>
      </c>
      <c r="Y54" s="1">
        <v>113</v>
      </c>
      <c r="Z54" s="1">
        <v>161</v>
      </c>
      <c r="AA54" s="1">
        <v>1.4247787610619469</v>
      </c>
      <c r="AB54" s="1">
        <v>114.03770365262331</v>
      </c>
      <c r="AC54" s="1">
        <v>161.02661497110651</v>
      </c>
      <c r="AD54" s="1">
        <v>1.4120471546991054</v>
      </c>
      <c r="AE54" t="s">
        <v>4817</v>
      </c>
      <c r="AF54" t="str">
        <f>IF(X54&lt;$AF$1,"Bajo","Alto")</f>
        <v>Bajo</v>
      </c>
      <c r="AG54" t="str">
        <f>LEFT(AE54,1)</f>
        <v>C</v>
      </c>
      <c r="AH54" t="str">
        <f>K54</f>
        <v>M</v>
      </c>
      <c r="AI54" t="str">
        <f>LEFT(AF54,1)</f>
        <v>B</v>
      </c>
      <c r="AJ54" t="str">
        <f>LEFT(M54,1)</f>
        <v>J</v>
      </c>
      <c r="AK54" t="str">
        <f>_xlfn.CONCAT(AG54,AH54,AI54,AJ54)</f>
        <v>CMBJ</v>
      </c>
    </row>
    <row r="55" spans="1:37" ht="15.75" hidden="1" customHeight="1" x14ac:dyDescent="0.2">
      <c r="A55" s="1">
        <v>1011904</v>
      </c>
      <c r="B55" s="1" t="s">
        <v>29</v>
      </c>
      <c r="C55" s="1" t="s">
        <v>30</v>
      </c>
      <c r="D55" s="1" t="s">
        <v>322</v>
      </c>
      <c r="E55" s="1" t="s">
        <v>323</v>
      </c>
      <c r="F55" s="1" t="s">
        <v>61</v>
      </c>
      <c r="G55" s="1" t="s">
        <v>327</v>
      </c>
      <c r="H55" s="1">
        <v>5306</v>
      </c>
      <c r="I55" s="1" t="s">
        <v>328</v>
      </c>
      <c r="J55" s="1">
        <v>4123</v>
      </c>
      <c r="K55" s="1" t="s">
        <v>35</v>
      </c>
      <c r="L55" s="1">
        <v>38</v>
      </c>
      <c r="M55" s="1" t="str">
        <f>IF(L55&lt;=45,"Joven","Mayor")</f>
        <v>Joven</v>
      </c>
      <c r="N55" s="1">
        <v>32</v>
      </c>
      <c r="O55" s="1" t="s">
        <v>36</v>
      </c>
      <c r="P55" s="1">
        <v>0.35199999999999998</v>
      </c>
      <c r="Q55" s="1">
        <v>21.484000000000002</v>
      </c>
      <c r="R55" s="1">
        <v>19.677994000000002</v>
      </c>
      <c r="S55" s="1">
        <v>2.1125467000000002</v>
      </c>
      <c r="T55" s="1">
        <v>-3.9388597000000001</v>
      </c>
      <c r="U55" s="1">
        <v>42.752000000000002</v>
      </c>
      <c r="V55" s="1">
        <v>102</v>
      </c>
      <c r="W55" s="1">
        <v>220</v>
      </c>
      <c r="X55" s="1">
        <v>2.1568627450980391</v>
      </c>
      <c r="Y55" s="1">
        <v>109</v>
      </c>
      <c r="Z55" s="1">
        <v>220</v>
      </c>
      <c r="AA55" s="1">
        <v>2.0183486238532109</v>
      </c>
      <c r="AB55" s="1">
        <v>105.5371241520443</v>
      </c>
      <c r="AC55" s="1">
        <v>219.61772613244881</v>
      </c>
      <c r="AD55" s="1">
        <v>2.0809523463615691</v>
      </c>
      <c r="AE55" t="s">
        <v>4817</v>
      </c>
      <c r="AF55" t="str">
        <f>IF(X55&lt;$AF$1,"Bajo","Alto")</f>
        <v>Alto</v>
      </c>
      <c r="AG55" t="str">
        <f>LEFT(AE55,1)</f>
        <v>C</v>
      </c>
      <c r="AH55" t="str">
        <f>K55</f>
        <v>M</v>
      </c>
      <c r="AI55" t="str">
        <f>LEFT(AF55,1)</f>
        <v>A</v>
      </c>
      <c r="AJ55" t="str">
        <f>LEFT(M55,1)</f>
        <v>J</v>
      </c>
      <c r="AK55" t="str">
        <f>_xlfn.CONCAT(AG55,AH55,AI55,AJ55)</f>
        <v>CMAJ</v>
      </c>
    </row>
    <row r="56" spans="1:37" ht="15.75" hidden="1" customHeight="1" x14ac:dyDescent="0.2">
      <c r="A56" s="1">
        <v>10512405</v>
      </c>
      <c r="B56" s="1" t="s">
        <v>694</v>
      </c>
      <c r="C56" s="1" t="s">
        <v>879</v>
      </c>
      <c r="D56" s="1" t="s">
        <v>929</v>
      </c>
      <c r="E56" s="1" t="s">
        <v>145</v>
      </c>
      <c r="F56" s="1" t="s">
        <v>40</v>
      </c>
      <c r="G56" s="1" t="s">
        <v>931</v>
      </c>
      <c r="H56" s="1">
        <v>5437</v>
      </c>
      <c r="I56" s="1" t="s">
        <v>134</v>
      </c>
      <c r="J56" s="1">
        <v>8</v>
      </c>
      <c r="K56" s="1" t="s">
        <v>35</v>
      </c>
      <c r="L56" s="1">
        <v>28</v>
      </c>
      <c r="M56" s="1" t="str">
        <f>IF(L56&lt;=45,"Joven","Mayor")</f>
        <v>Joven</v>
      </c>
      <c r="N56" s="1">
        <v>29</v>
      </c>
      <c r="O56" s="1" t="s">
        <v>36</v>
      </c>
      <c r="P56" s="1">
        <v>0.33800000000000002</v>
      </c>
      <c r="Q56" s="1">
        <v>58.692</v>
      </c>
      <c r="R56" s="1">
        <v>14.805251999999999</v>
      </c>
      <c r="S56" s="1">
        <v>1.8588444</v>
      </c>
      <c r="T56" s="1">
        <v>-15.568543</v>
      </c>
      <c r="U56" s="1">
        <v>26.664000000000001</v>
      </c>
      <c r="V56" s="1">
        <v>74</v>
      </c>
      <c r="W56" s="1">
        <v>159</v>
      </c>
      <c r="X56" s="1">
        <v>2.1486486486486487</v>
      </c>
      <c r="Y56" s="1">
        <v>90</v>
      </c>
      <c r="Z56" s="1">
        <v>159</v>
      </c>
      <c r="AA56" s="1">
        <v>1.7666666666666666</v>
      </c>
      <c r="AB56" s="1">
        <v>86.314839592633462</v>
      </c>
      <c r="AC56" s="1">
        <v>159.6076839656871</v>
      </c>
      <c r="AD56" s="1">
        <v>1.8491337609959344</v>
      </c>
      <c r="AE56" t="s">
        <v>4817</v>
      </c>
      <c r="AF56" t="str">
        <f>IF(X56&lt;$AF$1,"Bajo","Alto")</f>
        <v>Alto</v>
      </c>
      <c r="AG56" t="str">
        <f>LEFT(AE56,1)</f>
        <v>C</v>
      </c>
      <c r="AH56" t="str">
        <f>K56</f>
        <v>M</v>
      </c>
      <c r="AI56" t="str">
        <f>LEFT(AF56,1)</f>
        <v>A</v>
      </c>
      <c r="AJ56" t="str">
        <f>LEFT(M56,1)</f>
        <v>J</v>
      </c>
      <c r="AK56" t="str">
        <f>_xlfn.CONCAT(AG56,AH56,AI56,AJ56)</f>
        <v>CMAJ</v>
      </c>
    </row>
    <row r="57" spans="1:37" ht="15.75" hidden="1" customHeight="1" x14ac:dyDescent="0.2">
      <c r="A57" s="1">
        <v>1094904</v>
      </c>
      <c r="B57" s="1" t="s">
        <v>719</v>
      </c>
      <c r="C57" s="1" t="s">
        <v>98</v>
      </c>
      <c r="D57" s="1" t="s">
        <v>1608</v>
      </c>
      <c r="E57" s="1" t="s">
        <v>673</v>
      </c>
      <c r="F57" s="1" t="s">
        <v>61</v>
      </c>
      <c r="G57" s="1" t="s">
        <v>1610</v>
      </c>
      <c r="H57" s="1">
        <v>296</v>
      </c>
      <c r="I57" s="1" t="s">
        <v>93</v>
      </c>
      <c r="J57" s="1">
        <v>9</v>
      </c>
      <c r="K57" s="1" t="s">
        <v>35</v>
      </c>
      <c r="L57" s="1">
        <v>66</v>
      </c>
      <c r="M57" s="1" t="str">
        <f>IF(L57&lt;=45,"Joven","Mayor")</f>
        <v>Mayor</v>
      </c>
      <c r="N57" s="1">
        <v>69</v>
      </c>
      <c r="O57" s="1" t="s">
        <v>36</v>
      </c>
      <c r="P57" s="1">
        <v>0.46800000000000003</v>
      </c>
      <c r="Q57" s="1">
        <v>88.974999999999994</v>
      </c>
      <c r="R57" s="1">
        <v>5.3018840000000003</v>
      </c>
      <c r="S57" s="1">
        <v>6.5152983999999998</v>
      </c>
      <c r="T57" s="1">
        <v>-5.9220519999999999</v>
      </c>
      <c r="U57" s="1">
        <v>1.5760000000000001</v>
      </c>
      <c r="V57" s="1">
        <v>108</v>
      </c>
      <c r="W57" s="1">
        <v>167</v>
      </c>
      <c r="X57" s="1">
        <v>1.5462962962962963</v>
      </c>
      <c r="Y57" s="1">
        <v>114</v>
      </c>
      <c r="Z57" s="1">
        <v>167</v>
      </c>
      <c r="AA57" s="1">
        <v>1.4649122807017543</v>
      </c>
      <c r="AB57" s="1">
        <v>112.3760412891872</v>
      </c>
      <c r="AC57" s="1">
        <v>166.72780339122161</v>
      </c>
      <c r="AD57" s="1">
        <v>1.4836596971961864</v>
      </c>
      <c r="AE57" t="s">
        <v>4815</v>
      </c>
      <c r="AF57" t="str">
        <f>IF(X57&lt;$AF$1,"Bajo","Alto")</f>
        <v>Bajo</v>
      </c>
      <c r="AG57" t="str">
        <f>LEFT(AE57,1)</f>
        <v>I</v>
      </c>
      <c r="AH57" t="str">
        <f>K57</f>
        <v>M</v>
      </c>
      <c r="AI57" t="str">
        <f>LEFT(AF57,1)</f>
        <v>B</v>
      </c>
      <c r="AJ57" t="str">
        <f>LEFT(M57,1)</f>
        <v>M</v>
      </c>
      <c r="AK57" t="str">
        <f>_xlfn.CONCAT(AG57,AH57,AI57,AJ57)</f>
        <v>IMBM</v>
      </c>
    </row>
    <row r="58" spans="1:37" ht="15.75" hidden="1" customHeight="1" x14ac:dyDescent="0.2">
      <c r="A58" s="1">
        <v>217906</v>
      </c>
      <c r="B58" s="1" t="s">
        <v>2816</v>
      </c>
      <c r="C58" s="1" t="s">
        <v>2817</v>
      </c>
      <c r="D58" s="1" t="s">
        <v>2905</v>
      </c>
      <c r="E58" s="1" t="s">
        <v>739</v>
      </c>
      <c r="F58" s="1" t="s">
        <v>88</v>
      </c>
      <c r="G58" s="1" t="s">
        <v>2907</v>
      </c>
      <c r="H58" s="1">
        <v>59</v>
      </c>
      <c r="I58" s="1" t="s">
        <v>108</v>
      </c>
      <c r="J58" s="1">
        <v>3</v>
      </c>
      <c r="K58" s="1" t="s">
        <v>49</v>
      </c>
      <c r="L58" s="1">
        <v>40</v>
      </c>
      <c r="M58" s="1" t="str">
        <f>IF(L58&lt;=45,"Joven","Mayor")</f>
        <v>Joven</v>
      </c>
      <c r="N58" s="1">
        <v>40</v>
      </c>
      <c r="O58" s="1" t="s">
        <v>50</v>
      </c>
      <c r="P58" s="1">
        <v>0.375</v>
      </c>
      <c r="Q58" s="1">
        <v>85.72</v>
      </c>
      <c r="R58" s="1">
        <v>-6.8273910000000004</v>
      </c>
      <c r="S58" s="1">
        <v>7.9419674999999996</v>
      </c>
      <c r="T58" s="1">
        <v>1.9190509</v>
      </c>
      <c r="U58" s="1">
        <v>47.161000000000001</v>
      </c>
      <c r="V58" s="1">
        <v>114</v>
      </c>
      <c r="W58" s="1">
        <v>165</v>
      </c>
      <c r="X58" s="1">
        <v>1.4473684210526316</v>
      </c>
      <c r="Y58" s="1">
        <v>115</v>
      </c>
      <c r="Z58" s="1">
        <v>165</v>
      </c>
      <c r="AA58" s="1">
        <v>1.4347826086956521</v>
      </c>
      <c r="AB58" s="1">
        <v>116.3419754815277</v>
      </c>
      <c r="AC58" s="1">
        <v>164.9074575334316</v>
      </c>
      <c r="AD58" s="1">
        <v>1.4174373165909919</v>
      </c>
      <c r="AE58" t="s">
        <v>4817</v>
      </c>
      <c r="AF58" t="str">
        <f>IF(X58&lt;$AF$1,"Bajo","Alto")</f>
        <v>Bajo</v>
      </c>
      <c r="AG58" t="str">
        <f>LEFT(AE58,1)</f>
        <v>C</v>
      </c>
      <c r="AH58" t="str">
        <f>K58</f>
        <v>F</v>
      </c>
      <c r="AI58" t="str">
        <f>LEFT(AF58,1)</f>
        <v>B</v>
      </c>
      <c r="AJ58" t="str">
        <f>LEFT(M58,1)</f>
        <v>J</v>
      </c>
      <c r="AK58" t="str">
        <f>_xlfn.CONCAT(AG58,AH58,AI58,AJ58)</f>
        <v>CFBJ</v>
      </c>
    </row>
    <row r="59" spans="1:37" ht="15.75" hidden="1" customHeight="1" x14ac:dyDescent="0.2">
      <c r="A59" s="1">
        <v>110110</v>
      </c>
      <c r="B59" s="1" t="s">
        <v>1648</v>
      </c>
      <c r="C59" s="1" t="s">
        <v>51</v>
      </c>
      <c r="D59" s="1" t="s">
        <v>1649</v>
      </c>
      <c r="E59" s="1" t="s">
        <v>32</v>
      </c>
      <c r="F59" s="1" t="s">
        <v>75</v>
      </c>
      <c r="G59" s="1" t="s">
        <v>1653</v>
      </c>
      <c r="H59" s="1">
        <v>30432</v>
      </c>
      <c r="I59" s="1" t="s">
        <v>1654</v>
      </c>
      <c r="J59" s="1">
        <v>3444</v>
      </c>
      <c r="K59" s="1" t="s">
        <v>35</v>
      </c>
      <c r="L59" s="1">
        <v>60</v>
      </c>
      <c r="M59" s="1" t="str">
        <f>IF(L59&lt;=45,"Joven","Mayor")</f>
        <v>Mayor</v>
      </c>
      <c r="N59" s="1">
        <v>68</v>
      </c>
      <c r="O59" s="1" t="s">
        <v>36</v>
      </c>
      <c r="P59" s="1">
        <v>0.36</v>
      </c>
      <c r="Q59" s="1">
        <v>90.171000000000006</v>
      </c>
      <c r="R59" s="1">
        <v>-4.4643354000000004</v>
      </c>
      <c r="S59" s="1">
        <v>6.2652939999999999</v>
      </c>
      <c r="T59" s="1">
        <v>15.6124735</v>
      </c>
      <c r="U59" s="1">
        <v>1.206</v>
      </c>
      <c r="V59" s="1">
        <v>94</v>
      </c>
      <c r="W59" s="1">
        <v>202</v>
      </c>
      <c r="X59" s="1">
        <v>2.1489361702127661</v>
      </c>
      <c r="Y59" s="1">
        <v>116</v>
      </c>
      <c r="Z59" s="1">
        <v>202</v>
      </c>
      <c r="AA59" s="1">
        <v>1.7413793103448276</v>
      </c>
      <c r="AB59" s="1">
        <v>109.90909979337771</v>
      </c>
      <c r="AC59" s="1">
        <v>205.31218775770051</v>
      </c>
      <c r="AD59" s="1">
        <v>1.8680180998995961</v>
      </c>
      <c r="AE59" t="s">
        <v>4817</v>
      </c>
      <c r="AF59" t="str">
        <f>IF(X59&lt;$AF$1,"Bajo","Alto")</f>
        <v>Alto</v>
      </c>
      <c r="AG59" t="str">
        <f>LEFT(AE59,1)</f>
        <v>C</v>
      </c>
      <c r="AH59" t="str">
        <f>K59</f>
        <v>M</v>
      </c>
      <c r="AI59" t="str">
        <f>LEFT(AF59,1)</f>
        <v>A</v>
      </c>
      <c r="AJ59" t="str">
        <f>LEFT(M59,1)</f>
        <v>M</v>
      </c>
      <c r="AK59" t="str">
        <f>_xlfn.CONCAT(AG59,AH59,AI59,AJ59)</f>
        <v>CMAM</v>
      </c>
    </row>
    <row r="60" spans="1:37" ht="15.75" hidden="1" customHeight="1" x14ac:dyDescent="0.2">
      <c r="A60" s="1">
        <v>292507</v>
      </c>
      <c r="B60" s="1" t="s">
        <v>3890</v>
      </c>
      <c r="C60" s="1" t="s">
        <v>1695</v>
      </c>
      <c r="D60" s="1" t="s">
        <v>3979</v>
      </c>
      <c r="E60" s="1" t="s">
        <v>821</v>
      </c>
      <c r="F60" s="1" t="s">
        <v>43</v>
      </c>
      <c r="G60" s="1" t="s">
        <v>3984</v>
      </c>
      <c r="H60" s="1">
        <v>756</v>
      </c>
      <c r="I60" s="1" t="s">
        <v>3985</v>
      </c>
      <c r="J60" s="1">
        <v>3705</v>
      </c>
      <c r="K60" s="1" t="s">
        <v>35</v>
      </c>
      <c r="L60" s="1">
        <v>66</v>
      </c>
      <c r="M60" s="1" t="str">
        <f>IF(L60&lt;=45,"Joven","Mayor")</f>
        <v>Mayor</v>
      </c>
      <c r="N60" s="1">
        <v>62</v>
      </c>
      <c r="O60" s="1" t="s">
        <v>36</v>
      </c>
      <c r="P60" s="1">
        <v>0.316</v>
      </c>
      <c r="Q60" s="1">
        <v>94.061999999999998</v>
      </c>
      <c r="R60" s="1">
        <v>1.8121951999999999</v>
      </c>
      <c r="S60" s="1">
        <v>-5.3038123999999999E-2</v>
      </c>
      <c r="T60" s="1">
        <v>-2.4233886999999998</v>
      </c>
      <c r="U60" s="1">
        <v>3.1989999999999998</v>
      </c>
      <c r="V60" s="1">
        <v>121</v>
      </c>
      <c r="W60" s="1">
        <v>176</v>
      </c>
      <c r="X60" s="1">
        <v>1.4545454545454546</v>
      </c>
      <c r="Y60" s="1">
        <v>122</v>
      </c>
      <c r="Z60" s="1">
        <v>176</v>
      </c>
      <c r="AA60" s="1">
        <v>1.4426229508196722</v>
      </c>
      <c r="AB60" s="1">
        <v>122.8368250801789</v>
      </c>
      <c r="AC60" s="1">
        <v>176.0962959049757</v>
      </c>
      <c r="AD60" s="1">
        <v>1.4335790247756153</v>
      </c>
      <c r="AE60" t="s">
        <v>4817</v>
      </c>
      <c r="AF60" t="str">
        <f>IF(X60&lt;$AF$1,"Bajo","Alto")</f>
        <v>Bajo</v>
      </c>
      <c r="AG60" t="str">
        <f>LEFT(AE60,1)</f>
        <v>C</v>
      </c>
      <c r="AH60" t="str">
        <f>K60</f>
        <v>M</v>
      </c>
      <c r="AI60" t="str">
        <f>LEFT(AF60,1)</f>
        <v>B</v>
      </c>
      <c r="AJ60" t="str">
        <f>LEFT(M60,1)</f>
        <v>M</v>
      </c>
      <c r="AK60" t="str">
        <f>_xlfn.CONCAT(AG60,AH60,AI60,AJ60)</f>
        <v>CMBM</v>
      </c>
    </row>
    <row r="61" spans="1:37" ht="15.75" hidden="1" customHeight="1" x14ac:dyDescent="0.2">
      <c r="A61" s="1">
        <v>272202</v>
      </c>
      <c r="B61" s="1" t="s">
        <v>3409</v>
      </c>
      <c r="C61" s="1" t="s">
        <v>973</v>
      </c>
      <c r="D61" s="1" t="s">
        <v>689</v>
      </c>
      <c r="E61" s="1" t="s">
        <v>418</v>
      </c>
      <c r="F61" s="1" t="s">
        <v>37</v>
      </c>
      <c r="G61" s="1" t="s">
        <v>3648</v>
      </c>
      <c r="H61" s="1">
        <v>835</v>
      </c>
      <c r="I61" s="1" t="s">
        <v>3649</v>
      </c>
      <c r="J61" s="1">
        <v>2385</v>
      </c>
      <c r="K61" s="1" t="s">
        <v>35</v>
      </c>
      <c r="L61" s="1">
        <v>47</v>
      </c>
      <c r="M61" s="1" t="str">
        <f>IF(L61&lt;=45,"Joven","Mayor")</f>
        <v>Mayor</v>
      </c>
      <c r="N61" s="1">
        <v>39</v>
      </c>
      <c r="O61" s="1" t="s">
        <v>36</v>
      </c>
      <c r="P61" s="1">
        <v>0.34100000000000003</v>
      </c>
      <c r="Q61" s="1">
        <v>93.147000000000006</v>
      </c>
      <c r="R61" s="1">
        <v>-0.31753635000000002</v>
      </c>
      <c r="S61" s="1">
        <v>-7.1176586000000004</v>
      </c>
      <c r="T61" s="1">
        <v>1.1844049000000001</v>
      </c>
      <c r="U61" s="1">
        <v>8.7379999999999995</v>
      </c>
      <c r="V61" s="1">
        <v>80</v>
      </c>
      <c r="W61" s="1">
        <v>171</v>
      </c>
      <c r="X61" s="1">
        <v>2.1375000000000002</v>
      </c>
      <c r="Y61" s="1">
        <v>82</v>
      </c>
      <c r="Z61" s="1">
        <v>171</v>
      </c>
      <c r="AA61" s="1">
        <v>2.0853658536585367</v>
      </c>
      <c r="AB61" s="1">
        <v>81.114328122510642</v>
      </c>
      <c r="AC61" s="1">
        <v>171.0048058665875</v>
      </c>
      <c r="AD61" s="1">
        <v>2.1081948137240465</v>
      </c>
      <c r="AE61" t="s">
        <v>4817</v>
      </c>
      <c r="AF61" t="str">
        <f>IF(X61&lt;$AF$1,"Bajo","Alto")</f>
        <v>Alto</v>
      </c>
      <c r="AG61" t="str">
        <f>LEFT(AE61,1)</f>
        <v>C</v>
      </c>
      <c r="AH61" t="str">
        <f>K61</f>
        <v>M</v>
      </c>
      <c r="AI61" t="str">
        <f>LEFT(AF61,1)</f>
        <v>A</v>
      </c>
      <c r="AJ61" t="str">
        <f>LEFT(M61,1)</f>
        <v>M</v>
      </c>
      <c r="AK61" t="str">
        <f>_xlfn.CONCAT(AG61,AH61,AI61,AJ61)</f>
        <v>CMAM</v>
      </c>
    </row>
    <row r="62" spans="1:37" ht="15.75" hidden="1" customHeight="1" x14ac:dyDescent="0.2">
      <c r="A62" s="1">
        <v>240108</v>
      </c>
      <c r="B62" s="1" t="s">
        <v>1548</v>
      </c>
      <c r="C62" s="1" t="s">
        <v>1993</v>
      </c>
      <c r="D62" s="1" t="s">
        <v>3118</v>
      </c>
      <c r="E62" s="1" t="s">
        <v>32</v>
      </c>
      <c r="F62" s="1" t="s">
        <v>46</v>
      </c>
      <c r="G62" s="1" t="s">
        <v>3127</v>
      </c>
      <c r="H62" s="1">
        <v>60497</v>
      </c>
      <c r="I62" s="1" t="s">
        <v>3128</v>
      </c>
      <c r="J62" s="1">
        <v>2521</v>
      </c>
      <c r="K62" s="1" t="s">
        <v>35</v>
      </c>
      <c r="L62" s="1">
        <v>40</v>
      </c>
      <c r="M62" s="1" t="str">
        <f>IF(L62&lt;=45,"Joven","Mayor")</f>
        <v>Joven</v>
      </c>
      <c r="N62" s="1">
        <v>37</v>
      </c>
      <c r="O62" s="1" t="s">
        <v>36</v>
      </c>
      <c r="P62" s="1">
        <v>0.61699999999999999</v>
      </c>
      <c r="Q62" s="1">
        <v>68.694999999999993</v>
      </c>
      <c r="R62" s="1">
        <v>12.409473999999999</v>
      </c>
      <c r="S62" s="1">
        <v>-6.5313470000000002</v>
      </c>
      <c r="T62" s="1">
        <v>-7.8106494</v>
      </c>
      <c r="U62" s="1">
        <v>6.9589999999999996</v>
      </c>
      <c r="V62" s="1">
        <v>88</v>
      </c>
      <c r="W62" s="1">
        <v>189</v>
      </c>
      <c r="X62" s="1">
        <v>2.1477272727272729</v>
      </c>
      <c r="Y62" s="1">
        <v>99</v>
      </c>
      <c r="Z62" s="1">
        <v>189</v>
      </c>
      <c r="AA62" s="1">
        <v>1.9090909090909092</v>
      </c>
      <c r="AB62" s="1">
        <v>94.250373960863044</v>
      </c>
      <c r="AC62" s="1">
        <v>188.19786910111091</v>
      </c>
      <c r="AD62" s="1">
        <v>1.9967864443621099</v>
      </c>
      <c r="AE62" t="s">
        <v>4817</v>
      </c>
      <c r="AF62" t="str">
        <f>IF(X62&lt;$AF$1,"Bajo","Alto")</f>
        <v>Alto</v>
      </c>
      <c r="AG62" t="str">
        <f>LEFT(AE62,1)</f>
        <v>C</v>
      </c>
      <c r="AH62" t="str">
        <f>K62</f>
        <v>M</v>
      </c>
      <c r="AI62" t="str">
        <f>LEFT(AF62,1)</f>
        <v>A</v>
      </c>
      <c r="AJ62" t="str">
        <f>LEFT(M62,1)</f>
        <v>J</v>
      </c>
      <c r="AK62" t="str">
        <f>_xlfn.CONCAT(AG62,AH62,AI62,AJ62)</f>
        <v>CMAJ</v>
      </c>
    </row>
    <row r="63" spans="1:37" ht="15.75" hidden="1" customHeight="1" x14ac:dyDescent="0.2">
      <c r="A63" s="1">
        <v>1036106</v>
      </c>
      <c r="B63" s="1" t="s">
        <v>783</v>
      </c>
      <c r="C63" s="1" t="s">
        <v>81</v>
      </c>
      <c r="D63" s="1" t="s">
        <v>875</v>
      </c>
      <c r="E63" s="1" t="s">
        <v>701</v>
      </c>
      <c r="F63" s="1" t="s">
        <v>88</v>
      </c>
      <c r="G63" s="1" t="s">
        <v>878</v>
      </c>
      <c r="H63" s="1">
        <v>1339</v>
      </c>
      <c r="I63" s="1" t="s">
        <v>73</v>
      </c>
      <c r="J63" s="1">
        <v>5</v>
      </c>
      <c r="K63" s="1" t="s">
        <v>35</v>
      </c>
      <c r="L63" s="1">
        <v>33</v>
      </c>
      <c r="M63" s="1" t="str">
        <f>IF(L63&lt;=45,"Joven","Mayor")</f>
        <v>Joven</v>
      </c>
      <c r="N63" s="1">
        <v>32</v>
      </c>
      <c r="O63" s="1" t="s">
        <v>36</v>
      </c>
      <c r="P63" s="1">
        <v>0.36199999999999999</v>
      </c>
      <c r="Q63" s="1">
        <v>92.349000000000004</v>
      </c>
      <c r="R63" s="1">
        <v>3.9024293000000001</v>
      </c>
      <c r="S63" s="1">
        <v>1.2316376</v>
      </c>
      <c r="T63" s="1">
        <v>2.4307417999999998</v>
      </c>
      <c r="U63" s="1">
        <v>23.805</v>
      </c>
      <c r="V63" s="1">
        <v>35</v>
      </c>
      <c r="W63" s="1">
        <v>75</v>
      </c>
      <c r="X63" s="1">
        <v>2.1428571428571428</v>
      </c>
      <c r="Y63" s="1">
        <v>39</v>
      </c>
      <c r="Z63" s="1">
        <v>75</v>
      </c>
      <c r="AA63" s="1">
        <v>1.9230769230769231</v>
      </c>
      <c r="AB63" s="1">
        <v>38.24390922012276</v>
      </c>
      <c r="AC63" s="1">
        <v>75.229398415135165</v>
      </c>
      <c r="AD63" s="1">
        <v>1.9670948903819641</v>
      </c>
      <c r="AE63" t="s">
        <v>4817</v>
      </c>
      <c r="AF63" t="str">
        <f>IF(X63&lt;$AF$1,"Bajo","Alto")</f>
        <v>Alto</v>
      </c>
      <c r="AG63" t="str">
        <f>LEFT(AE63,1)</f>
        <v>C</v>
      </c>
      <c r="AH63" t="str">
        <f>K63</f>
        <v>M</v>
      </c>
      <c r="AI63" t="str">
        <f>LEFT(AF63,1)</f>
        <v>A</v>
      </c>
      <c r="AJ63" t="str">
        <f>LEFT(M63,1)</f>
        <v>J</v>
      </c>
      <c r="AK63" t="str">
        <f>_xlfn.CONCAT(AG63,AH63,AI63,AJ63)</f>
        <v>CMAJ</v>
      </c>
    </row>
    <row r="64" spans="1:37" ht="15.75" hidden="1" customHeight="1" x14ac:dyDescent="0.2">
      <c r="A64" s="1">
        <v>10116901</v>
      </c>
      <c r="B64" s="1" t="s">
        <v>29</v>
      </c>
      <c r="C64" s="1" t="s">
        <v>30</v>
      </c>
      <c r="D64" s="1" t="s">
        <v>278</v>
      </c>
      <c r="E64" s="1" t="s">
        <v>279</v>
      </c>
      <c r="F64" s="1" t="s">
        <v>32</v>
      </c>
      <c r="G64" s="1" t="s">
        <v>280</v>
      </c>
      <c r="H64" s="1">
        <v>1054</v>
      </c>
      <c r="I64" s="1" t="s">
        <v>39</v>
      </c>
      <c r="J64" s="1">
        <v>11</v>
      </c>
      <c r="K64" s="1" t="s">
        <v>35</v>
      </c>
      <c r="L64" s="1">
        <v>45</v>
      </c>
      <c r="M64" s="1" t="str">
        <f>IF(L64&lt;=45,"Joven","Mayor")</f>
        <v>Joven</v>
      </c>
      <c r="N64" s="1">
        <v>48</v>
      </c>
      <c r="O64" s="1" t="s">
        <v>36</v>
      </c>
      <c r="P64" s="1">
        <v>3.9E-2</v>
      </c>
      <c r="Q64" s="1">
        <v>92.843999999999994</v>
      </c>
      <c r="R64" s="1">
        <v>3.48299</v>
      </c>
      <c r="S64" s="1">
        <v>0.971696</v>
      </c>
      <c r="T64" s="1">
        <v>-1.8811523000000001</v>
      </c>
      <c r="U64" s="1">
        <v>8.907</v>
      </c>
      <c r="V64" s="1">
        <v>66</v>
      </c>
      <c r="W64" s="1">
        <v>139</v>
      </c>
      <c r="X64" s="1">
        <v>2.106060606060606</v>
      </c>
      <c r="Y64" s="1">
        <v>67</v>
      </c>
      <c r="Z64" s="1">
        <v>139</v>
      </c>
      <c r="AA64" s="1">
        <v>2.0746268656716418</v>
      </c>
      <c r="AB64" s="1">
        <v>68.07998928648135</v>
      </c>
      <c r="AC64" s="1">
        <v>138.66247728449301</v>
      </c>
      <c r="AD64" s="1">
        <v>2.0367582124756183</v>
      </c>
      <c r="AE64" t="s">
        <v>4816</v>
      </c>
      <c r="AF64" t="str">
        <f>IF(X64&lt;$AF$1,"Bajo","Alto")</f>
        <v>Alto</v>
      </c>
      <c r="AG64" t="str">
        <f>LEFT(AE64,1)</f>
        <v>D</v>
      </c>
      <c r="AH64" t="str">
        <f>K64</f>
        <v>M</v>
      </c>
      <c r="AI64" t="str">
        <f>LEFT(AF64,1)</f>
        <v>A</v>
      </c>
      <c r="AJ64" t="str">
        <f>LEFT(M64,1)</f>
        <v>J</v>
      </c>
      <c r="AK64" t="str">
        <f>_xlfn.CONCAT(AG64,AH64,AI64,AJ64)</f>
        <v>DMAJ</v>
      </c>
    </row>
    <row r="65" spans="1:37" ht="15.75" hidden="1" customHeight="1" x14ac:dyDescent="0.2">
      <c r="A65" s="1">
        <v>10115005</v>
      </c>
      <c r="B65" s="1" t="s">
        <v>29</v>
      </c>
      <c r="C65" s="1" t="s">
        <v>30</v>
      </c>
      <c r="D65" s="1" t="s">
        <v>204</v>
      </c>
      <c r="E65" s="1" t="s">
        <v>205</v>
      </c>
      <c r="F65" s="1" t="s">
        <v>40</v>
      </c>
      <c r="G65" s="1" t="s">
        <v>210</v>
      </c>
      <c r="H65" s="1">
        <v>10</v>
      </c>
      <c r="I65" s="1" t="s">
        <v>91</v>
      </c>
      <c r="J65" s="1">
        <v>6</v>
      </c>
      <c r="K65" s="1" t="s">
        <v>49</v>
      </c>
      <c r="L65" s="1">
        <v>41</v>
      </c>
      <c r="M65" s="1" t="str">
        <f>IF(L65&lt;=45,"Joven","Mayor")</f>
        <v>Joven</v>
      </c>
      <c r="N65" s="1">
        <v>37</v>
      </c>
      <c r="O65" s="1" t="s">
        <v>50</v>
      </c>
      <c r="P65" s="1">
        <v>0.25900000000000001</v>
      </c>
      <c r="Q65" s="1">
        <v>67.808999999999997</v>
      </c>
      <c r="R65" s="1">
        <v>13.340733</v>
      </c>
      <c r="S65" s="1">
        <v>1.8210282</v>
      </c>
      <c r="T65" s="1">
        <v>-5.8063625999999999</v>
      </c>
      <c r="U65" s="1">
        <v>6.6539999999999999</v>
      </c>
      <c r="V65" s="1">
        <v>99</v>
      </c>
      <c r="W65" s="1">
        <v>147</v>
      </c>
      <c r="X65" s="1">
        <v>1.4848484848484849</v>
      </c>
      <c r="Y65" s="1">
        <v>103</v>
      </c>
      <c r="Z65" s="1">
        <v>147</v>
      </c>
      <c r="AA65" s="1">
        <v>1.4271844660194175</v>
      </c>
      <c r="AB65" s="1">
        <v>102.5387496312933</v>
      </c>
      <c r="AC65" s="1">
        <v>146.1446468663103</v>
      </c>
      <c r="AD65" s="1">
        <v>1.4252626191738653</v>
      </c>
      <c r="AE65" t="s">
        <v>4817</v>
      </c>
      <c r="AF65" t="str">
        <f>IF(X65&lt;$AF$1,"Bajo","Alto")</f>
        <v>Bajo</v>
      </c>
      <c r="AG65" t="str">
        <f>LEFT(AE65,1)</f>
        <v>C</v>
      </c>
      <c r="AH65" t="str">
        <f>K65</f>
        <v>F</v>
      </c>
      <c r="AI65" t="str">
        <f>LEFT(AF65,1)</f>
        <v>B</v>
      </c>
      <c r="AJ65" t="str">
        <f>LEFT(M65,1)</f>
        <v>J</v>
      </c>
      <c r="AK65" t="str">
        <f>_xlfn.CONCAT(AG65,AH65,AI65,AJ65)</f>
        <v>CFBJ</v>
      </c>
    </row>
    <row r="66" spans="1:37" ht="15.75" hidden="1" customHeight="1" x14ac:dyDescent="0.2">
      <c r="A66" s="1">
        <v>250404</v>
      </c>
      <c r="B66" s="1" t="s">
        <v>3169</v>
      </c>
      <c r="C66" s="1" t="s">
        <v>821</v>
      </c>
      <c r="D66" s="1" t="s">
        <v>3185</v>
      </c>
      <c r="E66" s="1" t="s">
        <v>61</v>
      </c>
      <c r="F66" s="1" t="s">
        <v>61</v>
      </c>
      <c r="G66" s="1" t="s">
        <v>3188</v>
      </c>
      <c r="H66" s="1">
        <v>2573</v>
      </c>
      <c r="I66" s="1" t="s">
        <v>65</v>
      </c>
      <c r="J66" s="1">
        <v>2</v>
      </c>
      <c r="K66" s="1" t="s">
        <v>35</v>
      </c>
      <c r="L66" s="1">
        <v>39</v>
      </c>
      <c r="M66" s="1" t="str">
        <f>IF(L66&lt;=45,"Joven","Mayor")</f>
        <v>Joven</v>
      </c>
      <c r="N66" s="1">
        <v>40</v>
      </c>
      <c r="O66" s="1" t="s">
        <v>36</v>
      </c>
      <c r="P66" s="1">
        <v>0.23300000000000001</v>
      </c>
      <c r="Q66" s="1">
        <v>91.423000000000002</v>
      </c>
      <c r="R66" s="1">
        <v>3.8931162000000001</v>
      </c>
      <c r="S66" s="1">
        <v>4.7172689999999999</v>
      </c>
      <c r="T66" s="1">
        <v>-11.223228000000001</v>
      </c>
      <c r="U66" s="1">
        <v>1.59</v>
      </c>
      <c r="V66" s="1">
        <v>71</v>
      </c>
      <c r="W66" s="1">
        <v>152</v>
      </c>
      <c r="X66" s="1">
        <v>2.140845070422535</v>
      </c>
      <c r="Y66" s="1">
        <v>84</v>
      </c>
      <c r="Z66" s="1">
        <v>152</v>
      </c>
      <c r="AA66" s="1">
        <v>1.8095238095238095</v>
      </c>
      <c r="AB66" s="1">
        <v>79.568452503382105</v>
      </c>
      <c r="AC66" s="1">
        <v>152.98584272338169</v>
      </c>
      <c r="AD66" s="1">
        <v>1.9226947101538634</v>
      </c>
      <c r="AE66" t="s">
        <v>4817</v>
      </c>
      <c r="AF66" t="str">
        <f>IF(X66&lt;$AF$1,"Bajo","Alto")</f>
        <v>Alto</v>
      </c>
      <c r="AG66" t="str">
        <f>LEFT(AE66,1)</f>
        <v>C</v>
      </c>
      <c r="AH66" t="str">
        <f>K66</f>
        <v>M</v>
      </c>
      <c r="AI66" t="str">
        <f>LEFT(AF66,1)</f>
        <v>A</v>
      </c>
      <c r="AJ66" t="str">
        <f>LEFT(M66,1)</f>
        <v>J</v>
      </c>
      <c r="AK66" t="str">
        <f>_xlfn.CONCAT(AG66,AH66,AI66,AJ66)</f>
        <v>CMAJ</v>
      </c>
    </row>
    <row r="67" spans="1:37" ht="15.75" hidden="1" customHeight="1" x14ac:dyDescent="0.2">
      <c r="A67" s="1">
        <v>255502</v>
      </c>
      <c r="B67" s="1" t="s">
        <v>3169</v>
      </c>
      <c r="C67" s="1" t="s">
        <v>821</v>
      </c>
      <c r="D67" s="1" t="s">
        <v>3277</v>
      </c>
      <c r="E67" s="1" t="s">
        <v>690</v>
      </c>
      <c r="F67" s="1" t="s">
        <v>37</v>
      </c>
      <c r="G67" s="1" t="s">
        <v>3279</v>
      </c>
      <c r="H67" s="1">
        <v>1310</v>
      </c>
      <c r="I67" s="1" t="s">
        <v>65</v>
      </c>
      <c r="J67" s="1">
        <v>2</v>
      </c>
      <c r="K67" s="1" t="s">
        <v>35</v>
      </c>
      <c r="L67" s="1">
        <v>57</v>
      </c>
      <c r="M67" s="1" t="str">
        <f>IF(L67&lt;=45,"Joven","Mayor")</f>
        <v>Mayor</v>
      </c>
      <c r="N67" s="1">
        <v>60</v>
      </c>
      <c r="O67" s="1" t="s">
        <v>36</v>
      </c>
      <c r="P67" s="1">
        <v>0.47299999999999998</v>
      </c>
      <c r="Q67" s="1">
        <v>93.495000000000005</v>
      </c>
      <c r="R67" s="1">
        <v>1.768977</v>
      </c>
      <c r="S67" s="1">
        <v>2.9653195999999999</v>
      </c>
      <c r="T67" s="1">
        <v>-7.1316100000000002</v>
      </c>
      <c r="U67" s="1">
        <v>2.0649999999999999</v>
      </c>
      <c r="V67" s="1">
        <v>127</v>
      </c>
      <c r="W67" s="1">
        <v>186</v>
      </c>
      <c r="X67" s="1">
        <v>1.4645669291338583</v>
      </c>
      <c r="Y67" s="1">
        <v>127</v>
      </c>
      <c r="Z67" s="1">
        <v>186</v>
      </c>
      <c r="AA67" s="1">
        <v>1.4645669291338583</v>
      </c>
      <c r="AB67" s="1">
        <v>132.8456676372557</v>
      </c>
      <c r="AC67" s="1">
        <v>185.8025181369353</v>
      </c>
      <c r="AD67" s="1">
        <v>1.3986343810946245</v>
      </c>
      <c r="AE67" t="s">
        <v>4817</v>
      </c>
      <c r="AF67" t="str">
        <f>IF(X67&lt;$AF$1,"Bajo","Alto")</f>
        <v>Bajo</v>
      </c>
      <c r="AG67" t="str">
        <f>LEFT(AE67,1)</f>
        <v>C</v>
      </c>
      <c r="AH67" t="str">
        <f>K67</f>
        <v>M</v>
      </c>
      <c r="AI67" t="str">
        <f>LEFT(AF67,1)</f>
        <v>B</v>
      </c>
      <c r="AJ67" t="str">
        <f>LEFT(M67,1)</f>
        <v>M</v>
      </c>
      <c r="AK67" t="str">
        <f>_xlfn.CONCAT(AG67,AH67,AI67,AJ67)</f>
        <v>CMBM</v>
      </c>
    </row>
    <row r="68" spans="1:37" ht="15.75" hidden="1" customHeight="1" x14ac:dyDescent="0.2">
      <c r="A68" s="1">
        <v>1057201</v>
      </c>
      <c r="B68" s="1" t="s">
        <v>694</v>
      </c>
      <c r="C68" s="1" t="s">
        <v>879</v>
      </c>
      <c r="D68" s="1" t="s">
        <v>1015</v>
      </c>
      <c r="E68" s="1" t="s">
        <v>1016</v>
      </c>
      <c r="F68" s="1" t="s">
        <v>32</v>
      </c>
      <c r="G68" s="1" t="s">
        <v>1017</v>
      </c>
      <c r="H68" s="1">
        <v>1991</v>
      </c>
      <c r="I68" s="1" t="s">
        <v>65</v>
      </c>
      <c r="J68" s="1">
        <v>2</v>
      </c>
      <c r="K68" s="1" t="s">
        <v>35</v>
      </c>
      <c r="L68" s="1">
        <v>41</v>
      </c>
      <c r="M68" s="1" t="str">
        <f>IF(L68&lt;=45,"Joven","Mayor")</f>
        <v>Joven</v>
      </c>
      <c r="N68" s="1">
        <v>44</v>
      </c>
      <c r="O68" s="1" t="s">
        <v>36</v>
      </c>
      <c r="P68" s="1">
        <v>0.35299999999999998</v>
      </c>
      <c r="Q68" s="1">
        <v>92.397999999999996</v>
      </c>
      <c r="R68" s="1">
        <v>3.7501237000000001</v>
      </c>
      <c r="S68" s="1">
        <v>-1.6139224000000001</v>
      </c>
      <c r="T68" s="1">
        <v>-3.0439522000000001</v>
      </c>
      <c r="U68" s="1">
        <v>3.375</v>
      </c>
      <c r="V68" s="1">
        <v>114</v>
      </c>
      <c r="W68" s="1">
        <v>165</v>
      </c>
      <c r="X68" s="1">
        <v>1.4473684210526316</v>
      </c>
      <c r="Y68" s="1">
        <v>119</v>
      </c>
      <c r="Z68" s="1">
        <v>165</v>
      </c>
      <c r="AA68" s="1">
        <v>1.3865546218487395</v>
      </c>
      <c r="AB68" s="1">
        <v>116.5473586588398</v>
      </c>
      <c r="AC68" s="1">
        <v>165.03271042216781</v>
      </c>
      <c r="AD68" s="1">
        <v>1.4160141621506455</v>
      </c>
      <c r="AE68" t="s">
        <v>4817</v>
      </c>
      <c r="AF68" t="str">
        <f>IF(X68&lt;$AF$1,"Bajo","Alto")</f>
        <v>Bajo</v>
      </c>
      <c r="AG68" t="str">
        <f>LEFT(AE68,1)</f>
        <v>C</v>
      </c>
      <c r="AH68" t="str">
        <f>K68</f>
        <v>M</v>
      </c>
      <c r="AI68" t="str">
        <f>LEFT(AF68,1)</f>
        <v>B</v>
      </c>
      <c r="AJ68" t="str">
        <f>LEFT(M68,1)</f>
        <v>J</v>
      </c>
      <c r="AK68" t="str">
        <f>_xlfn.CONCAT(AG68,AH68,AI68,AJ68)</f>
        <v>CMBJ</v>
      </c>
    </row>
    <row r="69" spans="1:37" ht="15.75" hidden="1" customHeight="1" x14ac:dyDescent="0.2">
      <c r="A69" s="1">
        <v>234401</v>
      </c>
      <c r="B69" s="1" t="s">
        <v>319</v>
      </c>
      <c r="C69" s="1" t="s">
        <v>1989</v>
      </c>
      <c r="D69" s="1" t="s">
        <v>3038</v>
      </c>
      <c r="E69" s="1" t="s">
        <v>995</v>
      </c>
      <c r="F69" s="1" t="s">
        <v>32</v>
      </c>
      <c r="G69" s="1" t="s">
        <v>3039</v>
      </c>
      <c r="H69" s="1">
        <v>2487</v>
      </c>
      <c r="I69" s="1" t="s">
        <v>65</v>
      </c>
      <c r="J69" s="1">
        <v>2</v>
      </c>
      <c r="K69" s="1" t="s">
        <v>35</v>
      </c>
      <c r="L69" s="1">
        <v>33</v>
      </c>
      <c r="M69" s="1" t="str">
        <f>IF(L69&lt;=45,"Joven","Mayor")</f>
        <v>Joven</v>
      </c>
      <c r="N69" s="1">
        <v>40</v>
      </c>
      <c r="O69" s="1" t="s">
        <v>36</v>
      </c>
      <c r="P69" s="1">
        <v>0.373</v>
      </c>
      <c r="Q69" s="1">
        <v>76.075000000000003</v>
      </c>
      <c r="R69" s="1">
        <v>10.663632</v>
      </c>
      <c r="S69" s="1">
        <v>6.9603356999999999</v>
      </c>
      <c r="T69" s="1">
        <v>-9.5721430000000005</v>
      </c>
      <c r="U69" s="1">
        <v>34.369999999999997</v>
      </c>
      <c r="V69" s="1">
        <v>57</v>
      </c>
      <c r="W69" s="1">
        <v>122</v>
      </c>
      <c r="X69" s="1">
        <v>2.1403508771929824</v>
      </c>
      <c r="Y69" s="1">
        <v>68</v>
      </c>
      <c r="Z69" s="1">
        <v>122</v>
      </c>
      <c r="AA69" s="1">
        <v>1.7941176470588236</v>
      </c>
      <c r="AB69" s="1">
        <v>63.727449409797828</v>
      </c>
      <c r="AC69" s="1">
        <v>123.2946024603129</v>
      </c>
      <c r="AD69" s="1">
        <v>1.9347173565266975</v>
      </c>
      <c r="AE69" t="s">
        <v>4817</v>
      </c>
      <c r="AF69" t="str">
        <f>IF(X69&lt;$AF$1,"Bajo","Alto")</f>
        <v>Alto</v>
      </c>
      <c r="AG69" t="str">
        <f>LEFT(AE69,1)</f>
        <v>C</v>
      </c>
      <c r="AH69" t="str">
        <f>K69</f>
        <v>M</v>
      </c>
      <c r="AI69" t="str">
        <f>LEFT(AF69,1)</f>
        <v>A</v>
      </c>
      <c r="AJ69" t="str">
        <f>LEFT(M69,1)</f>
        <v>J</v>
      </c>
      <c r="AK69" t="str">
        <f>_xlfn.CONCAT(AG69,AH69,AI69,AJ69)</f>
        <v>CMAJ</v>
      </c>
    </row>
    <row r="70" spans="1:37" ht="15.75" hidden="1" customHeight="1" x14ac:dyDescent="0.2">
      <c r="A70" s="1">
        <v>2912103</v>
      </c>
      <c r="B70" s="1" t="s">
        <v>3890</v>
      </c>
      <c r="C70" s="1" t="s">
        <v>1695</v>
      </c>
      <c r="D70" s="1" t="s">
        <v>3952</v>
      </c>
      <c r="E70" s="1" t="s">
        <v>136</v>
      </c>
      <c r="F70" s="1" t="s">
        <v>63</v>
      </c>
      <c r="G70" s="1" t="s">
        <v>3953</v>
      </c>
      <c r="H70" s="1">
        <v>127</v>
      </c>
      <c r="I70" s="1" t="s">
        <v>85</v>
      </c>
      <c r="J70" s="1">
        <v>12</v>
      </c>
      <c r="K70" s="1" t="s">
        <v>35</v>
      </c>
      <c r="L70" s="1">
        <v>58</v>
      </c>
      <c r="M70" s="1" t="str">
        <f>IF(L70&lt;=45,"Joven","Mayor")</f>
        <v>Mayor</v>
      </c>
      <c r="N70" s="1">
        <v>57</v>
      </c>
      <c r="O70" s="1" t="s">
        <v>36</v>
      </c>
      <c r="P70" s="1">
        <v>0.32900000000000001</v>
      </c>
      <c r="Q70" s="1">
        <v>86.97</v>
      </c>
      <c r="R70" s="1">
        <v>7.3791039999999999</v>
      </c>
      <c r="S70" s="1">
        <v>3.9232811999999999</v>
      </c>
      <c r="T70" s="1">
        <v>1.597847</v>
      </c>
      <c r="U70" s="1">
        <v>0.158</v>
      </c>
      <c r="V70" s="1">
        <v>84</v>
      </c>
      <c r="W70" s="1">
        <v>171</v>
      </c>
      <c r="X70" s="1">
        <v>2.0357142857142856</v>
      </c>
      <c r="Y70" s="1">
        <v>89</v>
      </c>
      <c r="Z70" s="1">
        <v>171</v>
      </c>
      <c r="AA70" s="1">
        <v>1.9213483146067416</v>
      </c>
      <c r="AB70" s="1">
        <v>87.961566804477798</v>
      </c>
      <c r="AC70" s="1">
        <v>171.100813424574</v>
      </c>
      <c r="AD70" s="1">
        <v>1.9451769635356688</v>
      </c>
      <c r="AE70" t="s">
        <v>4815</v>
      </c>
      <c r="AF70" t="str">
        <f>IF(X70&lt;$AF$1,"Bajo","Alto")</f>
        <v>Alto</v>
      </c>
      <c r="AG70" t="str">
        <f>LEFT(AE70,1)</f>
        <v>I</v>
      </c>
      <c r="AH70" t="str">
        <f>K70</f>
        <v>M</v>
      </c>
      <c r="AI70" t="str">
        <f>LEFT(AF70,1)</f>
        <v>A</v>
      </c>
      <c r="AJ70" t="str">
        <f>LEFT(M70,1)</f>
        <v>M</v>
      </c>
      <c r="AK70" t="str">
        <f>_xlfn.CONCAT(AG70,AH70,AI70,AJ70)</f>
        <v>IMAM</v>
      </c>
    </row>
    <row r="71" spans="1:37" ht="15.75" hidden="1" customHeight="1" x14ac:dyDescent="0.2">
      <c r="A71" s="1">
        <v>173801</v>
      </c>
      <c r="B71" s="1" t="s">
        <v>2551</v>
      </c>
      <c r="C71" s="1" t="s">
        <v>2552</v>
      </c>
      <c r="D71" s="1" t="s">
        <v>2636</v>
      </c>
      <c r="E71" s="1" t="s">
        <v>2637</v>
      </c>
      <c r="F71" s="1" t="s">
        <v>32</v>
      </c>
      <c r="G71" s="1" t="s">
        <v>2638</v>
      </c>
      <c r="H71" s="1">
        <v>1966</v>
      </c>
      <c r="I71" s="1" t="s">
        <v>100</v>
      </c>
      <c r="J71" s="1">
        <v>1</v>
      </c>
      <c r="K71" s="1" t="s">
        <v>35</v>
      </c>
      <c r="L71" s="1">
        <v>51</v>
      </c>
      <c r="M71" s="1" t="str">
        <f>IF(L71&lt;=45,"Joven","Mayor")</f>
        <v>Mayor</v>
      </c>
      <c r="N71" s="1">
        <v>50</v>
      </c>
      <c r="O71" s="1" t="s">
        <v>36</v>
      </c>
      <c r="P71" s="1">
        <v>0.35799999999999998</v>
      </c>
      <c r="Q71" s="1">
        <v>92.823999999999998</v>
      </c>
      <c r="R71" s="1">
        <v>3.0290281999999999</v>
      </c>
      <c r="S71" s="1">
        <v>2.2822290000000001</v>
      </c>
      <c r="T71" s="1">
        <v>-1.6565068999999999</v>
      </c>
      <c r="U71" s="1">
        <v>2.573</v>
      </c>
      <c r="V71" s="1">
        <v>99</v>
      </c>
      <c r="W71" s="1">
        <v>145</v>
      </c>
      <c r="X71" s="1">
        <v>1.4646464646464648</v>
      </c>
      <c r="Y71" s="1">
        <v>102</v>
      </c>
      <c r="Z71" s="1">
        <v>145</v>
      </c>
      <c r="AA71" s="1">
        <v>1.4215686274509804</v>
      </c>
      <c r="AB71" s="1">
        <v>103.08476475940139</v>
      </c>
      <c r="AC71" s="1">
        <v>144.88158835408061</v>
      </c>
      <c r="AD71" s="1">
        <v>1.4054607263472201</v>
      </c>
      <c r="AE71" t="s">
        <v>4817</v>
      </c>
      <c r="AF71" t="str">
        <f>IF(X71&lt;$AF$1,"Bajo","Alto")</f>
        <v>Bajo</v>
      </c>
      <c r="AG71" t="str">
        <f>LEFT(AE71,1)</f>
        <v>C</v>
      </c>
      <c r="AH71" t="str">
        <f>K71</f>
        <v>M</v>
      </c>
      <c r="AI71" t="str">
        <f>LEFT(AF71,1)</f>
        <v>B</v>
      </c>
      <c r="AJ71" t="str">
        <f>LEFT(M71,1)</f>
        <v>M</v>
      </c>
      <c r="AK71" t="str">
        <f>_xlfn.CONCAT(AG71,AH71,AI71,AJ71)</f>
        <v>CMBM</v>
      </c>
    </row>
    <row r="72" spans="1:37" ht="15.75" hidden="1" customHeight="1" x14ac:dyDescent="0.2">
      <c r="A72" s="1">
        <v>1031001</v>
      </c>
      <c r="B72" s="1" t="s">
        <v>783</v>
      </c>
      <c r="C72" s="1" t="s">
        <v>81</v>
      </c>
      <c r="D72" s="1" t="s">
        <v>798</v>
      </c>
      <c r="E72" s="1" t="s">
        <v>75</v>
      </c>
      <c r="F72" s="1" t="s">
        <v>32</v>
      </c>
      <c r="G72" s="1" t="s">
        <v>799</v>
      </c>
      <c r="H72" s="1">
        <v>2568</v>
      </c>
      <c r="I72" s="1" t="s">
        <v>100</v>
      </c>
      <c r="J72" s="1">
        <v>1</v>
      </c>
      <c r="K72" s="1" t="s">
        <v>35</v>
      </c>
      <c r="L72" s="1">
        <v>40</v>
      </c>
      <c r="M72" s="1" t="str">
        <f>IF(L72&lt;=45,"Joven","Mayor")</f>
        <v>Joven</v>
      </c>
      <c r="N72" s="1">
        <v>25</v>
      </c>
      <c r="O72" s="1" t="s">
        <v>36</v>
      </c>
      <c r="P72" s="1">
        <v>0.626</v>
      </c>
      <c r="Q72" s="1">
        <v>89.02</v>
      </c>
      <c r="R72" s="1">
        <v>6.6326489999999998</v>
      </c>
      <c r="S72" s="1">
        <v>1.4391822999999999</v>
      </c>
      <c r="T72" s="1">
        <v>-5.6872926000000001</v>
      </c>
      <c r="U72" s="1">
        <v>31.052</v>
      </c>
      <c r="V72" s="1">
        <v>72</v>
      </c>
      <c r="W72" s="1">
        <v>154</v>
      </c>
      <c r="X72" s="1">
        <v>2.1388888888888888</v>
      </c>
      <c r="Y72" s="1">
        <v>74</v>
      </c>
      <c r="Z72" s="1">
        <v>154</v>
      </c>
      <c r="AA72" s="1">
        <v>2.0810810810810811</v>
      </c>
      <c r="AB72" s="1">
        <v>75.312250415215431</v>
      </c>
      <c r="AC72" s="1">
        <v>152.84555004337381</v>
      </c>
      <c r="AD72" s="1">
        <v>2.029491207614933</v>
      </c>
      <c r="AE72" t="s">
        <v>4817</v>
      </c>
      <c r="AF72" t="str">
        <f>IF(X72&lt;$AF$1,"Bajo","Alto")</f>
        <v>Alto</v>
      </c>
      <c r="AG72" t="str">
        <f>LEFT(AE72,1)</f>
        <v>C</v>
      </c>
      <c r="AH72" t="str">
        <f>K72</f>
        <v>M</v>
      </c>
      <c r="AI72" t="str">
        <f>LEFT(AF72,1)</f>
        <v>A</v>
      </c>
      <c r="AJ72" t="str">
        <f>LEFT(M72,1)</f>
        <v>J</v>
      </c>
      <c r="AK72" t="str">
        <f>_xlfn.CONCAT(AG72,AH72,AI72,AJ72)</f>
        <v>CMAJ</v>
      </c>
    </row>
    <row r="73" spans="1:37" ht="15.75" hidden="1" customHeight="1" x14ac:dyDescent="0.2">
      <c r="A73" s="1">
        <v>1018505</v>
      </c>
      <c r="B73" s="1" t="s">
        <v>29</v>
      </c>
      <c r="C73" s="1" t="s">
        <v>30</v>
      </c>
      <c r="D73" s="1" t="s">
        <v>754</v>
      </c>
      <c r="E73" s="1" t="s">
        <v>755</v>
      </c>
      <c r="F73" s="1" t="s">
        <v>40</v>
      </c>
      <c r="G73" s="1" t="s">
        <v>760</v>
      </c>
      <c r="H73" s="1">
        <v>991</v>
      </c>
      <c r="I73" s="1" t="s">
        <v>761</v>
      </c>
      <c r="J73" s="1">
        <v>2707</v>
      </c>
      <c r="K73" s="1" t="s">
        <v>35</v>
      </c>
      <c r="L73" s="1">
        <v>48</v>
      </c>
      <c r="M73" s="1" t="str">
        <f>IF(L73&lt;=45,"Joven","Mayor")</f>
        <v>Mayor</v>
      </c>
      <c r="N73" s="1">
        <v>50</v>
      </c>
      <c r="O73" s="1" t="s">
        <v>36</v>
      </c>
      <c r="P73" s="1">
        <v>0.438</v>
      </c>
      <c r="Q73" s="1">
        <v>94.007999999999996</v>
      </c>
      <c r="R73" s="1">
        <v>0.77671199999999996</v>
      </c>
      <c r="S73" s="1">
        <v>3.1776862000000001</v>
      </c>
      <c r="T73" s="1">
        <v>5.5754704000000004</v>
      </c>
      <c r="U73" s="1">
        <v>2.1749999999999998</v>
      </c>
      <c r="V73" s="1">
        <v>86</v>
      </c>
      <c r="W73" s="1">
        <v>183</v>
      </c>
      <c r="X73" s="1">
        <v>2.1279069767441858</v>
      </c>
      <c r="Y73" s="1">
        <v>97</v>
      </c>
      <c r="Z73" s="1">
        <v>183</v>
      </c>
      <c r="AA73" s="1">
        <v>1.8865979381443299</v>
      </c>
      <c r="AB73" s="1">
        <v>92.94629932353655</v>
      </c>
      <c r="AC73" s="1">
        <v>183.88306538474541</v>
      </c>
      <c r="AD73" s="1">
        <v>1.9783796312822233</v>
      </c>
      <c r="AE73" t="s">
        <v>4817</v>
      </c>
      <c r="AF73" t="str">
        <f>IF(X73&lt;$AF$1,"Bajo","Alto")</f>
        <v>Alto</v>
      </c>
      <c r="AG73" t="str">
        <f>LEFT(AE73,1)</f>
        <v>C</v>
      </c>
      <c r="AH73" t="str">
        <f>K73</f>
        <v>M</v>
      </c>
      <c r="AI73" t="str">
        <f>LEFT(AF73,1)</f>
        <v>A</v>
      </c>
      <c r="AJ73" t="str">
        <f>LEFT(M73,1)</f>
        <v>M</v>
      </c>
      <c r="AK73" t="str">
        <f>_xlfn.CONCAT(AG73,AH73,AI73,AJ73)</f>
        <v>CMAM</v>
      </c>
    </row>
    <row r="74" spans="1:37" ht="15.75" hidden="1" customHeight="1" x14ac:dyDescent="0.2">
      <c r="A74" s="1">
        <v>10126203</v>
      </c>
      <c r="B74" s="1" t="s">
        <v>29</v>
      </c>
      <c r="C74" s="1" t="s">
        <v>30</v>
      </c>
      <c r="D74" s="1" t="s">
        <v>522</v>
      </c>
      <c r="E74" s="1" t="s">
        <v>523</v>
      </c>
      <c r="F74" s="1" t="s">
        <v>63</v>
      </c>
      <c r="G74" s="1" t="s">
        <v>526</v>
      </c>
      <c r="H74" s="1">
        <v>94</v>
      </c>
      <c r="I74" s="1" t="s">
        <v>108</v>
      </c>
      <c r="J74" s="1">
        <v>3</v>
      </c>
      <c r="K74" s="1" t="s">
        <v>35</v>
      </c>
      <c r="L74" s="1">
        <v>57</v>
      </c>
      <c r="M74" s="1" t="str">
        <f>IF(L74&lt;=45,"Joven","Mayor")</f>
        <v>Mayor</v>
      </c>
      <c r="N74" s="1">
        <v>61</v>
      </c>
      <c r="O74" s="1" t="s">
        <v>36</v>
      </c>
      <c r="P74" s="1">
        <v>4.2999999999999997E-2</v>
      </c>
      <c r="Q74" s="1">
        <v>86.751000000000005</v>
      </c>
      <c r="R74" s="1">
        <v>3.4560322999999999</v>
      </c>
      <c r="S74" s="1">
        <v>13.085456000000001</v>
      </c>
      <c r="T74" s="1">
        <v>-12.141654000000001</v>
      </c>
      <c r="U74" s="1">
        <v>0.23</v>
      </c>
      <c r="V74" s="1">
        <v>88</v>
      </c>
      <c r="W74" s="1">
        <v>186</v>
      </c>
      <c r="X74" s="1">
        <v>2.1136363636363638</v>
      </c>
      <c r="Y74" s="1">
        <v>107</v>
      </c>
      <c r="Z74" s="1">
        <v>186</v>
      </c>
      <c r="AA74" s="1">
        <v>1.7383177570093458</v>
      </c>
      <c r="AB74" s="1">
        <v>99.071911580135293</v>
      </c>
      <c r="AC74" s="1">
        <v>188.3594989736398</v>
      </c>
      <c r="AD74" s="1">
        <v>1.9012401796778027</v>
      </c>
      <c r="AE74" t="s">
        <v>4817</v>
      </c>
      <c r="AF74" t="str">
        <f>IF(X74&lt;$AF$1,"Bajo","Alto")</f>
        <v>Alto</v>
      </c>
      <c r="AG74" t="str">
        <f>LEFT(AE74,1)</f>
        <v>C</v>
      </c>
      <c r="AH74" t="str">
        <f>K74</f>
        <v>M</v>
      </c>
      <c r="AI74" t="str">
        <f>LEFT(AF74,1)</f>
        <v>A</v>
      </c>
      <c r="AJ74" t="str">
        <f>LEFT(M74,1)</f>
        <v>M</v>
      </c>
      <c r="AK74" t="str">
        <f>_xlfn.CONCAT(AG74,AH74,AI74,AJ74)</f>
        <v>CMAM</v>
      </c>
    </row>
    <row r="75" spans="1:37" ht="15.75" hidden="1" customHeight="1" x14ac:dyDescent="0.2">
      <c r="A75" s="1">
        <v>268001</v>
      </c>
      <c r="B75" s="1" t="s">
        <v>3358</v>
      </c>
      <c r="C75" s="1" t="s">
        <v>968</v>
      </c>
      <c r="D75" s="1" t="s">
        <v>3407</v>
      </c>
      <c r="E75" s="1" t="s">
        <v>744</v>
      </c>
      <c r="F75" s="1" t="s">
        <v>32</v>
      </c>
      <c r="G75" s="1" t="s">
        <v>3408</v>
      </c>
      <c r="H75" s="1">
        <v>8785</v>
      </c>
      <c r="I75" s="1" t="s">
        <v>65</v>
      </c>
      <c r="J75" s="1">
        <v>2</v>
      </c>
      <c r="K75" s="1" t="s">
        <v>35</v>
      </c>
      <c r="L75" s="1">
        <v>45</v>
      </c>
      <c r="M75" s="1" t="str">
        <f>IF(L75&lt;=45,"Joven","Mayor")</f>
        <v>Joven</v>
      </c>
      <c r="N75" s="1">
        <v>47</v>
      </c>
      <c r="O75" s="1" t="s">
        <v>36</v>
      </c>
      <c r="P75" s="1">
        <v>0.46300000000000002</v>
      </c>
      <c r="Q75" s="1">
        <v>83.742000000000004</v>
      </c>
      <c r="R75" s="1">
        <v>5.8961953999999999</v>
      </c>
      <c r="S75" s="1">
        <v>12.119776999999999</v>
      </c>
      <c r="T75" s="1">
        <v>-0.98529637000000003</v>
      </c>
      <c r="U75" s="1">
        <v>30.798999999999999</v>
      </c>
      <c r="V75" s="1">
        <v>107</v>
      </c>
      <c r="W75" s="1">
        <v>155</v>
      </c>
      <c r="X75" s="1">
        <v>1.4485981308411215</v>
      </c>
      <c r="Y75" s="1">
        <v>111</v>
      </c>
      <c r="Z75" s="1">
        <v>155</v>
      </c>
      <c r="AA75" s="1">
        <v>1.3963963963963963</v>
      </c>
      <c r="AB75" s="1">
        <v>111.5510496500228</v>
      </c>
      <c r="AC75" s="1">
        <v>154.87390694383569</v>
      </c>
      <c r="AD75" s="1">
        <v>1.3883679932168529</v>
      </c>
      <c r="AE75" t="s">
        <v>4817</v>
      </c>
      <c r="AF75" t="str">
        <f>IF(X75&lt;$AF$1,"Bajo","Alto")</f>
        <v>Bajo</v>
      </c>
      <c r="AG75" t="str">
        <f>LEFT(AE75,1)</f>
        <v>C</v>
      </c>
      <c r="AH75" t="str">
        <f>K75</f>
        <v>M</v>
      </c>
      <c r="AI75" t="str">
        <f>LEFT(AF75,1)</f>
        <v>B</v>
      </c>
      <c r="AJ75" t="str">
        <f>LEFT(M75,1)</f>
        <v>J</v>
      </c>
      <c r="AK75" t="str">
        <f>_xlfn.CONCAT(AG75,AH75,AI75,AJ75)</f>
        <v>CMBJ</v>
      </c>
    </row>
    <row r="76" spans="1:37" ht="15.75" hidden="1" customHeight="1" x14ac:dyDescent="0.2">
      <c r="A76" s="1">
        <v>10128303</v>
      </c>
      <c r="B76" s="1" t="s">
        <v>29</v>
      </c>
      <c r="C76" s="1" t="s">
        <v>30</v>
      </c>
      <c r="D76" s="1" t="s">
        <v>568</v>
      </c>
      <c r="E76" s="1" t="s">
        <v>569</v>
      </c>
      <c r="F76" s="1" t="s">
        <v>63</v>
      </c>
      <c r="G76" s="1" t="s">
        <v>571</v>
      </c>
      <c r="H76" s="1">
        <v>463</v>
      </c>
      <c r="I76" s="1" t="s">
        <v>65</v>
      </c>
      <c r="J76" s="1">
        <v>2</v>
      </c>
      <c r="K76" s="1" t="s">
        <v>35</v>
      </c>
      <c r="L76" s="1">
        <v>38</v>
      </c>
      <c r="M76" s="1" t="str">
        <f>IF(L76&lt;=45,"Joven","Mayor")</f>
        <v>Joven</v>
      </c>
      <c r="N76" s="1">
        <v>39</v>
      </c>
      <c r="O76" s="1" t="s">
        <v>36</v>
      </c>
      <c r="P76" s="1">
        <v>2.5920000000000001</v>
      </c>
      <c r="Q76" s="1">
        <v>92.394000000000005</v>
      </c>
      <c r="R76" s="1">
        <v>-1.2212148</v>
      </c>
      <c r="S76" s="1">
        <v>5.9530196000000002</v>
      </c>
      <c r="T76" s="1">
        <v>-3.9826192000000003E-2</v>
      </c>
      <c r="U76" s="1">
        <v>55.170999999999999</v>
      </c>
      <c r="V76" s="1">
        <v>101</v>
      </c>
      <c r="W76" s="1">
        <v>147</v>
      </c>
      <c r="X76" s="1">
        <v>1.4554455445544554</v>
      </c>
      <c r="Y76" s="1">
        <v>102</v>
      </c>
      <c r="Z76" s="1">
        <v>147</v>
      </c>
      <c r="AA76" s="1">
        <v>1.4411764705882353</v>
      </c>
      <c r="AB76" s="1">
        <v>102.02430379306929</v>
      </c>
      <c r="AC76" s="1">
        <v>146.99648899701791</v>
      </c>
      <c r="AD76" s="1">
        <v>1.4407987462983665</v>
      </c>
      <c r="AE76" t="s">
        <v>4817</v>
      </c>
      <c r="AF76" t="str">
        <f>IF(X76&lt;$AF$1,"Bajo","Alto")</f>
        <v>Bajo</v>
      </c>
      <c r="AG76" t="str">
        <f>LEFT(AE76,1)</f>
        <v>C</v>
      </c>
      <c r="AH76" t="str">
        <f>K76</f>
        <v>M</v>
      </c>
      <c r="AI76" t="str">
        <f>LEFT(AF76,1)</f>
        <v>B</v>
      </c>
      <c r="AJ76" t="str">
        <f>LEFT(M76,1)</f>
        <v>J</v>
      </c>
      <c r="AK76" t="str">
        <f>_xlfn.CONCAT(AG76,AH76,AI76,AJ76)</f>
        <v>CMBJ</v>
      </c>
    </row>
    <row r="77" spans="1:37" ht="15.75" hidden="1" customHeight="1" x14ac:dyDescent="0.2">
      <c r="A77" s="1">
        <v>1527102</v>
      </c>
      <c r="B77" s="1" t="s">
        <v>2077</v>
      </c>
      <c r="C77" s="1" t="s">
        <v>57</v>
      </c>
      <c r="D77" s="1" t="s">
        <v>2328</v>
      </c>
      <c r="E77" s="1" t="s">
        <v>546</v>
      </c>
      <c r="F77" s="1" t="s">
        <v>37</v>
      </c>
      <c r="G77" s="1" t="s">
        <v>2330</v>
      </c>
      <c r="H77" s="1">
        <v>594</v>
      </c>
      <c r="I77" s="1" t="s">
        <v>87</v>
      </c>
      <c r="J77" s="1">
        <v>14</v>
      </c>
      <c r="K77" s="1" t="s">
        <v>35</v>
      </c>
      <c r="L77" s="1">
        <v>49</v>
      </c>
      <c r="M77" s="1" t="str">
        <f>IF(L77&lt;=45,"Joven","Mayor")</f>
        <v>Mayor</v>
      </c>
      <c r="N77" s="1">
        <v>46</v>
      </c>
      <c r="O77" s="1" t="s">
        <v>36</v>
      </c>
      <c r="P77" s="1">
        <v>0.45500000000000002</v>
      </c>
      <c r="Q77" s="1">
        <v>93.554000000000002</v>
      </c>
      <c r="R77" s="1">
        <v>-0.41905682999999999</v>
      </c>
      <c r="S77" s="1">
        <v>5.6300496999999998</v>
      </c>
      <c r="T77" s="1">
        <v>-3.100689</v>
      </c>
      <c r="U77" s="1">
        <v>1.8180000000000001</v>
      </c>
      <c r="V77" s="1">
        <v>100</v>
      </c>
      <c r="W77" s="1">
        <v>151</v>
      </c>
      <c r="X77" s="1">
        <v>1.51</v>
      </c>
      <c r="Y77" s="1">
        <v>100</v>
      </c>
      <c r="Z77" s="1">
        <v>151</v>
      </c>
      <c r="AA77" s="1">
        <v>1.51</v>
      </c>
      <c r="AB77" s="1">
        <v>101.9090531805973</v>
      </c>
      <c r="AC77" s="1">
        <v>150.7248481900956</v>
      </c>
      <c r="AD77" s="1">
        <v>1.4790133308665894</v>
      </c>
      <c r="AE77" t="s">
        <v>4816</v>
      </c>
      <c r="AF77" t="str">
        <f>IF(X77&lt;$AF$1,"Bajo","Alto")</f>
        <v>Bajo</v>
      </c>
      <c r="AG77" t="str">
        <f>LEFT(AE77,1)</f>
        <v>D</v>
      </c>
      <c r="AH77" t="str">
        <f>K77</f>
        <v>M</v>
      </c>
      <c r="AI77" t="str">
        <f>LEFT(AF77,1)</f>
        <v>B</v>
      </c>
      <c r="AJ77" t="str">
        <f>LEFT(M77,1)</f>
        <v>M</v>
      </c>
      <c r="AK77" t="str">
        <f>_xlfn.CONCAT(AG77,AH77,AI77,AJ77)</f>
        <v>DMBM</v>
      </c>
    </row>
    <row r="78" spans="1:37" ht="15.75" hidden="1" customHeight="1" x14ac:dyDescent="0.2">
      <c r="A78" s="1">
        <v>273102</v>
      </c>
      <c r="B78" s="1" t="s">
        <v>3409</v>
      </c>
      <c r="C78" s="1" t="s">
        <v>973</v>
      </c>
      <c r="D78" s="1" t="s">
        <v>3663</v>
      </c>
      <c r="E78" s="1" t="s">
        <v>628</v>
      </c>
      <c r="F78" s="1" t="s">
        <v>37</v>
      </c>
      <c r="G78" s="1" t="s">
        <v>3665</v>
      </c>
      <c r="H78" s="1">
        <v>709</v>
      </c>
      <c r="I78" s="1" t="s">
        <v>294</v>
      </c>
      <c r="J78" s="1">
        <v>16</v>
      </c>
      <c r="K78" s="1" t="s">
        <v>49</v>
      </c>
      <c r="L78" s="1">
        <v>40</v>
      </c>
      <c r="M78" s="1" t="str">
        <f>IF(L78&lt;=45,"Joven","Mayor")</f>
        <v>Joven</v>
      </c>
      <c r="N78" s="1">
        <v>27</v>
      </c>
      <c r="O78" s="1" t="s">
        <v>50</v>
      </c>
      <c r="P78" s="1">
        <v>0.56299999999999994</v>
      </c>
      <c r="Q78" s="1">
        <v>77.840999999999994</v>
      </c>
      <c r="R78" s="1">
        <v>10.829867999999999</v>
      </c>
      <c r="S78" s="1">
        <v>3.6335503999999998</v>
      </c>
      <c r="T78" s="1">
        <v>-4.9049386999999998</v>
      </c>
      <c r="U78" s="1">
        <v>9.9250000000000007</v>
      </c>
      <c r="V78" s="1">
        <v>89</v>
      </c>
      <c r="W78" s="1">
        <v>133</v>
      </c>
      <c r="X78" s="1">
        <v>1.4943820224719102</v>
      </c>
      <c r="Y78" s="1">
        <v>91</v>
      </c>
      <c r="Z78" s="1">
        <v>133</v>
      </c>
      <c r="AA78" s="1">
        <v>1.4615384615384615</v>
      </c>
      <c r="AB78" s="1">
        <v>91.581171104725854</v>
      </c>
      <c r="AC78" s="1">
        <v>132.68395027790169</v>
      </c>
      <c r="AD78" s="1">
        <v>1.448812552595266</v>
      </c>
      <c r="AE78" t="s">
        <v>4817</v>
      </c>
      <c r="AF78" t="str">
        <f>IF(X78&lt;$AF$1,"Bajo","Alto")</f>
        <v>Bajo</v>
      </c>
      <c r="AG78" t="str">
        <f>LEFT(AE78,1)</f>
        <v>C</v>
      </c>
      <c r="AH78" t="str">
        <f>K78</f>
        <v>F</v>
      </c>
      <c r="AI78" t="str">
        <f>LEFT(AF78,1)</f>
        <v>B</v>
      </c>
      <c r="AJ78" t="str">
        <f>LEFT(M78,1)</f>
        <v>J</v>
      </c>
      <c r="AK78" t="str">
        <f>_xlfn.CONCAT(AG78,AH78,AI78,AJ78)</f>
        <v>CFBJ</v>
      </c>
    </row>
    <row r="79" spans="1:37" ht="15.75" hidden="1" customHeight="1" x14ac:dyDescent="0.2">
      <c r="A79" s="1">
        <v>2820006</v>
      </c>
      <c r="B79" s="1" t="s">
        <v>1775</v>
      </c>
      <c r="C79" s="1" t="s">
        <v>561</v>
      </c>
      <c r="D79" s="1" t="s">
        <v>3800</v>
      </c>
      <c r="E79" s="1" t="s">
        <v>1814</v>
      </c>
      <c r="F79" s="1" t="s">
        <v>88</v>
      </c>
      <c r="G79" s="1" t="s">
        <v>3805</v>
      </c>
      <c r="H79" s="1">
        <v>1160</v>
      </c>
      <c r="I79" s="1" t="s">
        <v>45</v>
      </c>
      <c r="J79" s="1">
        <v>17</v>
      </c>
      <c r="K79" s="1" t="s">
        <v>49</v>
      </c>
      <c r="L79" s="1">
        <v>49</v>
      </c>
      <c r="M79" s="1" t="str">
        <f>IF(L79&lt;=45,"Joven","Mayor")</f>
        <v>Mayor</v>
      </c>
      <c r="N79" s="1">
        <v>45</v>
      </c>
      <c r="O79" s="1" t="s">
        <v>50</v>
      </c>
      <c r="P79" s="1">
        <v>0.36499999999999999</v>
      </c>
      <c r="Q79" s="1">
        <v>88.935000000000002</v>
      </c>
      <c r="R79" s="1">
        <v>3.815207</v>
      </c>
      <c r="S79" s="1">
        <v>9.8301470000000002</v>
      </c>
      <c r="T79" s="1">
        <v>-1.3407906000000001</v>
      </c>
      <c r="U79" s="1">
        <v>43.226999999999997</v>
      </c>
      <c r="V79" s="1">
        <v>92</v>
      </c>
      <c r="W79" s="1">
        <v>137</v>
      </c>
      <c r="X79" s="1">
        <v>1.4891304347826086</v>
      </c>
      <c r="Y79" s="1">
        <v>93</v>
      </c>
      <c r="Z79" s="1">
        <v>137</v>
      </c>
      <c r="AA79" s="1">
        <v>1.4731182795698925</v>
      </c>
      <c r="AB79" s="1">
        <v>92.723581176765947</v>
      </c>
      <c r="AC79" s="1">
        <v>136.86889367175439</v>
      </c>
      <c r="AD79" s="1">
        <v>1.4760958532310233</v>
      </c>
      <c r="AE79" t="s">
        <v>4817</v>
      </c>
      <c r="AF79" t="str">
        <f>IF(X79&lt;$AF$1,"Bajo","Alto")</f>
        <v>Bajo</v>
      </c>
      <c r="AG79" t="str">
        <f>LEFT(AE79,1)</f>
        <v>C</v>
      </c>
      <c r="AH79" t="str">
        <f>K79</f>
        <v>F</v>
      </c>
      <c r="AI79" t="str">
        <f>LEFT(AF79,1)</f>
        <v>B</v>
      </c>
      <c r="AJ79" t="str">
        <f>LEFT(M79,1)</f>
        <v>M</v>
      </c>
      <c r="AK79" t="str">
        <f>_xlfn.CONCAT(AG79,AH79,AI79,AJ79)</f>
        <v>CFBM</v>
      </c>
    </row>
    <row r="80" spans="1:37" ht="15.75" hidden="1" customHeight="1" x14ac:dyDescent="0.2">
      <c r="A80" s="1">
        <v>10122903</v>
      </c>
      <c r="B80" s="1" t="s">
        <v>29</v>
      </c>
      <c r="C80" s="1" t="s">
        <v>30</v>
      </c>
      <c r="D80" s="1" t="s">
        <v>442</v>
      </c>
      <c r="E80" s="1" t="s">
        <v>443</v>
      </c>
      <c r="F80" s="1" t="s">
        <v>63</v>
      </c>
      <c r="G80" s="1" t="s">
        <v>447</v>
      </c>
      <c r="H80" s="1">
        <v>898</v>
      </c>
      <c r="I80" s="1" t="s">
        <v>448</v>
      </c>
      <c r="J80" s="1">
        <v>4546</v>
      </c>
      <c r="K80" s="1" t="s">
        <v>35</v>
      </c>
      <c r="L80" s="1">
        <v>36</v>
      </c>
      <c r="M80" s="1" t="str">
        <f>IF(L80&lt;=45,"Joven","Mayor")</f>
        <v>Joven</v>
      </c>
      <c r="N80" s="1">
        <v>30</v>
      </c>
      <c r="O80" s="1" t="s">
        <v>36</v>
      </c>
      <c r="P80" s="1">
        <v>0.159</v>
      </c>
      <c r="Q80" s="1">
        <v>90.32</v>
      </c>
      <c r="R80" s="1">
        <v>-3.9584435999999998</v>
      </c>
      <c r="S80" s="1">
        <v>7.2859607000000004</v>
      </c>
      <c r="T80" s="1">
        <v>4.7779850000000001</v>
      </c>
      <c r="U80" s="1">
        <v>15.526</v>
      </c>
      <c r="V80" s="1">
        <v>66</v>
      </c>
      <c r="W80" s="1">
        <v>141</v>
      </c>
      <c r="X80" s="1">
        <v>2.1363636363636362</v>
      </c>
      <c r="Y80" s="1">
        <v>74</v>
      </c>
      <c r="Z80" s="1">
        <v>141</v>
      </c>
      <c r="AA80" s="1">
        <v>1.9054054054054055</v>
      </c>
      <c r="AB80" s="1">
        <v>70.994112014762095</v>
      </c>
      <c r="AC80" s="1">
        <v>141.25967075346631</v>
      </c>
      <c r="AD80" s="1">
        <v>1.9897378352178503</v>
      </c>
      <c r="AE80" t="s">
        <v>4817</v>
      </c>
      <c r="AF80" t="str">
        <f>IF(X80&lt;$AF$1,"Bajo","Alto")</f>
        <v>Alto</v>
      </c>
      <c r="AG80" t="str">
        <f>LEFT(AE80,1)</f>
        <v>C</v>
      </c>
      <c r="AH80" t="str">
        <f>K80</f>
        <v>M</v>
      </c>
      <c r="AI80" t="str">
        <f>LEFT(AF80,1)</f>
        <v>A</v>
      </c>
      <c r="AJ80" t="str">
        <f>LEFT(M80,1)</f>
        <v>J</v>
      </c>
      <c r="AK80" t="str">
        <f>_xlfn.CONCAT(AG80,AH80,AI80,AJ80)</f>
        <v>CMAJ</v>
      </c>
    </row>
    <row r="81" spans="1:37" ht="15.75" hidden="1" customHeight="1" x14ac:dyDescent="0.2">
      <c r="A81" s="1">
        <v>271902</v>
      </c>
      <c r="B81" s="1" t="s">
        <v>3409</v>
      </c>
      <c r="C81" s="1" t="s">
        <v>973</v>
      </c>
      <c r="D81" s="1" t="s">
        <v>3595</v>
      </c>
      <c r="E81" s="1" t="s">
        <v>323</v>
      </c>
      <c r="F81" s="1" t="s">
        <v>37</v>
      </c>
      <c r="G81" s="1" t="s">
        <v>3597</v>
      </c>
      <c r="H81" s="1">
        <v>735</v>
      </c>
      <c r="I81" s="1" t="s">
        <v>45</v>
      </c>
      <c r="J81" s="1">
        <v>17</v>
      </c>
      <c r="K81" s="1" t="s">
        <v>35</v>
      </c>
      <c r="L81" s="1">
        <v>41</v>
      </c>
      <c r="M81" s="1" t="str">
        <f>IF(L81&lt;=45,"Joven","Mayor")</f>
        <v>Joven</v>
      </c>
      <c r="N81" s="1">
        <v>42</v>
      </c>
      <c r="O81" s="1" t="s">
        <v>36</v>
      </c>
      <c r="P81" s="1">
        <v>0.36399999999999999</v>
      </c>
      <c r="Q81" s="1">
        <v>92.641000000000005</v>
      </c>
      <c r="R81" s="1">
        <v>2.0344205</v>
      </c>
      <c r="S81" s="1">
        <v>5.5148320000000002</v>
      </c>
      <c r="T81" s="1">
        <v>-3.3736470000000001</v>
      </c>
      <c r="U81" s="1">
        <v>0.63500000000000001</v>
      </c>
      <c r="V81" s="1">
        <v>128</v>
      </c>
      <c r="W81" s="1">
        <v>188</v>
      </c>
      <c r="X81" s="1">
        <v>1.46875</v>
      </c>
      <c r="Y81" s="1">
        <v>129</v>
      </c>
      <c r="Z81" s="1">
        <v>188</v>
      </c>
      <c r="AA81" s="1">
        <v>1.4573643410852712</v>
      </c>
      <c r="AB81" s="1">
        <v>130.48514860590851</v>
      </c>
      <c r="AC81" s="1">
        <v>187.8507377095616</v>
      </c>
      <c r="AD81" s="1">
        <v>1.4396330901757162</v>
      </c>
      <c r="AE81" t="s">
        <v>4817</v>
      </c>
      <c r="AF81" t="str">
        <f>IF(X81&lt;$AF$1,"Bajo","Alto")</f>
        <v>Bajo</v>
      </c>
      <c r="AG81" t="str">
        <f>LEFT(AE81,1)</f>
        <v>C</v>
      </c>
      <c r="AH81" t="str">
        <f>K81</f>
        <v>M</v>
      </c>
      <c r="AI81" t="str">
        <f>LEFT(AF81,1)</f>
        <v>B</v>
      </c>
      <c r="AJ81" t="str">
        <f>LEFT(M81,1)</f>
        <v>J</v>
      </c>
      <c r="AK81" t="str">
        <f>_xlfn.CONCAT(AG81,AH81,AI81,AJ81)</f>
        <v>CMBJ</v>
      </c>
    </row>
    <row r="82" spans="1:37" ht="15.75" hidden="1" customHeight="1" x14ac:dyDescent="0.2">
      <c r="A82" s="1">
        <v>237701</v>
      </c>
      <c r="B82" s="1" t="s">
        <v>319</v>
      </c>
      <c r="C82" s="1" t="s">
        <v>1989</v>
      </c>
      <c r="D82" s="1" t="s">
        <v>3074</v>
      </c>
      <c r="E82" s="1" t="s">
        <v>3075</v>
      </c>
      <c r="F82" s="1" t="s">
        <v>32</v>
      </c>
      <c r="G82" s="1" t="s">
        <v>3076</v>
      </c>
      <c r="H82" s="1">
        <v>1650</v>
      </c>
      <c r="I82" s="1" t="s">
        <v>100</v>
      </c>
      <c r="J82" s="1">
        <v>1</v>
      </c>
      <c r="K82" s="1" t="s">
        <v>35</v>
      </c>
      <c r="L82" s="1">
        <v>37</v>
      </c>
      <c r="M82" s="1" t="str">
        <f>IF(L82&lt;=45,"Joven","Mayor")</f>
        <v>Joven</v>
      </c>
      <c r="N82" s="1">
        <v>35</v>
      </c>
      <c r="O82" s="1" t="s">
        <v>36</v>
      </c>
      <c r="P82" s="1">
        <v>0.41599999999999998</v>
      </c>
      <c r="Q82" s="1">
        <v>92.95</v>
      </c>
      <c r="R82" s="1">
        <v>-3.2812228000000001</v>
      </c>
      <c r="S82" s="1">
        <v>0.71353960000000005</v>
      </c>
      <c r="T82" s="1">
        <v>-0.18618873</v>
      </c>
      <c r="U82" s="1">
        <v>23.545000000000002</v>
      </c>
      <c r="V82" s="1">
        <v>108</v>
      </c>
      <c r="W82" s="1">
        <v>160</v>
      </c>
      <c r="X82" s="1">
        <v>1.4814814814814814</v>
      </c>
      <c r="Y82" s="1">
        <v>110</v>
      </c>
      <c r="Z82" s="1">
        <v>160</v>
      </c>
      <c r="AA82" s="1">
        <v>1.4545454545454546</v>
      </c>
      <c r="AB82" s="1">
        <v>109.8726847784019</v>
      </c>
      <c r="AC82" s="1">
        <v>160.0121536080164</v>
      </c>
      <c r="AD82" s="1">
        <v>1.4563415277485838</v>
      </c>
      <c r="AE82" t="s">
        <v>4817</v>
      </c>
      <c r="AF82" t="str">
        <f>IF(X82&lt;$AF$1,"Bajo","Alto")</f>
        <v>Bajo</v>
      </c>
      <c r="AG82" t="str">
        <f>LEFT(AE82,1)</f>
        <v>C</v>
      </c>
      <c r="AH82" t="str">
        <f>K82</f>
        <v>M</v>
      </c>
      <c r="AI82" t="str">
        <f>LEFT(AF82,1)</f>
        <v>B</v>
      </c>
      <c r="AJ82" t="str">
        <f>LEFT(M82,1)</f>
        <v>J</v>
      </c>
      <c r="AK82" t="str">
        <f>_xlfn.CONCAT(AG82,AH82,AI82,AJ82)</f>
        <v>CMBJ</v>
      </c>
    </row>
    <row r="83" spans="1:37" ht="15.75" hidden="1" customHeight="1" x14ac:dyDescent="0.2">
      <c r="A83" s="1">
        <v>311903</v>
      </c>
      <c r="B83" s="1" t="s">
        <v>4122</v>
      </c>
      <c r="C83" s="1" t="s">
        <v>628</v>
      </c>
      <c r="D83" s="1" t="s">
        <v>4176</v>
      </c>
      <c r="E83" s="1" t="s">
        <v>323</v>
      </c>
      <c r="F83" s="1" t="s">
        <v>63</v>
      </c>
      <c r="G83" s="1" t="s">
        <v>4177</v>
      </c>
      <c r="H83" s="1">
        <v>1209</v>
      </c>
      <c r="I83" s="1" t="s">
        <v>87</v>
      </c>
      <c r="J83" s="1">
        <v>14</v>
      </c>
      <c r="K83" s="1" t="s">
        <v>35</v>
      </c>
      <c r="L83" s="1">
        <v>41</v>
      </c>
      <c r="M83" s="1" t="str">
        <f>IF(L83&lt;=45,"Joven","Mayor")</f>
        <v>Joven</v>
      </c>
      <c r="N83" s="1">
        <v>47</v>
      </c>
      <c r="O83" s="1" t="s">
        <v>36</v>
      </c>
      <c r="P83" s="1">
        <v>0.35699999999999998</v>
      </c>
      <c r="Q83" s="1">
        <v>91.335999999999999</v>
      </c>
      <c r="R83" s="1">
        <v>4.3555937</v>
      </c>
      <c r="S83" s="1">
        <v>3.4708663999999998</v>
      </c>
      <c r="T83" s="1">
        <v>-0.39286480000000001</v>
      </c>
      <c r="U83" s="1">
        <v>13.976000000000001</v>
      </c>
      <c r="V83" s="1">
        <v>119</v>
      </c>
      <c r="W83" s="1">
        <v>183</v>
      </c>
      <c r="X83" s="1">
        <v>1.5378151260504203</v>
      </c>
      <c r="Y83" s="1">
        <v>121</v>
      </c>
      <c r="Z83" s="1">
        <v>183</v>
      </c>
      <c r="AA83" s="1">
        <v>1.5123966942148761</v>
      </c>
      <c r="AB83" s="1">
        <v>120.6817459688411</v>
      </c>
      <c r="AC83" s="1">
        <v>182.99569809946519</v>
      </c>
      <c r="AD83" s="1">
        <v>1.5163494415030503</v>
      </c>
      <c r="AE83" t="s">
        <v>4816</v>
      </c>
      <c r="AF83" t="str">
        <f>IF(X83&lt;$AF$1,"Bajo","Alto")</f>
        <v>Bajo</v>
      </c>
      <c r="AG83" t="str">
        <f>LEFT(AE83,1)</f>
        <v>D</v>
      </c>
      <c r="AH83" t="str">
        <f>K83</f>
        <v>M</v>
      </c>
      <c r="AI83" t="str">
        <f>LEFT(AF83,1)</f>
        <v>B</v>
      </c>
      <c r="AJ83" t="str">
        <f>LEFT(M83,1)</f>
        <v>J</v>
      </c>
      <c r="AK83" t="str">
        <f>_xlfn.CONCAT(AG83,AH83,AI83,AJ83)</f>
        <v>DMBJ</v>
      </c>
    </row>
    <row r="84" spans="1:37" ht="15.75" hidden="1" customHeight="1" x14ac:dyDescent="0.2">
      <c r="A84" s="1">
        <v>312201</v>
      </c>
      <c r="B84" s="1" t="s">
        <v>4122</v>
      </c>
      <c r="C84" s="1" t="s">
        <v>628</v>
      </c>
      <c r="D84" s="1" t="s">
        <v>4182</v>
      </c>
      <c r="E84" s="1" t="s">
        <v>418</v>
      </c>
      <c r="F84" s="1" t="s">
        <v>32</v>
      </c>
      <c r="G84" s="1" t="s">
        <v>4183</v>
      </c>
      <c r="H84" s="1">
        <v>770</v>
      </c>
      <c r="I84" s="1" t="s">
        <v>294</v>
      </c>
      <c r="J84" s="1">
        <v>16</v>
      </c>
      <c r="K84" s="1" t="s">
        <v>35</v>
      </c>
      <c r="L84" s="1">
        <v>37</v>
      </c>
      <c r="M84" s="1" t="str">
        <f>IF(L84&lt;=45,"Joven","Mayor")</f>
        <v>Joven</v>
      </c>
      <c r="N84" s="1">
        <v>34</v>
      </c>
      <c r="O84" s="1" t="s">
        <v>36</v>
      </c>
      <c r="P84" s="1">
        <v>0.35699999999999998</v>
      </c>
      <c r="Q84" s="1">
        <v>92.805999999999997</v>
      </c>
      <c r="R84" s="1">
        <v>3.0659239999999999</v>
      </c>
      <c r="S84" s="1">
        <v>-2.2402226999999999</v>
      </c>
      <c r="T84" s="1">
        <v>-1.7251027999999999</v>
      </c>
      <c r="U84" s="1">
        <v>2.1429999999999998</v>
      </c>
      <c r="V84" s="1">
        <v>111</v>
      </c>
      <c r="W84" s="1">
        <v>167</v>
      </c>
      <c r="X84" s="1">
        <v>1.5045045045045045</v>
      </c>
      <c r="Y84" s="1">
        <v>113</v>
      </c>
      <c r="Z84" s="1">
        <v>167</v>
      </c>
      <c r="AA84" s="1">
        <v>1.4778761061946903</v>
      </c>
      <c r="AB84" s="1">
        <v>112.3344831397653</v>
      </c>
      <c r="AC84" s="1">
        <v>166.89420585007289</v>
      </c>
      <c r="AD84" s="1">
        <v>1.485689889563341</v>
      </c>
      <c r="AE84" t="s">
        <v>4817</v>
      </c>
      <c r="AF84" t="str">
        <f>IF(X84&lt;$AF$1,"Bajo","Alto")</f>
        <v>Bajo</v>
      </c>
      <c r="AG84" t="str">
        <f>LEFT(AE84,1)</f>
        <v>C</v>
      </c>
      <c r="AH84" t="str">
        <f>K84</f>
        <v>M</v>
      </c>
      <c r="AI84" t="str">
        <f>LEFT(AF84,1)</f>
        <v>B</v>
      </c>
      <c r="AJ84" t="str">
        <f>LEFT(M84,1)</f>
        <v>J</v>
      </c>
      <c r="AK84" t="str">
        <f>_xlfn.CONCAT(AG84,AH84,AI84,AJ84)</f>
        <v>CMBJ</v>
      </c>
    </row>
    <row r="85" spans="1:37" ht="15.75" hidden="1" customHeight="1" x14ac:dyDescent="0.2">
      <c r="A85" s="1">
        <v>211203</v>
      </c>
      <c r="B85" s="1" t="s">
        <v>2816</v>
      </c>
      <c r="C85" s="1" t="s">
        <v>2817</v>
      </c>
      <c r="D85" s="1" t="s">
        <v>2830</v>
      </c>
      <c r="E85" s="1" t="s">
        <v>54</v>
      </c>
      <c r="F85" s="1" t="s">
        <v>63</v>
      </c>
      <c r="G85" s="1" t="s">
        <v>2832</v>
      </c>
      <c r="H85" s="1">
        <v>98</v>
      </c>
      <c r="I85" s="1" t="s">
        <v>42</v>
      </c>
      <c r="J85" s="1">
        <v>15</v>
      </c>
      <c r="K85" s="1" t="s">
        <v>35</v>
      </c>
      <c r="L85" s="1">
        <v>52</v>
      </c>
      <c r="M85" s="1" t="str">
        <f>IF(L85&lt;=45,"Joven","Mayor")</f>
        <v>Mayor</v>
      </c>
      <c r="N85" s="1">
        <v>47</v>
      </c>
      <c r="O85" s="1" t="s">
        <v>36</v>
      </c>
      <c r="P85" s="1">
        <v>0.36099999999999999</v>
      </c>
      <c r="Q85" s="1">
        <v>92.227999999999994</v>
      </c>
      <c r="R85" s="1">
        <v>1.1615572999999999</v>
      </c>
      <c r="S85" s="1">
        <v>8.1444179999999999</v>
      </c>
      <c r="T85" s="1">
        <v>-3.2079300000000002</v>
      </c>
      <c r="U85" s="1">
        <v>19.542000000000002</v>
      </c>
      <c r="V85" s="1">
        <v>114</v>
      </c>
      <c r="W85" s="1">
        <v>168</v>
      </c>
      <c r="X85" s="1">
        <v>1.4736842105263157</v>
      </c>
      <c r="Y85" s="1">
        <v>117</v>
      </c>
      <c r="Z85" s="1">
        <v>168</v>
      </c>
      <c r="AA85" s="1">
        <v>1.4358974358974359</v>
      </c>
      <c r="AB85" s="1">
        <v>116.4514708511863</v>
      </c>
      <c r="AC85" s="1">
        <v>168.40826513493681</v>
      </c>
      <c r="AD85" s="1">
        <v>1.4461669217570146</v>
      </c>
      <c r="AE85" t="s">
        <v>4817</v>
      </c>
      <c r="AF85" t="str">
        <f>IF(X85&lt;$AF$1,"Bajo","Alto")</f>
        <v>Bajo</v>
      </c>
      <c r="AG85" t="str">
        <f>LEFT(AE85,1)</f>
        <v>C</v>
      </c>
      <c r="AH85" t="str">
        <f>K85</f>
        <v>M</v>
      </c>
      <c r="AI85" t="str">
        <f>LEFT(AF85,1)</f>
        <v>B</v>
      </c>
      <c r="AJ85" t="str">
        <f>LEFT(M85,1)</f>
        <v>M</v>
      </c>
      <c r="AK85" t="str">
        <f>_xlfn.CONCAT(AG85,AH85,AI85,AJ85)</f>
        <v>CMBM</v>
      </c>
    </row>
    <row r="86" spans="1:37" ht="15.75" hidden="1" customHeight="1" x14ac:dyDescent="0.2">
      <c r="A86" s="1">
        <v>1097901</v>
      </c>
      <c r="B86" s="1" t="s">
        <v>719</v>
      </c>
      <c r="C86" s="1" t="s">
        <v>98</v>
      </c>
      <c r="D86" s="1" t="s">
        <v>1637</v>
      </c>
      <c r="E86" s="1" t="s">
        <v>739</v>
      </c>
      <c r="F86" s="1" t="s">
        <v>32</v>
      </c>
      <c r="G86" s="1" t="s">
        <v>1638</v>
      </c>
      <c r="H86" s="1">
        <v>1477</v>
      </c>
      <c r="I86" s="1" t="s">
        <v>73</v>
      </c>
      <c r="J86" s="1">
        <v>5</v>
      </c>
      <c r="K86" s="1" t="s">
        <v>35</v>
      </c>
      <c r="L86" s="1">
        <v>43</v>
      </c>
      <c r="M86" s="1" t="str">
        <f>IF(L86&lt;=45,"Joven","Mayor")</f>
        <v>Joven</v>
      </c>
      <c r="N86" s="1">
        <v>31</v>
      </c>
      <c r="O86" s="1" t="s">
        <v>36</v>
      </c>
      <c r="P86" s="1">
        <v>0.371</v>
      </c>
      <c r="Q86" s="1">
        <v>87.003</v>
      </c>
      <c r="R86" s="1">
        <v>5.0160475</v>
      </c>
      <c r="S86" s="1">
        <v>10.293842</v>
      </c>
      <c r="T86" s="1">
        <v>-5.2349750000000004</v>
      </c>
      <c r="U86" s="1">
        <v>25.443999999999999</v>
      </c>
      <c r="V86" s="1">
        <v>99</v>
      </c>
      <c r="W86" s="1">
        <v>150</v>
      </c>
      <c r="X86" s="1">
        <v>1.5151515151515151</v>
      </c>
      <c r="Y86" s="1">
        <v>104</v>
      </c>
      <c r="Z86" s="1">
        <v>150</v>
      </c>
      <c r="AA86" s="1">
        <v>1.4423076923076923</v>
      </c>
      <c r="AB86" s="1">
        <v>103.1490839393402</v>
      </c>
      <c r="AC86" s="1">
        <v>150.0130166084414</v>
      </c>
      <c r="AD86" s="1">
        <v>1.4543320297120708</v>
      </c>
      <c r="AE86" t="s">
        <v>4817</v>
      </c>
      <c r="AF86" t="str">
        <f>IF(X86&lt;$AF$1,"Bajo","Alto")</f>
        <v>Bajo</v>
      </c>
      <c r="AG86" t="str">
        <f>LEFT(AE86,1)</f>
        <v>C</v>
      </c>
      <c r="AH86" t="str">
        <f>K86</f>
        <v>M</v>
      </c>
      <c r="AI86" t="str">
        <f>LEFT(AF86,1)</f>
        <v>B</v>
      </c>
      <c r="AJ86" t="str">
        <f>LEFT(M86,1)</f>
        <v>J</v>
      </c>
      <c r="AK86" t="str">
        <f>_xlfn.CONCAT(AG86,AH86,AI86,AJ86)</f>
        <v>CMBJ</v>
      </c>
    </row>
    <row r="87" spans="1:37" ht="15.75" hidden="1" customHeight="1" x14ac:dyDescent="0.2">
      <c r="A87" s="1">
        <v>1051003</v>
      </c>
      <c r="B87" s="1" t="s">
        <v>694</v>
      </c>
      <c r="C87" s="1" t="s">
        <v>879</v>
      </c>
      <c r="D87" s="1" t="s">
        <v>903</v>
      </c>
      <c r="E87" s="1" t="s">
        <v>75</v>
      </c>
      <c r="F87" s="1" t="s">
        <v>63</v>
      </c>
      <c r="G87" s="1" t="s">
        <v>906</v>
      </c>
      <c r="H87" s="1">
        <v>9</v>
      </c>
      <c r="I87" s="1" t="s">
        <v>42</v>
      </c>
      <c r="J87" s="1">
        <v>15</v>
      </c>
      <c r="K87" s="1" t="s">
        <v>49</v>
      </c>
      <c r="L87" s="1">
        <v>39</v>
      </c>
      <c r="M87" s="1" t="str">
        <f>IF(L87&lt;=45,"Joven","Mayor")</f>
        <v>Joven</v>
      </c>
      <c r="N87" s="1">
        <v>34</v>
      </c>
      <c r="O87" s="1" t="s">
        <v>50</v>
      </c>
      <c r="P87" s="1">
        <v>0.10199999999999999</v>
      </c>
      <c r="Q87" s="1">
        <v>41.692999999999998</v>
      </c>
      <c r="R87" s="1">
        <v>16.798394999999999</v>
      </c>
      <c r="S87" s="1">
        <v>4.9545579999999996</v>
      </c>
      <c r="T87" s="1">
        <v>-4.5865539999999996</v>
      </c>
      <c r="U87" s="1">
        <v>9.4830000000000005</v>
      </c>
      <c r="V87" s="1">
        <v>83</v>
      </c>
      <c r="W87" s="1">
        <v>126</v>
      </c>
      <c r="X87" s="1">
        <v>1.5180722891566265</v>
      </c>
      <c r="Y87" s="1">
        <v>87</v>
      </c>
      <c r="Z87" s="1">
        <v>126</v>
      </c>
      <c r="AA87" s="1">
        <v>1.4482758620689655</v>
      </c>
      <c r="AB87" s="1">
        <v>85.053191794607756</v>
      </c>
      <c r="AC87" s="1">
        <v>125.3566116497241</v>
      </c>
      <c r="AD87" s="1">
        <v>1.4738613449386331</v>
      </c>
      <c r="AE87" t="s">
        <v>4817</v>
      </c>
      <c r="AF87" t="str">
        <f>IF(X87&lt;$AF$1,"Bajo","Alto")</f>
        <v>Bajo</v>
      </c>
      <c r="AG87" t="str">
        <f>LEFT(AE87,1)</f>
        <v>C</v>
      </c>
      <c r="AH87" t="str">
        <f>K87</f>
        <v>F</v>
      </c>
      <c r="AI87" t="str">
        <f>LEFT(AF87,1)</f>
        <v>B</v>
      </c>
      <c r="AJ87" t="str">
        <f>LEFT(M87,1)</f>
        <v>J</v>
      </c>
      <c r="AK87" t="str">
        <f>_xlfn.CONCAT(AG87,AH87,AI87,AJ87)</f>
        <v>CFBJ</v>
      </c>
    </row>
    <row r="88" spans="1:37" ht="15.75" hidden="1" customHeight="1" x14ac:dyDescent="0.2">
      <c r="A88" s="1">
        <v>194904</v>
      </c>
      <c r="B88" s="1" t="s">
        <v>2656</v>
      </c>
      <c r="C88" s="1" t="s">
        <v>323</v>
      </c>
      <c r="D88" s="1" t="s">
        <v>2737</v>
      </c>
      <c r="E88" s="1" t="s">
        <v>673</v>
      </c>
      <c r="F88" s="1" t="s">
        <v>61</v>
      </c>
      <c r="G88" s="1" t="s">
        <v>2738</v>
      </c>
      <c r="H88" s="1">
        <v>7206</v>
      </c>
      <c r="I88" s="1" t="s">
        <v>588</v>
      </c>
      <c r="J88" s="1">
        <v>4327</v>
      </c>
      <c r="K88" s="1" t="s">
        <v>49</v>
      </c>
      <c r="L88" s="1">
        <v>50</v>
      </c>
      <c r="M88" s="1" t="str">
        <f>IF(L88&lt;=45,"Joven","Mayor")</f>
        <v>Mayor</v>
      </c>
      <c r="N88" s="1">
        <v>47</v>
      </c>
      <c r="O88" s="1" t="s">
        <v>50</v>
      </c>
      <c r="P88" s="1">
        <v>7.8E-2</v>
      </c>
      <c r="Q88" s="1">
        <v>44.209000000000003</v>
      </c>
      <c r="R88" s="1">
        <v>16.826853</v>
      </c>
      <c r="S88" s="1">
        <v>1.1717641000000001</v>
      </c>
      <c r="T88" s="1">
        <v>-2.1776803</v>
      </c>
      <c r="U88" s="1">
        <v>56.835000000000001</v>
      </c>
      <c r="V88" s="1">
        <v>93</v>
      </c>
      <c r="W88" s="1">
        <v>142</v>
      </c>
      <c r="X88" s="1">
        <v>1.5268817204301075</v>
      </c>
      <c r="Y88" s="1">
        <v>93</v>
      </c>
      <c r="Z88" s="1">
        <v>142</v>
      </c>
      <c r="AA88" s="1">
        <v>1.5268817204301075</v>
      </c>
      <c r="AB88" s="1">
        <v>94.148788216337834</v>
      </c>
      <c r="AC88" s="1">
        <v>141.63145705259649</v>
      </c>
      <c r="AD88" s="1">
        <v>1.5043364841526328</v>
      </c>
      <c r="AE88" t="s">
        <v>4817</v>
      </c>
      <c r="AF88" t="str">
        <f>IF(X88&lt;$AF$1,"Bajo","Alto")</f>
        <v>Bajo</v>
      </c>
      <c r="AG88" t="str">
        <f>LEFT(AE88,1)</f>
        <v>C</v>
      </c>
      <c r="AH88" t="str">
        <f>K88</f>
        <v>F</v>
      </c>
      <c r="AI88" t="str">
        <f>LEFT(AF88,1)</f>
        <v>B</v>
      </c>
      <c r="AJ88" t="str">
        <f>LEFT(M88,1)</f>
        <v>M</v>
      </c>
      <c r="AK88" t="str">
        <f>_xlfn.CONCAT(AG88,AH88,AI88,AJ88)</f>
        <v>CFBM</v>
      </c>
    </row>
    <row r="89" spans="1:37" ht="15.75" hidden="1" customHeight="1" x14ac:dyDescent="0.2">
      <c r="A89" s="1">
        <v>1512803</v>
      </c>
      <c r="B89" s="1" t="s">
        <v>2077</v>
      </c>
      <c r="C89" s="1" t="s">
        <v>57</v>
      </c>
      <c r="D89" s="1" t="s">
        <v>2135</v>
      </c>
      <c r="E89" s="1" t="s">
        <v>2136</v>
      </c>
      <c r="F89" s="1" t="s">
        <v>63</v>
      </c>
      <c r="G89" s="1" t="s">
        <v>2137</v>
      </c>
      <c r="H89" s="1">
        <v>1987</v>
      </c>
      <c r="I89" s="1" t="s">
        <v>1035</v>
      </c>
      <c r="J89" s="1">
        <v>3991</v>
      </c>
      <c r="K89" s="1" t="s">
        <v>49</v>
      </c>
      <c r="L89" s="1">
        <v>39</v>
      </c>
      <c r="M89" s="1" t="str">
        <f>IF(L89&lt;=45,"Joven","Mayor")</f>
        <v>Joven</v>
      </c>
      <c r="N89" s="1">
        <v>29</v>
      </c>
      <c r="O89" s="1" t="s">
        <v>50</v>
      </c>
      <c r="P89" s="1">
        <v>0.313</v>
      </c>
      <c r="Q89" s="1">
        <v>77.41</v>
      </c>
      <c r="R89" s="1">
        <v>11.0989685</v>
      </c>
      <c r="S89" s="1">
        <v>2.9641936000000002</v>
      </c>
      <c r="T89" s="1">
        <v>-7.852366</v>
      </c>
      <c r="U89" s="1">
        <v>2.9689999999999999</v>
      </c>
      <c r="V89" s="1">
        <v>79</v>
      </c>
      <c r="W89" s="1">
        <v>121</v>
      </c>
      <c r="X89" s="1">
        <v>1.5316455696202531</v>
      </c>
      <c r="Y89" s="1">
        <v>82</v>
      </c>
      <c r="Z89" s="1">
        <v>121</v>
      </c>
      <c r="AA89" s="1">
        <v>1.475609756097561</v>
      </c>
      <c r="AB89" s="1">
        <v>83.0409833210133</v>
      </c>
      <c r="AC89" s="1">
        <v>120.6851560850118</v>
      </c>
      <c r="AD89" s="1">
        <v>1.4533204119040428</v>
      </c>
      <c r="AE89" t="s">
        <v>4817</v>
      </c>
      <c r="AF89" t="str">
        <f>IF(X89&lt;$AF$1,"Bajo","Alto")</f>
        <v>Bajo</v>
      </c>
      <c r="AG89" t="str">
        <f>LEFT(AE89,1)</f>
        <v>C</v>
      </c>
      <c r="AH89" t="str">
        <f>K89</f>
        <v>F</v>
      </c>
      <c r="AI89" t="str">
        <f>LEFT(AF89,1)</f>
        <v>B</v>
      </c>
      <c r="AJ89" t="str">
        <f>LEFT(M89,1)</f>
        <v>J</v>
      </c>
      <c r="AK89" t="str">
        <f>_xlfn.CONCAT(AG89,AH89,AI89,AJ89)</f>
        <v>CFBJ</v>
      </c>
    </row>
    <row r="90" spans="1:37" ht="15.75" hidden="1" customHeight="1" x14ac:dyDescent="0.2">
      <c r="A90" s="1">
        <v>285503</v>
      </c>
      <c r="B90" s="1" t="s">
        <v>1775</v>
      </c>
      <c r="C90" s="1" t="s">
        <v>561</v>
      </c>
      <c r="D90" s="1" t="s">
        <v>3877</v>
      </c>
      <c r="E90" s="1" t="s">
        <v>690</v>
      </c>
      <c r="F90" s="1" t="s">
        <v>63</v>
      </c>
      <c r="G90" s="1" t="s">
        <v>3880</v>
      </c>
      <c r="H90" s="1">
        <v>7234</v>
      </c>
      <c r="I90" s="1" t="s">
        <v>87</v>
      </c>
      <c r="J90" s="1">
        <v>14</v>
      </c>
      <c r="K90" s="1" t="s">
        <v>49</v>
      </c>
      <c r="L90" s="1">
        <v>52</v>
      </c>
      <c r="M90" s="1" t="str">
        <f>IF(L90&lt;=45,"Joven","Mayor")</f>
        <v>Mayor</v>
      </c>
      <c r="N90" s="1">
        <v>51</v>
      </c>
      <c r="O90" s="1" t="s">
        <v>50</v>
      </c>
      <c r="P90" s="1">
        <v>0.32100000000000001</v>
      </c>
      <c r="Q90" s="1">
        <v>90.52</v>
      </c>
      <c r="R90" s="1">
        <v>3.2196479999999998</v>
      </c>
      <c r="S90" s="1">
        <v>8.2701239999999991</v>
      </c>
      <c r="T90" s="1">
        <v>6.0903970000000003</v>
      </c>
      <c r="U90" s="1">
        <v>13.731</v>
      </c>
      <c r="V90" s="1">
        <v>105</v>
      </c>
      <c r="W90" s="1">
        <v>144</v>
      </c>
      <c r="X90" s="1">
        <v>1.3714285714285714</v>
      </c>
      <c r="Y90" s="1">
        <v>114</v>
      </c>
      <c r="Z90" s="1">
        <v>144</v>
      </c>
      <c r="AA90" s="1">
        <v>1.263157894736842</v>
      </c>
      <c r="AB90" s="1">
        <v>110.7041190394859</v>
      </c>
      <c r="AC90" s="1">
        <v>144.67259043241759</v>
      </c>
      <c r="AD90" s="1">
        <v>1.3068401762071367</v>
      </c>
      <c r="AE90" t="s">
        <v>4816</v>
      </c>
      <c r="AF90" t="str">
        <f>IF(X90&lt;$AF$1,"Bajo","Alto")</f>
        <v>Bajo</v>
      </c>
      <c r="AG90" t="str">
        <f>LEFT(AE90,1)</f>
        <v>D</v>
      </c>
      <c r="AH90" t="str">
        <f>K90</f>
        <v>F</v>
      </c>
      <c r="AI90" t="str">
        <f>LEFT(AF90,1)</f>
        <v>B</v>
      </c>
      <c r="AJ90" t="str">
        <f>LEFT(M90,1)</f>
        <v>M</v>
      </c>
      <c r="AK90" t="str">
        <f>_xlfn.CONCAT(AG90,AH90,AI90,AJ90)</f>
        <v>DFBM</v>
      </c>
    </row>
    <row r="91" spans="1:37" ht="15.75" hidden="1" customHeight="1" x14ac:dyDescent="0.2">
      <c r="A91" s="1">
        <v>720603</v>
      </c>
      <c r="B91" s="1" t="s">
        <v>4798</v>
      </c>
      <c r="C91" s="1" t="s">
        <v>1016</v>
      </c>
      <c r="D91" s="1" t="s">
        <v>4808</v>
      </c>
      <c r="E91" s="1" t="s">
        <v>88</v>
      </c>
      <c r="F91" s="1" t="s">
        <v>63</v>
      </c>
      <c r="G91" s="1" t="s">
        <v>4810</v>
      </c>
      <c r="H91" s="1">
        <v>591</v>
      </c>
      <c r="I91" s="1" t="s">
        <v>42</v>
      </c>
      <c r="J91" s="1">
        <v>15</v>
      </c>
      <c r="K91" s="1" t="s">
        <v>35</v>
      </c>
      <c r="L91" s="1">
        <v>51</v>
      </c>
      <c r="M91" s="1" t="str">
        <f>IF(L91&lt;=45,"Joven","Mayor")</f>
        <v>Mayor</v>
      </c>
      <c r="N91" s="1">
        <v>54</v>
      </c>
      <c r="O91" s="1" t="s">
        <v>36</v>
      </c>
      <c r="P91" s="1">
        <v>0.374</v>
      </c>
      <c r="Q91" s="1">
        <v>93.885999999999996</v>
      </c>
      <c r="R91" s="1">
        <v>-1.7179759999999999</v>
      </c>
      <c r="S91" s="1">
        <v>-1.3369685</v>
      </c>
      <c r="T91" s="1">
        <v>4.6847525000000001</v>
      </c>
      <c r="U91" s="1">
        <v>67.2</v>
      </c>
      <c r="V91" s="1">
        <v>81</v>
      </c>
      <c r="W91" s="1">
        <v>171</v>
      </c>
      <c r="X91" s="1">
        <v>2.1111111111111112</v>
      </c>
      <c r="Y91" s="1">
        <v>84</v>
      </c>
      <c r="Z91" s="1">
        <v>171</v>
      </c>
      <c r="AA91" s="1">
        <v>2.0357142857142856</v>
      </c>
      <c r="AB91" s="1">
        <v>84.894729068116703</v>
      </c>
      <c r="AC91" s="1">
        <v>171.24544864970039</v>
      </c>
      <c r="AD91" s="1">
        <v>2.0171505407867989</v>
      </c>
      <c r="AE91" t="s">
        <v>4817</v>
      </c>
      <c r="AF91" t="str">
        <f>IF(X91&lt;$AF$1,"Bajo","Alto")</f>
        <v>Alto</v>
      </c>
      <c r="AG91" t="str">
        <f>LEFT(AE91,1)</f>
        <v>C</v>
      </c>
      <c r="AH91" t="str">
        <f>K91</f>
        <v>M</v>
      </c>
      <c r="AI91" t="str">
        <f>LEFT(AF91,1)</f>
        <v>A</v>
      </c>
      <c r="AJ91" t="str">
        <f>LEFT(M91,1)</f>
        <v>M</v>
      </c>
      <c r="AK91" t="str">
        <f>_xlfn.CONCAT(AG91,AH91,AI91,AJ91)</f>
        <v>CMAM</v>
      </c>
    </row>
    <row r="92" spans="1:37" ht="15.75" hidden="1" customHeight="1" x14ac:dyDescent="0.2">
      <c r="A92" s="1">
        <v>132704</v>
      </c>
      <c r="B92" s="1" t="s">
        <v>956</v>
      </c>
      <c r="C92" s="1" t="s">
        <v>163</v>
      </c>
      <c r="D92" s="1" t="s">
        <v>2001</v>
      </c>
      <c r="E92" s="1" t="s">
        <v>973</v>
      </c>
      <c r="F92" s="1" t="s">
        <v>61</v>
      </c>
      <c r="G92" s="1" t="s">
        <v>2005</v>
      </c>
      <c r="H92" s="1">
        <v>14</v>
      </c>
      <c r="I92" s="1" t="s">
        <v>91</v>
      </c>
      <c r="J92" s="1">
        <v>6</v>
      </c>
      <c r="K92" s="1" t="s">
        <v>35</v>
      </c>
      <c r="L92" s="1">
        <v>64</v>
      </c>
      <c r="M92" s="1" t="str">
        <f>IF(L92&lt;=45,"Joven","Mayor")</f>
        <v>Mayor</v>
      </c>
      <c r="N92" s="1">
        <v>65</v>
      </c>
      <c r="O92" s="1" t="s">
        <v>36</v>
      </c>
      <c r="P92" s="1">
        <v>0.36</v>
      </c>
      <c r="Q92" s="1">
        <v>88.533000000000001</v>
      </c>
      <c r="R92" s="1">
        <v>6.720783</v>
      </c>
      <c r="S92" s="1">
        <v>2.815982</v>
      </c>
      <c r="T92" s="1">
        <v>-1.9455597</v>
      </c>
      <c r="U92" s="1">
        <v>1.2450000000000001</v>
      </c>
      <c r="V92" s="1">
        <v>88</v>
      </c>
      <c r="W92" s="1">
        <v>130</v>
      </c>
      <c r="X92" s="1">
        <v>1.4772727272727273</v>
      </c>
      <c r="Y92" s="1">
        <v>89</v>
      </c>
      <c r="Z92" s="1">
        <v>130</v>
      </c>
      <c r="AA92" s="1">
        <v>1.4606741573033708</v>
      </c>
      <c r="AB92" s="1">
        <v>90.170891018132352</v>
      </c>
      <c r="AC92" s="1">
        <v>129.8911097926011</v>
      </c>
      <c r="AD92" s="1">
        <v>1.4404993488029463</v>
      </c>
      <c r="AE92" t="s">
        <v>4817</v>
      </c>
      <c r="AF92" t="str">
        <f>IF(X92&lt;$AF$1,"Bajo","Alto")</f>
        <v>Bajo</v>
      </c>
      <c r="AG92" t="str">
        <f>LEFT(AE92,1)</f>
        <v>C</v>
      </c>
      <c r="AH92" t="str">
        <f>K92</f>
        <v>M</v>
      </c>
      <c r="AI92" t="str">
        <f>LEFT(AF92,1)</f>
        <v>B</v>
      </c>
      <c r="AJ92" t="str">
        <f>LEFT(M92,1)</f>
        <v>M</v>
      </c>
      <c r="AK92" t="str">
        <f>_xlfn.CONCAT(AG92,AH92,AI92,AJ92)</f>
        <v>CMBM</v>
      </c>
    </row>
    <row r="93" spans="1:37" ht="15.75" hidden="1" customHeight="1" x14ac:dyDescent="0.2">
      <c r="A93" s="1">
        <v>1051005</v>
      </c>
      <c r="B93" s="1" t="s">
        <v>694</v>
      </c>
      <c r="C93" s="1" t="s">
        <v>879</v>
      </c>
      <c r="D93" s="1" t="s">
        <v>903</v>
      </c>
      <c r="E93" s="1" t="s">
        <v>75</v>
      </c>
      <c r="F93" s="1" t="s">
        <v>40</v>
      </c>
      <c r="G93" s="1" t="s">
        <v>907</v>
      </c>
      <c r="H93" s="1">
        <v>108</v>
      </c>
      <c r="I93" s="1" t="s">
        <v>48</v>
      </c>
      <c r="J93" s="1">
        <v>4</v>
      </c>
      <c r="K93" s="1" t="s">
        <v>35</v>
      </c>
      <c r="L93" s="1">
        <v>58</v>
      </c>
      <c r="M93" s="1" t="str">
        <f>IF(L93&lt;=45,"Joven","Mayor")</f>
        <v>Mayor</v>
      </c>
      <c r="N93" s="1">
        <v>52</v>
      </c>
      <c r="O93" s="1" t="s">
        <v>36</v>
      </c>
      <c r="P93" s="1">
        <v>0.44800000000000001</v>
      </c>
      <c r="Q93" s="1">
        <v>86.334000000000003</v>
      </c>
      <c r="R93" s="1">
        <v>6.5845050000000001</v>
      </c>
      <c r="S93" s="1">
        <v>7.6450768</v>
      </c>
      <c r="T93" s="1">
        <v>-2.0708639999999998</v>
      </c>
      <c r="U93" s="1">
        <v>2.7509999999999999</v>
      </c>
      <c r="V93" s="1">
        <v>81</v>
      </c>
      <c r="W93" s="1">
        <v>120</v>
      </c>
      <c r="X93" s="1">
        <v>1.4814814814814814</v>
      </c>
      <c r="Y93" s="1">
        <v>83</v>
      </c>
      <c r="Z93" s="1">
        <v>120</v>
      </c>
      <c r="AA93" s="1">
        <v>1.4457831325301205</v>
      </c>
      <c r="AB93" s="1">
        <v>84.355078112435422</v>
      </c>
      <c r="AC93" s="1">
        <v>120.1023054634106</v>
      </c>
      <c r="AD93" s="1">
        <v>1.4237708997593284</v>
      </c>
      <c r="AE93" t="s">
        <v>4817</v>
      </c>
      <c r="AF93" t="str">
        <f>IF(X93&lt;$AF$1,"Bajo","Alto")</f>
        <v>Bajo</v>
      </c>
      <c r="AG93" t="str">
        <f>LEFT(AE93,1)</f>
        <v>C</v>
      </c>
      <c r="AH93" t="str">
        <f>K93</f>
        <v>M</v>
      </c>
      <c r="AI93" t="str">
        <f>LEFT(AF93,1)</f>
        <v>B</v>
      </c>
      <c r="AJ93" t="str">
        <f>LEFT(M93,1)</f>
        <v>M</v>
      </c>
      <c r="AK93" t="str">
        <f>_xlfn.CONCAT(AG93,AH93,AI93,AJ93)</f>
        <v>CMBM</v>
      </c>
    </row>
    <row r="94" spans="1:37" ht="15.75" hidden="1" customHeight="1" x14ac:dyDescent="0.2">
      <c r="A94" s="1">
        <v>1051002</v>
      </c>
      <c r="B94" s="1" t="s">
        <v>694</v>
      </c>
      <c r="C94" s="1" t="s">
        <v>879</v>
      </c>
      <c r="D94" s="1" t="s">
        <v>903</v>
      </c>
      <c r="E94" s="1" t="s">
        <v>75</v>
      </c>
      <c r="F94" s="1" t="s">
        <v>37</v>
      </c>
      <c r="G94" s="1" t="s">
        <v>905</v>
      </c>
      <c r="H94" s="1">
        <v>4</v>
      </c>
      <c r="I94" s="1" t="s">
        <v>85</v>
      </c>
      <c r="J94" s="1">
        <v>12</v>
      </c>
      <c r="K94" s="1" t="s">
        <v>35</v>
      </c>
      <c r="L94" s="1">
        <v>41</v>
      </c>
      <c r="M94" s="1" t="str">
        <f>IF(L94&lt;=45,"Joven","Mayor")</f>
        <v>Joven</v>
      </c>
      <c r="N94" s="1">
        <v>34</v>
      </c>
      <c r="O94" s="1" t="s">
        <v>36</v>
      </c>
      <c r="P94" s="1">
        <v>0.38100000000000001</v>
      </c>
      <c r="Q94" s="1">
        <v>83.63</v>
      </c>
      <c r="R94" s="1">
        <v>9.1684479999999997</v>
      </c>
      <c r="S94" s="1">
        <v>2.578427</v>
      </c>
      <c r="T94" s="1">
        <v>-3.7969959000000002</v>
      </c>
      <c r="U94" s="1">
        <v>0.54400000000000004</v>
      </c>
      <c r="V94" s="1">
        <v>89</v>
      </c>
      <c r="W94" s="1">
        <v>177</v>
      </c>
      <c r="X94" s="1">
        <v>1.9887640449438202</v>
      </c>
      <c r="Y94" s="1">
        <v>94</v>
      </c>
      <c r="Z94" s="1">
        <v>177</v>
      </c>
      <c r="AA94" s="1">
        <v>1.8829787234042554</v>
      </c>
      <c r="AB94" s="1">
        <v>91.917054271129018</v>
      </c>
      <c r="AC94" s="1">
        <v>177.27369053231811</v>
      </c>
      <c r="AD94" s="1">
        <v>1.928626759615375</v>
      </c>
      <c r="AE94" t="s">
        <v>4815</v>
      </c>
      <c r="AF94" t="str">
        <f>IF(X94&lt;$AF$1,"Bajo","Alto")</f>
        <v>Alto</v>
      </c>
      <c r="AG94" t="str">
        <f>LEFT(AE94,1)</f>
        <v>I</v>
      </c>
      <c r="AH94" t="str">
        <f>K94</f>
        <v>M</v>
      </c>
      <c r="AI94" t="str">
        <f>LEFT(AF94,1)</f>
        <v>A</v>
      </c>
      <c r="AJ94" t="str">
        <f>LEFT(M94,1)</f>
        <v>J</v>
      </c>
      <c r="AK94" t="str">
        <f>_xlfn.CONCAT(AG94,AH94,AI94,AJ94)</f>
        <v>IMAJ</v>
      </c>
    </row>
    <row r="95" spans="1:37" ht="15.75" hidden="1" customHeight="1" x14ac:dyDescent="0.2">
      <c r="A95" s="1">
        <v>219501</v>
      </c>
      <c r="B95" s="1" t="s">
        <v>2816</v>
      </c>
      <c r="C95" s="1" t="s">
        <v>2817</v>
      </c>
      <c r="D95" s="1" t="s">
        <v>2913</v>
      </c>
      <c r="E95" s="1" t="s">
        <v>1056</v>
      </c>
      <c r="F95" s="1" t="s">
        <v>32</v>
      </c>
      <c r="G95" s="1" t="s">
        <v>2914</v>
      </c>
      <c r="H95" s="1">
        <v>2728</v>
      </c>
      <c r="I95" s="1" t="s">
        <v>100</v>
      </c>
      <c r="J95" s="1">
        <v>1</v>
      </c>
      <c r="K95" s="1" t="s">
        <v>35</v>
      </c>
      <c r="L95" s="1">
        <v>47</v>
      </c>
      <c r="M95" s="1" t="str">
        <f>IF(L95&lt;=45,"Joven","Mayor")</f>
        <v>Mayor</v>
      </c>
      <c r="N95" s="1">
        <v>48</v>
      </c>
      <c r="O95" s="1" t="s">
        <v>36</v>
      </c>
      <c r="P95" s="1">
        <v>0.36099999999999999</v>
      </c>
      <c r="Q95" s="1">
        <v>78.239000000000004</v>
      </c>
      <c r="R95" s="1">
        <v>11.191464</v>
      </c>
      <c r="S95" s="1">
        <v>-0.61413899999999999</v>
      </c>
      <c r="T95" s="1">
        <v>-16.159374</v>
      </c>
      <c r="U95" s="1">
        <v>1.778</v>
      </c>
      <c r="V95" s="1">
        <v>91</v>
      </c>
      <c r="W95" s="1">
        <v>192</v>
      </c>
      <c r="X95" s="1">
        <v>2.1098901098901099</v>
      </c>
      <c r="Y95" s="1">
        <v>110</v>
      </c>
      <c r="Z95" s="1">
        <v>192</v>
      </c>
      <c r="AA95" s="1">
        <v>1.7454545454545454</v>
      </c>
      <c r="AB95" s="1">
        <v>105.216553597556</v>
      </c>
      <c r="AC95" s="1">
        <v>193.0419369866822</v>
      </c>
      <c r="AD95" s="1">
        <v>1.8347107027003613</v>
      </c>
      <c r="AE95" t="s">
        <v>4817</v>
      </c>
      <c r="AF95" t="str">
        <f>IF(X95&lt;$AF$1,"Bajo","Alto")</f>
        <v>Alto</v>
      </c>
      <c r="AG95" t="str">
        <f>LEFT(AE95,1)</f>
        <v>C</v>
      </c>
      <c r="AH95" t="str">
        <f>K95</f>
        <v>M</v>
      </c>
      <c r="AI95" t="str">
        <f>LEFT(AF95,1)</f>
        <v>A</v>
      </c>
      <c r="AJ95" t="str">
        <f>LEFT(M95,1)</f>
        <v>M</v>
      </c>
      <c r="AK95" t="str">
        <f>_xlfn.CONCAT(AG95,AH95,AI95,AJ95)</f>
        <v>CMAM</v>
      </c>
    </row>
    <row r="96" spans="1:37" ht="15.75" hidden="1" customHeight="1" x14ac:dyDescent="0.2">
      <c r="A96" s="1">
        <v>239102</v>
      </c>
      <c r="B96" s="1" t="s">
        <v>319</v>
      </c>
      <c r="C96" s="1" t="s">
        <v>1989</v>
      </c>
      <c r="D96" s="1" t="s">
        <v>3100</v>
      </c>
      <c r="E96" s="1" t="s">
        <v>770</v>
      </c>
      <c r="F96" s="1" t="s">
        <v>37</v>
      </c>
      <c r="G96" s="1" t="s">
        <v>3101</v>
      </c>
      <c r="H96" s="1">
        <v>152</v>
      </c>
      <c r="I96" s="1" t="s">
        <v>42</v>
      </c>
      <c r="J96" s="1">
        <v>15</v>
      </c>
      <c r="K96" s="1" t="s">
        <v>49</v>
      </c>
      <c r="L96" s="1">
        <v>41</v>
      </c>
      <c r="M96" s="1" t="str">
        <f>IF(L96&lt;=45,"Joven","Mayor")</f>
        <v>Joven</v>
      </c>
      <c r="N96" s="1">
        <v>43</v>
      </c>
      <c r="O96" s="1" t="s">
        <v>50</v>
      </c>
      <c r="P96" s="1">
        <v>1.056</v>
      </c>
      <c r="Q96" s="1">
        <v>80.271000000000001</v>
      </c>
      <c r="R96" s="1">
        <v>-9.2464169999999992</v>
      </c>
      <c r="S96" s="1">
        <v>7.0627389999999997</v>
      </c>
      <c r="T96" s="1">
        <v>7.1556340000000001</v>
      </c>
      <c r="U96" s="1">
        <v>4.3070000000000004</v>
      </c>
      <c r="V96" s="1">
        <v>93</v>
      </c>
      <c r="W96" s="1">
        <v>143</v>
      </c>
      <c r="X96" s="1">
        <v>1.5376344086021505</v>
      </c>
      <c r="Y96" s="1">
        <v>101</v>
      </c>
      <c r="Z96" s="1">
        <v>143</v>
      </c>
      <c r="AA96" s="1">
        <v>1.4158415841584158</v>
      </c>
      <c r="AB96" s="1">
        <v>97.507393879566735</v>
      </c>
      <c r="AC96" s="1">
        <v>142.50906269672529</v>
      </c>
      <c r="AD96" s="1">
        <v>1.4615205783547143</v>
      </c>
      <c r="AE96" t="s">
        <v>4817</v>
      </c>
      <c r="AF96" t="str">
        <f>IF(X96&lt;$AF$1,"Bajo","Alto")</f>
        <v>Bajo</v>
      </c>
      <c r="AG96" t="str">
        <f>LEFT(AE96,1)</f>
        <v>C</v>
      </c>
      <c r="AH96" t="str">
        <f>K96</f>
        <v>F</v>
      </c>
      <c r="AI96" t="str">
        <f>LEFT(AF96,1)</f>
        <v>B</v>
      </c>
      <c r="AJ96" t="str">
        <f>LEFT(M96,1)</f>
        <v>J</v>
      </c>
      <c r="AK96" t="str">
        <f>_xlfn.CONCAT(AG96,AH96,AI96,AJ96)</f>
        <v>CFBJ</v>
      </c>
    </row>
    <row r="97" spans="1:37" ht="15.75" hidden="1" customHeight="1" x14ac:dyDescent="0.2">
      <c r="A97" s="1">
        <v>521502</v>
      </c>
      <c r="B97" s="1" t="s">
        <v>4529</v>
      </c>
      <c r="C97" s="1" t="s">
        <v>685</v>
      </c>
      <c r="D97" s="1" t="s">
        <v>4553</v>
      </c>
      <c r="E97" s="1" t="s">
        <v>57</v>
      </c>
      <c r="F97" s="1" t="s">
        <v>37</v>
      </c>
      <c r="G97" s="1" t="s">
        <v>4554</v>
      </c>
      <c r="H97" s="1">
        <v>219</v>
      </c>
      <c r="I97" s="1" t="s">
        <v>73</v>
      </c>
      <c r="J97" s="1">
        <v>5</v>
      </c>
      <c r="K97" s="1" t="s">
        <v>35</v>
      </c>
      <c r="L97" s="1">
        <v>37</v>
      </c>
      <c r="M97" s="1" t="str">
        <f>IF(L97&lt;=45,"Joven","Mayor")</f>
        <v>Joven</v>
      </c>
      <c r="N97" s="1">
        <v>49</v>
      </c>
      <c r="O97" s="1" t="s">
        <v>36</v>
      </c>
      <c r="P97" s="1">
        <v>0.29499999999999998</v>
      </c>
      <c r="Q97" s="1">
        <v>90.710999999999999</v>
      </c>
      <c r="R97" s="1">
        <v>4.8604174000000002</v>
      </c>
      <c r="S97" s="1">
        <v>-3.796284</v>
      </c>
      <c r="T97" s="1">
        <v>-3.3770794999999998</v>
      </c>
      <c r="U97" s="1">
        <v>1.1180000000000001</v>
      </c>
      <c r="V97" s="1">
        <v>87</v>
      </c>
      <c r="W97" s="1">
        <v>132</v>
      </c>
      <c r="X97" s="1">
        <v>1.5172413793103448</v>
      </c>
      <c r="Y97" s="1">
        <v>89</v>
      </c>
      <c r="Z97" s="1">
        <v>132</v>
      </c>
      <c r="AA97" s="1">
        <v>1.4831460674157304</v>
      </c>
      <c r="AB97" s="1">
        <v>89.146296495746128</v>
      </c>
      <c r="AC97" s="1">
        <v>131.88859248750259</v>
      </c>
      <c r="AD97" s="1">
        <v>1.4794623856729263</v>
      </c>
      <c r="AE97" t="s">
        <v>4817</v>
      </c>
      <c r="AF97" t="str">
        <f>IF(X97&lt;$AF$1,"Bajo","Alto")</f>
        <v>Bajo</v>
      </c>
      <c r="AG97" t="str">
        <f>LEFT(AE97,1)</f>
        <v>C</v>
      </c>
      <c r="AH97" t="str">
        <f>K97</f>
        <v>M</v>
      </c>
      <c r="AI97" t="str">
        <f>LEFT(AF97,1)</f>
        <v>B</v>
      </c>
      <c r="AJ97" t="str">
        <f>LEFT(M97,1)</f>
        <v>J</v>
      </c>
      <c r="AK97" t="str">
        <f>_xlfn.CONCAT(AG97,AH97,AI97,AJ97)</f>
        <v>CMBJ</v>
      </c>
    </row>
    <row r="98" spans="1:37" ht="15.75" hidden="1" customHeight="1" x14ac:dyDescent="0.2">
      <c r="A98" s="1">
        <v>10115409</v>
      </c>
      <c r="B98" s="1" t="s">
        <v>29</v>
      </c>
      <c r="C98" s="1" t="s">
        <v>30</v>
      </c>
      <c r="D98" s="1" t="s">
        <v>220</v>
      </c>
      <c r="E98" s="1" t="s">
        <v>221</v>
      </c>
      <c r="F98" s="1" t="s">
        <v>189</v>
      </c>
      <c r="G98" s="1" t="s">
        <v>227</v>
      </c>
      <c r="H98" s="1">
        <v>100</v>
      </c>
      <c r="I98" s="1" t="s">
        <v>93</v>
      </c>
      <c r="J98" s="1">
        <v>9</v>
      </c>
      <c r="K98" s="1" t="s">
        <v>49</v>
      </c>
      <c r="L98" s="1">
        <v>50</v>
      </c>
      <c r="M98" s="1" t="str">
        <f>IF(L98&lt;=45,"Joven","Mayor")</f>
        <v>Mayor</v>
      </c>
      <c r="N98" s="1">
        <v>50</v>
      </c>
      <c r="O98" s="1" t="s">
        <v>50</v>
      </c>
      <c r="P98" s="1">
        <v>0.86</v>
      </c>
      <c r="Q98" s="1">
        <v>93.326999999999998</v>
      </c>
      <c r="R98" s="1">
        <v>2.7725605999999998</v>
      </c>
      <c r="S98" s="1">
        <v>2.8708992999999999E-2</v>
      </c>
      <c r="T98" s="1">
        <v>-7.2551446000000004</v>
      </c>
      <c r="U98" s="1">
        <v>0.26</v>
      </c>
      <c r="V98" s="1">
        <v>60</v>
      </c>
      <c r="W98" s="1">
        <v>108</v>
      </c>
      <c r="X98" s="1">
        <v>1.8</v>
      </c>
      <c r="Y98" s="1">
        <v>61</v>
      </c>
      <c r="Z98" s="1">
        <v>108</v>
      </c>
      <c r="AA98" s="1">
        <v>1.7704918032786885</v>
      </c>
      <c r="AB98" s="1">
        <v>63.181970042737703</v>
      </c>
      <c r="AC98" s="1">
        <v>107.8930385846475</v>
      </c>
      <c r="AD98" s="1">
        <v>1.7076554990556043</v>
      </c>
      <c r="AE98" t="s">
        <v>4815</v>
      </c>
      <c r="AF98" t="str">
        <f>IF(X98&lt;$AF$1,"Bajo","Alto")</f>
        <v>Alto</v>
      </c>
      <c r="AG98" t="str">
        <f>LEFT(AE98,1)</f>
        <v>I</v>
      </c>
      <c r="AH98" t="str">
        <f>K98</f>
        <v>F</v>
      </c>
      <c r="AI98" t="str">
        <f>LEFT(AF98,1)</f>
        <v>A</v>
      </c>
      <c r="AJ98" t="str">
        <f>LEFT(M98,1)</f>
        <v>M</v>
      </c>
      <c r="AK98" t="str">
        <f>_xlfn.CONCAT(AG98,AH98,AI98,AJ98)</f>
        <v>IFAM</v>
      </c>
    </row>
    <row r="99" spans="1:37" ht="15.75" hidden="1" customHeight="1" x14ac:dyDescent="0.2">
      <c r="A99" s="1">
        <v>1533401</v>
      </c>
      <c r="B99" s="1" t="s">
        <v>2077</v>
      </c>
      <c r="C99" s="1" t="s">
        <v>57</v>
      </c>
      <c r="D99" s="1" t="s">
        <v>2426</v>
      </c>
      <c r="E99" s="1" t="s">
        <v>1423</v>
      </c>
      <c r="F99" s="1" t="s">
        <v>32</v>
      </c>
      <c r="G99" s="1" t="s">
        <v>2427</v>
      </c>
      <c r="H99" s="1">
        <v>19</v>
      </c>
      <c r="I99" s="1" t="s">
        <v>39</v>
      </c>
      <c r="J99" s="1">
        <v>11</v>
      </c>
      <c r="K99" s="1" t="s">
        <v>35</v>
      </c>
      <c r="L99" s="1">
        <v>53</v>
      </c>
      <c r="M99" s="1" t="str">
        <f>IF(L99&lt;=45,"Joven","Mayor")</f>
        <v>Mayor</v>
      </c>
      <c r="N99" s="1">
        <v>58</v>
      </c>
      <c r="O99" s="1" t="s">
        <v>36</v>
      </c>
      <c r="P99" s="1">
        <v>0.95199999999999996</v>
      </c>
      <c r="Q99" s="1">
        <v>81.070999999999998</v>
      </c>
      <c r="R99" s="1">
        <v>-8.3776299999999999</v>
      </c>
      <c r="S99" s="1">
        <v>9.0042410000000004</v>
      </c>
      <c r="T99" s="1">
        <v>2.2046960000000002</v>
      </c>
      <c r="U99" s="1">
        <v>0.26700000000000002</v>
      </c>
      <c r="V99" s="1">
        <v>81</v>
      </c>
      <c r="W99" s="1">
        <v>124</v>
      </c>
      <c r="X99" s="1">
        <v>1.5308641975308641</v>
      </c>
      <c r="Y99" s="1">
        <v>81</v>
      </c>
      <c r="Z99" s="1">
        <v>124</v>
      </c>
      <c r="AA99" s="1">
        <v>1.5308641975308641</v>
      </c>
      <c r="AB99" s="1">
        <v>82.248011220973922</v>
      </c>
      <c r="AC99" s="1">
        <v>123.9082110787476</v>
      </c>
      <c r="AD99" s="1">
        <v>1.5065192366274502</v>
      </c>
      <c r="AE99" t="s">
        <v>4816</v>
      </c>
      <c r="AF99" t="str">
        <f>IF(X99&lt;$AF$1,"Bajo","Alto")</f>
        <v>Bajo</v>
      </c>
      <c r="AG99" t="str">
        <f>LEFT(AE99,1)</f>
        <v>D</v>
      </c>
      <c r="AH99" t="str">
        <f>K99</f>
        <v>M</v>
      </c>
      <c r="AI99" t="str">
        <f>LEFT(AF99,1)</f>
        <v>B</v>
      </c>
      <c r="AJ99" t="str">
        <f>LEFT(M99,1)</f>
        <v>M</v>
      </c>
      <c r="AK99" t="str">
        <f>_xlfn.CONCAT(AG99,AH99,AI99,AJ99)</f>
        <v>DMBM</v>
      </c>
    </row>
    <row r="100" spans="1:37" ht="15.75" hidden="1" customHeight="1" x14ac:dyDescent="0.2">
      <c r="A100" s="1">
        <v>234702</v>
      </c>
      <c r="B100" s="1" t="s">
        <v>319</v>
      </c>
      <c r="C100" s="1" t="s">
        <v>1989</v>
      </c>
      <c r="D100" s="1" t="s">
        <v>3046</v>
      </c>
      <c r="E100" s="1" t="s">
        <v>857</v>
      </c>
      <c r="F100" s="1" t="s">
        <v>37</v>
      </c>
      <c r="G100" s="1" t="s">
        <v>3047</v>
      </c>
      <c r="H100" s="1">
        <v>1831</v>
      </c>
      <c r="I100" s="1" t="s">
        <v>85</v>
      </c>
      <c r="J100" s="1">
        <v>12</v>
      </c>
      <c r="K100" s="1" t="s">
        <v>35</v>
      </c>
      <c r="L100" s="1">
        <v>43</v>
      </c>
      <c r="M100" s="1" t="str">
        <f>IF(L100&lt;=45,"Joven","Mayor")</f>
        <v>Joven</v>
      </c>
      <c r="N100" s="1">
        <v>46</v>
      </c>
      <c r="O100" s="1" t="s">
        <v>36</v>
      </c>
      <c r="P100" s="1">
        <v>0.36099999999999999</v>
      </c>
      <c r="Q100" s="1">
        <v>91.564999999999998</v>
      </c>
      <c r="R100" s="1">
        <v>4.6155780000000002</v>
      </c>
      <c r="S100" s="1">
        <v>1.7015792999999999</v>
      </c>
      <c r="T100" s="1">
        <v>-2.6488895000000001</v>
      </c>
      <c r="U100" s="1">
        <v>2.8079999999999998</v>
      </c>
      <c r="V100" s="1">
        <v>105</v>
      </c>
      <c r="W100" s="1">
        <v>157</v>
      </c>
      <c r="X100" s="1">
        <v>1.4952380952380953</v>
      </c>
      <c r="Y100" s="1">
        <v>105</v>
      </c>
      <c r="Z100" s="1">
        <v>157</v>
      </c>
      <c r="AA100" s="1">
        <v>1.4952380952380953</v>
      </c>
      <c r="AB100" s="1">
        <v>106.6439916430197</v>
      </c>
      <c r="AC100" s="1">
        <v>156.64738378765921</v>
      </c>
      <c r="AD100" s="1">
        <v>1.4688814754048307</v>
      </c>
      <c r="AE100" t="s">
        <v>4815</v>
      </c>
      <c r="AF100" t="str">
        <f>IF(X100&lt;$AF$1,"Bajo","Alto")</f>
        <v>Bajo</v>
      </c>
      <c r="AG100" t="str">
        <f>LEFT(AE100,1)</f>
        <v>I</v>
      </c>
      <c r="AH100" t="str">
        <f>K100</f>
        <v>M</v>
      </c>
      <c r="AI100" t="str">
        <f>LEFT(AF100,1)</f>
        <v>B</v>
      </c>
      <c r="AJ100" t="str">
        <f>LEFT(M100,1)</f>
        <v>J</v>
      </c>
      <c r="AK100" t="str">
        <f>_xlfn.CONCAT(AG100,AH100,AI100,AJ100)</f>
        <v>IMBJ</v>
      </c>
    </row>
    <row r="101" spans="1:37" ht="15.75" hidden="1" customHeight="1" x14ac:dyDescent="0.2">
      <c r="A101" s="1">
        <v>314908</v>
      </c>
      <c r="B101" s="1" t="s">
        <v>4122</v>
      </c>
      <c r="C101" s="1" t="s">
        <v>628</v>
      </c>
      <c r="D101" s="1" t="s">
        <v>4224</v>
      </c>
      <c r="E101" s="1" t="s">
        <v>673</v>
      </c>
      <c r="F101" s="1" t="s">
        <v>46</v>
      </c>
      <c r="G101" s="1" t="s">
        <v>4225</v>
      </c>
      <c r="H101" s="1">
        <v>2122</v>
      </c>
      <c r="I101" s="1" t="s">
        <v>4226</v>
      </c>
      <c r="J101" s="1">
        <v>4577</v>
      </c>
      <c r="K101" s="1" t="s">
        <v>35</v>
      </c>
      <c r="L101" s="1">
        <v>57</v>
      </c>
      <c r="M101" s="1" t="str">
        <f>IF(L101&lt;=45,"Joven","Mayor")</f>
        <v>Mayor</v>
      </c>
      <c r="N101" s="1">
        <v>48</v>
      </c>
      <c r="O101" s="1" t="s">
        <v>36</v>
      </c>
      <c r="P101" s="1">
        <v>0.21099999999999999</v>
      </c>
      <c r="Q101" s="1">
        <v>94.754999999999995</v>
      </c>
      <c r="R101" s="1">
        <v>0.29152869999999997</v>
      </c>
      <c r="S101" s="1">
        <v>-0.58982440000000003</v>
      </c>
      <c r="T101" s="1">
        <v>-13.803865999999999</v>
      </c>
      <c r="U101" s="1">
        <v>7.8380000000000001</v>
      </c>
      <c r="V101" s="1">
        <v>82</v>
      </c>
      <c r="W101" s="1">
        <v>173</v>
      </c>
      <c r="X101" s="1">
        <v>2.1097560975609757</v>
      </c>
      <c r="Y101" s="1">
        <v>109</v>
      </c>
      <c r="Z101" s="1">
        <v>173</v>
      </c>
      <c r="AA101" s="1">
        <v>1.5871559633027523</v>
      </c>
      <c r="AB101" s="1">
        <v>98.932511394898484</v>
      </c>
      <c r="AC101" s="1">
        <v>177.3088059895849</v>
      </c>
      <c r="AD101" s="1">
        <v>1.7922198020612254</v>
      </c>
      <c r="AE101" t="s">
        <v>4817</v>
      </c>
      <c r="AF101" t="str">
        <f>IF(X101&lt;$AF$1,"Bajo","Alto")</f>
        <v>Alto</v>
      </c>
      <c r="AG101" t="str">
        <f>LEFT(AE101,1)</f>
        <v>C</v>
      </c>
      <c r="AH101" t="str">
        <f>K101</f>
        <v>M</v>
      </c>
      <c r="AI101" t="str">
        <f>LEFT(AF101,1)</f>
        <v>A</v>
      </c>
      <c r="AJ101" t="str">
        <f>LEFT(M101,1)</f>
        <v>M</v>
      </c>
      <c r="AK101" t="str">
        <f>_xlfn.CONCAT(AG101,AH101,AI101,AJ101)</f>
        <v>CMAM</v>
      </c>
    </row>
    <row r="102" spans="1:37" ht="15.75" hidden="1" customHeight="1" x14ac:dyDescent="0.2">
      <c r="A102" s="1">
        <v>1097801</v>
      </c>
      <c r="B102" s="1" t="s">
        <v>719</v>
      </c>
      <c r="C102" s="1" t="s">
        <v>98</v>
      </c>
      <c r="D102" s="1" t="s">
        <v>1633</v>
      </c>
      <c r="E102" s="1" t="s">
        <v>732</v>
      </c>
      <c r="F102" s="1" t="s">
        <v>32</v>
      </c>
      <c r="G102" s="1" t="s">
        <v>1634</v>
      </c>
      <c r="H102" s="1">
        <v>1216</v>
      </c>
      <c r="I102" s="1" t="s">
        <v>100</v>
      </c>
      <c r="J102" s="1">
        <v>1</v>
      </c>
      <c r="K102" s="1" t="s">
        <v>35</v>
      </c>
      <c r="L102" s="1">
        <v>52</v>
      </c>
      <c r="M102" s="1" t="str">
        <f>IF(L102&lt;=45,"Joven","Mayor")</f>
        <v>Mayor</v>
      </c>
      <c r="N102" s="1">
        <v>56</v>
      </c>
      <c r="O102" s="1" t="s">
        <v>36</v>
      </c>
      <c r="P102" s="1">
        <v>0.35799999999999998</v>
      </c>
      <c r="Q102" s="1">
        <v>55.142000000000003</v>
      </c>
      <c r="R102" s="1">
        <v>-14.991462</v>
      </c>
      <c r="S102" s="1">
        <v>4.7429136999999999</v>
      </c>
      <c r="T102" s="1">
        <v>6.6906840000000001</v>
      </c>
      <c r="U102" s="1">
        <v>20.055</v>
      </c>
      <c r="V102" s="1">
        <v>119</v>
      </c>
      <c r="W102" s="1">
        <v>177</v>
      </c>
      <c r="X102" s="1">
        <v>1.4873949579831933</v>
      </c>
      <c r="Y102" s="1">
        <v>124</v>
      </c>
      <c r="Z102" s="1">
        <v>177</v>
      </c>
      <c r="AA102" s="1">
        <v>1.4274193548387097</v>
      </c>
      <c r="AB102" s="1">
        <v>123.4324794699789</v>
      </c>
      <c r="AC102" s="1">
        <v>175.56154184366281</v>
      </c>
      <c r="AD102" s="1">
        <v>1.4223285686030691</v>
      </c>
      <c r="AE102" t="s">
        <v>4817</v>
      </c>
      <c r="AF102" t="str">
        <f>IF(X102&lt;$AF$1,"Bajo","Alto")</f>
        <v>Bajo</v>
      </c>
      <c r="AG102" t="str">
        <f>LEFT(AE102,1)</f>
        <v>C</v>
      </c>
      <c r="AH102" t="str">
        <f>K102</f>
        <v>M</v>
      </c>
      <c r="AI102" t="str">
        <f>LEFT(AF102,1)</f>
        <v>B</v>
      </c>
      <c r="AJ102" t="str">
        <f>LEFT(M102,1)</f>
        <v>M</v>
      </c>
      <c r="AK102" t="str">
        <f>_xlfn.CONCAT(AG102,AH102,AI102,AJ102)</f>
        <v>CMBM</v>
      </c>
    </row>
    <row r="103" spans="1:37" ht="15.75" hidden="1" customHeight="1" x14ac:dyDescent="0.2">
      <c r="A103" s="1">
        <v>2719901</v>
      </c>
      <c r="B103" s="1" t="s">
        <v>3409</v>
      </c>
      <c r="C103" s="1" t="s">
        <v>973</v>
      </c>
      <c r="D103" s="1" t="s">
        <v>3616</v>
      </c>
      <c r="E103" s="1" t="s">
        <v>355</v>
      </c>
      <c r="F103" s="1" t="s">
        <v>32</v>
      </c>
      <c r="G103" s="1" t="s">
        <v>3617</v>
      </c>
      <c r="H103" s="1">
        <v>5819</v>
      </c>
      <c r="I103" s="1" t="s">
        <v>39</v>
      </c>
      <c r="J103" s="1">
        <v>11</v>
      </c>
      <c r="K103" s="1" t="s">
        <v>49</v>
      </c>
      <c r="L103" s="1">
        <v>55</v>
      </c>
      <c r="M103" s="1" t="str">
        <f>IF(L103&lt;=45,"Joven","Mayor")</f>
        <v>Mayor</v>
      </c>
      <c r="N103" s="1">
        <v>52</v>
      </c>
      <c r="O103" s="1" t="s">
        <v>50</v>
      </c>
      <c r="P103" s="1">
        <v>0.41699999999999998</v>
      </c>
      <c r="Q103" s="1">
        <v>86.388000000000005</v>
      </c>
      <c r="R103" s="1">
        <v>7.9774165000000004</v>
      </c>
      <c r="S103" s="1">
        <v>2.4601872</v>
      </c>
      <c r="T103" s="1">
        <v>-14.095655000000001</v>
      </c>
      <c r="U103" s="1">
        <v>68.849999999999994</v>
      </c>
      <c r="V103" s="1">
        <v>77</v>
      </c>
      <c r="W103" s="1">
        <v>148</v>
      </c>
      <c r="X103" s="1">
        <v>1.9220779220779221</v>
      </c>
      <c r="Y103" s="1">
        <v>92</v>
      </c>
      <c r="Z103" s="1">
        <v>148</v>
      </c>
      <c r="AA103" s="1">
        <v>1.6086956521739131</v>
      </c>
      <c r="AB103" s="1">
        <v>87.345723479918206</v>
      </c>
      <c r="AC103" s="1">
        <v>148.41462129140061</v>
      </c>
      <c r="AD103" s="1">
        <v>1.6991629970930728</v>
      </c>
      <c r="AE103" t="s">
        <v>4816</v>
      </c>
      <c r="AF103" t="str">
        <f>IF(X103&lt;$AF$1,"Bajo","Alto")</f>
        <v>Alto</v>
      </c>
      <c r="AG103" t="str">
        <f>LEFT(AE103,1)</f>
        <v>D</v>
      </c>
      <c r="AH103" t="str">
        <f>K103</f>
        <v>F</v>
      </c>
      <c r="AI103" t="str">
        <f>LEFT(AF103,1)</f>
        <v>A</v>
      </c>
      <c r="AJ103" t="str">
        <f>LEFT(M103,1)</f>
        <v>M</v>
      </c>
      <c r="AK103" t="str">
        <f>_xlfn.CONCAT(AG103,AH103,AI103,AJ103)</f>
        <v>DFAM</v>
      </c>
    </row>
    <row r="104" spans="1:37" ht="15.75" hidden="1" customHeight="1" x14ac:dyDescent="0.2">
      <c r="A104" s="1">
        <v>114905</v>
      </c>
      <c r="B104" s="1" t="s">
        <v>1648</v>
      </c>
      <c r="C104" s="1" t="s">
        <v>51</v>
      </c>
      <c r="D104" s="1" t="s">
        <v>1717</v>
      </c>
      <c r="E104" s="1" t="s">
        <v>673</v>
      </c>
      <c r="F104" s="1" t="s">
        <v>40</v>
      </c>
      <c r="G104" s="1" t="s">
        <v>1719</v>
      </c>
      <c r="H104" s="1">
        <v>9145</v>
      </c>
      <c r="I104" s="1" t="s">
        <v>1720</v>
      </c>
      <c r="J104" s="1">
        <v>2960</v>
      </c>
      <c r="K104" s="1" t="s">
        <v>35</v>
      </c>
      <c r="L104" s="1">
        <v>41</v>
      </c>
      <c r="M104" s="1" t="str">
        <f>IF(L104&lt;=45,"Joven","Mayor")</f>
        <v>Joven</v>
      </c>
      <c r="N104" s="1">
        <v>45</v>
      </c>
      <c r="O104" s="1" t="s">
        <v>36</v>
      </c>
      <c r="P104" s="1">
        <v>0.33600000000000002</v>
      </c>
      <c r="Q104" s="1">
        <v>92.576999999999998</v>
      </c>
      <c r="R104" s="1">
        <v>-1.7881103</v>
      </c>
      <c r="S104" s="1">
        <v>6.2197839999999998</v>
      </c>
      <c r="T104" s="1">
        <v>9.5222870000000004</v>
      </c>
      <c r="U104" s="1">
        <v>1.99</v>
      </c>
      <c r="V104" s="1">
        <v>62</v>
      </c>
      <c r="W104" s="1">
        <v>132</v>
      </c>
      <c r="X104" s="1">
        <v>2.129032258064516</v>
      </c>
      <c r="Y104" s="1">
        <v>79</v>
      </c>
      <c r="Z104" s="1">
        <v>132</v>
      </c>
      <c r="AA104" s="1">
        <v>1.6708860759493671</v>
      </c>
      <c r="AB104" s="1">
        <v>74.602859984822089</v>
      </c>
      <c r="AC104" s="1">
        <v>134.97872105893569</v>
      </c>
      <c r="AD104" s="1">
        <v>1.8092968699376544</v>
      </c>
      <c r="AE104" t="s">
        <v>4817</v>
      </c>
      <c r="AF104" t="str">
        <f>IF(X104&lt;$AF$1,"Bajo","Alto")</f>
        <v>Alto</v>
      </c>
      <c r="AG104" t="str">
        <f>LEFT(AE104,1)</f>
        <v>C</v>
      </c>
      <c r="AH104" t="str">
        <f>K104</f>
        <v>M</v>
      </c>
      <c r="AI104" t="str">
        <f>LEFT(AF104,1)</f>
        <v>A</v>
      </c>
      <c r="AJ104" t="str">
        <f>LEFT(M104,1)</f>
        <v>J</v>
      </c>
      <c r="AK104" t="str">
        <f>_xlfn.CONCAT(AG104,AH104,AI104,AJ104)</f>
        <v>CMAJ</v>
      </c>
    </row>
    <row r="105" spans="1:37" ht="15.75" hidden="1" customHeight="1" x14ac:dyDescent="0.2">
      <c r="A105" s="1">
        <v>113102</v>
      </c>
      <c r="B105" s="1" t="s">
        <v>1648</v>
      </c>
      <c r="C105" s="1" t="s">
        <v>51</v>
      </c>
      <c r="D105" s="1" t="s">
        <v>1700</v>
      </c>
      <c r="E105" s="1" t="s">
        <v>628</v>
      </c>
      <c r="F105" s="1" t="s">
        <v>37</v>
      </c>
      <c r="G105" s="1" t="s">
        <v>1702</v>
      </c>
      <c r="H105" s="1">
        <v>1414</v>
      </c>
      <c r="I105" s="1" t="s">
        <v>65</v>
      </c>
      <c r="J105" s="1">
        <v>2</v>
      </c>
      <c r="K105" s="1" t="s">
        <v>35</v>
      </c>
      <c r="L105" s="1">
        <v>52</v>
      </c>
      <c r="M105" s="1" t="str">
        <f>IF(L105&lt;=45,"Joven","Mayor")</f>
        <v>Mayor</v>
      </c>
      <c r="N105" s="1">
        <v>53</v>
      </c>
      <c r="O105" s="1" t="s">
        <v>36</v>
      </c>
      <c r="P105" s="1">
        <v>0.748</v>
      </c>
      <c r="Q105" s="1">
        <v>48.871000000000002</v>
      </c>
      <c r="R105" s="1">
        <v>-15.594288000000001</v>
      </c>
      <c r="S105" s="1">
        <v>6.4382910000000004</v>
      </c>
      <c r="T105" s="1">
        <v>1.3305396</v>
      </c>
      <c r="U105" s="1">
        <v>12.112</v>
      </c>
      <c r="V105" s="1">
        <v>137</v>
      </c>
      <c r="W105" s="1">
        <v>204</v>
      </c>
      <c r="X105" s="1">
        <v>1.4890510948905109</v>
      </c>
      <c r="Y105" s="1">
        <v>141</v>
      </c>
      <c r="Z105" s="1">
        <v>204</v>
      </c>
      <c r="AA105" s="1">
        <v>1.446808510638298</v>
      </c>
      <c r="AB105" s="1">
        <v>139.54555002411141</v>
      </c>
      <c r="AC105" s="1">
        <v>203.66635389823111</v>
      </c>
      <c r="AD105" s="1">
        <v>1.4594973029454581</v>
      </c>
      <c r="AE105" t="s">
        <v>4817</v>
      </c>
      <c r="AF105" t="str">
        <f>IF(X105&lt;$AF$1,"Bajo","Alto")</f>
        <v>Bajo</v>
      </c>
      <c r="AG105" t="str">
        <f>LEFT(AE105,1)</f>
        <v>C</v>
      </c>
      <c r="AH105" t="str">
        <f>K105</f>
        <v>M</v>
      </c>
      <c r="AI105" t="str">
        <f>LEFT(AF105,1)</f>
        <v>B</v>
      </c>
      <c r="AJ105" t="str">
        <f>LEFT(M105,1)</f>
        <v>M</v>
      </c>
      <c r="AK105" t="str">
        <f>_xlfn.CONCAT(AG105,AH105,AI105,AJ105)</f>
        <v>CMBM</v>
      </c>
    </row>
    <row r="106" spans="1:37" ht="15.75" hidden="1" customHeight="1" x14ac:dyDescent="0.2">
      <c r="A106" s="1">
        <v>10723701</v>
      </c>
      <c r="B106" s="1" t="s">
        <v>1067</v>
      </c>
      <c r="C106" s="1" t="s">
        <v>1068</v>
      </c>
      <c r="D106" s="1" t="s">
        <v>1261</v>
      </c>
      <c r="E106" s="1" t="s">
        <v>473</v>
      </c>
      <c r="F106" s="1" t="s">
        <v>32</v>
      </c>
      <c r="G106" s="1" t="s">
        <v>1262</v>
      </c>
      <c r="H106" s="1">
        <v>4</v>
      </c>
      <c r="I106" s="1" t="s">
        <v>85</v>
      </c>
      <c r="J106" s="1">
        <v>12</v>
      </c>
      <c r="K106" s="1" t="s">
        <v>35</v>
      </c>
      <c r="L106" s="1">
        <v>45</v>
      </c>
      <c r="M106" s="1" t="str">
        <f>IF(L106&lt;=45,"Joven","Mayor")</f>
        <v>Joven</v>
      </c>
      <c r="N106" s="1">
        <v>61</v>
      </c>
      <c r="O106" s="1" t="s">
        <v>36</v>
      </c>
      <c r="P106" s="1">
        <v>0.36</v>
      </c>
      <c r="Q106" s="1">
        <v>87.816000000000003</v>
      </c>
      <c r="R106" s="1">
        <v>4.4493584999999998</v>
      </c>
      <c r="S106" s="1">
        <v>10.284497999999999</v>
      </c>
      <c r="T106" s="1">
        <v>-4.008076</v>
      </c>
      <c r="U106" s="1">
        <v>21.321000000000002</v>
      </c>
      <c r="V106" s="1">
        <v>94</v>
      </c>
      <c r="W106" s="1">
        <v>143</v>
      </c>
      <c r="X106" s="1">
        <v>1.5212765957446808</v>
      </c>
      <c r="Y106" s="1">
        <v>99</v>
      </c>
      <c r="Z106" s="1">
        <v>143</v>
      </c>
      <c r="AA106" s="1">
        <v>1.4444444444444444</v>
      </c>
      <c r="AB106" s="1">
        <v>96.845567179611407</v>
      </c>
      <c r="AC106" s="1">
        <v>143.13953131863451</v>
      </c>
      <c r="AD106" s="1">
        <v>1.4780184110354329</v>
      </c>
      <c r="AE106" t="s">
        <v>4815</v>
      </c>
      <c r="AF106" t="str">
        <f>IF(X106&lt;$AF$1,"Bajo","Alto")</f>
        <v>Bajo</v>
      </c>
      <c r="AG106" t="str">
        <f>LEFT(AE106,1)</f>
        <v>I</v>
      </c>
      <c r="AH106" t="str">
        <f>K106</f>
        <v>M</v>
      </c>
      <c r="AI106" t="str">
        <f>LEFT(AF106,1)</f>
        <v>B</v>
      </c>
      <c r="AJ106" t="str">
        <f>LEFT(M106,1)</f>
        <v>J</v>
      </c>
      <c r="AK106" t="str">
        <f>_xlfn.CONCAT(AG106,AH106,AI106,AJ106)</f>
        <v>IMBJ</v>
      </c>
    </row>
    <row r="107" spans="1:37" ht="15.75" hidden="1" customHeight="1" x14ac:dyDescent="0.2">
      <c r="A107" s="1">
        <v>119104</v>
      </c>
      <c r="B107" s="1" t="s">
        <v>1648</v>
      </c>
      <c r="C107" s="1" t="s">
        <v>51</v>
      </c>
      <c r="D107" s="1" t="s">
        <v>1788</v>
      </c>
      <c r="E107" s="1" t="s">
        <v>770</v>
      </c>
      <c r="F107" s="1" t="s">
        <v>61</v>
      </c>
      <c r="G107" s="1" t="s">
        <v>1791</v>
      </c>
      <c r="H107" s="1">
        <v>217</v>
      </c>
      <c r="I107" s="1" t="s">
        <v>73</v>
      </c>
      <c r="J107" s="1">
        <v>5</v>
      </c>
      <c r="K107" s="1" t="s">
        <v>35</v>
      </c>
      <c r="L107" s="1">
        <v>47</v>
      </c>
      <c r="M107" s="1" t="str">
        <f>IF(L107&lt;=45,"Joven","Mayor")</f>
        <v>Mayor</v>
      </c>
      <c r="N107" s="1">
        <v>50</v>
      </c>
      <c r="O107" s="1" t="s">
        <v>36</v>
      </c>
      <c r="P107" s="1">
        <v>0.34100000000000003</v>
      </c>
      <c r="Q107" s="1">
        <v>94.091999999999999</v>
      </c>
      <c r="R107" s="1">
        <v>-0.40183792000000002</v>
      </c>
      <c r="S107" s="1">
        <v>3.7254535999999998</v>
      </c>
      <c r="T107" s="1">
        <v>2.5876950000000001</v>
      </c>
      <c r="U107" s="1">
        <v>1.355</v>
      </c>
      <c r="V107" s="1">
        <v>118</v>
      </c>
      <c r="W107" s="1">
        <v>176</v>
      </c>
      <c r="X107" s="1">
        <v>1.4915254237288136</v>
      </c>
      <c r="Y107" s="1">
        <v>120</v>
      </c>
      <c r="Z107" s="1">
        <v>176</v>
      </c>
      <c r="AA107" s="1">
        <v>1.4666666666666666</v>
      </c>
      <c r="AB107" s="1">
        <v>122.0899085088067</v>
      </c>
      <c r="AC107" s="1">
        <v>175.73023397910541</v>
      </c>
      <c r="AD107" s="1">
        <v>1.4393510170124295</v>
      </c>
      <c r="AE107" t="s">
        <v>4817</v>
      </c>
      <c r="AF107" t="str">
        <f>IF(X107&lt;$AF$1,"Bajo","Alto")</f>
        <v>Bajo</v>
      </c>
      <c r="AG107" t="str">
        <f>LEFT(AE107,1)</f>
        <v>C</v>
      </c>
      <c r="AH107" t="str">
        <f>K107</f>
        <v>M</v>
      </c>
      <c r="AI107" t="str">
        <f>LEFT(AF107,1)</f>
        <v>B</v>
      </c>
      <c r="AJ107" t="str">
        <f>LEFT(M107,1)</f>
        <v>M</v>
      </c>
      <c r="AK107" t="str">
        <f>_xlfn.CONCAT(AG107,AH107,AI107,AJ107)</f>
        <v>CMBM</v>
      </c>
    </row>
    <row r="108" spans="1:37" ht="15.75" hidden="1" customHeight="1" x14ac:dyDescent="0.2">
      <c r="A108" s="1">
        <v>10121802</v>
      </c>
      <c r="B108" s="1" t="s">
        <v>29</v>
      </c>
      <c r="C108" s="1" t="s">
        <v>30</v>
      </c>
      <c r="D108" s="1" t="s">
        <v>409</v>
      </c>
      <c r="E108" s="1" t="s">
        <v>410</v>
      </c>
      <c r="F108" s="1" t="s">
        <v>37</v>
      </c>
      <c r="G108" s="1" t="s">
        <v>411</v>
      </c>
      <c r="H108" s="1">
        <v>19384</v>
      </c>
      <c r="I108" s="1" t="s">
        <v>412</v>
      </c>
      <c r="J108" s="1">
        <v>5001</v>
      </c>
      <c r="K108" s="1" t="s">
        <v>35</v>
      </c>
      <c r="L108" s="1">
        <v>36</v>
      </c>
      <c r="M108" s="1" t="str">
        <f>IF(L108&lt;=45,"Joven","Mayor")</f>
        <v>Joven</v>
      </c>
      <c r="N108" s="1">
        <v>37</v>
      </c>
      <c r="O108" s="1" t="s">
        <v>36</v>
      </c>
      <c r="P108" s="1">
        <v>9.6000000000000002E-2</v>
      </c>
      <c r="Q108" s="1">
        <v>91.361999999999995</v>
      </c>
      <c r="R108" s="1">
        <v>3.3263957999999998</v>
      </c>
      <c r="S108" s="1">
        <v>-6.3980626999999997</v>
      </c>
      <c r="T108" s="1">
        <v>-4.6889852999999997</v>
      </c>
      <c r="U108" s="1">
        <v>8.2370000000000001</v>
      </c>
      <c r="V108" s="1">
        <v>79</v>
      </c>
      <c r="W108" s="1">
        <v>168</v>
      </c>
      <c r="X108" s="1">
        <v>2.1265822784810124</v>
      </c>
      <c r="Y108" s="1">
        <v>91</v>
      </c>
      <c r="Z108" s="1">
        <v>168</v>
      </c>
      <c r="AA108" s="1">
        <v>1.8461538461538463</v>
      </c>
      <c r="AB108" s="1">
        <v>87.670798265785606</v>
      </c>
      <c r="AC108" s="1">
        <v>168.66392790363119</v>
      </c>
      <c r="AD108" s="1">
        <v>1.9238324646286922</v>
      </c>
      <c r="AE108" t="s">
        <v>4817</v>
      </c>
      <c r="AF108" t="str">
        <f>IF(X108&lt;$AF$1,"Bajo","Alto")</f>
        <v>Alto</v>
      </c>
      <c r="AG108" t="str">
        <f>LEFT(AE108,1)</f>
        <v>C</v>
      </c>
      <c r="AH108" t="str">
        <f>K108</f>
        <v>M</v>
      </c>
      <c r="AI108" t="str">
        <f>LEFT(AF108,1)</f>
        <v>A</v>
      </c>
      <c r="AJ108" t="str">
        <f>LEFT(M108,1)</f>
        <v>J</v>
      </c>
      <c r="AK108" t="str">
        <f>_xlfn.CONCAT(AG108,AH108,AI108,AJ108)</f>
        <v>CMAJ</v>
      </c>
    </row>
    <row r="109" spans="1:37" ht="15.75" hidden="1" customHeight="1" x14ac:dyDescent="0.2">
      <c r="A109" s="1">
        <v>520105</v>
      </c>
      <c r="B109" s="1" t="s">
        <v>4529</v>
      </c>
      <c r="C109" s="1" t="s">
        <v>685</v>
      </c>
      <c r="D109" s="1" t="s">
        <v>4530</v>
      </c>
      <c r="E109" s="1" t="s">
        <v>32</v>
      </c>
      <c r="F109" s="1" t="s">
        <v>40</v>
      </c>
      <c r="G109" s="1" t="s">
        <v>4534</v>
      </c>
      <c r="H109" s="1">
        <v>39868</v>
      </c>
      <c r="I109" s="1" t="s">
        <v>108</v>
      </c>
      <c r="J109" s="1">
        <v>3</v>
      </c>
      <c r="K109" s="1" t="s">
        <v>35</v>
      </c>
      <c r="L109" s="1">
        <v>47</v>
      </c>
      <c r="M109" s="1" t="str">
        <f>IF(L109&lt;=45,"Joven","Mayor")</f>
        <v>Mayor</v>
      </c>
      <c r="N109" s="1">
        <v>46</v>
      </c>
      <c r="O109" s="1" t="s">
        <v>36</v>
      </c>
      <c r="P109" s="1">
        <v>0.314</v>
      </c>
      <c r="Q109" s="1">
        <v>79.915999999999997</v>
      </c>
      <c r="R109" s="1">
        <v>10.747854</v>
      </c>
      <c r="S109" s="1">
        <v>-0.44769500000000001</v>
      </c>
      <c r="T109" s="1">
        <v>1.6375426</v>
      </c>
      <c r="U109" s="1">
        <v>3.1419999999999999</v>
      </c>
      <c r="V109" s="1">
        <v>82</v>
      </c>
      <c r="W109" s="1">
        <v>173</v>
      </c>
      <c r="X109" s="1">
        <v>2.1097560975609757</v>
      </c>
      <c r="Y109" s="1">
        <v>89</v>
      </c>
      <c r="Z109" s="1">
        <v>173</v>
      </c>
      <c r="AA109" s="1">
        <v>1.9438202247191012</v>
      </c>
      <c r="AB109" s="1">
        <v>88.020624413795531</v>
      </c>
      <c r="AC109" s="1">
        <v>173.4437268147226</v>
      </c>
      <c r="AD109" s="1">
        <v>1.97048962069779</v>
      </c>
      <c r="AE109" t="s">
        <v>4817</v>
      </c>
      <c r="AF109" t="str">
        <f>IF(X109&lt;$AF$1,"Bajo","Alto")</f>
        <v>Alto</v>
      </c>
      <c r="AG109" t="str">
        <f>LEFT(AE109,1)</f>
        <v>C</v>
      </c>
      <c r="AH109" t="str">
        <f>K109</f>
        <v>M</v>
      </c>
      <c r="AI109" t="str">
        <f>LEFT(AF109,1)</f>
        <v>A</v>
      </c>
      <c r="AJ109" t="str">
        <f>LEFT(M109,1)</f>
        <v>M</v>
      </c>
      <c r="AK109" t="str">
        <f>_xlfn.CONCAT(AG109,AH109,AI109,AJ109)</f>
        <v>CMAM</v>
      </c>
    </row>
    <row r="110" spans="1:37" ht="15.75" hidden="1" customHeight="1" x14ac:dyDescent="0.2">
      <c r="A110" s="1">
        <v>10719002</v>
      </c>
      <c r="B110" s="1" t="s">
        <v>1067</v>
      </c>
      <c r="C110" s="1" t="s">
        <v>1068</v>
      </c>
      <c r="D110" s="1" t="s">
        <v>1203</v>
      </c>
      <c r="E110" s="1" t="s">
        <v>320</v>
      </c>
      <c r="F110" s="1" t="s">
        <v>37</v>
      </c>
      <c r="G110" s="1" t="s">
        <v>1205</v>
      </c>
      <c r="H110" s="1">
        <v>225</v>
      </c>
      <c r="I110" s="1" t="s">
        <v>65</v>
      </c>
      <c r="J110" s="1">
        <v>2</v>
      </c>
      <c r="K110" s="1" t="s">
        <v>35</v>
      </c>
      <c r="L110" s="1">
        <v>49</v>
      </c>
      <c r="M110" s="1" t="str">
        <f>IF(L110&lt;=45,"Joven","Mayor")</f>
        <v>Mayor</v>
      </c>
      <c r="N110" s="1">
        <v>48</v>
      </c>
      <c r="O110" s="1" t="s">
        <v>36</v>
      </c>
      <c r="P110" s="1">
        <v>0.30299999999999999</v>
      </c>
      <c r="Q110" s="1">
        <v>92.638000000000005</v>
      </c>
      <c r="R110" s="1">
        <v>1.4229479</v>
      </c>
      <c r="S110" s="1">
        <v>6.7479339999999999</v>
      </c>
      <c r="T110" s="1">
        <v>-2.2559828999999998</v>
      </c>
      <c r="U110" s="1">
        <v>0.41099999999999998</v>
      </c>
      <c r="V110" s="1">
        <v>80</v>
      </c>
      <c r="W110" s="1">
        <v>124</v>
      </c>
      <c r="X110" s="1">
        <v>1.55</v>
      </c>
      <c r="Y110" s="1">
        <v>84</v>
      </c>
      <c r="Z110" s="1">
        <v>124</v>
      </c>
      <c r="AA110" s="1">
        <v>1.4761904761904763</v>
      </c>
      <c r="AB110" s="1">
        <v>85.19454722647356</v>
      </c>
      <c r="AC110" s="1">
        <v>123.903891472753</v>
      </c>
      <c r="AD110" s="1">
        <v>1.4543641055263548</v>
      </c>
      <c r="AE110" t="s">
        <v>4815</v>
      </c>
      <c r="AF110" t="str">
        <f>IF(X110&lt;$AF$1,"Bajo","Alto")</f>
        <v>Bajo</v>
      </c>
      <c r="AG110" t="str">
        <f>LEFT(AE110,1)</f>
        <v>I</v>
      </c>
      <c r="AH110" t="str">
        <f>K110</f>
        <v>M</v>
      </c>
      <c r="AI110" t="str">
        <f>LEFT(AF110,1)</f>
        <v>B</v>
      </c>
      <c r="AJ110" t="str">
        <f>LEFT(M110,1)</f>
        <v>M</v>
      </c>
      <c r="AK110" t="str">
        <f>_xlfn.CONCAT(AG110,AH110,AI110,AJ110)</f>
        <v>IMBM</v>
      </c>
    </row>
    <row r="111" spans="1:37" ht="15.75" hidden="1" customHeight="1" x14ac:dyDescent="0.2">
      <c r="A111" s="1">
        <v>233701</v>
      </c>
      <c r="B111" s="1" t="s">
        <v>319</v>
      </c>
      <c r="C111" s="1" t="s">
        <v>1989</v>
      </c>
      <c r="D111" s="1" t="s">
        <v>3021</v>
      </c>
      <c r="E111" s="1" t="s">
        <v>647</v>
      </c>
      <c r="F111" s="1" t="s">
        <v>32</v>
      </c>
      <c r="G111" s="1" t="s">
        <v>3022</v>
      </c>
      <c r="H111" s="1">
        <v>10688</v>
      </c>
      <c r="I111" s="1" t="s">
        <v>73</v>
      </c>
      <c r="J111" s="1">
        <v>5</v>
      </c>
      <c r="K111" s="1" t="s">
        <v>35</v>
      </c>
      <c r="L111" s="1">
        <v>35</v>
      </c>
      <c r="M111" s="1" t="str">
        <f>IF(L111&lt;=45,"Joven","Mayor")</f>
        <v>Joven</v>
      </c>
      <c r="N111" s="1">
        <v>41</v>
      </c>
      <c r="O111" s="1" t="s">
        <v>36</v>
      </c>
      <c r="P111" s="1">
        <v>0.34799999999999998</v>
      </c>
      <c r="Q111" s="1">
        <v>90.320999999999998</v>
      </c>
      <c r="R111" s="1">
        <v>4.7146600000000003</v>
      </c>
      <c r="S111" s="1">
        <v>5.2501519999999999</v>
      </c>
      <c r="T111" s="1">
        <v>-7.1779830000000002</v>
      </c>
      <c r="U111" s="1">
        <v>25.978999999999999</v>
      </c>
      <c r="V111" s="1">
        <v>108</v>
      </c>
      <c r="W111" s="1">
        <v>164</v>
      </c>
      <c r="X111" s="1">
        <v>1.5185185185185186</v>
      </c>
      <c r="Y111" s="1">
        <v>109</v>
      </c>
      <c r="Z111" s="1">
        <v>164</v>
      </c>
      <c r="AA111" s="1">
        <v>1.5045871559633028</v>
      </c>
      <c r="AB111" s="1">
        <v>113.4011805566647</v>
      </c>
      <c r="AC111" s="1">
        <v>163.4644094318692</v>
      </c>
      <c r="AD111" s="1">
        <v>1.4414700854916473</v>
      </c>
      <c r="AE111" t="s">
        <v>4817</v>
      </c>
      <c r="AF111" t="str">
        <f>IF(X111&lt;$AF$1,"Bajo","Alto")</f>
        <v>Bajo</v>
      </c>
      <c r="AG111" t="str">
        <f>LEFT(AE111,1)</f>
        <v>C</v>
      </c>
      <c r="AH111" t="str">
        <f>K111</f>
        <v>M</v>
      </c>
      <c r="AI111" t="str">
        <f>LEFT(AF111,1)</f>
        <v>B</v>
      </c>
      <c r="AJ111" t="str">
        <f>LEFT(M111,1)</f>
        <v>J</v>
      </c>
      <c r="AK111" t="str">
        <f>_xlfn.CONCAT(AG111,AH111,AI111,AJ111)</f>
        <v>CMBJ</v>
      </c>
    </row>
    <row r="112" spans="1:37" ht="15.75" hidden="1" customHeight="1" x14ac:dyDescent="0.2">
      <c r="A112" s="1">
        <v>212805</v>
      </c>
      <c r="B112" s="1" t="s">
        <v>2816</v>
      </c>
      <c r="C112" s="1" t="s">
        <v>2817</v>
      </c>
      <c r="D112" s="1" t="s">
        <v>2852</v>
      </c>
      <c r="E112" s="1" t="s">
        <v>561</v>
      </c>
      <c r="F112" s="1" t="s">
        <v>40</v>
      </c>
      <c r="G112" s="1" t="s">
        <v>2855</v>
      </c>
      <c r="H112" s="1">
        <v>11</v>
      </c>
      <c r="I112" s="1" t="s">
        <v>48</v>
      </c>
      <c r="J112" s="1">
        <v>4</v>
      </c>
      <c r="K112" s="1" t="s">
        <v>49</v>
      </c>
      <c r="L112" s="1">
        <v>29</v>
      </c>
      <c r="M112" s="1" t="str">
        <f>IF(L112&lt;=45,"Joven","Mayor")</f>
        <v>Joven</v>
      </c>
      <c r="N112" s="1">
        <v>27</v>
      </c>
      <c r="O112" s="1" t="s">
        <v>50</v>
      </c>
      <c r="P112" s="1">
        <v>1.1619999999999999</v>
      </c>
      <c r="Q112" s="1">
        <v>90.465000000000003</v>
      </c>
      <c r="R112" s="1">
        <v>-5.1713300000000002</v>
      </c>
      <c r="S112" s="1">
        <v>-2.5107944</v>
      </c>
      <c r="T112" s="1">
        <v>-10.472692</v>
      </c>
      <c r="U112" s="1">
        <v>0.64</v>
      </c>
      <c r="V112" s="1">
        <v>60</v>
      </c>
      <c r="W112" s="1">
        <v>138</v>
      </c>
      <c r="X112" s="1">
        <v>2.2999999999999998</v>
      </c>
      <c r="Y112" s="1">
        <v>71</v>
      </c>
      <c r="Z112" s="1">
        <v>138</v>
      </c>
      <c r="AA112" s="1">
        <v>1.943661971830986</v>
      </c>
      <c r="AB112" s="1">
        <v>68.27060955260049</v>
      </c>
      <c r="AC112" s="1">
        <v>140.79062036805411</v>
      </c>
      <c r="AD112" s="1">
        <v>2.062243493806498</v>
      </c>
      <c r="AE112" t="s">
        <v>4817</v>
      </c>
      <c r="AF112" t="str">
        <f>IF(X112&lt;$AF$1,"Bajo","Alto")</f>
        <v>Alto</v>
      </c>
      <c r="AG112" t="str">
        <f>LEFT(AE112,1)</f>
        <v>C</v>
      </c>
      <c r="AH112" t="str">
        <f>K112</f>
        <v>F</v>
      </c>
      <c r="AI112" t="str">
        <f>LEFT(AF112,1)</f>
        <v>A</v>
      </c>
      <c r="AJ112" t="str">
        <f>LEFT(M112,1)</f>
        <v>J</v>
      </c>
      <c r="AK112" t="str">
        <f>_xlfn.CONCAT(AG112,AH112,AI112,AJ112)</f>
        <v>CFAJ</v>
      </c>
    </row>
    <row r="113" spans="1:37" ht="15.75" hidden="1" customHeight="1" x14ac:dyDescent="0.2">
      <c r="A113" s="1">
        <v>10129503</v>
      </c>
      <c r="B113" s="1" t="s">
        <v>29</v>
      </c>
      <c r="C113" s="1" t="s">
        <v>30</v>
      </c>
      <c r="D113" s="1" t="s">
        <v>601</v>
      </c>
      <c r="E113" s="1" t="s">
        <v>602</v>
      </c>
      <c r="F113" s="1" t="s">
        <v>63</v>
      </c>
      <c r="G113" s="1" t="s">
        <v>605</v>
      </c>
      <c r="H113" s="1">
        <v>3232</v>
      </c>
      <c r="I113" s="1" t="s">
        <v>606</v>
      </c>
      <c r="J113" s="1">
        <v>4584</v>
      </c>
      <c r="K113" s="1" t="s">
        <v>35</v>
      </c>
      <c r="L113" s="1">
        <v>24</v>
      </c>
      <c r="M113" s="1" t="str">
        <f>IF(L113&lt;=45,"Joven","Mayor")</f>
        <v>Joven</v>
      </c>
      <c r="N113" s="1">
        <v>21</v>
      </c>
      <c r="O113" s="1" t="s">
        <v>36</v>
      </c>
      <c r="P113" s="1">
        <v>0.32800000000000001</v>
      </c>
      <c r="Q113" s="1">
        <v>88.537000000000006</v>
      </c>
      <c r="R113" s="1">
        <v>5.9631829999999999</v>
      </c>
      <c r="S113" s="1">
        <v>5.6174200000000001</v>
      </c>
      <c r="T113" s="1">
        <v>-7.8891309999999999</v>
      </c>
      <c r="U113" s="1">
        <v>2.4359999999999999</v>
      </c>
      <c r="V113" s="1">
        <v>66</v>
      </c>
      <c r="W113" s="1">
        <v>140</v>
      </c>
      <c r="X113" s="1">
        <v>2.1212121212121211</v>
      </c>
      <c r="Y113" s="1">
        <v>74</v>
      </c>
      <c r="Z113" s="1">
        <v>140</v>
      </c>
      <c r="AA113" s="1">
        <v>1.8918918918918919</v>
      </c>
      <c r="AB113" s="1">
        <v>71.277379924701336</v>
      </c>
      <c r="AC113" s="1">
        <v>140.7338222685635</v>
      </c>
      <c r="AD113" s="1">
        <v>1.9744527985910418</v>
      </c>
      <c r="AE113" t="s">
        <v>4817</v>
      </c>
      <c r="AF113" t="str">
        <f>IF(X113&lt;$AF$1,"Bajo","Alto")</f>
        <v>Alto</v>
      </c>
      <c r="AG113" t="str">
        <f>LEFT(AE113,1)</f>
        <v>C</v>
      </c>
      <c r="AH113" t="str">
        <f>K113</f>
        <v>M</v>
      </c>
      <c r="AI113" t="str">
        <f>LEFT(AF113,1)</f>
        <v>A</v>
      </c>
      <c r="AJ113" t="str">
        <f>LEFT(M113,1)</f>
        <v>J</v>
      </c>
      <c r="AK113" t="str">
        <f>_xlfn.CONCAT(AG113,AH113,AI113,AJ113)</f>
        <v>CMAJ</v>
      </c>
    </row>
    <row r="114" spans="1:37" ht="15.75" hidden="1" customHeight="1" x14ac:dyDescent="0.2">
      <c r="A114" s="1">
        <v>10721404</v>
      </c>
      <c r="B114" s="1" t="s">
        <v>1067</v>
      </c>
      <c r="C114" s="1" t="s">
        <v>1068</v>
      </c>
      <c r="D114" s="1" t="s">
        <v>1218</v>
      </c>
      <c r="E114" s="1" t="s">
        <v>392</v>
      </c>
      <c r="F114" s="1" t="s">
        <v>61</v>
      </c>
      <c r="G114" s="1" t="s">
        <v>1222</v>
      </c>
      <c r="H114" s="1">
        <v>9307</v>
      </c>
      <c r="I114" s="1" t="s">
        <v>1223</v>
      </c>
      <c r="J114" s="1">
        <v>2788</v>
      </c>
      <c r="K114" s="1" t="s">
        <v>35</v>
      </c>
      <c r="L114" s="1">
        <v>39</v>
      </c>
      <c r="M114" s="1" t="str">
        <f>IF(L114&lt;=45,"Joven","Mayor")</f>
        <v>Joven</v>
      </c>
      <c r="N114" s="1">
        <v>42</v>
      </c>
      <c r="O114" s="1" t="s">
        <v>36</v>
      </c>
      <c r="P114" s="1">
        <v>0.64600000000000002</v>
      </c>
      <c r="Q114" s="1">
        <v>87.251999999999995</v>
      </c>
      <c r="R114" s="1">
        <v>-3.9391517999999999</v>
      </c>
      <c r="S114" s="1">
        <v>11.640904000000001</v>
      </c>
      <c r="T114" s="1">
        <v>3.0450927999999999</v>
      </c>
      <c r="U114" s="1">
        <v>64.784999999999997</v>
      </c>
      <c r="V114" s="1">
        <v>86</v>
      </c>
      <c r="W114" s="1">
        <v>131</v>
      </c>
      <c r="X114" s="1">
        <v>1.5232558139534884</v>
      </c>
      <c r="Y114" s="1">
        <v>88</v>
      </c>
      <c r="Z114" s="1">
        <v>131</v>
      </c>
      <c r="AA114" s="1">
        <v>1.4886363636363635</v>
      </c>
      <c r="AB114" s="1">
        <v>87.737836881314252</v>
      </c>
      <c r="AC114" s="1">
        <v>130.92127649458831</v>
      </c>
      <c r="AD114" s="1">
        <v>1.4921871925300561</v>
      </c>
      <c r="AE114" t="s">
        <v>4817</v>
      </c>
      <c r="AF114" t="str">
        <f>IF(X114&lt;$AF$1,"Bajo","Alto")</f>
        <v>Bajo</v>
      </c>
      <c r="AG114" t="str">
        <f>LEFT(AE114,1)</f>
        <v>C</v>
      </c>
      <c r="AH114" t="str">
        <f>K114</f>
        <v>M</v>
      </c>
      <c r="AI114" t="str">
        <f>LEFT(AF114,1)</f>
        <v>B</v>
      </c>
      <c r="AJ114" t="str">
        <f>LEFT(M114,1)</f>
        <v>J</v>
      </c>
      <c r="AK114" t="str">
        <f>_xlfn.CONCAT(AG114,AH114,AI114,AJ114)</f>
        <v>CMBJ</v>
      </c>
    </row>
    <row r="115" spans="1:37" ht="15.75" hidden="1" customHeight="1" x14ac:dyDescent="0.2">
      <c r="A115" s="1">
        <v>1095502</v>
      </c>
      <c r="B115" s="1" t="s">
        <v>719</v>
      </c>
      <c r="C115" s="1" t="s">
        <v>98</v>
      </c>
      <c r="D115" s="1" t="s">
        <v>1621</v>
      </c>
      <c r="E115" s="1" t="s">
        <v>690</v>
      </c>
      <c r="F115" s="1" t="s">
        <v>37</v>
      </c>
      <c r="G115" s="1" t="s">
        <v>1623</v>
      </c>
      <c r="H115" s="1">
        <v>1775</v>
      </c>
      <c r="I115" s="1" t="s">
        <v>65</v>
      </c>
      <c r="J115" s="1">
        <v>2</v>
      </c>
      <c r="K115" s="1" t="s">
        <v>35</v>
      </c>
      <c r="L115" s="1">
        <v>63</v>
      </c>
      <c r="M115" s="1" t="str">
        <f>IF(L115&lt;=45,"Joven","Mayor")</f>
        <v>Mayor</v>
      </c>
      <c r="N115" s="1">
        <v>70</v>
      </c>
      <c r="O115" s="1" t="s">
        <v>36</v>
      </c>
      <c r="P115" s="1">
        <v>0.248</v>
      </c>
      <c r="Q115" s="1">
        <v>88.38</v>
      </c>
      <c r="R115" s="1">
        <v>6.9346646999999999</v>
      </c>
      <c r="S115" s="1">
        <v>2.4052017000000001</v>
      </c>
      <c r="T115" s="1">
        <v>-8.1865649999999999</v>
      </c>
      <c r="U115" s="1">
        <v>2.3780000000000001</v>
      </c>
      <c r="V115" s="1">
        <v>75</v>
      </c>
      <c r="W115" s="1">
        <v>157</v>
      </c>
      <c r="X115" s="1">
        <v>2.0933333333333333</v>
      </c>
      <c r="Y115" s="1">
        <v>85</v>
      </c>
      <c r="Z115" s="1">
        <v>157</v>
      </c>
      <c r="AA115" s="1">
        <v>1.8470588235294119</v>
      </c>
      <c r="AB115" s="1">
        <v>81.925153077605955</v>
      </c>
      <c r="AC115" s="1">
        <v>157.9632579005256</v>
      </c>
      <c r="AD115" s="1">
        <v>1.9281411381787761</v>
      </c>
      <c r="AE115" t="s">
        <v>4817</v>
      </c>
      <c r="AF115" t="str">
        <f>IF(X115&lt;$AF$1,"Bajo","Alto")</f>
        <v>Alto</v>
      </c>
      <c r="AG115" t="str">
        <f>LEFT(AE115,1)</f>
        <v>C</v>
      </c>
      <c r="AH115" t="str">
        <f>K115</f>
        <v>M</v>
      </c>
      <c r="AI115" t="str">
        <f>LEFT(AF115,1)</f>
        <v>A</v>
      </c>
      <c r="AJ115" t="str">
        <f>LEFT(M115,1)</f>
        <v>M</v>
      </c>
      <c r="AK115" t="str">
        <f>_xlfn.CONCAT(AG115,AH115,AI115,AJ115)</f>
        <v>CMAM</v>
      </c>
    </row>
    <row r="116" spans="1:37" ht="15.75" hidden="1" customHeight="1" x14ac:dyDescent="0.2">
      <c r="A116" s="1">
        <v>10117202</v>
      </c>
      <c r="B116" s="1" t="s">
        <v>29</v>
      </c>
      <c r="C116" s="1" t="s">
        <v>30</v>
      </c>
      <c r="D116" s="1" t="s">
        <v>290</v>
      </c>
      <c r="E116" s="1" t="s">
        <v>291</v>
      </c>
      <c r="F116" s="1" t="s">
        <v>37</v>
      </c>
      <c r="G116" s="1" t="s">
        <v>293</v>
      </c>
      <c r="H116" s="1">
        <v>3277</v>
      </c>
      <c r="I116" s="1" t="s">
        <v>294</v>
      </c>
      <c r="J116" s="1">
        <v>16</v>
      </c>
      <c r="K116" s="1" t="s">
        <v>49</v>
      </c>
      <c r="L116" s="1">
        <v>44</v>
      </c>
      <c r="M116" s="1" t="str">
        <f>IF(L116&lt;=45,"Joven","Mayor")</f>
        <v>Joven</v>
      </c>
      <c r="N116" s="1">
        <v>34</v>
      </c>
      <c r="O116" s="1" t="s">
        <v>50</v>
      </c>
      <c r="P116" s="1">
        <v>0.374</v>
      </c>
      <c r="Q116" s="1">
        <v>74.332999999999998</v>
      </c>
      <c r="R116" s="1">
        <v>-11.943141000000001</v>
      </c>
      <c r="S116" s="1">
        <v>-2.2951646000000001</v>
      </c>
      <c r="T116" s="1">
        <v>0.17962713999999999</v>
      </c>
      <c r="U116" s="1">
        <v>1.603</v>
      </c>
      <c r="V116" s="1">
        <v>87</v>
      </c>
      <c r="W116" s="1">
        <v>134</v>
      </c>
      <c r="X116" s="1">
        <v>1.5402298850574712</v>
      </c>
      <c r="Y116" s="1">
        <v>90</v>
      </c>
      <c r="Z116" s="1">
        <v>134</v>
      </c>
      <c r="AA116" s="1">
        <v>1.4888888888888889</v>
      </c>
      <c r="AB116" s="1">
        <v>90.093610102747107</v>
      </c>
      <c r="AC116" s="1">
        <v>133.96172051514901</v>
      </c>
      <c r="AD116" s="1">
        <v>1.486917000688202</v>
      </c>
      <c r="AE116" t="s">
        <v>4817</v>
      </c>
      <c r="AF116" t="str">
        <f>IF(X116&lt;$AF$1,"Bajo","Alto")</f>
        <v>Bajo</v>
      </c>
      <c r="AG116" t="str">
        <f>LEFT(AE116,1)</f>
        <v>C</v>
      </c>
      <c r="AH116" t="str">
        <f>K116</f>
        <v>F</v>
      </c>
      <c r="AI116" t="str">
        <f>LEFT(AF116,1)</f>
        <v>B</v>
      </c>
      <c r="AJ116" t="str">
        <f>LEFT(M116,1)</f>
        <v>J</v>
      </c>
      <c r="AK116" t="str">
        <f>_xlfn.CONCAT(AG116,AH116,AI116,AJ116)</f>
        <v>CFBJ</v>
      </c>
    </row>
    <row r="117" spans="1:37" ht="15.75" hidden="1" customHeight="1" x14ac:dyDescent="0.2">
      <c r="A117" s="1">
        <v>440305</v>
      </c>
      <c r="B117" s="1" t="s">
        <v>4314</v>
      </c>
      <c r="C117" s="1" t="s">
        <v>995</v>
      </c>
      <c r="D117" s="1" t="s">
        <v>4321</v>
      </c>
      <c r="E117" s="1" t="s">
        <v>63</v>
      </c>
      <c r="F117" s="1" t="s">
        <v>40</v>
      </c>
      <c r="G117" s="1" t="s">
        <v>4327</v>
      </c>
      <c r="H117" s="1">
        <v>2722</v>
      </c>
      <c r="I117" s="1" t="s">
        <v>4328</v>
      </c>
      <c r="J117" s="1">
        <v>4459</v>
      </c>
      <c r="K117" s="1" t="s">
        <v>35</v>
      </c>
      <c r="L117" s="1">
        <v>32</v>
      </c>
      <c r="M117" s="1" t="str">
        <f>IF(L117&lt;=45,"Joven","Mayor")</f>
        <v>Joven</v>
      </c>
      <c r="N117" s="1">
        <v>36</v>
      </c>
      <c r="O117" s="1" t="s">
        <v>36</v>
      </c>
      <c r="P117" s="1">
        <v>0.97499999999999998</v>
      </c>
      <c r="Q117" s="1">
        <v>91.486999999999995</v>
      </c>
      <c r="R117" s="1">
        <v>-1.9070374999999999</v>
      </c>
      <c r="S117" s="1">
        <v>8.1884479999999993</v>
      </c>
      <c r="T117" s="1">
        <v>4.1464185999999996</v>
      </c>
      <c r="U117" s="1">
        <v>1.296</v>
      </c>
      <c r="V117" s="1">
        <v>79</v>
      </c>
      <c r="W117" s="1">
        <v>167</v>
      </c>
      <c r="X117" s="1">
        <v>2.1139240506329116</v>
      </c>
      <c r="Y117" s="1">
        <v>84</v>
      </c>
      <c r="Z117" s="1">
        <v>167</v>
      </c>
      <c r="AA117" s="1">
        <v>1.9880952380952381</v>
      </c>
      <c r="AB117" s="1">
        <v>82.263884213010442</v>
      </c>
      <c r="AC117" s="1">
        <v>166.924410270512</v>
      </c>
      <c r="AD117" s="1">
        <v>2.029133584773184</v>
      </c>
      <c r="AE117" t="s">
        <v>4817</v>
      </c>
      <c r="AF117" t="str">
        <f>IF(X117&lt;$AF$1,"Bajo","Alto")</f>
        <v>Alto</v>
      </c>
      <c r="AG117" t="str">
        <f>LEFT(AE117,1)</f>
        <v>C</v>
      </c>
      <c r="AH117" t="str">
        <f>K117</f>
        <v>M</v>
      </c>
      <c r="AI117" t="str">
        <f>LEFT(AF117,1)</f>
        <v>A</v>
      </c>
      <c r="AJ117" t="str">
        <f>LEFT(M117,1)</f>
        <v>J</v>
      </c>
      <c r="AK117" t="str">
        <f>_xlfn.CONCAT(AG117,AH117,AI117,AJ117)</f>
        <v>CMAJ</v>
      </c>
    </row>
    <row r="118" spans="1:37" ht="15.75" hidden="1" customHeight="1" x14ac:dyDescent="0.2">
      <c r="A118" s="1">
        <v>10716302</v>
      </c>
      <c r="B118" s="1" t="s">
        <v>1067</v>
      </c>
      <c r="C118" s="1" t="s">
        <v>1068</v>
      </c>
      <c r="D118" s="1" t="s">
        <v>1166</v>
      </c>
      <c r="E118" s="1" t="s">
        <v>251</v>
      </c>
      <c r="F118" s="1" t="s">
        <v>37</v>
      </c>
      <c r="G118" s="1" t="s">
        <v>1167</v>
      </c>
      <c r="H118" s="1">
        <v>155</v>
      </c>
      <c r="I118" s="1" t="s">
        <v>91</v>
      </c>
      <c r="J118" s="1">
        <v>6</v>
      </c>
      <c r="K118" s="1" t="s">
        <v>35</v>
      </c>
      <c r="L118" s="1">
        <v>47</v>
      </c>
      <c r="M118" s="1" t="str">
        <f>IF(L118&lt;=45,"Joven","Mayor")</f>
        <v>Mayor</v>
      </c>
      <c r="N118" s="1">
        <v>60</v>
      </c>
      <c r="O118" s="1" t="s">
        <v>36</v>
      </c>
      <c r="P118" s="1">
        <v>1.3280000000000001</v>
      </c>
      <c r="Q118" s="1">
        <v>91.263000000000005</v>
      </c>
      <c r="R118" s="1">
        <v>-1.7431991</v>
      </c>
      <c r="S118" s="1">
        <v>8.6696000000000009</v>
      </c>
      <c r="T118" s="1">
        <v>5.9573369999999999</v>
      </c>
      <c r="U118" s="1">
        <v>21.835999999999999</v>
      </c>
      <c r="V118" s="1">
        <v>103</v>
      </c>
      <c r="W118" s="1">
        <v>154</v>
      </c>
      <c r="X118" s="1">
        <v>1.4951456310679612</v>
      </c>
      <c r="Y118" s="1">
        <v>111</v>
      </c>
      <c r="Z118" s="1">
        <v>154</v>
      </c>
      <c r="AA118" s="1">
        <v>1.3873873873873874</v>
      </c>
      <c r="AB118" s="1">
        <v>107.42556298785919</v>
      </c>
      <c r="AC118" s="1">
        <v>154.20619473290569</v>
      </c>
      <c r="AD118" s="1">
        <v>1.4354702032172124</v>
      </c>
      <c r="AE118" t="s">
        <v>4817</v>
      </c>
      <c r="AF118" t="str">
        <f>IF(X118&lt;$AF$1,"Bajo","Alto")</f>
        <v>Bajo</v>
      </c>
      <c r="AG118" t="str">
        <f>LEFT(AE118,1)</f>
        <v>C</v>
      </c>
      <c r="AH118" t="str">
        <f>K118</f>
        <v>M</v>
      </c>
      <c r="AI118" t="str">
        <f>LEFT(AF118,1)</f>
        <v>B</v>
      </c>
      <c r="AJ118" t="str">
        <f>LEFT(M118,1)</f>
        <v>M</v>
      </c>
      <c r="AK118" t="str">
        <f>_xlfn.CONCAT(AG118,AH118,AI118,AJ118)</f>
        <v>CMBM</v>
      </c>
    </row>
    <row r="119" spans="1:37" ht="15.75" hidden="1" customHeight="1" x14ac:dyDescent="0.2">
      <c r="A119" s="1">
        <v>1241511</v>
      </c>
      <c r="B119" s="1" t="s">
        <v>1798</v>
      </c>
      <c r="C119" s="1" t="s">
        <v>54</v>
      </c>
      <c r="D119" s="1" t="s">
        <v>1844</v>
      </c>
      <c r="E119" s="1" t="s">
        <v>1845</v>
      </c>
      <c r="F119" s="1" t="s">
        <v>51</v>
      </c>
      <c r="G119" s="1" t="s">
        <v>1854</v>
      </c>
      <c r="H119" s="1">
        <v>3548</v>
      </c>
      <c r="I119" s="1" t="s">
        <v>134</v>
      </c>
      <c r="J119" s="1">
        <v>8</v>
      </c>
      <c r="K119" s="1" t="s">
        <v>35</v>
      </c>
      <c r="L119" s="1">
        <v>52</v>
      </c>
      <c r="M119" s="1" t="str">
        <f>IF(L119&lt;=45,"Joven","Mayor")</f>
        <v>Mayor</v>
      </c>
      <c r="N119" s="1">
        <v>53</v>
      </c>
      <c r="O119" s="1" t="s">
        <v>36</v>
      </c>
      <c r="P119" s="1">
        <v>0.36</v>
      </c>
      <c r="Q119" s="1">
        <v>89.983000000000004</v>
      </c>
      <c r="R119" s="1">
        <v>5.7253210000000001</v>
      </c>
      <c r="S119" s="1">
        <v>2.7634148999999999</v>
      </c>
      <c r="T119" s="1">
        <v>-0.85356180000000004</v>
      </c>
      <c r="U119" s="1">
        <v>13.677</v>
      </c>
      <c r="V119" s="1">
        <v>82</v>
      </c>
      <c r="W119" s="1">
        <v>171</v>
      </c>
      <c r="X119" s="1">
        <v>2.0853658536585367</v>
      </c>
      <c r="Y119" s="1">
        <v>83</v>
      </c>
      <c r="Z119" s="1">
        <v>171</v>
      </c>
      <c r="AA119" s="1">
        <v>2.0602409638554215</v>
      </c>
      <c r="AB119" s="1">
        <v>83.616460226780418</v>
      </c>
      <c r="AC119" s="1">
        <v>171.01081878290921</v>
      </c>
      <c r="AD119" s="1">
        <v>2.0451812755419465</v>
      </c>
      <c r="AE119" t="s">
        <v>4817</v>
      </c>
      <c r="AF119" t="str">
        <f>IF(X119&lt;$AF$1,"Bajo","Alto")</f>
        <v>Alto</v>
      </c>
      <c r="AG119" t="str">
        <f>LEFT(AE119,1)</f>
        <v>C</v>
      </c>
      <c r="AH119" t="str">
        <f>K119</f>
        <v>M</v>
      </c>
      <c r="AI119" t="str">
        <f>LEFT(AF119,1)</f>
        <v>A</v>
      </c>
      <c r="AJ119" t="str">
        <f>LEFT(M119,1)</f>
        <v>M</v>
      </c>
      <c r="AK119" t="str">
        <f>_xlfn.CONCAT(AG119,AH119,AI119,AJ119)</f>
        <v>CMAM</v>
      </c>
    </row>
    <row r="120" spans="1:37" ht="15.75" hidden="1" customHeight="1" x14ac:dyDescent="0.2">
      <c r="A120" s="1">
        <v>10722604</v>
      </c>
      <c r="B120" s="1" t="s">
        <v>1067</v>
      </c>
      <c r="C120" s="1" t="s">
        <v>1068</v>
      </c>
      <c r="D120" s="1" t="s">
        <v>1245</v>
      </c>
      <c r="E120" s="1" t="s">
        <v>431</v>
      </c>
      <c r="F120" s="1" t="s">
        <v>61</v>
      </c>
      <c r="G120" s="1" t="s">
        <v>1248</v>
      </c>
      <c r="H120" s="1">
        <v>4242</v>
      </c>
      <c r="I120" s="1" t="s">
        <v>1249</v>
      </c>
      <c r="J120" s="1">
        <v>2081</v>
      </c>
      <c r="K120" s="1" t="s">
        <v>35</v>
      </c>
      <c r="L120" s="1">
        <v>41</v>
      </c>
      <c r="M120" s="1" t="str">
        <f>IF(L120&lt;=45,"Joven","Mayor")</f>
        <v>Joven</v>
      </c>
      <c r="N120" s="1">
        <v>50</v>
      </c>
      <c r="O120" s="1" t="s">
        <v>36</v>
      </c>
      <c r="P120" s="1">
        <v>0.39700000000000002</v>
      </c>
      <c r="Q120" s="1">
        <v>94.272999999999996</v>
      </c>
      <c r="R120" s="1">
        <v>0.75902605000000001</v>
      </c>
      <c r="S120" s="1">
        <v>1.9623227000000001</v>
      </c>
      <c r="T120" s="1">
        <v>-5.875337</v>
      </c>
      <c r="U120" s="1">
        <v>1.7</v>
      </c>
      <c r="V120" s="1">
        <v>84</v>
      </c>
      <c r="W120" s="1">
        <v>128</v>
      </c>
      <c r="X120" s="1">
        <v>1.5238095238095237</v>
      </c>
      <c r="Y120" s="1">
        <v>87</v>
      </c>
      <c r="Z120" s="1">
        <v>128</v>
      </c>
      <c r="AA120" s="1">
        <v>1.4712643678160919</v>
      </c>
      <c r="AB120" s="1">
        <v>87.653319929604095</v>
      </c>
      <c r="AC120" s="1">
        <v>127.7370698521818</v>
      </c>
      <c r="AD120" s="1">
        <v>1.4572987076219095</v>
      </c>
      <c r="AE120" t="s">
        <v>4817</v>
      </c>
      <c r="AF120" t="str">
        <f>IF(X120&lt;$AF$1,"Bajo","Alto")</f>
        <v>Bajo</v>
      </c>
      <c r="AG120" t="str">
        <f>LEFT(AE120,1)</f>
        <v>C</v>
      </c>
      <c r="AH120" t="str">
        <f>K120</f>
        <v>M</v>
      </c>
      <c r="AI120" t="str">
        <f>LEFT(AF120,1)</f>
        <v>B</v>
      </c>
      <c r="AJ120" t="str">
        <f>LEFT(M120,1)</f>
        <v>J</v>
      </c>
      <c r="AK120" t="str">
        <f>_xlfn.CONCAT(AG120,AH120,AI120,AJ120)</f>
        <v>CMBJ</v>
      </c>
    </row>
    <row r="121" spans="1:37" ht="15.75" hidden="1" customHeight="1" x14ac:dyDescent="0.2">
      <c r="A121" s="1">
        <v>297006</v>
      </c>
      <c r="B121" s="1" t="s">
        <v>3890</v>
      </c>
      <c r="C121" s="1" t="s">
        <v>1695</v>
      </c>
      <c r="D121" s="1" t="s">
        <v>4053</v>
      </c>
      <c r="E121" s="1" t="s">
        <v>720</v>
      </c>
      <c r="F121" s="1" t="s">
        <v>88</v>
      </c>
      <c r="G121" s="1" t="s">
        <v>4054</v>
      </c>
      <c r="H121" s="1">
        <v>2922</v>
      </c>
      <c r="I121" s="1" t="s">
        <v>2246</v>
      </c>
      <c r="J121" s="1">
        <v>3786</v>
      </c>
      <c r="K121" s="1" t="s">
        <v>35</v>
      </c>
      <c r="L121" s="1">
        <v>32</v>
      </c>
      <c r="M121" s="1" t="str">
        <f>IF(L121&lt;=45,"Joven","Mayor")</f>
        <v>Joven</v>
      </c>
      <c r="N121" s="1">
        <v>24</v>
      </c>
      <c r="O121" s="1" t="s">
        <v>36</v>
      </c>
      <c r="P121" s="1">
        <v>1.147</v>
      </c>
      <c r="Q121" s="1">
        <v>93.34</v>
      </c>
      <c r="R121" s="1">
        <v>-2.0615833000000001</v>
      </c>
      <c r="S121" s="1">
        <v>2.0584012999999999</v>
      </c>
      <c r="T121" s="1">
        <v>-2.8926337000000002</v>
      </c>
      <c r="U121" s="1">
        <v>9.1180000000000003</v>
      </c>
      <c r="V121" s="1">
        <v>206</v>
      </c>
      <c r="W121" s="1">
        <v>435</v>
      </c>
      <c r="X121" s="1">
        <v>2.1116504854368934</v>
      </c>
      <c r="Y121" s="1">
        <v>222</v>
      </c>
      <c r="Z121" s="1">
        <v>435</v>
      </c>
      <c r="AA121" s="1">
        <v>1.9594594594594594</v>
      </c>
      <c r="AB121" s="1">
        <v>216.92300834952201</v>
      </c>
      <c r="AC121" s="1">
        <v>437.42315400908501</v>
      </c>
      <c r="AD121" s="1">
        <v>2.0164903545145254</v>
      </c>
      <c r="AE121" t="s">
        <v>4817</v>
      </c>
      <c r="AF121" t="str">
        <f>IF(X121&lt;$AF$1,"Bajo","Alto")</f>
        <v>Alto</v>
      </c>
      <c r="AG121" t="str">
        <f>LEFT(AE121,1)</f>
        <v>C</v>
      </c>
      <c r="AH121" t="str">
        <f>K121</f>
        <v>M</v>
      </c>
      <c r="AI121" t="str">
        <f>LEFT(AF121,1)</f>
        <v>A</v>
      </c>
      <c r="AJ121" t="str">
        <f>LEFT(M121,1)</f>
        <v>J</v>
      </c>
      <c r="AK121" t="str">
        <f>_xlfn.CONCAT(AG121,AH121,AI121,AJ121)</f>
        <v>CMAJ</v>
      </c>
    </row>
    <row r="122" spans="1:37" ht="15.75" hidden="1" customHeight="1" x14ac:dyDescent="0.2">
      <c r="A122" s="1">
        <v>1522905</v>
      </c>
      <c r="B122" s="1" t="s">
        <v>2077</v>
      </c>
      <c r="C122" s="1" t="s">
        <v>57</v>
      </c>
      <c r="D122" s="1" t="s">
        <v>438</v>
      </c>
      <c r="E122" s="1" t="s">
        <v>443</v>
      </c>
      <c r="F122" s="1" t="s">
        <v>40</v>
      </c>
      <c r="G122" s="1" t="s">
        <v>2272</v>
      </c>
      <c r="H122" s="1">
        <v>1464</v>
      </c>
      <c r="I122" s="1" t="s">
        <v>2106</v>
      </c>
      <c r="J122" s="1">
        <v>3110</v>
      </c>
      <c r="K122" s="1" t="s">
        <v>35</v>
      </c>
      <c r="L122" s="1">
        <v>49</v>
      </c>
      <c r="M122" s="1" t="str">
        <f>IF(L122&lt;=45,"Joven","Mayor")</f>
        <v>Mayor</v>
      </c>
      <c r="N122" s="1">
        <v>49</v>
      </c>
      <c r="O122" s="1" t="s">
        <v>36</v>
      </c>
      <c r="P122" s="1">
        <v>0.36499999999999999</v>
      </c>
      <c r="Q122" s="1">
        <v>89.738</v>
      </c>
      <c r="R122" s="1">
        <v>5.8739714999999997</v>
      </c>
      <c r="S122" s="1">
        <v>2.9044243999999999</v>
      </c>
      <c r="T122" s="1">
        <v>-1.0622678999999999</v>
      </c>
      <c r="U122" s="1">
        <v>0.876</v>
      </c>
      <c r="V122" s="1">
        <v>77</v>
      </c>
      <c r="W122" s="1">
        <v>160</v>
      </c>
      <c r="X122" s="1">
        <v>2.0779220779220777</v>
      </c>
      <c r="Y122" s="1">
        <v>80</v>
      </c>
      <c r="Z122" s="1">
        <v>160</v>
      </c>
      <c r="AA122" s="1">
        <v>2</v>
      </c>
      <c r="AB122" s="1">
        <v>79.300307642534563</v>
      </c>
      <c r="AC122" s="1">
        <v>160.0281190757369</v>
      </c>
      <c r="AD122" s="1">
        <v>2.0180012390002644</v>
      </c>
      <c r="AE122" t="s">
        <v>4817</v>
      </c>
      <c r="AF122" t="str">
        <f>IF(X122&lt;$AF$1,"Bajo","Alto")</f>
        <v>Alto</v>
      </c>
      <c r="AG122" t="str">
        <f>LEFT(AE122,1)</f>
        <v>C</v>
      </c>
      <c r="AH122" t="str">
        <f>K122</f>
        <v>M</v>
      </c>
      <c r="AI122" t="str">
        <f>LEFT(AF122,1)</f>
        <v>A</v>
      </c>
      <c r="AJ122" t="str">
        <f>LEFT(M122,1)</f>
        <v>M</v>
      </c>
      <c r="AK122" t="str">
        <f>_xlfn.CONCAT(AG122,AH122,AI122,AJ122)</f>
        <v>CMAM</v>
      </c>
    </row>
    <row r="123" spans="1:37" ht="15.75" hidden="1" customHeight="1" x14ac:dyDescent="0.2">
      <c r="A123" s="1">
        <v>294302</v>
      </c>
      <c r="B123" s="1" t="s">
        <v>3890</v>
      </c>
      <c r="C123" s="1" t="s">
        <v>1695</v>
      </c>
      <c r="D123" s="1" t="s">
        <v>4011</v>
      </c>
      <c r="E123" s="1" t="s">
        <v>665</v>
      </c>
      <c r="F123" s="1" t="s">
        <v>37</v>
      </c>
      <c r="G123" s="1" t="s">
        <v>4013</v>
      </c>
      <c r="H123" s="1">
        <v>1344</v>
      </c>
      <c r="I123" s="1" t="s">
        <v>39</v>
      </c>
      <c r="J123" s="1">
        <v>11</v>
      </c>
      <c r="K123" s="1" t="s">
        <v>35</v>
      </c>
      <c r="L123" s="1">
        <v>44</v>
      </c>
      <c r="M123" s="1" t="str">
        <f>IF(L123&lt;=45,"Joven","Mayor")</f>
        <v>Joven</v>
      </c>
      <c r="N123" s="1">
        <v>25</v>
      </c>
      <c r="O123" s="1" t="s">
        <v>36</v>
      </c>
      <c r="P123" s="1">
        <v>6.4000000000000001E-2</v>
      </c>
      <c r="Q123" s="1">
        <v>5.1050000000000004</v>
      </c>
      <c r="R123" s="1">
        <v>22.081264000000001</v>
      </c>
      <c r="S123" s="1">
        <v>-15.720223000000001</v>
      </c>
      <c r="T123" s="1">
        <v>-4.1370864000000003</v>
      </c>
      <c r="U123" s="1">
        <v>5.2409999999999997</v>
      </c>
      <c r="V123" s="1">
        <v>90</v>
      </c>
      <c r="W123" s="1">
        <v>189</v>
      </c>
      <c r="X123" s="1">
        <v>2.1</v>
      </c>
      <c r="Y123" s="1">
        <v>101</v>
      </c>
      <c r="Z123" s="1">
        <v>189</v>
      </c>
      <c r="AA123" s="1">
        <v>1.8712871287128714</v>
      </c>
      <c r="AB123" s="1">
        <v>96.7689559173009</v>
      </c>
      <c r="AC123" s="1">
        <v>188.57966483292279</v>
      </c>
      <c r="AD123" s="1">
        <v>1.9487620078704131</v>
      </c>
      <c r="AE123" t="s">
        <v>4816</v>
      </c>
      <c r="AF123" t="str">
        <f>IF(X123&lt;$AF$1,"Bajo","Alto")</f>
        <v>Alto</v>
      </c>
      <c r="AG123" t="str">
        <f>LEFT(AE123,1)</f>
        <v>D</v>
      </c>
      <c r="AH123" t="str">
        <f>K123</f>
        <v>M</v>
      </c>
      <c r="AI123" t="str">
        <f>LEFT(AF123,1)</f>
        <v>A</v>
      </c>
      <c r="AJ123" t="str">
        <f>LEFT(M123,1)</f>
        <v>J</v>
      </c>
      <c r="AK123" t="str">
        <f>_xlfn.CONCAT(AG123,AH123,AI123,AJ123)</f>
        <v>DMAJ</v>
      </c>
    </row>
    <row r="124" spans="1:37" ht="15.75" hidden="1" customHeight="1" x14ac:dyDescent="0.2">
      <c r="A124" s="1">
        <v>215502</v>
      </c>
      <c r="B124" s="1" t="s">
        <v>2816</v>
      </c>
      <c r="C124" s="1" t="s">
        <v>2817</v>
      </c>
      <c r="D124" s="1" t="s">
        <v>2890</v>
      </c>
      <c r="E124" s="1" t="s">
        <v>690</v>
      </c>
      <c r="F124" s="1" t="s">
        <v>37</v>
      </c>
      <c r="G124" s="1" t="s">
        <v>2892</v>
      </c>
      <c r="H124" s="1">
        <v>7843</v>
      </c>
      <c r="I124" s="1" t="s">
        <v>108</v>
      </c>
      <c r="J124" s="1">
        <v>3</v>
      </c>
      <c r="K124" s="1" t="s">
        <v>35</v>
      </c>
      <c r="L124" s="1">
        <v>29</v>
      </c>
      <c r="M124" s="1" t="str">
        <f>IF(L124&lt;=45,"Joven","Mayor")</f>
        <v>Joven</v>
      </c>
      <c r="N124" s="1">
        <v>37</v>
      </c>
      <c r="O124" s="1" t="s">
        <v>36</v>
      </c>
      <c r="P124" s="1">
        <v>3.7999999999999999E-2</v>
      </c>
      <c r="Q124" s="1">
        <v>89.388999999999996</v>
      </c>
      <c r="R124" s="1">
        <v>5.0102367000000001</v>
      </c>
      <c r="S124" s="1">
        <v>6.7783910000000001</v>
      </c>
      <c r="T124" s="1">
        <v>-2.3142187999999999</v>
      </c>
      <c r="U124" s="1">
        <v>24.495000000000001</v>
      </c>
      <c r="V124" s="1">
        <v>63</v>
      </c>
      <c r="W124" s="1">
        <v>133</v>
      </c>
      <c r="X124" s="1">
        <v>2.1111111111111112</v>
      </c>
      <c r="Y124" s="1">
        <v>67</v>
      </c>
      <c r="Z124" s="1">
        <v>133</v>
      </c>
      <c r="AA124" s="1">
        <v>1.9850746268656716</v>
      </c>
      <c r="AB124" s="1">
        <v>65.733962450612125</v>
      </c>
      <c r="AC124" s="1">
        <v>133.13380440848729</v>
      </c>
      <c r="AD124" s="1">
        <v>2.0253427519832639</v>
      </c>
      <c r="AE124" t="s">
        <v>4817</v>
      </c>
      <c r="AF124" t="str">
        <f>IF(X124&lt;$AF$1,"Bajo","Alto")</f>
        <v>Alto</v>
      </c>
      <c r="AG124" t="str">
        <f>LEFT(AE124,1)</f>
        <v>C</v>
      </c>
      <c r="AH124" t="str">
        <f>K124</f>
        <v>M</v>
      </c>
      <c r="AI124" t="str">
        <f>LEFT(AF124,1)</f>
        <v>A</v>
      </c>
      <c r="AJ124" t="str">
        <f>LEFT(M124,1)</f>
        <v>J</v>
      </c>
      <c r="AK124" t="str">
        <f>_xlfn.CONCAT(AG124,AH124,AI124,AJ124)</f>
        <v>CMAJ</v>
      </c>
    </row>
    <row r="125" spans="1:37" ht="15.75" hidden="1" customHeight="1" x14ac:dyDescent="0.2">
      <c r="A125" s="1">
        <v>271304</v>
      </c>
      <c r="B125" s="1" t="s">
        <v>3409</v>
      </c>
      <c r="C125" s="1" t="s">
        <v>973</v>
      </c>
      <c r="D125" s="1" t="s">
        <v>664</v>
      </c>
      <c r="E125" s="1" t="s">
        <v>163</v>
      </c>
      <c r="F125" s="1" t="s">
        <v>61</v>
      </c>
      <c r="G125" s="1" t="s">
        <v>3488</v>
      </c>
      <c r="H125" s="1">
        <v>4720</v>
      </c>
      <c r="I125" s="1" t="s">
        <v>3489</v>
      </c>
      <c r="J125" s="1">
        <v>2802</v>
      </c>
      <c r="K125" s="1" t="s">
        <v>35</v>
      </c>
      <c r="L125" s="1">
        <v>44</v>
      </c>
      <c r="M125" s="1" t="str">
        <f>IF(L125&lt;=45,"Joven","Mayor")</f>
        <v>Joven</v>
      </c>
      <c r="N125" s="1">
        <v>47</v>
      </c>
      <c r="O125" s="1" t="s">
        <v>36</v>
      </c>
      <c r="P125" s="1">
        <v>0.57899999999999996</v>
      </c>
      <c r="Q125" s="1">
        <v>59.856999999999999</v>
      </c>
      <c r="R125" s="1">
        <v>14.668422</v>
      </c>
      <c r="S125" s="1">
        <v>-1.1696766999999999</v>
      </c>
      <c r="T125" s="1">
        <v>-20.159244999999999</v>
      </c>
      <c r="U125" s="1">
        <v>25.533999999999999</v>
      </c>
      <c r="V125" s="1">
        <v>72</v>
      </c>
      <c r="W125" s="1">
        <v>152</v>
      </c>
      <c r="X125" s="1">
        <v>2.1111111111111112</v>
      </c>
      <c r="Y125" s="1">
        <v>91</v>
      </c>
      <c r="Z125" s="1">
        <v>152</v>
      </c>
      <c r="AA125" s="1">
        <v>1.6703296703296704</v>
      </c>
      <c r="AB125" s="1">
        <v>86.888475709689374</v>
      </c>
      <c r="AC125" s="1">
        <v>154.75030601299571</v>
      </c>
      <c r="AD125" s="1">
        <v>1.7810222212902593</v>
      </c>
      <c r="AE125" t="s">
        <v>4817</v>
      </c>
      <c r="AF125" t="str">
        <f>IF(X125&lt;$AF$1,"Bajo","Alto")</f>
        <v>Alto</v>
      </c>
      <c r="AG125" t="str">
        <f>LEFT(AE125,1)</f>
        <v>C</v>
      </c>
      <c r="AH125" t="str">
        <f>K125</f>
        <v>M</v>
      </c>
      <c r="AI125" t="str">
        <f>LEFT(AF125,1)</f>
        <v>A</v>
      </c>
      <c r="AJ125" t="str">
        <f>LEFT(M125,1)</f>
        <v>J</v>
      </c>
      <c r="AK125" t="str">
        <f>_xlfn.CONCAT(AG125,AH125,AI125,AJ125)</f>
        <v>CMAJ</v>
      </c>
    </row>
    <row r="126" spans="1:37" ht="15.75" hidden="1" customHeight="1" x14ac:dyDescent="0.2">
      <c r="A126" s="1">
        <v>132804</v>
      </c>
      <c r="B126" s="1" t="s">
        <v>956</v>
      </c>
      <c r="C126" s="1" t="s">
        <v>163</v>
      </c>
      <c r="D126" s="1" t="s">
        <v>2009</v>
      </c>
      <c r="E126" s="1" t="s">
        <v>561</v>
      </c>
      <c r="F126" s="1" t="s">
        <v>61</v>
      </c>
      <c r="G126" s="1" t="s">
        <v>2012</v>
      </c>
      <c r="H126" s="1">
        <v>114</v>
      </c>
      <c r="I126" s="1" t="s">
        <v>48</v>
      </c>
      <c r="J126" s="1">
        <v>4</v>
      </c>
      <c r="K126" s="1" t="s">
        <v>35</v>
      </c>
      <c r="L126" s="1">
        <v>44</v>
      </c>
      <c r="M126" s="1" t="str">
        <f>IF(L126&lt;=45,"Joven","Mayor")</f>
        <v>Joven</v>
      </c>
      <c r="N126" s="1">
        <v>48</v>
      </c>
      <c r="O126" s="1" t="s">
        <v>36</v>
      </c>
      <c r="P126" s="1">
        <v>3.4000000000000002E-2</v>
      </c>
      <c r="Q126" s="1">
        <v>89.042000000000002</v>
      </c>
      <c r="R126" s="1">
        <v>5.0858955000000003</v>
      </c>
      <c r="S126" s="1">
        <v>7.2617153999999999</v>
      </c>
      <c r="T126" s="1">
        <v>-3.7237865999999999</v>
      </c>
      <c r="U126" s="1">
        <v>14.038</v>
      </c>
      <c r="V126" s="1">
        <v>80</v>
      </c>
      <c r="W126" s="1">
        <v>122</v>
      </c>
      <c r="X126" s="1">
        <v>1.5249999999999999</v>
      </c>
      <c r="Y126" s="1">
        <v>81</v>
      </c>
      <c r="Z126" s="1">
        <v>122</v>
      </c>
      <c r="AA126" s="1">
        <v>1.5061728395061729</v>
      </c>
      <c r="AB126" s="1">
        <v>81.8444436585321</v>
      </c>
      <c r="AC126" s="1">
        <v>122.00221281793441</v>
      </c>
      <c r="AD126" s="1">
        <v>1.4906596876257947</v>
      </c>
      <c r="AE126" t="s">
        <v>4817</v>
      </c>
      <c r="AF126" t="str">
        <f>IF(X126&lt;$AF$1,"Bajo","Alto")</f>
        <v>Bajo</v>
      </c>
      <c r="AG126" t="str">
        <f>LEFT(AE126,1)</f>
        <v>C</v>
      </c>
      <c r="AH126" t="str">
        <f>K126</f>
        <v>M</v>
      </c>
      <c r="AI126" t="str">
        <f>LEFT(AF126,1)</f>
        <v>B</v>
      </c>
      <c r="AJ126" t="str">
        <f>LEFT(M126,1)</f>
        <v>J</v>
      </c>
      <c r="AK126" t="str">
        <f>_xlfn.CONCAT(AG126,AH126,AI126,AJ126)</f>
        <v>CMBJ</v>
      </c>
    </row>
    <row r="127" spans="1:37" ht="15.75" hidden="1" customHeight="1" x14ac:dyDescent="0.2">
      <c r="A127" s="1">
        <v>170402</v>
      </c>
      <c r="B127" s="1" t="s">
        <v>2551</v>
      </c>
      <c r="C127" s="1" t="s">
        <v>2552</v>
      </c>
      <c r="D127" s="1" t="s">
        <v>2563</v>
      </c>
      <c r="E127" s="1" t="s">
        <v>61</v>
      </c>
      <c r="F127" s="1" t="s">
        <v>37</v>
      </c>
      <c r="G127" s="1" t="s">
        <v>2564</v>
      </c>
      <c r="H127" s="1">
        <v>81</v>
      </c>
      <c r="I127" s="1" t="s">
        <v>39</v>
      </c>
      <c r="J127" s="1">
        <v>11</v>
      </c>
      <c r="K127" s="1" t="s">
        <v>35</v>
      </c>
      <c r="L127" s="1">
        <v>43</v>
      </c>
      <c r="M127" s="1" t="str">
        <f>IF(L127&lt;=45,"Joven","Mayor")</f>
        <v>Joven</v>
      </c>
      <c r="N127" s="1">
        <v>56</v>
      </c>
      <c r="O127" s="1" t="s">
        <v>36</v>
      </c>
      <c r="P127" s="1">
        <v>0.33200000000000002</v>
      </c>
      <c r="Q127" s="1">
        <v>90.537999999999997</v>
      </c>
      <c r="R127" s="1">
        <v>4.4759960000000003</v>
      </c>
      <c r="S127" s="1">
        <v>5.3925576</v>
      </c>
      <c r="T127" s="1">
        <v>-2.8390765</v>
      </c>
      <c r="U127" s="1">
        <v>2.0590000000000002</v>
      </c>
      <c r="V127" s="1">
        <v>75</v>
      </c>
      <c r="W127" s="1">
        <v>156</v>
      </c>
      <c r="X127" s="1">
        <v>2.08</v>
      </c>
      <c r="Y127" s="1">
        <v>77</v>
      </c>
      <c r="Z127" s="1">
        <v>156</v>
      </c>
      <c r="AA127" s="1">
        <v>2.0259740259740258</v>
      </c>
      <c r="AB127" s="1">
        <v>77.037775345947239</v>
      </c>
      <c r="AC127" s="1">
        <v>155.95711673283989</v>
      </c>
      <c r="AD127" s="1">
        <v>2.0244239404953741</v>
      </c>
      <c r="AE127" t="s">
        <v>4816</v>
      </c>
      <c r="AF127" t="str">
        <f>IF(X127&lt;$AF$1,"Bajo","Alto")</f>
        <v>Alto</v>
      </c>
      <c r="AG127" t="str">
        <f>LEFT(AE127,1)</f>
        <v>D</v>
      </c>
      <c r="AH127" t="str">
        <f>K127</f>
        <v>M</v>
      </c>
      <c r="AI127" t="str">
        <f>LEFT(AF127,1)</f>
        <v>A</v>
      </c>
      <c r="AJ127" t="str">
        <f>LEFT(M127,1)</f>
        <v>J</v>
      </c>
      <c r="AK127" t="str">
        <f>_xlfn.CONCAT(AG127,AH127,AI127,AJ127)</f>
        <v>DMAJ</v>
      </c>
    </row>
    <row r="128" spans="1:37" ht="15.75" hidden="1" customHeight="1" x14ac:dyDescent="0.2">
      <c r="A128" s="1">
        <v>132505</v>
      </c>
      <c r="B128" s="1" t="s">
        <v>956</v>
      </c>
      <c r="C128" s="1" t="s">
        <v>163</v>
      </c>
      <c r="D128" s="1" t="s">
        <v>1998</v>
      </c>
      <c r="E128" s="1" t="s">
        <v>821</v>
      </c>
      <c r="F128" s="1" t="s">
        <v>40</v>
      </c>
      <c r="G128" s="1" t="s">
        <v>2000</v>
      </c>
      <c r="H128" s="1">
        <v>16395</v>
      </c>
      <c r="I128" s="1" t="s">
        <v>134</v>
      </c>
      <c r="J128" s="1">
        <v>8</v>
      </c>
      <c r="K128" s="1" t="s">
        <v>35</v>
      </c>
      <c r="L128" s="1">
        <v>40</v>
      </c>
      <c r="M128" s="1" t="str">
        <f>IF(L128&lt;=45,"Joven","Mayor")</f>
        <v>Joven</v>
      </c>
      <c r="N128" s="1">
        <v>29</v>
      </c>
      <c r="O128" s="1" t="s">
        <v>36</v>
      </c>
      <c r="P128" s="1">
        <v>0.33800000000000002</v>
      </c>
      <c r="Q128" s="1">
        <v>64.254000000000005</v>
      </c>
      <c r="R128" s="1">
        <v>-13.444094</v>
      </c>
      <c r="S128" s="1">
        <v>5.5794649999999999</v>
      </c>
      <c r="T128" s="1">
        <v>10.881599</v>
      </c>
      <c r="U128" s="1">
        <v>6.032</v>
      </c>
      <c r="V128" s="1">
        <v>79</v>
      </c>
      <c r="W128" s="1">
        <v>166</v>
      </c>
      <c r="X128" s="1">
        <v>2.1012658227848102</v>
      </c>
      <c r="Y128" s="1">
        <v>86</v>
      </c>
      <c r="Z128" s="1">
        <v>166</v>
      </c>
      <c r="AA128" s="1">
        <v>1.930232558139535</v>
      </c>
      <c r="AB128" s="1">
        <v>84.753174568333861</v>
      </c>
      <c r="AC128" s="1">
        <v>163.9591193481092</v>
      </c>
      <c r="AD128" s="1">
        <v>1.9345484128846884</v>
      </c>
      <c r="AE128" t="s">
        <v>4817</v>
      </c>
      <c r="AF128" t="str">
        <f>IF(X128&lt;$AF$1,"Bajo","Alto")</f>
        <v>Alto</v>
      </c>
      <c r="AG128" t="str">
        <f>LEFT(AE128,1)</f>
        <v>C</v>
      </c>
      <c r="AH128" t="str">
        <f>K128</f>
        <v>M</v>
      </c>
      <c r="AI128" t="str">
        <f>LEFT(AF128,1)</f>
        <v>A</v>
      </c>
      <c r="AJ128" t="str">
        <f>LEFT(M128,1)</f>
        <v>J</v>
      </c>
      <c r="AK128" t="str">
        <f>_xlfn.CONCAT(AG128,AH128,AI128,AJ128)</f>
        <v>CMAJ</v>
      </c>
    </row>
    <row r="129" spans="1:37" ht="15.75" hidden="1" customHeight="1" x14ac:dyDescent="0.2">
      <c r="A129" s="1">
        <v>290402</v>
      </c>
      <c r="B129" s="1" t="s">
        <v>3890</v>
      </c>
      <c r="C129" s="1" t="s">
        <v>1695</v>
      </c>
      <c r="D129" s="1" t="s">
        <v>3904</v>
      </c>
      <c r="E129" s="1" t="s">
        <v>61</v>
      </c>
      <c r="F129" s="1" t="s">
        <v>37</v>
      </c>
      <c r="G129" s="1" t="s">
        <v>3906</v>
      </c>
      <c r="H129" s="1">
        <v>1410</v>
      </c>
      <c r="I129" s="1" t="s">
        <v>65</v>
      </c>
      <c r="J129" s="1">
        <v>2</v>
      </c>
      <c r="K129" s="1" t="s">
        <v>35</v>
      </c>
      <c r="L129" s="1">
        <v>50</v>
      </c>
      <c r="M129" s="1" t="str">
        <f>IF(L129&lt;=45,"Joven","Mayor")</f>
        <v>Mayor</v>
      </c>
      <c r="N129" s="1">
        <v>50</v>
      </c>
      <c r="O129" s="1" t="s">
        <v>36</v>
      </c>
      <c r="P129" s="1">
        <v>0.85899999999999999</v>
      </c>
      <c r="Q129" s="1">
        <v>92.655000000000001</v>
      </c>
      <c r="R129" s="1">
        <v>-2.4422307000000001</v>
      </c>
      <c r="S129" s="1">
        <v>4.0787673</v>
      </c>
      <c r="T129" s="1">
        <v>-3.3946806999999999</v>
      </c>
      <c r="U129" s="1">
        <v>8.3800000000000008</v>
      </c>
      <c r="V129" s="1">
        <v>98</v>
      </c>
      <c r="W129" s="1">
        <v>147</v>
      </c>
      <c r="X129" s="1">
        <v>1.5</v>
      </c>
      <c r="Y129" s="1">
        <v>103</v>
      </c>
      <c r="Z129" s="1">
        <v>147</v>
      </c>
      <c r="AA129" s="1">
        <v>1.4271844660194175</v>
      </c>
      <c r="AB129" s="1">
        <v>100.55187238122269</v>
      </c>
      <c r="AC129" s="1">
        <v>147.39341412061819</v>
      </c>
      <c r="AD129" s="1">
        <v>1.4658445499831667</v>
      </c>
      <c r="AE129" t="s">
        <v>4817</v>
      </c>
      <c r="AF129" t="str">
        <f>IF(X129&lt;$AF$1,"Bajo","Alto")</f>
        <v>Bajo</v>
      </c>
      <c r="AG129" t="str">
        <f>LEFT(AE129,1)</f>
        <v>C</v>
      </c>
      <c r="AH129" t="str">
        <f>K129</f>
        <v>M</v>
      </c>
      <c r="AI129" t="str">
        <f>LEFT(AF129,1)</f>
        <v>B</v>
      </c>
      <c r="AJ129" t="str">
        <f>LEFT(M129,1)</f>
        <v>M</v>
      </c>
      <c r="AK129" t="str">
        <f>_xlfn.CONCAT(AG129,AH129,AI129,AJ129)</f>
        <v>CMBM</v>
      </c>
    </row>
    <row r="130" spans="1:37" ht="15.75" hidden="1" customHeight="1" x14ac:dyDescent="0.2">
      <c r="A130" s="1">
        <v>1079101</v>
      </c>
      <c r="B130" s="1" t="s">
        <v>1067</v>
      </c>
      <c r="C130" s="1" t="s">
        <v>1068</v>
      </c>
      <c r="D130" s="1" t="s">
        <v>1517</v>
      </c>
      <c r="E130" s="1" t="s">
        <v>770</v>
      </c>
      <c r="F130" s="1" t="s">
        <v>32</v>
      </c>
      <c r="G130" s="1" t="s">
        <v>1518</v>
      </c>
      <c r="H130" s="1">
        <v>1578</v>
      </c>
      <c r="I130" s="1" t="s">
        <v>48</v>
      </c>
      <c r="J130" s="1">
        <v>4</v>
      </c>
      <c r="K130" s="1" t="s">
        <v>35</v>
      </c>
      <c r="L130" s="1">
        <v>28</v>
      </c>
      <c r="M130" s="1" t="str">
        <f>IF(L130&lt;=45,"Joven","Mayor")</f>
        <v>Joven</v>
      </c>
      <c r="N130" s="1">
        <v>33</v>
      </c>
      <c r="O130" s="1" t="s">
        <v>36</v>
      </c>
      <c r="P130" s="1">
        <v>0.36599999999999999</v>
      </c>
      <c r="Q130" s="1">
        <v>89.414000000000001</v>
      </c>
      <c r="R130" s="1">
        <v>6.2622049999999998</v>
      </c>
      <c r="S130" s="1">
        <v>2.2494187000000001</v>
      </c>
      <c r="T130" s="1">
        <v>0.31699377000000001</v>
      </c>
      <c r="U130" s="1">
        <v>67.402000000000001</v>
      </c>
      <c r="V130" s="1">
        <v>118</v>
      </c>
      <c r="W130" s="1">
        <v>180</v>
      </c>
      <c r="X130" s="1">
        <v>1.5254237288135593</v>
      </c>
      <c r="Y130" s="1">
        <v>123</v>
      </c>
      <c r="Z130" s="1">
        <v>180</v>
      </c>
      <c r="AA130" s="1">
        <v>1.4634146341463414</v>
      </c>
      <c r="AB130" s="1">
        <v>123.2802779160188</v>
      </c>
      <c r="AC130" s="1">
        <v>179.99724515232171</v>
      </c>
      <c r="AD130" s="1">
        <v>1.4600652123362321</v>
      </c>
      <c r="AE130" t="s">
        <v>4817</v>
      </c>
      <c r="AF130" t="str">
        <f>IF(X130&lt;$AF$1,"Bajo","Alto")</f>
        <v>Bajo</v>
      </c>
      <c r="AG130" t="str">
        <f>LEFT(AE130,1)</f>
        <v>C</v>
      </c>
      <c r="AH130" t="str">
        <f>K130</f>
        <v>M</v>
      </c>
      <c r="AI130" t="str">
        <f>LEFT(AF130,1)</f>
        <v>B</v>
      </c>
      <c r="AJ130" t="str">
        <f>LEFT(M130,1)</f>
        <v>J</v>
      </c>
      <c r="AK130" t="str">
        <f>_xlfn.CONCAT(AG130,AH130,AI130,AJ130)</f>
        <v>CMBJ</v>
      </c>
    </row>
    <row r="131" spans="1:37" ht="15.75" hidden="1" customHeight="1" x14ac:dyDescent="0.2">
      <c r="A131" s="1">
        <v>440602</v>
      </c>
      <c r="B131" s="1" t="s">
        <v>4314</v>
      </c>
      <c r="C131" s="1" t="s">
        <v>995</v>
      </c>
      <c r="D131" s="1" t="s">
        <v>4338</v>
      </c>
      <c r="E131" s="1" t="s">
        <v>88</v>
      </c>
      <c r="F131" s="1" t="s">
        <v>37</v>
      </c>
      <c r="G131" s="1" t="s">
        <v>4339</v>
      </c>
      <c r="H131" s="1">
        <v>559</v>
      </c>
      <c r="I131" s="1" t="s">
        <v>39</v>
      </c>
      <c r="J131" s="1">
        <v>11</v>
      </c>
      <c r="K131" s="1" t="s">
        <v>35</v>
      </c>
      <c r="L131" s="1">
        <v>37</v>
      </c>
      <c r="M131" s="1" t="str">
        <f>IF(L131&lt;=45,"Joven","Mayor")</f>
        <v>Joven</v>
      </c>
      <c r="N131" s="1">
        <v>35</v>
      </c>
      <c r="O131" s="1" t="s">
        <v>36</v>
      </c>
      <c r="P131" s="1">
        <v>0.34499999999999997</v>
      </c>
      <c r="Q131" s="1">
        <v>91.17</v>
      </c>
      <c r="R131" s="1">
        <v>3.7624846000000001</v>
      </c>
      <c r="S131" s="1">
        <v>-5.6508089999999997</v>
      </c>
      <c r="T131" s="1">
        <v>-2.606576</v>
      </c>
      <c r="U131" s="1">
        <v>29.481999999999999</v>
      </c>
      <c r="V131" s="1">
        <v>78</v>
      </c>
      <c r="W131" s="1">
        <v>162</v>
      </c>
      <c r="X131" s="1">
        <v>2.0769230769230771</v>
      </c>
      <c r="Y131" s="1">
        <v>82</v>
      </c>
      <c r="Z131" s="1">
        <v>162</v>
      </c>
      <c r="AA131" s="1">
        <v>1.975609756097561</v>
      </c>
      <c r="AB131" s="1">
        <v>80.005098268960865</v>
      </c>
      <c r="AC131" s="1">
        <v>161.8323877969988</v>
      </c>
      <c r="AD131" s="1">
        <v>2.022775939265161</v>
      </c>
      <c r="AE131" t="s">
        <v>4816</v>
      </c>
      <c r="AF131" t="str">
        <f>IF(X131&lt;$AF$1,"Bajo","Alto")</f>
        <v>Alto</v>
      </c>
      <c r="AG131" t="str">
        <f>LEFT(AE131,1)</f>
        <v>D</v>
      </c>
      <c r="AH131" t="str">
        <f>K131</f>
        <v>M</v>
      </c>
      <c r="AI131" t="str">
        <f>LEFT(AF131,1)</f>
        <v>A</v>
      </c>
      <c r="AJ131" t="str">
        <f>LEFT(M131,1)</f>
        <v>J</v>
      </c>
      <c r="AK131" t="str">
        <f>_xlfn.CONCAT(AG131,AH131,AI131,AJ131)</f>
        <v>DMAJ</v>
      </c>
    </row>
    <row r="132" spans="1:37" ht="15.75" hidden="1" customHeight="1" x14ac:dyDescent="0.2">
      <c r="A132" s="1">
        <v>1034610</v>
      </c>
      <c r="B132" s="1" t="s">
        <v>783</v>
      </c>
      <c r="C132" s="1" t="s">
        <v>81</v>
      </c>
      <c r="D132" s="1" t="s">
        <v>403</v>
      </c>
      <c r="E132" s="1" t="s">
        <v>669</v>
      </c>
      <c r="F132" s="1" t="s">
        <v>75</v>
      </c>
      <c r="G132" s="1" t="s">
        <v>853</v>
      </c>
      <c r="H132" s="1">
        <v>723</v>
      </c>
      <c r="I132" s="1" t="s">
        <v>91</v>
      </c>
      <c r="J132" s="1">
        <v>6</v>
      </c>
      <c r="K132" s="1" t="s">
        <v>49</v>
      </c>
      <c r="L132" s="1">
        <v>43</v>
      </c>
      <c r="M132" s="1" t="str">
        <f>IF(L132&lt;=45,"Joven","Mayor")</f>
        <v>Joven</v>
      </c>
      <c r="N132" s="1">
        <v>37</v>
      </c>
      <c r="O132" s="1" t="s">
        <v>50</v>
      </c>
      <c r="P132" s="1">
        <v>1.0840000000000001</v>
      </c>
      <c r="Q132" s="1">
        <v>87.813999999999993</v>
      </c>
      <c r="R132" s="1">
        <v>3.1114714000000001</v>
      </c>
      <c r="S132" s="1">
        <v>-11.954762000000001</v>
      </c>
      <c r="T132" s="1">
        <v>-4.1151333000000001</v>
      </c>
      <c r="U132" s="1">
        <v>15.791</v>
      </c>
      <c r="V132" s="1">
        <v>78</v>
      </c>
      <c r="W132" s="1">
        <v>166</v>
      </c>
      <c r="X132" s="1">
        <v>2.1282051282051282</v>
      </c>
      <c r="Y132" s="1">
        <v>81</v>
      </c>
      <c r="Z132" s="1">
        <v>166</v>
      </c>
      <c r="AA132" s="1">
        <v>2.0493827160493829</v>
      </c>
      <c r="AB132" s="1">
        <v>80.884623724347875</v>
      </c>
      <c r="AC132" s="1">
        <v>165.85907295987909</v>
      </c>
      <c r="AD132" s="1">
        <v>2.0505636958282865</v>
      </c>
      <c r="AE132" t="s">
        <v>4817</v>
      </c>
      <c r="AF132" t="str">
        <f>IF(X132&lt;$AF$1,"Bajo","Alto")</f>
        <v>Alto</v>
      </c>
      <c r="AG132" t="str">
        <f>LEFT(AE132,1)</f>
        <v>C</v>
      </c>
      <c r="AH132" t="str">
        <f>K132</f>
        <v>F</v>
      </c>
      <c r="AI132" t="str">
        <f>LEFT(AF132,1)</f>
        <v>A</v>
      </c>
      <c r="AJ132" t="str">
        <f>LEFT(M132,1)</f>
        <v>J</v>
      </c>
      <c r="AK132" t="str">
        <f>_xlfn.CONCAT(AG132,AH132,AI132,AJ132)</f>
        <v>CFAJ</v>
      </c>
    </row>
    <row r="133" spans="1:37" ht="15.75" hidden="1" customHeight="1" x14ac:dyDescent="0.2">
      <c r="A133" s="1">
        <v>10716104</v>
      </c>
      <c r="B133" s="1" t="s">
        <v>1067</v>
      </c>
      <c r="C133" s="1" t="s">
        <v>1068</v>
      </c>
      <c r="D133" s="1" t="s">
        <v>1161</v>
      </c>
      <c r="E133" s="1" t="s">
        <v>1162</v>
      </c>
      <c r="F133" s="1" t="s">
        <v>61</v>
      </c>
      <c r="G133" s="1" t="s">
        <v>1165</v>
      </c>
      <c r="H133" s="1">
        <v>467</v>
      </c>
      <c r="I133" s="1" t="s">
        <v>91</v>
      </c>
      <c r="J133" s="1">
        <v>6</v>
      </c>
      <c r="K133" s="1" t="s">
        <v>35</v>
      </c>
      <c r="L133" s="1">
        <v>33</v>
      </c>
      <c r="M133" s="1" t="str">
        <f>IF(L133&lt;=45,"Joven","Mayor")</f>
        <v>Joven</v>
      </c>
      <c r="N133" s="1">
        <v>47</v>
      </c>
      <c r="O133" s="1" t="s">
        <v>36</v>
      </c>
      <c r="P133" s="1">
        <v>1.5129999999999999</v>
      </c>
      <c r="Q133" s="1">
        <v>92.644000000000005</v>
      </c>
      <c r="R133" s="1">
        <v>-1.4918226000000001</v>
      </c>
      <c r="S133" s="1">
        <v>5.6318840000000003</v>
      </c>
      <c r="T133" s="1">
        <v>-1.1686018</v>
      </c>
      <c r="U133" s="1">
        <v>13.789</v>
      </c>
      <c r="V133" s="1">
        <v>104</v>
      </c>
      <c r="W133" s="1">
        <v>159</v>
      </c>
      <c r="X133" s="1">
        <v>1.5288461538461537</v>
      </c>
      <c r="Y133" s="1">
        <v>104</v>
      </c>
      <c r="Z133" s="1">
        <v>159</v>
      </c>
      <c r="AA133" s="1">
        <v>1.5288461538461537</v>
      </c>
      <c r="AB133" s="1">
        <v>104.83493949279389</v>
      </c>
      <c r="AC133" s="1">
        <v>159.0077186347585</v>
      </c>
      <c r="AD133" s="1">
        <v>1.5167435532853846</v>
      </c>
      <c r="AE133" t="s">
        <v>4817</v>
      </c>
      <c r="AF133" t="str">
        <f>IF(X133&lt;$AF$1,"Bajo","Alto")</f>
        <v>Bajo</v>
      </c>
      <c r="AG133" t="str">
        <f>LEFT(AE133,1)</f>
        <v>C</v>
      </c>
      <c r="AH133" t="str">
        <f>K133</f>
        <v>M</v>
      </c>
      <c r="AI133" t="str">
        <f>LEFT(AF133,1)</f>
        <v>B</v>
      </c>
      <c r="AJ133" t="str">
        <f>LEFT(M133,1)</f>
        <v>J</v>
      </c>
      <c r="AK133" t="str">
        <f>_xlfn.CONCAT(AG133,AH133,AI133,AJ133)</f>
        <v>CMBJ</v>
      </c>
    </row>
    <row r="134" spans="1:37" ht="15.75" hidden="1" customHeight="1" x14ac:dyDescent="0.2">
      <c r="A134" s="1">
        <v>10116002</v>
      </c>
      <c r="B134" s="1" t="s">
        <v>29</v>
      </c>
      <c r="C134" s="1" t="s">
        <v>30</v>
      </c>
      <c r="D134" s="1" t="s">
        <v>233</v>
      </c>
      <c r="E134" s="1" t="s">
        <v>234</v>
      </c>
      <c r="F134" s="1" t="s">
        <v>37</v>
      </c>
      <c r="G134" s="1" t="s">
        <v>236</v>
      </c>
      <c r="H134" s="1">
        <v>33</v>
      </c>
      <c r="I134" s="1" t="s">
        <v>39</v>
      </c>
      <c r="J134" s="1">
        <v>11</v>
      </c>
      <c r="K134" s="1" t="s">
        <v>49</v>
      </c>
      <c r="L134" s="1">
        <v>54</v>
      </c>
      <c r="M134" s="1" t="str">
        <f>IF(L134&lt;=45,"Joven","Mayor")</f>
        <v>Mayor</v>
      </c>
      <c r="N134" s="1">
        <v>62</v>
      </c>
      <c r="O134" s="1" t="s">
        <v>50</v>
      </c>
      <c r="P134" s="1">
        <v>0.35899999999999999</v>
      </c>
      <c r="Q134" s="1">
        <v>94.594999999999999</v>
      </c>
      <c r="R134" s="1">
        <v>-0.65869659999999997</v>
      </c>
      <c r="S134" s="1">
        <v>0.36359403000000001</v>
      </c>
      <c r="T134" s="1">
        <v>4.2688512999999997</v>
      </c>
      <c r="U134" s="1">
        <v>35.935000000000002</v>
      </c>
      <c r="V134" s="1">
        <v>73</v>
      </c>
      <c r="W134" s="1">
        <v>140</v>
      </c>
      <c r="X134" s="1">
        <v>1.9178082191780821</v>
      </c>
      <c r="Y134" s="1">
        <v>79</v>
      </c>
      <c r="Z134" s="1">
        <v>140</v>
      </c>
      <c r="AA134" s="1">
        <v>1.7721518987341771</v>
      </c>
      <c r="AB134" s="1">
        <v>76.175553149579855</v>
      </c>
      <c r="AC134" s="1">
        <v>140.20709753065779</v>
      </c>
      <c r="AD134" s="1">
        <v>1.8405786598666938</v>
      </c>
      <c r="AE134" t="s">
        <v>4816</v>
      </c>
      <c r="AF134" t="str">
        <f>IF(X134&lt;$AF$1,"Bajo","Alto")</f>
        <v>Alto</v>
      </c>
      <c r="AG134" t="str">
        <f>LEFT(AE134,1)</f>
        <v>D</v>
      </c>
      <c r="AH134" t="str">
        <f>K134</f>
        <v>F</v>
      </c>
      <c r="AI134" t="str">
        <f>LEFT(AF134,1)</f>
        <v>A</v>
      </c>
      <c r="AJ134" t="str">
        <f>LEFT(M134,1)</f>
        <v>M</v>
      </c>
      <c r="AK134" t="str">
        <f>_xlfn.CONCAT(AG134,AH134,AI134,AJ134)</f>
        <v>DFAM</v>
      </c>
    </row>
    <row r="135" spans="1:37" ht="15.75" hidden="1" customHeight="1" x14ac:dyDescent="0.2">
      <c r="A135" s="1">
        <v>1531902</v>
      </c>
      <c r="B135" s="1" t="s">
        <v>2077</v>
      </c>
      <c r="C135" s="1" t="s">
        <v>57</v>
      </c>
      <c r="D135" s="1" t="s">
        <v>2406</v>
      </c>
      <c r="E135" s="1" t="s">
        <v>1400</v>
      </c>
      <c r="F135" s="1" t="s">
        <v>37</v>
      </c>
      <c r="G135" s="1" t="s">
        <v>2407</v>
      </c>
      <c r="H135" s="1">
        <v>2710</v>
      </c>
      <c r="I135" s="1" t="s">
        <v>2408</v>
      </c>
      <c r="J135" s="1">
        <v>4050</v>
      </c>
      <c r="K135" s="1" t="s">
        <v>49</v>
      </c>
      <c r="L135" s="1">
        <v>45</v>
      </c>
      <c r="M135" s="1" t="str">
        <f>IF(L135&lt;=45,"Joven","Mayor")</f>
        <v>Joven</v>
      </c>
      <c r="N135" s="1">
        <v>42</v>
      </c>
      <c r="O135" s="1" t="s">
        <v>50</v>
      </c>
      <c r="P135" s="1">
        <v>0.374</v>
      </c>
      <c r="Q135" s="1">
        <v>91.513000000000005</v>
      </c>
      <c r="R135" s="1">
        <v>-4.1366620000000003</v>
      </c>
      <c r="S135" s="1">
        <v>3.5866615999999998</v>
      </c>
      <c r="T135" s="1">
        <v>-3.3943899000000002</v>
      </c>
      <c r="U135" s="1">
        <v>54.341999999999999</v>
      </c>
      <c r="V135" s="1">
        <v>97</v>
      </c>
      <c r="W135" s="1">
        <v>150</v>
      </c>
      <c r="X135" s="1">
        <v>1.5463917525773196</v>
      </c>
      <c r="Y135" s="1">
        <v>98</v>
      </c>
      <c r="Z135" s="1">
        <v>150</v>
      </c>
      <c r="AA135" s="1">
        <v>1.5306122448979591</v>
      </c>
      <c r="AB135" s="1">
        <v>99.731049035401838</v>
      </c>
      <c r="AC135" s="1">
        <v>150.21051356317179</v>
      </c>
      <c r="AD135" s="1">
        <v>1.5061559566053606</v>
      </c>
      <c r="AE135" t="s">
        <v>4817</v>
      </c>
      <c r="AF135" t="str">
        <f>IF(X135&lt;$AF$1,"Bajo","Alto")</f>
        <v>Bajo</v>
      </c>
      <c r="AG135" t="str">
        <f>LEFT(AE135,1)</f>
        <v>C</v>
      </c>
      <c r="AH135" t="str">
        <f>K135</f>
        <v>F</v>
      </c>
      <c r="AI135" t="str">
        <f>LEFT(AF135,1)</f>
        <v>B</v>
      </c>
      <c r="AJ135" t="str">
        <f>LEFT(M135,1)</f>
        <v>J</v>
      </c>
      <c r="AK135" t="str">
        <f>_xlfn.CONCAT(AG135,AH135,AI135,AJ135)</f>
        <v>CFBJ</v>
      </c>
    </row>
    <row r="136" spans="1:37" ht="15.75" hidden="1" customHeight="1" x14ac:dyDescent="0.2">
      <c r="A136" s="1">
        <v>2714201</v>
      </c>
      <c r="B136" s="1" t="s">
        <v>3409</v>
      </c>
      <c r="C136" s="1" t="s">
        <v>973</v>
      </c>
      <c r="D136" s="1" t="s">
        <v>3499</v>
      </c>
      <c r="E136" s="1" t="s">
        <v>181</v>
      </c>
      <c r="F136" s="1" t="s">
        <v>32</v>
      </c>
      <c r="G136" s="1" t="s">
        <v>3500</v>
      </c>
      <c r="H136" s="1">
        <v>1083</v>
      </c>
      <c r="I136" s="1" t="s">
        <v>48</v>
      </c>
      <c r="J136" s="1">
        <v>4</v>
      </c>
      <c r="K136" s="1" t="s">
        <v>35</v>
      </c>
      <c r="L136" s="1">
        <v>46</v>
      </c>
      <c r="M136" s="1" t="str">
        <f>IF(L136&lt;=45,"Joven","Mayor")</f>
        <v>Mayor</v>
      </c>
      <c r="N136" s="1">
        <v>47</v>
      </c>
      <c r="O136" s="1" t="s">
        <v>36</v>
      </c>
      <c r="P136" s="1">
        <v>0.71499999999999997</v>
      </c>
      <c r="Q136" s="1">
        <v>79.881</v>
      </c>
      <c r="R136" s="1">
        <v>6.7545520000000003</v>
      </c>
      <c r="S136" s="1">
        <v>-13.591905000000001</v>
      </c>
      <c r="T136" s="1">
        <v>0.56549700000000003</v>
      </c>
      <c r="U136" s="1">
        <v>12.952999999999999</v>
      </c>
      <c r="V136" s="1">
        <v>77</v>
      </c>
      <c r="W136" s="1">
        <v>160</v>
      </c>
      <c r="X136" s="1">
        <v>2.0779220779220777</v>
      </c>
      <c r="Y136" s="1">
        <v>82</v>
      </c>
      <c r="Z136" s="1">
        <v>160</v>
      </c>
      <c r="AA136" s="1">
        <v>1.9512195121951219</v>
      </c>
      <c r="AB136" s="1">
        <v>82.341442965105443</v>
      </c>
      <c r="AC136" s="1">
        <v>159.86390193531179</v>
      </c>
      <c r="AD136" s="1">
        <v>1.9414755945321327</v>
      </c>
      <c r="AE136" t="s">
        <v>4817</v>
      </c>
      <c r="AF136" t="str">
        <f>IF(X136&lt;$AF$1,"Bajo","Alto")</f>
        <v>Alto</v>
      </c>
      <c r="AG136" t="str">
        <f>LEFT(AE136,1)</f>
        <v>C</v>
      </c>
      <c r="AH136" t="str">
        <f>K136</f>
        <v>M</v>
      </c>
      <c r="AI136" t="str">
        <f>LEFT(AF136,1)</f>
        <v>A</v>
      </c>
      <c r="AJ136" t="str">
        <f>LEFT(M136,1)</f>
        <v>M</v>
      </c>
      <c r="AK136" t="str">
        <f>_xlfn.CONCAT(AG136,AH136,AI136,AJ136)</f>
        <v>CMAM</v>
      </c>
    </row>
    <row r="137" spans="1:37" ht="15.75" hidden="1" customHeight="1" x14ac:dyDescent="0.2">
      <c r="A137" s="1">
        <v>2816007</v>
      </c>
      <c r="B137" s="1" t="s">
        <v>1775</v>
      </c>
      <c r="C137" s="1" t="s">
        <v>561</v>
      </c>
      <c r="D137" s="1" t="s">
        <v>3787</v>
      </c>
      <c r="E137" s="1" t="s">
        <v>234</v>
      </c>
      <c r="F137" s="1" t="s">
        <v>43</v>
      </c>
      <c r="G137" s="1" t="s">
        <v>3790</v>
      </c>
      <c r="H137" s="1">
        <v>1697</v>
      </c>
      <c r="I137" s="1" t="s">
        <v>73</v>
      </c>
      <c r="J137" s="1">
        <v>5</v>
      </c>
      <c r="K137" s="1" t="s">
        <v>35</v>
      </c>
      <c r="L137" s="1">
        <v>36</v>
      </c>
      <c r="M137" s="1" t="str">
        <f>IF(L137&lt;=45,"Joven","Mayor")</f>
        <v>Joven</v>
      </c>
      <c r="N137" s="1">
        <v>38</v>
      </c>
      <c r="O137" s="1" t="s">
        <v>36</v>
      </c>
      <c r="P137" s="1">
        <v>0.36199999999999999</v>
      </c>
      <c r="Q137" s="1">
        <v>92.777000000000001</v>
      </c>
      <c r="R137" s="1">
        <v>-1.7456307</v>
      </c>
      <c r="S137" s="1">
        <v>5.698709</v>
      </c>
      <c r="T137" s="1">
        <v>-1.3966168000000001</v>
      </c>
      <c r="U137" s="1">
        <v>11.840999999999999</v>
      </c>
      <c r="V137" s="1">
        <v>113</v>
      </c>
      <c r="W137" s="1">
        <v>237</v>
      </c>
      <c r="X137" s="1">
        <v>2.0973451327433628</v>
      </c>
      <c r="Y137" s="1">
        <v>114</v>
      </c>
      <c r="Z137" s="1">
        <v>237</v>
      </c>
      <c r="AA137" s="1">
        <v>2.0789473684210527</v>
      </c>
      <c r="AB137" s="1">
        <v>115.6235081483337</v>
      </c>
      <c r="AC137" s="1">
        <v>237.0514603168476</v>
      </c>
      <c r="AD137" s="1">
        <v>2.0502012446528926</v>
      </c>
      <c r="AE137" t="s">
        <v>4817</v>
      </c>
      <c r="AF137" t="str">
        <f>IF(X137&lt;$AF$1,"Bajo","Alto")</f>
        <v>Alto</v>
      </c>
      <c r="AG137" t="str">
        <f>LEFT(AE137,1)</f>
        <v>C</v>
      </c>
      <c r="AH137" t="str">
        <f>K137</f>
        <v>M</v>
      </c>
      <c r="AI137" t="str">
        <f>LEFT(AF137,1)</f>
        <v>A</v>
      </c>
      <c r="AJ137" t="str">
        <f>LEFT(M137,1)</f>
        <v>J</v>
      </c>
      <c r="AK137" t="str">
        <f>_xlfn.CONCAT(AG137,AH137,AI137,AJ137)</f>
        <v>CMAJ</v>
      </c>
    </row>
    <row r="138" spans="1:37" ht="15.75" hidden="1" customHeight="1" x14ac:dyDescent="0.2">
      <c r="A138" s="1">
        <v>155514</v>
      </c>
      <c r="B138" s="1" t="s">
        <v>2077</v>
      </c>
      <c r="C138" s="1" t="s">
        <v>57</v>
      </c>
      <c r="D138" s="1" t="s">
        <v>2476</v>
      </c>
      <c r="E138" s="1" t="s">
        <v>690</v>
      </c>
      <c r="F138" s="1" t="s">
        <v>947</v>
      </c>
      <c r="G138" s="1" t="s">
        <v>2488</v>
      </c>
      <c r="H138" s="1">
        <v>10889</v>
      </c>
      <c r="I138" s="1" t="s">
        <v>2489</v>
      </c>
      <c r="J138" s="1">
        <v>4099</v>
      </c>
      <c r="K138" s="1" t="s">
        <v>35</v>
      </c>
      <c r="L138" s="1">
        <v>43</v>
      </c>
      <c r="M138" s="1" t="str">
        <f>IF(L138&lt;=45,"Joven","Mayor")</f>
        <v>Joven</v>
      </c>
      <c r="N138" s="1">
        <v>37</v>
      </c>
      <c r="O138" s="1" t="s">
        <v>36</v>
      </c>
      <c r="P138" s="1">
        <v>0.37</v>
      </c>
      <c r="Q138" s="1">
        <v>91.671000000000006</v>
      </c>
      <c r="R138" s="1">
        <v>-3.9754149999999999</v>
      </c>
      <c r="S138" s="1">
        <v>-3.580158</v>
      </c>
      <c r="T138" s="1">
        <v>-1.2051282999999999</v>
      </c>
      <c r="U138" s="1">
        <v>1.5780000000000001</v>
      </c>
      <c r="V138" s="1">
        <v>62</v>
      </c>
      <c r="W138" s="1">
        <v>130</v>
      </c>
      <c r="X138" s="1">
        <v>2.096774193548387</v>
      </c>
      <c r="Y138" s="1">
        <v>66</v>
      </c>
      <c r="Z138" s="1">
        <v>130</v>
      </c>
      <c r="AA138" s="1">
        <v>1.9696969696969697</v>
      </c>
      <c r="AB138" s="1">
        <v>65.396507765345177</v>
      </c>
      <c r="AC138" s="1">
        <v>130.18156370937641</v>
      </c>
      <c r="AD138" s="1">
        <v>1.9906500845043904</v>
      </c>
      <c r="AE138" t="s">
        <v>4817</v>
      </c>
      <c r="AF138" t="str">
        <f>IF(X138&lt;$AF$1,"Bajo","Alto")</f>
        <v>Alto</v>
      </c>
      <c r="AG138" t="str">
        <f>LEFT(AE138,1)</f>
        <v>C</v>
      </c>
      <c r="AH138" t="str">
        <f>K138</f>
        <v>M</v>
      </c>
      <c r="AI138" t="str">
        <f>LEFT(AF138,1)</f>
        <v>A</v>
      </c>
      <c r="AJ138" t="str">
        <f>LEFT(M138,1)</f>
        <v>J</v>
      </c>
      <c r="AK138" t="str">
        <f>_xlfn.CONCAT(AG138,AH138,AI138,AJ138)</f>
        <v>CMAJ</v>
      </c>
    </row>
    <row r="139" spans="1:37" ht="15.75" hidden="1" customHeight="1" x14ac:dyDescent="0.2">
      <c r="A139" s="1">
        <v>1051503</v>
      </c>
      <c r="B139" s="1" t="s">
        <v>694</v>
      </c>
      <c r="C139" s="1" t="s">
        <v>879</v>
      </c>
      <c r="D139" s="1" t="s">
        <v>953</v>
      </c>
      <c r="E139" s="1" t="s">
        <v>57</v>
      </c>
      <c r="F139" s="1" t="s">
        <v>63</v>
      </c>
      <c r="G139" s="1" t="s">
        <v>955</v>
      </c>
      <c r="H139" s="1">
        <v>1696</v>
      </c>
      <c r="I139" s="1" t="s">
        <v>108</v>
      </c>
      <c r="J139" s="1">
        <v>3</v>
      </c>
      <c r="K139" s="1" t="s">
        <v>49</v>
      </c>
      <c r="L139" s="1">
        <v>41</v>
      </c>
      <c r="M139" s="1" t="str">
        <f>IF(L139&lt;=45,"Joven","Mayor")</f>
        <v>Joven</v>
      </c>
      <c r="N139" s="1">
        <v>48</v>
      </c>
      <c r="O139" s="1" t="s">
        <v>50</v>
      </c>
      <c r="P139" s="1">
        <v>0.31900000000000001</v>
      </c>
      <c r="Q139" s="1">
        <v>55.122999999999998</v>
      </c>
      <c r="R139" s="1">
        <v>15.052811999999999</v>
      </c>
      <c r="S139" s="1">
        <v>-4.3159795000000001</v>
      </c>
      <c r="T139" s="1">
        <v>-9.2541320000000002</v>
      </c>
      <c r="U139" s="1">
        <v>19.385999999999999</v>
      </c>
      <c r="V139" s="1">
        <v>73</v>
      </c>
      <c r="W139" s="1">
        <v>151</v>
      </c>
      <c r="X139" s="1">
        <v>2.0684931506849313</v>
      </c>
      <c r="Y139" s="1">
        <v>82</v>
      </c>
      <c r="Z139" s="1">
        <v>151</v>
      </c>
      <c r="AA139" s="1">
        <v>1.8414634146341464</v>
      </c>
      <c r="AB139" s="1">
        <v>78.482438111946976</v>
      </c>
      <c r="AC139" s="1">
        <v>149.99958299635551</v>
      </c>
      <c r="AD139" s="1">
        <v>1.9112502950328432</v>
      </c>
      <c r="AE139" t="s">
        <v>4817</v>
      </c>
      <c r="AF139" t="str">
        <f>IF(X139&lt;$AF$1,"Bajo","Alto")</f>
        <v>Alto</v>
      </c>
      <c r="AG139" t="str">
        <f>LEFT(AE139,1)</f>
        <v>C</v>
      </c>
      <c r="AH139" t="str">
        <f>K139</f>
        <v>F</v>
      </c>
      <c r="AI139" t="str">
        <f>LEFT(AF139,1)</f>
        <v>A</v>
      </c>
      <c r="AJ139" t="str">
        <f>LEFT(M139,1)</f>
        <v>J</v>
      </c>
      <c r="AK139" t="str">
        <f>_xlfn.CONCAT(AG139,AH139,AI139,AJ139)</f>
        <v>CFAJ</v>
      </c>
    </row>
    <row r="140" spans="1:37" ht="15.75" hidden="1" customHeight="1" x14ac:dyDescent="0.2">
      <c r="A140" s="1">
        <v>10724901</v>
      </c>
      <c r="B140" s="1" t="s">
        <v>1067</v>
      </c>
      <c r="C140" s="1" t="s">
        <v>1068</v>
      </c>
      <c r="D140" s="1" t="s">
        <v>1280</v>
      </c>
      <c r="E140" s="1" t="s">
        <v>1281</v>
      </c>
      <c r="F140" s="1" t="s">
        <v>32</v>
      </c>
      <c r="G140" s="1" t="s">
        <v>1282</v>
      </c>
      <c r="H140" s="1">
        <v>2400</v>
      </c>
      <c r="I140" s="1" t="s">
        <v>1283</v>
      </c>
      <c r="J140" s="1">
        <v>2021</v>
      </c>
      <c r="K140" s="1" t="s">
        <v>35</v>
      </c>
      <c r="L140" s="1">
        <v>36</v>
      </c>
      <c r="M140" s="1" t="str">
        <f>IF(L140&lt;=45,"Joven","Mayor")</f>
        <v>Joven</v>
      </c>
      <c r="N140" s="1">
        <v>25</v>
      </c>
      <c r="O140" s="1" t="s">
        <v>36</v>
      </c>
      <c r="P140" s="1">
        <v>8.6999999999999994E-2</v>
      </c>
      <c r="Q140" s="1">
        <v>94.001999999999995</v>
      </c>
      <c r="R140" s="1">
        <v>1.0222454000000001</v>
      </c>
      <c r="S140" s="1">
        <v>-3.0036711999999999</v>
      </c>
      <c r="T140" s="1">
        <v>1.6960930000000001</v>
      </c>
      <c r="U140" s="1">
        <v>8.8320000000000007</v>
      </c>
      <c r="V140" s="1">
        <v>73</v>
      </c>
      <c r="W140" s="1">
        <v>153</v>
      </c>
      <c r="X140" s="1">
        <v>2.095890410958904</v>
      </c>
      <c r="Y140" s="1">
        <v>76</v>
      </c>
      <c r="Z140" s="1">
        <v>153</v>
      </c>
      <c r="AA140" s="1">
        <v>2.013157894736842</v>
      </c>
      <c r="AB140" s="1">
        <v>74.841975743429202</v>
      </c>
      <c r="AC140" s="1">
        <v>152.9921639208014</v>
      </c>
      <c r="AD140" s="1">
        <v>2.0442026336301451</v>
      </c>
      <c r="AE140" t="s">
        <v>4817</v>
      </c>
      <c r="AF140" t="str">
        <f>IF(X140&lt;$AF$1,"Bajo","Alto")</f>
        <v>Alto</v>
      </c>
      <c r="AG140" t="str">
        <f>LEFT(AE140,1)</f>
        <v>C</v>
      </c>
      <c r="AH140" t="str">
        <f>K140</f>
        <v>M</v>
      </c>
      <c r="AI140" t="str">
        <f>LEFT(AF140,1)</f>
        <v>A</v>
      </c>
      <c r="AJ140" t="str">
        <f>LEFT(M140,1)</f>
        <v>J</v>
      </c>
      <c r="AK140" t="str">
        <f>_xlfn.CONCAT(AG140,AH140,AI140,AJ140)</f>
        <v>CMAJ</v>
      </c>
    </row>
    <row r="141" spans="1:37" ht="15.75" hidden="1" customHeight="1" x14ac:dyDescent="0.2">
      <c r="A141" s="1">
        <v>192803</v>
      </c>
      <c r="B141" s="1" t="s">
        <v>2656</v>
      </c>
      <c r="C141" s="1" t="s">
        <v>323</v>
      </c>
      <c r="D141" s="1" t="s">
        <v>2696</v>
      </c>
      <c r="E141" s="1" t="s">
        <v>561</v>
      </c>
      <c r="F141" s="1" t="s">
        <v>63</v>
      </c>
      <c r="G141" s="1" t="s">
        <v>2698</v>
      </c>
      <c r="H141" s="1">
        <v>3117</v>
      </c>
      <c r="I141" s="1" t="s">
        <v>2699</v>
      </c>
      <c r="J141" s="1">
        <v>3527</v>
      </c>
      <c r="K141" s="1" t="s">
        <v>35</v>
      </c>
      <c r="L141" s="1">
        <v>42</v>
      </c>
      <c r="M141" s="1" t="str">
        <f>IF(L141&lt;=45,"Joven","Mayor")</f>
        <v>Joven</v>
      </c>
      <c r="N141" s="1">
        <v>44</v>
      </c>
      <c r="O141" s="1" t="s">
        <v>36</v>
      </c>
      <c r="P141" s="1">
        <v>0.34100000000000003</v>
      </c>
      <c r="Q141" s="1">
        <v>81.051000000000002</v>
      </c>
      <c r="R141" s="1">
        <v>10.0044775</v>
      </c>
      <c r="S141" s="1">
        <v>-3.0855036</v>
      </c>
      <c r="T141" s="1">
        <v>-7.4213214000000001</v>
      </c>
      <c r="U141" s="1">
        <v>3.246</v>
      </c>
      <c r="V141" s="1">
        <v>96</v>
      </c>
      <c r="W141" s="1">
        <v>200</v>
      </c>
      <c r="X141" s="1">
        <v>2.0833333333333335</v>
      </c>
      <c r="Y141" s="1">
        <v>107</v>
      </c>
      <c r="Z141" s="1">
        <v>200</v>
      </c>
      <c r="AA141" s="1">
        <v>1.8691588785046729</v>
      </c>
      <c r="AB141" s="1">
        <v>102.170713170136</v>
      </c>
      <c r="AC141" s="1">
        <v>199.48711459034581</v>
      </c>
      <c r="AD141" s="1">
        <v>1.9524882268185531</v>
      </c>
      <c r="AE141" t="s">
        <v>4817</v>
      </c>
      <c r="AF141" t="str">
        <f>IF(X141&lt;$AF$1,"Bajo","Alto")</f>
        <v>Alto</v>
      </c>
      <c r="AG141" t="str">
        <f>LEFT(AE141,1)</f>
        <v>C</v>
      </c>
      <c r="AH141" t="str">
        <f>K141</f>
        <v>M</v>
      </c>
      <c r="AI141" t="str">
        <f>LEFT(AF141,1)</f>
        <v>A</v>
      </c>
      <c r="AJ141" t="str">
        <f>LEFT(M141,1)</f>
        <v>J</v>
      </c>
      <c r="AK141" t="str">
        <f>_xlfn.CONCAT(AG141,AH141,AI141,AJ141)</f>
        <v>CMAJ</v>
      </c>
    </row>
    <row r="142" spans="1:37" ht="15.75" hidden="1" customHeight="1" x14ac:dyDescent="0.2">
      <c r="A142" s="1">
        <v>524504</v>
      </c>
      <c r="B142" s="1" t="s">
        <v>4529</v>
      </c>
      <c r="C142" s="1" t="s">
        <v>685</v>
      </c>
      <c r="D142" s="1" t="s">
        <v>4620</v>
      </c>
      <c r="E142" s="1" t="s">
        <v>3682</v>
      </c>
      <c r="F142" s="1" t="s">
        <v>61</v>
      </c>
      <c r="G142" s="1" t="s">
        <v>4621</v>
      </c>
      <c r="H142" s="1">
        <v>372</v>
      </c>
      <c r="I142" s="1" t="s">
        <v>87</v>
      </c>
      <c r="J142" s="1">
        <v>14</v>
      </c>
      <c r="K142" s="1" t="s">
        <v>35</v>
      </c>
      <c r="L142" s="1">
        <v>44</v>
      </c>
      <c r="M142" s="1" t="str">
        <f>IF(L142&lt;=45,"Joven","Mayor")</f>
        <v>Joven</v>
      </c>
      <c r="N142" s="1">
        <v>43</v>
      </c>
      <c r="O142" s="1" t="s">
        <v>36</v>
      </c>
      <c r="P142" s="1">
        <v>0.36</v>
      </c>
      <c r="Q142" s="1">
        <v>93.41</v>
      </c>
      <c r="R142" s="1">
        <v>1.9064304000000001</v>
      </c>
      <c r="S142" s="1">
        <v>3.0845250000000002</v>
      </c>
      <c r="T142" s="1">
        <v>1.9522856</v>
      </c>
      <c r="U142" s="1">
        <v>5.335</v>
      </c>
      <c r="V142" s="1">
        <v>92</v>
      </c>
      <c r="W142" s="1">
        <v>190</v>
      </c>
      <c r="X142" s="1">
        <v>2.0652173913043477</v>
      </c>
      <c r="Y142" s="1">
        <v>100</v>
      </c>
      <c r="Z142" s="1">
        <v>190</v>
      </c>
      <c r="AA142" s="1">
        <v>1.9</v>
      </c>
      <c r="AB142" s="1">
        <v>98.78366895124509</v>
      </c>
      <c r="AC142" s="1">
        <v>190.46885604671891</v>
      </c>
      <c r="AD142" s="1">
        <v>1.9281411398145705</v>
      </c>
      <c r="AE142" t="s">
        <v>4816</v>
      </c>
      <c r="AF142" t="str">
        <f>IF(X142&lt;$AF$1,"Bajo","Alto")</f>
        <v>Alto</v>
      </c>
      <c r="AG142" t="str">
        <f>LEFT(AE142,1)</f>
        <v>D</v>
      </c>
      <c r="AH142" t="str">
        <f>K142</f>
        <v>M</v>
      </c>
      <c r="AI142" t="str">
        <f>LEFT(AF142,1)</f>
        <v>A</v>
      </c>
      <c r="AJ142" t="str">
        <f>LEFT(M142,1)</f>
        <v>J</v>
      </c>
      <c r="AK142" t="str">
        <f>_xlfn.CONCAT(AG142,AH142,AI142,AJ142)</f>
        <v>DMAJ</v>
      </c>
    </row>
    <row r="143" spans="1:37" ht="15.75" hidden="1" customHeight="1" x14ac:dyDescent="0.2">
      <c r="A143" s="1">
        <v>115205</v>
      </c>
      <c r="B143" s="1" t="s">
        <v>1648</v>
      </c>
      <c r="C143" s="1" t="s">
        <v>51</v>
      </c>
      <c r="D143" s="1" t="s">
        <v>994</v>
      </c>
      <c r="E143" s="1" t="s">
        <v>685</v>
      </c>
      <c r="F143" s="1" t="s">
        <v>40</v>
      </c>
      <c r="G143" s="1" t="s">
        <v>1724</v>
      </c>
      <c r="H143" s="1">
        <v>5030</v>
      </c>
      <c r="I143" s="1" t="s">
        <v>65</v>
      </c>
      <c r="J143" s="1">
        <v>2</v>
      </c>
      <c r="K143" s="1" t="s">
        <v>35</v>
      </c>
      <c r="L143" s="1">
        <v>50</v>
      </c>
      <c r="M143" s="1" t="str">
        <f>IF(L143&lt;=45,"Joven","Mayor")</f>
        <v>Mayor</v>
      </c>
      <c r="N143" s="1">
        <v>51</v>
      </c>
      <c r="O143" s="1" t="s">
        <v>36</v>
      </c>
      <c r="P143" s="1">
        <v>3.3000000000000002E-2</v>
      </c>
      <c r="Q143" s="1">
        <v>90.674999999999997</v>
      </c>
      <c r="R143" s="1">
        <v>4.0474100000000002</v>
      </c>
      <c r="S143" s="1">
        <v>6.4066862999999996</v>
      </c>
      <c r="T143" s="1">
        <v>-0.1112863</v>
      </c>
      <c r="U143" s="1">
        <v>5.0940000000000003</v>
      </c>
      <c r="V143" s="1">
        <v>109</v>
      </c>
      <c r="W143" s="1">
        <v>164</v>
      </c>
      <c r="X143" s="1">
        <v>1.5045871559633028</v>
      </c>
      <c r="Y143" s="1">
        <v>109</v>
      </c>
      <c r="Z143" s="1">
        <v>164</v>
      </c>
      <c r="AA143" s="1">
        <v>1.5045871559633028</v>
      </c>
      <c r="AB143" s="1">
        <v>109.0891407064053</v>
      </c>
      <c r="AC143" s="1">
        <v>163.9938637153837</v>
      </c>
      <c r="AD143" s="1">
        <v>1.5033014528617934</v>
      </c>
      <c r="AE143" t="s">
        <v>4817</v>
      </c>
      <c r="AF143" t="str">
        <f>IF(X143&lt;$AF$1,"Bajo","Alto")</f>
        <v>Bajo</v>
      </c>
      <c r="AG143" t="str">
        <f>LEFT(AE143,1)</f>
        <v>C</v>
      </c>
      <c r="AH143" t="str">
        <f>K143</f>
        <v>M</v>
      </c>
      <c r="AI143" t="str">
        <f>LEFT(AF143,1)</f>
        <v>B</v>
      </c>
      <c r="AJ143" t="str">
        <f>LEFT(M143,1)</f>
        <v>M</v>
      </c>
      <c r="AK143" t="str">
        <f>_xlfn.CONCAT(AG143,AH143,AI143,AJ143)</f>
        <v>CMBM</v>
      </c>
    </row>
    <row r="144" spans="1:37" ht="15.75" hidden="1" customHeight="1" x14ac:dyDescent="0.2">
      <c r="A144" s="1">
        <v>10118406</v>
      </c>
      <c r="B144" s="1" t="s">
        <v>29</v>
      </c>
      <c r="C144" s="1" t="s">
        <v>30</v>
      </c>
      <c r="D144" s="1" t="s">
        <v>311</v>
      </c>
      <c r="E144" s="1" t="s">
        <v>312</v>
      </c>
      <c r="F144" s="1" t="s">
        <v>88</v>
      </c>
      <c r="G144" s="1" t="s">
        <v>313</v>
      </c>
      <c r="H144" s="1">
        <v>4</v>
      </c>
      <c r="I144" s="1" t="s">
        <v>314</v>
      </c>
      <c r="J144" s="1">
        <v>4141</v>
      </c>
      <c r="K144" s="1" t="s">
        <v>49</v>
      </c>
      <c r="L144" s="1">
        <v>47</v>
      </c>
      <c r="M144" s="1" t="str">
        <f>IF(L144&lt;=45,"Joven","Mayor")</f>
        <v>Mayor</v>
      </c>
      <c r="N144" s="1">
        <v>38</v>
      </c>
      <c r="O144" s="1" t="s">
        <v>50</v>
      </c>
      <c r="P144" s="1">
        <v>0.30599999999999999</v>
      </c>
      <c r="Q144" s="1">
        <v>93.179000000000002</v>
      </c>
      <c r="R144" s="1">
        <v>-2.1056140000000001</v>
      </c>
      <c r="S144" s="1">
        <v>3.5586126</v>
      </c>
      <c r="T144" s="1">
        <v>-2.7468819999999998</v>
      </c>
      <c r="U144" s="1">
        <v>62.395000000000003</v>
      </c>
      <c r="V144" s="1">
        <v>103</v>
      </c>
      <c r="W144" s="1">
        <v>158</v>
      </c>
      <c r="X144" s="1">
        <v>1.5339805825242718</v>
      </c>
      <c r="Y144" s="1">
        <v>105</v>
      </c>
      <c r="Z144" s="1">
        <v>158</v>
      </c>
      <c r="AA144" s="1">
        <v>1.5047619047619047</v>
      </c>
      <c r="AB144" s="1">
        <v>104.9902985395522</v>
      </c>
      <c r="AC144" s="1">
        <v>157.91430490285981</v>
      </c>
      <c r="AD144" s="1">
        <v>1.5040847306798537</v>
      </c>
      <c r="AE144" t="s">
        <v>4817</v>
      </c>
      <c r="AF144" t="str">
        <f>IF(X144&lt;$AF$1,"Bajo","Alto")</f>
        <v>Bajo</v>
      </c>
      <c r="AG144" t="str">
        <f>LEFT(AE144,1)</f>
        <v>C</v>
      </c>
      <c r="AH144" t="str">
        <f>K144</f>
        <v>F</v>
      </c>
      <c r="AI144" t="str">
        <f>LEFT(AF144,1)</f>
        <v>B</v>
      </c>
      <c r="AJ144" t="str">
        <f>LEFT(M144,1)</f>
        <v>M</v>
      </c>
      <c r="AK144" t="str">
        <f>_xlfn.CONCAT(AG144,AH144,AI144,AJ144)</f>
        <v>CFBM</v>
      </c>
    </row>
    <row r="145" spans="1:37" ht="15.75" hidden="1" customHeight="1" x14ac:dyDescent="0.2">
      <c r="A145" s="1">
        <v>10716101</v>
      </c>
      <c r="B145" s="1" t="s">
        <v>1067</v>
      </c>
      <c r="C145" s="1" t="s">
        <v>1068</v>
      </c>
      <c r="D145" s="1" t="s">
        <v>1161</v>
      </c>
      <c r="E145" s="1" t="s">
        <v>1162</v>
      </c>
      <c r="F145" s="1" t="s">
        <v>32</v>
      </c>
      <c r="G145" s="1" t="s">
        <v>1163</v>
      </c>
      <c r="H145" s="1">
        <v>333</v>
      </c>
      <c r="I145" s="1" t="s">
        <v>85</v>
      </c>
      <c r="J145" s="1">
        <v>12</v>
      </c>
      <c r="K145" s="1" t="s">
        <v>35</v>
      </c>
      <c r="L145" s="1">
        <v>53</v>
      </c>
      <c r="M145" s="1" t="str">
        <f>IF(L145&lt;=45,"Joven","Mayor")</f>
        <v>Mayor</v>
      </c>
      <c r="N145" s="1">
        <v>38</v>
      </c>
      <c r="O145" s="1" t="s">
        <v>36</v>
      </c>
      <c r="P145" s="1">
        <v>6.5000000000000002E-2</v>
      </c>
      <c r="Q145" s="1">
        <v>94.266000000000005</v>
      </c>
      <c r="R145" s="1">
        <v>-0.38443889999999997</v>
      </c>
      <c r="S145" s="1">
        <v>-3.2610874000000001</v>
      </c>
      <c r="T145" s="1">
        <v>0.61644613999999998</v>
      </c>
      <c r="U145" s="1">
        <v>3.6640000000000001</v>
      </c>
      <c r="V145" s="1">
        <v>85</v>
      </c>
      <c r="W145" s="1">
        <v>172</v>
      </c>
      <c r="X145" s="1">
        <v>2.0235294117647058</v>
      </c>
      <c r="Y145" s="1">
        <v>86</v>
      </c>
      <c r="Z145" s="1">
        <v>172</v>
      </c>
      <c r="AA145" s="1">
        <v>2</v>
      </c>
      <c r="AB145" s="1">
        <v>86.360821968810342</v>
      </c>
      <c r="AC145" s="1">
        <v>171.91473339502551</v>
      </c>
      <c r="AD145" s="1">
        <v>1.9906565208134934</v>
      </c>
      <c r="AE145" t="s">
        <v>4815</v>
      </c>
      <c r="AF145" t="str">
        <f>IF(X145&lt;$AF$1,"Bajo","Alto")</f>
        <v>Alto</v>
      </c>
      <c r="AG145" t="str">
        <f>LEFT(AE145,1)</f>
        <v>I</v>
      </c>
      <c r="AH145" t="str">
        <f>K145</f>
        <v>M</v>
      </c>
      <c r="AI145" t="str">
        <f>LEFT(AF145,1)</f>
        <v>A</v>
      </c>
      <c r="AJ145" t="str">
        <f>LEFT(M145,1)</f>
        <v>M</v>
      </c>
      <c r="AK145" t="str">
        <f>_xlfn.CONCAT(AG145,AH145,AI145,AJ145)</f>
        <v>IMAM</v>
      </c>
    </row>
    <row r="146" spans="1:37" ht="15.75" hidden="1" customHeight="1" x14ac:dyDescent="0.2">
      <c r="A146" s="1">
        <v>1072803</v>
      </c>
      <c r="B146" s="1" t="s">
        <v>1067</v>
      </c>
      <c r="C146" s="1" t="s">
        <v>1068</v>
      </c>
      <c r="D146" s="1" t="s">
        <v>705</v>
      </c>
      <c r="E146" s="1" t="s">
        <v>561</v>
      </c>
      <c r="F146" s="1" t="s">
        <v>63</v>
      </c>
      <c r="G146" s="1" t="s">
        <v>1337</v>
      </c>
      <c r="H146" s="1">
        <v>385</v>
      </c>
      <c r="I146" s="1" t="s">
        <v>108</v>
      </c>
      <c r="J146" s="1">
        <v>3</v>
      </c>
      <c r="K146" s="1" t="s">
        <v>35</v>
      </c>
      <c r="L146" s="1">
        <v>41</v>
      </c>
      <c r="M146" s="1" t="str">
        <f>IF(L146&lt;=45,"Joven","Mayor")</f>
        <v>Joven</v>
      </c>
      <c r="N146" s="1">
        <v>53</v>
      </c>
      <c r="O146" s="1" t="s">
        <v>36</v>
      </c>
      <c r="P146" s="1">
        <v>0.36</v>
      </c>
      <c r="Q146" s="1">
        <v>91.421999999999997</v>
      </c>
      <c r="R146" s="1">
        <v>1.9920247</v>
      </c>
      <c r="S146" s="1">
        <v>-8.5875819999999994</v>
      </c>
      <c r="T146" s="1">
        <v>-1.4155278</v>
      </c>
      <c r="U146" s="1">
        <v>0.69899999999999995</v>
      </c>
      <c r="V146" s="1">
        <v>75</v>
      </c>
      <c r="W146" s="1">
        <v>156</v>
      </c>
      <c r="X146" s="1">
        <v>2.08</v>
      </c>
      <c r="Y146" s="1">
        <v>76</v>
      </c>
      <c r="Z146" s="1">
        <v>156</v>
      </c>
      <c r="AA146" s="1">
        <v>2.0526315789473686</v>
      </c>
      <c r="AB146" s="1">
        <v>77.014337725914629</v>
      </c>
      <c r="AC146" s="1">
        <v>156.0759092790677</v>
      </c>
      <c r="AD146" s="1">
        <v>2.0265825025273125</v>
      </c>
      <c r="AE146" t="s">
        <v>4817</v>
      </c>
      <c r="AF146" t="str">
        <f>IF(X146&lt;$AF$1,"Bajo","Alto")</f>
        <v>Alto</v>
      </c>
      <c r="AG146" t="str">
        <f>LEFT(AE146,1)</f>
        <v>C</v>
      </c>
      <c r="AH146" t="str">
        <f>K146</f>
        <v>M</v>
      </c>
      <c r="AI146" t="str">
        <f>LEFT(AF146,1)</f>
        <v>A</v>
      </c>
      <c r="AJ146" t="str">
        <f>LEFT(M146,1)</f>
        <v>J</v>
      </c>
      <c r="AK146" t="str">
        <f>_xlfn.CONCAT(AG146,AH146,AI146,AJ146)</f>
        <v>CMAJ</v>
      </c>
    </row>
    <row r="147" spans="1:37" ht="15.75" hidden="1" customHeight="1" x14ac:dyDescent="0.2">
      <c r="A147" s="1">
        <v>266005</v>
      </c>
      <c r="B147" s="1" t="s">
        <v>3358</v>
      </c>
      <c r="C147" s="1" t="s">
        <v>968</v>
      </c>
      <c r="D147" s="1" t="s">
        <v>3398</v>
      </c>
      <c r="E147" s="1" t="s">
        <v>1458</v>
      </c>
      <c r="F147" s="1" t="s">
        <v>40</v>
      </c>
      <c r="G147" s="1" t="s">
        <v>3401</v>
      </c>
      <c r="H147" s="1">
        <v>354</v>
      </c>
      <c r="I147" s="1" t="s">
        <v>134</v>
      </c>
      <c r="J147" s="1">
        <v>8</v>
      </c>
      <c r="K147" s="1" t="s">
        <v>35</v>
      </c>
      <c r="L147" s="1">
        <v>51</v>
      </c>
      <c r="M147" s="1" t="str">
        <f>IF(L147&lt;=45,"Joven","Mayor")</f>
        <v>Mayor</v>
      </c>
      <c r="N147" s="1">
        <v>57</v>
      </c>
      <c r="O147" s="1" t="s">
        <v>36</v>
      </c>
      <c r="P147" s="1">
        <v>0.31900000000000001</v>
      </c>
      <c r="Q147" s="1">
        <v>92.715000000000003</v>
      </c>
      <c r="R147" s="1">
        <v>-2.1702132000000001</v>
      </c>
      <c r="S147" s="1">
        <v>5.0303779999999998</v>
      </c>
      <c r="T147" s="1">
        <v>3.093194</v>
      </c>
      <c r="U147" s="1">
        <v>1.147</v>
      </c>
      <c r="V147" s="1">
        <v>96</v>
      </c>
      <c r="W147" s="1">
        <v>145</v>
      </c>
      <c r="X147" s="1">
        <v>1.5104166666666667</v>
      </c>
      <c r="Y147" s="1">
        <v>101</v>
      </c>
      <c r="Z147" s="1">
        <v>145</v>
      </c>
      <c r="AA147" s="1">
        <v>1.4356435643564356</v>
      </c>
      <c r="AB147" s="1">
        <v>98.964244825688638</v>
      </c>
      <c r="AC147" s="1">
        <v>145.22042923089521</v>
      </c>
      <c r="AD147" s="1">
        <v>1.4674029947551281</v>
      </c>
      <c r="AE147" t="s">
        <v>4817</v>
      </c>
      <c r="AF147" t="str">
        <f>IF(X147&lt;$AF$1,"Bajo","Alto")</f>
        <v>Bajo</v>
      </c>
      <c r="AG147" t="str">
        <f>LEFT(AE147,1)</f>
        <v>C</v>
      </c>
      <c r="AH147" t="str">
        <f>K147</f>
        <v>M</v>
      </c>
      <c r="AI147" t="str">
        <f>LEFT(AF147,1)</f>
        <v>B</v>
      </c>
      <c r="AJ147" t="str">
        <f>LEFT(M147,1)</f>
        <v>M</v>
      </c>
      <c r="AK147" t="str">
        <f>_xlfn.CONCAT(AG147,AH147,AI147,AJ147)</f>
        <v>CMBM</v>
      </c>
    </row>
    <row r="148" spans="1:37" ht="15.75" hidden="1" customHeight="1" x14ac:dyDescent="0.2">
      <c r="A148" s="1">
        <v>442405</v>
      </c>
      <c r="B148" s="1" t="s">
        <v>4314</v>
      </c>
      <c r="C148" s="1" t="s">
        <v>995</v>
      </c>
      <c r="D148" s="1" t="s">
        <v>4370</v>
      </c>
      <c r="E148" s="1" t="s">
        <v>1993</v>
      </c>
      <c r="F148" s="1" t="s">
        <v>40</v>
      </c>
      <c r="G148" s="1" t="s">
        <v>4375</v>
      </c>
      <c r="H148" s="1">
        <v>13</v>
      </c>
      <c r="I148" s="1" t="s">
        <v>93</v>
      </c>
      <c r="J148" s="1">
        <v>9</v>
      </c>
      <c r="K148" s="1" t="s">
        <v>35</v>
      </c>
      <c r="L148" s="1">
        <v>52</v>
      </c>
      <c r="M148" s="1" t="str">
        <f>IF(L148&lt;=45,"Joven","Mayor")</f>
        <v>Mayor</v>
      </c>
      <c r="N148" s="1">
        <v>60</v>
      </c>
      <c r="O148" s="1" t="s">
        <v>36</v>
      </c>
      <c r="P148" s="1">
        <v>0.38400000000000001</v>
      </c>
      <c r="Q148" s="1">
        <v>92.388000000000005</v>
      </c>
      <c r="R148" s="1">
        <v>3.8345568000000001</v>
      </c>
      <c r="S148" s="1">
        <v>-1.2928923000000001</v>
      </c>
      <c r="T148" s="1">
        <v>-0.45887060000000002</v>
      </c>
      <c r="U148" s="1">
        <v>11.802</v>
      </c>
      <c r="V148" s="1">
        <v>120</v>
      </c>
      <c r="W148" s="1">
        <v>186</v>
      </c>
      <c r="X148" s="1">
        <v>1.55</v>
      </c>
      <c r="Y148" s="1">
        <v>122</v>
      </c>
      <c r="Z148" s="1">
        <v>186</v>
      </c>
      <c r="AA148" s="1">
        <v>1.5245901639344261</v>
      </c>
      <c r="AB148" s="1">
        <v>121.6597213024304</v>
      </c>
      <c r="AC148" s="1">
        <v>186.03407851207291</v>
      </c>
      <c r="AD148" s="1">
        <v>1.5291345115744277</v>
      </c>
      <c r="AE148" t="s">
        <v>4815</v>
      </c>
      <c r="AF148" t="str">
        <f>IF(X148&lt;$AF$1,"Bajo","Alto")</f>
        <v>Bajo</v>
      </c>
      <c r="AG148" t="str">
        <f>LEFT(AE148,1)</f>
        <v>I</v>
      </c>
      <c r="AH148" t="str">
        <f>K148</f>
        <v>M</v>
      </c>
      <c r="AI148" t="str">
        <f>LEFT(AF148,1)</f>
        <v>B</v>
      </c>
      <c r="AJ148" t="str">
        <f>LEFT(M148,1)</f>
        <v>M</v>
      </c>
      <c r="AK148" t="str">
        <f>_xlfn.CONCAT(AG148,AH148,AI148,AJ148)</f>
        <v>IMBM</v>
      </c>
    </row>
    <row r="149" spans="1:37" ht="15.75" hidden="1" customHeight="1" x14ac:dyDescent="0.2">
      <c r="A149" s="1">
        <v>239701</v>
      </c>
      <c r="B149" s="1" t="s">
        <v>319</v>
      </c>
      <c r="C149" s="1" t="s">
        <v>1989</v>
      </c>
      <c r="D149" s="1" t="s">
        <v>3112</v>
      </c>
      <c r="E149" s="1" t="s">
        <v>781</v>
      </c>
      <c r="F149" s="1" t="s">
        <v>32</v>
      </c>
      <c r="G149" s="1" t="s">
        <v>3113</v>
      </c>
      <c r="H149" s="1">
        <v>1927</v>
      </c>
      <c r="I149" s="1" t="s">
        <v>65</v>
      </c>
      <c r="J149" s="1">
        <v>2</v>
      </c>
      <c r="K149" s="1" t="s">
        <v>35</v>
      </c>
      <c r="L149" s="1">
        <v>30</v>
      </c>
      <c r="M149" s="1" t="str">
        <f>IF(L149&lt;=45,"Joven","Mayor")</f>
        <v>Joven</v>
      </c>
      <c r="N149" s="1">
        <v>36</v>
      </c>
      <c r="O149" s="1" t="s">
        <v>36</v>
      </c>
      <c r="P149" s="1">
        <v>0.41199999999999998</v>
      </c>
      <c r="Q149" s="1">
        <v>92.481999999999999</v>
      </c>
      <c r="R149" s="1">
        <v>-2.5408108</v>
      </c>
      <c r="S149" s="1">
        <v>4.8320309999999997</v>
      </c>
      <c r="T149" s="1">
        <v>2.5253956</v>
      </c>
      <c r="U149" s="1">
        <v>3.2719999999999998</v>
      </c>
      <c r="V149" s="1">
        <v>113</v>
      </c>
      <c r="W149" s="1">
        <v>173</v>
      </c>
      <c r="X149" s="1">
        <v>1.5309734513274336</v>
      </c>
      <c r="Y149" s="1">
        <v>119</v>
      </c>
      <c r="Z149" s="1">
        <v>173</v>
      </c>
      <c r="AA149" s="1">
        <v>1.453781512605042</v>
      </c>
      <c r="AB149" s="1">
        <v>121.043473681432</v>
      </c>
      <c r="AC149" s="1">
        <v>172.87604282086389</v>
      </c>
      <c r="AD149" s="1">
        <v>1.4282144882577257</v>
      </c>
      <c r="AE149" t="s">
        <v>4817</v>
      </c>
      <c r="AF149" t="str">
        <f>IF(X149&lt;$AF$1,"Bajo","Alto")</f>
        <v>Bajo</v>
      </c>
      <c r="AG149" t="str">
        <f>LEFT(AE149,1)</f>
        <v>C</v>
      </c>
      <c r="AH149" t="str">
        <f>K149</f>
        <v>M</v>
      </c>
      <c r="AI149" t="str">
        <f>LEFT(AF149,1)</f>
        <v>B</v>
      </c>
      <c r="AJ149" t="str">
        <f>LEFT(M149,1)</f>
        <v>J</v>
      </c>
      <c r="AK149" t="str">
        <f>_xlfn.CONCAT(AG149,AH149,AI149,AJ149)</f>
        <v>CMBJ</v>
      </c>
    </row>
    <row r="150" spans="1:37" ht="15.75" hidden="1" customHeight="1" x14ac:dyDescent="0.2">
      <c r="A150" s="1">
        <v>1510003</v>
      </c>
      <c r="B150" s="1" t="s">
        <v>2077</v>
      </c>
      <c r="C150" s="1" t="s">
        <v>57</v>
      </c>
      <c r="D150" s="1" t="s">
        <v>2090</v>
      </c>
      <c r="E150" s="1" t="s">
        <v>70</v>
      </c>
      <c r="F150" s="1" t="s">
        <v>63</v>
      </c>
      <c r="G150" s="1" t="s">
        <v>2095</v>
      </c>
      <c r="H150" s="1">
        <v>2242</v>
      </c>
      <c r="I150" s="1" t="s">
        <v>2096</v>
      </c>
      <c r="J150" s="1">
        <v>2966</v>
      </c>
      <c r="K150" s="1" t="s">
        <v>35</v>
      </c>
      <c r="L150" s="1">
        <v>44</v>
      </c>
      <c r="M150" s="1" t="str">
        <f>IF(L150&lt;=45,"Joven","Mayor")</f>
        <v>Joven</v>
      </c>
      <c r="N150" s="1">
        <v>53</v>
      </c>
      <c r="O150" s="1" t="s">
        <v>36</v>
      </c>
      <c r="P150" s="1">
        <v>0.34899999999999998</v>
      </c>
      <c r="Q150" s="1">
        <v>85.637</v>
      </c>
      <c r="R150" s="1">
        <v>7.5259137000000003</v>
      </c>
      <c r="S150" s="1">
        <v>5.9543014000000003</v>
      </c>
      <c r="T150" s="1">
        <v>-8.6280540000000006</v>
      </c>
      <c r="U150" s="1">
        <v>2.5299999999999998</v>
      </c>
      <c r="V150" s="1">
        <v>99</v>
      </c>
      <c r="W150" s="1">
        <v>205</v>
      </c>
      <c r="X150" s="1">
        <v>2.0707070707070705</v>
      </c>
      <c r="Y150" s="1">
        <v>109</v>
      </c>
      <c r="Z150" s="1">
        <v>205</v>
      </c>
      <c r="AA150" s="1">
        <v>1.8807339449541285</v>
      </c>
      <c r="AB150" s="1">
        <v>106.8807887331261</v>
      </c>
      <c r="AC150" s="1">
        <v>205.23035492520191</v>
      </c>
      <c r="AD150" s="1">
        <v>1.9201800188586542</v>
      </c>
      <c r="AE150" t="s">
        <v>4817</v>
      </c>
      <c r="AF150" t="str">
        <f>IF(X150&lt;$AF$1,"Bajo","Alto")</f>
        <v>Alto</v>
      </c>
      <c r="AG150" t="str">
        <f>LEFT(AE150,1)</f>
        <v>C</v>
      </c>
      <c r="AH150" t="str">
        <f>K150</f>
        <v>M</v>
      </c>
      <c r="AI150" t="str">
        <f>LEFT(AF150,1)</f>
        <v>A</v>
      </c>
      <c r="AJ150" t="str">
        <f>LEFT(M150,1)</f>
        <v>J</v>
      </c>
      <c r="AK150" t="str">
        <f>_xlfn.CONCAT(AG150,AH150,AI150,AJ150)</f>
        <v>CMAJ</v>
      </c>
    </row>
    <row r="151" spans="1:37" ht="15.75" hidden="1" customHeight="1" x14ac:dyDescent="0.2">
      <c r="A151" s="1">
        <v>10119102</v>
      </c>
      <c r="B151" s="1" t="s">
        <v>29</v>
      </c>
      <c r="C151" s="1" t="s">
        <v>30</v>
      </c>
      <c r="D151" s="1" t="s">
        <v>329</v>
      </c>
      <c r="E151" s="1" t="s">
        <v>330</v>
      </c>
      <c r="F151" s="1" t="s">
        <v>37</v>
      </c>
      <c r="G151" s="1" t="s">
        <v>331</v>
      </c>
      <c r="H151" s="1">
        <v>1154</v>
      </c>
      <c r="I151" s="1" t="s">
        <v>39</v>
      </c>
      <c r="J151" s="1">
        <v>11</v>
      </c>
      <c r="K151" s="1" t="s">
        <v>49</v>
      </c>
      <c r="L151" s="1">
        <v>57</v>
      </c>
      <c r="M151" s="1" t="str">
        <f>IF(L151&lt;=45,"Joven","Mayor")</f>
        <v>Mayor</v>
      </c>
      <c r="N151" s="1">
        <v>54</v>
      </c>
      <c r="O151" s="1" t="s">
        <v>50</v>
      </c>
      <c r="P151" s="1">
        <v>0.26</v>
      </c>
      <c r="Q151" s="1">
        <v>93.715000000000003</v>
      </c>
      <c r="R151" s="1">
        <v>1.9991144000000001</v>
      </c>
      <c r="S151" s="1">
        <v>1.5066098999999999</v>
      </c>
      <c r="T151" s="1">
        <v>-2.1748338</v>
      </c>
      <c r="U151" s="1">
        <v>29.562999999999999</v>
      </c>
      <c r="V151" s="1">
        <v>78</v>
      </c>
      <c r="W151" s="1">
        <v>119</v>
      </c>
      <c r="X151" s="1">
        <v>1.5256410256410255</v>
      </c>
      <c r="Y151" s="1">
        <v>81</v>
      </c>
      <c r="Z151" s="1">
        <v>119</v>
      </c>
      <c r="AA151" s="1">
        <v>1.4691358024691359</v>
      </c>
      <c r="AB151" s="1">
        <v>79.841136191341548</v>
      </c>
      <c r="AC151" s="1">
        <v>119.14197544092529</v>
      </c>
      <c r="AD151" s="1">
        <v>1.4922379756144524</v>
      </c>
      <c r="AE151" t="s">
        <v>4816</v>
      </c>
      <c r="AF151" t="str">
        <f>IF(X151&lt;$AF$1,"Bajo","Alto")</f>
        <v>Bajo</v>
      </c>
      <c r="AG151" t="str">
        <f>LEFT(AE151,1)</f>
        <v>D</v>
      </c>
      <c r="AH151" t="str">
        <f>K151</f>
        <v>F</v>
      </c>
      <c r="AI151" t="str">
        <f>LEFT(AF151,1)</f>
        <v>B</v>
      </c>
      <c r="AJ151" t="str">
        <f>LEFT(M151,1)</f>
        <v>M</v>
      </c>
      <c r="AK151" t="str">
        <f>_xlfn.CONCAT(AG151,AH151,AI151,AJ151)</f>
        <v>DFBM</v>
      </c>
    </row>
    <row r="152" spans="1:37" ht="15.75" hidden="1" customHeight="1" x14ac:dyDescent="0.2">
      <c r="A152" s="1">
        <v>1058401</v>
      </c>
      <c r="B152" s="1" t="s">
        <v>694</v>
      </c>
      <c r="C152" s="1" t="s">
        <v>879</v>
      </c>
      <c r="D152" s="1" t="s">
        <v>1046</v>
      </c>
      <c r="E152" s="1" t="s">
        <v>1047</v>
      </c>
      <c r="F152" s="1" t="s">
        <v>32</v>
      </c>
      <c r="G152" s="1" t="s">
        <v>1048</v>
      </c>
      <c r="H152" s="1">
        <v>1687</v>
      </c>
      <c r="I152" s="1" t="s">
        <v>39</v>
      </c>
      <c r="J152" s="1">
        <v>11</v>
      </c>
      <c r="K152" s="1" t="s">
        <v>35</v>
      </c>
      <c r="L152" s="1">
        <v>41</v>
      </c>
      <c r="M152" s="1" t="str">
        <f>IF(L152&lt;=45,"Joven","Mayor")</f>
        <v>Joven</v>
      </c>
      <c r="N152" s="1">
        <v>27</v>
      </c>
      <c r="O152" s="1" t="s">
        <v>36</v>
      </c>
      <c r="P152" s="1">
        <v>0.36099999999999999</v>
      </c>
      <c r="Q152" s="1">
        <v>90.644000000000005</v>
      </c>
      <c r="R152" s="1">
        <v>5.1613692999999996</v>
      </c>
      <c r="S152" s="1">
        <v>2.8690600000000002</v>
      </c>
      <c r="T152" s="1">
        <v>-1.9949287</v>
      </c>
      <c r="U152" s="1">
        <v>79.606999999999999</v>
      </c>
      <c r="V152" s="1">
        <v>108</v>
      </c>
      <c r="W152" s="1">
        <v>168</v>
      </c>
      <c r="X152" s="1">
        <v>1.5555555555555556</v>
      </c>
      <c r="Y152" s="1">
        <v>113</v>
      </c>
      <c r="Z152" s="1">
        <v>168</v>
      </c>
      <c r="AA152" s="1">
        <v>1.4867256637168142</v>
      </c>
      <c r="AB152" s="1">
        <v>114.63725300662649</v>
      </c>
      <c r="AC152" s="1">
        <v>167.89817723105901</v>
      </c>
      <c r="AD152" s="1">
        <v>1.4646039819303225</v>
      </c>
      <c r="AE152" t="s">
        <v>4816</v>
      </c>
      <c r="AF152" t="str">
        <f>IF(X152&lt;$AF$1,"Bajo","Alto")</f>
        <v>Bajo</v>
      </c>
      <c r="AG152" t="str">
        <f>LEFT(AE152,1)</f>
        <v>D</v>
      </c>
      <c r="AH152" t="str">
        <f>K152</f>
        <v>M</v>
      </c>
      <c r="AI152" t="str">
        <f>LEFT(AF152,1)</f>
        <v>B</v>
      </c>
      <c r="AJ152" t="str">
        <f>LEFT(M152,1)</f>
        <v>J</v>
      </c>
      <c r="AK152" t="str">
        <f>_xlfn.CONCAT(AG152,AH152,AI152,AJ152)</f>
        <v>DMBJ</v>
      </c>
    </row>
    <row r="153" spans="1:37" ht="15.75" hidden="1" customHeight="1" x14ac:dyDescent="0.2">
      <c r="A153" s="1">
        <v>1527105</v>
      </c>
      <c r="B153" s="1" t="s">
        <v>2077</v>
      </c>
      <c r="C153" s="1" t="s">
        <v>57</v>
      </c>
      <c r="D153" s="1" t="s">
        <v>2328</v>
      </c>
      <c r="E153" s="1" t="s">
        <v>546</v>
      </c>
      <c r="F153" s="1" t="s">
        <v>40</v>
      </c>
      <c r="G153" s="1" t="s">
        <v>2333</v>
      </c>
      <c r="H153" s="1">
        <v>1760</v>
      </c>
      <c r="I153" s="1" t="s">
        <v>65</v>
      </c>
      <c r="J153" s="1">
        <v>2</v>
      </c>
      <c r="K153" s="1" t="s">
        <v>35</v>
      </c>
      <c r="L153" s="1">
        <v>39</v>
      </c>
      <c r="M153" s="1" t="str">
        <f>IF(L153&lt;=45,"Joven","Mayor")</f>
        <v>Joven</v>
      </c>
      <c r="N153" s="1">
        <v>46</v>
      </c>
      <c r="O153" s="1" t="s">
        <v>36</v>
      </c>
      <c r="P153" s="1">
        <v>1.774</v>
      </c>
      <c r="Q153" s="1">
        <v>94.373999999999995</v>
      </c>
      <c r="R153" s="1">
        <v>-0.54254155999999998</v>
      </c>
      <c r="S153" s="1">
        <v>9.0361689999999995E-2</v>
      </c>
      <c r="T153" s="1">
        <v>-1.1995838000000001</v>
      </c>
      <c r="U153" s="1">
        <v>1.3120000000000001</v>
      </c>
      <c r="V153" s="1">
        <v>88</v>
      </c>
      <c r="W153" s="1">
        <v>135</v>
      </c>
      <c r="X153" s="1">
        <v>1.5340909090909092</v>
      </c>
      <c r="Y153" s="1">
        <v>90</v>
      </c>
      <c r="Z153" s="1">
        <v>135</v>
      </c>
      <c r="AA153" s="1">
        <v>1.5</v>
      </c>
      <c r="AB153" s="1">
        <v>89.163804062584404</v>
      </c>
      <c r="AC153" s="1">
        <v>134.94947764527299</v>
      </c>
      <c r="AD153" s="1">
        <v>1.5135006751231863</v>
      </c>
      <c r="AE153" t="s">
        <v>4817</v>
      </c>
      <c r="AF153" t="str">
        <f>IF(X153&lt;$AF$1,"Bajo","Alto")</f>
        <v>Bajo</v>
      </c>
      <c r="AG153" t="str">
        <f>LEFT(AE153,1)</f>
        <v>C</v>
      </c>
      <c r="AH153" t="str">
        <f>K153</f>
        <v>M</v>
      </c>
      <c r="AI153" t="str">
        <f>LEFT(AF153,1)</f>
        <v>B</v>
      </c>
      <c r="AJ153" t="str">
        <f>LEFT(M153,1)</f>
        <v>J</v>
      </c>
      <c r="AK153" t="str">
        <f>_xlfn.CONCAT(AG153,AH153,AI153,AJ153)</f>
        <v>CMBJ</v>
      </c>
    </row>
    <row r="154" spans="1:37" ht="15.75" hidden="1" customHeight="1" x14ac:dyDescent="0.2">
      <c r="A154" s="1">
        <v>1077803</v>
      </c>
      <c r="B154" s="1" t="s">
        <v>1067</v>
      </c>
      <c r="C154" s="1" t="s">
        <v>1068</v>
      </c>
      <c r="D154" s="1" t="s">
        <v>1492</v>
      </c>
      <c r="E154" s="1" t="s">
        <v>732</v>
      </c>
      <c r="F154" s="1" t="s">
        <v>63</v>
      </c>
      <c r="G154" s="1" t="s">
        <v>1494</v>
      </c>
      <c r="H154" s="1">
        <v>108</v>
      </c>
      <c r="I154" s="1" t="s">
        <v>108</v>
      </c>
      <c r="J154" s="1">
        <v>3</v>
      </c>
      <c r="K154" s="1" t="s">
        <v>49</v>
      </c>
      <c r="L154" s="1">
        <v>46</v>
      </c>
      <c r="M154" s="1" t="str">
        <f>IF(L154&lt;=45,"Joven","Mayor")</f>
        <v>Mayor</v>
      </c>
      <c r="N154" s="1">
        <v>63</v>
      </c>
      <c r="O154" s="1" t="s">
        <v>50</v>
      </c>
      <c r="P154" s="1">
        <v>0.3</v>
      </c>
      <c r="Q154" s="1">
        <v>79.867999999999995</v>
      </c>
      <c r="R154" s="1">
        <v>10.037354000000001</v>
      </c>
      <c r="S154" s="1">
        <v>-4.9306099999999997</v>
      </c>
      <c r="T154" s="1">
        <v>14.980892000000001</v>
      </c>
      <c r="U154" s="1">
        <v>0.81799999999999995</v>
      </c>
      <c r="V154" s="1">
        <v>75</v>
      </c>
      <c r="W154" s="1">
        <v>160</v>
      </c>
      <c r="X154" s="1">
        <v>2.1333333333333333</v>
      </c>
      <c r="Y154" s="1">
        <v>98</v>
      </c>
      <c r="Z154" s="1">
        <v>160</v>
      </c>
      <c r="AA154" s="1">
        <v>1.6326530612244898</v>
      </c>
      <c r="AB154" s="1">
        <v>91.579676973214646</v>
      </c>
      <c r="AC154" s="1">
        <v>167.22828203866129</v>
      </c>
      <c r="AD154" s="1">
        <v>1.8260414053171694</v>
      </c>
      <c r="AE154" t="s">
        <v>4817</v>
      </c>
      <c r="AF154" t="str">
        <f>IF(X154&lt;$AF$1,"Bajo","Alto")</f>
        <v>Alto</v>
      </c>
      <c r="AG154" t="str">
        <f>LEFT(AE154,1)</f>
        <v>C</v>
      </c>
      <c r="AH154" t="str">
        <f>K154</f>
        <v>F</v>
      </c>
      <c r="AI154" t="str">
        <f>LEFT(AF154,1)</f>
        <v>A</v>
      </c>
      <c r="AJ154" t="str">
        <f>LEFT(M154,1)</f>
        <v>M</v>
      </c>
      <c r="AK154" t="str">
        <f>_xlfn.CONCAT(AG154,AH154,AI154,AJ154)</f>
        <v>CFAM</v>
      </c>
    </row>
    <row r="155" spans="1:37" ht="15.75" hidden="1" customHeight="1" x14ac:dyDescent="0.2">
      <c r="A155" s="1">
        <v>153401</v>
      </c>
      <c r="B155" s="1" t="s">
        <v>2077</v>
      </c>
      <c r="C155" s="1" t="s">
        <v>57</v>
      </c>
      <c r="D155" s="1" t="s">
        <v>2444</v>
      </c>
      <c r="E155" s="1" t="s">
        <v>634</v>
      </c>
      <c r="F155" s="1" t="s">
        <v>32</v>
      </c>
      <c r="G155" s="1" t="s">
        <v>2445</v>
      </c>
      <c r="H155" s="1">
        <v>641</v>
      </c>
      <c r="I155" s="1" t="s">
        <v>87</v>
      </c>
      <c r="J155" s="1">
        <v>14</v>
      </c>
      <c r="K155" s="1" t="s">
        <v>49</v>
      </c>
      <c r="L155" s="1">
        <v>51</v>
      </c>
      <c r="M155" s="1" t="str">
        <f>IF(L155&lt;=45,"Joven","Mayor")</f>
        <v>Mayor</v>
      </c>
      <c r="N155" s="1">
        <v>56</v>
      </c>
      <c r="O155" s="1" t="s">
        <v>50</v>
      </c>
      <c r="P155" s="1">
        <v>0.32900000000000001</v>
      </c>
      <c r="Q155" s="1">
        <v>91.787000000000006</v>
      </c>
      <c r="R155" s="1">
        <v>3.4021189999999999</v>
      </c>
      <c r="S155" s="1">
        <v>-4.8873324</v>
      </c>
      <c r="T155" s="1">
        <v>7.9193379999999997E-3</v>
      </c>
      <c r="U155" s="1">
        <v>2.6890000000000001</v>
      </c>
      <c r="V155" s="1">
        <v>81</v>
      </c>
      <c r="W155" s="1">
        <v>151</v>
      </c>
      <c r="X155" s="1">
        <v>1.8641975308641976</v>
      </c>
      <c r="Y155" s="1">
        <v>83</v>
      </c>
      <c r="Z155" s="1">
        <v>151</v>
      </c>
      <c r="AA155" s="1">
        <v>1.8192771084337349</v>
      </c>
      <c r="AB155" s="1">
        <v>82.994470466279608</v>
      </c>
      <c r="AC155" s="1">
        <v>150.99999855762101</v>
      </c>
      <c r="AD155" s="1">
        <v>1.8193983009864716</v>
      </c>
      <c r="AE155" t="s">
        <v>4816</v>
      </c>
      <c r="AF155" t="str">
        <f>IF(X155&lt;$AF$1,"Bajo","Alto")</f>
        <v>Alto</v>
      </c>
      <c r="AG155" t="str">
        <f>LEFT(AE155,1)</f>
        <v>D</v>
      </c>
      <c r="AH155" t="str">
        <f>K155</f>
        <v>F</v>
      </c>
      <c r="AI155" t="str">
        <f>LEFT(AF155,1)</f>
        <v>A</v>
      </c>
      <c r="AJ155" t="str">
        <f>LEFT(M155,1)</f>
        <v>M</v>
      </c>
      <c r="AK155" t="str">
        <f>_xlfn.CONCAT(AG155,AH155,AI155,AJ155)</f>
        <v>DFAM</v>
      </c>
    </row>
    <row r="156" spans="1:37" ht="15.75" hidden="1" customHeight="1" x14ac:dyDescent="0.2">
      <c r="A156" s="1">
        <v>600103</v>
      </c>
      <c r="B156" s="1" t="s">
        <v>4700</v>
      </c>
      <c r="C156" s="1" t="s">
        <v>1458</v>
      </c>
      <c r="D156" s="1" t="s">
        <v>4701</v>
      </c>
      <c r="E156" s="1" t="s">
        <v>32</v>
      </c>
      <c r="F156" s="1" t="s">
        <v>63</v>
      </c>
      <c r="G156" s="1" t="s">
        <v>4704</v>
      </c>
      <c r="H156" s="1">
        <v>3811</v>
      </c>
      <c r="I156" s="1" t="s">
        <v>42</v>
      </c>
      <c r="J156" s="1">
        <v>15</v>
      </c>
      <c r="K156" s="1" t="s">
        <v>35</v>
      </c>
      <c r="L156" s="1">
        <v>31</v>
      </c>
      <c r="M156" s="1" t="str">
        <f>IF(L156&lt;=45,"Joven","Mayor")</f>
        <v>Joven</v>
      </c>
      <c r="N156" s="1">
        <v>21</v>
      </c>
      <c r="O156" s="1" t="s">
        <v>36</v>
      </c>
      <c r="P156" s="1">
        <v>5.5E-2</v>
      </c>
      <c r="Q156" s="1">
        <v>40.915999999999997</v>
      </c>
      <c r="R156" s="1">
        <v>16.991178999999999</v>
      </c>
      <c r="S156" s="1">
        <v>-4.1004033</v>
      </c>
      <c r="T156" s="1">
        <v>-12.181196</v>
      </c>
      <c r="U156" s="1">
        <v>7.0229999999999997</v>
      </c>
      <c r="V156" s="1">
        <v>85</v>
      </c>
      <c r="W156" s="1">
        <v>176</v>
      </c>
      <c r="X156" s="1">
        <v>2.0705882352941178</v>
      </c>
      <c r="Y156" s="1">
        <v>102</v>
      </c>
      <c r="Z156" s="1">
        <v>176</v>
      </c>
      <c r="AA156" s="1">
        <v>1.7254901960784315</v>
      </c>
      <c r="AB156" s="1">
        <v>93.425437977829461</v>
      </c>
      <c r="AC156" s="1">
        <v>176.4684787289452</v>
      </c>
      <c r="AD156" s="1">
        <v>1.8888696970392844</v>
      </c>
      <c r="AE156" t="s">
        <v>4817</v>
      </c>
      <c r="AF156" t="str">
        <f>IF(X156&lt;$AF$1,"Bajo","Alto")</f>
        <v>Alto</v>
      </c>
      <c r="AG156" t="str">
        <f>LEFT(AE156,1)</f>
        <v>C</v>
      </c>
      <c r="AH156" t="str">
        <f>K156</f>
        <v>M</v>
      </c>
      <c r="AI156" t="str">
        <f>LEFT(AF156,1)</f>
        <v>A</v>
      </c>
      <c r="AJ156" t="str">
        <f>LEFT(M156,1)</f>
        <v>J</v>
      </c>
      <c r="AK156" t="str">
        <f>_xlfn.CONCAT(AG156,AH156,AI156,AJ156)</f>
        <v>CMAJ</v>
      </c>
    </row>
    <row r="157" spans="1:37" ht="15.75" hidden="1" customHeight="1" x14ac:dyDescent="0.2">
      <c r="A157" s="1">
        <v>288003</v>
      </c>
      <c r="B157" s="1" t="s">
        <v>1775</v>
      </c>
      <c r="C157" s="1" t="s">
        <v>561</v>
      </c>
      <c r="D157" s="1" t="s">
        <v>3885</v>
      </c>
      <c r="E157" s="1" t="s">
        <v>744</v>
      </c>
      <c r="F157" s="1" t="s">
        <v>63</v>
      </c>
      <c r="G157" s="1" t="s">
        <v>3888</v>
      </c>
      <c r="H157" s="1">
        <v>3227</v>
      </c>
      <c r="I157" s="1" t="s">
        <v>3889</v>
      </c>
      <c r="J157" s="1">
        <v>3429</v>
      </c>
      <c r="K157" s="1" t="s">
        <v>35</v>
      </c>
      <c r="L157" s="1">
        <v>75</v>
      </c>
      <c r="M157" s="1" t="str">
        <f>IF(L157&lt;=45,"Joven","Mayor")</f>
        <v>Mayor</v>
      </c>
      <c r="N157" s="1">
        <v>81</v>
      </c>
      <c r="O157" s="1" t="s">
        <v>36</v>
      </c>
      <c r="P157" s="1">
        <v>0.93700000000000006</v>
      </c>
      <c r="Q157" s="1">
        <v>90.08</v>
      </c>
      <c r="R157" s="1">
        <v>-2.2093117000000002</v>
      </c>
      <c r="S157" s="1">
        <v>10.278841</v>
      </c>
      <c r="T157" s="1">
        <v>3.4161600000000001</v>
      </c>
      <c r="U157" s="1">
        <v>2.5</v>
      </c>
      <c r="V157" s="1">
        <v>86</v>
      </c>
      <c r="W157" s="1">
        <v>178</v>
      </c>
      <c r="X157" s="1">
        <v>2.0697674418604652</v>
      </c>
      <c r="Y157" s="1">
        <v>100</v>
      </c>
      <c r="Z157" s="1">
        <v>178</v>
      </c>
      <c r="AA157" s="1">
        <v>1.78</v>
      </c>
      <c r="AB157" s="1">
        <v>97.796316835022708</v>
      </c>
      <c r="AC157" s="1">
        <v>178.8158753625421</v>
      </c>
      <c r="AD157" s="1">
        <v>1.828452043487437</v>
      </c>
      <c r="AE157" t="s">
        <v>4817</v>
      </c>
      <c r="AF157" t="str">
        <f>IF(X157&lt;$AF$1,"Bajo","Alto")</f>
        <v>Alto</v>
      </c>
      <c r="AG157" t="str">
        <f>LEFT(AE157,1)</f>
        <v>C</v>
      </c>
      <c r="AH157" t="str">
        <f>K157</f>
        <v>M</v>
      </c>
      <c r="AI157" t="str">
        <f>LEFT(AF157,1)</f>
        <v>A</v>
      </c>
      <c r="AJ157" t="str">
        <f>LEFT(M157,1)</f>
        <v>M</v>
      </c>
      <c r="AK157" t="str">
        <f>_xlfn.CONCAT(AG157,AH157,AI157,AJ157)</f>
        <v>CMAM</v>
      </c>
    </row>
    <row r="158" spans="1:37" ht="15.75" hidden="1" customHeight="1" x14ac:dyDescent="0.2">
      <c r="A158" s="1">
        <v>640403</v>
      </c>
      <c r="B158" s="1" t="s">
        <v>4718</v>
      </c>
      <c r="C158" s="1" t="s">
        <v>710</v>
      </c>
      <c r="D158" s="1" t="s">
        <v>4732</v>
      </c>
      <c r="E158" s="1" t="s">
        <v>61</v>
      </c>
      <c r="F158" s="1" t="s">
        <v>63</v>
      </c>
      <c r="G158" s="1" t="s">
        <v>4735</v>
      </c>
      <c r="H158" s="1">
        <v>2742</v>
      </c>
      <c r="I158" s="1" t="s">
        <v>4736</v>
      </c>
      <c r="J158" s="1">
        <v>4055</v>
      </c>
      <c r="K158" s="1" t="s">
        <v>35</v>
      </c>
      <c r="L158" s="1">
        <v>32</v>
      </c>
      <c r="M158" s="1" t="str">
        <f>IF(L158&lt;=45,"Joven","Mayor")</f>
        <v>Joven</v>
      </c>
      <c r="N158" s="1">
        <v>34</v>
      </c>
      <c r="O158" s="1" t="s">
        <v>36</v>
      </c>
      <c r="P158" s="1">
        <v>4.9000000000000002E-2</v>
      </c>
      <c r="Q158" s="1">
        <v>52.445</v>
      </c>
      <c r="R158" s="1">
        <v>14.727805</v>
      </c>
      <c r="S158" s="1">
        <v>9.0389879999999998</v>
      </c>
      <c r="T158" s="1">
        <v>-6.4828479999999997</v>
      </c>
      <c r="U158" s="1">
        <v>2.6040000000000001</v>
      </c>
      <c r="V158" s="1">
        <v>57</v>
      </c>
      <c r="W158" s="1">
        <v>118</v>
      </c>
      <c r="X158" s="1">
        <v>2.0701754385964914</v>
      </c>
      <c r="Y158" s="1">
        <v>66</v>
      </c>
      <c r="Z158" s="1">
        <v>118</v>
      </c>
      <c r="AA158" s="1">
        <v>1.7878787878787878</v>
      </c>
      <c r="AB158" s="1">
        <v>62.303708719510951</v>
      </c>
      <c r="AC158" s="1">
        <v>118.1487187392372</v>
      </c>
      <c r="AD158" s="1">
        <v>1.896335245003447</v>
      </c>
      <c r="AE158" t="s">
        <v>4817</v>
      </c>
      <c r="AF158" t="str">
        <f>IF(X158&lt;$AF$1,"Bajo","Alto")</f>
        <v>Alto</v>
      </c>
      <c r="AG158" t="str">
        <f>LEFT(AE158,1)</f>
        <v>C</v>
      </c>
      <c r="AH158" t="str">
        <f>K158</f>
        <v>M</v>
      </c>
      <c r="AI158" t="str">
        <f>LEFT(AF158,1)</f>
        <v>A</v>
      </c>
      <c r="AJ158" t="str">
        <f>LEFT(M158,1)</f>
        <v>J</v>
      </c>
      <c r="AK158" t="str">
        <f>_xlfn.CONCAT(AG158,AH158,AI158,AJ158)</f>
        <v>CMAJ</v>
      </c>
    </row>
    <row r="159" spans="1:37" ht="15.75" hidden="1" customHeight="1" x14ac:dyDescent="0.2">
      <c r="A159" s="1">
        <v>10126201</v>
      </c>
      <c r="B159" s="1" t="s">
        <v>29</v>
      </c>
      <c r="C159" s="1" t="s">
        <v>30</v>
      </c>
      <c r="D159" s="1" t="s">
        <v>522</v>
      </c>
      <c r="E159" s="1" t="s">
        <v>523</v>
      </c>
      <c r="F159" s="1" t="s">
        <v>32</v>
      </c>
      <c r="G159" s="1" t="s">
        <v>524</v>
      </c>
      <c r="H159" s="1">
        <v>8333</v>
      </c>
      <c r="I159" s="1" t="s">
        <v>39</v>
      </c>
      <c r="J159" s="1">
        <v>11</v>
      </c>
      <c r="K159" s="1" t="s">
        <v>35</v>
      </c>
      <c r="L159" s="1">
        <v>28</v>
      </c>
      <c r="M159" s="1" t="str">
        <f>IF(L159&lt;=45,"Joven","Mayor")</f>
        <v>Joven</v>
      </c>
      <c r="N159" s="1">
        <v>23</v>
      </c>
      <c r="O159" s="1" t="s">
        <v>36</v>
      </c>
      <c r="P159" s="1">
        <v>0.43</v>
      </c>
      <c r="Q159" s="1">
        <v>79.489000000000004</v>
      </c>
      <c r="R159" s="1">
        <v>-10.464402</v>
      </c>
      <c r="S159" s="1">
        <v>3.1484239999999999</v>
      </c>
      <c r="T159" s="1">
        <v>7.9939799999999996</v>
      </c>
      <c r="U159" s="1">
        <v>16.356999999999999</v>
      </c>
      <c r="V159" s="1">
        <v>83</v>
      </c>
      <c r="W159" s="1">
        <v>169</v>
      </c>
      <c r="X159" s="1">
        <v>2.036144578313253</v>
      </c>
      <c r="Y159" s="1">
        <v>90</v>
      </c>
      <c r="Z159" s="1">
        <v>169</v>
      </c>
      <c r="AA159" s="1">
        <v>1.8777777777777778</v>
      </c>
      <c r="AB159" s="1">
        <v>88.590639419527406</v>
      </c>
      <c r="AC159" s="1">
        <v>168.7484644778647</v>
      </c>
      <c r="AD159" s="1">
        <v>1.9048114516788177</v>
      </c>
      <c r="AE159" t="s">
        <v>4816</v>
      </c>
      <c r="AF159" t="str">
        <f>IF(X159&lt;$AF$1,"Bajo","Alto")</f>
        <v>Alto</v>
      </c>
      <c r="AG159" t="str">
        <f>LEFT(AE159,1)</f>
        <v>D</v>
      </c>
      <c r="AH159" t="str">
        <f>K159</f>
        <v>M</v>
      </c>
      <c r="AI159" t="str">
        <f>LEFT(AF159,1)</f>
        <v>A</v>
      </c>
      <c r="AJ159" t="str">
        <f>LEFT(M159,1)</f>
        <v>J</v>
      </c>
      <c r="AK159" t="str">
        <f>_xlfn.CONCAT(AG159,AH159,AI159,AJ159)</f>
        <v>DMAJ</v>
      </c>
    </row>
    <row r="160" spans="1:37" ht="15.75" hidden="1" customHeight="1" x14ac:dyDescent="0.2">
      <c r="A160" s="1">
        <v>1059705</v>
      </c>
      <c r="B160" s="1" t="s">
        <v>694</v>
      </c>
      <c r="C160" s="1" t="s">
        <v>879</v>
      </c>
      <c r="D160" s="1" t="s">
        <v>1060</v>
      </c>
      <c r="E160" s="1" t="s">
        <v>781</v>
      </c>
      <c r="F160" s="1" t="s">
        <v>40</v>
      </c>
      <c r="G160" s="1" t="s">
        <v>1065</v>
      </c>
      <c r="H160" s="1">
        <v>27</v>
      </c>
      <c r="I160" s="1" t="s">
        <v>48</v>
      </c>
      <c r="J160" s="1">
        <v>4</v>
      </c>
      <c r="K160" s="1" t="s">
        <v>49</v>
      </c>
      <c r="L160" s="1">
        <v>38</v>
      </c>
      <c r="M160" s="1" t="str">
        <f>IF(L160&lt;=45,"Joven","Mayor")</f>
        <v>Joven</v>
      </c>
      <c r="N160" s="1">
        <v>39</v>
      </c>
      <c r="O160" s="1" t="s">
        <v>50</v>
      </c>
      <c r="P160" s="1">
        <v>0.38200000000000001</v>
      </c>
      <c r="Q160" s="1">
        <v>93.091999999999999</v>
      </c>
      <c r="R160" s="1">
        <v>1.3918379999999999</v>
      </c>
      <c r="S160" s="1">
        <v>5.4074</v>
      </c>
      <c r="T160" s="1">
        <v>-4.0000214999999999</v>
      </c>
      <c r="U160" s="1">
        <v>0.499</v>
      </c>
      <c r="V160" s="1">
        <v>87</v>
      </c>
      <c r="W160" s="1">
        <v>135</v>
      </c>
      <c r="X160" s="1">
        <v>1.5517241379310345</v>
      </c>
      <c r="Y160" s="1">
        <v>88</v>
      </c>
      <c r="Z160" s="1">
        <v>135</v>
      </c>
      <c r="AA160" s="1">
        <v>1.5340909090909092</v>
      </c>
      <c r="AB160" s="1">
        <v>89.717857714486627</v>
      </c>
      <c r="AC160" s="1">
        <v>134.8804137955581</v>
      </c>
      <c r="AD160" s="1">
        <v>1.5033842451387371</v>
      </c>
      <c r="AE160" t="s">
        <v>4817</v>
      </c>
      <c r="AF160" t="str">
        <f>IF(X160&lt;$AF$1,"Bajo","Alto")</f>
        <v>Bajo</v>
      </c>
      <c r="AG160" t="str">
        <f>LEFT(AE160,1)</f>
        <v>C</v>
      </c>
      <c r="AH160" t="str">
        <f>K160</f>
        <v>F</v>
      </c>
      <c r="AI160" t="str">
        <f>LEFT(AF160,1)</f>
        <v>B</v>
      </c>
      <c r="AJ160" t="str">
        <f>LEFT(M160,1)</f>
        <v>J</v>
      </c>
      <c r="AK160" t="str">
        <f>_xlfn.CONCAT(AG160,AH160,AI160,AJ160)</f>
        <v>CFBJ</v>
      </c>
    </row>
    <row r="161" spans="1:37" ht="15.75" hidden="1" customHeight="1" x14ac:dyDescent="0.2">
      <c r="A161" s="1">
        <v>1262501</v>
      </c>
      <c r="B161" s="1" t="s">
        <v>1798</v>
      </c>
      <c r="C161" s="1" t="s">
        <v>54</v>
      </c>
      <c r="D161" s="1" t="s">
        <v>1879</v>
      </c>
      <c r="E161" s="1" t="s">
        <v>1880</v>
      </c>
      <c r="F161" s="1" t="s">
        <v>32</v>
      </c>
      <c r="G161" s="1" t="s">
        <v>1881</v>
      </c>
      <c r="H161" s="1">
        <v>1170</v>
      </c>
      <c r="I161" s="1" t="s">
        <v>134</v>
      </c>
      <c r="J161" s="1">
        <v>8</v>
      </c>
      <c r="K161" s="1" t="s">
        <v>35</v>
      </c>
      <c r="L161" s="1">
        <v>46</v>
      </c>
      <c r="M161" s="1" t="str">
        <f>IF(L161&lt;=45,"Joven","Mayor")</f>
        <v>Mayor</v>
      </c>
      <c r="N161" s="1">
        <v>51</v>
      </c>
      <c r="O161" s="1" t="s">
        <v>36</v>
      </c>
      <c r="P161" s="1">
        <v>0.63</v>
      </c>
      <c r="Q161" s="1">
        <v>39.6</v>
      </c>
      <c r="R161" s="1">
        <v>17.338253000000002</v>
      </c>
      <c r="S161" s="1">
        <v>-1.2977821</v>
      </c>
      <c r="T161" s="1">
        <v>-8.9131260000000001</v>
      </c>
      <c r="U161" s="1">
        <v>18.664999999999999</v>
      </c>
      <c r="V161" s="1">
        <v>119</v>
      </c>
      <c r="W161" s="1">
        <v>246</v>
      </c>
      <c r="X161" s="1">
        <v>2.0672268907563027</v>
      </c>
      <c r="Y161" s="1">
        <v>140</v>
      </c>
      <c r="Z161" s="1">
        <v>246</v>
      </c>
      <c r="AA161" s="1">
        <v>1.7571428571428571</v>
      </c>
      <c r="AB161" s="1">
        <v>131.49220007455921</v>
      </c>
      <c r="AC161" s="1">
        <v>247.36762969249551</v>
      </c>
      <c r="AD161" s="1">
        <v>1.8812342447098169</v>
      </c>
      <c r="AE161" t="s">
        <v>4817</v>
      </c>
      <c r="AF161" t="str">
        <f>IF(X161&lt;$AF$1,"Bajo","Alto")</f>
        <v>Alto</v>
      </c>
      <c r="AG161" t="str">
        <f>LEFT(AE161,1)</f>
        <v>C</v>
      </c>
      <c r="AH161" t="str">
        <f>K161</f>
        <v>M</v>
      </c>
      <c r="AI161" t="str">
        <f>LEFT(AF161,1)</f>
        <v>A</v>
      </c>
      <c r="AJ161" t="str">
        <f>LEFT(M161,1)</f>
        <v>M</v>
      </c>
      <c r="AK161" t="str">
        <f>_xlfn.CONCAT(AG161,AH161,AI161,AJ161)</f>
        <v>CMAM</v>
      </c>
    </row>
    <row r="162" spans="1:37" ht="15.75" hidden="1" customHeight="1" x14ac:dyDescent="0.2">
      <c r="A162" s="1">
        <v>133102</v>
      </c>
      <c r="B162" s="1" t="s">
        <v>956</v>
      </c>
      <c r="C162" s="1" t="s">
        <v>163</v>
      </c>
      <c r="D162" s="1" t="s">
        <v>2015</v>
      </c>
      <c r="E162" s="1" t="s">
        <v>628</v>
      </c>
      <c r="F162" s="1" t="s">
        <v>37</v>
      </c>
      <c r="G162" s="1" t="s">
        <v>2017</v>
      </c>
      <c r="H162" s="1">
        <v>9036</v>
      </c>
      <c r="I162" s="1" t="s">
        <v>73</v>
      </c>
      <c r="J162" s="1">
        <v>5</v>
      </c>
      <c r="K162" s="1" t="s">
        <v>35</v>
      </c>
      <c r="L162" s="1">
        <v>50</v>
      </c>
      <c r="M162" s="1" t="str">
        <f>IF(L162&lt;=45,"Joven","Mayor")</f>
        <v>Mayor</v>
      </c>
      <c r="N162" s="1">
        <v>33</v>
      </c>
      <c r="O162" s="1" t="s">
        <v>36</v>
      </c>
      <c r="P162" s="1">
        <v>0.436</v>
      </c>
      <c r="Q162" s="1">
        <v>71.370999999999995</v>
      </c>
      <c r="R162" s="1">
        <v>12.294305</v>
      </c>
      <c r="S162" s="1">
        <v>4.2511809999999999</v>
      </c>
      <c r="T162" s="1">
        <v>-11.093410499999999</v>
      </c>
      <c r="U162" s="1">
        <v>35.691000000000003</v>
      </c>
      <c r="V162" s="1">
        <v>79</v>
      </c>
      <c r="W162" s="1">
        <v>163</v>
      </c>
      <c r="X162" s="1">
        <v>2.0632911392405062</v>
      </c>
      <c r="Y162" s="1">
        <v>88</v>
      </c>
      <c r="Z162" s="1">
        <v>163</v>
      </c>
      <c r="AA162" s="1">
        <v>1.8522727272727273</v>
      </c>
      <c r="AB162" s="1">
        <v>86.182279006375893</v>
      </c>
      <c r="AC162" s="1">
        <v>162.26322156239939</v>
      </c>
      <c r="AD162" s="1">
        <v>1.8827910265681755</v>
      </c>
      <c r="AE162" t="s">
        <v>4817</v>
      </c>
      <c r="AF162" t="str">
        <f>IF(X162&lt;$AF$1,"Bajo","Alto")</f>
        <v>Alto</v>
      </c>
      <c r="AG162" t="str">
        <f>LEFT(AE162,1)</f>
        <v>C</v>
      </c>
      <c r="AH162" t="str">
        <f>K162</f>
        <v>M</v>
      </c>
      <c r="AI162" t="str">
        <f>LEFT(AF162,1)</f>
        <v>A</v>
      </c>
      <c r="AJ162" t="str">
        <f>LEFT(M162,1)</f>
        <v>M</v>
      </c>
      <c r="AK162" t="str">
        <f>_xlfn.CONCAT(AG162,AH162,AI162,AJ162)</f>
        <v>CMAM</v>
      </c>
    </row>
    <row r="163" spans="1:37" ht="15.75" hidden="1" customHeight="1" x14ac:dyDescent="0.2">
      <c r="A163" s="1">
        <v>2716001</v>
      </c>
      <c r="B163" s="1" t="s">
        <v>3409</v>
      </c>
      <c r="C163" s="1" t="s">
        <v>973</v>
      </c>
      <c r="D163" s="1" t="s">
        <v>3526</v>
      </c>
      <c r="E163" s="1" t="s">
        <v>234</v>
      </c>
      <c r="F163" s="1" t="s">
        <v>32</v>
      </c>
      <c r="G163" s="1" t="s">
        <v>3527</v>
      </c>
      <c r="H163" s="1">
        <v>12145</v>
      </c>
      <c r="I163" s="1" t="s">
        <v>45</v>
      </c>
      <c r="J163" s="1">
        <v>17</v>
      </c>
      <c r="K163" s="1" t="s">
        <v>49</v>
      </c>
      <c r="L163" s="1">
        <v>32</v>
      </c>
      <c r="M163" s="1" t="str">
        <f>IF(L163&lt;=45,"Joven","Mayor")</f>
        <v>Joven</v>
      </c>
      <c r="N163" s="1">
        <v>29</v>
      </c>
      <c r="O163" s="1" t="s">
        <v>50</v>
      </c>
      <c r="P163" s="1">
        <v>0.26500000000000001</v>
      </c>
      <c r="Q163" s="1">
        <v>84.242000000000004</v>
      </c>
      <c r="R163" s="1">
        <v>8.5586330000000004</v>
      </c>
      <c r="S163" s="1">
        <v>4.4863048000000001</v>
      </c>
      <c r="T163" s="1">
        <v>-6.6377280000000001</v>
      </c>
      <c r="U163" s="1">
        <v>2.8069999999999999</v>
      </c>
      <c r="V163" s="1">
        <v>103</v>
      </c>
      <c r="W163" s="1">
        <v>161</v>
      </c>
      <c r="X163" s="1">
        <v>1.5631067961165048</v>
      </c>
      <c r="Y163" s="1">
        <v>108</v>
      </c>
      <c r="Z163" s="1">
        <v>161</v>
      </c>
      <c r="AA163" s="1">
        <v>1.4907407407407407</v>
      </c>
      <c r="AB163" s="1">
        <v>107.28000056504629</v>
      </c>
      <c r="AC163" s="1">
        <v>160.49875173307461</v>
      </c>
      <c r="AD163" s="1">
        <v>1.49607336770809</v>
      </c>
      <c r="AE163" t="s">
        <v>4817</v>
      </c>
      <c r="AF163" t="str">
        <f>IF(X163&lt;$AF$1,"Bajo","Alto")</f>
        <v>Bajo</v>
      </c>
      <c r="AG163" t="str">
        <f>LEFT(AE163,1)</f>
        <v>C</v>
      </c>
      <c r="AH163" t="str">
        <f>K163</f>
        <v>F</v>
      </c>
      <c r="AI163" t="str">
        <f>LEFT(AF163,1)</f>
        <v>B</v>
      </c>
      <c r="AJ163" t="str">
        <f>LEFT(M163,1)</f>
        <v>J</v>
      </c>
      <c r="AK163" t="str">
        <f>_xlfn.CONCAT(AG163,AH163,AI163,AJ163)</f>
        <v>CFBJ</v>
      </c>
    </row>
    <row r="164" spans="1:37" ht="15.75" hidden="1" customHeight="1" x14ac:dyDescent="0.2">
      <c r="A164" s="1">
        <v>1017804</v>
      </c>
      <c r="B164" s="1" t="s">
        <v>29</v>
      </c>
      <c r="C164" s="1" t="s">
        <v>30</v>
      </c>
      <c r="D164" s="1" t="s">
        <v>731</v>
      </c>
      <c r="E164" s="1" t="s">
        <v>732</v>
      </c>
      <c r="F164" s="1" t="s">
        <v>61</v>
      </c>
      <c r="G164" s="1" t="s">
        <v>735</v>
      </c>
      <c r="H164" s="1">
        <v>336</v>
      </c>
      <c r="I164" s="1" t="s">
        <v>108</v>
      </c>
      <c r="J164" s="1">
        <v>3</v>
      </c>
      <c r="K164" s="1" t="s">
        <v>35</v>
      </c>
      <c r="L164" s="1">
        <v>51</v>
      </c>
      <c r="M164" s="1" t="str">
        <f>IF(L164&lt;=45,"Joven","Mayor")</f>
        <v>Mayor</v>
      </c>
      <c r="N164" s="1">
        <v>57</v>
      </c>
      <c r="O164" s="1" t="s">
        <v>36</v>
      </c>
      <c r="P164" s="1">
        <v>0.372</v>
      </c>
      <c r="Q164" s="1">
        <v>79.584000000000003</v>
      </c>
      <c r="R164" s="1">
        <v>10.416903</v>
      </c>
      <c r="S164" s="1">
        <v>3.3218668</v>
      </c>
      <c r="T164" s="1">
        <v>-10.348338</v>
      </c>
      <c r="U164" s="1">
        <v>6.5060000000000002</v>
      </c>
      <c r="V164" s="1">
        <v>80</v>
      </c>
      <c r="W164" s="1">
        <v>165</v>
      </c>
      <c r="X164" s="1">
        <v>2.0625</v>
      </c>
      <c r="Y164" s="1">
        <v>87</v>
      </c>
      <c r="Z164" s="1">
        <v>165</v>
      </c>
      <c r="AA164" s="1">
        <v>1.896551724137931</v>
      </c>
      <c r="AB164" s="1">
        <v>87.680317858507124</v>
      </c>
      <c r="AC164" s="1">
        <v>164.2920379480947</v>
      </c>
      <c r="AD164" s="1">
        <v>1.8737618881950071</v>
      </c>
      <c r="AE164" t="s">
        <v>4817</v>
      </c>
      <c r="AF164" t="str">
        <f>IF(X164&lt;$AF$1,"Bajo","Alto")</f>
        <v>Alto</v>
      </c>
      <c r="AG164" t="str">
        <f>LEFT(AE164,1)</f>
        <v>C</v>
      </c>
      <c r="AH164" t="str">
        <f>K164</f>
        <v>M</v>
      </c>
      <c r="AI164" t="str">
        <f>LEFT(AF164,1)</f>
        <v>A</v>
      </c>
      <c r="AJ164" t="str">
        <f>LEFT(M164,1)</f>
        <v>M</v>
      </c>
      <c r="AK164" t="str">
        <f>_xlfn.CONCAT(AG164,AH164,AI164,AJ164)</f>
        <v>CMAM</v>
      </c>
    </row>
    <row r="165" spans="1:37" ht="15.75" hidden="1" customHeight="1" x14ac:dyDescent="0.2">
      <c r="A165" s="1">
        <v>1241504</v>
      </c>
      <c r="B165" s="1" t="s">
        <v>1798</v>
      </c>
      <c r="C165" s="1" t="s">
        <v>54</v>
      </c>
      <c r="D165" s="1" t="s">
        <v>1844</v>
      </c>
      <c r="E165" s="1" t="s">
        <v>1845</v>
      </c>
      <c r="F165" s="1" t="s">
        <v>61</v>
      </c>
      <c r="G165" s="1" t="s">
        <v>1848</v>
      </c>
      <c r="H165" s="1">
        <v>16</v>
      </c>
      <c r="I165" s="1" t="s">
        <v>87</v>
      </c>
      <c r="J165" s="1">
        <v>14</v>
      </c>
      <c r="K165" s="1" t="s">
        <v>35</v>
      </c>
      <c r="L165" s="1">
        <v>55</v>
      </c>
      <c r="M165" s="1" t="str">
        <f>IF(L165&lt;=45,"Joven","Mayor")</f>
        <v>Mayor</v>
      </c>
      <c r="N165" s="1">
        <v>63</v>
      </c>
      <c r="O165" s="1" t="s">
        <v>36</v>
      </c>
      <c r="P165" s="1">
        <v>6.7000000000000004E-2</v>
      </c>
      <c r="Q165" s="1">
        <v>81.048000000000002</v>
      </c>
      <c r="R165" s="1">
        <v>9.5698120000000007</v>
      </c>
      <c r="S165" s="1">
        <v>5.5083529999999996</v>
      </c>
      <c r="T165" s="1">
        <v>-2.9773307</v>
      </c>
      <c r="U165" s="1">
        <v>1.381</v>
      </c>
      <c r="V165" s="1">
        <v>95</v>
      </c>
      <c r="W165" s="1">
        <v>146</v>
      </c>
      <c r="X165" s="1">
        <v>1.5368421052631578</v>
      </c>
      <c r="Y165" s="1">
        <v>96</v>
      </c>
      <c r="Z165" s="1">
        <v>146</v>
      </c>
      <c r="AA165" s="1">
        <v>1.5208333333333333</v>
      </c>
      <c r="AB165" s="1">
        <v>96.845517471673475</v>
      </c>
      <c r="AC165" s="1">
        <v>145.8548647139078</v>
      </c>
      <c r="AD165" s="1">
        <v>1.5060569505095489</v>
      </c>
      <c r="AE165" t="s">
        <v>4816</v>
      </c>
      <c r="AF165" t="str">
        <f>IF(X165&lt;$AF$1,"Bajo","Alto")</f>
        <v>Bajo</v>
      </c>
      <c r="AG165" t="str">
        <f>LEFT(AE165,1)</f>
        <v>D</v>
      </c>
      <c r="AH165" t="str">
        <f>K165</f>
        <v>M</v>
      </c>
      <c r="AI165" t="str">
        <f>LEFT(AF165,1)</f>
        <v>B</v>
      </c>
      <c r="AJ165" t="str">
        <f>LEFT(M165,1)</f>
        <v>M</v>
      </c>
      <c r="AK165" t="str">
        <f>_xlfn.CONCAT(AG165,AH165,AI165,AJ165)</f>
        <v>DMBM</v>
      </c>
    </row>
    <row r="166" spans="1:37" ht="15.75" hidden="1" customHeight="1" x14ac:dyDescent="0.2">
      <c r="A166" s="1">
        <v>10732505</v>
      </c>
      <c r="B166" s="1" t="s">
        <v>1067</v>
      </c>
      <c r="C166" s="1" t="s">
        <v>1068</v>
      </c>
      <c r="D166" s="1" t="s">
        <v>1411</v>
      </c>
      <c r="E166" s="1" t="s">
        <v>1412</v>
      </c>
      <c r="F166" s="1" t="s">
        <v>40</v>
      </c>
      <c r="G166" s="1" t="s">
        <v>1417</v>
      </c>
      <c r="H166" s="1">
        <v>112</v>
      </c>
      <c r="I166" s="1" t="s">
        <v>1418</v>
      </c>
      <c r="J166" s="1">
        <v>3246</v>
      </c>
      <c r="K166" s="1" t="s">
        <v>35</v>
      </c>
      <c r="L166" s="1">
        <v>65</v>
      </c>
      <c r="M166" s="1" t="str">
        <f>IF(L166&lt;=45,"Joven","Mayor")</f>
        <v>Mayor</v>
      </c>
      <c r="N166" s="1">
        <v>53</v>
      </c>
      <c r="O166" s="1" t="s">
        <v>36</v>
      </c>
      <c r="P166" s="1">
        <v>0.29299999999999998</v>
      </c>
      <c r="Q166" s="1">
        <v>93.861999999999995</v>
      </c>
      <c r="R166" s="1">
        <v>1.0797692999999999</v>
      </c>
      <c r="S166" s="1">
        <v>3.2760950000000002</v>
      </c>
      <c r="T166" s="1">
        <v>-2.2379403</v>
      </c>
      <c r="U166" s="1">
        <v>2.83</v>
      </c>
      <c r="V166" s="1">
        <v>113</v>
      </c>
      <c r="W166" s="1">
        <v>171</v>
      </c>
      <c r="X166" s="1">
        <v>1.5132743362831858</v>
      </c>
      <c r="Y166" s="1">
        <v>115</v>
      </c>
      <c r="Z166" s="1">
        <v>171</v>
      </c>
      <c r="AA166" s="1">
        <v>1.4869565217391305</v>
      </c>
      <c r="AB166" s="1">
        <v>116.70856372245321</v>
      </c>
      <c r="AC166" s="1">
        <v>170.79147547313869</v>
      </c>
      <c r="AD166" s="1">
        <v>1.4634013993977431</v>
      </c>
      <c r="AE166" t="s">
        <v>4817</v>
      </c>
      <c r="AF166" t="str">
        <f>IF(X166&lt;$AF$1,"Bajo","Alto")</f>
        <v>Bajo</v>
      </c>
      <c r="AG166" t="str">
        <f>LEFT(AE166,1)</f>
        <v>C</v>
      </c>
      <c r="AH166" t="str">
        <f>K166</f>
        <v>M</v>
      </c>
      <c r="AI166" t="str">
        <f>LEFT(AF166,1)</f>
        <v>B</v>
      </c>
      <c r="AJ166" t="str">
        <f>LEFT(M166,1)</f>
        <v>M</v>
      </c>
      <c r="AK166" t="str">
        <f>_xlfn.CONCAT(AG166,AH166,AI166,AJ166)</f>
        <v>CMBM</v>
      </c>
    </row>
    <row r="167" spans="1:37" ht="15.75" hidden="1" customHeight="1" x14ac:dyDescent="0.2">
      <c r="A167" s="1">
        <v>211206</v>
      </c>
      <c r="B167" s="1" t="s">
        <v>2816</v>
      </c>
      <c r="C167" s="1" t="s">
        <v>2817</v>
      </c>
      <c r="D167" s="1" t="s">
        <v>2830</v>
      </c>
      <c r="E167" s="1" t="s">
        <v>54</v>
      </c>
      <c r="F167" s="1" t="s">
        <v>88</v>
      </c>
      <c r="G167" s="1" t="s">
        <v>2836</v>
      </c>
      <c r="H167" s="1">
        <v>4551</v>
      </c>
      <c r="I167" s="1" t="s">
        <v>2837</v>
      </c>
      <c r="J167" s="1">
        <v>3001</v>
      </c>
      <c r="K167" s="1" t="s">
        <v>35</v>
      </c>
      <c r="L167" s="1">
        <v>47</v>
      </c>
      <c r="M167" s="1" t="str">
        <f>IF(L167&lt;=45,"Joven","Mayor")</f>
        <v>Mayor</v>
      </c>
      <c r="N167" s="1">
        <v>49</v>
      </c>
      <c r="O167" s="1" t="s">
        <v>36</v>
      </c>
      <c r="P167" s="1">
        <v>0.49399999999999999</v>
      </c>
      <c r="Q167" s="1">
        <v>87.213999999999999</v>
      </c>
      <c r="R167" s="1">
        <v>7.2418579999999997</v>
      </c>
      <c r="S167" s="1">
        <v>-3.7762696999999998</v>
      </c>
      <c r="T167" s="1">
        <v>-5.3884280000000002</v>
      </c>
      <c r="U167" s="1">
        <v>1.353</v>
      </c>
      <c r="V167" s="1">
        <v>67</v>
      </c>
      <c r="W167" s="1">
        <v>138</v>
      </c>
      <c r="X167" s="1">
        <v>2.0597014925373136</v>
      </c>
      <c r="Y167" s="1">
        <v>72</v>
      </c>
      <c r="Z167" s="1">
        <v>138</v>
      </c>
      <c r="AA167" s="1">
        <v>1.9166666666666667</v>
      </c>
      <c r="AB167" s="1">
        <v>70.366306029191264</v>
      </c>
      <c r="AC167" s="1">
        <v>138.14142918630429</v>
      </c>
      <c r="AD167" s="1">
        <v>1.9631758007731244</v>
      </c>
      <c r="AE167" t="s">
        <v>4817</v>
      </c>
      <c r="AF167" t="str">
        <f>IF(X167&lt;$AF$1,"Bajo","Alto")</f>
        <v>Alto</v>
      </c>
      <c r="AG167" t="str">
        <f>LEFT(AE167,1)</f>
        <v>C</v>
      </c>
      <c r="AH167" t="str">
        <f>K167</f>
        <v>M</v>
      </c>
      <c r="AI167" t="str">
        <f>LEFT(AF167,1)</f>
        <v>A</v>
      </c>
      <c r="AJ167" t="str">
        <f>LEFT(M167,1)</f>
        <v>M</v>
      </c>
      <c r="AK167" t="str">
        <f>_xlfn.CONCAT(AG167,AH167,AI167,AJ167)</f>
        <v>CMAM</v>
      </c>
    </row>
    <row r="168" spans="1:37" ht="15.75" hidden="1" customHeight="1" x14ac:dyDescent="0.2">
      <c r="A168" s="1">
        <v>247003</v>
      </c>
      <c r="B168" s="1" t="s">
        <v>1548</v>
      </c>
      <c r="C168" s="1" t="s">
        <v>1993</v>
      </c>
      <c r="D168" s="1" t="s">
        <v>3154</v>
      </c>
      <c r="E168" s="1" t="s">
        <v>720</v>
      </c>
      <c r="F168" s="1" t="s">
        <v>63</v>
      </c>
      <c r="G168" s="1" t="s">
        <v>3157</v>
      </c>
      <c r="H168" s="1">
        <v>280</v>
      </c>
      <c r="I168" s="1" t="s">
        <v>65</v>
      </c>
      <c r="J168" s="1">
        <v>2</v>
      </c>
      <c r="K168" s="1" t="s">
        <v>35</v>
      </c>
      <c r="L168" s="1">
        <v>41</v>
      </c>
      <c r="M168" s="1" t="str">
        <f>IF(L168&lt;=45,"Joven","Mayor")</f>
        <v>Joven</v>
      </c>
      <c r="N168" s="1">
        <v>31</v>
      </c>
      <c r="O168" s="1" t="s">
        <v>36</v>
      </c>
      <c r="P168" s="1">
        <v>0.53600000000000003</v>
      </c>
      <c r="Q168" s="1">
        <v>91.382999999999996</v>
      </c>
      <c r="R168" s="1">
        <v>4.4286799999999999</v>
      </c>
      <c r="S168" s="1">
        <v>-2.8775534999999999</v>
      </c>
      <c r="T168" s="1">
        <v>-3.8342272999999998</v>
      </c>
      <c r="U168" s="1">
        <v>7.1369999999999996</v>
      </c>
      <c r="V168" s="1">
        <v>101</v>
      </c>
      <c r="W168" s="1">
        <v>155</v>
      </c>
      <c r="X168" s="1">
        <v>1.5346534653465347</v>
      </c>
      <c r="Y168" s="1">
        <v>108</v>
      </c>
      <c r="Z168" s="1">
        <v>155</v>
      </c>
      <c r="AA168" s="1">
        <v>1.4351851851851851</v>
      </c>
      <c r="AB168" s="1">
        <v>105.41781515918549</v>
      </c>
      <c r="AC168" s="1">
        <v>154.92054325725081</v>
      </c>
      <c r="AD168" s="1">
        <v>1.4695859805414677</v>
      </c>
      <c r="AE168" t="s">
        <v>4817</v>
      </c>
      <c r="AF168" t="str">
        <f>IF(X168&lt;$AF$1,"Bajo","Alto")</f>
        <v>Bajo</v>
      </c>
      <c r="AG168" t="str">
        <f>LEFT(AE168,1)</f>
        <v>C</v>
      </c>
      <c r="AH168" t="str">
        <f>K168</f>
        <v>M</v>
      </c>
      <c r="AI168" t="str">
        <f>LEFT(AF168,1)</f>
        <v>B</v>
      </c>
      <c r="AJ168" t="str">
        <f>LEFT(M168,1)</f>
        <v>J</v>
      </c>
      <c r="AK168" t="str">
        <f>_xlfn.CONCAT(AG168,AH168,AI168,AJ168)</f>
        <v>CMBJ</v>
      </c>
    </row>
    <row r="169" spans="1:37" ht="15.75" hidden="1" customHeight="1" x14ac:dyDescent="0.2">
      <c r="A169" s="1">
        <v>284108</v>
      </c>
      <c r="B169" s="1" t="s">
        <v>1775</v>
      </c>
      <c r="C169" s="1" t="s">
        <v>561</v>
      </c>
      <c r="D169" s="1" t="s">
        <v>3854</v>
      </c>
      <c r="E169" s="1" t="s">
        <v>988</v>
      </c>
      <c r="F169" s="1" t="s">
        <v>46</v>
      </c>
      <c r="G169" s="1" t="s">
        <v>3862</v>
      </c>
      <c r="H169" s="1">
        <v>78</v>
      </c>
      <c r="I169" s="1" t="s">
        <v>93</v>
      </c>
      <c r="J169" s="1">
        <v>9</v>
      </c>
      <c r="K169" s="1" t="s">
        <v>35</v>
      </c>
      <c r="L169" s="1">
        <v>38</v>
      </c>
      <c r="M169" s="1" t="str">
        <f>IF(L169&lt;=45,"Joven","Mayor")</f>
        <v>Joven</v>
      </c>
      <c r="N169" s="1">
        <v>47</v>
      </c>
      <c r="O169" s="1" t="s">
        <v>36</v>
      </c>
      <c r="P169" s="1">
        <v>0.77700000000000002</v>
      </c>
      <c r="Q169" s="1">
        <v>92.498999999999995</v>
      </c>
      <c r="R169" s="1">
        <v>1.7991648</v>
      </c>
      <c r="S169" s="1">
        <v>6.0655080000000003</v>
      </c>
      <c r="T169" s="1">
        <v>2.669781</v>
      </c>
      <c r="U169" s="1">
        <v>0.76300000000000001</v>
      </c>
      <c r="V169" s="1">
        <v>112</v>
      </c>
      <c r="W169" s="1">
        <v>176</v>
      </c>
      <c r="X169" s="1">
        <v>1.5714285714285714</v>
      </c>
      <c r="Y169" s="1">
        <v>114</v>
      </c>
      <c r="Z169" s="1">
        <v>176</v>
      </c>
      <c r="AA169" s="1">
        <v>1.5438596491228069</v>
      </c>
      <c r="AB169" s="1">
        <v>114.3937319342733</v>
      </c>
      <c r="AC169" s="1">
        <v>176.04186429255611</v>
      </c>
      <c r="AD169" s="1">
        <v>1.5389118032594977</v>
      </c>
      <c r="AE169" t="s">
        <v>4815</v>
      </c>
      <c r="AF169" t="str">
        <f>IF(X169&lt;$AF$1,"Bajo","Alto")</f>
        <v>Bajo</v>
      </c>
      <c r="AG169" t="str">
        <f>LEFT(AE169,1)</f>
        <v>I</v>
      </c>
      <c r="AH169" t="str">
        <f>K169</f>
        <v>M</v>
      </c>
      <c r="AI169" t="str">
        <f>LEFT(AF169,1)</f>
        <v>B</v>
      </c>
      <c r="AJ169" t="str">
        <f>LEFT(M169,1)</f>
        <v>J</v>
      </c>
      <c r="AK169" t="str">
        <f>_xlfn.CONCAT(AG169,AH169,AI169,AJ169)</f>
        <v>IMBJ</v>
      </c>
    </row>
    <row r="170" spans="1:37" ht="15.75" hidden="1" customHeight="1" x14ac:dyDescent="0.2">
      <c r="A170" s="1">
        <v>133706</v>
      </c>
      <c r="B170" s="1" t="s">
        <v>956</v>
      </c>
      <c r="C170" s="1" t="s">
        <v>163</v>
      </c>
      <c r="D170" s="1" t="s">
        <v>2032</v>
      </c>
      <c r="E170" s="1" t="s">
        <v>647</v>
      </c>
      <c r="F170" s="1" t="s">
        <v>88</v>
      </c>
      <c r="G170" s="1" t="s">
        <v>2035</v>
      </c>
      <c r="H170" s="1">
        <v>22548</v>
      </c>
      <c r="I170" s="1" t="s">
        <v>2036</v>
      </c>
      <c r="J170" s="1">
        <v>2131</v>
      </c>
      <c r="K170" s="1" t="s">
        <v>49</v>
      </c>
      <c r="L170" s="1">
        <v>42</v>
      </c>
      <c r="M170" s="1" t="str">
        <f>IF(L170&lt;=45,"Joven","Mayor")</f>
        <v>Joven</v>
      </c>
      <c r="N170" s="1">
        <v>28</v>
      </c>
      <c r="O170" s="1" t="s">
        <v>50</v>
      </c>
      <c r="P170" s="1">
        <v>1.2889999999999999</v>
      </c>
      <c r="Q170" s="1">
        <v>91.522000000000006</v>
      </c>
      <c r="R170" s="1">
        <v>2.2311778000000002</v>
      </c>
      <c r="S170" s="1">
        <v>7.3331119999999999</v>
      </c>
      <c r="T170" s="1">
        <v>0.71482252999999996</v>
      </c>
      <c r="U170" s="1">
        <v>31.016999999999999</v>
      </c>
      <c r="V170" s="1">
        <v>78</v>
      </c>
      <c r="W170" s="1">
        <v>122</v>
      </c>
      <c r="X170" s="1">
        <v>1.5641025641025641</v>
      </c>
      <c r="Y170" s="1">
        <v>79</v>
      </c>
      <c r="Z170" s="1">
        <v>122</v>
      </c>
      <c r="AA170" s="1">
        <v>1.5443037974683544</v>
      </c>
      <c r="AB170" s="1">
        <v>79.38059805049943</v>
      </c>
      <c r="AC170" s="1">
        <v>121.9530783785904</v>
      </c>
      <c r="AD170" s="1">
        <v>1.536308384839929</v>
      </c>
      <c r="AE170" t="s">
        <v>4817</v>
      </c>
      <c r="AF170" t="str">
        <f>IF(X170&lt;$AF$1,"Bajo","Alto")</f>
        <v>Bajo</v>
      </c>
      <c r="AG170" t="str">
        <f>LEFT(AE170,1)</f>
        <v>C</v>
      </c>
      <c r="AH170" t="str">
        <f>K170</f>
        <v>F</v>
      </c>
      <c r="AI170" t="str">
        <f>LEFT(AF170,1)</f>
        <v>B</v>
      </c>
      <c r="AJ170" t="str">
        <f>LEFT(M170,1)</f>
        <v>J</v>
      </c>
      <c r="AK170" t="str">
        <f>_xlfn.CONCAT(AG170,AH170,AI170,AJ170)</f>
        <v>CFBJ</v>
      </c>
    </row>
    <row r="171" spans="1:37" ht="15.75" hidden="1" customHeight="1" x14ac:dyDescent="0.2">
      <c r="A171" s="1">
        <v>10710603</v>
      </c>
      <c r="B171" s="1" t="s">
        <v>1067</v>
      </c>
      <c r="C171" s="1" t="s">
        <v>1068</v>
      </c>
      <c r="D171" s="1" t="s">
        <v>1103</v>
      </c>
      <c r="E171" s="1" t="s">
        <v>95</v>
      </c>
      <c r="F171" s="1" t="s">
        <v>63</v>
      </c>
      <c r="G171" s="1" t="s">
        <v>1105</v>
      </c>
      <c r="H171" s="1">
        <v>989</v>
      </c>
      <c r="I171" s="1" t="s">
        <v>134</v>
      </c>
      <c r="J171" s="1">
        <v>8</v>
      </c>
      <c r="K171" s="1" t="s">
        <v>35</v>
      </c>
      <c r="L171" s="1">
        <v>40</v>
      </c>
      <c r="M171" s="1" t="str">
        <f>IF(L171&lt;=45,"Joven","Mayor")</f>
        <v>Joven</v>
      </c>
      <c r="N171" s="1">
        <v>37</v>
      </c>
      <c r="O171" s="1" t="s">
        <v>36</v>
      </c>
      <c r="P171" s="1">
        <v>0.56399999999999995</v>
      </c>
      <c r="Q171" s="1">
        <v>93.317999999999998</v>
      </c>
      <c r="R171" s="1">
        <v>-2.7088068000000001</v>
      </c>
      <c r="S171" s="1">
        <v>0.76553183999999996</v>
      </c>
      <c r="T171" s="1">
        <v>0.66172755000000005</v>
      </c>
      <c r="U171" s="1">
        <v>0.61499999999999999</v>
      </c>
      <c r="V171" s="1">
        <v>71</v>
      </c>
      <c r="W171" s="1">
        <v>109</v>
      </c>
      <c r="X171" s="1">
        <v>1.5352112676056338</v>
      </c>
      <c r="Y171" s="1">
        <v>72</v>
      </c>
      <c r="Z171" s="1">
        <v>109</v>
      </c>
      <c r="AA171" s="1">
        <v>1.5138888888888888</v>
      </c>
      <c r="AB171" s="1">
        <v>71.590980754010161</v>
      </c>
      <c r="AC171" s="1">
        <v>108.9696323594612</v>
      </c>
      <c r="AD171" s="1">
        <v>1.5221139759753506</v>
      </c>
      <c r="AE171" t="s">
        <v>4817</v>
      </c>
      <c r="AF171" t="str">
        <f>IF(X171&lt;$AF$1,"Bajo","Alto")</f>
        <v>Bajo</v>
      </c>
      <c r="AG171" t="str">
        <f>LEFT(AE171,1)</f>
        <v>C</v>
      </c>
      <c r="AH171" t="str">
        <f>K171</f>
        <v>M</v>
      </c>
      <c r="AI171" t="str">
        <f>LEFT(AF171,1)</f>
        <v>B</v>
      </c>
      <c r="AJ171" t="str">
        <f>LEFT(M171,1)</f>
        <v>J</v>
      </c>
      <c r="AK171" t="str">
        <f>_xlfn.CONCAT(AG171,AH171,AI171,AJ171)</f>
        <v>CMBJ</v>
      </c>
    </row>
    <row r="172" spans="1:37" ht="15.75" hidden="1" customHeight="1" x14ac:dyDescent="0.2">
      <c r="A172" s="1">
        <v>2830007</v>
      </c>
      <c r="B172" s="1" t="s">
        <v>1775</v>
      </c>
      <c r="C172" s="1" t="s">
        <v>561</v>
      </c>
      <c r="D172" s="1" t="s">
        <v>3836</v>
      </c>
      <c r="E172" s="1" t="s">
        <v>613</v>
      </c>
      <c r="F172" s="1" t="s">
        <v>43</v>
      </c>
      <c r="G172" s="1" t="s">
        <v>3840</v>
      </c>
      <c r="H172" s="1">
        <v>335</v>
      </c>
      <c r="I172" s="1" t="s">
        <v>48</v>
      </c>
      <c r="J172" s="1">
        <v>4</v>
      </c>
      <c r="K172" s="1" t="s">
        <v>35</v>
      </c>
      <c r="L172" s="1">
        <v>60</v>
      </c>
      <c r="M172" s="1" t="str">
        <f>IF(L172&lt;=45,"Joven","Mayor")</f>
        <v>Mayor</v>
      </c>
      <c r="N172" s="1">
        <v>66</v>
      </c>
      <c r="O172" s="1" t="s">
        <v>36</v>
      </c>
      <c r="P172" s="1">
        <v>0.28299999999999997</v>
      </c>
      <c r="Q172" s="1">
        <v>91.015000000000001</v>
      </c>
      <c r="R172" s="1">
        <v>3.1654656000000001</v>
      </c>
      <c r="S172" s="1">
        <v>7.3960140000000001</v>
      </c>
      <c r="T172" s="1">
        <v>0.70883640000000003</v>
      </c>
      <c r="U172" s="1">
        <v>1.623</v>
      </c>
      <c r="V172" s="1">
        <v>109</v>
      </c>
      <c r="W172" s="1">
        <v>165</v>
      </c>
      <c r="X172" s="1">
        <v>1.5137614678899083</v>
      </c>
      <c r="Y172" s="1">
        <v>111</v>
      </c>
      <c r="Z172" s="1">
        <v>165</v>
      </c>
      <c r="AA172" s="1">
        <v>1.4864864864864864</v>
      </c>
      <c r="AB172" s="1">
        <v>111.5110965358372</v>
      </c>
      <c r="AC172" s="1">
        <v>164.9502595054046</v>
      </c>
      <c r="AD172" s="1">
        <v>1.4792273112693608</v>
      </c>
      <c r="AE172" t="s">
        <v>4817</v>
      </c>
      <c r="AF172" t="str">
        <f>IF(X172&lt;$AF$1,"Bajo","Alto")</f>
        <v>Bajo</v>
      </c>
      <c r="AG172" t="str">
        <f>LEFT(AE172,1)</f>
        <v>C</v>
      </c>
      <c r="AH172" t="str">
        <f>K172</f>
        <v>M</v>
      </c>
      <c r="AI172" t="str">
        <f>LEFT(AF172,1)</f>
        <v>B</v>
      </c>
      <c r="AJ172" t="str">
        <f>LEFT(M172,1)</f>
        <v>M</v>
      </c>
      <c r="AK172" t="str">
        <f>_xlfn.CONCAT(AG172,AH172,AI172,AJ172)</f>
        <v>CMBM</v>
      </c>
    </row>
    <row r="173" spans="1:37" ht="15.75" hidden="1" customHeight="1" x14ac:dyDescent="0.2">
      <c r="A173" s="1">
        <v>600102</v>
      </c>
      <c r="B173" s="1" t="s">
        <v>4700</v>
      </c>
      <c r="C173" s="1" t="s">
        <v>1458</v>
      </c>
      <c r="D173" s="1" t="s">
        <v>4701</v>
      </c>
      <c r="E173" s="1" t="s">
        <v>32</v>
      </c>
      <c r="F173" s="1" t="s">
        <v>37</v>
      </c>
      <c r="G173" s="1" t="s">
        <v>4703</v>
      </c>
      <c r="H173" s="1">
        <v>2994</v>
      </c>
      <c r="I173" s="1" t="s">
        <v>39</v>
      </c>
      <c r="J173" s="1">
        <v>11</v>
      </c>
      <c r="K173" s="1" t="s">
        <v>35</v>
      </c>
      <c r="L173" s="1">
        <v>41</v>
      </c>
      <c r="M173" s="1" t="str">
        <f>IF(L173&lt;=45,"Joven","Mayor")</f>
        <v>Joven</v>
      </c>
      <c r="N173" s="1">
        <v>41</v>
      </c>
      <c r="O173" s="1" t="s">
        <v>36</v>
      </c>
      <c r="P173" s="1">
        <v>1.4999999999999999E-2</v>
      </c>
      <c r="Q173" s="1">
        <v>32.067999999999998</v>
      </c>
      <c r="R173" s="1">
        <v>-18.144117000000001</v>
      </c>
      <c r="S173" s="1">
        <v>-3.8345482</v>
      </c>
      <c r="T173" s="1">
        <v>-1.4761146999999999</v>
      </c>
      <c r="U173" s="1">
        <v>6.577</v>
      </c>
      <c r="V173" s="1">
        <v>89</v>
      </c>
      <c r="W173" s="1">
        <v>181</v>
      </c>
      <c r="X173" s="1">
        <v>2.0337078651685392</v>
      </c>
      <c r="Y173" s="1">
        <v>93</v>
      </c>
      <c r="Z173" s="1">
        <v>181</v>
      </c>
      <c r="AA173" s="1">
        <v>1.946236559139785</v>
      </c>
      <c r="AB173" s="1">
        <v>92.222091872141846</v>
      </c>
      <c r="AC173" s="1">
        <v>181.45513950900019</v>
      </c>
      <c r="AD173" s="1">
        <v>1.9675886311554551</v>
      </c>
      <c r="AE173" t="s">
        <v>4816</v>
      </c>
      <c r="AF173" t="str">
        <f>IF(X173&lt;$AF$1,"Bajo","Alto")</f>
        <v>Alto</v>
      </c>
      <c r="AG173" t="str">
        <f>LEFT(AE173,1)</f>
        <v>D</v>
      </c>
      <c r="AH173" t="str">
        <f>K173</f>
        <v>M</v>
      </c>
      <c r="AI173" t="str">
        <f>LEFT(AF173,1)</f>
        <v>A</v>
      </c>
      <c r="AJ173" t="str">
        <f>LEFT(M173,1)</f>
        <v>J</v>
      </c>
      <c r="AK173" t="str">
        <f>_xlfn.CONCAT(AG173,AH173,AI173,AJ173)</f>
        <v>DMAJ</v>
      </c>
    </row>
    <row r="174" spans="1:37" ht="15.75" hidden="1" customHeight="1" x14ac:dyDescent="0.2">
      <c r="A174" s="1">
        <v>315801</v>
      </c>
      <c r="B174" s="1" t="s">
        <v>4122</v>
      </c>
      <c r="C174" s="1" t="s">
        <v>628</v>
      </c>
      <c r="D174" s="1" t="s">
        <v>4236</v>
      </c>
      <c r="E174" s="1" t="s">
        <v>695</v>
      </c>
      <c r="F174" s="1" t="s">
        <v>32</v>
      </c>
      <c r="G174" s="1" t="s">
        <v>4237</v>
      </c>
      <c r="H174" s="1">
        <v>5966</v>
      </c>
      <c r="I174" s="1" t="s">
        <v>100</v>
      </c>
      <c r="J174" s="1">
        <v>1</v>
      </c>
      <c r="K174" s="1" t="s">
        <v>35</v>
      </c>
      <c r="L174" s="1">
        <v>36</v>
      </c>
      <c r="M174" s="1" t="str">
        <f>IF(L174&lt;=45,"Joven","Mayor")</f>
        <v>Joven</v>
      </c>
      <c r="N174" s="1">
        <v>36</v>
      </c>
      <c r="O174" s="1" t="s">
        <v>36</v>
      </c>
      <c r="P174" s="1">
        <v>4.8070000000000004</v>
      </c>
      <c r="Q174" s="1">
        <v>40.058999999999997</v>
      </c>
      <c r="R174" s="1">
        <v>-5.2339525</v>
      </c>
      <c r="S174" s="1">
        <v>-24.313465000000001</v>
      </c>
      <c r="T174" s="1">
        <v>5.8726250000000002</v>
      </c>
      <c r="U174" s="1">
        <v>3.1970000000000001</v>
      </c>
      <c r="V174" s="1">
        <v>87</v>
      </c>
      <c r="W174" s="1">
        <v>180</v>
      </c>
      <c r="X174" s="1">
        <v>2.0689655172413794</v>
      </c>
      <c r="Y174" s="1">
        <v>87</v>
      </c>
      <c r="Z174" s="1">
        <v>180</v>
      </c>
      <c r="AA174" s="1">
        <v>2.0689655172413794</v>
      </c>
      <c r="AB174" s="1">
        <v>90.226829804822728</v>
      </c>
      <c r="AC174" s="1">
        <v>177.11129874586501</v>
      </c>
      <c r="AD174" s="1">
        <v>1.9629560201659464</v>
      </c>
      <c r="AE174" t="s">
        <v>4817</v>
      </c>
      <c r="AF174" t="str">
        <f>IF(X174&lt;$AF$1,"Bajo","Alto")</f>
        <v>Alto</v>
      </c>
      <c r="AG174" t="str">
        <f>LEFT(AE174,1)</f>
        <v>C</v>
      </c>
      <c r="AH174" t="str">
        <f>K174</f>
        <v>M</v>
      </c>
      <c r="AI174" t="str">
        <f>LEFT(AF174,1)</f>
        <v>A</v>
      </c>
      <c r="AJ174" t="str">
        <f>LEFT(M174,1)</f>
        <v>J</v>
      </c>
      <c r="AK174" t="str">
        <f>_xlfn.CONCAT(AG174,AH174,AI174,AJ174)</f>
        <v>CMAJ</v>
      </c>
    </row>
    <row r="175" spans="1:37" ht="15.75" hidden="1" customHeight="1" x14ac:dyDescent="0.2">
      <c r="A175" s="1">
        <v>10116801</v>
      </c>
      <c r="B175" s="1" t="s">
        <v>29</v>
      </c>
      <c r="C175" s="1" t="s">
        <v>30</v>
      </c>
      <c r="D175" s="1" t="s">
        <v>271</v>
      </c>
      <c r="E175" s="1" t="s">
        <v>272</v>
      </c>
      <c r="F175" s="1" t="s">
        <v>32</v>
      </c>
      <c r="G175" s="1" t="s">
        <v>273</v>
      </c>
      <c r="H175" s="1">
        <v>3986</v>
      </c>
      <c r="I175" s="1" t="s">
        <v>100</v>
      </c>
      <c r="J175" s="1">
        <v>1</v>
      </c>
      <c r="K175" s="1" t="s">
        <v>35</v>
      </c>
      <c r="L175" s="1">
        <v>50</v>
      </c>
      <c r="M175" s="1" t="str">
        <f>IF(L175&lt;=45,"Joven","Mayor")</f>
        <v>Mayor</v>
      </c>
      <c r="N175" s="1">
        <v>33</v>
      </c>
      <c r="O175" s="1" t="s">
        <v>36</v>
      </c>
      <c r="P175" s="1">
        <v>9.9000000000000005E-2</v>
      </c>
      <c r="Q175" s="1">
        <v>3.2269999999999999</v>
      </c>
      <c r="R175" s="1">
        <v>23.96021</v>
      </c>
      <c r="S175" s="1">
        <v>0.76534659999999999</v>
      </c>
      <c r="T175" s="1">
        <v>-11.712961999999999</v>
      </c>
      <c r="U175" s="1">
        <v>2.4870000000000001</v>
      </c>
      <c r="V175" s="1">
        <v>93</v>
      </c>
      <c r="W175" s="1">
        <v>191</v>
      </c>
      <c r="X175" s="1">
        <v>2.053763440860215</v>
      </c>
      <c r="Y175" s="1">
        <v>110</v>
      </c>
      <c r="Z175" s="1">
        <v>191</v>
      </c>
      <c r="AA175" s="1">
        <v>1.7363636363636363</v>
      </c>
      <c r="AB175" s="1">
        <v>102.0259287881388</v>
      </c>
      <c r="AC175" s="1">
        <v>192.91004539474989</v>
      </c>
      <c r="AD175" s="1">
        <v>1.8907943077424547</v>
      </c>
      <c r="AE175" t="s">
        <v>4817</v>
      </c>
      <c r="AF175" t="str">
        <f>IF(X175&lt;$AF$1,"Bajo","Alto")</f>
        <v>Alto</v>
      </c>
      <c r="AG175" t="str">
        <f>LEFT(AE175,1)</f>
        <v>C</v>
      </c>
      <c r="AH175" t="str">
        <f>K175</f>
        <v>M</v>
      </c>
      <c r="AI175" t="str">
        <f>LEFT(AF175,1)</f>
        <v>A</v>
      </c>
      <c r="AJ175" t="str">
        <f>LEFT(M175,1)</f>
        <v>M</v>
      </c>
      <c r="AK175" t="str">
        <f>_xlfn.CONCAT(AG175,AH175,AI175,AJ175)</f>
        <v>CMAM</v>
      </c>
    </row>
    <row r="176" spans="1:37" ht="15.75" hidden="1" customHeight="1" x14ac:dyDescent="0.2">
      <c r="A176" s="1">
        <v>10119205</v>
      </c>
      <c r="B176" s="1" t="s">
        <v>29</v>
      </c>
      <c r="C176" s="1" t="s">
        <v>30</v>
      </c>
      <c r="D176" s="1" t="s">
        <v>335</v>
      </c>
      <c r="E176" s="1" t="s">
        <v>336</v>
      </c>
      <c r="F176" s="1" t="s">
        <v>40</v>
      </c>
      <c r="G176" s="1" t="s">
        <v>339</v>
      </c>
      <c r="H176" s="1">
        <v>6507</v>
      </c>
      <c r="I176" s="1" t="s">
        <v>340</v>
      </c>
      <c r="J176" s="1">
        <v>2709</v>
      </c>
      <c r="K176" s="1" t="s">
        <v>35</v>
      </c>
      <c r="L176" s="1">
        <v>57</v>
      </c>
      <c r="M176" s="1" t="str">
        <f>IF(L176&lt;=45,"Joven","Mayor")</f>
        <v>Mayor</v>
      </c>
      <c r="N176" s="1">
        <v>60</v>
      </c>
      <c r="O176" s="1" t="s">
        <v>36</v>
      </c>
      <c r="P176" s="1">
        <v>0.29299999999999998</v>
      </c>
      <c r="Q176" s="1">
        <v>90.403000000000006</v>
      </c>
      <c r="R176" s="1">
        <v>5.8113913999999998</v>
      </c>
      <c r="S176" s="1">
        <v>1.0093824</v>
      </c>
      <c r="T176" s="1">
        <v>17.973223000000001</v>
      </c>
      <c r="U176" s="1">
        <v>7.5060000000000002</v>
      </c>
      <c r="V176" s="1">
        <v>84</v>
      </c>
      <c r="W176" s="1">
        <v>172</v>
      </c>
      <c r="X176" s="1">
        <v>2.0476190476190474</v>
      </c>
      <c r="Y176" s="1">
        <v>108</v>
      </c>
      <c r="Z176" s="1">
        <v>172</v>
      </c>
      <c r="AA176" s="1">
        <v>1.5925925925925926</v>
      </c>
      <c r="AB176" s="1">
        <v>102.1180888586796</v>
      </c>
      <c r="AC176" s="1">
        <v>175.94944234867489</v>
      </c>
      <c r="AD176" s="1">
        <v>1.7229997575862384</v>
      </c>
      <c r="AE176" t="s">
        <v>4817</v>
      </c>
      <c r="AF176" t="str">
        <f>IF(X176&lt;$AF$1,"Bajo","Alto")</f>
        <v>Alto</v>
      </c>
      <c r="AG176" t="str">
        <f>LEFT(AE176,1)</f>
        <v>C</v>
      </c>
      <c r="AH176" t="str">
        <f>K176</f>
        <v>M</v>
      </c>
      <c r="AI176" t="str">
        <f>LEFT(AF176,1)</f>
        <v>A</v>
      </c>
      <c r="AJ176" t="str">
        <f>LEFT(M176,1)</f>
        <v>M</v>
      </c>
      <c r="AK176" t="str">
        <f>_xlfn.CONCAT(AG176,AH176,AI176,AJ176)</f>
        <v>CMAM</v>
      </c>
    </row>
    <row r="177" spans="1:37" ht="15.75" hidden="1" customHeight="1" x14ac:dyDescent="0.2">
      <c r="A177" s="1">
        <v>1059511</v>
      </c>
      <c r="B177" s="1" t="s">
        <v>694</v>
      </c>
      <c r="C177" s="1" t="s">
        <v>879</v>
      </c>
      <c r="D177" s="1" t="s">
        <v>1055</v>
      </c>
      <c r="E177" s="1" t="s">
        <v>1056</v>
      </c>
      <c r="F177" s="1" t="s">
        <v>51</v>
      </c>
      <c r="G177" s="1" t="s">
        <v>1057</v>
      </c>
      <c r="H177" s="1">
        <v>5786</v>
      </c>
      <c r="I177" s="1" t="s">
        <v>100</v>
      </c>
      <c r="J177" s="1">
        <v>1</v>
      </c>
      <c r="K177" s="1" t="s">
        <v>35</v>
      </c>
      <c r="L177" s="1">
        <v>46</v>
      </c>
      <c r="M177" s="1" t="str">
        <f>IF(L177&lt;=45,"Joven","Mayor")</f>
        <v>Mayor</v>
      </c>
      <c r="N177" s="1">
        <v>36</v>
      </c>
      <c r="O177" s="1" t="s">
        <v>36</v>
      </c>
      <c r="P177" s="1">
        <v>0.38300000000000001</v>
      </c>
      <c r="Q177" s="1">
        <v>69.191000000000003</v>
      </c>
      <c r="R177" s="1">
        <v>12.746117</v>
      </c>
      <c r="S177" s="1">
        <v>-4.2304807000000002</v>
      </c>
      <c r="T177" s="1">
        <v>-8.5132320000000004</v>
      </c>
      <c r="U177" s="1">
        <v>20.837</v>
      </c>
      <c r="V177" s="1">
        <v>86</v>
      </c>
      <c r="W177" s="1">
        <v>176</v>
      </c>
      <c r="X177" s="1">
        <v>2.0465116279069768</v>
      </c>
      <c r="Y177" s="1">
        <v>97</v>
      </c>
      <c r="Z177" s="1">
        <v>176</v>
      </c>
      <c r="AA177" s="1">
        <v>1.8144329896907216</v>
      </c>
      <c r="AB177" s="1">
        <v>92.306279147174791</v>
      </c>
      <c r="AC177" s="1">
        <v>175.83723322963621</v>
      </c>
      <c r="AD177" s="1">
        <v>1.9049325230548853</v>
      </c>
      <c r="AE177" t="s">
        <v>4817</v>
      </c>
      <c r="AF177" t="str">
        <f>IF(X177&lt;$AF$1,"Bajo","Alto")</f>
        <v>Alto</v>
      </c>
      <c r="AG177" t="str">
        <f>LEFT(AE177,1)</f>
        <v>C</v>
      </c>
      <c r="AH177" t="str">
        <f>K177</f>
        <v>M</v>
      </c>
      <c r="AI177" t="str">
        <f>LEFT(AF177,1)</f>
        <v>A</v>
      </c>
      <c r="AJ177" t="str">
        <f>LEFT(M177,1)</f>
        <v>M</v>
      </c>
      <c r="AK177" t="str">
        <f>_xlfn.CONCAT(AG177,AH177,AI177,AJ177)</f>
        <v>CMAM</v>
      </c>
    </row>
    <row r="178" spans="1:37" ht="15.75" hidden="1" customHeight="1" x14ac:dyDescent="0.2">
      <c r="A178" s="1">
        <v>251902</v>
      </c>
      <c r="B178" s="1" t="s">
        <v>3169</v>
      </c>
      <c r="C178" s="1" t="s">
        <v>821</v>
      </c>
      <c r="D178" s="1" t="s">
        <v>3206</v>
      </c>
      <c r="E178" s="1" t="s">
        <v>323</v>
      </c>
      <c r="F178" s="1" t="s">
        <v>37</v>
      </c>
      <c r="G178" s="1" t="s">
        <v>3207</v>
      </c>
      <c r="H178" s="1">
        <v>2957</v>
      </c>
      <c r="I178" s="1" t="s">
        <v>65</v>
      </c>
      <c r="J178" s="1">
        <v>2</v>
      </c>
      <c r="K178" s="1" t="s">
        <v>35</v>
      </c>
      <c r="L178" s="1">
        <v>33</v>
      </c>
      <c r="M178" s="1" t="str">
        <f>IF(L178&lt;=45,"Joven","Mayor")</f>
        <v>Joven</v>
      </c>
      <c r="N178" s="1">
        <v>25</v>
      </c>
      <c r="O178" s="1" t="s">
        <v>36</v>
      </c>
      <c r="P178" s="1">
        <v>0.372</v>
      </c>
      <c r="Q178" s="1">
        <v>79.545000000000002</v>
      </c>
      <c r="R178" s="1">
        <v>-10.654313999999999</v>
      </c>
      <c r="S178" s="1">
        <v>1.8951298999999999</v>
      </c>
      <c r="T178" s="1">
        <v>20.445906000000001</v>
      </c>
      <c r="U178" s="1">
        <v>4.6520000000000001</v>
      </c>
      <c r="V178" s="1">
        <v>102</v>
      </c>
      <c r="W178" s="1">
        <v>211</v>
      </c>
      <c r="X178" s="1">
        <v>2.0686274509803924</v>
      </c>
      <c r="Y178" s="1">
        <v>134</v>
      </c>
      <c r="Z178" s="1">
        <v>211</v>
      </c>
      <c r="AA178" s="1">
        <v>1.5746268656716418</v>
      </c>
      <c r="AB178" s="1">
        <v>125.6160147594142</v>
      </c>
      <c r="AC178" s="1">
        <v>218.6668820457289</v>
      </c>
      <c r="AD178" s="1">
        <v>1.7407564032701577</v>
      </c>
      <c r="AE178" t="s">
        <v>4817</v>
      </c>
      <c r="AF178" t="str">
        <f>IF(X178&lt;$AF$1,"Bajo","Alto")</f>
        <v>Alto</v>
      </c>
      <c r="AG178" t="str">
        <f>LEFT(AE178,1)</f>
        <v>C</v>
      </c>
      <c r="AH178" t="str">
        <f>K178</f>
        <v>M</v>
      </c>
      <c r="AI178" t="str">
        <f>LEFT(AF178,1)</f>
        <v>A</v>
      </c>
      <c r="AJ178" t="str">
        <f>LEFT(M178,1)</f>
        <v>J</v>
      </c>
      <c r="AK178" t="str">
        <f>_xlfn.CONCAT(AG178,AH178,AI178,AJ178)</f>
        <v>CMAJ</v>
      </c>
    </row>
    <row r="179" spans="1:37" ht="15.75" hidden="1" customHeight="1" x14ac:dyDescent="0.2">
      <c r="A179" s="1">
        <v>440202</v>
      </c>
      <c r="B179" s="1" t="s">
        <v>4314</v>
      </c>
      <c r="C179" s="1" t="s">
        <v>995</v>
      </c>
      <c r="D179" s="1" t="s">
        <v>3420</v>
      </c>
      <c r="E179" s="1" t="s">
        <v>37</v>
      </c>
      <c r="F179" s="1" t="s">
        <v>37</v>
      </c>
      <c r="G179" s="1" t="s">
        <v>4319</v>
      </c>
      <c r="H179" s="1">
        <v>13</v>
      </c>
      <c r="I179" s="1" t="s">
        <v>42</v>
      </c>
      <c r="J179" s="1">
        <v>15</v>
      </c>
      <c r="K179" s="1" t="s">
        <v>35</v>
      </c>
      <c r="L179" s="1">
        <v>49</v>
      </c>
      <c r="M179" s="1" t="str">
        <f>IF(L179&lt;=45,"Joven","Mayor")</f>
        <v>Mayor</v>
      </c>
      <c r="N179" s="1">
        <v>55</v>
      </c>
      <c r="O179" s="1" t="s">
        <v>36</v>
      </c>
      <c r="P179" s="1">
        <v>8.2000000000000003E-2</v>
      </c>
      <c r="Q179" s="1">
        <v>90.861999999999995</v>
      </c>
      <c r="R179" s="1">
        <v>5.5687838000000003</v>
      </c>
      <c r="S179" s="1">
        <v>-0.64581569999999999</v>
      </c>
      <c r="T179" s="1">
        <v>0.91563570000000005</v>
      </c>
      <c r="U179" s="1">
        <v>4.1020000000000003</v>
      </c>
      <c r="V179" s="1">
        <v>130</v>
      </c>
      <c r="W179" s="1">
        <v>197</v>
      </c>
      <c r="X179" s="1">
        <v>1.5153846153846153</v>
      </c>
      <c r="Y179" s="1">
        <v>138</v>
      </c>
      <c r="Z179" s="1">
        <v>197</v>
      </c>
      <c r="AA179" s="1">
        <v>1.4275362318840579</v>
      </c>
      <c r="AB179" s="1">
        <v>137.29523098327971</v>
      </c>
      <c r="AC179" s="1">
        <v>197.16660696579771</v>
      </c>
      <c r="AD179" s="1">
        <v>1.4360776084772335</v>
      </c>
      <c r="AE179" t="s">
        <v>4817</v>
      </c>
      <c r="AF179" t="str">
        <f>IF(X179&lt;$AF$1,"Bajo","Alto")</f>
        <v>Bajo</v>
      </c>
      <c r="AG179" t="str">
        <f>LEFT(AE179,1)</f>
        <v>C</v>
      </c>
      <c r="AH179" t="str">
        <f>K179</f>
        <v>M</v>
      </c>
      <c r="AI179" t="str">
        <f>LEFT(AF179,1)</f>
        <v>B</v>
      </c>
      <c r="AJ179" t="str">
        <f>LEFT(M179,1)</f>
        <v>M</v>
      </c>
      <c r="AK179" t="str">
        <f>_xlfn.CONCAT(AG179,AH179,AI179,AJ179)</f>
        <v>CMBM</v>
      </c>
    </row>
    <row r="180" spans="1:37" ht="15.75" hidden="1" customHeight="1" x14ac:dyDescent="0.2">
      <c r="A180" s="1">
        <v>1033708</v>
      </c>
      <c r="B180" s="1" t="s">
        <v>783</v>
      </c>
      <c r="C180" s="1" t="s">
        <v>81</v>
      </c>
      <c r="D180" s="1" t="s">
        <v>835</v>
      </c>
      <c r="E180" s="1" t="s">
        <v>647</v>
      </c>
      <c r="F180" s="1" t="s">
        <v>46</v>
      </c>
      <c r="G180" s="1" t="s">
        <v>838</v>
      </c>
      <c r="H180" s="1">
        <v>10613</v>
      </c>
      <c r="I180" s="1" t="s">
        <v>134</v>
      </c>
      <c r="J180" s="1">
        <v>8</v>
      </c>
      <c r="K180" s="1" t="s">
        <v>35</v>
      </c>
      <c r="L180" s="1">
        <v>52</v>
      </c>
      <c r="M180" s="1" t="str">
        <f>IF(L180&lt;=45,"Joven","Mayor")</f>
        <v>Mayor</v>
      </c>
      <c r="N180" s="1">
        <v>48</v>
      </c>
      <c r="O180" s="1" t="s">
        <v>36</v>
      </c>
      <c r="P180" s="1">
        <v>0.35699999999999998</v>
      </c>
      <c r="Q180" s="1">
        <v>87.269000000000005</v>
      </c>
      <c r="R180" s="1">
        <v>7.8839563999999998</v>
      </c>
      <c r="S180" s="1">
        <v>0.52972215</v>
      </c>
      <c r="T180" s="1">
        <v>-7.4885954999999997</v>
      </c>
      <c r="U180" s="1">
        <v>4.2069999999999999</v>
      </c>
      <c r="V180" s="1">
        <v>70</v>
      </c>
      <c r="W180" s="1">
        <v>143</v>
      </c>
      <c r="X180" s="1">
        <v>2.0428571428571427</v>
      </c>
      <c r="Y180" s="1">
        <v>75</v>
      </c>
      <c r="Z180" s="1">
        <v>143</v>
      </c>
      <c r="AA180" s="1">
        <v>1.9066666666666667</v>
      </c>
      <c r="AB180" s="1">
        <v>75.137426815001163</v>
      </c>
      <c r="AC180" s="1">
        <v>142.30164299743859</v>
      </c>
      <c r="AD180" s="1">
        <v>1.8938849655818679</v>
      </c>
      <c r="AE180" t="s">
        <v>4817</v>
      </c>
      <c r="AF180" t="str">
        <f>IF(X180&lt;$AF$1,"Bajo","Alto")</f>
        <v>Alto</v>
      </c>
      <c r="AG180" t="str">
        <f>LEFT(AE180,1)</f>
        <v>C</v>
      </c>
      <c r="AH180" t="str">
        <f>K180</f>
        <v>M</v>
      </c>
      <c r="AI180" t="str">
        <f>LEFT(AF180,1)</f>
        <v>A</v>
      </c>
      <c r="AJ180" t="str">
        <f>LEFT(M180,1)</f>
        <v>M</v>
      </c>
      <c r="AK180" t="str">
        <f>_xlfn.CONCAT(AG180,AH180,AI180,AJ180)</f>
        <v>CMAM</v>
      </c>
    </row>
    <row r="181" spans="1:37" ht="15.75" hidden="1" customHeight="1" x14ac:dyDescent="0.2">
      <c r="A181" s="1">
        <v>116411</v>
      </c>
      <c r="B181" s="1" t="s">
        <v>1648</v>
      </c>
      <c r="C181" s="1" t="s">
        <v>51</v>
      </c>
      <c r="D181" s="1" t="s">
        <v>1742</v>
      </c>
      <c r="E181" s="1" t="s">
        <v>710</v>
      </c>
      <c r="F181" s="1" t="s">
        <v>51</v>
      </c>
      <c r="G181" s="1" t="s">
        <v>1748</v>
      </c>
      <c r="H181" s="1">
        <v>492</v>
      </c>
      <c r="I181" s="1" t="s">
        <v>1749</v>
      </c>
      <c r="J181" s="1">
        <v>1828</v>
      </c>
      <c r="K181" s="1" t="s">
        <v>35</v>
      </c>
      <c r="L181" s="1">
        <v>56</v>
      </c>
      <c r="M181" s="1" t="str">
        <f>IF(L181&lt;=45,"Joven","Mayor")</f>
        <v>Mayor</v>
      </c>
      <c r="N181" s="1">
        <v>46</v>
      </c>
      <c r="O181" s="1" t="s">
        <v>36</v>
      </c>
      <c r="P181" s="1">
        <v>0.47199999999999998</v>
      </c>
      <c r="Q181" s="1">
        <v>91.302000000000007</v>
      </c>
      <c r="R181" s="1">
        <v>4.3205730000000004</v>
      </c>
      <c r="S181" s="1">
        <v>3.5749664000000001</v>
      </c>
      <c r="T181" s="1">
        <v>-4.4185739999999996</v>
      </c>
      <c r="U181" s="1">
        <v>2.5939999999999999</v>
      </c>
      <c r="V181" s="1">
        <v>72</v>
      </c>
      <c r="W181" s="1">
        <v>147</v>
      </c>
      <c r="X181" s="1">
        <v>2.0416666666666665</v>
      </c>
      <c r="Y181" s="1">
        <v>73</v>
      </c>
      <c r="Z181" s="1">
        <v>147</v>
      </c>
      <c r="AA181" s="1">
        <v>2.0136986301369864</v>
      </c>
      <c r="AB181" s="1">
        <v>75.633594642004482</v>
      </c>
      <c r="AC181" s="1">
        <v>146.4090064086104</v>
      </c>
      <c r="AD181" s="1">
        <v>1.9357668652614788</v>
      </c>
      <c r="AE181" t="s">
        <v>4817</v>
      </c>
      <c r="AF181" t="str">
        <f>IF(X181&lt;$AF$1,"Bajo","Alto")</f>
        <v>Alto</v>
      </c>
      <c r="AG181" t="str">
        <f>LEFT(AE181,1)</f>
        <v>C</v>
      </c>
      <c r="AH181" t="str">
        <f>K181</f>
        <v>M</v>
      </c>
      <c r="AI181" t="str">
        <f>LEFT(AF181,1)</f>
        <v>A</v>
      </c>
      <c r="AJ181" t="str">
        <f>LEFT(M181,1)</f>
        <v>M</v>
      </c>
      <c r="AK181" t="str">
        <f>_xlfn.CONCAT(AG181,AH181,AI181,AJ181)</f>
        <v>CMAM</v>
      </c>
    </row>
    <row r="182" spans="1:37" ht="15.75" hidden="1" customHeight="1" x14ac:dyDescent="0.2">
      <c r="A182" s="1">
        <v>173201</v>
      </c>
      <c r="B182" s="1" t="s">
        <v>2551</v>
      </c>
      <c r="C182" s="1" t="s">
        <v>2552</v>
      </c>
      <c r="D182" s="1" t="s">
        <v>2626</v>
      </c>
      <c r="E182" s="1" t="s">
        <v>2019</v>
      </c>
      <c r="F182" s="1" t="s">
        <v>32</v>
      </c>
      <c r="G182" s="1" t="s">
        <v>2627</v>
      </c>
      <c r="H182" s="1">
        <v>1522</v>
      </c>
      <c r="I182" s="1" t="s">
        <v>100</v>
      </c>
      <c r="J182" s="1">
        <v>1</v>
      </c>
      <c r="K182" s="1" t="s">
        <v>35</v>
      </c>
      <c r="L182" s="1">
        <v>53</v>
      </c>
      <c r="M182" s="1" t="str">
        <f>IF(L182&lt;=45,"Joven","Mayor")</f>
        <v>Mayor</v>
      </c>
      <c r="N182" s="1">
        <v>53</v>
      </c>
      <c r="O182" s="1" t="s">
        <v>36</v>
      </c>
      <c r="P182" s="1">
        <v>0.111</v>
      </c>
      <c r="Q182" s="1">
        <v>85.147999999999996</v>
      </c>
      <c r="R182" s="1">
        <v>-8.3674040000000005</v>
      </c>
      <c r="S182" s="1">
        <v>3.7240787000000002</v>
      </c>
      <c r="T182" s="1">
        <v>-1.4077283</v>
      </c>
      <c r="U182" s="1">
        <v>8.2040000000000006</v>
      </c>
      <c r="V182" s="1">
        <v>110</v>
      </c>
      <c r="W182" s="1">
        <v>167</v>
      </c>
      <c r="X182" s="1">
        <v>1.5181818181818181</v>
      </c>
      <c r="Y182" s="1">
        <v>113</v>
      </c>
      <c r="Z182" s="1">
        <v>167</v>
      </c>
      <c r="AA182" s="1">
        <v>1.4778761061946903</v>
      </c>
      <c r="AB182" s="1">
        <v>112.0323480902816</v>
      </c>
      <c r="AC182" s="1">
        <v>167.19526714289441</v>
      </c>
      <c r="AD182" s="1">
        <v>1.4923838515654391</v>
      </c>
      <c r="AE182" t="s">
        <v>4817</v>
      </c>
      <c r="AF182" t="str">
        <f>IF(X182&lt;$AF$1,"Bajo","Alto")</f>
        <v>Bajo</v>
      </c>
      <c r="AG182" t="str">
        <f>LEFT(AE182,1)</f>
        <v>C</v>
      </c>
      <c r="AH182" t="str">
        <f>K182</f>
        <v>M</v>
      </c>
      <c r="AI182" t="str">
        <f>LEFT(AF182,1)</f>
        <v>B</v>
      </c>
      <c r="AJ182" t="str">
        <f>LEFT(M182,1)</f>
        <v>M</v>
      </c>
      <c r="AK182" t="str">
        <f>_xlfn.CONCAT(AG182,AH182,AI182,AJ182)</f>
        <v>CMBM</v>
      </c>
    </row>
    <row r="183" spans="1:37" ht="15.75" hidden="1" customHeight="1" x14ac:dyDescent="0.2">
      <c r="A183" s="1">
        <v>2712001</v>
      </c>
      <c r="B183" s="1" t="s">
        <v>3409</v>
      </c>
      <c r="C183" s="1" t="s">
        <v>973</v>
      </c>
      <c r="D183" s="1" t="s">
        <v>3459</v>
      </c>
      <c r="E183" s="1" t="s">
        <v>1564</v>
      </c>
      <c r="F183" s="1" t="s">
        <v>32</v>
      </c>
      <c r="G183" s="1" t="s">
        <v>3460</v>
      </c>
      <c r="H183" s="1">
        <v>184</v>
      </c>
      <c r="I183" s="1" t="s">
        <v>65</v>
      </c>
      <c r="J183" s="1">
        <v>2</v>
      </c>
      <c r="K183" s="1" t="s">
        <v>35</v>
      </c>
      <c r="L183" s="1">
        <v>44</v>
      </c>
      <c r="M183" s="1" t="str">
        <f>IF(L183&lt;=45,"Joven","Mayor")</f>
        <v>Joven</v>
      </c>
      <c r="N183" s="1">
        <v>49</v>
      </c>
      <c r="O183" s="1" t="s">
        <v>36</v>
      </c>
      <c r="P183" s="1">
        <v>4.2999999999999997E-2</v>
      </c>
      <c r="Q183" s="1">
        <v>92.837999999999994</v>
      </c>
      <c r="R183" s="1">
        <v>3.5996904000000001</v>
      </c>
      <c r="S183" s="1">
        <v>-0.52026660000000002</v>
      </c>
      <c r="T183" s="1">
        <v>2.1141412000000002</v>
      </c>
      <c r="U183" s="1">
        <v>0.97499999999999998</v>
      </c>
      <c r="V183" s="1">
        <v>112</v>
      </c>
      <c r="W183" s="1">
        <v>172</v>
      </c>
      <c r="X183" s="1">
        <v>1.5357142857142858</v>
      </c>
      <c r="Y183" s="1">
        <v>115</v>
      </c>
      <c r="Z183" s="1">
        <v>172</v>
      </c>
      <c r="AA183" s="1">
        <v>1.4956521739130435</v>
      </c>
      <c r="AB183" s="1">
        <v>113.8051717291778</v>
      </c>
      <c r="AC183" s="1">
        <v>171.846032565451</v>
      </c>
      <c r="AD183" s="1">
        <v>1.5100019617244904</v>
      </c>
      <c r="AE183" t="s">
        <v>4817</v>
      </c>
      <c r="AF183" t="str">
        <f>IF(X183&lt;$AF$1,"Bajo","Alto")</f>
        <v>Bajo</v>
      </c>
      <c r="AG183" t="str">
        <f>LEFT(AE183,1)</f>
        <v>C</v>
      </c>
      <c r="AH183" t="str">
        <f>K183</f>
        <v>M</v>
      </c>
      <c r="AI183" t="str">
        <f>LEFT(AF183,1)</f>
        <v>B</v>
      </c>
      <c r="AJ183" t="str">
        <f>LEFT(M183,1)</f>
        <v>J</v>
      </c>
      <c r="AK183" t="str">
        <f>_xlfn.CONCAT(AG183,AH183,AI183,AJ183)</f>
        <v>CMBJ</v>
      </c>
    </row>
    <row r="184" spans="1:37" ht="15.75" hidden="1" customHeight="1" x14ac:dyDescent="0.2">
      <c r="A184" s="1">
        <v>10127102</v>
      </c>
      <c r="B184" s="1" t="s">
        <v>29</v>
      </c>
      <c r="C184" s="1" t="s">
        <v>30</v>
      </c>
      <c r="D184" s="1" t="s">
        <v>545</v>
      </c>
      <c r="E184" s="1" t="s">
        <v>546</v>
      </c>
      <c r="F184" s="1" t="s">
        <v>37</v>
      </c>
      <c r="G184" s="1" t="s">
        <v>547</v>
      </c>
      <c r="H184" s="1">
        <v>1962</v>
      </c>
      <c r="I184" s="1" t="s">
        <v>548</v>
      </c>
      <c r="J184" s="1">
        <v>3030</v>
      </c>
      <c r="K184" s="1" t="s">
        <v>35</v>
      </c>
      <c r="L184" s="1">
        <v>57</v>
      </c>
      <c r="M184" s="1" t="str">
        <f>IF(L184&lt;=45,"Joven","Mayor")</f>
        <v>Mayor</v>
      </c>
      <c r="N184" s="1">
        <v>59</v>
      </c>
      <c r="O184" s="1" t="s">
        <v>36</v>
      </c>
      <c r="P184" s="1">
        <v>0.41299999999999998</v>
      </c>
      <c r="Q184" s="1">
        <v>39.097000000000001</v>
      </c>
      <c r="R184" s="1">
        <v>15.707153</v>
      </c>
      <c r="S184" s="1">
        <v>-13.145303999999999</v>
      </c>
      <c r="T184" s="1">
        <v>-11.969808</v>
      </c>
      <c r="U184" s="1">
        <v>1.655</v>
      </c>
      <c r="V184" s="1">
        <v>109</v>
      </c>
      <c r="W184" s="1">
        <v>222</v>
      </c>
      <c r="X184" s="1">
        <v>2.0366972477064218</v>
      </c>
      <c r="Y184" s="1">
        <v>124</v>
      </c>
      <c r="Z184" s="1">
        <v>222</v>
      </c>
      <c r="AA184" s="1">
        <v>1.7903225806451613</v>
      </c>
      <c r="AB184" s="1">
        <v>120.1107703841158</v>
      </c>
      <c r="AC184" s="1">
        <v>220.90619140806851</v>
      </c>
      <c r="AD184" s="1">
        <v>1.8391871994626932</v>
      </c>
      <c r="AE184" t="s">
        <v>4817</v>
      </c>
      <c r="AF184" t="str">
        <f>IF(X184&lt;$AF$1,"Bajo","Alto")</f>
        <v>Alto</v>
      </c>
      <c r="AG184" t="str">
        <f>LEFT(AE184,1)</f>
        <v>C</v>
      </c>
      <c r="AH184" t="str">
        <f>K184</f>
        <v>M</v>
      </c>
      <c r="AI184" t="str">
        <f>LEFT(AF184,1)</f>
        <v>A</v>
      </c>
      <c r="AJ184" t="str">
        <f>LEFT(M184,1)</f>
        <v>M</v>
      </c>
      <c r="AK184" t="str">
        <f>_xlfn.CONCAT(AG184,AH184,AI184,AJ184)</f>
        <v>CMAM</v>
      </c>
    </row>
    <row r="185" spans="1:37" ht="15.75" hidden="1" customHeight="1" x14ac:dyDescent="0.2">
      <c r="A185" s="1">
        <v>10119606</v>
      </c>
      <c r="B185" s="1" t="s">
        <v>29</v>
      </c>
      <c r="C185" s="1" t="s">
        <v>30</v>
      </c>
      <c r="D185" s="1" t="s">
        <v>345</v>
      </c>
      <c r="E185" s="1" t="s">
        <v>346</v>
      </c>
      <c r="F185" s="1" t="s">
        <v>88</v>
      </c>
      <c r="G185" s="1" t="s">
        <v>352</v>
      </c>
      <c r="H185" s="1">
        <v>3239</v>
      </c>
      <c r="I185" s="1" t="s">
        <v>353</v>
      </c>
      <c r="J185" s="1">
        <v>511</v>
      </c>
      <c r="K185" s="1" t="s">
        <v>35</v>
      </c>
      <c r="L185" s="1">
        <v>49</v>
      </c>
      <c r="M185" s="1" t="str">
        <f>IF(L185&lt;=45,"Joven","Mayor")</f>
        <v>Mayor</v>
      </c>
      <c r="N185" s="1">
        <v>52</v>
      </c>
      <c r="O185" s="1" t="s">
        <v>36</v>
      </c>
      <c r="P185" s="1">
        <v>16.649000000000001</v>
      </c>
      <c r="Q185" s="1">
        <v>82.072999999999993</v>
      </c>
      <c r="R185" s="1">
        <v>2.1207522999999999</v>
      </c>
      <c r="S185" s="1">
        <v>-9.5492640000000009</v>
      </c>
      <c r="T185" s="1">
        <v>2.9816525</v>
      </c>
      <c r="U185" s="1">
        <v>1.2350000000000001</v>
      </c>
      <c r="V185" s="1">
        <v>91</v>
      </c>
      <c r="W185" s="1">
        <v>185</v>
      </c>
      <c r="X185" s="1">
        <v>2.0329670329670328</v>
      </c>
      <c r="Y185" s="1">
        <v>94</v>
      </c>
      <c r="Z185" s="1">
        <v>185</v>
      </c>
      <c r="AA185" s="1">
        <v>1.9680851063829787</v>
      </c>
      <c r="AB185" s="1">
        <v>93.4256003332207</v>
      </c>
      <c r="AC185" s="1">
        <v>184.95761958997349</v>
      </c>
      <c r="AD185" s="1">
        <v>1.9797316680897519</v>
      </c>
      <c r="AE185" t="s">
        <v>4817</v>
      </c>
      <c r="AF185" t="str">
        <f>IF(X185&lt;$AF$1,"Bajo","Alto")</f>
        <v>Alto</v>
      </c>
      <c r="AG185" t="str">
        <f>LEFT(AE185,1)</f>
        <v>C</v>
      </c>
      <c r="AH185" t="str">
        <f>K185</f>
        <v>M</v>
      </c>
      <c r="AI185" t="str">
        <f>LEFT(AF185,1)</f>
        <v>A</v>
      </c>
      <c r="AJ185" t="str">
        <f>LEFT(M185,1)</f>
        <v>M</v>
      </c>
      <c r="AK185" t="str">
        <f>_xlfn.CONCAT(AG185,AH185,AI185,AJ185)</f>
        <v>CMAM</v>
      </c>
    </row>
    <row r="186" spans="1:37" ht="15.75" hidden="1" customHeight="1" x14ac:dyDescent="0.2">
      <c r="A186" s="1">
        <v>464003</v>
      </c>
      <c r="B186" s="1" t="s">
        <v>4382</v>
      </c>
      <c r="C186" s="1" t="s">
        <v>669</v>
      </c>
      <c r="D186" s="1" t="s">
        <v>4395</v>
      </c>
      <c r="E186" s="1" t="s">
        <v>657</v>
      </c>
      <c r="F186" s="1" t="s">
        <v>63</v>
      </c>
      <c r="G186" s="1" t="s">
        <v>4397</v>
      </c>
      <c r="H186" s="1">
        <v>3714</v>
      </c>
      <c r="I186" s="1" t="s">
        <v>4398</v>
      </c>
      <c r="J186" s="1">
        <v>830</v>
      </c>
      <c r="K186" s="1" t="s">
        <v>49</v>
      </c>
      <c r="L186" s="1">
        <v>58</v>
      </c>
      <c r="M186" s="1" t="str">
        <f>IF(L186&lt;=45,"Joven","Mayor")</f>
        <v>Mayor</v>
      </c>
      <c r="N186" s="1">
        <v>46</v>
      </c>
      <c r="O186" s="1" t="s">
        <v>50</v>
      </c>
      <c r="P186" s="1">
        <v>1.216</v>
      </c>
      <c r="Q186" s="1">
        <v>93.325999999999993</v>
      </c>
      <c r="R186" s="1">
        <v>-1.2578459</v>
      </c>
      <c r="S186" s="1">
        <v>4.1072544999999998</v>
      </c>
      <c r="T186" s="1">
        <v>-0.77719044999999998</v>
      </c>
      <c r="U186" s="1">
        <v>46.247999999999998</v>
      </c>
      <c r="V186" s="1">
        <v>95</v>
      </c>
      <c r="W186" s="1">
        <v>146</v>
      </c>
      <c r="X186" s="1">
        <v>1.5368421052631578</v>
      </c>
      <c r="Y186" s="1">
        <v>98</v>
      </c>
      <c r="Z186" s="1">
        <v>146</v>
      </c>
      <c r="AA186" s="1">
        <v>1.489795918367347</v>
      </c>
      <c r="AB186" s="1">
        <v>97.461983772284157</v>
      </c>
      <c r="AC186" s="1">
        <v>146.00013257514681</v>
      </c>
      <c r="AD186" s="1">
        <v>1.4980213507275821</v>
      </c>
      <c r="AE186" t="s">
        <v>4817</v>
      </c>
      <c r="AF186" t="str">
        <f>IF(X186&lt;$AF$1,"Bajo","Alto")</f>
        <v>Bajo</v>
      </c>
      <c r="AG186" t="str">
        <f>LEFT(AE186,1)</f>
        <v>C</v>
      </c>
      <c r="AH186" t="str">
        <f>K186</f>
        <v>F</v>
      </c>
      <c r="AI186" t="str">
        <f>LEFT(AF186,1)</f>
        <v>B</v>
      </c>
      <c r="AJ186" t="str">
        <f>LEFT(M186,1)</f>
        <v>M</v>
      </c>
      <c r="AK186" t="str">
        <f>_xlfn.CONCAT(AG186,AH186,AI186,AJ186)</f>
        <v>CFBM</v>
      </c>
    </row>
    <row r="187" spans="1:37" ht="15.75" hidden="1" customHeight="1" x14ac:dyDescent="0.2">
      <c r="A187" s="1">
        <v>441701</v>
      </c>
      <c r="B187" s="1" t="s">
        <v>4314</v>
      </c>
      <c r="C187" s="1" t="s">
        <v>995</v>
      </c>
      <c r="D187" s="1" t="s">
        <v>4357</v>
      </c>
      <c r="E187" s="1" t="s">
        <v>2552</v>
      </c>
      <c r="F187" s="1" t="s">
        <v>32</v>
      </c>
      <c r="G187" s="1" t="s">
        <v>4358</v>
      </c>
      <c r="H187" s="1">
        <v>1157</v>
      </c>
      <c r="I187" s="1" t="s">
        <v>100</v>
      </c>
      <c r="J187" s="1">
        <v>1</v>
      </c>
      <c r="K187" s="1" t="s">
        <v>35</v>
      </c>
      <c r="L187" s="1">
        <v>43</v>
      </c>
      <c r="M187" s="1" t="str">
        <f>IF(L187&lt;=45,"Joven","Mayor")</f>
        <v>Joven</v>
      </c>
      <c r="N187" s="1">
        <v>52</v>
      </c>
      <c r="O187" s="1" t="s">
        <v>36</v>
      </c>
      <c r="P187" s="1">
        <v>0.35299999999999998</v>
      </c>
      <c r="Q187" s="1">
        <v>91.748999999999995</v>
      </c>
      <c r="R187" s="1">
        <v>-2.5799553</v>
      </c>
      <c r="S187" s="1">
        <v>6.8284663999999999</v>
      </c>
      <c r="T187" s="1">
        <v>9.4294829999999994</v>
      </c>
      <c r="U187" s="1">
        <v>4.7329999999999997</v>
      </c>
      <c r="V187" s="1">
        <v>117</v>
      </c>
      <c r="W187" s="1">
        <v>242</v>
      </c>
      <c r="X187" s="1">
        <v>2.0683760683760686</v>
      </c>
      <c r="Y187" s="1">
        <v>138</v>
      </c>
      <c r="Z187" s="1">
        <v>242</v>
      </c>
      <c r="AA187" s="1">
        <v>1.7536231884057971</v>
      </c>
      <c r="AB187" s="1">
        <v>128.435162770603</v>
      </c>
      <c r="AC187" s="1">
        <v>243.64510115884741</v>
      </c>
      <c r="AD187" s="1">
        <v>1.8970280093312137</v>
      </c>
      <c r="AE187" t="s">
        <v>4817</v>
      </c>
      <c r="AF187" t="str">
        <f>IF(X187&lt;$AF$1,"Bajo","Alto")</f>
        <v>Alto</v>
      </c>
      <c r="AG187" t="str">
        <f>LEFT(AE187,1)</f>
        <v>C</v>
      </c>
      <c r="AH187" t="str">
        <f>K187</f>
        <v>M</v>
      </c>
      <c r="AI187" t="str">
        <f>LEFT(AF187,1)</f>
        <v>A</v>
      </c>
      <c r="AJ187" t="str">
        <f>LEFT(M187,1)</f>
        <v>J</v>
      </c>
      <c r="AK187" t="str">
        <f>_xlfn.CONCAT(AG187,AH187,AI187,AJ187)</f>
        <v>CMAJ</v>
      </c>
    </row>
    <row r="188" spans="1:37" ht="15.75" hidden="1" customHeight="1" x14ac:dyDescent="0.2">
      <c r="A188" s="1">
        <v>4652006</v>
      </c>
      <c r="B188" s="1" t="s">
        <v>4382</v>
      </c>
      <c r="C188" s="1" t="s">
        <v>669</v>
      </c>
      <c r="D188" s="1" t="s">
        <v>4403</v>
      </c>
      <c r="E188" s="1" t="s">
        <v>4404</v>
      </c>
      <c r="F188" s="1" t="s">
        <v>88</v>
      </c>
      <c r="G188" s="1" t="s">
        <v>4406</v>
      </c>
      <c r="H188" s="1">
        <v>96</v>
      </c>
      <c r="I188" s="1" t="s">
        <v>134</v>
      </c>
      <c r="J188" s="1">
        <v>8</v>
      </c>
      <c r="K188" s="1" t="s">
        <v>35</v>
      </c>
      <c r="L188" s="1">
        <v>31</v>
      </c>
      <c r="M188" s="1" t="str">
        <f>IF(L188&lt;=45,"Joven","Mayor")</f>
        <v>Joven</v>
      </c>
      <c r="N188" s="1">
        <v>22</v>
      </c>
      <c r="O188" s="1" t="s">
        <v>36</v>
      </c>
      <c r="P188" s="1">
        <v>0.36299999999999999</v>
      </c>
      <c r="Q188" s="1">
        <v>77.671999999999997</v>
      </c>
      <c r="R188" s="1">
        <v>-10.83675</v>
      </c>
      <c r="S188" s="1">
        <v>4.0587524999999998</v>
      </c>
      <c r="T188" s="1">
        <v>10.467340999999999</v>
      </c>
      <c r="U188" s="1">
        <v>40.893000000000001</v>
      </c>
      <c r="V188" s="1">
        <v>90</v>
      </c>
      <c r="W188" s="1">
        <v>186</v>
      </c>
      <c r="X188" s="1">
        <v>2.0666666666666669</v>
      </c>
      <c r="Y188" s="1">
        <v>97</v>
      </c>
      <c r="Z188" s="1">
        <v>186</v>
      </c>
      <c r="AA188" s="1">
        <v>1.9175257731958764</v>
      </c>
      <c r="AB188" s="1">
        <v>97.222677718404611</v>
      </c>
      <c r="AC188" s="1">
        <v>183.81307911407791</v>
      </c>
      <c r="AD188" s="1">
        <v>1.8906399559007561</v>
      </c>
      <c r="AE188" t="s">
        <v>4817</v>
      </c>
      <c r="AF188" t="str">
        <f>IF(X188&lt;$AF$1,"Bajo","Alto")</f>
        <v>Alto</v>
      </c>
      <c r="AG188" t="str">
        <f>LEFT(AE188,1)</f>
        <v>C</v>
      </c>
      <c r="AH188" t="str">
        <f>K188</f>
        <v>M</v>
      </c>
      <c r="AI188" t="str">
        <f>LEFT(AF188,1)</f>
        <v>A</v>
      </c>
      <c r="AJ188" t="str">
        <f>LEFT(M188,1)</f>
        <v>J</v>
      </c>
      <c r="AK188" t="str">
        <f>_xlfn.CONCAT(AG188,AH188,AI188,AJ188)</f>
        <v>CMAJ</v>
      </c>
    </row>
    <row r="189" spans="1:37" ht="15.75" hidden="1" customHeight="1" x14ac:dyDescent="0.2">
      <c r="A189" s="1">
        <v>196705</v>
      </c>
      <c r="B189" s="1" t="s">
        <v>2656</v>
      </c>
      <c r="C189" s="1" t="s">
        <v>323</v>
      </c>
      <c r="D189" s="1" t="s">
        <v>2775</v>
      </c>
      <c r="E189" s="1" t="s">
        <v>715</v>
      </c>
      <c r="F189" s="1" t="s">
        <v>40</v>
      </c>
      <c r="G189" s="1" t="s">
        <v>2778</v>
      </c>
      <c r="H189" s="1">
        <v>2624</v>
      </c>
      <c r="I189" s="1" t="s">
        <v>2779</v>
      </c>
      <c r="J189" s="1">
        <v>3451</v>
      </c>
      <c r="K189" s="1" t="s">
        <v>35</v>
      </c>
      <c r="L189" s="1">
        <v>54</v>
      </c>
      <c r="M189" s="1" t="str">
        <f>IF(L189&lt;=45,"Joven","Mayor")</f>
        <v>Mayor</v>
      </c>
      <c r="N189" s="1">
        <v>52</v>
      </c>
      <c r="O189" s="1" t="s">
        <v>36</v>
      </c>
      <c r="P189" s="1">
        <v>0.35499999999999998</v>
      </c>
      <c r="Q189" s="1">
        <v>91.153000000000006</v>
      </c>
      <c r="R189" s="1">
        <v>3.745873</v>
      </c>
      <c r="S189" s="1">
        <v>-5.7278520000000004</v>
      </c>
      <c r="T189" s="1">
        <v>-2.9516306000000001</v>
      </c>
      <c r="U189" s="1">
        <v>53.402999999999999</v>
      </c>
      <c r="V189" s="1">
        <v>95</v>
      </c>
      <c r="W189" s="1">
        <v>193</v>
      </c>
      <c r="X189" s="1">
        <v>2.0315789473684212</v>
      </c>
      <c r="Y189" s="1">
        <v>102</v>
      </c>
      <c r="Z189" s="1">
        <v>193</v>
      </c>
      <c r="AA189" s="1">
        <v>1.892156862745098</v>
      </c>
      <c r="AB189" s="1">
        <v>99.393024151813734</v>
      </c>
      <c r="AC189" s="1">
        <v>193.10440893468879</v>
      </c>
      <c r="AD189" s="1">
        <v>1.9428366385123719</v>
      </c>
      <c r="AE189" t="s">
        <v>4817</v>
      </c>
      <c r="AF189" t="str">
        <f>IF(X189&lt;$AF$1,"Bajo","Alto")</f>
        <v>Alto</v>
      </c>
      <c r="AG189" t="str">
        <f>LEFT(AE189,1)</f>
        <v>C</v>
      </c>
      <c r="AH189" t="str">
        <f>K189</f>
        <v>M</v>
      </c>
      <c r="AI189" t="str">
        <f>LEFT(AF189,1)</f>
        <v>A</v>
      </c>
      <c r="AJ189" t="str">
        <f>LEFT(M189,1)</f>
        <v>M</v>
      </c>
      <c r="AK189" t="str">
        <f>_xlfn.CONCAT(AG189,AH189,AI189,AJ189)</f>
        <v>CMAM</v>
      </c>
    </row>
    <row r="190" spans="1:37" ht="15.75" hidden="1" customHeight="1" x14ac:dyDescent="0.2">
      <c r="A190" s="1">
        <v>10110307</v>
      </c>
      <c r="B190" s="1" t="s">
        <v>29</v>
      </c>
      <c r="C190" s="1" t="s">
        <v>30</v>
      </c>
      <c r="D190" s="1" t="s">
        <v>80</v>
      </c>
      <c r="E190" s="1" t="s">
        <v>81</v>
      </c>
      <c r="F190" s="1" t="s">
        <v>43</v>
      </c>
      <c r="G190" s="1" t="s">
        <v>90</v>
      </c>
      <c r="H190" s="1">
        <v>1573</v>
      </c>
      <c r="I190" s="1" t="s">
        <v>91</v>
      </c>
      <c r="J190" s="1">
        <v>6</v>
      </c>
      <c r="K190" s="1" t="s">
        <v>35</v>
      </c>
      <c r="L190" s="1">
        <v>54</v>
      </c>
      <c r="M190" s="1" t="str">
        <f>IF(L190&lt;=45,"Joven","Mayor")</f>
        <v>Mayor</v>
      </c>
      <c r="N190" s="1">
        <v>48</v>
      </c>
      <c r="O190" s="1" t="s">
        <v>36</v>
      </c>
      <c r="P190" s="1">
        <v>0.36099999999999999</v>
      </c>
      <c r="Q190" s="1">
        <v>57.470999999999997</v>
      </c>
      <c r="R190" s="1">
        <v>14.746095</v>
      </c>
      <c r="S190" s="1">
        <v>3.9984123999999999</v>
      </c>
      <c r="T190" s="1">
        <v>-7.4518456000000004</v>
      </c>
      <c r="U190" s="1">
        <v>25.122</v>
      </c>
      <c r="V190" s="1">
        <v>150</v>
      </c>
      <c r="W190" s="1">
        <v>228</v>
      </c>
      <c r="X190" s="1">
        <v>1.52</v>
      </c>
      <c r="Y190" s="1">
        <v>158</v>
      </c>
      <c r="Z190" s="1">
        <v>228</v>
      </c>
      <c r="AA190" s="1">
        <v>1.4430379746835442</v>
      </c>
      <c r="AB190" s="1">
        <v>157.5522479298638</v>
      </c>
      <c r="AC190" s="1">
        <v>226.7228248244655</v>
      </c>
      <c r="AD190" s="1">
        <v>1.43903262443703</v>
      </c>
      <c r="AE190" t="s">
        <v>4817</v>
      </c>
      <c r="AF190" t="str">
        <f>IF(X190&lt;$AF$1,"Bajo","Alto")</f>
        <v>Bajo</v>
      </c>
      <c r="AG190" t="str">
        <f>LEFT(AE190,1)</f>
        <v>C</v>
      </c>
      <c r="AH190" t="str">
        <f>K190</f>
        <v>M</v>
      </c>
      <c r="AI190" t="str">
        <f>LEFT(AF190,1)</f>
        <v>B</v>
      </c>
      <c r="AJ190" t="str">
        <f>LEFT(M190,1)</f>
        <v>M</v>
      </c>
      <c r="AK190" t="str">
        <f>_xlfn.CONCAT(AG190,AH190,AI190,AJ190)</f>
        <v>CMBM</v>
      </c>
    </row>
    <row r="191" spans="1:37" ht="15.75" hidden="1" customHeight="1" x14ac:dyDescent="0.2">
      <c r="A191" s="1">
        <v>444001</v>
      </c>
      <c r="B191" s="1" t="s">
        <v>4314</v>
      </c>
      <c r="C191" s="1" t="s">
        <v>995</v>
      </c>
      <c r="D191" s="1" t="s">
        <v>579</v>
      </c>
      <c r="E191" s="1" t="s">
        <v>657</v>
      </c>
      <c r="F191" s="1" t="s">
        <v>32</v>
      </c>
      <c r="G191" s="1" t="s">
        <v>4378</v>
      </c>
      <c r="H191" s="1">
        <v>617</v>
      </c>
      <c r="I191" s="1" t="s">
        <v>39</v>
      </c>
      <c r="J191" s="1">
        <v>11</v>
      </c>
      <c r="K191" s="1" t="s">
        <v>35</v>
      </c>
      <c r="L191" s="1">
        <v>45</v>
      </c>
      <c r="M191" s="1" t="str">
        <f>IF(L191&lt;=45,"Joven","Mayor")</f>
        <v>Joven</v>
      </c>
      <c r="N191" s="1">
        <v>57</v>
      </c>
      <c r="O191" s="1" t="s">
        <v>36</v>
      </c>
      <c r="P191" s="1">
        <v>1.708</v>
      </c>
      <c r="Q191" s="1">
        <v>38.938000000000002</v>
      </c>
      <c r="R191" s="1">
        <v>17.268239999999999</v>
      </c>
      <c r="S191" s="1">
        <v>-1.9907482999999999</v>
      </c>
      <c r="T191" s="1">
        <v>-10.998314000000001</v>
      </c>
      <c r="U191" s="1">
        <v>1.175</v>
      </c>
      <c r="V191" s="1">
        <v>85</v>
      </c>
      <c r="W191" s="1">
        <v>171</v>
      </c>
      <c r="X191" s="1">
        <v>2.0117647058823529</v>
      </c>
      <c r="Y191" s="1">
        <v>95</v>
      </c>
      <c r="Z191" s="1">
        <v>171</v>
      </c>
      <c r="AA191" s="1">
        <v>1.8</v>
      </c>
      <c r="AB191" s="1">
        <v>92.977793298661027</v>
      </c>
      <c r="AC191" s="1">
        <v>170.148569742782</v>
      </c>
      <c r="AD191" s="1">
        <v>1.8299914819040162</v>
      </c>
      <c r="AE191" t="s">
        <v>4816</v>
      </c>
      <c r="AF191" t="str">
        <f>IF(X191&lt;$AF$1,"Bajo","Alto")</f>
        <v>Alto</v>
      </c>
      <c r="AG191" t="str">
        <f>LEFT(AE191,1)</f>
        <v>D</v>
      </c>
      <c r="AH191" t="str">
        <f>K191</f>
        <v>M</v>
      </c>
      <c r="AI191" t="str">
        <f>LEFT(AF191,1)</f>
        <v>A</v>
      </c>
      <c r="AJ191" t="str">
        <f>LEFT(M191,1)</f>
        <v>J</v>
      </c>
      <c r="AK191" t="str">
        <f>_xlfn.CONCAT(AG191,AH191,AI191,AJ191)</f>
        <v>DMAJ</v>
      </c>
    </row>
    <row r="192" spans="1:37" ht="15.75" hidden="1" customHeight="1" x14ac:dyDescent="0.2">
      <c r="A192" s="1">
        <v>1057903</v>
      </c>
      <c r="B192" s="1" t="s">
        <v>694</v>
      </c>
      <c r="C192" s="1" t="s">
        <v>879</v>
      </c>
      <c r="D192" s="1" t="s">
        <v>1036</v>
      </c>
      <c r="E192" s="1" t="s">
        <v>739</v>
      </c>
      <c r="F192" s="1" t="s">
        <v>63</v>
      </c>
      <c r="G192" s="1" t="s">
        <v>1039</v>
      </c>
      <c r="H192" s="1">
        <v>10247</v>
      </c>
      <c r="I192" s="1" t="s">
        <v>108</v>
      </c>
      <c r="J192" s="1">
        <v>3</v>
      </c>
      <c r="K192" s="1" t="s">
        <v>35</v>
      </c>
      <c r="L192" s="1">
        <v>45</v>
      </c>
      <c r="M192" s="1" t="str">
        <f>IF(L192&lt;=45,"Joven","Mayor")</f>
        <v>Joven</v>
      </c>
      <c r="N192" s="1">
        <v>42</v>
      </c>
      <c r="O192" s="1" t="s">
        <v>36</v>
      </c>
      <c r="P192" s="1">
        <v>0.24399999999999999</v>
      </c>
      <c r="Q192" s="1">
        <v>93.504999999999995</v>
      </c>
      <c r="R192" s="1">
        <v>-1.8704335999999999</v>
      </c>
      <c r="S192" s="1">
        <v>-2.8998089999999999</v>
      </c>
      <c r="T192" s="1">
        <v>-6.7444649999999999</v>
      </c>
      <c r="U192" s="1">
        <v>0.80100000000000005</v>
      </c>
      <c r="V192" s="1">
        <v>81</v>
      </c>
      <c r="W192" s="1">
        <v>167</v>
      </c>
      <c r="X192" s="1">
        <v>2.0617283950617282</v>
      </c>
      <c r="Y192" s="1">
        <v>86</v>
      </c>
      <c r="Z192" s="1">
        <v>167</v>
      </c>
      <c r="AA192" s="1">
        <v>1.941860465116279</v>
      </c>
      <c r="AB192" s="1">
        <v>85.489447248615761</v>
      </c>
      <c r="AC192" s="1">
        <v>166.6664179902823</v>
      </c>
      <c r="AD192" s="1">
        <v>1.949555452213793</v>
      </c>
      <c r="AE192" t="s">
        <v>4817</v>
      </c>
      <c r="AF192" t="str">
        <f>IF(X192&lt;$AF$1,"Bajo","Alto")</f>
        <v>Alto</v>
      </c>
      <c r="AG192" t="str">
        <f>LEFT(AE192,1)</f>
        <v>C</v>
      </c>
      <c r="AH192" t="str">
        <f>K192</f>
        <v>M</v>
      </c>
      <c r="AI192" t="str">
        <f>LEFT(AF192,1)</f>
        <v>A</v>
      </c>
      <c r="AJ192" t="str">
        <f>LEFT(M192,1)</f>
        <v>J</v>
      </c>
      <c r="AK192" t="str">
        <f>_xlfn.CONCAT(AG192,AH192,AI192,AJ192)</f>
        <v>CMAJ</v>
      </c>
    </row>
    <row r="193" spans="1:37" ht="15.75" hidden="1" customHeight="1" x14ac:dyDescent="0.2">
      <c r="A193" s="1">
        <v>1014906</v>
      </c>
      <c r="B193" s="1" t="s">
        <v>29</v>
      </c>
      <c r="C193" s="1" t="s">
        <v>30</v>
      </c>
      <c r="D193" s="1" t="s">
        <v>672</v>
      </c>
      <c r="E193" s="1" t="s">
        <v>673</v>
      </c>
      <c r="F193" s="1" t="s">
        <v>88</v>
      </c>
      <c r="G193" s="1" t="s">
        <v>677</v>
      </c>
      <c r="H193" s="1">
        <v>18078</v>
      </c>
      <c r="I193" s="1" t="s">
        <v>65</v>
      </c>
      <c r="J193" s="1">
        <v>2</v>
      </c>
      <c r="K193" s="1" t="s">
        <v>35</v>
      </c>
      <c r="L193" s="1">
        <v>50</v>
      </c>
      <c r="M193" s="1" t="str">
        <f>IF(L193&lt;=45,"Joven","Mayor")</f>
        <v>Mayor</v>
      </c>
      <c r="N193" s="1">
        <v>36</v>
      </c>
      <c r="O193" s="1" t="s">
        <v>36</v>
      </c>
      <c r="P193" s="1">
        <v>0.70799999999999996</v>
      </c>
      <c r="Q193" s="1">
        <v>92.826999999999998</v>
      </c>
      <c r="R193" s="1">
        <v>2.3758596999999999</v>
      </c>
      <c r="S193" s="1">
        <v>3.7832932000000001</v>
      </c>
      <c r="T193" s="1">
        <v>-2.9689806000000001</v>
      </c>
      <c r="U193" s="1">
        <v>2.3410000000000002</v>
      </c>
      <c r="V193" s="1">
        <v>98</v>
      </c>
      <c r="W193" s="1">
        <v>149</v>
      </c>
      <c r="X193" s="1">
        <v>1.5204081632653061</v>
      </c>
      <c r="Y193" s="1">
        <v>106</v>
      </c>
      <c r="Z193" s="1">
        <v>149</v>
      </c>
      <c r="AA193" s="1">
        <v>1.4056603773584906</v>
      </c>
      <c r="AB193" s="1">
        <v>103.8894971996201</v>
      </c>
      <c r="AC193" s="1">
        <v>149.1107724667836</v>
      </c>
      <c r="AD193" s="1">
        <v>1.4352824538198734</v>
      </c>
      <c r="AE193" t="s">
        <v>4817</v>
      </c>
      <c r="AF193" t="str">
        <f>IF(X193&lt;$AF$1,"Bajo","Alto")</f>
        <v>Bajo</v>
      </c>
      <c r="AG193" t="str">
        <f>LEFT(AE193,1)</f>
        <v>C</v>
      </c>
      <c r="AH193" t="str">
        <f>K193</f>
        <v>M</v>
      </c>
      <c r="AI193" t="str">
        <f>LEFT(AF193,1)</f>
        <v>B</v>
      </c>
      <c r="AJ193" t="str">
        <f>LEFT(M193,1)</f>
        <v>M</v>
      </c>
      <c r="AK193" t="str">
        <f>_xlfn.CONCAT(AG193,AH193,AI193,AJ193)</f>
        <v>CMBM</v>
      </c>
    </row>
    <row r="194" spans="1:37" ht="15.75" hidden="1" customHeight="1" x14ac:dyDescent="0.2">
      <c r="A194" s="1">
        <v>642503</v>
      </c>
      <c r="B194" s="1" t="s">
        <v>4718</v>
      </c>
      <c r="C194" s="1" t="s">
        <v>710</v>
      </c>
      <c r="D194" s="1" t="s">
        <v>4764</v>
      </c>
      <c r="E194" s="1" t="s">
        <v>821</v>
      </c>
      <c r="F194" s="1" t="s">
        <v>63</v>
      </c>
      <c r="G194" s="1" t="s">
        <v>4766</v>
      </c>
      <c r="H194" s="1">
        <v>3003</v>
      </c>
      <c r="I194" s="1" t="s">
        <v>108</v>
      </c>
      <c r="J194" s="1">
        <v>3</v>
      </c>
      <c r="K194" s="1" t="s">
        <v>35</v>
      </c>
      <c r="L194" s="1">
        <v>44</v>
      </c>
      <c r="M194" s="1" t="str">
        <f>IF(L194&lt;=45,"Joven","Mayor")</f>
        <v>Joven</v>
      </c>
      <c r="N194" s="1">
        <v>64</v>
      </c>
      <c r="O194" s="1" t="s">
        <v>36</v>
      </c>
      <c r="P194" s="1">
        <v>1.294</v>
      </c>
      <c r="Q194" s="1">
        <v>74.427999999999997</v>
      </c>
      <c r="R194" s="1">
        <v>11.578583999999999</v>
      </c>
      <c r="S194" s="1">
        <v>-3.61314</v>
      </c>
      <c r="T194" s="1">
        <v>-5.5550769999999998</v>
      </c>
      <c r="U194" s="1">
        <v>3.08</v>
      </c>
      <c r="V194" s="1">
        <v>85</v>
      </c>
      <c r="W194" s="1">
        <v>175</v>
      </c>
      <c r="X194" s="1">
        <v>2.0588235294117645</v>
      </c>
      <c r="Y194" s="1">
        <v>92</v>
      </c>
      <c r="Z194" s="1">
        <v>175</v>
      </c>
      <c r="AA194" s="1">
        <v>1.9021739130434783</v>
      </c>
      <c r="AB194" s="1">
        <v>89.247329133486573</v>
      </c>
      <c r="AC194" s="1">
        <v>174.95255122326759</v>
      </c>
      <c r="AD194" s="1">
        <v>1.9603113384109494</v>
      </c>
      <c r="AE194" t="s">
        <v>4817</v>
      </c>
      <c r="AF194" t="str">
        <f>IF(X194&lt;$AF$1,"Bajo","Alto")</f>
        <v>Alto</v>
      </c>
      <c r="AG194" t="str">
        <f>LEFT(AE194,1)</f>
        <v>C</v>
      </c>
      <c r="AH194" t="str">
        <f>K194</f>
        <v>M</v>
      </c>
      <c r="AI194" t="str">
        <f>LEFT(AF194,1)</f>
        <v>A</v>
      </c>
      <c r="AJ194" t="str">
        <f>LEFT(M194,1)</f>
        <v>J</v>
      </c>
      <c r="AK194" t="str">
        <f>_xlfn.CONCAT(AG194,AH194,AI194,AJ194)</f>
        <v>CMAJ</v>
      </c>
    </row>
    <row r="195" spans="1:37" ht="15.75" hidden="1" customHeight="1" x14ac:dyDescent="0.2">
      <c r="A195" s="1">
        <v>10122702</v>
      </c>
      <c r="B195" s="1" t="s">
        <v>29</v>
      </c>
      <c r="C195" s="1" t="s">
        <v>30</v>
      </c>
      <c r="D195" s="1" t="s">
        <v>438</v>
      </c>
      <c r="E195" s="1" t="s">
        <v>439</v>
      </c>
      <c r="F195" s="1" t="s">
        <v>37</v>
      </c>
      <c r="G195" s="1" t="s">
        <v>440</v>
      </c>
      <c r="H195" s="1">
        <v>2506</v>
      </c>
      <c r="I195" s="1" t="s">
        <v>441</v>
      </c>
      <c r="J195" s="1">
        <v>2915</v>
      </c>
      <c r="K195" s="1" t="s">
        <v>35</v>
      </c>
      <c r="L195" s="1">
        <v>36</v>
      </c>
      <c r="M195" s="1" t="str">
        <f>IF(L195&lt;=45,"Joven","Mayor")</f>
        <v>Joven</v>
      </c>
      <c r="N195" s="1">
        <v>49</v>
      </c>
      <c r="O195" s="1" t="s">
        <v>36</v>
      </c>
      <c r="P195" s="1">
        <v>0.35299999999999998</v>
      </c>
      <c r="Q195" s="1">
        <v>75.63</v>
      </c>
      <c r="R195" s="1">
        <v>10.292553</v>
      </c>
      <c r="S195" s="1">
        <v>8.8293289999999995</v>
      </c>
      <c r="T195" s="1">
        <v>-5.3973035999999999</v>
      </c>
      <c r="U195" s="1">
        <v>3.1749999999999998</v>
      </c>
      <c r="V195" s="1">
        <v>71</v>
      </c>
      <c r="W195" s="1">
        <v>146</v>
      </c>
      <c r="X195" s="1">
        <v>2.056338028169014</v>
      </c>
      <c r="Y195" s="1">
        <v>80</v>
      </c>
      <c r="Z195" s="1">
        <v>146</v>
      </c>
      <c r="AA195" s="1">
        <v>1.825</v>
      </c>
      <c r="AB195" s="1">
        <v>76.729406095527338</v>
      </c>
      <c r="AC195" s="1">
        <v>146.48143081344139</v>
      </c>
      <c r="AD195" s="1">
        <v>1.909065093389013</v>
      </c>
      <c r="AE195" t="s">
        <v>4817</v>
      </c>
      <c r="AF195" t="str">
        <f>IF(X195&lt;$AF$1,"Bajo","Alto")</f>
        <v>Alto</v>
      </c>
      <c r="AG195" t="str">
        <f>LEFT(AE195,1)</f>
        <v>C</v>
      </c>
      <c r="AH195" t="str">
        <f>K195</f>
        <v>M</v>
      </c>
      <c r="AI195" t="str">
        <f>LEFT(AF195,1)</f>
        <v>A</v>
      </c>
      <c r="AJ195" t="str">
        <f>LEFT(M195,1)</f>
        <v>J</v>
      </c>
      <c r="AK195" t="str">
        <f>_xlfn.CONCAT(AG195,AH195,AI195,AJ195)</f>
        <v>CMAJ</v>
      </c>
    </row>
    <row r="196" spans="1:37" ht="15.75" hidden="1" customHeight="1" x14ac:dyDescent="0.2">
      <c r="A196" s="1">
        <v>257902</v>
      </c>
      <c r="B196" s="1" t="s">
        <v>3169</v>
      </c>
      <c r="C196" s="1" t="s">
        <v>821</v>
      </c>
      <c r="D196" s="1" t="s">
        <v>2266</v>
      </c>
      <c r="E196" s="1" t="s">
        <v>739</v>
      </c>
      <c r="F196" s="1" t="s">
        <v>37</v>
      </c>
      <c r="G196" s="1" t="s">
        <v>3324</v>
      </c>
      <c r="H196" s="1">
        <v>192</v>
      </c>
      <c r="I196" s="1" t="s">
        <v>85</v>
      </c>
      <c r="J196" s="1">
        <v>12</v>
      </c>
      <c r="K196" s="1" t="s">
        <v>35</v>
      </c>
      <c r="L196" s="1">
        <v>45</v>
      </c>
      <c r="M196" s="1" t="str">
        <f>IF(L196&lt;=45,"Joven","Mayor")</f>
        <v>Joven</v>
      </c>
      <c r="N196" s="1">
        <v>53</v>
      </c>
      <c r="O196" s="1" t="s">
        <v>36</v>
      </c>
      <c r="P196" s="1">
        <v>0.36799999999999999</v>
      </c>
      <c r="Q196" s="1">
        <v>92.924000000000007</v>
      </c>
      <c r="R196" s="1">
        <v>-2.7645000999999998</v>
      </c>
      <c r="S196" s="1">
        <v>-2.6821997</v>
      </c>
      <c r="T196" s="1">
        <v>-1.4307318</v>
      </c>
      <c r="U196" s="1">
        <v>0.625</v>
      </c>
      <c r="V196" s="1">
        <v>101</v>
      </c>
      <c r="W196" s="1">
        <v>199</v>
      </c>
      <c r="X196" s="1">
        <v>1.9702970297029703</v>
      </c>
      <c r="Y196" s="1">
        <v>102</v>
      </c>
      <c r="Z196" s="1">
        <v>199</v>
      </c>
      <c r="AA196" s="1">
        <v>1.9509803921568627</v>
      </c>
      <c r="AB196" s="1">
        <v>103.2665566598434</v>
      </c>
      <c r="AC196" s="1">
        <v>199.06280193943849</v>
      </c>
      <c r="AD196" s="1">
        <v>1.9276599160282328</v>
      </c>
      <c r="AE196" t="s">
        <v>4815</v>
      </c>
      <c r="AF196" t="str">
        <f>IF(X196&lt;$AF$1,"Bajo","Alto")</f>
        <v>Alto</v>
      </c>
      <c r="AG196" t="str">
        <f>LEFT(AE196,1)</f>
        <v>I</v>
      </c>
      <c r="AH196" t="str">
        <f>K196</f>
        <v>M</v>
      </c>
      <c r="AI196" t="str">
        <f>LEFT(AF196,1)</f>
        <v>A</v>
      </c>
      <c r="AJ196" t="str">
        <f>LEFT(M196,1)</f>
        <v>J</v>
      </c>
      <c r="AK196" t="str">
        <f>_xlfn.CONCAT(AG196,AH196,AI196,AJ196)</f>
        <v>IMAJ</v>
      </c>
    </row>
    <row r="197" spans="1:37" ht="15.75" hidden="1" customHeight="1" x14ac:dyDescent="0.2">
      <c r="A197" s="1">
        <v>197004</v>
      </c>
      <c r="B197" s="1" t="s">
        <v>2656</v>
      </c>
      <c r="C197" s="1" t="s">
        <v>323</v>
      </c>
      <c r="D197" s="1" t="s">
        <v>2780</v>
      </c>
      <c r="E197" s="1" t="s">
        <v>720</v>
      </c>
      <c r="F197" s="1" t="s">
        <v>61</v>
      </c>
      <c r="G197" s="1" t="s">
        <v>2784</v>
      </c>
      <c r="H197" s="1">
        <v>802</v>
      </c>
      <c r="I197" s="1" t="s">
        <v>91</v>
      </c>
      <c r="J197" s="1">
        <v>6</v>
      </c>
      <c r="K197" s="1" t="s">
        <v>35</v>
      </c>
      <c r="L197" s="1">
        <v>60</v>
      </c>
      <c r="M197" s="1" t="str">
        <f>IF(L197&lt;=45,"Joven","Mayor")</f>
        <v>Mayor</v>
      </c>
      <c r="N197" s="1">
        <v>67</v>
      </c>
      <c r="O197" s="1" t="s">
        <v>36</v>
      </c>
      <c r="P197" s="1">
        <v>0.35499999999999998</v>
      </c>
      <c r="Q197" s="1">
        <v>90.777000000000001</v>
      </c>
      <c r="R197" s="1">
        <v>5.5495562999999999</v>
      </c>
      <c r="S197" s="1">
        <v>-0.71733720000000001</v>
      </c>
      <c r="T197" s="1">
        <v>-3.2064514000000002</v>
      </c>
      <c r="U197" s="1">
        <v>6.2329999999999997</v>
      </c>
      <c r="V197" s="1">
        <v>121</v>
      </c>
      <c r="W197" s="1">
        <v>184</v>
      </c>
      <c r="X197" s="1">
        <v>1.5206611570247934</v>
      </c>
      <c r="Y197" s="1">
        <v>125</v>
      </c>
      <c r="Z197" s="1">
        <v>184</v>
      </c>
      <c r="AA197" s="1">
        <v>1.472</v>
      </c>
      <c r="AB197" s="1">
        <v>123.9428710924778</v>
      </c>
      <c r="AC197" s="1">
        <v>184.04754649487089</v>
      </c>
      <c r="AD197" s="1">
        <v>1.48493854364199</v>
      </c>
      <c r="AE197" t="s">
        <v>4817</v>
      </c>
      <c r="AF197" t="str">
        <f>IF(X197&lt;$AF$1,"Bajo","Alto")</f>
        <v>Bajo</v>
      </c>
      <c r="AG197" t="str">
        <f>LEFT(AE197,1)</f>
        <v>C</v>
      </c>
      <c r="AH197" t="str">
        <f>K197</f>
        <v>M</v>
      </c>
      <c r="AI197" t="str">
        <f>LEFT(AF197,1)</f>
        <v>B</v>
      </c>
      <c r="AJ197" t="str">
        <f>LEFT(M197,1)</f>
        <v>M</v>
      </c>
      <c r="AK197" t="str">
        <f>_xlfn.CONCAT(AG197,AH197,AI197,AJ197)</f>
        <v>CMBM</v>
      </c>
    </row>
    <row r="198" spans="1:37" ht="15.75" hidden="1" customHeight="1" x14ac:dyDescent="0.2">
      <c r="A198" s="1">
        <v>247807</v>
      </c>
      <c r="B198" s="1" t="s">
        <v>1548</v>
      </c>
      <c r="C198" s="1" t="s">
        <v>1993</v>
      </c>
      <c r="D198" s="1" t="s">
        <v>3159</v>
      </c>
      <c r="E198" s="1" t="s">
        <v>732</v>
      </c>
      <c r="F198" s="1" t="s">
        <v>43</v>
      </c>
      <c r="G198" s="1" t="s">
        <v>3163</v>
      </c>
      <c r="H198" s="1">
        <v>3089</v>
      </c>
      <c r="I198" s="1" t="s">
        <v>134</v>
      </c>
      <c r="J198" s="1">
        <v>8</v>
      </c>
      <c r="K198" s="1" t="s">
        <v>35</v>
      </c>
      <c r="L198" s="1">
        <v>54</v>
      </c>
      <c r="M198" s="1" t="str">
        <f>IF(L198&lt;=45,"Joven","Mayor")</f>
        <v>Mayor</v>
      </c>
      <c r="N198" s="1">
        <v>58</v>
      </c>
      <c r="O198" s="1" t="s">
        <v>36</v>
      </c>
      <c r="P198" s="1">
        <v>0.36</v>
      </c>
      <c r="Q198" s="1">
        <v>90.921999999999997</v>
      </c>
      <c r="R198" s="1">
        <v>3.2146704000000001</v>
      </c>
      <c r="S198" s="1">
        <v>-7.4424599999999996</v>
      </c>
      <c r="T198" s="1">
        <v>-0.52143340000000005</v>
      </c>
      <c r="U198" s="1">
        <v>0.11899999999999999</v>
      </c>
      <c r="V198" s="1">
        <v>95</v>
      </c>
      <c r="W198" s="1">
        <v>193</v>
      </c>
      <c r="X198" s="1">
        <v>2.0315789473684212</v>
      </c>
      <c r="Y198" s="1">
        <v>100</v>
      </c>
      <c r="Z198" s="1">
        <v>193</v>
      </c>
      <c r="AA198" s="1">
        <v>1.93</v>
      </c>
      <c r="AB198" s="1">
        <v>99.604532891059762</v>
      </c>
      <c r="AC198" s="1">
        <v>193.05571183685521</v>
      </c>
      <c r="AD198" s="1">
        <v>1.9382221494678922</v>
      </c>
      <c r="AE198" t="s">
        <v>4817</v>
      </c>
      <c r="AF198" t="str">
        <f>IF(X198&lt;$AF$1,"Bajo","Alto")</f>
        <v>Alto</v>
      </c>
      <c r="AG198" t="str">
        <f>LEFT(AE198,1)</f>
        <v>C</v>
      </c>
      <c r="AH198" t="str">
        <f>K198</f>
        <v>M</v>
      </c>
      <c r="AI198" t="str">
        <f>LEFT(AF198,1)</f>
        <v>A</v>
      </c>
      <c r="AJ198" t="str">
        <f>LEFT(M198,1)</f>
        <v>M</v>
      </c>
      <c r="AK198" t="str">
        <f>_xlfn.CONCAT(AG198,AH198,AI198,AJ198)</f>
        <v>CMAM</v>
      </c>
    </row>
    <row r="199" spans="1:37" ht="15.75" hidden="1" customHeight="1" x14ac:dyDescent="0.2">
      <c r="A199" s="1">
        <v>2718401</v>
      </c>
      <c r="B199" s="1" t="s">
        <v>3409</v>
      </c>
      <c r="C199" s="1" t="s">
        <v>973</v>
      </c>
      <c r="D199" s="1" t="s">
        <v>3583</v>
      </c>
      <c r="E199" s="1" t="s">
        <v>312</v>
      </c>
      <c r="F199" s="1" t="s">
        <v>32</v>
      </c>
      <c r="G199" s="1" t="s">
        <v>3584</v>
      </c>
      <c r="H199" s="1">
        <v>969</v>
      </c>
      <c r="I199" s="1" t="s">
        <v>1035</v>
      </c>
      <c r="J199" s="1">
        <v>4115</v>
      </c>
      <c r="K199" s="1" t="s">
        <v>35</v>
      </c>
      <c r="L199" s="1">
        <v>62</v>
      </c>
      <c r="M199" s="1" t="str">
        <f>IF(L199&lt;=45,"Joven","Mayor")</f>
        <v>Mayor</v>
      </c>
      <c r="N199" s="1">
        <v>58</v>
      </c>
      <c r="O199" s="1" t="s">
        <v>36</v>
      </c>
      <c r="P199" s="1">
        <v>0.193</v>
      </c>
      <c r="Q199" s="1">
        <v>91.494</v>
      </c>
      <c r="R199" s="1">
        <v>3.1488273000000002</v>
      </c>
      <c r="S199" s="1">
        <v>-6.3916554000000003</v>
      </c>
      <c r="T199" s="1">
        <v>0.54489549999999998</v>
      </c>
      <c r="U199" s="1">
        <v>1.1639999999999999</v>
      </c>
      <c r="V199" s="1">
        <v>119</v>
      </c>
      <c r="W199" s="1">
        <v>181</v>
      </c>
      <c r="X199" s="1">
        <v>1.5210084033613445</v>
      </c>
      <c r="Y199" s="1">
        <v>120</v>
      </c>
      <c r="Z199" s="1">
        <v>181</v>
      </c>
      <c r="AA199" s="1">
        <v>1.5083333333333333</v>
      </c>
      <c r="AB199" s="1">
        <v>119.52857960052781</v>
      </c>
      <c r="AC199" s="1">
        <v>181.0013249301924</v>
      </c>
      <c r="AD199" s="1">
        <v>1.5142932806121385</v>
      </c>
      <c r="AE199" t="s">
        <v>4817</v>
      </c>
      <c r="AF199" t="str">
        <f>IF(X199&lt;$AF$1,"Bajo","Alto")</f>
        <v>Bajo</v>
      </c>
      <c r="AG199" t="str">
        <f>LEFT(AE199,1)</f>
        <v>C</v>
      </c>
      <c r="AH199" t="str">
        <f>K199</f>
        <v>M</v>
      </c>
      <c r="AI199" t="str">
        <f>LEFT(AF199,1)</f>
        <v>B</v>
      </c>
      <c r="AJ199" t="str">
        <f>LEFT(M199,1)</f>
        <v>M</v>
      </c>
      <c r="AK199" t="str">
        <f>_xlfn.CONCAT(AG199,AH199,AI199,AJ199)</f>
        <v>CMBM</v>
      </c>
    </row>
    <row r="200" spans="1:37" ht="15.75" hidden="1" customHeight="1" x14ac:dyDescent="0.2">
      <c r="A200" s="1">
        <v>10122302</v>
      </c>
      <c r="B200" s="1" t="s">
        <v>29</v>
      </c>
      <c r="C200" s="1" t="s">
        <v>30</v>
      </c>
      <c r="D200" s="1" t="s">
        <v>422</v>
      </c>
      <c r="E200" s="1" t="s">
        <v>423</v>
      </c>
      <c r="F200" s="1" t="s">
        <v>37</v>
      </c>
      <c r="G200" s="1" t="s">
        <v>425</v>
      </c>
      <c r="H200" s="1">
        <v>1705</v>
      </c>
      <c r="I200" s="1" t="s">
        <v>39</v>
      </c>
      <c r="J200" s="1">
        <v>11</v>
      </c>
      <c r="K200" s="1" t="s">
        <v>49</v>
      </c>
      <c r="L200" s="1">
        <v>35</v>
      </c>
      <c r="M200" s="1" t="str">
        <f>IF(L200&lt;=45,"Joven","Mayor")</f>
        <v>Joven</v>
      </c>
      <c r="N200" s="1">
        <v>26</v>
      </c>
      <c r="O200" s="1" t="s">
        <v>50</v>
      </c>
      <c r="P200" s="1">
        <v>1.0489999999999999</v>
      </c>
      <c r="Q200" s="1">
        <v>92.441000000000003</v>
      </c>
      <c r="R200" s="1">
        <v>3.5098302000000001</v>
      </c>
      <c r="S200" s="1">
        <v>1.4300151999999999</v>
      </c>
      <c r="T200" s="1">
        <v>-3.5387062999999999</v>
      </c>
      <c r="U200" s="1">
        <v>51.926000000000002</v>
      </c>
      <c r="V200" s="1">
        <v>93</v>
      </c>
      <c r="W200" s="1">
        <v>145</v>
      </c>
      <c r="X200" s="1">
        <v>1.5591397849462365</v>
      </c>
      <c r="Y200" s="1">
        <v>94</v>
      </c>
      <c r="Z200" s="1">
        <v>145</v>
      </c>
      <c r="AA200" s="1">
        <v>1.5425531914893618</v>
      </c>
      <c r="AB200" s="1">
        <v>96.536576929917373</v>
      </c>
      <c r="AC200" s="1">
        <v>144.9087011846436</v>
      </c>
      <c r="AD200" s="1">
        <v>1.5010756108520704</v>
      </c>
      <c r="AE200" t="s">
        <v>4816</v>
      </c>
      <c r="AF200" t="str">
        <f>IF(X200&lt;$AF$1,"Bajo","Alto")</f>
        <v>Bajo</v>
      </c>
      <c r="AG200" t="str">
        <f>LEFT(AE200,1)</f>
        <v>D</v>
      </c>
      <c r="AH200" t="str">
        <f>K200</f>
        <v>F</v>
      </c>
      <c r="AI200" t="str">
        <f>LEFT(AF200,1)</f>
        <v>B</v>
      </c>
      <c r="AJ200" t="str">
        <f>LEFT(M200,1)</f>
        <v>J</v>
      </c>
      <c r="AK200" t="str">
        <f>_xlfn.CONCAT(AG200,AH200,AI200,AJ200)</f>
        <v>DFBJ</v>
      </c>
    </row>
    <row r="201" spans="1:37" ht="15.75" hidden="1" customHeight="1" x14ac:dyDescent="0.2">
      <c r="A201" s="1">
        <v>260108</v>
      </c>
      <c r="B201" s="1" t="s">
        <v>3358</v>
      </c>
      <c r="C201" s="1" t="s">
        <v>968</v>
      </c>
      <c r="D201" s="1" t="s">
        <v>656</v>
      </c>
      <c r="E201" s="1" t="s">
        <v>32</v>
      </c>
      <c r="F201" s="1" t="s">
        <v>46</v>
      </c>
      <c r="G201" s="1" t="s">
        <v>3360</v>
      </c>
      <c r="H201" s="1">
        <v>21995</v>
      </c>
      <c r="I201" s="1" t="s">
        <v>3361</v>
      </c>
      <c r="J201" s="1">
        <v>3741</v>
      </c>
      <c r="K201" s="1" t="s">
        <v>49</v>
      </c>
      <c r="L201" s="1">
        <v>57</v>
      </c>
      <c r="M201" s="1" t="str">
        <f>IF(L201&lt;=45,"Joven","Mayor")</f>
        <v>Mayor</v>
      </c>
      <c r="N201" s="1">
        <v>50</v>
      </c>
      <c r="O201" s="1" t="s">
        <v>50</v>
      </c>
      <c r="P201" s="1">
        <v>0.36499999999999999</v>
      </c>
      <c r="Q201" s="1">
        <v>90.114999999999995</v>
      </c>
      <c r="R201" s="1">
        <v>5.8741060000000003</v>
      </c>
      <c r="S201" s="1">
        <v>-1.6826333</v>
      </c>
      <c r="T201" s="1">
        <v>-6.7286004999999998</v>
      </c>
      <c r="U201" s="1">
        <v>3.2789999999999999</v>
      </c>
      <c r="V201" s="1">
        <v>81</v>
      </c>
      <c r="W201" s="1">
        <v>172</v>
      </c>
      <c r="X201" s="1">
        <v>2.1234567901234569</v>
      </c>
      <c r="Y201" s="1">
        <v>87</v>
      </c>
      <c r="Z201" s="1">
        <v>172</v>
      </c>
      <c r="AA201" s="1">
        <v>1.9770114942528736</v>
      </c>
      <c r="AB201" s="1">
        <v>85.714587130200471</v>
      </c>
      <c r="AC201" s="1">
        <v>171.16681281215639</v>
      </c>
      <c r="AD201" s="1">
        <v>1.9969391272007644</v>
      </c>
      <c r="AE201" t="s">
        <v>4817</v>
      </c>
      <c r="AF201" t="str">
        <f>IF(X201&lt;$AF$1,"Bajo","Alto")</f>
        <v>Alto</v>
      </c>
      <c r="AG201" t="str">
        <f>LEFT(AE201,1)</f>
        <v>C</v>
      </c>
      <c r="AH201" t="str">
        <f>K201</f>
        <v>F</v>
      </c>
      <c r="AI201" t="str">
        <f>LEFT(AF201,1)</f>
        <v>A</v>
      </c>
      <c r="AJ201" t="str">
        <f>LEFT(M201,1)</f>
        <v>M</v>
      </c>
      <c r="AK201" t="str">
        <f>_xlfn.CONCAT(AG201,AH201,AI201,AJ201)</f>
        <v>CFAM</v>
      </c>
    </row>
    <row r="202" spans="1:37" ht="15.75" hidden="1" customHeight="1" x14ac:dyDescent="0.2">
      <c r="A202" s="1">
        <v>10723505</v>
      </c>
      <c r="B202" s="1" t="s">
        <v>1067</v>
      </c>
      <c r="C202" s="1" t="s">
        <v>1068</v>
      </c>
      <c r="D202" s="1" t="s">
        <v>1259</v>
      </c>
      <c r="E202" s="1" t="s">
        <v>465</v>
      </c>
      <c r="F202" s="1" t="s">
        <v>40</v>
      </c>
      <c r="G202" s="1" t="s">
        <v>1260</v>
      </c>
      <c r="H202" s="1">
        <v>2547</v>
      </c>
      <c r="I202" s="1" t="s">
        <v>1035</v>
      </c>
      <c r="J202" s="1">
        <v>3215</v>
      </c>
      <c r="K202" s="1" t="s">
        <v>35</v>
      </c>
      <c r="L202" s="1">
        <v>38</v>
      </c>
      <c r="M202" s="1" t="str">
        <f>IF(L202&lt;=45,"Joven","Mayor")</f>
        <v>Joven</v>
      </c>
      <c r="N202" s="1">
        <v>40</v>
      </c>
      <c r="O202" s="1" t="s">
        <v>50</v>
      </c>
      <c r="P202" s="1">
        <v>0.32100000000000001</v>
      </c>
      <c r="Q202" s="1">
        <v>90.453000000000003</v>
      </c>
      <c r="R202" s="1">
        <v>4.0498953000000002</v>
      </c>
      <c r="S202" s="1">
        <v>6.6785502000000001</v>
      </c>
      <c r="T202" s="1">
        <v>0.66622627000000001</v>
      </c>
      <c r="U202" s="1">
        <v>17.600000000000001</v>
      </c>
      <c r="V202" s="1">
        <v>115</v>
      </c>
      <c r="W202" s="1">
        <v>177</v>
      </c>
      <c r="X202" s="1">
        <v>1.5391304347826087</v>
      </c>
      <c r="Y202" s="1">
        <v>119</v>
      </c>
      <c r="Z202" s="1">
        <v>177</v>
      </c>
      <c r="AA202" s="1">
        <v>1.4873949579831933</v>
      </c>
      <c r="AB202" s="1">
        <v>118.3873211340826</v>
      </c>
      <c r="AC202" s="1">
        <v>176.9996619210242</v>
      </c>
      <c r="AD202" s="1">
        <v>1.4950896787381369</v>
      </c>
      <c r="AE202" t="s">
        <v>4817</v>
      </c>
      <c r="AF202" t="str">
        <f>IF(X202&lt;$AF$1,"Bajo","Alto")</f>
        <v>Bajo</v>
      </c>
      <c r="AG202" t="str">
        <f>LEFT(AE202,1)</f>
        <v>C</v>
      </c>
      <c r="AH202" t="str">
        <f>K202</f>
        <v>M</v>
      </c>
      <c r="AI202" t="str">
        <f>LEFT(AF202,1)</f>
        <v>B</v>
      </c>
      <c r="AJ202" t="str">
        <f>LEFT(M202,1)</f>
        <v>J</v>
      </c>
      <c r="AK202" t="str">
        <f>_xlfn.CONCAT(AG202,AH202,AI202,AJ202)</f>
        <v>CMBJ</v>
      </c>
    </row>
    <row r="203" spans="1:37" ht="15.75" hidden="1" customHeight="1" x14ac:dyDescent="0.2">
      <c r="A203" s="1">
        <v>157001</v>
      </c>
      <c r="B203" s="1" t="s">
        <v>2077</v>
      </c>
      <c r="C203" s="1" t="s">
        <v>57</v>
      </c>
      <c r="D203" s="1" t="s">
        <v>972</v>
      </c>
      <c r="E203" s="1" t="s">
        <v>720</v>
      </c>
      <c r="F203" s="1" t="s">
        <v>32</v>
      </c>
      <c r="G203" s="1" t="s">
        <v>2509</v>
      </c>
      <c r="H203" s="1">
        <v>1509</v>
      </c>
      <c r="I203" s="1" t="s">
        <v>108</v>
      </c>
      <c r="J203" s="1">
        <v>3</v>
      </c>
      <c r="K203" s="1" t="s">
        <v>35</v>
      </c>
      <c r="L203" s="1">
        <v>40</v>
      </c>
      <c r="M203" s="1" t="str">
        <f>IF(L203&lt;=45,"Joven","Mayor")</f>
        <v>Joven</v>
      </c>
      <c r="N203" s="1">
        <v>74</v>
      </c>
      <c r="O203" s="1" t="s">
        <v>36</v>
      </c>
      <c r="P203" s="1">
        <v>0.36199999999999999</v>
      </c>
      <c r="Q203" s="1">
        <v>90.242000000000004</v>
      </c>
      <c r="R203" s="1">
        <v>3.0315954999999999</v>
      </c>
      <c r="S203" s="1">
        <v>9.0838319999999992</v>
      </c>
      <c r="T203" s="1">
        <v>-3.172523</v>
      </c>
      <c r="U203" s="1">
        <v>14.912000000000001</v>
      </c>
      <c r="V203" s="1">
        <v>100</v>
      </c>
      <c r="W203" s="1">
        <v>154</v>
      </c>
      <c r="X203" s="1">
        <v>1.54</v>
      </c>
      <c r="Y203" s="1">
        <v>101</v>
      </c>
      <c r="Z203" s="1">
        <v>154</v>
      </c>
      <c r="AA203" s="1">
        <v>1.5247524752475248</v>
      </c>
      <c r="AB203" s="1">
        <v>102.28181995403379</v>
      </c>
      <c r="AC203" s="1">
        <v>154.0406959926122</v>
      </c>
      <c r="AD203" s="1">
        <v>1.5060417976707809</v>
      </c>
      <c r="AE203" t="s">
        <v>4817</v>
      </c>
      <c r="AF203" t="str">
        <f>IF(X203&lt;$AF$1,"Bajo","Alto")</f>
        <v>Bajo</v>
      </c>
      <c r="AG203" t="str">
        <f>LEFT(AE203,1)</f>
        <v>C</v>
      </c>
      <c r="AH203" t="str">
        <f>K203</f>
        <v>M</v>
      </c>
      <c r="AI203" t="str">
        <f>LEFT(AF203,1)</f>
        <v>B</v>
      </c>
      <c r="AJ203" t="str">
        <f>LEFT(M203,1)</f>
        <v>J</v>
      </c>
      <c r="AK203" t="str">
        <f>_xlfn.CONCAT(AG203,AH203,AI203,AJ203)</f>
        <v>CMBJ</v>
      </c>
    </row>
    <row r="204" spans="1:37" ht="15.75" hidden="1" customHeight="1" x14ac:dyDescent="0.2">
      <c r="A204" s="1">
        <v>10110002</v>
      </c>
      <c r="B204" s="1" t="s">
        <v>29</v>
      </c>
      <c r="C204" s="1" t="s">
        <v>30</v>
      </c>
      <c r="D204" s="1" t="s">
        <v>69</v>
      </c>
      <c r="E204" s="1" t="s">
        <v>70</v>
      </c>
      <c r="F204" s="1" t="s">
        <v>37</v>
      </c>
      <c r="G204" s="1" t="s">
        <v>71</v>
      </c>
      <c r="H204" s="1">
        <v>3474</v>
      </c>
      <c r="I204" s="1" t="s">
        <v>39</v>
      </c>
      <c r="J204" s="1">
        <v>11</v>
      </c>
      <c r="K204" s="1" t="s">
        <v>35</v>
      </c>
      <c r="L204" s="1">
        <v>41</v>
      </c>
      <c r="M204" s="1" t="str">
        <f>IF(L204&lt;=45,"Joven","Mayor")</f>
        <v>Joven</v>
      </c>
      <c r="N204" s="1">
        <v>53</v>
      </c>
      <c r="O204" s="1" t="s">
        <v>36</v>
      </c>
      <c r="P204" s="1">
        <v>0.36299999999999999</v>
      </c>
      <c r="Q204" s="1">
        <v>93.257000000000005</v>
      </c>
      <c r="R204" s="1">
        <v>-2.8591503999999999</v>
      </c>
      <c r="S204" s="1">
        <v>-0.80766134999999994</v>
      </c>
      <c r="T204" s="1">
        <v>-8.5632859999999997</v>
      </c>
      <c r="U204" s="1">
        <v>47.305999999999997</v>
      </c>
      <c r="V204" s="1">
        <v>89</v>
      </c>
      <c r="W204" s="1">
        <v>177</v>
      </c>
      <c r="X204" s="1">
        <v>1.9887640449438202</v>
      </c>
      <c r="Y204" s="1">
        <v>101</v>
      </c>
      <c r="Z204" s="1">
        <v>177</v>
      </c>
      <c r="AA204" s="1">
        <v>1.7524752475247525</v>
      </c>
      <c r="AB204" s="1">
        <v>96.197423313874197</v>
      </c>
      <c r="AC204" s="1">
        <v>178.45154348582491</v>
      </c>
      <c r="AD204" s="1">
        <v>1.8550553366026334</v>
      </c>
      <c r="AE204" t="s">
        <v>4816</v>
      </c>
      <c r="AF204" t="str">
        <f>IF(X204&lt;$AF$1,"Bajo","Alto")</f>
        <v>Alto</v>
      </c>
      <c r="AG204" t="str">
        <f>LEFT(AE204,1)</f>
        <v>D</v>
      </c>
      <c r="AH204" t="str">
        <f>K204</f>
        <v>M</v>
      </c>
      <c r="AI204" t="str">
        <f>LEFT(AF204,1)</f>
        <v>A</v>
      </c>
      <c r="AJ204" t="str">
        <f>LEFT(M204,1)</f>
        <v>J</v>
      </c>
      <c r="AK204" t="str">
        <f>_xlfn.CONCAT(AG204,AH204,AI204,AJ204)</f>
        <v>DMAJ</v>
      </c>
    </row>
    <row r="205" spans="1:37" ht="15.75" hidden="1" customHeight="1" x14ac:dyDescent="0.2">
      <c r="A205" s="1">
        <v>2711204</v>
      </c>
      <c r="B205" s="1" t="s">
        <v>3409</v>
      </c>
      <c r="C205" s="1" t="s">
        <v>973</v>
      </c>
      <c r="D205" s="1" t="s">
        <v>3443</v>
      </c>
      <c r="E205" s="1" t="s">
        <v>106</v>
      </c>
      <c r="F205" s="1" t="s">
        <v>61</v>
      </c>
      <c r="G205" s="1" t="s">
        <v>3447</v>
      </c>
      <c r="H205" s="1">
        <v>797</v>
      </c>
      <c r="I205" s="1" t="s">
        <v>2214</v>
      </c>
      <c r="J205" s="1">
        <v>3829</v>
      </c>
      <c r="K205" s="1" t="s">
        <v>49</v>
      </c>
      <c r="L205" s="1">
        <v>41</v>
      </c>
      <c r="M205" s="1" t="str">
        <f>IF(L205&lt;=45,"Joven","Mayor")</f>
        <v>Joven</v>
      </c>
      <c r="N205" s="1">
        <v>36</v>
      </c>
      <c r="O205" s="1" t="s">
        <v>50</v>
      </c>
      <c r="P205" s="1">
        <v>0.34799999999999998</v>
      </c>
      <c r="Q205" s="1">
        <v>93.376000000000005</v>
      </c>
      <c r="R205" s="1">
        <v>1.9999613000000001</v>
      </c>
      <c r="S205" s="1">
        <v>2.9932997000000001</v>
      </c>
      <c r="T205" s="1">
        <v>-3.9300069999999998</v>
      </c>
      <c r="U205" s="1">
        <v>6.7190000000000003</v>
      </c>
      <c r="V205" s="1">
        <v>83</v>
      </c>
      <c r="W205" s="1">
        <v>130</v>
      </c>
      <c r="X205" s="1">
        <v>1.5662650602409638</v>
      </c>
      <c r="Y205" s="1">
        <v>87</v>
      </c>
      <c r="Z205" s="1">
        <v>130</v>
      </c>
      <c r="AA205" s="1">
        <v>1.4942528735632183</v>
      </c>
      <c r="AB205" s="1">
        <v>85.477801030730461</v>
      </c>
      <c r="AC205" s="1">
        <v>130.1055344642823</v>
      </c>
      <c r="AD205" s="1">
        <v>1.522097350369455</v>
      </c>
      <c r="AE205" t="s">
        <v>4817</v>
      </c>
      <c r="AF205" t="str">
        <f>IF(X205&lt;$AF$1,"Bajo","Alto")</f>
        <v>Bajo</v>
      </c>
      <c r="AG205" t="str">
        <f>LEFT(AE205,1)</f>
        <v>C</v>
      </c>
      <c r="AH205" t="str">
        <f>K205</f>
        <v>F</v>
      </c>
      <c r="AI205" t="str">
        <f>LEFT(AF205,1)</f>
        <v>B</v>
      </c>
      <c r="AJ205" t="str">
        <f>LEFT(M205,1)</f>
        <v>J</v>
      </c>
      <c r="AK205" t="str">
        <f>_xlfn.CONCAT(AG205,AH205,AI205,AJ205)</f>
        <v>CFBJ</v>
      </c>
    </row>
    <row r="206" spans="1:37" ht="15.75" hidden="1" customHeight="1" x14ac:dyDescent="0.2">
      <c r="A206" s="1">
        <v>600705</v>
      </c>
      <c r="B206" s="1" t="s">
        <v>4700</v>
      </c>
      <c r="C206" s="1" t="s">
        <v>1458</v>
      </c>
      <c r="D206" s="1" t="s">
        <v>4712</v>
      </c>
      <c r="E206" s="1" t="s">
        <v>43</v>
      </c>
      <c r="F206" s="1" t="s">
        <v>40</v>
      </c>
      <c r="G206" s="1" t="s">
        <v>4716</v>
      </c>
      <c r="H206" s="1">
        <v>1858</v>
      </c>
      <c r="I206" s="1" t="s">
        <v>4717</v>
      </c>
      <c r="J206" s="1">
        <v>4433</v>
      </c>
      <c r="K206" s="1" t="s">
        <v>35</v>
      </c>
      <c r="L206" s="1">
        <v>57</v>
      </c>
      <c r="M206" s="1" t="str">
        <f>IF(L206&lt;=45,"Joven","Mayor")</f>
        <v>Mayor</v>
      </c>
      <c r="N206" s="1">
        <v>60</v>
      </c>
      <c r="O206" s="1" t="s">
        <v>36</v>
      </c>
      <c r="P206" s="1">
        <v>0.36</v>
      </c>
      <c r="Q206" s="1">
        <v>94.209000000000003</v>
      </c>
      <c r="R206" s="1">
        <v>-1.1442146</v>
      </c>
      <c r="S206" s="1">
        <v>-1.2937521999999999</v>
      </c>
      <c r="T206" s="1">
        <v>-5.9462999999999999</v>
      </c>
      <c r="U206" s="1">
        <v>38.750999999999998</v>
      </c>
      <c r="V206" s="1">
        <v>105</v>
      </c>
      <c r="W206" s="1">
        <v>160</v>
      </c>
      <c r="X206" s="1">
        <v>1.5238095238095237</v>
      </c>
      <c r="Y206" s="1">
        <v>109</v>
      </c>
      <c r="Z206" s="1">
        <v>160</v>
      </c>
      <c r="AA206" s="1">
        <v>1.4678899082568808</v>
      </c>
      <c r="AB206" s="1">
        <v>109.30406640419621</v>
      </c>
      <c r="AC206" s="1">
        <v>159.65708986914609</v>
      </c>
      <c r="AD206" s="1">
        <v>1.4606692607276761</v>
      </c>
      <c r="AE206" t="s">
        <v>4817</v>
      </c>
      <c r="AF206" t="str">
        <f>IF(X206&lt;$AF$1,"Bajo","Alto")</f>
        <v>Bajo</v>
      </c>
      <c r="AG206" t="str">
        <f>LEFT(AE206,1)</f>
        <v>C</v>
      </c>
      <c r="AH206" t="str">
        <f>K206</f>
        <v>M</v>
      </c>
      <c r="AI206" t="str">
        <f>LEFT(AF206,1)</f>
        <v>B</v>
      </c>
      <c r="AJ206" t="str">
        <f>LEFT(M206,1)</f>
        <v>M</v>
      </c>
      <c r="AK206" t="str">
        <f>_xlfn.CONCAT(AG206,AH206,AI206,AJ206)</f>
        <v>CMBM</v>
      </c>
    </row>
    <row r="207" spans="1:37" ht="15.75" hidden="1" customHeight="1" x14ac:dyDescent="0.2">
      <c r="A207" s="1">
        <v>2716904</v>
      </c>
      <c r="B207" s="1" t="s">
        <v>3409</v>
      </c>
      <c r="C207" s="1" t="s">
        <v>973</v>
      </c>
      <c r="D207" s="1" t="s">
        <v>3548</v>
      </c>
      <c r="E207" s="1" t="s">
        <v>279</v>
      </c>
      <c r="F207" s="1" t="s">
        <v>61</v>
      </c>
      <c r="G207" s="1" t="s">
        <v>3552</v>
      </c>
      <c r="H207" s="1">
        <v>2270</v>
      </c>
      <c r="I207" s="1" t="s">
        <v>73</v>
      </c>
      <c r="J207" s="1">
        <v>5</v>
      </c>
      <c r="K207" s="1" t="s">
        <v>49</v>
      </c>
      <c r="L207" s="1">
        <v>42</v>
      </c>
      <c r="M207" s="1" t="str">
        <f>IF(L207&lt;=45,"Joven","Mayor")</f>
        <v>Joven</v>
      </c>
      <c r="N207" s="1">
        <v>48</v>
      </c>
      <c r="O207" s="1" t="s">
        <v>50</v>
      </c>
      <c r="P207" s="1">
        <v>0.35799999999999998</v>
      </c>
      <c r="Q207" s="1">
        <v>84.936000000000007</v>
      </c>
      <c r="R207" s="1">
        <v>-6.0925789999999997</v>
      </c>
      <c r="S207" s="1">
        <v>10.632448999999999</v>
      </c>
      <c r="T207" s="1">
        <v>5.6232977000000002</v>
      </c>
      <c r="U207" s="1">
        <v>55.441000000000003</v>
      </c>
      <c r="V207" s="1">
        <v>118</v>
      </c>
      <c r="W207" s="1">
        <v>185</v>
      </c>
      <c r="X207" s="1">
        <v>1.5677966101694916</v>
      </c>
      <c r="Y207" s="1">
        <v>122</v>
      </c>
      <c r="Z207" s="1">
        <v>185</v>
      </c>
      <c r="AA207" s="1">
        <v>1.5163934426229508</v>
      </c>
      <c r="AB207" s="1">
        <v>122.0375572433302</v>
      </c>
      <c r="AC207" s="1">
        <v>184.69763853869341</v>
      </c>
      <c r="AD207" s="1">
        <v>1.5134491603304181</v>
      </c>
      <c r="AE207" t="s">
        <v>4817</v>
      </c>
      <c r="AF207" t="str">
        <f>IF(X207&lt;$AF$1,"Bajo","Alto")</f>
        <v>Bajo</v>
      </c>
      <c r="AG207" t="str">
        <f>LEFT(AE207,1)</f>
        <v>C</v>
      </c>
      <c r="AH207" t="str">
        <f>K207</f>
        <v>F</v>
      </c>
      <c r="AI207" t="str">
        <f>LEFT(AF207,1)</f>
        <v>B</v>
      </c>
      <c r="AJ207" t="str">
        <f>LEFT(M207,1)</f>
        <v>J</v>
      </c>
      <c r="AK207" t="str">
        <f>_xlfn.CONCAT(AG207,AH207,AI207,AJ207)</f>
        <v>CFBJ</v>
      </c>
    </row>
    <row r="208" spans="1:37" ht="15.75" hidden="1" customHeight="1" x14ac:dyDescent="0.2">
      <c r="A208" s="1">
        <v>234301</v>
      </c>
      <c r="B208" s="1" t="s">
        <v>319</v>
      </c>
      <c r="C208" s="1" t="s">
        <v>1989</v>
      </c>
      <c r="D208" s="1" t="s">
        <v>3034</v>
      </c>
      <c r="E208" s="1" t="s">
        <v>665</v>
      </c>
      <c r="F208" s="1" t="s">
        <v>32</v>
      </c>
      <c r="G208" s="1" t="s">
        <v>3035</v>
      </c>
      <c r="H208" s="1">
        <v>2719</v>
      </c>
      <c r="I208" s="1" t="s">
        <v>100</v>
      </c>
      <c r="J208" s="1">
        <v>1</v>
      </c>
      <c r="K208" s="1" t="s">
        <v>35</v>
      </c>
      <c r="L208" s="1">
        <v>23</v>
      </c>
      <c r="M208" s="1" t="str">
        <f>IF(L208&lt;=45,"Joven","Mayor")</f>
        <v>Joven</v>
      </c>
      <c r="N208" s="1">
        <v>32</v>
      </c>
      <c r="O208" s="1" t="s">
        <v>36</v>
      </c>
      <c r="P208" s="1">
        <v>0.35899999999999999</v>
      </c>
      <c r="Q208" s="1">
        <v>93.260999999999996</v>
      </c>
      <c r="R208" s="1">
        <v>2.9906014999999999</v>
      </c>
      <c r="S208" s="1">
        <v>0.27462825000000002</v>
      </c>
      <c r="T208" s="1">
        <v>-2.8059007999999999</v>
      </c>
      <c r="U208" s="1">
        <v>7.7160000000000002</v>
      </c>
      <c r="V208" s="1">
        <v>90</v>
      </c>
      <c r="W208" s="1">
        <v>185</v>
      </c>
      <c r="X208" s="1">
        <v>2.0555555555555554</v>
      </c>
      <c r="Y208" s="1">
        <v>95</v>
      </c>
      <c r="Z208" s="1">
        <v>185</v>
      </c>
      <c r="AA208" s="1">
        <v>1.9473684210526316</v>
      </c>
      <c r="AB208" s="1">
        <v>92.781141299365345</v>
      </c>
      <c r="AC208" s="1">
        <v>184.92506160571159</v>
      </c>
      <c r="AD208" s="1">
        <v>1.9931319987651039</v>
      </c>
      <c r="AE208" t="s">
        <v>4817</v>
      </c>
      <c r="AF208" t="str">
        <f>IF(X208&lt;$AF$1,"Bajo","Alto")</f>
        <v>Alto</v>
      </c>
      <c r="AG208" t="str">
        <f>LEFT(AE208,1)</f>
        <v>C</v>
      </c>
      <c r="AH208" t="str">
        <f>K208</f>
        <v>M</v>
      </c>
      <c r="AI208" t="str">
        <f>LEFT(AF208,1)</f>
        <v>A</v>
      </c>
      <c r="AJ208" t="str">
        <f>LEFT(M208,1)</f>
        <v>J</v>
      </c>
      <c r="AK208" t="str">
        <f>_xlfn.CONCAT(AG208,AH208,AI208,AJ208)</f>
        <v>CMAJ</v>
      </c>
    </row>
    <row r="209" spans="1:37" ht="15.75" hidden="1" customHeight="1" x14ac:dyDescent="0.2">
      <c r="A209" s="1">
        <v>2719602</v>
      </c>
      <c r="B209" s="1" t="s">
        <v>3409</v>
      </c>
      <c r="C209" s="1" t="s">
        <v>973</v>
      </c>
      <c r="D209" s="1" t="s">
        <v>3611</v>
      </c>
      <c r="E209" s="1" t="s">
        <v>346</v>
      </c>
      <c r="F209" s="1" t="s">
        <v>37</v>
      </c>
      <c r="G209" s="1" t="s">
        <v>3613</v>
      </c>
      <c r="H209" s="1">
        <v>14</v>
      </c>
      <c r="I209" s="1" t="s">
        <v>39</v>
      </c>
      <c r="J209" s="1">
        <v>11</v>
      </c>
      <c r="K209" s="1" t="s">
        <v>35</v>
      </c>
      <c r="L209" s="1">
        <v>60</v>
      </c>
      <c r="M209" s="1" t="str">
        <f>IF(L209&lt;=45,"Joven","Mayor")</f>
        <v>Mayor</v>
      </c>
      <c r="N209" s="1">
        <v>59</v>
      </c>
      <c r="O209" s="1" t="s">
        <v>36</v>
      </c>
      <c r="P209" s="1">
        <v>0.33500000000000002</v>
      </c>
      <c r="Q209" s="1">
        <v>76.075000000000003</v>
      </c>
      <c r="R209" s="1">
        <v>-7.9527482999999997</v>
      </c>
      <c r="S209" s="1">
        <v>-14.139098000000001</v>
      </c>
      <c r="T209" s="1">
        <v>9.8352640000000005</v>
      </c>
      <c r="U209" s="1">
        <v>0.27400000000000002</v>
      </c>
      <c r="V209" s="1">
        <v>65</v>
      </c>
      <c r="W209" s="1">
        <v>144</v>
      </c>
      <c r="X209" s="1">
        <v>2.2153846153846155</v>
      </c>
      <c r="Y209" s="1">
        <v>82</v>
      </c>
      <c r="Z209" s="1">
        <v>144</v>
      </c>
      <c r="AA209" s="1">
        <v>1.7560975609756098</v>
      </c>
      <c r="AB209" s="1">
        <v>76.353627178643137</v>
      </c>
      <c r="AC209" s="1">
        <v>146.83728796603779</v>
      </c>
      <c r="AD209" s="1">
        <v>1.9231213158018723</v>
      </c>
      <c r="AE209" t="s">
        <v>4816</v>
      </c>
      <c r="AF209" t="str">
        <f>IF(X209&lt;$AF$1,"Bajo","Alto")</f>
        <v>Alto</v>
      </c>
      <c r="AG209" t="str">
        <f>LEFT(AE209,1)</f>
        <v>D</v>
      </c>
      <c r="AH209" t="str">
        <f>K209</f>
        <v>M</v>
      </c>
      <c r="AI209" t="str">
        <f>LEFT(AF209,1)</f>
        <v>A</v>
      </c>
      <c r="AJ209" t="str">
        <f>LEFT(M209,1)</f>
        <v>M</v>
      </c>
      <c r="AK209" t="str">
        <f>_xlfn.CONCAT(AG209,AH209,AI209,AJ209)</f>
        <v>DMAM</v>
      </c>
    </row>
    <row r="210" spans="1:37" ht="15.75" hidden="1" customHeight="1" x14ac:dyDescent="0.2">
      <c r="A210" s="1">
        <v>274302</v>
      </c>
      <c r="B210" s="1" t="s">
        <v>3409</v>
      </c>
      <c r="C210" s="1" t="s">
        <v>973</v>
      </c>
      <c r="D210" s="1" t="s">
        <v>3678</v>
      </c>
      <c r="E210" s="1" t="s">
        <v>665</v>
      </c>
      <c r="F210" s="1" t="s">
        <v>37</v>
      </c>
      <c r="G210" s="1" t="s">
        <v>3679</v>
      </c>
      <c r="H210" s="1">
        <v>1656</v>
      </c>
      <c r="I210" s="1" t="s">
        <v>3680</v>
      </c>
      <c r="J210" s="1">
        <v>3506</v>
      </c>
      <c r="K210" s="1" t="s">
        <v>35</v>
      </c>
      <c r="L210" s="1">
        <v>39</v>
      </c>
      <c r="M210" s="1" t="str">
        <f>IF(L210&lt;=45,"Joven","Mayor")</f>
        <v>Joven</v>
      </c>
      <c r="N210" s="1">
        <v>57</v>
      </c>
      <c r="O210" s="1" t="s">
        <v>36</v>
      </c>
      <c r="P210" s="1">
        <v>0.39600000000000002</v>
      </c>
      <c r="Q210" s="1">
        <v>91.043000000000006</v>
      </c>
      <c r="R210" s="1">
        <v>1.9960518</v>
      </c>
      <c r="S210" s="1">
        <v>9.2857369999999992</v>
      </c>
      <c r="T210" s="1">
        <v>-4.3685985000000001</v>
      </c>
      <c r="U210" s="1">
        <v>4.2910000000000004</v>
      </c>
      <c r="V210" s="1">
        <v>96</v>
      </c>
      <c r="W210" s="1">
        <v>148</v>
      </c>
      <c r="X210" s="1">
        <v>1.5416666666666667</v>
      </c>
      <c r="Y210" s="1">
        <v>96</v>
      </c>
      <c r="Z210" s="1">
        <v>148</v>
      </c>
      <c r="AA210" s="1">
        <v>1.5416666666666667</v>
      </c>
      <c r="AB210" s="1">
        <v>98.615644060387467</v>
      </c>
      <c r="AC210" s="1">
        <v>147.72235320850811</v>
      </c>
      <c r="AD210" s="1">
        <v>1.4979606391664395</v>
      </c>
      <c r="AE210" t="s">
        <v>4817</v>
      </c>
      <c r="AF210" t="str">
        <f>IF(X210&lt;$AF$1,"Bajo","Alto")</f>
        <v>Bajo</v>
      </c>
      <c r="AG210" t="str">
        <f>LEFT(AE210,1)</f>
        <v>C</v>
      </c>
      <c r="AH210" t="str">
        <f>K210</f>
        <v>M</v>
      </c>
      <c r="AI210" t="str">
        <f>LEFT(AF210,1)</f>
        <v>B</v>
      </c>
      <c r="AJ210" t="str">
        <f>LEFT(M210,1)</f>
        <v>J</v>
      </c>
      <c r="AK210" t="str">
        <f>_xlfn.CONCAT(AG210,AH210,AI210,AJ210)</f>
        <v>CMBJ</v>
      </c>
    </row>
    <row r="211" spans="1:37" ht="15.75" hidden="1" customHeight="1" x14ac:dyDescent="0.2">
      <c r="A211" s="1">
        <v>540702</v>
      </c>
      <c r="B211" s="1" t="s">
        <v>4677</v>
      </c>
      <c r="C211" s="1" t="s">
        <v>3148</v>
      </c>
      <c r="D211" s="1" t="s">
        <v>4689</v>
      </c>
      <c r="E211" s="1" t="s">
        <v>43</v>
      </c>
      <c r="F211" s="1" t="s">
        <v>37</v>
      </c>
      <c r="G211" s="1" t="s">
        <v>4692</v>
      </c>
      <c r="H211" s="1">
        <v>872</v>
      </c>
      <c r="I211" s="1" t="s">
        <v>4693</v>
      </c>
      <c r="J211" s="1">
        <v>4378</v>
      </c>
      <c r="K211" s="1" t="s">
        <v>35</v>
      </c>
      <c r="L211" s="1">
        <v>27</v>
      </c>
      <c r="M211" s="1" t="str">
        <f>IF(L211&lt;=45,"Joven","Mayor")</f>
        <v>Joven</v>
      </c>
      <c r="N211" s="1">
        <v>40</v>
      </c>
      <c r="O211" s="1" t="s">
        <v>36</v>
      </c>
      <c r="P211" s="1">
        <v>0.35499999999999998</v>
      </c>
      <c r="Q211" s="1">
        <v>92.703000000000003</v>
      </c>
      <c r="R211" s="1">
        <v>3.1789874999999999</v>
      </c>
      <c r="S211" s="1">
        <v>2.3125808000000001</v>
      </c>
      <c r="T211" s="1">
        <v>-1.7869567</v>
      </c>
      <c r="U211" s="1">
        <v>8.2650000000000006</v>
      </c>
      <c r="V211" s="1">
        <v>79</v>
      </c>
      <c r="W211" s="1">
        <v>162</v>
      </c>
      <c r="X211" s="1">
        <v>2.0506329113924049</v>
      </c>
      <c r="Y211" s="1">
        <v>82</v>
      </c>
      <c r="Z211" s="1">
        <v>162</v>
      </c>
      <c r="AA211" s="1">
        <v>1.975609756097561</v>
      </c>
      <c r="AB211" s="1">
        <v>83.269817503332661</v>
      </c>
      <c r="AC211" s="1">
        <v>161.76530087257331</v>
      </c>
      <c r="AD211" s="1">
        <v>1.9426642896881461</v>
      </c>
      <c r="AE211" t="s">
        <v>4817</v>
      </c>
      <c r="AF211" t="str">
        <f>IF(X211&lt;$AF$1,"Bajo","Alto")</f>
        <v>Alto</v>
      </c>
      <c r="AG211" t="str">
        <f>LEFT(AE211,1)</f>
        <v>C</v>
      </c>
      <c r="AH211" t="str">
        <f>K211</f>
        <v>M</v>
      </c>
      <c r="AI211" t="str">
        <f>LEFT(AF211,1)</f>
        <v>A</v>
      </c>
      <c r="AJ211" t="str">
        <f>LEFT(M211,1)</f>
        <v>J</v>
      </c>
      <c r="AK211" t="str">
        <f>_xlfn.CONCAT(AG211,AH211,AI211,AJ211)</f>
        <v>CMAJ</v>
      </c>
    </row>
    <row r="212" spans="1:37" ht="15.75" hidden="1" customHeight="1" x14ac:dyDescent="0.2">
      <c r="A212" s="1">
        <v>540303</v>
      </c>
      <c r="B212" s="1" t="s">
        <v>4677</v>
      </c>
      <c r="C212" s="1" t="s">
        <v>3148</v>
      </c>
      <c r="D212" s="1" t="s">
        <v>935</v>
      </c>
      <c r="E212" s="1" t="s">
        <v>63</v>
      </c>
      <c r="F212" s="1" t="s">
        <v>63</v>
      </c>
      <c r="G212" s="1" t="s">
        <v>4687</v>
      </c>
      <c r="H212" s="1">
        <v>630</v>
      </c>
      <c r="I212" s="1" t="s">
        <v>4688</v>
      </c>
      <c r="J212" s="1">
        <v>2737</v>
      </c>
      <c r="K212" s="1" t="s">
        <v>35</v>
      </c>
      <c r="L212" s="1">
        <v>36</v>
      </c>
      <c r="M212" s="1" t="str">
        <f>IF(L212&lt;=45,"Joven","Mayor")</f>
        <v>Joven</v>
      </c>
      <c r="N212" s="1">
        <v>47</v>
      </c>
      <c r="O212" s="1" t="s">
        <v>36</v>
      </c>
      <c r="P212" s="1">
        <v>2.2040000000000002</v>
      </c>
      <c r="Q212" s="1">
        <v>92.950999999999993</v>
      </c>
      <c r="R212" s="1">
        <v>2.6342569999999998</v>
      </c>
      <c r="S212" s="1">
        <v>-0.64490985999999995</v>
      </c>
      <c r="T212" s="1">
        <v>-2.2925970000000002</v>
      </c>
      <c r="U212" s="1">
        <v>8.9879999999999995</v>
      </c>
      <c r="V212" s="1">
        <v>120</v>
      </c>
      <c r="W212" s="1">
        <v>185</v>
      </c>
      <c r="X212" s="1">
        <v>1.5416666666666667</v>
      </c>
      <c r="Y212" s="1">
        <v>124</v>
      </c>
      <c r="Z212" s="1">
        <v>185</v>
      </c>
      <c r="AA212" s="1">
        <v>1.4919354838709677</v>
      </c>
      <c r="AB212" s="1">
        <v>122.42411809103901</v>
      </c>
      <c r="AC212" s="1">
        <v>185.05193428102939</v>
      </c>
      <c r="AD212" s="1">
        <v>1.511564364657445</v>
      </c>
      <c r="AE212" t="s">
        <v>4817</v>
      </c>
      <c r="AF212" t="str">
        <f>IF(X212&lt;$AF$1,"Bajo","Alto")</f>
        <v>Bajo</v>
      </c>
      <c r="AG212" t="str">
        <f>LEFT(AE212,1)</f>
        <v>C</v>
      </c>
      <c r="AH212" t="str">
        <f>K212</f>
        <v>M</v>
      </c>
      <c r="AI212" t="str">
        <f>LEFT(AF212,1)</f>
        <v>B</v>
      </c>
      <c r="AJ212" t="str">
        <f>LEFT(M212,1)</f>
        <v>J</v>
      </c>
      <c r="AK212" t="str">
        <f>_xlfn.CONCAT(AG212,AH212,AI212,AJ212)</f>
        <v>CMBJ</v>
      </c>
    </row>
    <row r="213" spans="1:37" ht="15.75" hidden="1" customHeight="1" x14ac:dyDescent="0.2">
      <c r="A213" s="1">
        <v>10120604</v>
      </c>
      <c r="B213" s="1" t="s">
        <v>29</v>
      </c>
      <c r="C213" s="1" t="s">
        <v>30</v>
      </c>
      <c r="D213" s="1" t="s">
        <v>370</v>
      </c>
      <c r="E213" s="1" t="s">
        <v>371</v>
      </c>
      <c r="F213" s="1" t="s">
        <v>61</v>
      </c>
      <c r="G213" s="1" t="s">
        <v>375</v>
      </c>
      <c r="H213" s="1">
        <v>5018</v>
      </c>
      <c r="I213" s="1" t="s">
        <v>376</v>
      </c>
      <c r="J213" s="1">
        <v>69</v>
      </c>
      <c r="K213" s="1" t="s">
        <v>35</v>
      </c>
      <c r="L213" s="1">
        <v>53</v>
      </c>
      <c r="M213" s="1" t="str">
        <f>IF(L213&lt;=45,"Joven","Mayor")</f>
        <v>Mayor</v>
      </c>
      <c r="N213" s="1">
        <v>57</v>
      </c>
      <c r="O213" s="1" t="s">
        <v>36</v>
      </c>
      <c r="P213" s="1">
        <v>1.7000000000000001E-2</v>
      </c>
      <c r="Q213" s="1">
        <v>92.680999999999997</v>
      </c>
      <c r="R213" s="1">
        <v>-1.4835750000000001</v>
      </c>
      <c r="S213" s="1">
        <v>6.7392807000000001</v>
      </c>
      <c r="T213" s="1">
        <v>-1.2811941</v>
      </c>
      <c r="U213" s="1">
        <v>2.0230000000000001</v>
      </c>
      <c r="V213" s="1">
        <v>106</v>
      </c>
      <c r="W213" s="1">
        <v>215</v>
      </c>
      <c r="X213" s="1">
        <v>2.0283018867924527</v>
      </c>
      <c r="Y213" s="1">
        <v>109</v>
      </c>
      <c r="Z213" s="1">
        <v>215</v>
      </c>
      <c r="AA213" s="1">
        <v>1.9724770642201834</v>
      </c>
      <c r="AB213" s="1">
        <v>107.8995090056335</v>
      </c>
      <c r="AC213" s="1">
        <v>215.12512396955529</v>
      </c>
      <c r="AD213" s="1">
        <v>1.9937544290245424</v>
      </c>
      <c r="AE213" t="s">
        <v>4817</v>
      </c>
      <c r="AF213" t="str">
        <f>IF(X213&lt;$AF$1,"Bajo","Alto")</f>
        <v>Alto</v>
      </c>
      <c r="AG213" t="str">
        <f>LEFT(AE213,1)</f>
        <v>C</v>
      </c>
      <c r="AH213" t="str">
        <f>K213</f>
        <v>M</v>
      </c>
      <c r="AI213" t="str">
        <f>LEFT(AF213,1)</f>
        <v>A</v>
      </c>
      <c r="AJ213" t="str">
        <f>LEFT(M213,1)</f>
        <v>M</v>
      </c>
      <c r="AK213" t="str">
        <f>_xlfn.CONCAT(AG213,AH213,AI213,AJ213)</f>
        <v>CMAM</v>
      </c>
    </row>
    <row r="214" spans="1:37" ht="15.75" hidden="1" customHeight="1" x14ac:dyDescent="0.2">
      <c r="A214" s="1">
        <v>642802</v>
      </c>
      <c r="B214" s="1" t="s">
        <v>4718</v>
      </c>
      <c r="C214" s="1" t="s">
        <v>710</v>
      </c>
      <c r="D214" s="1" t="s">
        <v>4775</v>
      </c>
      <c r="E214" s="1" t="s">
        <v>561</v>
      </c>
      <c r="F214" s="1" t="s">
        <v>37</v>
      </c>
      <c r="G214" s="1" t="s">
        <v>4776</v>
      </c>
      <c r="H214" s="1">
        <v>432</v>
      </c>
      <c r="I214" s="1" t="s">
        <v>87</v>
      </c>
      <c r="J214" s="1">
        <v>14</v>
      </c>
      <c r="K214" s="1" t="s">
        <v>35</v>
      </c>
      <c r="L214" s="1">
        <v>54</v>
      </c>
      <c r="M214" s="1" t="str">
        <f>IF(L214&lt;=45,"Joven","Mayor")</f>
        <v>Mayor</v>
      </c>
      <c r="N214" s="1">
        <v>56</v>
      </c>
      <c r="O214" s="1" t="s">
        <v>36</v>
      </c>
      <c r="P214" s="1">
        <v>0.34399999999999997</v>
      </c>
      <c r="Q214" s="1">
        <v>77.903999999999996</v>
      </c>
      <c r="R214" s="1">
        <v>-9.8923719999999999</v>
      </c>
      <c r="S214" s="1">
        <v>-7.9626846000000002</v>
      </c>
      <c r="T214" s="1">
        <v>6.6970070000000002</v>
      </c>
      <c r="U214" s="1">
        <v>1.7549999999999999</v>
      </c>
      <c r="V214" s="1">
        <v>92</v>
      </c>
      <c r="W214" s="1">
        <v>199</v>
      </c>
      <c r="X214" s="1">
        <v>2.1630434782608696</v>
      </c>
      <c r="Y214" s="1">
        <v>100</v>
      </c>
      <c r="Z214" s="1">
        <v>199</v>
      </c>
      <c r="AA214" s="1">
        <v>1.99</v>
      </c>
      <c r="AB214" s="1">
        <v>97.086584280408488</v>
      </c>
      <c r="AC214" s="1">
        <v>197.75879067217059</v>
      </c>
      <c r="AD214" s="1">
        <v>2.0369322099230263</v>
      </c>
      <c r="AE214" t="s">
        <v>4816</v>
      </c>
      <c r="AF214" t="str">
        <f>IF(X214&lt;$AF$1,"Bajo","Alto")</f>
        <v>Alto</v>
      </c>
      <c r="AG214" t="str">
        <f>LEFT(AE214,1)</f>
        <v>D</v>
      </c>
      <c r="AH214" t="str">
        <f>K214</f>
        <v>M</v>
      </c>
      <c r="AI214" t="str">
        <f>LEFT(AF214,1)</f>
        <v>A</v>
      </c>
      <c r="AJ214" t="str">
        <f>LEFT(M214,1)</f>
        <v>M</v>
      </c>
      <c r="AK214" t="str">
        <f>_xlfn.CONCAT(AG214,AH214,AI214,AJ214)</f>
        <v>DMAM</v>
      </c>
    </row>
    <row r="215" spans="1:37" ht="15.75" hidden="1" customHeight="1" x14ac:dyDescent="0.2">
      <c r="A215" s="1">
        <v>154302</v>
      </c>
      <c r="B215" s="1" t="s">
        <v>2077</v>
      </c>
      <c r="C215" s="1" t="s">
        <v>57</v>
      </c>
      <c r="D215" s="1" t="s">
        <v>2457</v>
      </c>
      <c r="E215" s="1" t="s">
        <v>665</v>
      </c>
      <c r="F215" s="1" t="s">
        <v>37</v>
      </c>
      <c r="G215" s="1" t="s">
        <v>2458</v>
      </c>
      <c r="H215" s="1">
        <v>407</v>
      </c>
      <c r="I215" s="1" t="s">
        <v>87</v>
      </c>
      <c r="J215" s="1">
        <v>14</v>
      </c>
      <c r="K215" s="1" t="s">
        <v>35</v>
      </c>
      <c r="L215" s="1">
        <v>41</v>
      </c>
      <c r="M215" s="1" t="str">
        <f>IF(L215&lt;=45,"Joven","Mayor")</f>
        <v>Joven</v>
      </c>
      <c r="N215" s="1">
        <v>48</v>
      </c>
      <c r="O215" s="1" t="s">
        <v>36</v>
      </c>
      <c r="P215" s="1">
        <v>1.272</v>
      </c>
      <c r="Q215" s="1">
        <v>91.150999999999996</v>
      </c>
      <c r="R215" s="1">
        <v>-0.62220549999999997</v>
      </c>
      <c r="S215" s="1">
        <v>10.393222</v>
      </c>
      <c r="T215" s="1">
        <v>5.9419427000000002</v>
      </c>
      <c r="U215" s="1">
        <v>0.46200000000000002</v>
      </c>
      <c r="V215" s="1">
        <v>111</v>
      </c>
      <c r="W215" s="1">
        <v>175</v>
      </c>
      <c r="X215" s="1">
        <v>1.5765765765765767</v>
      </c>
      <c r="Y215" s="1">
        <v>121</v>
      </c>
      <c r="Z215" s="1">
        <v>175</v>
      </c>
      <c r="AA215" s="1">
        <v>1.4462809917355373</v>
      </c>
      <c r="AB215" s="1">
        <v>116.7183914305274</v>
      </c>
      <c r="AC215" s="1">
        <v>175.71610865865111</v>
      </c>
      <c r="AD215" s="1">
        <v>1.5054706161131433</v>
      </c>
      <c r="AE215" t="s">
        <v>4816</v>
      </c>
      <c r="AF215" t="str">
        <f>IF(X215&lt;$AF$1,"Bajo","Alto")</f>
        <v>Bajo</v>
      </c>
      <c r="AG215" t="str">
        <f>LEFT(AE215,1)</f>
        <v>D</v>
      </c>
      <c r="AH215" t="str">
        <f>K215</f>
        <v>M</v>
      </c>
      <c r="AI215" t="str">
        <f>LEFT(AF215,1)</f>
        <v>B</v>
      </c>
      <c r="AJ215" t="str">
        <f>LEFT(M215,1)</f>
        <v>J</v>
      </c>
      <c r="AK215" t="str">
        <f>_xlfn.CONCAT(AG215,AH215,AI215,AJ215)</f>
        <v>DMBJ</v>
      </c>
    </row>
    <row r="216" spans="1:37" ht="15.75" hidden="1" customHeight="1" x14ac:dyDescent="0.2">
      <c r="A216" s="1">
        <v>110601</v>
      </c>
      <c r="B216" s="1" t="s">
        <v>1648</v>
      </c>
      <c r="C216" s="1" t="s">
        <v>51</v>
      </c>
      <c r="D216" s="1" t="s">
        <v>1659</v>
      </c>
      <c r="E216" s="1" t="s">
        <v>88</v>
      </c>
      <c r="F216" s="1" t="s">
        <v>32</v>
      </c>
      <c r="G216" s="1" t="s">
        <v>1660</v>
      </c>
      <c r="H216" s="1">
        <v>4177</v>
      </c>
      <c r="I216" s="1" t="s">
        <v>65</v>
      </c>
      <c r="J216" s="1">
        <v>2</v>
      </c>
      <c r="K216" s="1" t="s">
        <v>49</v>
      </c>
      <c r="L216" s="1">
        <v>50</v>
      </c>
      <c r="M216" s="1" t="str">
        <f>IF(L216&lt;=45,"Joven","Mayor")</f>
        <v>Mayor</v>
      </c>
      <c r="N216" s="1">
        <v>50</v>
      </c>
      <c r="O216" s="1" t="s">
        <v>50</v>
      </c>
      <c r="P216" s="1">
        <v>0.93200000000000005</v>
      </c>
      <c r="Q216" s="1">
        <v>64.094999999999999</v>
      </c>
      <c r="R216" s="1">
        <v>-14.040770999999999</v>
      </c>
      <c r="S216" s="1">
        <v>0.28665363999999999</v>
      </c>
      <c r="T216" s="1">
        <v>10.20754</v>
      </c>
      <c r="U216" s="1">
        <v>10.792</v>
      </c>
      <c r="V216" s="1">
        <v>98</v>
      </c>
      <c r="W216" s="1">
        <v>151</v>
      </c>
      <c r="X216" s="1">
        <v>1.5408163265306123</v>
      </c>
      <c r="Y216" s="1">
        <v>113</v>
      </c>
      <c r="Z216" s="1">
        <v>151</v>
      </c>
      <c r="AA216" s="1">
        <v>1.336283185840708</v>
      </c>
      <c r="AB216" s="1">
        <v>105.0089704017112</v>
      </c>
      <c r="AC216" s="1">
        <v>150.91380195578091</v>
      </c>
      <c r="AD216" s="1">
        <v>1.4371515250407756</v>
      </c>
      <c r="AE216" t="s">
        <v>4817</v>
      </c>
      <c r="AF216" t="str">
        <f>IF(X216&lt;$AF$1,"Bajo","Alto")</f>
        <v>Bajo</v>
      </c>
      <c r="AG216" t="str">
        <f>LEFT(AE216,1)</f>
        <v>C</v>
      </c>
      <c r="AH216" t="str">
        <f>K216</f>
        <v>F</v>
      </c>
      <c r="AI216" t="str">
        <f>LEFT(AF216,1)</f>
        <v>B</v>
      </c>
      <c r="AJ216" t="str">
        <f>LEFT(M216,1)</f>
        <v>M</v>
      </c>
      <c r="AK216" t="str">
        <f>_xlfn.CONCAT(AG216,AH216,AI216,AJ216)</f>
        <v>CFBM</v>
      </c>
    </row>
    <row r="217" spans="1:37" ht="15.75" hidden="1" customHeight="1" x14ac:dyDescent="0.2">
      <c r="A217" s="1">
        <v>2510001</v>
      </c>
      <c r="B217" s="1" t="s">
        <v>3169</v>
      </c>
      <c r="C217" s="1" t="s">
        <v>821</v>
      </c>
      <c r="D217" s="1" t="s">
        <v>3192</v>
      </c>
      <c r="E217" s="1" t="s">
        <v>70</v>
      </c>
      <c r="F217" s="1" t="s">
        <v>32</v>
      </c>
      <c r="G217" s="1" t="s">
        <v>3193</v>
      </c>
      <c r="H217" s="1">
        <v>2394</v>
      </c>
      <c r="I217" s="1" t="s">
        <v>39</v>
      </c>
      <c r="J217" s="1">
        <v>11</v>
      </c>
      <c r="K217" s="1" t="s">
        <v>35</v>
      </c>
      <c r="L217" s="1">
        <v>49</v>
      </c>
      <c r="M217" s="1" t="str">
        <f>IF(L217&lt;=45,"Joven","Mayor")</f>
        <v>Mayor</v>
      </c>
      <c r="N217" s="1">
        <v>51</v>
      </c>
      <c r="O217" s="1" t="s">
        <v>36</v>
      </c>
      <c r="P217" s="1">
        <v>0.439</v>
      </c>
      <c r="Q217" s="1">
        <v>94.046999999999997</v>
      </c>
      <c r="R217" s="1">
        <v>-0.60575836999999999</v>
      </c>
      <c r="S217" s="1">
        <v>3.3856782999999999</v>
      </c>
      <c r="T217" s="1">
        <v>-2.4538688999999998</v>
      </c>
      <c r="U217" s="1">
        <v>44.076999999999998</v>
      </c>
      <c r="V217" s="1">
        <v>115</v>
      </c>
      <c r="W217" s="1">
        <v>179</v>
      </c>
      <c r="X217" s="1">
        <v>1.5565217391304347</v>
      </c>
      <c r="Y217" s="1">
        <v>115</v>
      </c>
      <c r="Z217" s="1">
        <v>179</v>
      </c>
      <c r="AA217" s="1">
        <v>1.5565217391304347</v>
      </c>
      <c r="AB217" s="1">
        <v>116.6927770094924</v>
      </c>
      <c r="AC217" s="1">
        <v>178.87867512485579</v>
      </c>
      <c r="AD217" s="1">
        <v>1.5329027186515995</v>
      </c>
      <c r="AE217" t="s">
        <v>4816</v>
      </c>
      <c r="AF217" t="str">
        <f>IF(X217&lt;$AF$1,"Bajo","Alto")</f>
        <v>Bajo</v>
      </c>
      <c r="AG217" t="str">
        <f>LEFT(AE217,1)</f>
        <v>D</v>
      </c>
      <c r="AH217" t="str">
        <f>K217</f>
        <v>M</v>
      </c>
      <c r="AI217" t="str">
        <f>LEFT(AF217,1)</f>
        <v>B</v>
      </c>
      <c r="AJ217" t="str">
        <f>LEFT(M217,1)</f>
        <v>M</v>
      </c>
      <c r="AK217" t="str">
        <f>_xlfn.CONCAT(AG217,AH217,AI217,AJ217)</f>
        <v>DMBM</v>
      </c>
    </row>
    <row r="218" spans="1:37" ht="15.75" hidden="1" customHeight="1" x14ac:dyDescent="0.2">
      <c r="A218" s="1">
        <v>480704</v>
      </c>
      <c r="B218" s="1" t="s">
        <v>4465</v>
      </c>
      <c r="C218" s="1" t="s">
        <v>2650</v>
      </c>
      <c r="D218" s="1" t="s">
        <v>4486</v>
      </c>
      <c r="E218" s="1" t="s">
        <v>43</v>
      </c>
      <c r="F218" s="1" t="s">
        <v>61</v>
      </c>
      <c r="G218" s="1" t="s">
        <v>4490</v>
      </c>
      <c r="H218" s="1">
        <v>4281</v>
      </c>
      <c r="I218" s="1" t="s">
        <v>4491</v>
      </c>
      <c r="J218" s="1">
        <v>2176</v>
      </c>
      <c r="K218" s="1" t="s">
        <v>35</v>
      </c>
      <c r="L218" s="1">
        <v>59</v>
      </c>
      <c r="M218" s="1" t="str">
        <f>IF(L218&lt;=45,"Joven","Mayor")</f>
        <v>Mayor</v>
      </c>
      <c r="N218" s="1">
        <v>41</v>
      </c>
      <c r="O218" s="1" t="s">
        <v>36</v>
      </c>
      <c r="P218" s="1">
        <v>0.35299999999999998</v>
      </c>
      <c r="Q218" s="1">
        <v>93.221999999999994</v>
      </c>
      <c r="R218" s="1">
        <v>-3.0169891999999998</v>
      </c>
      <c r="S218" s="1">
        <v>-0.39558488000000003</v>
      </c>
      <c r="T218" s="1">
        <v>4.0517973999999999</v>
      </c>
      <c r="U218" s="1">
        <v>3.927</v>
      </c>
      <c r="V218" s="1">
        <v>74</v>
      </c>
      <c r="W218" s="1">
        <v>150</v>
      </c>
      <c r="X218" s="1">
        <v>2.0270270270270272</v>
      </c>
      <c r="Y218" s="1">
        <v>76</v>
      </c>
      <c r="Z218" s="1">
        <v>150</v>
      </c>
      <c r="AA218" s="1">
        <v>1.9736842105263157</v>
      </c>
      <c r="AB218" s="1">
        <v>76.570715789670203</v>
      </c>
      <c r="AC218" s="1">
        <v>149.90772016015171</v>
      </c>
      <c r="AD218" s="1">
        <v>1.9577683010294527</v>
      </c>
      <c r="AE218" t="s">
        <v>4817</v>
      </c>
      <c r="AF218" t="str">
        <f>IF(X218&lt;$AF$1,"Bajo","Alto")</f>
        <v>Alto</v>
      </c>
      <c r="AG218" t="str">
        <f>LEFT(AE218,1)</f>
        <v>C</v>
      </c>
      <c r="AH218" t="str">
        <f>K218</f>
        <v>M</v>
      </c>
      <c r="AI218" t="str">
        <f>LEFT(AF218,1)</f>
        <v>A</v>
      </c>
      <c r="AJ218" t="str">
        <f>LEFT(M218,1)</f>
        <v>M</v>
      </c>
      <c r="AK218" t="str">
        <f>_xlfn.CONCAT(AG218,AH218,AI218,AJ218)</f>
        <v>CMAM</v>
      </c>
    </row>
    <row r="219" spans="1:37" ht="15.75" hidden="1" customHeight="1" x14ac:dyDescent="0.2">
      <c r="A219" s="1">
        <v>1533101</v>
      </c>
      <c r="B219" s="1" t="s">
        <v>2077</v>
      </c>
      <c r="C219" s="1" t="s">
        <v>57</v>
      </c>
      <c r="D219" s="1" t="s">
        <v>2423</v>
      </c>
      <c r="E219" s="1" t="s">
        <v>2424</v>
      </c>
      <c r="F219" s="1" t="s">
        <v>32</v>
      </c>
      <c r="G219" s="1" t="s">
        <v>2425</v>
      </c>
      <c r="H219" s="1">
        <v>1258</v>
      </c>
      <c r="I219" s="1" t="s">
        <v>39</v>
      </c>
      <c r="J219" s="1">
        <v>11</v>
      </c>
      <c r="K219" s="1" t="s">
        <v>35</v>
      </c>
      <c r="L219" s="1">
        <v>47</v>
      </c>
      <c r="M219" s="1" t="str">
        <f>IF(L219&lt;=45,"Joven","Mayor")</f>
        <v>Mayor</v>
      </c>
      <c r="N219" s="1">
        <v>46</v>
      </c>
      <c r="O219" s="1" t="s">
        <v>36</v>
      </c>
      <c r="P219" s="1">
        <v>0.36699999999999999</v>
      </c>
      <c r="Q219" s="1">
        <v>94.400999999999996</v>
      </c>
      <c r="R219" s="1">
        <v>0.48373105999999999</v>
      </c>
      <c r="S219" s="1">
        <v>2.0125109999999999</v>
      </c>
      <c r="T219" s="1">
        <v>0.60358489999999998</v>
      </c>
      <c r="U219" s="1">
        <v>16.940000000000001</v>
      </c>
      <c r="V219" s="1">
        <v>87</v>
      </c>
      <c r="W219" s="1">
        <v>137</v>
      </c>
      <c r="X219" s="1">
        <v>1.5747126436781609</v>
      </c>
      <c r="Y219" s="1">
        <v>89</v>
      </c>
      <c r="Z219" s="1">
        <v>137</v>
      </c>
      <c r="AA219" s="1">
        <v>1.5393258426966292</v>
      </c>
      <c r="AB219" s="1">
        <v>88.573687627434083</v>
      </c>
      <c r="AC219" s="1">
        <v>136.98186382330411</v>
      </c>
      <c r="AD219" s="1">
        <v>1.5465299852873742</v>
      </c>
      <c r="AE219" t="s">
        <v>4816</v>
      </c>
      <c r="AF219" t="str">
        <f>IF(X219&lt;$AF$1,"Bajo","Alto")</f>
        <v>Bajo</v>
      </c>
      <c r="AG219" t="str">
        <f>LEFT(AE219,1)</f>
        <v>D</v>
      </c>
      <c r="AH219" t="str">
        <f>K219</f>
        <v>M</v>
      </c>
      <c r="AI219" t="str">
        <f>LEFT(AF219,1)</f>
        <v>B</v>
      </c>
      <c r="AJ219" t="str">
        <f>LEFT(M219,1)</f>
        <v>M</v>
      </c>
      <c r="AK219" t="str">
        <f>_xlfn.CONCAT(AG219,AH219,AI219,AJ219)</f>
        <v>DMBM</v>
      </c>
    </row>
    <row r="220" spans="1:37" ht="15.75" hidden="1" customHeight="1" x14ac:dyDescent="0.2">
      <c r="A220" s="1">
        <v>114001</v>
      </c>
      <c r="B220" s="1" t="s">
        <v>1648</v>
      </c>
      <c r="C220" s="1" t="s">
        <v>51</v>
      </c>
      <c r="D220" s="1" t="s">
        <v>1710</v>
      </c>
      <c r="E220" s="1" t="s">
        <v>657</v>
      </c>
      <c r="F220" s="1" t="s">
        <v>32</v>
      </c>
      <c r="G220" s="1" t="s">
        <v>1711</v>
      </c>
      <c r="H220" s="1">
        <v>5229</v>
      </c>
      <c r="I220" s="1" t="s">
        <v>91</v>
      </c>
      <c r="J220" s="1">
        <v>6</v>
      </c>
      <c r="K220" s="1" t="s">
        <v>35</v>
      </c>
      <c r="L220" s="1">
        <v>42</v>
      </c>
      <c r="M220" s="1" t="str">
        <f>IF(L220&lt;=45,"Joven","Mayor")</f>
        <v>Joven</v>
      </c>
      <c r="N220" s="1">
        <v>49</v>
      </c>
      <c r="O220" s="1" t="s">
        <v>36</v>
      </c>
      <c r="P220" s="1">
        <v>0.45800000000000002</v>
      </c>
      <c r="Q220" s="1">
        <v>88.813999999999993</v>
      </c>
      <c r="R220" s="1">
        <v>-1.5208687999999999</v>
      </c>
      <c r="S220" s="1">
        <v>12.971299</v>
      </c>
      <c r="T220" s="1">
        <v>-1.6526228999999999</v>
      </c>
      <c r="U220" s="1">
        <v>3.1819999999999999</v>
      </c>
      <c r="V220" s="1">
        <v>101</v>
      </c>
      <c r="W220" s="1">
        <v>156</v>
      </c>
      <c r="X220" s="1">
        <v>1.5445544554455446</v>
      </c>
      <c r="Y220" s="1">
        <v>101</v>
      </c>
      <c r="Z220" s="1">
        <v>156</v>
      </c>
      <c r="AA220" s="1">
        <v>1.5445544554455446</v>
      </c>
      <c r="AB220" s="1">
        <v>102.2269362603042</v>
      </c>
      <c r="AC220" s="1">
        <v>156.02163078033209</v>
      </c>
      <c r="AD220" s="1">
        <v>1.5262281790686605</v>
      </c>
      <c r="AE220" t="s">
        <v>4817</v>
      </c>
      <c r="AF220" t="str">
        <f>IF(X220&lt;$AF$1,"Bajo","Alto")</f>
        <v>Bajo</v>
      </c>
      <c r="AG220" t="str">
        <f>LEFT(AE220,1)</f>
        <v>C</v>
      </c>
      <c r="AH220" t="str">
        <f>K220</f>
        <v>M</v>
      </c>
      <c r="AI220" t="str">
        <f>LEFT(AF220,1)</f>
        <v>B</v>
      </c>
      <c r="AJ220" t="str">
        <f>LEFT(M220,1)</f>
        <v>J</v>
      </c>
      <c r="AK220" t="str">
        <f>_xlfn.CONCAT(AG220,AH220,AI220,AJ220)</f>
        <v>CMBJ</v>
      </c>
    </row>
    <row r="221" spans="1:37" ht="15.75" hidden="1" customHeight="1" x14ac:dyDescent="0.2">
      <c r="A221" s="1">
        <v>1524101</v>
      </c>
      <c r="B221" s="1" t="s">
        <v>2077</v>
      </c>
      <c r="C221" s="1" t="s">
        <v>57</v>
      </c>
      <c r="D221" s="1" t="s">
        <v>2295</v>
      </c>
      <c r="E221" s="1" t="s">
        <v>487</v>
      </c>
      <c r="F221" s="1" t="s">
        <v>32</v>
      </c>
      <c r="G221" s="1" t="s">
        <v>2296</v>
      </c>
      <c r="H221" s="1">
        <v>312</v>
      </c>
      <c r="I221" s="1" t="s">
        <v>42</v>
      </c>
      <c r="J221" s="1">
        <v>15</v>
      </c>
      <c r="K221" s="1" t="s">
        <v>35</v>
      </c>
      <c r="L221" s="1">
        <v>51</v>
      </c>
      <c r="M221" s="1" t="str">
        <f>IF(L221&lt;=45,"Joven","Mayor")</f>
        <v>Mayor</v>
      </c>
      <c r="N221" s="1">
        <v>54</v>
      </c>
      <c r="O221" s="1" t="s">
        <v>36</v>
      </c>
      <c r="P221" s="1">
        <v>0.253</v>
      </c>
      <c r="Q221" s="1">
        <v>93.888000000000005</v>
      </c>
      <c r="R221" s="1">
        <v>1.1694419</v>
      </c>
      <c r="S221" s="1">
        <v>2.9885316</v>
      </c>
      <c r="T221" s="1">
        <v>-6.1224290000000003</v>
      </c>
      <c r="U221" s="1">
        <v>64.379000000000005</v>
      </c>
      <c r="V221" s="1">
        <v>97</v>
      </c>
      <c r="W221" s="1">
        <v>148</v>
      </c>
      <c r="X221" s="1">
        <v>1.5257731958762886</v>
      </c>
      <c r="Y221" s="1">
        <v>98</v>
      </c>
      <c r="Z221" s="1">
        <v>148</v>
      </c>
      <c r="AA221" s="1">
        <v>1.510204081632653</v>
      </c>
      <c r="AB221" s="1">
        <v>100.81952374423049</v>
      </c>
      <c r="AC221" s="1">
        <v>147.7957677738091</v>
      </c>
      <c r="AD221" s="1">
        <v>1.4659439192427932</v>
      </c>
      <c r="AE221" t="s">
        <v>4817</v>
      </c>
      <c r="AF221" t="str">
        <f>IF(X221&lt;$AF$1,"Bajo","Alto")</f>
        <v>Bajo</v>
      </c>
      <c r="AG221" t="str">
        <f>LEFT(AE221,1)</f>
        <v>C</v>
      </c>
      <c r="AH221" t="str">
        <f>K221</f>
        <v>M</v>
      </c>
      <c r="AI221" t="str">
        <f>LEFT(AF221,1)</f>
        <v>B</v>
      </c>
      <c r="AJ221" t="str">
        <f>LEFT(M221,1)</f>
        <v>M</v>
      </c>
      <c r="AK221" t="str">
        <f>_xlfn.CONCAT(AG221,AH221,AI221,AJ221)</f>
        <v>CMBM</v>
      </c>
    </row>
    <row r="222" spans="1:37" ht="15.75" hidden="1" customHeight="1" x14ac:dyDescent="0.2">
      <c r="A222" s="1">
        <v>231002</v>
      </c>
      <c r="B222" s="1" t="s">
        <v>319</v>
      </c>
      <c r="C222" s="1" t="s">
        <v>1989</v>
      </c>
      <c r="D222" s="1" t="s">
        <v>2921</v>
      </c>
      <c r="E222" s="1" t="s">
        <v>75</v>
      </c>
      <c r="F222" s="1" t="s">
        <v>37</v>
      </c>
      <c r="G222" s="1" t="s">
        <v>2923</v>
      </c>
      <c r="H222" s="1">
        <v>2285</v>
      </c>
      <c r="I222" s="1" t="s">
        <v>108</v>
      </c>
      <c r="J222" s="1">
        <v>3</v>
      </c>
      <c r="K222" s="1" t="s">
        <v>49</v>
      </c>
      <c r="L222" s="1">
        <v>50</v>
      </c>
      <c r="M222" s="1" t="str">
        <f>IF(L222&lt;=45,"Joven","Mayor")</f>
        <v>Mayor</v>
      </c>
      <c r="N222" s="1">
        <v>59</v>
      </c>
      <c r="O222" s="1" t="s">
        <v>50</v>
      </c>
      <c r="P222" s="1">
        <v>0.378</v>
      </c>
      <c r="Q222" s="1">
        <v>77.299000000000007</v>
      </c>
      <c r="R222" s="1">
        <v>-10.906032</v>
      </c>
      <c r="S222" s="1">
        <v>4.2227589999999999</v>
      </c>
      <c r="T222" s="1">
        <v>-13.635406</v>
      </c>
      <c r="U222" s="1">
        <v>87.084999999999994</v>
      </c>
      <c r="V222" s="1">
        <v>65</v>
      </c>
      <c r="W222" s="1">
        <v>136</v>
      </c>
      <c r="X222" s="1">
        <v>2.0923076923076924</v>
      </c>
      <c r="Y222" s="1">
        <v>84</v>
      </c>
      <c r="Z222" s="1">
        <v>136</v>
      </c>
      <c r="AA222" s="1">
        <v>1.6190476190476191</v>
      </c>
      <c r="AB222" s="1">
        <v>79.039333106047025</v>
      </c>
      <c r="AC222" s="1">
        <v>142.30384496159061</v>
      </c>
      <c r="AD222" s="1">
        <v>1.80041808767113</v>
      </c>
      <c r="AE222" t="s">
        <v>4817</v>
      </c>
      <c r="AF222" t="str">
        <f>IF(X222&lt;$AF$1,"Bajo","Alto")</f>
        <v>Alto</v>
      </c>
      <c r="AG222" t="str">
        <f>LEFT(AE222,1)</f>
        <v>C</v>
      </c>
      <c r="AH222" t="str">
        <f>K222</f>
        <v>F</v>
      </c>
      <c r="AI222" t="str">
        <f>LEFT(AF222,1)</f>
        <v>A</v>
      </c>
      <c r="AJ222" t="str">
        <f>LEFT(M222,1)</f>
        <v>M</v>
      </c>
      <c r="AK222" t="str">
        <f>_xlfn.CONCAT(AG222,AH222,AI222,AJ222)</f>
        <v>CFAM</v>
      </c>
    </row>
    <row r="223" spans="1:37" ht="15.75" hidden="1" customHeight="1" x14ac:dyDescent="0.2">
      <c r="A223" s="1">
        <v>1528302</v>
      </c>
      <c r="B223" s="1" t="s">
        <v>2077</v>
      </c>
      <c r="C223" s="1" t="s">
        <v>57</v>
      </c>
      <c r="D223" s="1" t="s">
        <v>2351</v>
      </c>
      <c r="E223" s="1" t="s">
        <v>569</v>
      </c>
      <c r="F223" s="1" t="s">
        <v>37</v>
      </c>
      <c r="G223" s="1" t="s">
        <v>2352</v>
      </c>
      <c r="H223" s="1">
        <v>437</v>
      </c>
      <c r="I223" s="1" t="s">
        <v>2353</v>
      </c>
      <c r="J223" s="1">
        <v>2092</v>
      </c>
      <c r="K223" s="1" t="s">
        <v>35</v>
      </c>
      <c r="L223" s="1">
        <v>55</v>
      </c>
      <c r="M223" s="1" t="str">
        <f>IF(L223&lt;=45,"Joven","Mayor")</f>
        <v>Mayor</v>
      </c>
      <c r="N223" s="1">
        <v>48</v>
      </c>
      <c r="O223" s="1" t="s">
        <v>36</v>
      </c>
      <c r="P223" s="1">
        <v>0.34</v>
      </c>
      <c r="Q223" s="1">
        <v>71.959999999999994</v>
      </c>
      <c r="R223" s="1">
        <v>12.479962</v>
      </c>
      <c r="S223" s="1">
        <v>2.1903853</v>
      </c>
      <c r="T223" s="1">
        <v>-15.283906999999999</v>
      </c>
      <c r="U223" s="1">
        <v>2.3140000000000001</v>
      </c>
      <c r="V223" s="1">
        <v>76</v>
      </c>
      <c r="W223" s="1">
        <v>154</v>
      </c>
      <c r="X223" s="1">
        <v>2.0263157894736841</v>
      </c>
      <c r="Y223" s="1">
        <v>89</v>
      </c>
      <c r="Z223" s="1">
        <v>154</v>
      </c>
      <c r="AA223" s="1">
        <v>1.7303370786516854</v>
      </c>
      <c r="AB223" s="1">
        <v>85.701293272300973</v>
      </c>
      <c r="AC223" s="1">
        <v>153.03448639753199</v>
      </c>
      <c r="AD223" s="1">
        <v>1.7856730109228516</v>
      </c>
      <c r="AE223" t="s">
        <v>4817</v>
      </c>
      <c r="AF223" t="str">
        <f>IF(X223&lt;$AF$1,"Bajo","Alto")</f>
        <v>Alto</v>
      </c>
      <c r="AG223" t="str">
        <f>LEFT(AE223,1)</f>
        <v>C</v>
      </c>
      <c r="AH223" t="str">
        <f>K223</f>
        <v>M</v>
      </c>
      <c r="AI223" t="str">
        <f>LEFT(AF223,1)</f>
        <v>A</v>
      </c>
      <c r="AJ223" t="str">
        <f>LEFT(M223,1)</f>
        <v>M</v>
      </c>
      <c r="AK223" t="str">
        <f>_xlfn.CONCAT(AG223,AH223,AI223,AJ223)</f>
        <v>CMAM</v>
      </c>
    </row>
    <row r="224" spans="1:37" ht="15.75" hidden="1" customHeight="1" x14ac:dyDescent="0.2">
      <c r="A224" s="1">
        <v>278207</v>
      </c>
      <c r="B224" s="1" t="s">
        <v>3409</v>
      </c>
      <c r="C224" s="1" t="s">
        <v>973</v>
      </c>
      <c r="D224" s="1" t="s">
        <v>3742</v>
      </c>
      <c r="E224" s="1" t="s">
        <v>752</v>
      </c>
      <c r="F224" s="1" t="s">
        <v>43</v>
      </c>
      <c r="G224" s="1" t="s">
        <v>3746</v>
      </c>
      <c r="H224" s="1">
        <v>1205</v>
      </c>
      <c r="I224" s="1" t="s">
        <v>93</v>
      </c>
      <c r="J224" s="1">
        <v>9</v>
      </c>
      <c r="K224" s="1" t="s">
        <v>35</v>
      </c>
      <c r="L224" s="1">
        <v>69</v>
      </c>
      <c r="M224" s="1" t="str">
        <f>IF(L224&lt;=45,"Joven","Mayor")</f>
        <v>Mayor</v>
      </c>
      <c r="N224" s="1">
        <v>75</v>
      </c>
      <c r="O224" s="1" t="s">
        <v>36</v>
      </c>
      <c r="P224" s="1">
        <v>0.33600000000000002</v>
      </c>
      <c r="Q224" s="1">
        <v>93.043000000000006</v>
      </c>
      <c r="R224" s="1">
        <v>2.2392135</v>
      </c>
      <c r="S224" s="1">
        <v>-3.7074655999999999</v>
      </c>
      <c r="T224" s="1">
        <v>-0.29438700000000001</v>
      </c>
      <c r="U224" s="1">
        <v>25.446000000000002</v>
      </c>
      <c r="V224" s="1">
        <v>106</v>
      </c>
      <c r="W224" s="1">
        <v>166</v>
      </c>
      <c r="X224" s="1">
        <v>1.5660377358490567</v>
      </c>
      <c r="Y224" s="1">
        <v>106</v>
      </c>
      <c r="Z224" s="1">
        <v>166</v>
      </c>
      <c r="AA224" s="1">
        <v>1.5660377358490567</v>
      </c>
      <c r="AB224" s="1">
        <v>106.2041208342696</v>
      </c>
      <c r="AC224" s="1">
        <v>165.97725686576811</v>
      </c>
      <c r="AD224" s="1">
        <v>1.562813717226414</v>
      </c>
      <c r="AE224" t="s">
        <v>4815</v>
      </c>
      <c r="AF224" t="str">
        <f>IF(X224&lt;$AF$1,"Bajo","Alto")</f>
        <v>Bajo</v>
      </c>
      <c r="AG224" t="str">
        <f>LEFT(AE224,1)</f>
        <v>I</v>
      </c>
      <c r="AH224" t="str">
        <f>K224</f>
        <v>M</v>
      </c>
      <c r="AI224" t="str">
        <f>LEFT(AF224,1)</f>
        <v>B</v>
      </c>
      <c r="AJ224" t="str">
        <f>LEFT(M224,1)</f>
        <v>M</v>
      </c>
      <c r="AK224" t="str">
        <f>_xlfn.CONCAT(AG224,AH224,AI224,AJ224)</f>
        <v>IMBM</v>
      </c>
    </row>
    <row r="225" spans="1:37" ht="15.75" hidden="1" customHeight="1" x14ac:dyDescent="0.2">
      <c r="A225" s="1">
        <v>1530702</v>
      </c>
      <c r="B225" s="1" t="s">
        <v>2077</v>
      </c>
      <c r="C225" s="1" t="s">
        <v>57</v>
      </c>
      <c r="D225" s="1" t="s">
        <v>2387</v>
      </c>
      <c r="E225" s="1" t="s">
        <v>1374</v>
      </c>
      <c r="F225" s="1" t="s">
        <v>37</v>
      </c>
      <c r="G225" s="1" t="s">
        <v>2388</v>
      </c>
      <c r="H225" s="1">
        <v>2971</v>
      </c>
      <c r="I225" s="1" t="s">
        <v>2389</v>
      </c>
      <c r="J225" s="1">
        <v>2460</v>
      </c>
      <c r="K225" s="1" t="s">
        <v>35</v>
      </c>
      <c r="L225" s="1">
        <v>27</v>
      </c>
      <c r="M225" s="1" t="str">
        <f>IF(L225&lt;=45,"Joven","Mayor")</f>
        <v>Joven</v>
      </c>
      <c r="N225" s="1">
        <v>32</v>
      </c>
      <c r="O225" s="1" t="s">
        <v>36</v>
      </c>
      <c r="P225" s="1">
        <v>0.36299999999999999</v>
      </c>
      <c r="Q225" s="1">
        <v>93.682000000000002</v>
      </c>
      <c r="R225" s="1">
        <v>1.9877857000000001</v>
      </c>
      <c r="S225" s="1">
        <v>1.5864111999999999</v>
      </c>
      <c r="T225" s="1">
        <v>0.43286829999999998</v>
      </c>
      <c r="U225" s="1">
        <v>22.396000000000001</v>
      </c>
      <c r="V225" s="1">
        <v>106</v>
      </c>
      <c r="W225" s="1">
        <v>164</v>
      </c>
      <c r="X225" s="1">
        <v>1.5471698113207548</v>
      </c>
      <c r="Y225" s="1">
        <v>109</v>
      </c>
      <c r="Z225" s="1">
        <v>164</v>
      </c>
      <c r="AA225" s="1">
        <v>1.5045871559633028</v>
      </c>
      <c r="AB225" s="1">
        <v>108.66447345284701</v>
      </c>
      <c r="AC225" s="1">
        <v>164.0255392734025</v>
      </c>
      <c r="AD225" s="1">
        <v>1.5094679434910108</v>
      </c>
      <c r="AE225" t="s">
        <v>4817</v>
      </c>
      <c r="AF225" t="str">
        <f>IF(X225&lt;$AF$1,"Bajo","Alto")</f>
        <v>Bajo</v>
      </c>
      <c r="AG225" t="str">
        <f>LEFT(AE225,1)</f>
        <v>C</v>
      </c>
      <c r="AH225" t="str">
        <f>K225</f>
        <v>M</v>
      </c>
      <c r="AI225" t="str">
        <f>LEFT(AF225,1)</f>
        <v>B</v>
      </c>
      <c r="AJ225" t="str">
        <f>LEFT(M225,1)</f>
        <v>J</v>
      </c>
      <c r="AK225" t="str">
        <f>_xlfn.CONCAT(AG225,AH225,AI225,AJ225)</f>
        <v>CMBJ</v>
      </c>
    </row>
    <row r="226" spans="1:37" ht="15.75" hidden="1" customHeight="1" x14ac:dyDescent="0.2">
      <c r="A226" s="1">
        <v>10123803</v>
      </c>
      <c r="B226" s="1" t="s">
        <v>29</v>
      </c>
      <c r="C226" s="1" t="s">
        <v>30</v>
      </c>
      <c r="D226" s="1" t="s">
        <v>477</v>
      </c>
      <c r="E226" s="1" t="s">
        <v>478</v>
      </c>
      <c r="F226" s="1" t="s">
        <v>63</v>
      </c>
      <c r="G226" s="1" t="s">
        <v>480</v>
      </c>
      <c r="H226" s="1">
        <v>50</v>
      </c>
      <c r="I226" s="1" t="s">
        <v>85</v>
      </c>
      <c r="J226" s="1">
        <v>12</v>
      </c>
      <c r="K226" s="1" t="s">
        <v>35</v>
      </c>
      <c r="L226" s="1">
        <v>54</v>
      </c>
      <c r="M226" s="1" t="str">
        <f>IF(L226&lt;=45,"Joven","Mayor")</f>
        <v>Mayor</v>
      </c>
      <c r="N226" s="1">
        <v>50</v>
      </c>
      <c r="O226" s="1" t="s">
        <v>36</v>
      </c>
      <c r="P226" s="1">
        <v>0.36699999999999999</v>
      </c>
      <c r="Q226" s="1">
        <v>84.322999999999993</v>
      </c>
      <c r="R226" s="1">
        <v>6.2988095</v>
      </c>
      <c r="S226" s="1">
        <v>10.866382</v>
      </c>
      <c r="T226" s="1">
        <v>-6.8763459999999998</v>
      </c>
      <c r="U226" s="1">
        <v>4.75</v>
      </c>
      <c r="V226" s="1">
        <v>97</v>
      </c>
      <c r="W226" s="1">
        <v>152</v>
      </c>
      <c r="X226" s="1">
        <v>1.5670103092783505</v>
      </c>
      <c r="Y226" s="1">
        <v>103</v>
      </c>
      <c r="Z226" s="1">
        <v>152</v>
      </c>
      <c r="AA226" s="1">
        <v>1.4757281553398058</v>
      </c>
      <c r="AB226" s="1">
        <v>101.6899789321164</v>
      </c>
      <c r="AC226" s="1">
        <v>152.46309262577731</v>
      </c>
      <c r="AD226" s="1">
        <v>1.4992931872623823</v>
      </c>
      <c r="AE226" t="s">
        <v>4815</v>
      </c>
      <c r="AF226" t="str">
        <f>IF(X226&lt;$AF$1,"Bajo","Alto")</f>
        <v>Bajo</v>
      </c>
      <c r="AG226" t="str">
        <f>LEFT(AE226,1)</f>
        <v>I</v>
      </c>
      <c r="AH226" t="str">
        <f>K226</f>
        <v>M</v>
      </c>
      <c r="AI226" t="str">
        <f>LEFT(AF226,1)</f>
        <v>B</v>
      </c>
      <c r="AJ226" t="str">
        <f>LEFT(M226,1)</f>
        <v>M</v>
      </c>
      <c r="AK226" t="str">
        <f>_xlfn.CONCAT(AG226,AH226,AI226,AJ226)</f>
        <v>IMBM</v>
      </c>
    </row>
    <row r="227" spans="1:37" ht="15.75" hidden="1" customHeight="1" x14ac:dyDescent="0.2">
      <c r="A227" s="1">
        <v>2818006</v>
      </c>
      <c r="B227" s="1" t="s">
        <v>1775</v>
      </c>
      <c r="C227" s="1" t="s">
        <v>561</v>
      </c>
      <c r="D227" s="1" t="s">
        <v>3792</v>
      </c>
      <c r="E227" s="1" t="s">
        <v>1809</v>
      </c>
      <c r="F227" s="1" t="s">
        <v>88</v>
      </c>
      <c r="G227" s="1" t="s">
        <v>3794</v>
      </c>
      <c r="H227" s="1">
        <v>30</v>
      </c>
      <c r="I227" s="1" t="s">
        <v>45</v>
      </c>
      <c r="J227" s="1">
        <v>17</v>
      </c>
      <c r="K227" s="1" t="s">
        <v>35</v>
      </c>
      <c r="L227" s="1">
        <v>54</v>
      </c>
      <c r="M227" s="1" t="str">
        <f>IF(L227&lt;=45,"Joven","Mayor")</f>
        <v>Mayor</v>
      </c>
      <c r="N227" s="1">
        <v>51</v>
      </c>
      <c r="O227" s="1" t="s">
        <v>36</v>
      </c>
      <c r="P227" s="1">
        <v>0.20200000000000001</v>
      </c>
      <c r="Q227" s="1">
        <v>94.388000000000005</v>
      </c>
      <c r="R227" s="1">
        <v>-0.55661519999999998</v>
      </c>
      <c r="S227" s="1">
        <v>-2.1013280999999999</v>
      </c>
      <c r="T227" s="1">
        <v>-5.3930243999999998</v>
      </c>
      <c r="U227" s="1">
        <v>29.04</v>
      </c>
      <c r="V227" s="1">
        <v>102</v>
      </c>
      <c r="W227" s="1">
        <v>160</v>
      </c>
      <c r="X227" s="1">
        <v>1.5686274509803921</v>
      </c>
      <c r="Y227" s="1">
        <v>102</v>
      </c>
      <c r="Z227" s="1">
        <v>160</v>
      </c>
      <c r="AA227" s="1">
        <v>1.5686274509803921</v>
      </c>
      <c r="AB227" s="1">
        <v>105.8718951586243</v>
      </c>
      <c r="AC227" s="1">
        <v>159.5737076608093</v>
      </c>
      <c r="AD227" s="1">
        <v>1.5072338831918082</v>
      </c>
      <c r="AE227" t="s">
        <v>4815</v>
      </c>
      <c r="AF227" t="str">
        <f>IF(X227&lt;$AF$1,"Bajo","Alto")</f>
        <v>Bajo</v>
      </c>
      <c r="AG227" t="str">
        <f>LEFT(AE227,1)</f>
        <v>I</v>
      </c>
      <c r="AH227" t="str">
        <f>K227</f>
        <v>M</v>
      </c>
      <c r="AI227" t="str">
        <f>LEFT(AF227,1)</f>
        <v>B</v>
      </c>
      <c r="AJ227" t="str">
        <f>LEFT(M227,1)</f>
        <v>M</v>
      </c>
      <c r="AK227" t="str">
        <f>_xlfn.CONCAT(AG227,AH227,AI227,AJ227)</f>
        <v>IMBM</v>
      </c>
    </row>
    <row r="228" spans="1:37" ht="15.75" hidden="1" customHeight="1" x14ac:dyDescent="0.2">
      <c r="A228" s="1">
        <v>157601</v>
      </c>
      <c r="B228" s="1" t="s">
        <v>2077</v>
      </c>
      <c r="C228" s="1" t="s">
        <v>57</v>
      </c>
      <c r="D228" s="1" t="s">
        <v>2513</v>
      </c>
      <c r="E228" s="1" t="s">
        <v>727</v>
      </c>
      <c r="F228" s="1" t="s">
        <v>32</v>
      </c>
      <c r="G228" s="1" t="s">
        <v>2514</v>
      </c>
      <c r="H228" s="1">
        <v>7577</v>
      </c>
      <c r="I228" s="1" t="s">
        <v>39</v>
      </c>
      <c r="J228" s="1">
        <v>11</v>
      </c>
      <c r="K228" s="1" t="s">
        <v>35</v>
      </c>
      <c r="L228" s="1">
        <v>59</v>
      </c>
      <c r="M228" s="1" t="str">
        <f>IF(L228&lt;=45,"Joven","Mayor")</f>
        <v>Mayor</v>
      </c>
      <c r="N228" s="1">
        <v>61</v>
      </c>
      <c r="O228" s="1" t="s">
        <v>36</v>
      </c>
      <c r="P228" s="1">
        <v>0.23</v>
      </c>
      <c r="Q228" s="1">
        <v>84.832999999999998</v>
      </c>
      <c r="R228" s="1">
        <v>8.5867369999999994</v>
      </c>
      <c r="S228" s="1">
        <v>-3.2149288999999999</v>
      </c>
      <c r="T228" s="1">
        <v>-3.9410346000000001</v>
      </c>
      <c r="U228" s="1">
        <v>5.7519999999999998</v>
      </c>
      <c r="V228" s="1">
        <v>106</v>
      </c>
      <c r="W228" s="1">
        <v>168</v>
      </c>
      <c r="X228" s="1">
        <v>1.5849056603773586</v>
      </c>
      <c r="Y228" s="1">
        <v>110</v>
      </c>
      <c r="Z228" s="1">
        <v>168</v>
      </c>
      <c r="AA228" s="1">
        <v>1.5272727272727273</v>
      </c>
      <c r="AB228" s="1">
        <v>108.4298053228565</v>
      </c>
      <c r="AC228" s="1">
        <v>167.25908325980799</v>
      </c>
      <c r="AD228" s="1">
        <v>1.5425563364407384</v>
      </c>
      <c r="AE228" t="s">
        <v>4816</v>
      </c>
      <c r="AF228" t="str">
        <f>IF(X228&lt;$AF$1,"Bajo","Alto")</f>
        <v>Bajo</v>
      </c>
      <c r="AG228" t="str">
        <f>LEFT(AE228,1)</f>
        <v>D</v>
      </c>
      <c r="AH228" t="str">
        <f>K228</f>
        <v>M</v>
      </c>
      <c r="AI228" t="str">
        <f>LEFT(AF228,1)</f>
        <v>B</v>
      </c>
      <c r="AJ228" t="str">
        <f>LEFT(M228,1)</f>
        <v>M</v>
      </c>
      <c r="AK228" t="str">
        <f>_xlfn.CONCAT(AG228,AH228,AI228,AJ228)</f>
        <v>DMBM</v>
      </c>
    </row>
    <row r="229" spans="1:37" ht="15.75" hidden="1" customHeight="1" x14ac:dyDescent="0.2">
      <c r="A229" s="1">
        <v>1527403</v>
      </c>
      <c r="B229" s="1" t="s">
        <v>2077</v>
      </c>
      <c r="C229" s="1" t="s">
        <v>57</v>
      </c>
      <c r="D229" s="1" t="s">
        <v>2336</v>
      </c>
      <c r="E229" s="1" t="s">
        <v>1323</v>
      </c>
      <c r="F229" s="1" t="s">
        <v>63</v>
      </c>
      <c r="G229" s="1" t="s">
        <v>2338</v>
      </c>
      <c r="H229" s="1">
        <v>1250</v>
      </c>
      <c r="I229" s="1" t="s">
        <v>2339</v>
      </c>
      <c r="J229" s="1">
        <v>2091</v>
      </c>
      <c r="K229" s="1" t="s">
        <v>35</v>
      </c>
      <c r="L229" s="1">
        <v>59</v>
      </c>
      <c r="M229" s="1" t="str">
        <f>IF(L229&lt;=45,"Joven","Mayor")</f>
        <v>Mayor</v>
      </c>
      <c r="N229" s="1">
        <v>57</v>
      </c>
      <c r="O229" s="1" t="s">
        <v>36</v>
      </c>
      <c r="P229" s="1">
        <v>0.113</v>
      </c>
      <c r="Q229" s="1">
        <v>80.930000000000007</v>
      </c>
      <c r="R229" s="1">
        <v>9.8583949999999998</v>
      </c>
      <c r="S229" s="1">
        <v>4.3090324000000004</v>
      </c>
      <c r="T229" s="1">
        <v>-4.1977362999999999</v>
      </c>
      <c r="U229" s="1">
        <v>20.895</v>
      </c>
      <c r="V229" s="1">
        <v>110</v>
      </c>
      <c r="W229" s="1">
        <v>168</v>
      </c>
      <c r="X229" s="1">
        <v>1.5272727272727273</v>
      </c>
      <c r="Y229" s="1">
        <v>111</v>
      </c>
      <c r="Z229" s="1">
        <v>168</v>
      </c>
      <c r="AA229" s="1">
        <v>1.5135135135135136</v>
      </c>
      <c r="AB229" s="1">
        <v>112.7060612620251</v>
      </c>
      <c r="AC229" s="1">
        <v>167.18332419180479</v>
      </c>
      <c r="AD229" s="1">
        <v>1.4833569935793252</v>
      </c>
      <c r="AE229" t="s">
        <v>4817</v>
      </c>
      <c r="AF229" t="str">
        <f>IF(X229&lt;$AF$1,"Bajo","Alto")</f>
        <v>Bajo</v>
      </c>
      <c r="AG229" t="str">
        <f>LEFT(AE229,1)</f>
        <v>C</v>
      </c>
      <c r="AH229" t="str">
        <f>K229</f>
        <v>M</v>
      </c>
      <c r="AI229" t="str">
        <f>LEFT(AF229,1)</f>
        <v>B</v>
      </c>
      <c r="AJ229" t="str">
        <f>LEFT(M229,1)</f>
        <v>M</v>
      </c>
      <c r="AK229" t="str">
        <f>_xlfn.CONCAT(AG229,AH229,AI229,AJ229)</f>
        <v>CMBM</v>
      </c>
    </row>
    <row r="230" spans="1:37" ht="15.75" hidden="1" customHeight="1" x14ac:dyDescent="0.2">
      <c r="A230" s="1">
        <v>318805</v>
      </c>
      <c r="B230" s="1" t="s">
        <v>4122</v>
      </c>
      <c r="C230" s="1" t="s">
        <v>628</v>
      </c>
      <c r="D230" s="1" t="s">
        <v>4271</v>
      </c>
      <c r="E230" s="1" t="s">
        <v>763</v>
      </c>
      <c r="F230" s="1" t="s">
        <v>40</v>
      </c>
      <c r="G230" s="1" t="s">
        <v>4272</v>
      </c>
      <c r="H230" s="1">
        <v>2521</v>
      </c>
      <c r="I230" s="1" t="s">
        <v>65</v>
      </c>
      <c r="J230" s="1">
        <v>2</v>
      </c>
      <c r="K230" s="1" t="s">
        <v>35</v>
      </c>
      <c r="L230" s="1">
        <v>71</v>
      </c>
      <c r="M230" s="1" t="str">
        <f>IF(L230&lt;=45,"Joven","Mayor")</f>
        <v>Mayor</v>
      </c>
      <c r="N230" s="1">
        <v>70</v>
      </c>
      <c r="O230" s="1" t="s">
        <v>36</v>
      </c>
      <c r="P230" s="1">
        <v>3.4000000000000002E-2</v>
      </c>
      <c r="Q230" s="1">
        <v>93.215000000000003</v>
      </c>
      <c r="R230" s="1">
        <v>-0.41884254999999998</v>
      </c>
      <c r="S230" s="1">
        <v>7.0013027000000001</v>
      </c>
      <c r="T230" s="1">
        <v>-0.20914701999999999</v>
      </c>
      <c r="U230" s="1">
        <v>1.5149999999999999</v>
      </c>
      <c r="V230" s="1">
        <v>110</v>
      </c>
      <c r="W230" s="1">
        <v>168</v>
      </c>
      <c r="X230" s="1">
        <v>1.5272727272727273</v>
      </c>
      <c r="Y230" s="1">
        <v>110</v>
      </c>
      <c r="Z230" s="1">
        <v>168</v>
      </c>
      <c r="AA230" s="1">
        <v>1.5272727272727273</v>
      </c>
      <c r="AB230" s="1">
        <v>110.1598801657851</v>
      </c>
      <c r="AC230" s="1">
        <v>167.99158013272239</v>
      </c>
      <c r="AD230" s="1">
        <v>1.5249796920612431</v>
      </c>
      <c r="AE230" t="s">
        <v>4817</v>
      </c>
      <c r="AF230" t="str">
        <f>IF(X230&lt;$AF$1,"Bajo","Alto")</f>
        <v>Bajo</v>
      </c>
      <c r="AG230" t="str">
        <f>LEFT(AE230,1)</f>
        <v>C</v>
      </c>
      <c r="AH230" t="str">
        <f>K230</f>
        <v>M</v>
      </c>
      <c r="AI230" t="str">
        <f>LEFT(AF230,1)</f>
        <v>B</v>
      </c>
      <c r="AJ230" t="str">
        <f>LEFT(M230,1)</f>
        <v>M</v>
      </c>
      <c r="AK230" t="str">
        <f>_xlfn.CONCAT(AG230,AH230,AI230,AJ230)</f>
        <v>CMBM</v>
      </c>
    </row>
    <row r="231" spans="1:37" ht="15.75" hidden="1" customHeight="1" x14ac:dyDescent="0.2">
      <c r="A231" s="1">
        <v>4680002</v>
      </c>
      <c r="B231" s="1" t="s">
        <v>4382</v>
      </c>
      <c r="C231" s="1" t="s">
        <v>669</v>
      </c>
      <c r="D231" s="1" t="s">
        <v>403</v>
      </c>
      <c r="E231" s="1" t="s">
        <v>1923</v>
      </c>
      <c r="F231" s="1" t="s">
        <v>37</v>
      </c>
      <c r="G231" s="1" t="s">
        <v>4435</v>
      </c>
      <c r="H231" s="1">
        <v>815</v>
      </c>
      <c r="I231" s="1" t="s">
        <v>91</v>
      </c>
      <c r="J231" s="1">
        <v>6</v>
      </c>
      <c r="K231" s="1" t="s">
        <v>35</v>
      </c>
      <c r="L231" s="1">
        <v>44</v>
      </c>
      <c r="M231" s="1" t="str">
        <f>IF(L231&lt;=45,"Joven","Mayor")</f>
        <v>Joven</v>
      </c>
      <c r="N231" s="1">
        <v>47</v>
      </c>
      <c r="O231" s="1" t="s">
        <v>36</v>
      </c>
      <c r="P231" s="1">
        <v>0.57799999999999996</v>
      </c>
      <c r="Q231" s="1">
        <v>90.281000000000006</v>
      </c>
      <c r="R231" s="1">
        <v>5.8189460000000004</v>
      </c>
      <c r="S231" s="1">
        <v>-1.0582379</v>
      </c>
      <c r="T231" s="1">
        <v>-5.4757556999999997</v>
      </c>
      <c r="U231" s="1">
        <v>2.1850000000000001</v>
      </c>
      <c r="V231" s="1">
        <v>108</v>
      </c>
      <c r="W231" s="1">
        <v>221</v>
      </c>
      <c r="X231" s="1">
        <v>2.0462962962962963</v>
      </c>
      <c r="Y231" s="1">
        <v>120</v>
      </c>
      <c r="Z231" s="1">
        <v>221</v>
      </c>
      <c r="AA231" s="1">
        <v>1.8416666666666666</v>
      </c>
      <c r="AB231" s="1">
        <v>114.7765969751315</v>
      </c>
      <c r="AC231" s="1">
        <v>221.61372045516961</v>
      </c>
      <c r="AD231" s="1">
        <v>1.9308267216110824</v>
      </c>
      <c r="AE231" t="s">
        <v>4817</v>
      </c>
      <c r="AF231" t="str">
        <f>IF(X231&lt;$AF$1,"Bajo","Alto")</f>
        <v>Alto</v>
      </c>
      <c r="AG231" t="str">
        <f>LEFT(AE231,1)</f>
        <v>C</v>
      </c>
      <c r="AH231" t="str">
        <f>K231</f>
        <v>M</v>
      </c>
      <c r="AI231" t="str">
        <f>LEFT(AF231,1)</f>
        <v>A</v>
      </c>
      <c r="AJ231" t="str">
        <f>LEFT(M231,1)</f>
        <v>J</v>
      </c>
      <c r="AK231" t="str">
        <f>_xlfn.CONCAT(AG231,AH231,AI231,AJ231)</f>
        <v>CMAJ</v>
      </c>
    </row>
    <row r="232" spans="1:37" ht="15.75" hidden="1" customHeight="1" x14ac:dyDescent="0.2">
      <c r="A232" s="1">
        <v>310403</v>
      </c>
      <c r="B232" s="1" t="s">
        <v>4122</v>
      </c>
      <c r="C232" s="1" t="s">
        <v>628</v>
      </c>
      <c r="D232" s="1" t="s">
        <v>4128</v>
      </c>
      <c r="E232" s="1" t="s">
        <v>61</v>
      </c>
      <c r="F232" s="1" t="s">
        <v>63</v>
      </c>
      <c r="G232" s="1" t="s">
        <v>4129</v>
      </c>
      <c r="H232" s="1">
        <v>1885</v>
      </c>
      <c r="I232" s="1" t="s">
        <v>134</v>
      </c>
      <c r="J232" s="1">
        <v>8</v>
      </c>
      <c r="K232" s="1" t="s">
        <v>49</v>
      </c>
      <c r="L232" s="1">
        <v>42</v>
      </c>
      <c r="M232" s="1" t="str">
        <f>IF(L232&lt;=45,"Joven","Mayor")</f>
        <v>Joven</v>
      </c>
      <c r="N232" s="1">
        <v>36</v>
      </c>
      <c r="O232" s="1" t="s">
        <v>50</v>
      </c>
      <c r="P232" s="1">
        <v>4.2000000000000003E-2</v>
      </c>
      <c r="Q232" s="1">
        <v>12.98</v>
      </c>
      <c r="R232" s="1">
        <v>20.909849999999999</v>
      </c>
      <c r="S232" s="1">
        <v>-5.5124906999999999</v>
      </c>
      <c r="T232" s="1">
        <v>-20.416149999999998</v>
      </c>
      <c r="U232" s="1">
        <v>19.8</v>
      </c>
      <c r="V232" s="1">
        <v>92</v>
      </c>
      <c r="W232" s="1">
        <v>188</v>
      </c>
      <c r="X232" s="1">
        <v>2.0434782608695654</v>
      </c>
      <c r="Y232" s="1">
        <v>120</v>
      </c>
      <c r="Z232" s="1">
        <v>188</v>
      </c>
      <c r="AA232" s="1">
        <v>1.5666666666666667</v>
      </c>
      <c r="AB232" s="1">
        <v>108.5464188517014</v>
      </c>
      <c r="AC232" s="1">
        <v>190.49282086085401</v>
      </c>
      <c r="AD232" s="1">
        <v>1.7549433954252296</v>
      </c>
      <c r="AE232" t="s">
        <v>4817</v>
      </c>
      <c r="AF232" t="str">
        <f>IF(X232&lt;$AF$1,"Bajo","Alto")</f>
        <v>Alto</v>
      </c>
      <c r="AG232" t="str">
        <f>LEFT(AE232,1)</f>
        <v>C</v>
      </c>
      <c r="AH232" t="str">
        <f>K232</f>
        <v>F</v>
      </c>
      <c r="AI232" t="str">
        <f>LEFT(AF232,1)</f>
        <v>A</v>
      </c>
      <c r="AJ232" t="str">
        <f>LEFT(M232,1)</f>
        <v>J</v>
      </c>
      <c r="AK232" t="str">
        <f>_xlfn.CONCAT(AG232,AH232,AI232,AJ232)</f>
        <v>CFAJ</v>
      </c>
    </row>
    <row r="233" spans="1:37" ht="15.75" hidden="1" customHeight="1" x14ac:dyDescent="0.2">
      <c r="A233" s="1">
        <v>4612002</v>
      </c>
      <c r="B233" s="1" t="s">
        <v>4382</v>
      </c>
      <c r="C233" s="1" t="s">
        <v>669</v>
      </c>
      <c r="D233" s="1" t="s">
        <v>4389</v>
      </c>
      <c r="E233" s="1" t="s">
        <v>1564</v>
      </c>
      <c r="F233" s="1" t="s">
        <v>37</v>
      </c>
      <c r="G233" s="1" t="s">
        <v>4390</v>
      </c>
      <c r="H233" s="1">
        <v>1031</v>
      </c>
      <c r="I233" s="1" t="s">
        <v>39</v>
      </c>
      <c r="J233" s="1">
        <v>11</v>
      </c>
      <c r="K233" s="1" t="s">
        <v>35</v>
      </c>
      <c r="L233" s="1">
        <v>29</v>
      </c>
      <c r="M233" s="1" t="str">
        <f>IF(L233&lt;=45,"Joven","Mayor")</f>
        <v>Joven</v>
      </c>
      <c r="N233" s="1">
        <v>43</v>
      </c>
      <c r="O233" s="1" t="s">
        <v>36</v>
      </c>
      <c r="P233" s="1">
        <v>0.45300000000000001</v>
      </c>
      <c r="Q233" s="1">
        <v>91.676000000000002</v>
      </c>
      <c r="R233" s="1">
        <v>4.3393807000000004</v>
      </c>
      <c r="S233" s="1">
        <v>2.2320970999999998</v>
      </c>
      <c r="T233" s="1">
        <v>9.5741056000000005E-2</v>
      </c>
      <c r="U233" s="1">
        <v>2.6629999999999998</v>
      </c>
      <c r="V233" s="1">
        <v>87</v>
      </c>
      <c r="W233" s="1">
        <v>173</v>
      </c>
      <c r="X233" s="1">
        <v>1.9885057471264367</v>
      </c>
      <c r="Y233" s="1">
        <v>88</v>
      </c>
      <c r="Z233" s="1">
        <v>173</v>
      </c>
      <c r="AA233" s="1">
        <v>1.9659090909090908</v>
      </c>
      <c r="AB233" s="1">
        <v>87.926353323244712</v>
      </c>
      <c r="AC233" s="1">
        <v>173.00310046393409</v>
      </c>
      <c r="AD233" s="1">
        <v>1.9675909886529777</v>
      </c>
      <c r="AE233" t="s">
        <v>4816</v>
      </c>
      <c r="AF233" t="str">
        <f>IF(X233&lt;$AF$1,"Bajo","Alto")</f>
        <v>Alto</v>
      </c>
      <c r="AG233" t="str">
        <f>LEFT(AE233,1)</f>
        <v>D</v>
      </c>
      <c r="AH233" t="str">
        <f>K233</f>
        <v>M</v>
      </c>
      <c r="AI233" t="str">
        <f>LEFT(AF233,1)</f>
        <v>A</v>
      </c>
      <c r="AJ233" t="str">
        <f>LEFT(M233,1)</f>
        <v>J</v>
      </c>
      <c r="AK233" t="str">
        <f>_xlfn.CONCAT(AG233,AH233,AI233,AJ233)</f>
        <v>DMAJ</v>
      </c>
    </row>
    <row r="234" spans="1:37" ht="15.75" hidden="1" customHeight="1" x14ac:dyDescent="0.2">
      <c r="A234" s="1">
        <v>174005</v>
      </c>
      <c r="B234" s="1" t="s">
        <v>2551</v>
      </c>
      <c r="C234" s="1" t="s">
        <v>2552</v>
      </c>
      <c r="D234" s="1" t="s">
        <v>2642</v>
      </c>
      <c r="E234" s="1" t="s">
        <v>657</v>
      </c>
      <c r="F234" s="1" t="s">
        <v>40</v>
      </c>
      <c r="G234" s="1" t="s">
        <v>2644</v>
      </c>
      <c r="H234" s="1">
        <v>838</v>
      </c>
      <c r="I234" s="1" t="s">
        <v>108</v>
      </c>
      <c r="J234" s="1">
        <v>3</v>
      </c>
      <c r="K234" s="1" t="s">
        <v>35</v>
      </c>
      <c r="L234" s="1">
        <v>38</v>
      </c>
      <c r="M234" s="1" t="str">
        <f>IF(L234&lt;=45,"Joven","Mayor")</f>
        <v>Joven</v>
      </c>
      <c r="N234" s="1">
        <v>43</v>
      </c>
      <c r="O234" s="1" t="s">
        <v>36</v>
      </c>
      <c r="P234" s="1">
        <v>0.495</v>
      </c>
      <c r="Q234" s="1">
        <v>93.442999999999998</v>
      </c>
      <c r="R234" s="1">
        <v>1.4060543000000001</v>
      </c>
      <c r="S234" s="1">
        <v>4.0372256999999996</v>
      </c>
      <c r="T234" s="1">
        <v>-6.3615494000000004</v>
      </c>
      <c r="U234" s="1">
        <v>1.7709999999999999</v>
      </c>
      <c r="V234" s="1">
        <v>93</v>
      </c>
      <c r="W234" s="1">
        <v>144</v>
      </c>
      <c r="X234" s="1">
        <v>1.5483870967741935</v>
      </c>
      <c r="Y234" s="1">
        <v>96</v>
      </c>
      <c r="Z234" s="1">
        <v>144</v>
      </c>
      <c r="AA234" s="1">
        <v>1.5</v>
      </c>
      <c r="AB234" s="1">
        <v>96.637828589527317</v>
      </c>
      <c r="AC234" s="1">
        <v>143.44572614583561</v>
      </c>
      <c r="AD234" s="1">
        <v>1.4843641277902315</v>
      </c>
      <c r="AE234" t="s">
        <v>4817</v>
      </c>
      <c r="AF234" t="str">
        <f>IF(X234&lt;$AF$1,"Bajo","Alto")</f>
        <v>Bajo</v>
      </c>
      <c r="AG234" t="str">
        <f>LEFT(AE234,1)</f>
        <v>C</v>
      </c>
      <c r="AH234" t="str">
        <f>K234</f>
        <v>M</v>
      </c>
      <c r="AI234" t="str">
        <f>LEFT(AF234,1)</f>
        <v>B</v>
      </c>
      <c r="AJ234" t="str">
        <f>LEFT(M234,1)</f>
        <v>J</v>
      </c>
      <c r="AK234" t="str">
        <f>_xlfn.CONCAT(AG234,AH234,AI234,AJ234)</f>
        <v>CMBJ</v>
      </c>
    </row>
    <row r="235" spans="1:37" ht="15.75" customHeight="1" x14ac:dyDescent="0.2">
      <c r="A235" s="1">
        <v>10124401</v>
      </c>
      <c r="B235" s="1" t="s">
        <v>29</v>
      </c>
      <c r="C235" s="1" t="s">
        <v>30</v>
      </c>
      <c r="D235" s="1" t="s">
        <v>490</v>
      </c>
      <c r="E235" s="1" t="s">
        <v>491</v>
      </c>
      <c r="F235" s="1" t="s">
        <v>32</v>
      </c>
      <c r="G235" s="1" t="s">
        <v>492</v>
      </c>
      <c r="H235" s="1">
        <v>4372</v>
      </c>
      <c r="I235" s="1" t="s">
        <v>65</v>
      </c>
      <c r="J235" s="1">
        <v>2</v>
      </c>
      <c r="K235" s="1" t="s">
        <v>35</v>
      </c>
      <c r="L235" s="1">
        <v>40</v>
      </c>
      <c r="M235" s="1" t="str">
        <f>IF(L235&lt;=45,"Joven","Mayor")</f>
        <v>Joven</v>
      </c>
      <c r="N235" s="1">
        <v>63</v>
      </c>
      <c r="O235" s="1" t="s">
        <v>36</v>
      </c>
      <c r="P235" s="1">
        <v>0.36</v>
      </c>
      <c r="Q235" s="1">
        <v>89.974000000000004</v>
      </c>
      <c r="R235" s="1">
        <v>4.1127677</v>
      </c>
      <c r="S235" s="1">
        <v>7.5011089999999996</v>
      </c>
      <c r="T235" s="1">
        <v>-6.8851547000000002</v>
      </c>
      <c r="U235" s="1">
        <v>36.82</v>
      </c>
      <c r="V235" s="1">
        <v>76</v>
      </c>
      <c r="W235" s="1">
        <v>155</v>
      </c>
      <c r="X235" s="1">
        <v>2.0394736842105261</v>
      </c>
      <c r="Y235" s="1">
        <v>87</v>
      </c>
      <c r="Z235" s="1">
        <v>155</v>
      </c>
      <c r="AA235" s="1">
        <v>1.7816091954022988</v>
      </c>
      <c r="AB235" s="1">
        <v>83.495483242414593</v>
      </c>
      <c r="AC235" s="1">
        <v>156.63943865380909</v>
      </c>
      <c r="AD235" s="1">
        <v>1.8760229005326403</v>
      </c>
      <c r="AE235" t="s">
        <v>4818</v>
      </c>
      <c r="AF235" t="str">
        <f>IF(X235&lt;$AF$1,"Bajo","Alto")</f>
        <v>Alto</v>
      </c>
      <c r="AG235" t="str">
        <f>LEFT(AE235,1)</f>
        <v>S</v>
      </c>
      <c r="AH235" t="str">
        <f>K235</f>
        <v>M</v>
      </c>
      <c r="AI235" t="str">
        <f>LEFT(AF235,1)</f>
        <v>A</v>
      </c>
      <c r="AJ235" t="str">
        <f>LEFT(M235,1)</f>
        <v>J</v>
      </c>
      <c r="AK235" t="str">
        <f>_xlfn.CONCAT(AG235,AH235,AI235,AJ235)</f>
        <v>SMAJ</v>
      </c>
    </row>
    <row r="236" spans="1:37" ht="15.75" hidden="1" customHeight="1" x14ac:dyDescent="0.2">
      <c r="A236" s="1">
        <v>2710001</v>
      </c>
      <c r="B236" s="1" t="s">
        <v>3409</v>
      </c>
      <c r="C236" s="1" t="s">
        <v>973</v>
      </c>
      <c r="D236" s="1" t="s">
        <v>3424</v>
      </c>
      <c r="E236" s="1" t="s">
        <v>70</v>
      </c>
      <c r="F236" s="1" t="s">
        <v>32</v>
      </c>
      <c r="G236" s="1" t="s">
        <v>3425</v>
      </c>
      <c r="H236" s="1">
        <v>642</v>
      </c>
      <c r="I236" s="1" t="s">
        <v>3426</v>
      </c>
      <c r="J236" s="1">
        <v>3625</v>
      </c>
      <c r="K236" s="1" t="s">
        <v>35</v>
      </c>
      <c r="L236" s="1">
        <v>32</v>
      </c>
      <c r="M236" s="1" t="str">
        <f>IF(L236&lt;=45,"Joven","Mayor")</f>
        <v>Joven</v>
      </c>
      <c r="N236" s="1">
        <v>48</v>
      </c>
      <c r="O236" s="1" t="s">
        <v>36</v>
      </c>
      <c r="P236" s="1">
        <v>0.34599999999999997</v>
      </c>
      <c r="Q236" s="1">
        <v>86.108000000000004</v>
      </c>
      <c r="R236" s="1">
        <v>7.9544405999999999</v>
      </c>
      <c r="S236" s="1">
        <v>-3.3185549000000001</v>
      </c>
      <c r="T236" s="1">
        <v>-6.0959409999999998</v>
      </c>
      <c r="U236" s="1">
        <v>18.803999999999998</v>
      </c>
      <c r="V236" s="1">
        <v>87</v>
      </c>
      <c r="W236" s="1">
        <v>178</v>
      </c>
      <c r="X236" s="1">
        <v>2.0459770114942528</v>
      </c>
      <c r="Y236" s="1">
        <v>93</v>
      </c>
      <c r="Z236" s="1">
        <v>178</v>
      </c>
      <c r="AA236" s="1">
        <v>1.913978494623656</v>
      </c>
      <c r="AB236" s="1">
        <v>91.923930956289496</v>
      </c>
      <c r="AC236" s="1">
        <v>177.41826812271759</v>
      </c>
      <c r="AD236" s="1">
        <v>1.9300552780655267</v>
      </c>
      <c r="AE236" t="s">
        <v>4817</v>
      </c>
      <c r="AF236" t="str">
        <f>IF(X236&lt;$AF$1,"Bajo","Alto")</f>
        <v>Alto</v>
      </c>
      <c r="AG236" t="str">
        <f>LEFT(AE236,1)</f>
        <v>C</v>
      </c>
      <c r="AH236" t="str">
        <f>K236</f>
        <v>M</v>
      </c>
      <c r="AI236" t="str">
        <f>LEFT(AF236,1)</f>
        <v>A</v>
      </c>
      <c r="AJ236" t="str">
        <f>LEFT(M236,1)</f>
        <v>J</v>
      </c>
      <c r="AK236" t="str">
        <f>_xlfn.CONCAT(AG236,AH236,AI236,AJ236)</f>
        <v>CMAJ</v>
      </c>
    </row>
    <row r="237" spans="1:37" ht="15.75" hidden="1" customHeight="1" x14ac:dyDescent="0.2">
      <c r="A237" s="1">
        <v>1012803</v>
      </c>
      <c r="B237" s="1" t="s">
        <v>29</v>
      </c>
      <c r="C237" s="1" t="s">
        <v>30</v>
      </c>
      <c r="D237" s="1" t="s">
        <v>560</v>
      </c>
      <c r="E237" s="1" t="s">
        <v>561</v>
      </c>
      <c r="F237" s="1" t="s">
        <v>63</v>
      </c>
      <c r="G237" s="1" t="s">
        <v>563</v>
      </c>
      <c r="H237" s="1">
        <v>3588</v>
      </c>
      <c r="I237" s="1" t="s">
        <v>108</v>
      </c>
      <c r="J237" s="1">
        <v>3</v>
      </c>
      <c r="K237" s="1" t="s">
        <v>35</v>
      </c>
      <c r="L237" s="1">
        <v>40</v>
      </c>
      <c r="M237" s="1" t="str">
        <f>IF(L237&lt;=45,"Joven","Mayor")</f>
        <v>Joven</v>
      </c>
      <c r="N237" s="1">
        <v>30</v>
      </c>
      <c r="O237" s="1" t="s">
        <v>36</v>
      </c>
      <c r="P237" s="1">
        <v>0.35799999999999998</v>
      </c>
      <c r="Q237" s="1">
        <v>74.623999999999995</v>
      </c>
      <c r="R237" s="1">
        <v>11.840277</v>
      </c>
      <c r="S237" s="1">
        <v>2.5743358000000001</v>
      </c>
      <c r="T237" s="1">
        <v>-10.015872999999999</v>
      </c>
      <c r="U237" s="1">
        <v>15.798</v>
      </c>
      <c r="V237" s="1">
        <v>92</v>
      </c>
      <c r="W237" s="1">
        <v>188</v>
      </c>
      <c r="X237" s="1">
        <v>2.0434782608695654</v>
      </c>
      <c r="Y237" s="1">
        <v>104</v>
      </c>
      <c r="Z237" s="1">
        <v>188</v>
      </c>
      <c r="AA237" s="1">
        <v>1.8076923076923077</v>
      </c>
      <c r="AB237" s="1">
        <v>100.3374598786972</v>
      </c>
      <c r="AC237" s="1">
        <v>188.6132263464124</v>
      </c>
      <c r="AD237" s="1">
        <v>1.8797887306937613</v>
      </c>
      <c r="AE237" t="s">
        <v>4817</v>
      </c>
      <c r="AF237" t="str">
        <f>IF(X237&lt;$AF$1,"Bajo","Alto")</f>
        <v>Alto</v>
      </c>
      <c r="AG237" t="str">
        <f>LEFT(AE237,1)</f>
        <v>C</v>
      </c>
      <c r="AH237" t="str">
        <f>K237</f>
        <v>M</v>
      </c>
      <c r="AI237" t="str">
        <f>LEFT(AF237,1)</f>
        <v>A</v>
      </c>
      <c r="AJ237" t="str">
        <f>LEFT(M237,1)</f>
        <v>J</v>
      </c>
      <c r="AK237" t="str">
        <f>_xlfn.CONCAT(AG237,AH237,AI237,AJ237)</f>
        <v>CMAJ</v>
      </c>
    </row>
    <row r="238" spans="1:37" ht="15.75" hidden="1" customHeight="1" x14ac:dyDescent="0.2">
      <c r="A238" s="1">
        <v>291904</v>
      </c>
      <c r="B238" s="1" t="s">
        <v>3890</v>
      </c>
      <c r="C238" s="1" t="s">
        <v>1695</v>
      </c>
      <c r="D238" s="1" t="s">
        <v>3971</v>
      </c>
      <c r="E238" s="1" t="s">
        <v>323</v>
      </c>
      <c r="F238" s="1" t="s">
        <v>61</v>
      </c>
      <c r="G238" s="1" t="s">
        <v>3974</v>
      </c>
      <c r="H238" s="1">
        <v>2676</v>
      </c>
      <c r="I238" s="1" t="s">
        <v>134</v>
      </c>
      <c r="J238" s="1">
        <v>8</v>
      </c>
      <c r="K238" s="1" t="s">
        <v>35</v>
      </c>
      <c r="L238" s="1">
        <v>47</v>
      </c>
      <c r="M238" s="1" t="str">
        <f>IF(L238&lt;=45,"Joven","Mayor")</f>
        <v>Mayor</v>
      </c>
      <c r="N238" s="1">
        <v>52</v>
      </c>
      <c r="O238" s="1" t="s">
        <v>36</v>
      </c>
      <c r="P238" s="1">
        <v>0.36099999999999999</v>
      </c>
      <c r="Q238" s="1">
        <v>91.427000000000007</v>
      </c>
      <c r="R238" s="1">
        <v>4.9607834999999998</v>
      </c>
      <c r="S238" s="1">
        <v>0.77425739999999998</v>
      </c>
      <c r="T238" s="1">
        <v>-4.8543919999999998</v>
      </c>
      <c r="U238" s="1">
        <v>21.370999999999999</v>
      </c>
      <c r="V238" s="1">
        <v>91</v>
      </c>
      <c r="W238" s="1">
        <v>139</v>
      </c>
      <c r="X238" s="1">
        <v>1.5274725274725274</v>
      </c>
      <c r="Y238" s="1">
        <v>91</v>
      </c>
      <c r="Z238" s="1">
        <v>139</v>
      </c>
      <c r="AA238" s="1">
        <v>1.5274725274725274</v>
      </c>
      <c r="AB238" s="1">
        <v>93.466165817954561</v>
      </c>
      <c r="AC238" s="1">
        <v>138.58602707465209</v>
      </c>
      <c r="AD238" s="1">
        <v>1.4827400467520853</v>
      </c>
      <c r="AE238" t="s">
        <v>4817</v>
      </c>
      <c r="AF238" t="str">
        <f>IF(X238&lt;$AF$1,"Bajo","Alto")</f>
        <v>Bajo</v>
      </c>
      <c r="AG238" t="str">
        <f>LEFT(AE238,1)</f>
        <v>C</v>
      </c>
      <c r="AH238" t="str">
        <f>K238</f>
        <v>M</v>
      </c>
      <c r="AI238" t="str">
        <f>LEFT(AF238,1)</f>
        <v>B</v>
      </c>
      <c r="AJ238" t="str">
        <f>LEFT(M238,1)</f>
        <v>M</v>
      </c>
      <c r="AK238" t="str">
        <f>_xlfn.CONCAT(AG238,AH238,AI238,AJ238)</f>
        <v>CMBM</v>
      </c>
    </row>
    <row r="239" spans="1:37" ht="15.75" hidden="1" customHeight="1" x14ac:dyDescent="0.2">
      <c r="A239" s="1">
        <v>10729201</v>
      </c>
      <c r="B239" s="1" t="s">
        <v>1067</v>
      </c>
      <c r="C239" s="1" t="s">
        <v>1068</v>
      </c>
      <c r="D239" s="1" t="s">
        <v>1353</v>
      </c>
      <c r="E239" s="1" t="s">
        <v>594</v>
      </c>
      <c r="F239" s="1" t="s">
        <v>32</v>
      </c>
      <c r="G239" s="1" t="s">
        <v>1354</v>
      </c>
      <c r="H239" s="1">
        <v>1242</v>
      </c>
      <c r="I239" s="1" t="s">
        <v>39</v>
      </c>
      <c r="J239" s="1">
        <v>11</v>
      </c>
      <c r="K239" s="1" t="s">
        <v>35</v>
      </c>
      <c r="L239" s="1">
        <v>30</v>
      </c>
      <c r="M239" s="1" t="str">
        <f>IF(L239&lt;=45,"Joven","Mayor")</f>
        <v>Joven</v>
      </c>
      <c r="N239" s="1">
        <v>28</v>
      </c>
      <c r="O239" s="1" t="s">
        <v>36</v>
      </c>
      <c r="P239" s="1">
        <v>1.409</v>
      </c>
      <c r="Q239" s="1">
        <v>84.997</v>
      </c>
      <c r="R239" s="1">
        <v>-7.7846609999999998</v>
      </c>
      <c r="S239" s="1">
        <v>-5.2321119999999999</v>
      </c>
      <c r="T239" s="1">
        <v>6.1232132999999997</v>
      </c>
      <c r="U239" s="1">
        <v>0.59699999999999998</v>
      </c>
      <c r="V239" s="1">
        <v>93</v>
      </c>
      <c r="W239" s="1">
        <v>184</v>
      </c>
      <c r="X239" s="1">
        <v>1.978494623655914</v>
      </c>
      <c r="Y239" s="1">
        <v>100</v>
      </c>
      <c r="Z239" s="1">
        <v>184</v>
      </c>
      <c r="AA239" s="1">
        <v>1.84</v>
      </c>
      <c r="AB239" s="1">
        <v>97.909430085423537</v>
      </c>
      <c r="AC239" s="1">
        <v>182.95024500240791</v>
      </c>
      <c r="AD239" s="1">
        <v>1.8685661314011162</v>
      </c>
      <c r="AE239" t="s">
        <v>4816</v>
      </c>
      <c r="AF239" t="str">
        <f>IF(X239&lt;$AF$1,"Bajo","Alto")</f>
        <v>Alto</v>
      </c>
      <c r="AG239" t="str">
        <f>LEFT(AE239,1)</f>
        <v>D</v>
      </c>
      <c r="AH239" t="str">
        <f>K239</f>
        <v>M</v>
      </c>
      <c r="AI239" t="str">
        <f>LEFT(AF239,1)</f>
        <v>A</v>
      </c>
      <c r="AJ239" t="str">
        <f>LEFT(M239,1)</f>
        <v>J</v>
      </c>
      <c r="AK239" t="str">
        <f>_xlfn.CONCAT(AG239,AH239,AI239,AJ239)</f>
        <v>DMAJ</v>
      </c>
    </row>
    <row r="240" spans="1:37" ht="15.75" hidden="1" customHeight="1" x14ac:dyDescent="0.2">
      <c r="A240" s="1">
        <v>10112402</v>
      </c>
      <c r="B240" s="1" t="s">
        <v>29</v>
      </c>
      <c r="C240" s="1" t="s">
        <v>30</v>
      </c>
      <c r="D240" s="1" t="s">
        <v>144</v>
      </c>
      <c r="E240" s="1" t="s">
        <v>145</v>
      </c>
      <c r="F240" s="1" t="s">
        <v>37</v>
      </c>
      <c r="G240" s="1" t="s">
        <v>147</v>
      </c>
      <c r="H240" s="1">
        <v>117</v>
      </c>
      <c r="I240" s="1" t="s">
        <v>45</v>
      </c>
      <c r="J240" s="1">
        <v>17</v>
      </c>
      <c r="K240" s="1" t="s">
        <v>35</v>
      </c>
      <c r="L240" s="1">
        <v>68</v>
      </c>
      <c r="M240" s="1" t="str">
        <f>IF(L240&lt;=45,"Joven","Mayor")</f>
        <v>Mayor</v>
      </c>
      <c r="N240" s="1">
        <v>67</v>
      </c>
      <c r="O240" s="1" t="s">
        <v>36</v>
      </c>
      <c r="P240" s="1">
        <v>0.32400000000000001</v>
      </c>
      <c r="Q240" s="1">
        <v>93.728999999999999</v>
      </c>
      <c r="R240" s="1">
        <v>1.5239039999999999</v>
      </c>
      <c r="S240" s="1">
        <v>2.7340689999999999</v>
      </c>
      <c r="T240" s="1">
        <v>-3.6648065999999999</v>
      </c>
      <c r="U240" s="1">
        <v>4.2729999999999997</v>
      </c>
      <c r="V240" s="1">
        <v>104</v>
      </c>
      <c r="W240" s="1">
        <v>159</v>
      </c>
      <c r="X240" s="1">
        <v>1.5288461538461537</v>
      </c>
      <c r="Y240" s="1">
        <v>105</v>
      </c>
      <c r="Z240" s="1">
        <v>159</v>
      </c>
      <c r="AA240" s="1">
        <v>1.5142857142857142</v>
      </c>
      <c r="AB240" s="1">
        <v>106.40801987703</v>
      </c>
      <c r="AC240" s="1">
        <v>158.54701720217781</v>
      </c>
      <c r="AD240" s="1">
        <v>1.4899912373653981</v>
      </c>
      <c r="AE240" t="s">
        <v>4817</v>
      </c>
      <c r="AF240" t="str">
        <f>IF(X240&lt;$AF$1,"Bajo","Alto")</f>
        <v>Bajo</v>
      </c>
      <c r="AG240" t="str">
        <f>LEFT(AE240,1)</f>
        <v>C</v>
      </c>
      <c r="AH240" t="str">
        <f>K240</f>
        <v>M</v>
      </c>
      <c r="AI240" t="str">
        <f>LEFT(AF240,1)</f>
        <v>B</v>
      </c>
      <c r="AJ240" t="str">
        <f>LEFT(M240,1)</f>
        <v>M</v>
      </c>
      <c r="AK240" t="str">
        <f>_xlfn.CONCAT(AG240,AH240,AI240,AJ240)</f>
        <v>CMBM</v>
      </c>
    </row>
    <row r="241" spans="1:37" ht="15.75" hidden="1" customHeight="1" x14ac:dyDescent="0.2">
      <c r="A241" s="1">
        <v>10117806</v>
      </c>
      <c r="B241" s="1" t="s">
        <v>29</v>
      </c>
      <c r="C241" s="1" t="s">
        <v>30</v>
      </c>
      <c r="D241" s="1" t="s">
        <v>299</v>
      </c>
      <c r="E241" s="1" t="s">
        <v>300</v>
      </c>
      <c r="F241" s="1" t="s">
        <v>88</v>
      </c>
      <c r="G241" s="1" t="s">
        <v>305</v>
      </c>
      <c r="H241" s="1">
        <v>5564</v>
      </c>
      <c r="I241" s="1" t="s">
        <v>306</v>
      </c>
      <c r="J241" s="1">
        <v>3670</v>
      </c>
      <c r="K241" s="1" t="s">
        <v>35</v>
      </c>
      <c r="L241" s="1">
        <v>32</v>
      </c>
      <c r="M241" s="1" t="str">
        <f>IF(L241&lt;=45,"Joven","Mayor")</f>
        <v>Joven</v>
      </c>
      <c r="N241" s="1">
        <v>36</v>
      </c>
      <c r="O241" s="1" t="s">
        <v>36</v>
      </c>
      <c r="P241" s="1">
        <v>0.14799999999999999</v>
      </c>
      <c r="Q241" s="1">
        <v>90.247</v>
      </c>
      <c r="R241" s="1">
        <v>6.0048446999999996</v>
      </c>
      <c r="S241" s="1">
        <v>-0.84413369999999999</v>
      </c>
      <c r="T241" s="1">
        <v>-2.7130391999999999</v>
      </c>
      <c r="U241" s="1">
        <v>8.0990000000000002</v>
      </c>
      <c r="V241" s="1">
        <v>94</v>
      </c>
      <c r="W241" s="1">
        <v>192</v>
      </c>
      <c r="X241" s="1">
        <v>2.0425531914893615</v>
      </c>
      <c r="Y241" s="1">
        <v>97</v>
      </c>
      <c r="Z241" s="1">
        <v>192</v>
      </c>
      <c r="AA241" s="1">
        <v>1.9793814432989691</v>
      </c>
      <c r="AB241" s="1">
        <v>96.876665853373652</v>
      </c>
      <c r="AC241" s="1">
        <v>192.44746555382929</v>
      </c>
      <c r="AD241" s="1">
        <v>1.9865203231199711</v>
      </c>
      <c r="AE241" t="s">
        <v>4817</v>
      </c>
      <c r="AF241" t="str">
        <f>IF(X241&lt;$AF$1,"Bajo","Alto")</f>
        <v>Alto</v>
      </c>
      <c r="AG241" t="str">
        <f>LEFT(AE241,1)</f>
        <v>C</v>
      </c>
      <c r="AH241" t="str">
        <f>K241</f>
        <v>M</v>
      </c>
      <c r="AI241" t="str">
        <f>LEFT(AF241,1)</f>
        <v>A</v>
      </c>
      <c r="AJ241" t="str">
        <f>LEFT(M241,1)</f>
        <v>J</v>
      </c>
      <c r="AK241" t="str">
        <f>_xlfn.CONCAT(AG241,AH241,AI241,AJ241)</f>
        <v>CMAJ</v>
      </c>
    </row>
    <row r="242" spans="1:37" ht="15.75" hidden="1" customHeight="1" x14ac:dyDescent="0.2">
      <c r="A242" s="1">
        <v>153407</v>
      </c>
      <c r="B242" s="1" t="s">
        <v>2077</v>
      </c>
      <c r="C242" s="1" t="s">
        <v>57</v>
      </c>
      <c r="D242" s="1" t="s">
        <v>2444</v>
      </c>
      <c r="E242" s="1" t="s">
        <v>634</v>
      </c>
      <c r="F242" s="1" t="s">
        <v>43</v>
      </c>
      <c r="G242" s="1" t="s">
        <v>2448</v>
      </c>
      <c r="H242" s="1">
        <v>211</v>
      </c>
      <c r="I242" s="1" t="s">
        <v>2449</v>
      </c>
      <c r="J242" s="1">
        <v>2583</v>
      </c>
      <c r="K242" s="1" t="s">
        <v>35</v>
      </c>
      <c r="L242" s="1">
        <v>33</v>
      </c>
      <c r="M242" s="1" t="str">
        <f>IF(L242&lt;=45,"Joven","Mayor")</f>
        <v>Joven</v>
      </c>
      <c r="N242" s="1">
        <v>36</v>
      </c>
      <c r="O242" s="1" t="s">
        <v>36</v>
      </c>
      <c r="P242" s="1">
        <v>0.34899999999999998</v>
      </c>
      <c r="Q242" s="1">
        <v>67.141999999999996</v>
      </c>
      <c r="R242" s="1">
        <v>-12.334668000000001</v>
      </c>
      <c r="S242" s="1">
        <v>8.4971899999999998</v>
      </c>
      <c r="T242" s="1">
        <v>4.190912</v>
      </c>
      <c r="U242" s="1">
        <v>1.6859999999999999</v>
      </c>
      <c r="V242" s="1">
        <v>112</v>
      </c>
      <c r="W242" s="1">
        <v>174</v>
      </c>
      <c r="X242" s="1">
        <v>1.5535714285714286</v>
      </c>
      <c r="Y242" s="1">
        <v>115</v>
      </c>
      <c r="Z242" s="1">
        <v>174</v>
      </c>
      <c r="AA242" s="1">
        <v>1.5130434782608695</v>
      </c>
      <c r="AB242" s="1">
        <v>114.6968013887458</v>
      </c>
      <c r="AC242" s="1">
        <v>173.3885781491945</v>
      </c>
      <c r="AD242" s="1">
        <v>1.5117124108938544</v>
      </c>
      <c r="AE242" t="s">
        <v>4817</v>
      </c>
      <c r="AF242" t="str">
        <f>IF(X242&lt;$AF$1,"Bajo","Alto")</f>
        <v>Bajo</v>
      </c>
      <c r="AG242" t="str">
        <f>LEFT(AE242,1)</f>
        <v>C</v>
      </c>
      <c r="AH242" t="str">
        <f>K242</f>
        <v>M</v>
      </c>
      <c r="AI242" t="str">
        <f>LEFT(AF242,1)</f>
        <v>B</v>
      </c>
      <c r="AJ242" t="str">
        <f>LEFT(M242,1)</f>
        <v>J</v>
      </c>
      <c r="AK242" t="str">
        <f>_xlfn.CONCAT(AG242,AH242,AI242,AJ242)</f>
        <v>CMBJ</v>
      </c>
    </row>
    <row r="243" spans="1:37" ht="15.75" hidden="1" customHeight="1" x14ac:dyDescent="0.2">
      <c r="A243" s="1">
        <v>231903</v>
      </c>
      <c r="B243" s="1" t="s">
        <v>319</v>
      </c>
      <c r="C243" s="1" t="s">
        <v>1989</v>
      </c>
      <c r="D243" s="1" t="s">
        <v>3003</v>
      </c>
      <c r="E243" s="1" t="s">
        <v>323</v>
      </c>
      <c r="F243" s="1" t="s">
        <v>63</v>
      </c>
      <c r="G243" s="1" t="s">
        <v>3004</v>
      </c>
      <c r="H243" s="1">
        <v>7494</v>
      </c>
      <c r="I243" s="1" t="s">
        <v>3005</v>
      </c>
      <c r="J243" s="1">
        <v>2720</v>
      </c>
      <c r="K243" s="1" t="s">
        <v>35</v>
      </c>
      <c r="L243" s="1">
        <v>41</v>
      </c>
      <c r="M243" s="1" t="str">
        <f>IF(L243&lt;=45,"Joven","Mayor")</f>
        <v>Joven</v>
      </c>
      <c r="N243" s="1">
        <v>42</v>
      </c>
      <c r="O243" s="1" t="s">
        <v>36</v>
      </c>
      <c r="P243" s="1">
        <v>0.34200000000000003</v>
      </c>
      <c r="Q243" s="1">
        <v>70.94</v>
      </c>
      <c r="R243" s="1">
        <v>12.300091</v>
      </c>
      <c r="S243" s="1">
        <v>-4.8520783999999999</v>
      </c>
      <c r="T243" s="1">
        <v>-7.2975845000000001</v>
      </c>
      <c r="U243" s="1">
        <v>20.001000000000001</v>
      </c>
      <c r="V243" s="1">
        <v>94</v>
      </c>
      <c r="W243" s="1">
        <v>192</v>
      </c>
      <c r="X243" s="1">
        <v>2.0425531914893615</v>
      </c>
      <c r="Y243" s="1">
        <v>98</v>
      </c>
      <c r="Z243" s="1">
        <v>192</v>
      </c>
      <c r="AA243" s="1">
        <v>1.9591836734693877</v>
      </c>
      <c r="AB243" s="1">
        <v>98.700561110407079</v>
      </c>
      <c r="AC243" s="1">
        <v>190.19071573856809</v>
      </c>
      <c r="AD243" s="1">
        <v>1.9269466515577307</v>
      </c>
      <c r="AE243" t="s">
        <v>4817</v>
      </c>
      <c r="AF243" t="str">
        <f>IF(X243&lt;$AF$1,"Bajo","Alto")</f>
        <v>Alto</v>
      </c>
      <c r="AG243" t="str">
        <f>LEFT(AE243,1)</f>
        <v>C</v>
      </c>
      <c r="AH243" t="str">
        <f>K243</f>
        <v>M</v>
      </c>
      <c r="AI243" t="str">
        <f>LEFT(AF243,1)</f>
        <v>A</v>
      </c>
      <c r="AJ243" t="str">
        <f>LEFT(M243,1)</f>
        <v>J</v>
      </c>
      <c r="AK243" t="str">
        <f>_xlfn.CONCAT(AG243,AH243,AI243,AJ243)</f>
        <v>CMAJ</v>
      </c>
    </row>
    <row r="244" spans="1:37" ht="15.75" hidden="1" customHeight="1" x14ac:dyDescent="0.2">
      <c r="A244" s="1">
        <v>118602</v>
      </c>
      <c r="B244" s="1" t="s">
        <v>1648</v>
      </c>
      <c r="C244" s="1" t="s">
        <v>51</v>
      </c>
      <c r="D244" s="1" t="s">
        <v>1775</v>
      </c>
      <c r="E244" s="1" t="s">
        <v>1776</v>
      </c>
      <c r="F244" s="1" t="s">
        <v>37</v>
      </c>
      <c r="G244" s="1" t="s">
        <v>1778</v>
      </c>
      <c r="H244" s="1">
        <v>1994</v>
      </c>
      <c r="I244" s="1" t="s">
        <v>108</v>
      </c>
      <c r="J244" s="1">
        <v>3</v>
      </c>
      <c r="K244" s="1" t="s">
        <v>35</v>
      </c>
      <c r="L244" s="1">
        <v>56</v>
      </c>
      <c r="M244" s="1" t="str">
        <f>IF(L244&lt;=45,"Joven","Mayor")</f>
        <v>Mayor</v>
      </c>
      <c r="N244" s="1">
        <v>59</v>
      </c>
      <c r="O244" s="1" t="s">
        <v>36</v>
      </c>
      <c r="P244" s="1">
        <v>0.25900000000000001</v>
      </c>
      <c r="Q244" s="1">
        <v>88.855000000000004</v>
      </c>
      <c r="R244" s="1">
        <v>6.0253663</v>
      </c>
      <c r="S244" s="1">
        <v>-4.7748423000000004</v>
      </c>
      <c r="T244" s="1">
        <v>-2.1976602000000001</v>
      </c>
      <c r="U244" s="1">
        <v>2.3620000000000001</v>
      </c>
      <c r="V244" s="1">
        <v>85</v>
      </c>
      <c r="W244" s="1">
        <v>130</v>
      </c>
      <c r="X244" s="1">
        <v>1.5294117647058822</v>
      </c>
      <c r="Y244" s="1">
        <v>88</v>
      </c>
      <c r="Z244" s="1">
        <v>130</v>
      </c>
      <c r="AA244" s="1">
        <v>1.4772727272727273</v>
      </c>
      <c r="AB244" s="1">
        <v>86.478088450312953</v>
      </c>
      <c r="AC244" s="1">
        <v>130.01942382553989</v>
      </c>
      <c r="AD244" s="1">
        <v>1.5034955808516066</v>
      </c>
      <c r="AE244" t="s">
        <v>4817</v>
      </c>
      <c r="AF244" t="str">
        <f>IF(X244&lt;$AF$1,"Bajo","Alto")</f>
        <v>Bajo</v>
      </c>
      <c r="AG244" t="str">
        <f>LEFT(AE244,1)</f>
        <v>C</v>
      </c>
      <c r="AH244" t="str">
        <f>K244</f>
        <v>M</v>
      </c>
      <c r="AI244" t="str">
        <f>LEFT(AF244,1)</f>
        <v>B</v>
      </c>
      <c r="AJ244" t="str">
        <f>LEFT(M244,1)</f>
        <v>M</v>
      </c>
      <c r="AK244" t="str">
        <f>_xlfn.CONCAT(AG244,AH244,AI244,AJ244)</f>
        <v>CMBM</v>
      </c>
    </row>
    <row r="245" spans="1:37" ht="15.75" hidden="1" customHeight="1" x14ac:dyDescent="0.2">
      <c r="A245" s="1">
        <v>196704</v>
      </c>
      <c r="B245" s="1" t="s">
        <v>2656</v>
      </c>
      <c r="C245" s="1" t="s">
        <v>323</v>
      </c>
      <c r="D245" s="1" t="s">
        <v>2775</v>
      </c>
      <c r="E245" s="1" t="s">
        <v>715</v>
      </c>
      <c r="F245" s="1" t="s">
        <v>61</v>
      </c>
      <c r="G245" s="1" t="s">
        <v>2777</v>
      </c>
      <c r="H245" s="1">
        <v>947</v>
      </c>
      <c r="I245" s="1" t="s">
        <v>134</v>
      </c>
      <c r="J245" s="1">
        <v>8</v>
      </c>
      <c r="K245" s="1" t="s">
        <v>35</v>
      </c>
      <c r="L245" s="1">
        <v>31</v>
      </c>
      <c r="M245" s="1" t="str">
        <f>IF(L245&lt;=45,"Joven","Mayor")</f>
        <v>Joven</v>
      </c>
      <c r="N245" s="1">
        <v>31</v>
      </c>
      <c r="O245" s="1" t="s">
        <v>36</v>
      </c>
      <c r="P245" s="1">
        <v>0.36</v>
      </c>
      <c r="Q245" s="1">
        <v>82.081000000000003</v>
      </c>
      <c r="R245" s="1">
        <v>9.9984690000000001</v>
      </c>
      <c r="S245" s="1">
        <v>-0.89468645999999996</v>
      </c>
      <c r="T245" s="1">
        <v>-12.902380000000001</v>
      </c>
      <c r="U245" s="1">
        <v>37.953000000000003</v>
      </c>
      <c r="V245" s="1">
        <v>75</v>
      </c>
      <c r="W245" s="1">
        <v>153</v>
      </c>
      <c r="X245" s="1">
        <v>2.04</v>
      </c>
      <c r="Y245" s="1">
        <v>89</v>
      </c>
      <c r="Z245" s="1">
        <v>153</v>
      </c>
      <c r="AA245" s="1">
        <v>1.7191011235955056</v>
      </c>
      <c r="AB245" s="1">
        <v>85.164086723270657</v>
      </c>
      <c r="AC245" s="1">
        <v>153.15627464219051</v>
      </c>
      <c r="AD245" s="1">
        <v>1.7983669001213083</v>
      </c>
      <c r="AE245" t="s">
        <v>4817</v>
      </c>
      <c r="AF245" t="str">
        <f>IF(X245&lt;$AF$1,"Bajo","Alto")</f>
        <v>Alto</v>
      </c>
      <c r="AG245" t="str">
        <f>LEFT(AE245,1)</f>
        <v>C</v>
      </c>
      <c r="AH245" t="str">
        <f>K245</f>
        <v>M</v>
      </c>
      <c r="AI245" t="str">
        <f>LEFT(AF245,1)</f>
        <v>A</v>
      </c>
      <c r="AJ245" t="str">
        <f>LEFT(M245,1)</f>
        <v>J</v>
      </c>
      <c r="AK245" t="str">
        <f>_xlfn.CONCAT(AG245,AH245,AI245,AJ245)</f>
        <v>CMAJ</v>
      </c>
    </row>
    <row r="246" spans="1:37" ht="15.75" hidden="1" customHeight="1" x14ac:dyDescent="0.2">
      <c r="A246" s="1">
        <v>312203</v>
      </c>
      <c r="B246" s="1" t="s">
        <v>4122</v>
      </c>
      <c r="C246" s="1" t="s">
        <v>628</v>
      </c>
      <c r="D246" s="1" t="s">
        <v>4182</v>
      </c>
      <c r="E246" s="1" t="s">
        <v>418</v>
      </c>
      <c r="F246" s="1" t="s">
        <v>63</v>
      </c>
      <c r="G246" s="1" t="s">
        <v>4184</v>
      </c>
      <c r="H246" s="1">
        <v>11947</v>
      </c>
      <c r="I246" s="1" t="s">
        <v>91</v>
      </c>
      <c r="J246" s="1">
        <v>6</v>
      </c>
      <c r="K246" s="1" t="s">
        <v>35</v>
      </c>
      <c r="L246" s="1">
        <v>44</v>
      </c>
      <c r="M246" s="1" t="str">
        <f>IF(L246&lt;=45,"Joven","Mayor")</f>
        <v>Joven</v>
      </c>
      <c r="N246" s="1">
        <v>42</v>
      </c>
      <c r="O246" s="1" t="s">
        <v>36</v>
      </c>
      <c r="P246" s="1">
        <v>0.13700000000000001</v>
      </c>
      <c r="Q246" s="1">
        <v>87.765000000000001</v>
      </c>
      <c r="R246" s="1">
        <v>-7.6629332999999997</v>
      </c>
      <c r="S246" s="1">
        <v>0.56078839999999996</v>
      </c>
      <c r="T246" s="1">
        <v>22.481983</v>
      </c>
      <c r="U246" s="1">
        <v>86.088999999999999</v>
      </c>
      <c r="V246" s="1">
        <v>78</v>
      </c>
      <c r="W246" s="1">
        <v>159</v>
      </c>
      <c r="X246" s="1">
        <v>2.0384615384615383</v>
      </c>
      <c r="Y246" s="1">
        <v>100</v>
      </c>
      <c r="Z246" s="1">
        <v>159</v>
      </c>
      <c r="AA246" s="1">
        <v>1.59</v>
      </c>
      <c r="AB246" s="1">
        <v>93.868381224695213</v>
      </c>
      <c r="AC246" s="1">
        <v>158.00536592998881</v>
      </c>
      <c r="AD246" s="1">
        <v>1.6832650554798341</v>
      </c>
      <c r="AE246" t="s">
        <v>4817</v>
      </c>
      <c r="AF246" t="str">
        <f>IF(X246&lt;$AF$1,"Bajo","Alto")</f>
        <v>Alto</v>
      </c>
      <c r="AG246" t="str">
        <f>LEFT(AE246,1)</f>
        <v>C</v>
      </c>
      <c r="AH246" t="str">
        <f>K246</f>
        <v>M</v>
      </c>
      <c r="AI246" t="str">
        <f>LEFT(AF246,1)</f>
        <v>A</v>
      </c>
      <c r="AJ246" t="str">
        <f>LEFT(M246,1)</f>
        <v>J</v>
      </c>
      <c r="AK246" t="str">
        <f>_xlfn.CONCAT(AG246,AH246,AI246,AJ246)</f>
        <v>CMAJ</v>
      </c>
    </row>
    <row r="247" spans="1:37" ht="15.75" hidden="1" customHeight="1" x14ac:dyDescent="0.2">
      <c r="A247" s="1">
        <v>2710903</v>
      </c>
      <c r="B247" s="1" t="s">
        <v>3409</v>
      </c>
      <c r="C247" s="1" t="s">
        <v>973</v>
      </c>
      <c r="D247" s="1" t="s">
        <v>3437</v>
      </c>
      <c r="E247" s="1" t="s">
        <v>98</v>
      </c>
      <c r="F247" s="1" t="s">
        <v>63</v>
      </c>
      <c r="G247" s="1" t="s">
        <v>3441</v>
      </c>
      <c r="H247" s="1">
        <v>793</v>
      </c>
      <c r="I247" s="1" t="s">
        <v>3442</v>
      </c>
      <c r="J247" s="1">
        <v>2327</v>
      </c>
      <c r="K247" s="1" t="s">
        <v>35</v>
      </c>
      <c r="L247" s="1">
        <v>44</v>
      </c>
      <c r="M247" s="1" t="str">
        <f>IF(L247&lt;=45,"Joven","Mayor")</f>
        <v>Joven</v>
      </c>
      <c r="N247" s="1">
        <v>61</v>
      </c>
      <c r="O247" s="1" t="s">
        <v>36</v>
      </c>
      <c r="P247" s="1">
        <v>0.35099999999999998</v>
      </c>
      <c r="Q247" s="1">
        <v>89.631</v>
      </c>
      <c r="R247" s="1">
        <v>6.4685800000000002</v>
      </c>
      <c r="S247" s="1">
        <v>-0.48714872999999997</v>
      </c>
      <c r="T247" s="1">
        <v>-1.5136198000000001</v>
      </c>
      <c r="U247" s="1">
        <v>7.2149999999999999</v>
      </c>
      <c r="V247" s="1">
        <v>80</v>
      </c>
      <c r="W247" s="1">
        <v>163</v>
      </c>
      <c r="X247" s="1">
        <v>2.0375000000000001</v>
      </c>
      <c r="Y247" s="1">
        <v>92</v>
      </c>
      <c r="Z247" s="1">
        <v>163</v>
      </c>
      <c r="AA247" s="1">
        <v>1.7717391304347827</v>
      </c>
      <c r="AB247" s="1">
        <v>91.17546153258786</v>
      </c>
      <c r="AC247" s="1">
        <v>163.49783120039501</v>
      </c>
      <c r="AD247" s="1">
        <v>1.7932218653146905</v>
      </c>
      <c r="AE247" t="s">
        <v>4817</v>
      </c>
      <c r="AF247" t="str">
        <f>IF(X247&lt;$AF$1,"Bajo","Alto")</f>
        <v>Alto</v>
      </c>
      <c r="AG247" t="str">
        <f>LEFT(AE247,1)</f>
        <v>C</v>
      </c>
      <c r="AH247" t="str">
        <f>K247</f>
        <v>M</v>
      </c>
      <c r="AI247" t="str">
        <f>LEFT(AF247,1)</f>
        <v>A</v>
      </c>
      <c r="AJ247" t="str">
        <f>LEFT(M247,1)</f>
        <v>J</v>
      </c>
      <c r="AK247" t="str">
        <f>_xlfn.CONCAT(AG247,AH247,AI247,AJ247)</f>
        <v>CMAJ</v>
      </c>
    </row>
    <row r="248" spans="1:37" ht="15.75" hidden="1" customHeight="1" x14ac:dyDescent="0.2">
      <c r="A248" s="1">
        <v>216704</v>
      </c>
      <c r="B248" s="1" t="s">
        <v>2816</v>
      </c>
      <c r="C248" s="1" t="s">
        <v>2817</v>
      </c>
      <c r="D248" s="1" t="s">
        <v>1550</v>
      </c>
      <c r="E248" s="1" t="s">
        <v>715</v>
      </c>
      <c r="F248" s="1" t="s">
        <v>61</v>
      </c>
      <c r="G248" s="1" t="s">
        <v>2896</v>
      </c>
      <c r="H248" s="1">
        <v>3129</v>
      </c>
      <c r="I248" s="1" t="s">
        <v>108</v>
      </c>
      <c r="J248" s="1">
        <v>3</v>
      </c>
      <c r="K248" s="1" t="s">
        <v>35</v>
      </c>
      <c r="L248" s="1">
        <v>47</v>
      </c>
      <c r="M248" s="1" t="str">
        <f>IF(L248&lt;=45,"Joven","Mayor")</f>
        <v>Mayor</v>
      </c>
      <c r="N248" s="1">
        <v>53</v>
      </c>
      <c r="O248" s="1" t="s">
        <v>36</v>
      </c>
      <c r="P248" s="1">
        <v>0.37</v>
      </c>
      <c r="Q248" s="1">
        <v>91.165999999999997</v>
      </c>
      <c r="R248" s="1">
        <v>-4.4652795999999997</v>
      </c>
      <c r="S248" s="1">
        <v>3.6384555999999999</v>
      </c>
      <c r="T248" s="1">
        <v>-1.8617362</v>
      </c>
      <c r="U248" s="1">
        <v>13.568</v>
      </c>
      <c r="V248" s="1">
        <v>94</v>
      </c>
      <c r="W248" s="1">
        <v>144</v>
      </c>
      <c r="X248" s="1">
        <v>1.5319148936170213</v>
      </c>
      <c r="Y248" s="1">
        <v>96</v>
      </c>
      <c r="Z248" s="1">
        <v>144</v>
      </c>
      <c r="AA248" s="1">
        <v>1.5</v>
      </c>
      <c r="AB248" s="1">
        <v>95.412327597075546</v>
      </c>
      <c r="AC248" s="1">
        <v>144.08642599379479</v>
      </c>
      <c r="AD248" s="1">
        <v>1.5101447540643704</v>
      </c>
      <c r="AE248" t="s">
        <v>4817</v>
      </c>
      <c r="AF248" t="str">
        <f>IF(X248&lt;$AF$1,"Bajo","Alto")</f>
        <v>Bajo</v>
      </c>
      <c r="AG248" t="str">
        <f>LEFT(AE248,1)</f>
        <v>C</v>
      </c>
      <c r="AH248" t="str">
        <f>K248</f>
        <v>M</v>
      </c>
      <c r="AI248" t="str">
        <f>LEFT(AF248,1)</f>
        <v>B</v>
      </c>
      <c r="AJ248" t="str">
        <f>LEFT(M248,1)</f>
        <v>M</v>
      </c>
      <c r="AK248" t="str">
        <f>_xlfn.CONCAT(AG248,AH248,AI248,AJ248)</f>
        <v>CMBM</v>
      </c>
    </row>
    <row r="249" spans="1:37" ht="15.75" hidden="1" customHeight="1" x14ac:dyDescent="0.2">
      <c r="A249" s="1">
        <v>2820005</v>
      </c>
      <c r="B249" s="1" t="s">
        <v>1775</v>
      </c>
      <c r="C249" s="1" t="s">
        <v>561</v>
      </c>
      <c r="D249" s="1" t="s">
        <v>3800</v>
      </c>
      <c r="E249" s="1" t="s">
        <v>1814</v>
      </c>
      <c r="F249" s="1" t="s">
        <v>40</v>
      </c>
      <c r="G249" s="1" t="s">
        <v>3804</v>
      </c>
      <c r="H249" s="1">
        <v>1601</v>
      </c>
      <c r="I249" s="1" t="s">
        <v>42</v>
      </c>
      <c r="J249" s="1">
        <v>15</v>
      </c>
      <c r="K249" s="1" t="s">
        <v>35</v>
      </c>
      <c r="L249" s="1">
        <v>60</v>
      </c>
      <c r="M249" s="1" t="str">
        <f>IF(L249&lt;=45,"Joven","Mayor")</f>
        <v>Mayor</v>
      </c>
      <c r="N249" s="1">
        <v>48</v>
      </c>
      <c r="O249" s="1" t="s">
        <v>36</v>
      </c>
      <c r="P249" s="1">
        <v>0.36399999999999999</v>
      </c>
      <c r="Q249" s="1">
        <v>92.93</v>
      </c>
      <c r="R249" s="1">
        <v>1.3119803999999999</v>
      </c>
      <c r="S249" s="1">
        <v>6.0752378</v>
      </c>
      <c r="T249" s="1">
        <v>-2.2723494</v>
      </c>
      <c r="U249" s="1">
        <v>1.4610000000000001</v>
      </c>
      <c r="V249" s="1">
        <v>107</v>
      </c>
      <c r="W249" s="1">
        <v>164</v>
      </c>
      <c r="X249" s="1">
        <v>1.5327102803738317</v>
      </c>
      <c r="Y249" s="1">
        <v>112</v>
      </c>
      <c r="Z249" s="1">
        <v>164</v>
      </c>
      <c r="AA249" s="1">
        <v>1.4642857142857142</v>
      </c>
      <c r="AB249" s="1">
        <v>110.0880475638269</v>
      </c>
      <c r="AC249" s="1">
        <v>164.14858504249651</v>
      </c>
      <c r="AD249" s="1">
        <v>1.491066366194989</v>
      </c>
      <c r="AE249" t="s">
        <v>4817</v>
      </c>
      <c r="AF249" t="str">
        <f>IF(X249&lt;$AF$1,"Bajo","Alto")</f>
        <v>Bajo</v>
      </c>
      <c r="AG249" t="str">
        <f>LEFT(AE249,1)</f>
        <v>C</v>
      </c>
      <c r="AH249" t="str">
        <f>K249</f>
        <v>M</v>
      </c>
      <c r="AI249" t="str">
        <f>LEFT(AF249,1)</f>
        <v>B</v>
      </c>
      <c r="AJ249" t="str">
        <f>LEFT(M249,1)</f>
        <v>M</v>
      </c>
      <c r="AK249" t="str">
        <f>_xlfn.CONCAT(AG249,AH249,AI249,AJ249)</f>
        <v>CMBM</v>
      </c>
    </row>
    <row r="250" spans="1:37" ht="15.75" hidden="1" customHeight="1" x14ac:dyDescent="0.2">
      <c r="A250" s="1">
        <v>293405</v>
      </c>
      <c r="B250" s="1" t="s">
        <v>3890</v>
      </c>
      <c r="C250" s="1" t="s">
        <v>1695</v>
      </c>
      <c r="D250" s="1" t="s">
        <v>3995</v>
      </c>
      <c r="E250" s="1" t="s">
        <v>634</v>
      </c>
      <c r="F250" s="1" t="s">
        <v>40</v>
      </c>
      <c r="G250" s="1" t="s">
        <v>4000</v>
      </c>
      <c r="H250" s="1">
        <v>3115</v>
      </c>
      <c r="I250" s="1" t="s">
        <v>4001</v>
      </c>
      <c r="J250" s="1">
        <v>3683</v>
      </c>
      <c r="K250" s="1" t="s">
        <v>35</v>
      </c>
      <c r="L250" s="1">
        <v>48</v>
      </c>
      <c r="M250" s="1" t="str">
        <f>IF(L250&lt;=45,"Joven","Mayor")</f>
        <v>Mayor</v>
      </c>
      <c r="N250" s="1">
        <v>57</v>
      </c>
      <c r="O250" s="1" t="s">
        <v>36</v>
      </c>
      <c r="P250" s="1">
        <v>0.73899999999999999</v>
      </c>
      <c r="Q250" s="1">
        <v>85.069000000000003</v>
      </c>
      <c r="R250" s="1">
        <v>-7.4529990000000002</v>
      </c>
      <c r="S250" s="1">
        <v>6.8129606000000003</v>
      </c>
      <c r="T250" s="1">
        <v>4.8141074000000001</v>
      </c>
      <c r="U250" s="1">
        <v>1.921</v>
      </c>
      <c r="V250" s="1">
        <v>78</v>
      </c>
      <c r="W250" s="1">
        <v>158</v>
      </c>
      <c r="X250" s="1">
        <v>2.0256410256410255</v>
      </c>
      <c r="Y250" s="1">
        <v>80</v>
      </c>
      <c r="Z250" s="1">
        <v>158</v>
      </c>
      <c r="AA250" s="1">
        <v>1.9750000000000001</v>
      </c>
      <c r="AB250" s="1">
        <v>80.829991935418775</v>
      </c>
      <c r="AC250" s="1">
        <v>157.44261168220009</v>
      </c>
      <c r="AD250" s="1">
        <v>1.9478241666533007</v>
      </c>
      <c r="AE250" t="s">
        <v>4817</v>
      </c>
      <c r="AF250" t="str">
        <f>IF(X250&lt;$AF$1,"Bajo","Alto")</f>
        <v>Alto</v>
      </c>
      <c r="AG250" t="str">
        <f>LEFT(AE250,1)</f>
        <v>C</v>
      </c>
      <c r="AH250" t="str">
        <f>K250</f>
        <v>M</v>
      </c>
      <c r="AI250" t="str">
        <f>LEFT(AF250,1)</f>
        <v>A</v>
      </c>
      <c r="AJ250" t="str">
        <f>LEFT(M250,1)</f>
        <v>M</v>
      </c>
      <c r="AK250" t="str">
        <f>_xlfn.CONCAT(AG250,AH250,AI250,AJ250)</f>
        <v>CMAM</v>
      </c>
    </row>
    <row r="251" spans="1:37" ht="15.75" hidden="1" customHeight="1" x14ac:dyDescent="0.2">
      <c r="A251" s="1">
        <v>402002</v>
      </c>
      <c r="B251" s="1" t="s">
        <v>4287</v>
      </c>
      <c r="C251" s="1" t="s">
        <v>657</v>
      </c>
      <c r="D251" s="1" t="s">
        <v>4302</v>
      </c>
      <c r="E251" s="1" t="s">
        <v>1983</v>
      </c>
      <c r="F251" s="1" t="s">
        <v>37</v>
      </c>
      <c r="G251" s="1" t="s">
        <v>4304</v>
      </c>
      <c r="H251" s="1">
        <v>618</v>
      </c>
      <c r="I251" s="1" t="s">
        <v>39</v>
      </c>
      <c r="J251" s="1">
        <v>11</v>
      </c>
      <c r="K251" s="1" t="s">
        <v>35</v>
      </c>
      <c r="L251" s="1">
        <v>38</v>
      </c>
      <c r="M251" s="1" t="str">
        <f>IF(L251&lt;=45,"Joven","Mayor")</f>
        <v>Joven</v>
      </c>
      <c r="N251" s="1">
        <v>43</v>
      </c>
      <c r="O251" s="1" t="s">
        <v>36</v>
      </c>
      <c r="P251" s="1">
        <v>0.50800000000000001</v>
      </c>
      <c r="Q251" s="1">
        <v>83.774000000000001</v>
      </c>
      <c r="R251" s="1">
        <v>-9.2201459999999997</v>
      </c>
      <c r="S251" s="1">
        <v>-1.7967137</v>
      </c>
      <c r="T251" s="1">
        <v>6.9881143999999997</v>
      </c>
      <c r="U251" s="1">
        <v>60.863</v>
      </c>
      <c r="V251" s="1">
        <v>104</v>
      </c>
      <c r="W251" s="1">
        <v>205</v>
      </c>
      <c r="X251" s="1">
        <v>1.9711538461538463</v>
      </c>
      <c r="Y251" s="1">
        <v>114</v>
      </c>
      <c r="Z251" s="1">
        <v>205</v>
      </c>
      <c r="AA251" s="1">
        <v>1.7982456140350878</v>
      </c>
      <c r="AB251" s="1">
        <v>110.0405796397927</v>
      </c>
      <c r="AC251" s="1">
        <v>205.1804275164682</v>
      </c>
      <c r="AD251" s="1">
        <v>1.8645887561489287</v>
      </c>
      <c r="AE251" t="s">
        <v>4816</v>
      </c>
      <c r="AF251" t="str">
        <f>IF(X251&lt;$AF$1,"Bajo","Alto")</f>
        <v>Alto</v>
      </c>
      <c r="AG251" t="str">
        <f>LEFT(AE251,1)</f>
        <v>D</v>
      </c>
      <c r="AH251" t="str">
        <f>K251</f>
        <v>M</v>
      </c>
      <c r="AI251" t="str">
        <f>LEFT(AF251,1)</f>
        <v>A</v>
      </c>
      <c r="AJ251" t="str">
        <f>LEFT(M251,1)</f>
        <v>J</v>
      </c>
      <c r="AK251" t="str">
        <f>_xlfn.CONCAT(AG251,AH251,AI251,AJ251)</f>
        <v>DMAJ</v>
      </c>
    </row>
    <row r="252" spans="1:37" ht="15.75" hidden="1" customHeight="1" x14ac:dyDescent="0.2">
      <c r="A252" s="1">
        <v>1035209</v>
      </c>
      <c r="B252" s="1" t="s">
        <v>783</v>
      </c>
      <c r="C252" s="1" t="s">
        <v>81</v>
      </c>
      <c r="D252" s="1" t="s">
        <v>865</v>
      </c>
      <c r="E252" s="1" t="s">
        <v>685</v>
      </c>
      <c r="F252" s="1" t="s">
        <v>189</v>
      </c>
      <c r="G252" s="1" t="s">
        <v>867</v>
      </c>
      <c r="H252" s="1">
        <v>4672</v>
      </c>
      <c r="I252" s="1" t="s">
        <v>868</v>
      </c>
      <c r="J252" s="1">
        <v>5004</v>
      </c>
      <c r="K252" s="1" t="s">
        <v>35</v>
      </c>
      <c r="L252" s="1">
        <v>56</v>
      </c>
      <c r="M252" s="1" t="str">
        <f>IF(L252&lt;=45,"Joven","Mayor")</f>
        <v>Mayor</v>
      </c>
      <c r="N252" s="1">
        <v>68</v>
      </c>
      <c r="O252" s="1" t="s">
        <v>36</v>
      </c>
      <c r="P252" s="1">
        <v>0.87</v>
      </c>
      <c r="Q252" s="1">
        <v>91.605999999999995</v>
      </c>
      <c r="R252" s="1">
        <v>-2.8230057</v>
      </c>
      <c r="S252" s="1">
        <v>6.2839212</v>
      </c>
      <c r="T252" s="1">
        <v>3.5690903999999999</v>
      </c>
      <c r="U252" s="1">
        <v>0.69</v>
      </c>
      <c r="V252" s="1">
        <v>105</v>
      </c>
      <c r="W252" s="1">
        <v>161</v>
      </c>
      <c r="X252" s="1">
        <v>1.5333333333333334</v>
      </c>
      <c r="Y252" s="1">
        <v>110</v>
      </c>
      <c r="Z252" s="1">
        <v>161</v>
      </c>
      <c r="AA252" s="1">
        <v>1.4636363636363636</v>
      </c>
      <c r="AB252" s="1">
        <v>107.7221967230798</v>
      </c>
      <c r="AC252" s="1">
        <v>160.9367419906562</v>
      </c>
      <c r="AD252" s="1">
        <v>1.4939979585115073</v>
      </c>
      <c r="AE252" t="s">
        <v>4817</v>
      </c>
      <c r="AF252" t="str">
        <f>IF(X252&lt;$AF$1,"Bajo","Alto")</f>
        <v>Bajo</v>
      </c>
      <c r="AG252" t="str">
        <f>LEFT(AE252,1)</f>
        <v>C</v>
      </c>
      <c r="AH252" t="str">
        <f>K252</f>
        <v>M</v>
      </c>
      <c r="AI252" t="str">
        <f>LEFT(AF252,1)</f>
        <v>B</v>
      </c>
      <c r="AJ252" t="str">
        <f>LEFT(M252,1)</f>
        <v>M</v>
      </c>
      <c r="AK252" t="str">
        <f>_xlfn.CONCAT(AG252,AH252,AI252,AJ252)</f>
        <v>CMBM</v>
      </c>
    </row>
    <row r="253" spans="1:37" ht="15.75" hidden="1" customHeight="1" x14ac:dyDescent="0.2">
      <c r="A253" s="1">
        <v>281005</v>
      </c>
      <c r="B253" s="1" t="s">
        <v>1775</v>
      </c>
      <c r="C253" s="1" t="s">
        <v>561</v>
      </c>
      <c r="D253" s="1" t="s">
        <v>1386</v>
      </c>
      <c r="E253" s="1" t="s">
        <v>75</v>
      </c>
      <c r="F253" s="1" t="s">
        <v>40</v>
      </c>
      <c r="G253" s="1" t="s">
        <v>3781</v>
      </c>
      <c r="H253" s="1">
        <v>3560</v>
      </c>
      <c r="I253" s="1" t="s">
        <v>91</v>
      </c>
      <c r="J253" s="1">
        <v>6</v>
      </c>
      <c r="K253" s="1" t="s">
        <v>35</v>
      </c>
      <c r="L253" s="1">
        <v>59</v>
      </c>
      <c r="M253" s="1" t="str">
        <f>IF(L253&lt;=45,"Joven","Mayor")</f>
        <v>Mayor</v>
      </c>
      <c r="N253" s="1">
        <v>68</v>
      </c>
      <c r="O253" s="1" t="s">
        <v>36</v>
      </c>
      <c r="P253" s="1">
        <v>0.32200000000000001</v>
      </c>
      <c r="Q253" s="1">
        <v>34.131</v>
      </c>
      <c r="R253" s="1">
        <v>18.064795</v>
      </c>
      <c r="S253" s="1">
        <v>1.0006039</v>
      </c>
      <c r="T253" s="1">
        <v>-3.9562325</v>
      </c>
      <c r="U253" s="1">
        <v>3.956</v>
      </c>
      <c r="V253" s="1">
        <v>81</v>
      </c>
      <c r="W253" s="1">
        <v>164</v>
      </c>
      <c r="X253" s="1">
        <v>2.0246913580246915</v>
      </c>
      <c r="Y253" s="1">
        <v>86</v>
      </c>
      <c r="Z253" s="1">
        <v>164</v>
      </c>
      <c r="AA253" s="1">
        <v>1.9069767441860466</v>
      </c>
      <c r="AB253" s="1">
        <v>88.416854129343164</v>
      </c>
      <c r="AC253" s="1">
        <v>162.78126229628111</v>
      </c>
      <c r="AD253" s="1">
        <v>1.8410659811324186</v>
      </c>
      <c r="AE253" t="s">
        <v>4817</v>
      </c>
      <c r="AF253" t="str">
        <f>IF(X253&lt;$AF$1,"Bajo","Alto")</f>
        <v>Alto</v>
      </c>
      <c r="AG253" t="str">
        <f>LEFT(AE253,1)</f>
        <v>C</v>
      </c>
      <c r="AH253" t="str">
        <f>K253</f>
        <v>M</v>
      </c>
      <c r="AI253" t="str">
        <f>LEFT(AF253,1)</f>
        <v>A</v>
      </c>
      <c r="AJ253" t="str">
        <f>LEFT(M253,1)</f>
        <v>M</v>
      </c>
      <c r="AK253" t="str">
        <f>_xlfn.CONCAT(AG253,AH253,AI253,AJ253)</f>
        <v>CMAM</v>
      </c>
    </row>
    <row r="254" spans="1:37" ht="15.75" hidden="1" customHeight="1" x14ac:dyDescent="0.2">
      <c r="A254" s="1">
        <v>1035803</v>
      </c>
      <c r="B254" s="1" t="s">
        <v>783</v>
      </c>
      <c r="C254" s="1" t="s">
        <v>81</v>
      </c>
      <c r="D254" s="1" t="s">
        <v>871</v>
      </c>
      <c r="E254" s="1" t="s">
        <v>695</v>
      </c>
      <c r="F254" s="1" t="s">
        <v>63</v>
      </c>
      <c r="G254" s="1" t="s">
        <v>872</v>
      </c>
      <c r="H254" s="1">
        <v>1841</v>
      </c>
      <c r="I254" s="1" t="s">
        <v>65</v>
      </c>
      <c r="J254" s="1">
        <v>2</v>
      </c>
      <c r="K254" s="1" t="s">
        <v>35</v>
      </c>
      <c r="L254" s="1">
        <v>55</v>
      </c>
      <c r="M254" s="1" t="str">
        <f>IF(L254&lt;=45,"Joven","Mayor")</f>
        <v>Mayor</v>
      </c>
      <c r="N254" s="1">
        <v>52</v>
      </c>
      <c r="O254" s="1" t="s">
        <v>36</v>
      </c>
      <c r="P254" s="1">
        <v>0.72899999999999998</v>
      </c>
      <c r="Q254" s="1">
        <v>66.864000000000004</v>
      </c>
      <c r="R254" s="1">
        <v>13.541016000000001</v>
      </c>
      <c r="S254" s="1">
        <v>0.90896580000000005</v>
      </c>
      <c r="T254" s="1">
        <v>-13.512838</v>
      </c>
      <c r="U254" s="1">
        <v>1.7</v>
      </c>
      <c r="V254" s="1">
        <v>85</v>
      </c>
      <c r="W254" s="1">
        <v>172</v>
      </c>
      <c r="X254" s="1">
        <v>2.0235294117647058</v>
      </c>
      <c r="Y254" s="1">
        <v>107</v>
      </c>
      <c r="Z254" s="1">
        <v>172</v>
      </c>
      <c r="AA254" s="1">
        <v>1.6074766355140186</v>
      </c>
      <c r="AB254" s="1">
        <v>99.364717371122197</v>
      </c>
      <c r="AC254" s="1">
        <v>175.65050166948589</v>
      </c>
      <c r="AD254" s="1">
        <v>1.7677351309060756</v>
      </c>
      <c r="AE254" t="s">
        <v>4817</v>
      </c>
      <c r="AF254" t="str">
        <f>IF(X254&lt;$AF$1,"Bajo","Alto")</f>
        <v>Alto</v>
      </c>
      <c r="AG254" t="str">
        <f>LEFT(AE254,1)</f>
        <v>C</v>
      </c>
      <c r="AH254" t="str">
        <f>K254</f>
        <v>M</v>
      </c>
      <c r="AI254" t="str">
        <f>LEFT(AF254,1)</f>
        <v>A</v>
      </c>
      <c r="AJ254" t="str">
        <f>LEFT(M254,1)</f>
        <v>M</v>
      </c>
      <c r="AK254" t="str">
        <f>_xlfn.CONCAT(AG254,AH254,AI254,AJ254)</f>
        <v>CMAM</v>
      </c>
    </row>
    <row r="255" spans="1:37" ht="15.75" hidden="1" customHeight="1" x14ac:dyDescent="0.2">
      <c r="A255" s="1">
        <v>643003</v>
      </c>
      <c r="B255" s="1" t="s">
        <v>4718</v>
      </c>
      <c r="C255" s="1" t="s">
        <v>710</v>
      </c>
      <c r="D255" s="1" t="s">
        <v>4783</v>
      </c>
      <c r="E255" s="1" t="s">
        <v>2381</v>
      </c>
      <c r="F255" s="1" t="s">
        <v>63</v>
      </c>
      <c r="G255" s="1" t="s">
        <v>4786</v>
      </c>
      <c r="H255" s="1">
        <v>437</v>
      </c>
      <c r="I255" s="1" t="s">
        <v>134</v>
      </c>
      <c r="J255" s="1">
        <v>8</v>
      </c>
      <c r="K255" s="1" t="s">
        <v>35</v>
      </c>
      <c r="L255" s="1">
        <v>41</v>
      </c>
      <c r="M255" s="1" t="str">
        <f>IF(L255&lt;=45,"Joven","Mayor")</f>
        <v>Joven</v>
      </c>
      <c r="N255" s="1">
        <v>32</v>
      </c>
      <c r="O255" s="1" t="s">
        <v>36</v>
      </c>
      <c r="P255" s="1">
        <v>0.35099999999999998</v>
      </c>
      <c r="Q255" s="1">
        <v>39.125999999999998</v>
      </c>
      <c r="R255" s="1">
        <v>17.405280999999999</v>
      </c>
      <c r="S255" s="1">
        <v>1.5434861</v>
      </c>
      <c r="T255" s="1">
        <v>-6.2670712000000002</v>
      </c>
      <c r="U255" s="1">
        <v>5.83</v>
      </c>
      <c r="V255" s="1">
        <v>88</v>
      </c>
      <c r="W255" s="1">
        <v>179</v>
      </c>
      <c r="X255" s="1">
        <v>2.0340909090909092</v>
      </c>
      <c r="Y255" s="1">
        <v>93</v>
      </c>
      <c r="Z255" s="1">
        <v>179</v>
      </c>
      <c r="AA255" s="1">
        <v>1.924731182795699</v>
      </c>
      <c r="AB255" s="1">
        <v>92.932251835671877</v>
      </c>
      <c r="AC255" s="1">
        <v>177.71194437225361</v>
      </c>
      <c r="AD255" s="1">
        <v>1.9122741659859275</v>
      </c>
      <c r="AE255" t="s">
        <v>4817</v>
      </c>
      <c r="AF255" t="str">
        <f>IF(X255&lt;$AF$1,"Bajo","Alto")</f>
        <v>Alto</v>
      </c>
      <c r="AG255" t="str">
        <f>LEFT(AE255,1)</f>
        <v>C</v>
      </c>
      <c r="AH255" t="str">
        <f>K255</f>
        <v>M</v>
      </c>
      <c r="AI255" t="str">
        <f>LEFT(AF255,1)</f>
        <v>A</v>
      </c>
      <c r="AJ255" t="str">
        <f>LEFT(M255,1)</f>
        <v>J</v>
      </c>
      <c r="AK255" t="str">
        <f>_xlfn.CONCAT(AG255,AH255,AI255,AJ255)</f>
        <v>CMAJ</v>
      </c>
    </row>
    <row r="256" spans="1:37" ht="15.75" hidden="1" customHeight="1" x14ac:dyDescent="0.2">
      <c r="A256" s="1">
        <v>1522602</v>
      </c>
      <c r="B256" s="1" t="s">
        <v>2077</v>
      </c>
      <c r="C256" s="1" t="s">
        <v>57</v>
      </c>
      <c r="D256" s="1" t="s">
        <v>2266</v>
      </c>
      <c r="E256" s="1" t="s">
        <v>431</v>
      </c>
      <c r="F256" s="1" t="s">
        <v>37</v>
      </c>
      <c r="G256" s="1" t="s">
        <v>2269</v>
      </c>
      <c r="H256" s="1">
        <v>1359</v>
      </c>
      <c r="I256" s="1" t="s">
        <v>2270</v>
      </c>
      <c r="J256" s="1">
        <v>3223</v>
      </c>
      <c r="K256" s="1" t="s">
        <v>49</v>
      </c>
      <c r="L256" s="1">
        <v>35</v>
      </c>
      <c r="M256" s="1" t="str">
        <f>IF(L256&lt;=45,"Joven","Mayor")</f>
        <v>Joven</v>
      </c>
      <c r="N256" s="1">
        <v>34</v>
      </c>
      <c r="O256" s="1" t="s">
        <v>50</v>
      </c>
      <c r="P256" s="1">
        <v>0.875</v>
      </c>
      <c r="Q256" s="1">
        <v>92.215000000000003</v>
      </c>
      <c r="R256" s="1">
        <v>1.3544444</v>
      </c>
      <c r="S256" s="1">
        <v>7.5213749999999999</v>
      </c>
      <c r="T256" s="1">
        <v>4.1480420000000002</v>
      </c>
      <c r="U256" s="1">
        <v>52.154000000000003</v>
      </c>
      <c r="V256" s="1">
        <v>107</v>
      </c>
      <c r="W256" s="1">
        <v>168</v>
      </c>
      <c r="X256" s="1">
        <v>1.5700934579439252</v>
      </c>
      <c r="Y256" s="1">
        <v>113</v>
      </c>
      <c r="Z256" s="1">
        <v>168</v>
      </c>
      <c r="AA256" s="1">
        <v>1.4867256637168142</v>
      </c>
      <c r="AB256" s="1">
        <v>110.1917322961922</v>
      </c>
      <c r="AC256" s="1">
        <v>168.2832586752302</v>
      </c>
      <c r="AD256" s="1">
        <v>1.5271858892542831</v>
      </c>
      <c r="AE256" t="s">
        <v>4817</v>
      </c>
      <c r="AF256" t="str">
        <f>IF(X256&lt;$AF$1,"Bajo","Alto")</f>
        <v>Bajo</v>
      </c>
      <c r="AG256" t="str">
        <f>LEFT(AE256,1)</f>
        <v>C</v>
      </c>
      <c r="AH256" t="str">
        <f>K256</f>
        <v>F</v>
      </c>
      <c r="AI256" t="str">
        <f>LEFT(AF256,1)</f>
        <v>B</v>
      </c>
      <c r="AJ256" t="str">
        <f>LEFT(M256,1)</f>
        <v>J</v>
      </c>
      <c r="AK256" t="str">
        <f>_xlfn.CONCAT(AG256,AH256,AI256,AJ256)</f>
        <v>CFBJ</v>
      </c>
    </row>
    <row r="257" spans="1:37" ht="15.75" hidden="1" customHeight="1" x14ac:dyDescent="0.2">
      <c r="A257" s="1">
        <v>2714803</v>
      </c>
      <c r="B257" s="1" t="s">
        <v>3409</v>
      </c>
      <c r="C257" s="1" t="s">
        <v>973</v>
      </c>
      <c r="D257" s="1" t="s">
        <v>3508</v>
      </c>
      <c r="E257" s="1" t="s">
        <v>201</v>
      </c>
      <c r="F257" s="1" t="s">
        <v>63</v>
      </c>
      <c r="G257" s="1" t="s">
        <v>3513</v>
      </c>
      <c r="H257" s="1">
        <v>956</v>
      </c>
      <c r="I257" s="1" t="s">
        <v>3514</v>
      </c>
      <c r="J257" s="1">
        <v>4597</v>
      </c>
      <c r="K257" s="1" t="s">
        <v>35</v>
      </c>
      <c r="L257" s="1">
        <v>38</v>
      </c>
      <c r="M257" s="1" t="str">
        <f>IF(L257&lt;=45,"Joven","Mayor")</f>
        <v>Joven</v>
      </c>
      <c r="N257" s="1">
        <v>32</v>
      </c>
      <c r="O257" s="1" t="s">
        <v>36</v>
      </c>
      <c r="P257" s="1">
        <v>0.32200000000000001</v>
      </c>
      <c r="Q257" s="1">
        <v>79.328000000000003</v>
      </c>
      <c r="R257" s="1">
        <v>-10.723328</v>
      </c>
      <c r="S257" s="1">
        <v>1.9157194</v>
      </c>
      <c r="T257" s="1">
        <v>15.175729</v>
      </c>
      <c r="U257" s="1">
        <v>5.8289999999999997</v>
      </c>
      <c r="V257" s="1">
        <v>89</v>
      </c>
      <c r="W257" s="1">
        <v>181</v>
      </c>
      <c r="X257" s="1">
        <v>2.0337078651685392</v>
      </c>
      <c r="Y257" s="1">
        <v>106</v>
      </c>
      <c r="Z257" s="1">
        <v>181</v>
      </c>
      <c r="AA257" s="1">
        <v>1.7075471698113207</v>
      </c>
      <c r="AB257" s="1">
        <v>101.60316708088359</v>
      </c>
      <c r="AC257" s="1">
        <v>180.97080148584661</v>
      </c>
      <c r="AD257" s="1">
        <v>1.7811531538360466</v>
      </c>
      <c r="AE257" t="s">
        <v>4817</v>
      </c>
      <c r="AF257" t="str">
        <f>IF(X257&lt;$AF$1,"Bajo","Alto")</f>
        <v>Alto</v>
      </c>
      <c r="AG257" t="str">
        <f>LEFT(AE257,1)</f>
        <v>C</v>
      </c>
      <c r="AH257" t="str">
        <f>K257</f>
        <v>M</v>
      </c>
      <c r="AI257" t="str">
        <f>LEFT(AF257,1)</f>
        <v>A</v>
      </c>
      <c r="AJ257" t="str">
        <f>LEFT(M257,1)</f>
        <v>J</v>
      </c>
      <c r="AK257" t="str">
        <f>_xlfn.CONCAT(AG257,AH257,AI257,AJ257)</f>
        <v>CMAJ</v>
      </c>
    </row>
    <row r="258" spans="1:37" ht="15.75" hidden="1" customHeight="1" x14ac:dyDescent="0.2">
      <c r="A258" s="1">
        <v>640105</v>
      </c>
      <c r="B258" s="1" t="s">
        <v>4718</v>
      </c>
      <c r="C258" s="1" t="s">
        <v>710</v>
      </c>
      <c r="D258" s="1" t="s">
        <v>4719</v>
      </c>
      <c r="E258" s="1" t="s">
        <v>32</v>
      </c>
      <c r="F258" s="1" t="s">
        <v>40</v>
      </c>
      <c r="G258" s="1" t="s">
        <v>4721</v>
      </c>
      <c r="H258" s="1">
        <v>5718</v>
      </c>
      <c r="I258" s="1" t="s">
        <v>65</v>
      </c>
      <c r="J258" s="1">
        <v>2</v>
      </c>
      <c r="K258" s="1" t="s">
        <v>35</v>
      </c>
      <c r="L258" s="1">
        <v>47</v>
      </c>
      <c r="M258" s="1" t="str">
        <f>IF(L258&lt;=45,"Joven","Mayor")</f>
        <v>Mayor</v>
      </c>
      <c r="N258" s="1">
        <v>39</v>
      </c>
      <c r="O258" s="1" t="s">
        <v>36</v>
      </c>
      <c r="P258" s="1">
        <v>0.36799999999999999</v>
      </c>
      <c r="Q258" s="1">
        <v>73.938999999999993</v>
      </c>
      <c r="R258" s="1">
        <v>11.999788000000001</v>
      </c>
      <c r="S258" s="1">
        <v>2.5438287000000002</v>
      </c>
      <c r="T258" s="1">
        <v>-8.1545314999999992</v>
      </c>
      <c r="U258" s="1">
        <v>29.256</v>
      </c>
      <c r="V258" s="1">
        <v>91</v>
      </c>
      <c r="W258" s="1">
        <v>184</v>
      </c>
      <c r="X258" s="1">
        <v>2.0219780219780219</v>
      </c>
      <c r="Y258" s="1">
        <v>96</v>
      </c>
      <c r="Z258" s="1">
        <v>184</v>
      </c>
      <c r="AA258" s="1">
        <v>1.9166666666666667</v>
      </c>
      <c r="AB258" s="1">
        <v>96.462862868366301</v>
      </c>
      <c r="AC258" s="1">
        <v>182.56512578460249</v>
      </c>
      <c r="AD258" s="1">
        <v>1.8925949360815857</v>
      </c>
      <c r="AE258" t="s">
        <v>4817</v>
      </c>
      <c r="AF258" t="str">
        <f>IF(X258&lt;$AF$1,"Bajo","Alto")</f>
        <v>Alto</v>
      </c>
      <c r="AG258" t="str">
        <f>LEFT(AE258,1)</f>
        <v>C</v>
      </c>
      <c r="AH258" t="str">
        <f>K258</f>
        <v>M</v>
      </c>
      <c r="AI258" t="str">
        <f>LEFT(AF258,1)</f>
        <v>A</v>
      </c>
      <c r="AJ258" t="str">
        <f>LEFT(M258,1)</f>
        <v>M</v>
      </c>
      <c r="AK258" t="str">
        <f>_xlfn.CONCAT(AG258,AH258,AI258,AJ258)</f>
        <v>CMAM</v>
      </c>
    </row>
    <row r="259" spans="1:37" ht="15.75" hidden="1" customHeight="1" x14ac:dyDescent="0.2">
      <c r="A259" s="1">
        <v>10116806</v>
      </c>
      <c r="B259" s="1" t="s">
        <v>29</v>
      </c>
      <c r="C259" s="1" t="s">
        <v>30</v>
      </c>
      <c r="D259" s="1" t="s">
        <v>271</v>
      </c>
      <c r="E259" s="1" t="s">
        <v>272</v>
      </c>
      <c r="F259" s="1" t="s">
        <v>88</v>
      </c>
      <c r="G259" s="1" t="s">
        <v>277</v>
      </c>
      <c r="H259" s="1">
        <v>219</v>
      </c>
      <c r="I259" s="1" t="s">
        <v>91</v>
      </c>
      <c r="J259" s="1">
        <v>6</v>
      </c>
      <c r="K259" s="1" t="s">
        <v>35</v>
      </c>
      <c r="L259" s="1">
        <v>44</v>
      </c>
      <c r="M259" s="1" t="str">
        <f>IF(L259&lt;=45,"Joven","Mayor")</f>
        <v>Joven</v>
      </c>
      <c r="N259" s="1">
        <v>44</v>
      </c>
      <c r="O259" s="1" t="s">
        <v>36</v>
      </c>
      <c r="P259" s="1">
        <v>8.4450000000000003</v>
      </c>
      <c r="Q259" s="1">
        <v>87.072999999999993</v>
      </c>
      <c r="R259" s="1">
        <v>4.2576900000000002</v>
      </c>
      <c r="S259" s="1">
        <v>5.9899589999999998</v>
      </c>
      <c r="T259" s="1">
        <v>-6.8952249999999999</v>
      </c>
      <c r="U259" s="1">
        <v>82.980999999999995</v>
      </c>
      <c r="V259" s="1">
        <v>74</v>
      </c>
      <c r="W259" s="1">
        <v>115</v>
      </c>
      <c r="X259" s="1">
        <v>1.5540540540540539</v>
      </c>
      <c r="Y259" s="1">
        <v>75</v>
      </c>
      <c r="Z259" s="1">
        <v>115</v>
      </c>
      <c r="AA259" s="1">
        <v>1.5333333333333334</v>
      </c>
      <c r="AB259" s="1">
        <v>77.666677535145027</v>
      </c>
      <c r="AC259" s="1">
        <v>115.00862403940801</v>
      </c>
      <c r="AD259" s="1">
        <v>1.48079752719389</v>
      </c>
      <c r="AE259" t="s">
        <v>4817</v>
      </c>
      <c r="AF259" t="str">
        <f>IF(X259&lt;$AF$1,"Bajo","Alto")</f>
        <v>Bajo</v>
      </c>
      <c r="AG259" t="str">
        <f>LEFT(AE259,1)</f>
        <v>C</v>
      </c>
      <c r="AH259" t="str">
        <f>K259</f>
        <v>M</v>
      </c>
      <c r="AI259" t="str">
        <f>LEFT(AF259,1)</f>
        <v>B</v>
      </c>
      <c r="AJ259" t="str">
        <f>LEFT(M259,1)</f>
        <v>J</v>
      </c>
      <c r="AK259" t="str">
        <f>_xlfn.CONCAT(AG259,AH259,AI259,AJ259)</f>
        <v>CMBJ</v>
      </c>
    </row>
    <row r="260" spans="1:37" ht="15.75" hidden="1" customHeight="1" x14ac:dyDescent="0.2">
      <c r="A260" s="1">
        <v>10118702</v>
      </c>
      <c r="B260" s="1" t="s">
        <v>29</v>
      </c>
      <c r="C260" s="1" t="s">
        <v>30</v>
      </c>
      <c r="D260" s="1" t="s">
        <v>315</v>
      </c>
      <c r="E260" s="1" t="s">
        <v>316</v>
      </c>
      <c r="F260" s="1" t="s">
        <v>37</v>
      </c>
      <c r="G260" s="1" t="s">
        <v>317</v>
      </c>
      <c r="H260" s="1">
        <v>455</v>
      </c>
      <c r="I260" s="1" t="s">
        <v>85</v>
      </c>
      <c r="J260" s="1">
        <v>12</v>
      </c>
      <c r="K260" s="1" t="s">
        <v>35</v>
      </c>
      <c r="L260" s="1">
        <v>52</v>
      </c>
      <c r="M260" s="1" t="str">
        <f>IF(L260&lt;=45,"Joven","Mayor")</f>
        <v>Mayor</v>
      </c>
      <c r="N260" s="1">
        <v>50</v>
      </c>
      <c r="O260" s="1" t="s">
        <v>36</v>
      </c>
      <c r="P260" s="1">
        <v>0.35399999999999998</v>
      </c>
      <c r="Q260" s="1">
        <v>92.882999999999996</v>
      </c>
      <c r="R260" s="1">
        <v>2.3991022000000002</v>
      </c>
      <c r="S260" s="1">
        <v>-3.8716309999999998</v>
      </c>
      <c r="T260" s="1">
        <v>-1.0081826</v>
      </c>
      <c r="U260" s="1">
        <v>6.1589999999999998</v>
      </c>
      <c r="V260" s="1">
        <v>88</v>
      </c>
      <c r="W260" s="1">
        <v>176</v>
      </c>
      <c r="X260" s="1">
        <v>2</v>
      </c>
      <c r="Y260" s="1">
        <v>91</v>
      </c>
      <c r="Z260" s="1">
        <v>176</v>
      </c>
      <c r="AA260" s="1">
        <v>1.9340659340659341</v>
      </c>
      <c r="AB260" s="1">
        <v>91.830482015013786</v>
      </c>
      <c r="AC260" s="1">
        <v>176.04313467553129</v>
      </c>
      <c r="AD260" s="1">
        <v>1.9170446545924609</v>
      </c>
      <c r="AE260" t="s">
        <v>4815</v>
      </c>
      <c r="AF260" t="str">
        <f>IF(X260&lt;$AF$1,"Bajo","Alto")</f>
        <v>Alto</v>
      </c>
      <c r="AG260" t="str">
        <f>LEFT(AE260,1)</f>
        <v>I</v>
      </c>
      <c r="AH260" t="str">
        <f>K260</f>
        <v>M</v>
      </c>
      <c r="AI260" t="str">
        <f>LEFT(AF260,1)</f>
        <v>A</v>
      </c>
      <c r="AJ260" t="str">
        <f>LEFT(M260,1)</f>
        <v>M</v>
      </c>
      <c r="AK260" t="str">
        <f>_xlfn.CONCAT(AG260,AH260,AI260,AJ260)</f>
        <v>IMAM</v>
      </c>
    </row>
    <row r="261" spans="1:37" ht="15.75" hidden="1" customHeight="1" x14ac:dyDescent="0.2">
      <c r="A261" s="1">
        <v>1282502</v>
      </c>
      <c r="B261" s="1" t="s">
        <v>1798</v>
      </c>
      <c r="C261" s="1" t="s">
        <v>54</v>
      </c>
      <c r="D261" s="1" t="s">
        <v>1925</v>
      </c>
      <c r="E261" s="1" t="s">
        <v>1926</v>
      </c>
      <c r="F261" s="1" t="s">
        <v>37</v>
      </c>
      <c r="G261" s="1" t="s">
        <v>1928</v>
      </c>
      <c r="H261" s="1">
        <v>3465</v>
      </c>
      <c r="I261" s="1" t="s">
        <v>65</v>
      </c>
      <c r="J261" s="1">
        <v>2</v>
      </c>
      <c r="K261" s="1" t="s">
        <v>35</v>
      </c>
      <c r="L261" s="1">
        <v>51</v>
      </c>
      <c r="M261" s="1" t="str">
        <f>IF(L261&lt;=45,"Joven","Mayor")</f>
        <v>Mayor</v>
      </c>
      <c r="N261" s="1">
        <v>51</v>
      </c>
      <c r="O261" s="1" t="s">
        <v>36</v>
      </c>
      <c r="P261" s="1">
        <v>0.32300000000000001</v>
      </c>
      <c r="Q261" s="1">
        <v>79.462999999999994</v>
      </c>
      <c r="R261" s="1">
        <v>-10.761414</v>
      </c>
      <c r="S261" s="1">
        <v>-1.3617442</v>
      </c>
      <c r="T261" s="1">
        <v>9.8986359999999998</v>
      </c>
      <c r="U261" s="1">
        <v>1.3480000000000001</v>
      </c>
      <c r="V261" s="1">
        <v>69</v>
      </c>
      <c r="W261" s="1">
        <v>139</v>
      </c>
      <c r="X261" s="1">
        <v>2.0144927536231885</v>
      </c>
      <c r="Y261" s="1">
        <v>81</v>
      </c>
      <c r="Z261" s="1">
        <v>139</v>
      </c>
      <c r="AA261" s="1">
        <v>1.7160493827160495</v>
      </c>
      <c r="AB261" s="1">
        <v>74.505240542411002</v>
      </c>
      <c r="AC261" s="1">
        <v>138.64982170721851</v>
      </c>
      <c r="AD261" s="1">
        <v>1.8609405284490579</v>
      </c>
      <c r="AE261" t="s">
        <v>4817</v>
      </c>
      <c r="AF261" t="str">
        <f>IF(X261&lt;$AF$1,"Bajo","Alto")</f>
        <v>Alto</v>
      </c>
      <c r="AG261" t="str">
        <f>LEFT(AE261,1)</f>
        <v>C</v>
      </c>
      <c r="AH261" t="str">
        <f>K261</f>
        <v>M</v>
      </c>
      <c r="AI261" t="str">
        <f>LEFT(AF261,1)</f>
        <v>A</v>
      </c>
      <c r="AJ261" t="str">
        <f>LEFT(M261,1)</f>
        <v>M</v>
      </c>
      <c r="AK261" t="str">
        <f>_xlfn.CONCAT(AG261,AH261,AI261,AJ261)</f>
        <v>CMAM</v>
      </c>
    </row>
    <row r="262" spans="1:37" ht="15.75" hidden="1" customHeight="1" x14ac:dyDescent="0.2">
      <c r="A262" s="1">
        <v>135505</v>
      </c>
      <c r="B262" s="1" t="s">
        <v>956</v>
      </c>
      <c r="C262" s="1" t="s">
        <v>163</v>
      </c>
      <c r="D262" s="1" t="s">
        <v>2060</v>
      </c>
      <c r="E262" s="1" t="s">
        <v>690</v>
      </c>
      <c r="F262" s="1" t="s">
        <v>40</v>
      </c>
      <c r="G262" s="1" t="s">
        <v>2064</v>
      </c>
      <c r="H262" s="1">
        <v>8065</v>
      </c>
      <c r="I262" s="1" t="s">
        <v>134</v>
      </c>
      <c r="J262" s="1">
        <v>8</v>
      </c>
      <c r="K262" s="1" t="s">
        <v>35</v>
      </c>
      <c r="L262" s="1">
        <v>50</v>
      </c>
      <c r="M262" s="1" t="str">
        <f>IF(L262&lt;=45,"Joven","Mayor")</f>
        <v>Mayor</v>
      </c>
      <c r="N262" s="1">
        <v>54</v>
      </c>
      <c r="O262" s="1" t="s">
        <v>36</v>
      </c>
      <c r="P262" s="1">
        <v>0.35299999999999998</v>
      </c>
      <c r="Q262" s="1">
        <v>1.0640000000000001</v>
      </c>
      <c r="R262" s="1">
        <v>25.537576999999999</v>
      </c>
      <c r="S262" s="1">
        <v>-2.1036692000000001</v>
      </c>
      <c r="T262" s="1">
        <v>-7.7735795999999997</v>
      </c>
      <c r="U262" s="1">
        <v>3.4860000000000002</v>
      </c>
      <c r="V262" s="1">
        <v>71</v>
      </c>
      <c r="W262" s="1">
        <v>143</v>
      </c>
      <c r="X262" s="1">
        <v>2.0140845070422535</v>
      </c>
      <c r="Y262" s="1">
        <v>83</v>
      </c>
      <c r="Z262" s="1">
        <v>143</v>
      </c>
      <c r="AA262" s="1">
        <v>1.7228915662650603</v>
      </c>
      <c r="AB262" s="1">
        <v>79.126306153380483</v>
      </c>
      <c r="AC262" s="1">
        <v>143.9852732129971</v>
      </c>
      <c r="AD262" s="1">
        <v>1.8196890542810418</v>
      </c>
      <c r="AE262" t="s">
        <v>4817</v>
      </c>
      <c r="AF262" t="str">
        <f>IF(X262&lt;$AF$1,"Bajo","Alto")</f>
        <v>Alto</v>
      </c>
      <c r="AG262" t="str">
        <f>LEFT(AE262,1)</f>
        <v>C</v>
      </c>
      <c r="AH262" t="str">
        <f>K262</f>
        <v>M</v>
      </c>
      <c r="AI262" t="str">
        <f>LEFT(AF262,1)</f>
        <v>A</v>
      </c>
      <c r="AJ262" t="str">
        <f>LEFT(M262,1)</f>
        <v>M</v>
      </c>
      <c r="AK262" t="str">
        <f>_xlfn.CONCAT(AG262,AH262,AI262,AJ262)</f>
        <v>CMAM</v>
      </c>
    </row>
    <row r="263" spans="1:37" ht="15.75" hidden="1" customHeight="1" x14ac:dyDescent="0.2">
      <c r="A263" s="1">
        <v>115202</v>
      </c>
      <c r="B263" s="1" t="s">
        <v>1648</v>
      </c>
      <c r="C263" s="1" t="s">
        <v>51</v>
      </c>
      <c r="D263" s="1" t="s">
        <v>994</v>
      </c>
      <c r="E263" s="1" t="s">
        <v>685</v>
      </c>
      <c r="F263" s="1" t="s">
        <v>37</v>
      </c>
      <c r="G263" s="1" t="s">
        <v>1722</v>
      </c>
      <c r="H263" s="1">
        <v>4288</v>
      </c>
      <c r="I263" s="1" t="s">
        <v>85</v>
      </c>
      <c r="J263" s="1">
        <v>12</v>
      </c>
      <c r="K263" s="1" t="s">
        <v>35</v>
      </c>
      <c r="L263" s="1">
        <v>39</v>
      </c>
      <c r="M263" s="1" t="str">
        <f>IF(L263&lt;=45,"Joven","Mayor")</f>
        <v>Joven</v>
      </c>
      <c r="N263" s="1">
        <v>50</v>
      </c>
      <c r="O263" s="1" t="s">
        <v>36</v>
      </c>
      <c r="P263" s="1">
        <v>0.28399999999999997</v>
      </c>
      <c r="Q263" s="1">
        <v>89.751000000000005</v>
      </c>
      <c r="R263" s="1">
        <v>-6.4375533999999996</v>
      </c>
      <c r="S263" s="1">
        <v>0.28418025000000002</v>
      </c>
      <c r="T263" s="1">
        <v>0.56154230000000005</v>
      </c>
      <c r="U263" s="1">
        <v>3.0609999999999999</v>
      </c>
      <c r="V263" s="1">
        <v>90</v>
      </c>
      <c r="W263" s="1">
        <v>177</v>
      </c>
      <c r="X263" s="1">
        <v>1.9666666666666666</v>
      </c>
      <c r="Y263" s="1">
        <v>92</v>
      </c>
      <c r="Z263" s="1">
        <v>177</v>
      </c>
      <c r="AA263" s="1">
        <v>1.923913043478261</v>
      </c>
      <c r="AB263" s="1">
        <v>92.32880208248389</v>
      </c>
      <c r="AC263" s="1">
        <v>176.85429073446451</v>
      </c>
      <c r="AD263" s="1">
        <v>1.9154834325313568</v>
      </c>
      <c r="AE263" t="s">
        <v>4815</v>
      </c>
      <c r="AF263" t="str">
        <f>IF(X263&lt;$AF$1,"Bajo","Alto")</f>
        <v>Alto</v>
      </c>
      <c r="AG263" t="str">
        <f>LEFT(AE263,1)</f>
        <v>I</v>
      </c>
      <c r="AH263" t="str">
        <f>K263</f>
        <v>M</v>
      </c>
      <c r="AI263" t="str">
        <f>LEFT(AF263,1)</f>
        <v>A</v>
      </c>
      <c r="AJ263" t="str">
        <f>LEFT(M263,1)</f>
        <v>J</v>
      </c>
      <c r="AK263" t="str">
        <f>_xlfn.CONCAT(AG263,AH263,AI263,AJ263)</f>
        <v>IMAJ</v>
      </c>
    </row>
    <row r="264" spans="1:37" ht="15.75" hidden="1" customHeight="1" x14ac:dyDescent="0.2">
      <c r="A264" s="1">
        <v>1054401</v>
      </c>
      <c r="B264" s="1" t="s">
        <v>694</v>
      </c>
      <c r="C264" s="1" t="s">
        <v>879</v>
      </c>
      <c r="D264" s="1" t="s">
        <v>994</v>
      </c>
      <c r="E264" s="1" t="s">
        <v>995</v>
      </c>
      <c r="F264" s="1" t="s">
        <v>32</v>
      </c>
      <c r="G264" s="1" t="s">
        <v>996</v>
      </c>
      <c r="H264" s="1">
        <v>2506</v>
      </c>
      <c r="I264" s="1" t="s">
        <v>100</v>
      </c>
      <c r="J264" s="1">
        <v>1</v>
      </c>
      <c r="K264" s="1" t="s">
        <v>35</v>
      </c>
      <c r="L264" s="1">
        <v>47</v>
      </c>
      <c r="M264" s="1" t="str">
        <f>IF(L264&lt;=45,"Joven","Mayor")</f>
        <v>Mayor</v>
      </c>
      <c r="N264" s="1">
        <v>46</v>
      </c>
      <c r="O264" s="1" t="s">
        <v>36</v>
      </c>
      <c r="P264" s="1">
        <v>1.1719999999999999</v>
      </c>
      <c r="Q264" s="1">
        <v>90.004999999999995</v>
      </c>
      <c r="R264" s="1">
        <v>1.6430924</v>
      </c>
      <c r="S264" s="1">
        <v>11.004941000000001</v>
      </c>
      <c r="T264" s="1">
        <v>-0.73234330000000003</v>
      </c>
      <c r="U264" s="1">
        <v>0.89700000000000002</v>
      </c>
      <c r="V264" s="1">
        <v>123</v>
      </c>
      <c r="W264" s="1">
        <v>189</v>
      </c>
      <c r="X264" s="1">
        <v>1.5365853658536586</v>
      </c>
      <c r="Y264" s="1">
        <v>125</v>
      </c>
      <c r="Z264" s="1">
        <v>189</v>
      </c>
      <c r="AA264" s="1">
        <v>1.512</v>
      </c>
      <c r="AB264" s="1">
        <v>125.6416433794852</v>
      </c>
      <c r="AC264" s="1">
        <v>188.92065405485479</v>
      </c>
      <c r="AD264" s="1">
        <v>1.5036467923636041</v>
      </c>
      <c r="AE264" t="s">
        <v>4817</v>
      </c>
      <c r="AF264" t="str">
        <f>IF(X264&lt;$AF$1,"Bajo","Alto")</f>
        <v>Bajo</v>
      </c>
      <c r="AG264" t="str">
        <f>LEFT(AE264,1)</f>
        <v>C</v>
      </c>
      <c r="AH264" t="str">
        <f>K264</f>
        <v>M</v>
      </c>
      <c r="AI264" t="str">
        <f>LEFT(AF264,1)</f>
        <v>B</v>
      </c>
      <c r="AJ264" t="str">
        <f>LEFT(M264,1)</f>
        <v>M</v>
      </c>
      <c r="AK264" t="str">
        <f>_xlfn.CONCAT(AG264,AH264,AI264,AJ264)</f>
        <v>CMBM</v>
      </c>
    </row>
    <row r="265" spans="1:37" ht="15.75" hidden="1" customHeight="1" x14ac:dyDescent="0.2">
      <c r="A265" s="1">
        <v>314302</v>
      </c>
      <c r="B265" s="1" t="s">
        <v>4122</v>
      </c>
      <c r="C265" s="1" t="s">
        <v>628</v>
      </c>
      <c r="D265" s="1" t="s">
        <v>4218</v>
      </c>
      <c r="E265" s="1" t="s">
        <v>665</v>
      </c>
      <c r="F265" s="1" t="s">
        <v>37</v>
      </c>
      <c r="G265" s="1" t="s">
        <v>4220</v>
      </c>
      <c r="H265" s="1">
        <v>954</v>
      </c>
      <c r="I265" s="1" t="s">
        <v>85</v>
      </c>
      <c r="J265" s="1">
        <v>12</v>
      </c>
      <c r="K265" s="1" t="s">
        <v>35</v>
      </c>
      <c r="L265" s="1">
        <v>47</v>
      </c>
      <c r="M265" s="1" t="str">
        <f>IF(L265&lt;=45,"Joven","Mayor")</f>
        <v>Mayor</v>
      </c>
      <c r="N265" s="1">
        <v>61</v>
      </c>
      <c r="O265" s="1" t="s">
        <v>36</v>
      </c>
      <c r="P265" s="1">
        <v>0.41599999999999998</v>
      </c>
      <c r="Q265" s="1">
        <v>86.471999999999994</v>
      </c>
      <c r="R265" s="1">
        <v>8.1638389999999994</v>
      </c>
      <c r="S265" s="1">
        <v>-1.2035152</v>
      </c>
      <c r="T265" s="1">
        <v>-14.483036</v>
      </c>
      <c r="U265" s="1">
        <v>2.7469999999999999</v>
      </c>
      <c r="V265" s="1">
        <v>56</v>
      </c>
      <c r="W265" s="1">
        <v>112</v>
      </c>
      <c r="X265" s="1">
        <v>2</v>
      </c>
      <c r="Y265" s="1">
        <v>68</v>
      </c>
      <c r="Z265" s="1">
        <v>112</v>
      </c>
      <c r="AA265" s="1">
        <v>1.6470588235294117</v>
      </c>
      <c r="AB265" s="1">
        <v>63.974057374392487</v>
      </c>
      <c r="AC265" s="1">
        <v>113.69279401528</v>
      </c>
      <c r="AD265" s="1">
        <v>1.7771702887300207</v>
      </c>
      <c r="AE265" t="s">
        <v>4815</v>
      </c>
      <c r="AF265" t="str">
        <f>IF(X265&lt;$AF$1,"Bajo","Alto")</f>
        <v>Alto</v>
      </c>
      <c r="AG265" t="str">
        <f>LEFT(AE265,1)</f>
        <v>I</v>
      </c>
      <c r="AH265" t="str">
        <f>K265</f>
        <v>M</v>
      </c>
      <c r="AI265" t="str">
        <f>LEFT(AF265,1)</f>
        <v>A</v>
      </c>
      <c r="AJ265" t="str">
        <f>LEFT(M265,1)</f>
        <v>M</v>
      </c>
      <c r="AK265" t="str">
        <f>_xlfn.CONCAT(AG265,AH265,AI265,AJ265)</f>
        <v>IMAM</v>
      </c>
    </row>
    <row r="266" spans="1:37" ht="15.75" hidden="1" customHeight="1" x14ac:dyDescent="0.2">
      <c r="A266" s="1">
        <v>271301</v>
      </c>
      <c r="B266" s="1" t="s">
        <v>3409</v>
      </c>
      <c r="C266" s="1" t="s">
        <v>973</v>
      </c>
      <c r="D266" s="1" t="s">
        <v>664</v>
      </c>
      <c r="E266" s="1" t="s">
        <v>163</v>
      </c>
      <c r="F266" s="1" t="s">
        <v>32</v>
      </c>
      <c r="G266" s="1" t="s">
        <v>3485</v>
      </c>
      <c r="H266" s="1">
        <v>36</v>
      </c>
      <c r="I266" s="1" t="s">
        <v>87</v>
      </c>
      <c r="J266" s="1">
        <v>14</v>
      </c>
      <c r="K266" s="1" t="s">
        <v>35</v>
      </c>
      <c r="L266" s="1">
        <v>57</v>
      </c>
      <c r="M266" s="1" t="str">
        <f>IF(L266&lt;=45,"Joven","Mayor")</f>
        <v>Mayor</v>
      </c>
      <c r="N266" s="1">
        <v>62</v>
      </c>
      <c r="O266" s="1" t="s">
        <v>36</v>
      </c>
      <c r="P266" s="1">
        <v>0.33600000000000002</v>
      </c>
      <c r="Q266" s="1">
        <v>92.244</v>
      </c>
      <c r="R266" s="1">
        <v>-3.5398436000000002</v>
      </c>
      <c r="S266" s="1">
        <v>-2.9805527000000001</v>
      </c>
      <c r="T266" s="1">
        <v>1.5188531000000001</v>
      </c>
      <c r="U266" s="1">
        <v>0.76100000000000001</v>
      </c>
      <c r="V266" s="1">
        <v>94</v>
      </c>
      <c r="W266" s="1">
        <v>194</v>
      </c>
      <c r="X266" s="1">
        <v>2.0638297872340425</v>
      </c>
      <c r="Y266" s="1">
        <v>96</v>
      </c>
      <c r="Z266" s="1">
        <v>194</v>
      </c>
      <c r="AA266" s="1">
        <v>2.0208333333333335</v>
      </c>
      <c r="AB266" s="1">
        <v>97.477106426747014</v>
      </c>
      <c r="AC266" s="1">
        <v>194.19689835731509</v>
      </c>
      <c r="AD266" s="1">
        <v>1.9922308475913979</v>
      </c>
      <c r="AE266" t="s">
        <v>4816</v>
      </c>
      <c r="AF266" t="str">
        <f>IF(X266&lt;$AF$1,"Bajo","Alto")</f>
        <v>Alto</v>
      </c>
      <c r="AG266" t="str">
        <f>LEFT(AE266,1)</f>
        <v>D</v>
      </c>
      <c r="AH266" t="str">
        <f>K266</f>
        <v>M</v>
      </c>
      <c r="AI266" t="str">
        <f>LEFT(AF266,1)</f>
        <v>A</v>
      </c>
      <c r="AJ266" t="str">
        <f>LEFT(M266,1)</f>
        <v>M</v>
      </c>
      <c r="AK266" t="str">
        <f>_xlfn.CONCAT(AG266,AH266,AI266,AJ266)</f>
        <v>DMAM</v>
      </c>
    </row>
    <row r="267" spans="1:37" ht="15.75" hidden="1" customHeight="1" x14ac:dyDescent="0.2">
      <c r="A267" s="1">
        <v>10114803</v>
      </c>
      <c r="B267" s="1" t="s">
        <v>29</v>
      </c>
      <c r="C267" s="1" t="s">
        <v>30</v>
      </c>
      <c r="D267" s="1" t="s">
        <v>200</v>
      </c>
      <c r="E267" s="1" t="s">
        <v>201</v>
      </c>
      <c r="F267" s="1" t="s">
        <v>63</v>
      </c>
      <c r="G267" s="1" t="s">
        <v>202</v>
      </c>
      <c r="H267" s="1">
        <v>1591</v>
      </c>
      <c r="I267" s="1" t="s">
        <v>108</v>
      </c>
      <c r="J267" s="1">
        <v>3</v>
      </c>
      <c r="K267" s="1" t="s">
        <v>35</v>
      </c>
      <c r="L267" s="1">
        <v>35</v>
      </c>
      <c r="M267" s="1" t="str">
        <f>IF(L267&lt;=45,"Joven","Mayor")</f>
        <v>Joven</v>
      </c>
      <c r="N267" s="1">
        <v>32</v>
      </c>
      <c r="O267" s="1" t="s">
        <v>36</v>
      </c>
      <c r="P267" s="1">
        <v>0.32900000000000001</v>
      </c>
      <c r="Q267" s="1">
        <v>94.087999999999994</v>
      </c>
      <c r="R267" s="1">
        <v>1.3279101</v>
      </c>
      <c r="S267" s="1">
        <v>1.4768045999999999</v>
      </c>
      <c r="T267" s="1">
        <v>-4.2717179999999999</v>
      </c>
      <c r="U267" s="1">
        <v>60.156999999999996</v>
      </c>
      <c r="V267" s="1">
        <v>101</v>
      </c>
      <c r="W267" s="1">
        <v>157</v>
      </c>
      <c r="X267" s="1">
        <v>1.5544554455445545</v>
      </c>
      <c r="Y267" s="1">
        <v>106</v>
      </c>
      <c r="Z267" s="1">
        <v>157</v>
      </c>
      <c r="AA267" s="1">
        <v>1.4811320754716981</v>
      </c>
      <c r="AB267" s="1">
        <v>103.8478569938884</v>
      </c>
      <c r="AC267" s="1">
        <v>156.93629001235561</v>
      </c>
      <c r="AD267" s="1">
        <v>1.5112135633342105</v>
      </c>
      <c r="AE267" t="s">
        <v>4817</v>
      </c>
      <c r="AF267" t="str">
        <f>IF(X267&lt;$AF$1,"Bajo","Alto")</f>
        <v>Bajo</v>
      </c>
      <c r="AG267" t="str">
        <f>LEFT(AE267,1)</f>
        <v>C</v>
      </c>
      <c r="AH267" t="str">
        <f>K267</f>
        <v>M</v>
      </c>
      <c r="AI267" t="str">
        <f>LEFT(AF267,1)</f>
        <v>B</v>
      </c>
      <c r="AJ267" t="str">
        <f>LEFT(M267,1)</f>
        <v>J</v>
      </c>
      <c r="AK267" t="str">
        <f>_xlfn.CONCAT(AG267,AH267,AI267,AJ267)</f>
        <v>CMBJ</v>
      </c>
    </row>
    <row r="268" spans="1:37" ht="15.75" hidden="1" customHeight="1" x14ac:dyDescent="0.2">
      <c r="A268" s="1">
        <v>171602</v>
      </c>
      <c r="B268" s="1" t="s">
        <v>2551</v>
      </c>
      <c r="C268" s="1" t="s">
        <v>2552</v>
      </c>
      <c r="D268" s="1" t="s">
        <v>2584</v>
      </c>
      <c r="E268" s="1" t="s">
        <v>244</v>
      </c>
      <c r="F268" s="1" t="s">
        <v>37</v>
      </c>
      <c r="G268" s="1" t="s">
        <v>2586</v>
      </c>
      <c r="H268" s="1">
        <v>19</v>
      </c>
      <c r="I268" s="1" t="s">
        <v>48</v>
      </c>
      <c r="J268" s="1">
        <v>4</v>
      </c>
      <c r="K268" s="1" t="s">
        <v>35</v>
      </c>
      <c r="L268" s="1">
        <v>64</v>
      </c>
      <c r="M268" s="1" t="str">
        <f>IF(L268&lt;=45,"Joven","Mayor")</f>
        <v>Mayor</v>
      </c>
      <c r="N268" s="1">
        <v>62</v>
      </c>
      <c r="O268" s="1" t="s">
        <v>36</v>
      </c>
      <c r="P268" s="1">
        <v>0.36099999999999999</v>
      </c>
      <c r="Q268" s="1">
        <v>93.775000000000006</v>
      </c>
      <c r="R268" s="1">
        <v>1.7002200999999999</v>
      </c>
      <c r="S268" s="1">
        <v>1.9863966</v>
      </c>
      <c r="T268" s="1">
        <v>0.3552748</v>
      </c>
      <c r="U268" s="1">
        <v>1.712</v>
      </c>
      <c r="V268" s="1">
        <v>121</v>
      </c>
      <c r="W268" s="1">
        <v>186</v>
      </c>
      <c r="X268" s="1">
        <v>1.5371900826446281</v>
      </c>
      <c r="Y268" s="1">
        <v>125</v>
      </c>
      <c r="Z268" s="1">
        <v>186</v>
      </c>
      <c r="AA268" s="1">
        <v>1.488</v>
      </c>
      <c r="AB268" s="1">
        <v>124.7309679167377</v>
      </c>
      <c r="AC268" s="1">
        <v>185.99642426686071</v>
      </c>
      <c r="AD268" s="1">
        <v>1.4911807979476264</v>
      </c>
      <c r="AE268" t="s">
        <v>4817</v>
      </c>
      <c r="AF268" t="str">
        <f>IF(X268&lt;$AF$1,"Bajo","Alto")</f>
        <v>Bajo</v>
      </c>
      <c r="AG268" t="str">
        <f>LEFT(AE268,1)</f>
        <v>C</v>
      </c>
      <c r="AH268" t="str">
        <f>K268</f>
        <v>M</v>
      </c>
      <c r="AI268" t="str">
        <f>LEFT(AF268,1)</f>
        <v>B</v>
      </c>
      <c r="AJ268" t="str">
        <f>LEFT(M268,1)</f>
        <v>M</v>
      </c>
      <c r="AK268" t="str">
        <f>_xlfn.CONCAT(AG268,AH268,AI268,AJ268)</f>
        <v>CMBM</v>
      </c>
    </row>
    <row r="269" spans="1:37" ht="15.75" hidden="1" customHeight="1" x14ac:dyDescent="0.2">
      <c r="A269" s="1">
        <v>2717204</v>
      </c>
      <c r="B269" s="1" t="s">
        <v>3409</v>
      </c>
      <c r="C269" s="1" t="s">
        <v>973</v>
      </c>
      <c r="D269" s="1" t="s">
        <v>391</v>
      </c>
      <c r="E269" s="1" t="s">
        <v>291</v>
      </c>
      <c r="F269" s="1" t="s">
        <v>61</v>
      </c>
      <c r="G269" s="1" t="s">
        <v>3562</v>
      </c>
      <c r="H269" s="1">
        <v>4892</v>
      </c>
      <c r="I269" s="1" t="s">
        <v>91</v>
      </c>
      <c r="J269" s="1">
        <v>6</v>
      </c>
      <c r="K269" s="1" t="s">
        <v>35</v>
      </c>
      <c r="L269" s="1">
        <v>29</v>
      </c>
      <c r="M269" s="1" t="str">
        <f>IF(L269&lt;=45,"Joven","Mayor")</f>
        <v>Joven</v>
      </c>
      <c r="N269" s="1">
        <v>32</v>
      </c>
      <c r="O269" s="1" t="s">
        <v>36</v>
      </c>
      <c r="P269" s="1">
        <v>2.2309999999999999</v>
      </c>
      <c r="Q269" s="1">
        <v>93.603999999999999</v>
      </c>
      <c r="R269" s="1">
        <v>0.32915362999999997</v>
      </c>
      <c r="S269" s="1">
        <v>3.9735874999999998</v>
      </c>
      <c r="T269" s="1">
        <v>-1.5971630999999999</v>
      </c>
      <c r="U269" s="1">
        <v>9.5280000000000005</v>
      </c>
      <c r="V269" s="1">
        <v>61</v>
      </c>
      <c r="W269" s="1">
        <v>124</v>
      </c>
      <c r="X269" s="1">
        <v>2.0327868852459017</v>
      </c>
      <c r="Y269" s="1">
        <v>66</v>
      </c>
      <c r="Z269" s="1">
        <v>124</v>
      </c>
      <c r="AA269" s="1">
        <v>1.8787878787878789</v>
      </c>
      <c r="AB269" s="1">
        <v>65.082450124251181</v>
      </c>
      <c r="AC269" s="1">
        <v>124.09118626568581</v>
      </c>
      <c r="AD269" s="1">
        <v>1.906676623710063</v>
      </c>
      <c r="AE269" t="s">
        <v>4817</v>
      </c>
      <c r="AF269" t="str">
        <f>IF(X269&lt;$AF$1,"Bajo","Alto")</f>
        <v>Alto</v>
      </c>
      <c r="AG269" t="str">
        <f>LEFT(AE269,1)</f>
        <v>C</v>
      </c>
      <c r="AH269" t="str">
        <f>K269</f>
        <v>M</v>
      </c>
      <c r="AI269" t="str">
        <f>LEFT(AF269,1)</f>
        <v>A</v>
      </c>
      <c r="AJ269" t="str">
        <f>LEFT(M269,1)</f>
        <v>J</v>
      </c>
      <c r="AK269" t="str">
        <f>_xlfn.CONCAT(AG269,AH269,AI269,AJ269)</f>
        <v>CMAJ</v>
      </c>
    </row>
    <row r="270" spans="1:37" ht="15.75" hidden="1" customHeight="1" x14ac:dyDescent="0.2">
      <c r="A270" s="1">
        <v>10512102</v>
      </c>
      <c r="B270" s="1" t="s">
        <v>694</v>
      </c>
      <c r="C270" s="1" t="s">
        <v>879</v>
      </c>
      <c r="D270" s="1" t="s">
        <v>925</v>
      </c>
      <c r="E270" s="1" t="s">
        <v>136</v>
      </c>
      <c r="F270" s="1" t="s">
        <v>37</v>
      </c>
      <c r="G270" s="1" t="s">
        <v>926</v>
      </c>
      <c r="H270" s="1">
        <v>5216</v>
      </c>
      <c r="I270" s="1" t="s">
        <v>65</v>
      </c>
      <c r="J270" s="1">
        <v>2</v>
      </c>
      <c r="K270" s="1" t="s">
        <v>49</v>
      </c>
      <c r="L270" s="1">
        <v>55</v>
      </c>
      <c r="M270" s="1" t="str">
        <f>IF(L270&lt;=45,"Joven","Mayor")</f>
        <v>Mayor</v>
      </c>
      <c r="N270" s="1">
        <v>49</v>
      </c>
      <c r="O270" s="1" t="s">
        <v>50</v>
      </c>
      <c r="P270" s="1">
        <v>0.30199999999999999</v>
      </c>
      <c r="Q270" s="1">
        <v>77.884</v>
      </c>
      <c r="R270" s="1">
        <v>10.71575</v>
      </c>
      <c r="S270" s="1">
        <v>4.4579810000000002</v>
      </c>
      <c r="T270" s="1">
        <v>-10.170375</v>
      </c>
      <c r="U270" s="1">
        <v>5.7670000000000003</v>
      </c>
      <c r="V270" s="1">
        <v>59</v>
      </c>
      <c r="W270" s="1">
        <v>122</v>
      </c>
      <c r="X270" s="1">
        <v>2.0677966101694913</v>
      </c>
      <c r="Y270" s="1">
        <v>65</v>
      </c>
      <c r="Z270" s="1">
        <v>122</v>
      </c>
      <c r="AA270" s="1">
        <v>1.8769230769230769</v>
      </c>
      <c r="AB270" s="1">
        <v>63.89993782759143</v>
      </c>
      <c r="AC270" s="1">
        <v>121.6722012379018</v>
      </c>
      <c r="AD270" s="1">
        <v>1.9041051583835003</v>
      </c>
      <c r="AE270" t="s">
        <v>4817</v>
      </c>
      <c r="AF270" t="str">
        <f>IF(X270&lt;$AF$1,"Bajo","Alto")</f>
        <v>Alto</v>
      </c>
      <c r="AG270" t="str">
        <f>LEFT(AE270,1)</f>
        <v>C</v>
      </c>
      <c r="AH270" t="str">
        <f>K270</f>
        <v>F</v>
      </c>
      <c r="AI270" t="str">
        <f>LEFT(AF270,1)</f>
        <v>A</v>
      </c>
      <c r="AJ270" t="str">
        <f>LEFT(M270,1)</f>
        <v>M</v>
      </c>
      <c r="AK270" t="str">
        <f>_xlfn.CONCAT(AG270,AH270,AI270,AJ270)</f>
        <v>CFAM</v>
      </c>
    </row>
    <row r="271" spans="1:37" ht="15.75" hidden="1" customHeight="1" x14ac:dyDescent="0.2">
      <c r="A271" s="1">
        <v>10710903</v>
      </c>
      <c r="B271" s="1" t="s">
        <v>1067</v>
      </c>
      <c r="C271" s="1" t="s">
        <v>1068</v>
      </c>
      <c r="D271" s="1" t="s">
        <v>1106</v>
      </c>
      <c r="E271" s="1" t="s">
        <v>98</v>
      </c>
      <c r="F271" s="1" t="s">
        <v>63</v>
      </c>
      <c r="G271" s="1" t="s">
        <v>1108</v>
      </c>
      <c r="H271" s="1">
        <v>1040</v>
      </c>
      <c r="I271" s="1" t="s">
        <v>1109</v>
      </c>
      <c r="J271" s="1">
        <v>3163</v>
      </c>
      <c r="K271" s="1" t="s">
        <v>35</v>
      </c>
      <c r="L271" s="1">
        <v>51</v>
      </c>
      <c r="M271" s="1" t="str">
        <f>IF(L271&lt;=45,"Joven","Mayor")</f>
        <v>Mayor</v>
      </c>
      <c r="N271" s="1">
        <v>56</v>
      </c>
      <c r="O271" s="1" t="s">
        <v>36</v>
      </c>
      <c r="P271" s="1">
        <v>0.30099999999999999</v>
      </c>
      <c r="Q271" s="1">
        <v>84.08</v>
      </c>
      <c r="R271" s="1">
        <v>8.1305685000000008</v>
      </c>
      <c r="S271" s="1">
        <v>6.4012549999999999</v>
      </c>
      <c r="T271" s="1">
        <v>-11.545396999999999</v>
      </c>
      <c r="U271" s="1">
        <v>1.7989999999999999</v>
      </c>
      <c r="V271" s="1">
        <v>82</v>
      </c>
      <c r="W271" s="1">
        <v>165</v>
      </c>
      <c r="X271" s="1">
        <v>2.0121951219512195</v>
      </c>
      <c r="Y271" s="1">
        <v>91</v>
      </c>
      <c r="Z271" s="1">
        <v>165</v>
      </c>
      <c r="AA271" s="1">
        <v>1.8131868131868132</v>
      </c>
      <c r="AB271" s="1">
        <v>90.948494970767342</v>
      </c>
      <c r="AC271" s="1">
        <v>165.4642029111765</v>
      </c>
      <c r="AD271" s="1">
        <v>1.8193176584654862</v>
      </c>
      <c r="AE271" t="s">
        <v>4817</v>
      </c>
      <c r="AF271" t="str">
        <f>IF(X271&lt;$AF$1,"Bajo","Alto")</f>
        <v>Alto</v>
      </c>
      <c r="AG271" t="str">
        <f>LEFT(AE271,1)</f>
        <v>C</v>
      </c>
      <c r="AH271" t="str">
        <f>K271</f>
        <v>M</v>
      </c>
      <c r="AI271" t="str">
        <f>LEFT(AF271,1)</f>
        <v>A</v>
      </c>
      <c r="AJ271" t="str">
        <f>LEFT(M271,1)</f>
        <v>M</v>
      </c>
      <c r="AK271" t="str">
        <f>_xlfn.CONCAT(AG271,AH271,AI271,AJ271)</f>
        <v>CMAM</v>
      </c>
    </row>
    <row r="272" spans="1:37" ht="15.75" hidden="1" customHeight="1" x14ac:dyDescent="0.2">
      <c r="A272" s="1">
        <v>1058405</v>
      </c>
      <c r="B272" s="1" t="s">
        <v>694</v>
      </c>
      <c r="C272" s="1" t="s">
        <v>879</v>
      </c>
      <c r="D272" s="1" t="s">
        <v>1046</v>
      </c>
      <c r="E272" s="1" t="s">
        <v>1047</v>
      </c>
      <c r="F272" s="1" t="s">
        <v>40</v>
      </c>
      <c r="G272" s="1" t="s">
        <v>1051</v>
      </c>
      <c r="H272" s="1">
        <v>4652</v>
      </c>
      <c r="I272" s="1" t="s">
        <v>1052</v>
      </c>
      <c r="J272" s="1">
        <v>4225</v>
      </c>
      <c r="K272" s="1" t="s">
        <v>35</v>
      </c>
      <c r="L272" s="1">
        <v>47</v>
      </c>
      <c r="M272" s="1" t="str">
        <f>IF(L272&lt;=45,"Joven","Mayor")</f>
        <v>Mayor</v>
      </c>
      <c r="N272" s="1">
        <v>53</v>
      </c>
      <c r="O272" s="1" t="s">
        <v>36</v>
      </c>
      <c r="P272" s="1">
        <v>0.27700000000000002</v>
      </c>
      <c r="Q272" s="1">
        <v>91.534999999999997</v>
      </c>
      <c r="R272" s="1">
        <v>4.8902229999999998</v>
      </c>
      <c r="S272" s="1">
        <v>0.74295460000000002</v>
      </c>
      <c r="T272" s="1">
        <v>3.1959843999999999</v>
      </c>
      <c r="U272" s="1">
        <v>3.1720000000000002</v>
      </c>
      <c r="V272" s="1">
        <v>85</v>
      </c>
      <c r="W272" s="1">
        <v>171</v>
      </c>
      <c r="X272" s="1">
        <v>2.0117647058823529</v>
      </c>
      <c r="Y272" s="1">
        <v>87</v>
      </c>
      <c r="Z272" s="1">
        <v>171</v>
      </c>
      <c r="AA272" s="1">
        <v>1.9655172413793103</v>
      </c>
      <c r="AB272" s="1">
        <v>89.206250843569023</v>
      </c>
      <c r="AC272" s="1">
        <v>170.95704536957149</v>
      </c>
      <c r="AD272" s="1">
        <v>1.9164245078448554</v>
      </c>
      <c r="AE272" t="s">
        <v>4817</v>
      </c>
      <c r="AF272" t="str">
        <f>IF(X272&lt;$AF$1,"Bajo","Alto")</f>
        <v>Alto</v>
      </c>
      <c r="AG272" t="str">
        <f>LEFT(AE272,1)</f>
        <v>C</v>
      </c>
      <c r="AH272" t="str">
        <f>K272</f>
        <v>M</v>
      </c>
      <c r="AI272" t="str">
        <f>LEFT(AF272,1)</f>
        <v>A</v>
      </c>
      <c r="AJ272" t="str">
        <f>LEFT(M272,1)</f>
        <v>M</v>
      </c>
      <c r="AK272" t="str">
        <f>_xlfn.CONCAT(AG272,AH272,AI272,AJ272)</f>
        <v>CMAM</v>
      </c>
    </row>
    <row r="273" spans="1:37" ht="15.75" hidden="1" customHeight="1" x14ac:dyDescent="0.2">
      <c r="A273" s="1">
        <v>4648003</v>
      </c>
      <c r="B273" s="1" t="s">
        <v>4382</v>
      </c>
      <c r="C273" s="1" t="s">
        <v>669</v>
      </c>
      <c r="D273" s="1" t="s">
        <v>4399</v>
      </c>
      <c r="E273" s="1" t="s">
        <v>4400</v>
      </c>
      <c r="F273" s="1" t="s">
        <v>63</v>
      </c>
      <c r="G273" s="1" t="s">
        <v>4402</v>
      </c>
      <c r="H273" s="1">
        <v>340</v>
      </c>
      <c r="I273" s="1" t="s">
        <v>91</v>
      </c>
      <c r="J273" s="1">
        <v>6</v>
      </c>
      <c r="K273" s="1" t="s">
        <v>35</v>
      </c>
      <c r="L273" s="1">
        <v>41</v>
      </c>
      <c r="M273" s="1" t="str">
        <f>IF(L273&lt;=45,"Joven","Mayor")</f>
        <v>Joven</v>
      </c>
      <c r="N273" s="1">
        <v>59</v>
      </c>
      <c r="O273" s="1" t="s">
        <v>36</v>
      </c>
      <c r="P273" s="1">
        <v>0.69</v>
      </c>
      <c r="Q273" s="1">
        <v>90.576999999999998</v>
      </c>
      <c r="R273" s="1">
        <v>-1.9616524</v>
      </c>
      <c r="S273" s="1">
        <v>9.9722229999999996</v>
      </c>
      <c r="T273" s="1">
        <v>-4.1261196</v>
      </c>
      <c r="U273" s="1">
        <v>16.582000000000001</v>
      </c>
      <c r="V273" s="1">
        <v>103</v>
      </c>
      <c r="W273" s="1">
        <v>161</v>
      </c>
      <c r="X273" s="1">
        <v>1.5631067961165048</v>
      </c>
      <c r="Y273" s="1">
        <v>105</v>
      </c>
      <c r="Z273" s="1">
        <v>161</v>
      </c>
      <c r="AA273" s="1">
        <v>1.5333333333333334</v>
      </c>
      <c r="AB273" s="1">
        <v>106.1147835415632</v>
      </c>
      <c r="AC273" s="1">
        <v>161.2302710597246</v>
      </c>
      <c r="AD273" s="1">
        <v>1.5193949954821675</v>
      </c>
      <c r="AE273" t="s">
        <v>4817</v>
      </c>
      <c r="AF273" t="str">
        <f>IF(X273&lt;$AF$1,"Bajo","Alto")</f>
        <v>Bajo</v>
      </c>
      <c r="AG273" t="str">
        <f>LEFT(AE273,1)</f>
        <v>C</v>
      </c>
      <c r="AH273" t="str">
        <f>K273</f>
        <v>M</v>
      </c>
      <c r="AI273" t="str">
        <f>LEFT(AF273,1)</f>
        <v>B</v>
      </c>
      <c r="AJ273" t="str">
        <f>LEFT(M273,1)</f>
        <v>J</v>
      </c>
      <c r="AK273" t="str">
        <f>_xlfn.CONCAT(AG273,AH273,AI273,AJ273)</f>
        <v>CMBJ</v>
      </c>
    </row>
    <row r="274" spans="1:37" ht="15.75" hidden="1" customHeight="1" x14ac:dyDescent="0.2">
      <c r="A274" s="1">
        <v>1523501</v>
      </c>
      <c r="B274" s="1" t="s">
        <v>2077</v>
      </c>
      <c r="C274" s="1" t="s">
        <v>57</v>
      </c>
      <c r="D274" s="1" t="s">
        <v>2280</v>
      </c>
      <c r="E274" s="1" t="s">
        <v>465</v>
      </c>
      <c r="F274" s="1" t="s">
        <v>32</v>
      </c>
      <c r="G274" s="1" t="s">
        <v>2281</v>
      </c>
      <c r="H274" s="1">
        <v>2148</v>
      </c>
      <c r="I274" s="1" t="s">
        <v>2282</v>
      </c>
      <c r="J274" s="1">
        <v>2289</v>
      </c>
      <c r="K274" s="1" t="s">
        <v>35</v>
      </c>
      <c r="L274" s="1">
        <v>63</v>
      </c>
      <c r="M274" s="1" t="str">
        <f>IF(L274&lt;=45,"Joven","Mayor")</f>
        <v>Mayor</v>
      </c>
      <c r="N274" s="1">
        <v>62</v>
      </c>
      <c r="O274" s="1" t="s">
        <v>36</v>
      </c>
      <c r="P274" s="1">
        <v>0.35799999999999998</v>
      </c>
      <c r="Q274" s="1">
        <v>71.397000000000006</v>
      </c>
      <c r="R274" s="1">
        <v>12.590975</v>
      </c>
      <c r="S274" s="1">
        <v>2.2096140000000002</v>
      </c>
      <c r="T274" s="1">
        <v>-8.6577509999999993</v>
      </c>
      <c r="U274" s="1">
        <v>5.5810000000000004</v>
      </c>
      <c r="V274" s="1">
        <v>85</v>
      </c>
      <c r="W274" s="1">
        <v>171</v>
      </c>
      <c r="X274" s="1">
        <v>2.0117647058823529</v>
      </c>
      <c r="Y274" s="1">
        <v>98</v>
      </c>
      <c r="Z274" s="1">
        <v>171</v>
      </c>
      <c r="AA274" s="1">
        <v>1.7448979591836735</v>
      </c>
      <c r="AB274" s="1">
        <v>91.915753206155614</v>
      </c>
      <c r="AC274" s="1">
        <v>171.0083960048878</v>
      </c>
      <c r="AD274" s="1">
        <v>1.8604906127607661</v>
      </c>
      <c r="AE274" t="s">
        <v>4817</v>
      </c>
      <c r="AF274" t="str">
        <f>IF(X274&lt;$AF$1,"Bajo","Alto")</f>
        <v>Alto</v>
      </c>
      <c r="AG274" t="str">
        <f>LEFT(AE274,1)</f>
        <v>C</v>
      </c>
      <c r="AH274" t="str">
        <f>K274</f>
        <v>M</v>
      </c>
      <c r="AI274" t="str">
        <f>LEFT(AF274,1)</f>
        <v>A</v>
      </c>
      <c r="AJ274" t="str">
        <f>LEFT(M274,1)</f>
        <v>M</v>
      </c>
      <c r="AK274" t="str">
        <f>_xlfn.CONCAT(AG274,AH274,AI274,AJ274)</f>
        <v>CMAM</v>
      </c>
    </row>
    <row r="275" spans="1:37" ht="15.75" hidden="1" customHeight="1" x14ac:dyDescent="0.2">
      <c r="A275" s="1">
        <v>1057202</v>
      </c>
      <c r="B275" s="1" t="s">
        <v>694</v>
      </c>
      <c r="C275" s="1" t="s">
        <v>879</v>
      </c>
      <c r="D275" s="1" t="s">
        <v>1015</v>
      </c>
      <c r="E275" s="1" t="s">
        <v>1016</v>
      </c>
      <c r="F275" s="1" t="s">
        <v>37</v>
      </c>
      <c r="G275" s="1" t="s">
        <v>1018</v>
      </c>
      <c r="H275" s="1">
        <v>2183</v>
      </c>
      <c r="I275" s="1" t="s">
        <v>108</v>
      </c>
      <c r="J275" s="1">
        <v>3</v>
      </c>
      <c r="K275" s="1" t="s">
        <v>35</v>
      </c>
      <c r="L275" s="1">
        <v>49</v>
      </c>
      <c r="M275" s="1" t="str">
        <f>IF(L275&lt;=45,"Joven","Mayor")</f>
        <v>Mayor</v>
      </c>
      <c r="N275" s="1">
        <v>47</v>
      </c>
      <c r="O275" s="1" t="s">
        <v>36</v>
      </c>
      <c r="P275" s="1">
        <v>0.14099999999999999</v>
      </c>
      <c r="Q275" s="1">
        <v>93.552000000000007</v>
      </c>
      <c r="R275" s="1">
        <v>0.80429490000000003</v>
      </c>
      <c r="S275" s="1">
        <v>5.2085132999999999</v>
      </c>
      <c r="T275" s="1">
        <v>-5.8536396000000002</v>
      </c>
      <c r="U275" s="1">
        <v>16.148</v>
      </c>
      <c r="V275" s="1">
        <v>80</v>
      </c>
      <c r="W275" s="1">
        <v>123</v>
      </c>
      <c r="X275" s="1">
        <v>1.5375000000000001</v>
      </c>
      <c r="Y275" s="1">
        <v>81</v>
      </c>
      <c r="Z275" s="1">
        <v>123</v>
      </c>
      <c r="AA275" s="1">
        <v>1.5185185185185186</v>
      </c>
      <c r="AB275" s="1">
        <v>83.050433240884558</v>
      </c>
      <c r="AC275" s="1">
        <v>122.6645997637947</v>
      </c>
      <c r="AD275" s="1">
        <v>1.4769892820186836</v>
      </c>
      <c r="AE275" t="s">
        <v>4817</v>
      </c>
      <c r="AF275" t="str">
        <f>IF(X275&lt;$AF$1,"Bajo","Alto")</f>
        <v>Bajo</v>
      </c>
      <c r="AG275" t="str">
        <f>LEFT(AE275,1)</f>
        <v>C</v>
      </c>
      <c r="AH275" t="str">
        <f>K275</f>
        <v>M</v>
      </c>
      <c r="AI275" t="str">
        <f>LEFT(AF275,1)</f>
        <v>B</v>
      </c>
      <c r="AJ275" t="str">
        <f>LEFT(M275,1)</f>
        <v>M</v>
      </c>
      <c r="AK275" t="str">
        <f>_xlfn.CONCAT(AG275,AH275,AI275,AJ275)</f>
        <v>CMBM</v>
      </c>
    </row>
    <row r="276" spans="1:37" ht="15.75" hidden="1" customHeight="1" x14ac:dyDescent="0.2">
      <c r="A276" s="1">
        <v>290104</v>
      </c>
      <c r="B276" s="1" t="s">
        <v>3890</v>
      </c>
      <c r="C276" s="1" t="s">
        <v>1695</v>
      </c>
      <c r="D276" s="1" t="s">
        <v>3891</v>
      </c>
      <c r="E276" s="1" t="s">
        <v>32</v>
      </c>
      <c r="F276" s="1" t="s">
        <v>61</v>
      </c>
      <c r="G276" s="1" t="s">
        <v>3894</v>
      </c>
      <c r="H276" s="1">
        <v>38700</v>
      </c>
      <c r="I276" s="1" t="s">
        <v>294</v>
      </c>
      <c r="J276" s="1">
        <v>16</v>
      </c>
      <c r="K276" s="1" t="s">
        <v>35</v>
      </c>
      <c r="L276" s="1">
        <v>47</v>
      </c>
      <c r="M276" s="1" t="str">
        <f>IF(L276&lt;=45,"Joven","Mayor")</f>
        <v>Mayor</v>
      </c>
      <c r="N276" s="1">
        <v>33</v>
      </c>
      <c r="O276" s="1" t="s">
        <v>36</v>
      </c>
      <c r="P276" s="1">
        <v>3.448</v>
      </c>
      <c r="Q276" s="1">
        <v>86.278000000000006</v>
      </c>
      <c r="R276" s="1">
        <v>-6.6411695000000002</v>
      </c>
      <c r="S276" s="1">
        <v>5.1536702999999999</v>
      </c>
      <c r="T276" s="1">
        <v>-6.2639117000000004</v>
      </c>
      <c r="U276" s="1">
        <v>5.4080000000000004</v>
      </c>
      <c r="V276" s="1">
        <v>92</v>
      </c>
      <c r="W276" s="1">
        <v>185</v>
      </c>
      <c r="X276" s="1">
        <v>2.0108695652173911</v>
      </c>
      <c r="Y276" s="1">
        <v>103</v>
      </c>
      <c r="Z276" s="1">
        <v>185</v>
      </c>
      <c r="AA276" s="1">
        <v>1.796116504854369</v>
      </c>
      <c r="AB276" s="1">
        <v>98.675397239128415</v>
      </c>
      <c r="AC276" s="1">
        <v>186.62323280443391</v>
      </c>
      <c r="AD276" s="1">
        <v>1.8912843325289492</v>
      </c>
      <c r="AE276" t="s">
        <v>4817</v>
      </c>
      <c r="AF276" t="str">
        <f>IF(X276&lt;$AF$1,"Bajo","Alto")</f>
        <v>Alto</v>
      </c>
      <c r="AG276" t="str">
        <f>LEFT(AE276,1)</f>
        <v>C</v>
      </c>
      <c r="AH276" t="str">
        <f>K276</f>
        <v>M</v>
      </c>
      <c r="AI276" t="str">
        <f>LEFT(AF276,1)</f>
        <v>A</v>
      </c>
      <c r="AJ276" t="str">
        <f>LEFT(M276,1)</f>
        <v>M</v>
      </c>
      <c r="AK276" t="str">
        <f>_xlfn.CONCAT(AG276,AH276,AI276,AJ276)</f>
        <v>CMAM</v>
      </c>
    </row>
    <row r="277" spans="1:37" ht="15.75" hidden="1" customHeight="1" x14ac:dyDescent="0.2">
      <c r="A277" s="1">
        <v>170403</v>
      </c>
      <c r="B277" s="1" t="s">
        <v>2551</v>
      </c>
      <c r="C277" s="1" t="s">
        <v>2552</v>
      </c>
      <c r="D277" s="1" t="s">
        <v>2563</v>
      </c>
      <c r="E277" s="1" t="s">
        <v>61</v>
      </c>
      <c r="F277" s="1" t="s">
        <v>63</v>
      </c>
      <c r="G277" s="1" t="s">
        <v>2565</v>
      </c>
      <c r="H277" s="1">
        <v>125</v>
      </c>
      <c r="I277" s="1" t="s">
        <v>108</v>
      </c>
      <c r="J277" s="1">
        <v>3</v>
      </c>
      <c r="K277" s="1" t="s">
        <v>35</v>
      </c>
      <c r="L277" s="1">
        <v>47</v>
      </c>
      <c r="M277" s="1" t="str">
        <f>IF(L277&lt;=45,"Joven","Mayor")</f>
        <v>Mayor</v>
      </c>
      <c r="N277" s="1">
        <v>52</v>
      </c>
      <c r="O277" s="1" t="s">
        <v>36</v>
      </c>
      <c r="P277" s="1">
        <v>0.497</v>
      </c>
      <c r="Q277" s="1">
        <v>92.578000000000003</v>
      </c>
      <c r="R277" s="1">
        <v>3.7136999999999998</v>
      </c>
      <c r="S277" s="1">
        <v>0.72606957000000005</v>
      </c>
      <c r="T277" s="1">
        <v>-3.8789117000000002</v>
      </c>
      <c r="U277" s="1">
        <v>6.6840000000000002</v>
      </c>
      <c r="V277" s="1">
        <v>102</v>
      </c>
      <c r="W277" s="1">
        <v>157</v>
      </c>
      <c r="X277" s="1">
        <v>1.5392156862745099</v>
      </c>
      <c r="Y277" s="1">
        <v>102</v>
      </c>
      <c r="Z277" s="1">
        <v>157</v>
      </c>
      <c r="AA277" s="1">
        <v>1.5392156862745099</v>
      </c>
      <c r="AB277" s="1">
        <v>105.1487468944988</v>
      </c>
      <c r="AC277" s="1">
        <v>156.91094377495889</v>
      </c>
      <c r="AD277" s="1">
        <v>1.492275927286093</v>
      </c>
      <c r="AE277" t="s">
        <v>4817</v>
      </c>
      <c r="AF277" t="str">
        <f>IF(X277&lt;$AF$1,"Bajo","Alto")</f>
        <v>Bajo</v>
      </c>
      <c r="AG277" t="str">
        <f>LEFT(AE277,1)</f>
        <v>C</v>
      </c>
      <c r="AH277" t="str">
        <f>K277</f>
        <v>M</v>
      </c>
      <c r="AI277" t="str">
        <f>LEFT(AF277,1)</f>
        <v>B</v>
      </c>
      <c r="AJ277" t="str">
        <f>LEFT(M277,1)</f>
        <v>M</v>
      </c>
      <c r="AK277" t="str">
        <f>_xlfn.CONCAT(AG277,AH277,AI277,AJ277)</f>
        <v>CMBM</v>
      </c>
    </row>
    <row r="278" spans="1:37" ht="15.75" hidden="1" customHeight="1" x14ac:dyDescent="0.2">
      <c r="A278" s="1">
        <v>10721703</v>
      </c>
      <c r="B278" s="1" t="s">
        <v>1067</v>
      </c>
      <c r="C278" s="1" t="s">
        <v>1068</v>
      </c>
      <c r="D278" s="1" t="s">
        <v>1232</v>
      </c>
      <c r="E278" s="1" t="s">
        <v>404</v>
      </c>
      <c r="F278" s="1" t="s">
        <v>63</v>
      </c>
      <c r="G278" s="1" t="s">
        <v>1235</v>
      </c>
      <c r="H278" s="1">
        <v>2402</v>
      </c>
      <c r="I278" s="1" t="s">
        <v>156</v>
      </c>
      <c r="J278" s="1">
        <v>4325</v>
      </c>
      <c r="K278" s="1" t="s">
        <v>35</v>
      </c>
      <c r="L278" s="1">
        <v>39</v>
      </c>
      <c r="M278" s="1" t="str">
        <f>IF(L278&lt;=45,"Joven","Mayor")</f>
        <v>Joven</v>
      </c>
      <c r="N278" s="1">
        <v>37</v>
      </c>
      <c r="O278" s="1" t="s">
        <v>36</v>
      </c>
      <c r="P278" s="1">
        <v>0.33200000000000002</v>
      </c>
      <c r="Q278" s="1">
        <v>94.625</v>
      </c>
      <c r="R278" s="1">
        <v>-0.42514934999999998</v>
      </c>
      <c r="S278" s="1">
        <v>0.89795977000000005</v>
      </c>
      <c r="T278" s="1">
        <v>1.0978399999999999</v>
      </c>
      <c r="U278" s="1">
        <v>29.734000000000002</v>
      </c>
      <c r="V278" s="1">
        <v>107</v>
      </c>
      <c r="W278" s="1">
        <v>168</v>
      </c>
      <c r="X278" s="1">
        <v>1.5700934579439252</v>
      </c>
      <c r="Y278" s="1">
        <v>107</v>
      </c>
      <c r="Z278" s="1">
        <v>168</v>
      </c>
      <c r="AA278" s="1">
        <v>1.5700934579439252</v>
      </c>
      <c r="AB278" s="1">
        <v>107.880866820153</v>
      </c>
      <c r="AC278" s="1">
        <v>167.9500013529109</v>
      </c>
      <c r="AD278" s="1">
        <v>1.5568098987645185</v>
      </c>
      <c r="AE278" t="s">
        <v>4817</v>
      </c>
      <c r="AF278" t="str">
        <f>IF(X278&lt;$AF$1,"Bajo","Alto")</f>
        <v>Bajo</v>
      </c>
      <c r="AG278" t="str">
        <f>LEFT(AE278,1)</f>
        <v>C</v>
      </c>
      <c r="AH278" t="str">
        <f>K278</f>
        <v>M</v>
      </c>
      <c r="AI278" t="str">
        <f>LEFT(AF278,1)</f>
        <v>B</v>
      </c>
      <c r="AJ278" t="str">
        <f>LEFT(M278,1)</f>
        <v>J</v>
      </c>
      <c r="AK278" t="str">
        <f>_xlfn.CONCAT(AG278,AH278,AI278,AJ278)</f>
        <v>CMBJ</v>
      </c>
    </row>
    <row r="279" spans="1:37" ht="15.75" hidden="1" customHeight="1" x14ac:dyDescent="0.2">
      <c r="A279" s="1">
        <v>237903</v>
      </c>
      <c r="B279" s="1" t="s">
        <v>319</v>
      </c>
      <c r="C279" s="1" t="s">
        <v>1989</v>
      </c>
      <c r="D279" s="1" t="s">
        <v>278</v>
      </c>
      <c r="E279" s="1" t="s">
        <v>739</v>
      </c>
      <c r="F279" s="1" t="s">
        <v>63</v>
      </c>
      <c r="G279" s="1" t="s">
        <v>3082</v>
      </c>
      <c r="H279" s="1">
        <v>1751</v>
      </c>
      <c r="I279" s="1" t="s">
        <v>108</v>
      </c>
      <c r="J279" s="1">
        <v>3</v>
      </c>
      <c r="K279" s="1" t="s">
        <v>35</v>
      </c>
      <c r="L279" s="1">
        <v>51</v>
      </c>
      <c r="M279" s="1" t="str">
        <f>IF(L279&lt;=45,"Joven","Mayor")</f>
        <v>Mayor</v>
      </c>
      <c r="N279" s="1">
        <v>45</v>
      </c>
      <c r="O279" s="1" t="s">
        <v>36</v>
      </c>
      <c r="P279" s="1">
        <v>0.97799999999999998</v>
      </c>
      <c r="Q279" s="1">
        <v>89.840999999999994</v>
      </c>
      <c r="R279" s="1">
        <v>-5.0667596000000001</v>
      </c>
      <c r="S279" s="1">
        <v>4.8401199999999998</v>
      </c>
      <c r="T279" s="1">
        <v>1.5819885</v>
      </c>
      <c r="U279" s="1">
        <v>13.64</v>
      </c>
      <c r="V279" s="1">
        <v>73</v>
      </c>
      <c r="W279" s="1">
        <v>146</v>
      </c>
      <c r="X279" s="1">
        <v>2</v>
      </c>
      <c r="Y279" s="1">
        <v>74</v>
      </c>
      <c r="Z279" s="1">
        <v>146</v>
      </c>
      <c r="AA279" s="1">
        <v>1.972972972972973</v>
      </c>
      <c r="AB279" s="1">
        <v>74.910445986758532</v>
      </c>
      <c r="AC279" s="1">
        <v>145.69588449232509</v>
      </c>
      <c r="AD279" s="1">
        <v>1.9449341486777274</v>
      </c>
      <c r="AE279" t="s">
        <v>4817</v>
      </c>
      <c r="AF279" t="str">
        <f>IF(X279&lt;$AF$1,"Bajo","Alto")</f>
        <v>Alto</v>
      </c>
      <c r="AG279" t="str">
        <f>LEFT(AE279,1)</f>
        <v>C</v>
      </c>
      <c r="AH279" t="str">
        <f>K279</f>
        <v>M</v>
      </c>
      <c r="AI279" t="str">
        <f>LEFT(AF279,1)</f>
        <v>A</v>
      </c>
      <c r="AJ279" t="str">
        <f>LEFT(M279,1)</f>
        <v>M</v>
      </c>
      <c r="AK279" t="str">
        <f>_xlfn.CONCAT(AG279,AH279,AI279,AJ279)</f>
        <v>CMAM</v>
      </c>
    </row>
    <row r="280" spans="1:37" ht="15.75" hidden="1" customHeight="1" x14ac:dyDescent="0.2">
      <c r="A280" s="1">
        <v>10116601</v>
      </c>
      <c r="B280" s="1" t="s">
        <v>29</v>
      </c>
      <c r="C280" s="1" t="s">
        <v>30</v>
      </c>
      <c r="D280" s="1" t="s">
        <v>264</v>
      </c>
      <c r="E280" s="1" t="s">
        <v>265</v>
      </c>
      <c r="F280" s="1" t="s">
        <v>32</v>
      </c>
      <c r="G280" s="1" t="s">
        <v>266</v>
      </c>
      <c r="H280" s="1">
        <v>2546</v>
      </c>
      <c r="I280" s="1" t="s">
        <v>45</v>
      </c>
      <c r="J280" s="1">
        <v>17</v>
      </c>
      <c r="K280" s="1" t="s">
        <v>35</v>
      </c>
      <c r="L280" s="1">
        <v>58</v>
      </c>
      <c r="M280" s="1" t="str">
        <f>IF(L280&lt;=45,"Joven","Mayor")</f>
        <v>Mayor</v>
      </c>
      <c r="N280" s="1">
        <v>68</v>
      </c>
      <c r="O280" s="1" t="s">
        <v>36</v>
      </c>
      <c r="P280" s="1">
        <v>0.372</v>
      </c>
      <c r="Q280" s="1">
        <v>86.677999999999997</v>
      </c>
      <c r="R280" s="1">
        <v>7.0944037</v>
      </c>
      <c r="S280" s="1">
        <v>5.5613513000000001</v>
      </c>
      <c r="T280" s="1">
        <v>-3.6247959999999999</v>
      </c>
      <c r="U280" s="1">
        <v>1.6659999999999999</v>
      </c>
      <c r="V280" s="1">
        <v>98</v>
      </c>
      <c r="W280" s="1">
        <v>151</v>
      </c>
      <c r="X280" s="1">
        <v>1.5408163265306123</v>
      </c>
      <c r="Y280" s="1">
        <v>103</v>
      </c>
      <c r="Z280" s="1">
        <v>151</v>
      </c>
      <c r="AA280" s="1">
        <v>1.4660194174757282</v>
      </c>
      <c r="AB280" s="1">
        <v>105.38606417446999</v>
      </c>
      <c r="AC280" s="1">
        <v>150.7611410424133</v>
      </c>
      <c r="AD280" s="1">
        <v>1.4305605036432845</v>
      </c>
      <c r="AE280" t="s">
        <v>4817</v>
      </c>
      <c r="AF280" t="str">
        <f>IF(X280&lt;$AF$1,"Bajo","Alto")</f>
        <v>Bajo</v>
      </c>
      <c r="AG280" t="str">
        <f>LEFT(AE280,1)</f>
        <v>C</v>
      </c>
      <c r="AH280" t="str">
        <f>K280</f>
        <v>M</v>
      </c>
      <c r="AI280" t="str">
        <f>LEFT(AF280,1)</f>
        <v>B</v>
      </c>
      <c r="AJ280" t="str">
        <f>LEFT(M280,1)</f>
        <v>M</v>
      </c>
      <c r="AK280" t="str">
        <f>_xlfn.CONCAT(AG280,AH280,AI280,AJ280)</f>
        <v>CMBM</v>
      </c>
    </row>
    <row r="281" spans="1:37" ht="15.75" hidden="1" customHeight="1" x14ac:dyDescent="0.2">
      <c r="A281" s="1">
        <v>193405</v>
      </c>
      <c r="B281" s="1" t="s">
        <v>2656</v>
      </c>
      <c r="C281" s="1" t="s">
        <v>323</v>
      </c>
      <c r="D281" s="1" t="s">
        <v>2702</v>
      </c>
      <c r="E281" s="1" t="s">
        <v>634</v>
      </c>
      <c r="F281" s="1" t="s">
        <v>40</v>
      </c>
      <c r="G281" s="1" t="s">
        <v>2706</v>
      </c>
      <c r="H281" s="1">
        <v>5461</v>
      </c>
      <c r="I281" s="1" t="s">
        <v>73</v>
      </c>
      <c r="J281" s="1">
        <v>5</v>
      </c>
      <c r="K281" s="1" t="s">
        <v>49</v>
      </c>
      <c r="L281" s="1">
        <v>45</v>
      </c>
      <c r="M281" s="1" t="str">
        <f>IF(L281&lt;=45,"Joven","Mayor")</f>
        <v>Joven</v>
      </c>
      <c r="N281" s="1">
        <v>40</v>
      </c>
      <c r="O281" s="1" t="s">
        <v>50</v>
      </c>
      <c r="P281" s="1">
        <v>1.0349999999999999</v>
      </c>
      <c r="Q281" s="1">
        <v>94.162999999999997</v>
      </c>
      <c r="R281" s="1">
        <v>0.49879762999999999</v>
      </c>
      <c r="S281" s="1">
        <v>2.4267482999999999</v>
      </c>
      <c r="T281" s="1">
        <v>-6.1949177000000004</v>
      </c>
      <c r="U281" s="1">
        <v>59.514000000000003</v>
      </c>
      <c r="V281" s="1">
        <v>120</v>
      </c>
      <c r="W281" s="1">
        <v>244</v>
      </c>
      <c r="X281" s="1">
        <v>2.0333333333333332</v>
      </c>
      <c r="Y281" s="1">
        <v>137</v>
      </c>
      <c r="Z281" s="1">
        <v>244</v>
      </c>
      <c r="AA281" s="1">
        <v>1.781021897810219</v>
      </c>
      <c r="AB281" s="1">
        <v>131.23608009120841</v>
      </c>
      <c r="AC281" s="1">
        <v>246.24415156110899</v>
      </c>
      <c r="AD281" s="1">
        <v>1.8763449151328702</v>
      </c>
      <c r="AE281" t="s">
        <v>4817</v>
      </c>
      <c r="AF281" t="str">
        <f>IF(X281&lt;$AF$1,"Bajo","Alto")</f>
        <v>Alto</v>
      </c>
      <c r="AG281" t="str">
        <f>LEFT(AE281,1)</f>
        <v>C</v>
      </c>
      <c r="AH281" t="str">
        <f>K281</f>
        <v>F</v>
      </c>
      <c r="AI281" t="str">
        <f>LEFT(AF281,1)</f>
        <v>A</v>
      </c>
      <c r="AJ281" t="str">
        <f>LEFT(M281,1)</f>
        <v>J</v>
      </c>
      <c r="AK281" t="str">
        <f>_xlfn.CONCAT(AG281,AH281,AI281,AJ281)</f>
        <v>CFAJ</v>
      </c>
    </row>
    <row r="282" spans="1:37" ht="15.75" hidden="1" customHeight="1" x14ac:dyDescent="0.2">
      <c r="A282" s="1">
        <v>10121407</v>
      </c>
      <c r="B282" s="1" t="s">
        <v>29</v>
      </c>
      <c r="C282" s="1" t="s">
        <v>30</v>
      </c>
      <c r="D282" s="1" t="s">
        <v>391</v>
      </c>
      <c r="E282" s="1" t="s">
        <v>392</v>
      </c>
      <c r="F282" s="1" t="s">
        <v>43</v>
      </c>
      <c r="G282" s="1" t="s">
        <v>399</v>
      </c>
      <c r="H282" s="1">
        <v>25745</v>
      </c>
      <c r="I282" s="1" t="s">
        <v>400</v>
      </c>
      <c r="J282" s="1">
        <v>4608</v>
      </c>
      <c r="K282" s="1" t="s">
        <v>35</v>
      </c>
      <c r="L282" s="1">
        <v>41</v>
      </c>
      <c r="M282" s="1" t="str">
        <f>IF(L282&lt;=45,"Joven","Mayor")</f>
        <v>Joven</v>
      </c>
      <c r="N282" s="1">
        <v>50</v>
      </c>
      <c r="O282" s="1" t="s">
        <v>36</v>
      </c>
      <c r="P282" s="1">
        <v>0.439</v>
      </c>
      <c r="Q282" s="1">
        <v>93.507999999999996</v>
      </c>
      <c r="R282" s="1">
        <v>-1.2515441</v>
      </c>
      <c r="S282" s="1">
        <v>4.1889589999999997</v>
      </c>
      <c r="T282" s="1">
        <v>-2.0605597000000002</v>
      </c>
      <c r="U282" s="1">
        <v>3.2829999999999999</v>
      </c>
      <c r="V282" s="1">
        <v>97</v>
      </c>
      <c r="W282" s="1">
        <v>197</v>
      </c>
      <c r="X282" s="1">
        <v>2.0309278350515463</v>
      </c>
      <c r="Y282" s="1">
        <v>103</v>
      </c>
      <c r="Z282" s="1">
        <v>197</v>
      </c>
      <c r="AA282" s="1">
        <v>1.912621359223301</v>
      </c>
      <c r="AB282" s="1">
        <v>101.35134309364339</v>
      </c>
      <c r="AC282" s="1">
        <v>197.41195308397161</v>
      </c>
      <c r="AD282" s="1">
        <v>1.9477980957940852</v>
      </c>
      <c r="AE282" t="s">
        <v>4817</v>
      </c>
      <c r="AF282" t="str">
        <f>IF(X282&lt;$AF$1,"Bajo","Alto")</f>
        <v>Alto</v>
      </c>
      <c r="AG282" t="str">
        <f>LEFT(AE282,1)</f>
        <v>C</v>
      </c>
      <c r="AH282" t="str">
        <f>K282</f>
        <v>M</v>
      </c>
      <c r="AI282" t="str">
        <f>LEFT(AF282,1)</f>
        <v>A</v>
      </c>
      <c r="AJ282" t="str">
        <f>LEFT(M282,1)</f>
        <v>J</v>
      </c>
      <c r="AK282" t="str">
        <f>_xlfn.CONCAT(AG282,AH282,AI282,AJ282)</f>
        <v>CMAJ</v>
      </c>
    </row>
    <row r="283" spans="1:37" ht="15.75" hidden="1" customHeight="1" x14ac:dyDescent="0.2">
      <c r="A283" s="1">
        <v>2721704</v>
      </c>
      <c r="B283" s="1" t="s">
        <v>3409</v>
      </c>
      <c r="C283" s="1" t="s">
        <v>973</v>
      </c>
      <c r="D283" s="1" t="s">
        <v>3634</v>
      </c>
      <c r="E283" s="1" t="s">
        <v>404</v>
      </c>
      <c r="F283" s="1" t="s">
        <v>61</v>
      </c>
      <c r="G283" s="1" t="s">
        <v>3638</v>
      </c>
      <c r="H283" s="1">
        <v>1837</v>
      </c>
      <c r="I283" s="1" t="s">
        <v>3639</v>
      </c>
      <c r="J283" s="1">
        <v>3510</v>
      </c>
      <c r="K283" s="1" t="s">
        <v>35</v>
      </c>
      <c r="L283" s="1">
        <v>45</v>
      </c>
      <c r="M283" s="1" t="str">
        <f>IF(L283&lt;=45,"Joven","Mayor")</f>
        <v>Joven</v>
      </c>
      <c r="N283" s="1">
        <v>60</v>
      </c>
      <c r="O283" s="1" t="s">
        <v>36</v>
      </c>
      <c r="P283" s="1">
        <v>1.698</v>
      </c>
      <c r="Q283" s="1">
        <v>93.623999999999995</v>
      </c>
      <c r="R283" s="1">
        <v>0.26206922999999999</v>
      </c>
      <c r="S283" s="1">
        <v>4.5519670000000003</v>
      </c>
      <c r="T283" s="1">
        <v>-8.4228249999999996</v>
      </c>
      <c r="U283" s="1">
        <v>17.117000000000001</v>
      </c>
      <c r="V283" s="1">
        <v>98</v>
      </c>
      <c r="W283" s="1">
        <v>199</v>
      </c>
      <c r="X283" s="1">
        <v>2.0306122448979593</v>
      </c>
      <c r="Y283" s="1">
        <v>112</v>
      </c>
      <c r="Z283" s="1">
        <v>199</v>
      </c>
      <c r="AA283" s="1">
        <v>1.7767857142857142</v>
      </c>
      <c r="AB283" s="1">
        <v>107.04989871704829</v>
      </c>
      <c r="AC283" s="1">
        <v>201.1014341020618</v>
      </c>
      <c r="AD283" s="1">
        <v>1.8785765938332015</v>
      </c>
      <c r="AE283" t="s">
        <v>4817</v>
      </c>
      <c r="AF283" t="str">
        <f>IF(X283&lt;$AF$1,"Bajo","Alto")</f>
        <v>Alto</v>
      </c>
      <c r="AG283" t="str">
        <f>LEFT(AE283,1)</f>
        <v>C</v>
      </c>
      <c r="AH283" t="str">
        <f>K283</f>
        <v>M</v>
      </c>
      <c r="AI283" t="str">
        <f>LEFT(AF283,1)</f>
        <v>A</v>
      </c>
      <c r="AJ283" t="str">
        <f>LEFT(M283,1)</f>
        <v>J</v>
      </c>
      <c r="AK283" t="str">
        <f>_xlfn.CONCAT(AG283,AH283,AI283,AJ283)</f>
        <v>CMAJ</v>
      </c>
    </row>
    <row r="284" spans="1:37" ht="15.75" hidden="1" customHeight="1" x14ac:dyDescent="0.2">
      <c r="A284" s="1">
        <v>2312102</v>
      </c>
      <c r="B284" s="1" t="s">
        <v>319</v>
      </c>
      <c r="C284" s="1" t="s">
        <v>1989</v>
      </c>
      <c r="D284" s="1" t="s">
        <v>2952</v>
      </c>
      <c r="E284" s="1" t="s">
        <v>136</v>
      </c>
      <c r="F284" s="1" t="s">
        <v>37</v>
      </c>
      <c r="G284" s="1" t="s">
        <v>2954</v>
      </c>
      <c r="H284" s="1">
        <v>2789</v>
      </c>
      <c r="I284" s="1" t="s">
        <v>65</v>
      </c>
      <c r="J284" s="1">
        <v>2</v>
      </c>
      <c r="K284" s="1" t="s">
        <v>35</v>
      </c>
      <c r="L284" s="1">
        <v>35</v>
      </c>
      <c r="M284" s="1" t="str">
        <f>IF(L284&lt;=45,"Joven","Mayor")</f>
        <v>Joven</v>
      </c>
      <c r="N284" s="1">
        <v>29</v>
      </c>
      <c r="O284" s="1" t="s">
        <v>36</v>
      </c>
      <c r="P284" s="1">
        <v>0.92700000000000005</v>
      </c>
      <c r="Q284" s="1">
        <v>93.516000000000005</v>
      </c>
      <c r="R284" s="1">
        <v>1.7108266000000001</v>
      </c>
      <c r="S284" s="1">
        <v>2.5148807</v>
      </c>
      <c r="T284" s="1">
        <v>-5.8914080000000002</v>
      </c>
      <c r="U284" s="1">
        <v>0.38</v>
      </c>
      <c r="V284" s="1">
        <v>79</v>
      </c>
      <c r="W284" s="1">
        <v>160</v>
      </c>
      <c r="X284" s="1">
        <v>2.0253164556962027</v>
      </c>
      <c r="Y284" s="1">
        <v>89</v>
      </c>
      <c r="Z284" s="1">
        <v>160</v>
      </c>
      <c r="AA284" s="1">
        <v>1.797752808988764</v>
      </c>
      <c r="AB284" s="1">
        <v>85.758550605324444</v>
      </c>
      <c r="AC284" s="1">
        <v>161.4130694593423</v>
      </c>
      <c r="AD284" s="1">
        <v>1.8821804743668409</v>
      </c>
      <c r="AE284" t="s">
        <v>4817</v>
      </c>
      <c r="AF284" t="str">
        <f>IF(X284&lt;$AF$1,"Bajo","Alto")</f>
        <v>Alto</v>
      </c>
      <c r="AG284" t="str">
        <f>LEFT(AE284,1)</f>
        <v>C</v>
      </c>
      <c r="AH284" t="str">
        <f>K284</f>
        <v>M</v>
      </c>
      <c r="AI284" t="str">
        <f>LEFT(AF284,1)</f>
        <v>A</v>
      </c>
      <c r="AJ284" t="str">
        <f>LEFT(M284,1)</f>
        <v>J</v>
      </c>
      <c r="AK284" t="str">
        <f>_xlfn.CONCAT(AG284,AH284,AI284,AJ284)</f>
        <v>CMAJ</v>
      </c>
    </row>
    <row r="285" spans="1:37" ht="15.75" hidden="1" customHeight="1" x14ac:dyDescent="0.2">
      <c r="A285" s="1">
        <v>118804</v>
      </c>
      <c r="B285" s="1" t="s">
        <v>1648</v>
      </c>
      <c r="C285" s="1" t="s">
        <v>51</v>
      </c>
      <c r="D285" s="1" t="s">
        <v>1783</v>
      </c>
      <c r="E285" s="1" t="s">
        <v>763</v>
      </c>
      <c r="F285" s="1" t="s">
        <v>61</v>
      </c>
      <c r="G285" s="1" t="s">
        <v>1784</v>
      </c>
      <c r="H285" s="1">
        <v>1885</v>
      </c>
      <c r="I285" s="1" t="s">
        <v>42</v>
      </c>
      <c r="J285" s="1">
        <v>15</v>
      </c>
      <c r="K285" s="1" t="s">
        <v>49</v>
      </c>
      <c r="L285" s="1">
        <v>31</v>
      </c>
      <c r="M285" s="1" t="str">
        <f>IF(L285&lt;=45,"Joven","Mayor")</f>
        <v>Joven</v>
      </c>
      <c r="N285" s="1">
        <v>26</v>
      </c>
      <c r="O285" s="1" t="s">
        <v>50</v>
      </c>
      <c r="P285" s="1">
        <v>0.13900000000000001</v>
      </c>
      <c r="Q285" s="1">
        <v>86.844999999999999</v>
      </c>
      <c r="R285" s="1">
        <v>-6.6942687000000003</v>
      </c>
      <c r="S285" s="1">
        <v>6.7339925999999997</v>
      </c>
      <c r="T285" s="1">
        <v>12.547297</v>
      </c>
      <c r="U285" s="1">
        <v>7.3390000000000004</v>
      </c>
      <c r="V285" s="1">
        <v>88</v>
      </c>
      <c r="W285" s="1">
        <v>178</v>
      </c>
      <c r="X285" s="1">
        <v>2.0227272727272729</v>
      </c>
      <c r="Y285" s="1">
        <v>97</v>
      </c>
      <c r="Z285" s="1">
        <v>178</v>
      </c>
      <c r="AA285" s="1">
        <v>1.8350515463917525</v>
      </c>
      <c r="AB285" s="1">
        <v>96.326078671350842</v>
      </c>
      <c r="AC285" s="1">
        <v>177.22475446629599</v>
      </c>
      <c r="AD285" s="1">
        <v>1.8398418882072265</v>
      </c>
      <c r="AE285" t="s">
        <v>4817</v>
      </c>
      <c r="AF285" t="str">
        <f>IF(X285&lt;$AF$1,"Bajo","Alto")</f>
        <v>Alto</v>
      </c>
      <c r="AG285" t="str">
        <f>LEFT(AE285,1)</f>
        <v>C</v>
      </c>
      <c r="AH285" t="str">
        <f>K285</f>
        <v>F</v>
      </c>
      <c r="AI285" t="str">
        <f>LEFT(AF285,1)</f>
        <v>A</v>
      </c>
      <c r="AJ285" t="str">
        <f>LEFT(M285,1)</f>
        <v>J</v>
      </c>
      <c r="AK285" t="str">
        <f>_xlfn.CONCAT(AG285,AH285,AI285,AJ285)</f>
        <v>CFAJ</v>
      </c>
    </row>
    <row r="286" spans="1:37" ht="15.75" hidden="1" customHeight="1" x14ac:dyDescent="0.2">
      <c r="A286" s="1">
        <v>312804</v>
      </c>
      <c r="B286" s="1" t="s">
        <v>4122</v>
      </c>
      <c r="C286" s="1" t="s">
        <v>628</v>
      </c>
      <c r="D286" s="1" t="s">
        <v>4196</v>
      </c>
      <c r="E286" s="1" t="s">
        <v>561</v>
      </c>
      <c r="F286" s="1" t="s">
        <v>61</v>
      </c>
      <c r="G286" s="1" t="s">
        <v>4199</v>
      </c>
      <c r="H286" s="1">
        <v>2034</v>
      </c>
      <c r="I286" s="1" t="s">
        <v>91</v>
      </c>
      <c r="J286" s="1">
        <v>6</v>
      </c>
      <c r="K286" s="1" t="s">
        <v>35</v>
      </c>
      <c r="L286" s="1">
        <v>32</v>
      </c>
      <c r="M286" s="1" t="str">
        <f>IF(L286&lt;=45,"Joven","Mayor")</f>
        <v>Joven</v>
      </c>
      <c r="N286" s="1">
        <v>34</v>
      </c>
      <c r="O286" s="1" t="s">
        <v>36</v>
      </c>
      <c r="P286" s="1">
        <v>0.35699999999999998</v>
      </c>
      <c r="Q286" s="1">
        <v>92.45</v>
      </c>
      <c r="R286" s="1">
        <v>3.5153512999999998</v>
      </c>
      <c r="S286" s="1">
        <v>-2.2327887999999998</v>
      </c>
      <c r="T286" s="1">
        <v>-0.10048761</v>
      </c>
      <c r="U286" s="1">
        <v>44.231999999999999</v>
      </c>
      <c r="V286" s="1">
        <v>96</v>
      </c>
      <c r="W286" s="1">
        <v>194</v>
      </c>
      <c r="X286" s="1">
        <v>2.0208333333333335</v>
      </c>
      <c r="Y286" s="1">
        <v>97</v>
      </c>
      <c r="Z286" s="1">
        <v>194</v>
      </c>
      <c r="AA286" s="1">
        <v>2</v>
      </c>
      <c r="AB286" s="1">
        <v>96.908651201144721</v>
      </c>
      <c r="AC286" s="1">
        <v>194.0102246651013</v>
      </c>
      <c r="AD286" s="1">
        <v>2.0019907640899</v>
      </c>
      <c r="AE286" t="s">
        <v>4817</v>
      </c>
      <c r="AF286" t="str">
        <f>IF(X286&lt;$AF$1,"Bajo","Alto")</f>
        <v>Alto</v>
      </c>
      <c r="AG286" t="str">
        <f>LEFT(AE286,1)</f>
        <v>C</v>
      </c>
      <c r="AH286" t="str">
        <f>K286</f>
        <v>M</v>
      </c>
      <c r="AI286" t="str">
        <f>LEFT(AF286,1)</f>
        <v>A</v>
      </c>
      <c r="AJ286" t="str">
        <f>LEFT(M286,1)</f>
        <v>J</v>
      </c>
      <c r="AK286" t="str">
        <f>_xlfn.CONCAT(AG286,AH286,AI286,AJ286)</f>
        <v>CMAJ</v>
      </c>
    </row>
    <row r="287" spans="1:37" ht="15.75" hidden="1" customHeight="1" x14ac:dyDescent="0.2">
      <c r="A287" s="1">
        <v>314301</v>
      </c>
      <c r="B287" s="1" t="s">
        <v>4122</v>
      </c>
      <c r="C287" s="1" t="s">
        <v>628</v>
      </c>
      <c r="D287" s="1" t="s">
        <v>4218</v>
      </c>
      <c r="E287" s="1" t="s">
        <v>665</v>
      </c>
      <c r="F287" s="1" t="s">
        <v>32</v>
      </c>
      <c r="G287" s="1" t="s">
        <v>4219</v>
      </c>
      <c r="H287" s="1">
        <v>409</v>
      </c>
      <c r="I287" s="1" t="s">
        <v>39</v>
      </c>
      <c r="J287" s="1">
        <v>11</v>
      </c>
      <c r="K287" s="1" t="s">
        <v>35</v>
      </c>
      <c r="L287" s="1">
        <v>49</v>
      </c>
      <c r="M287" s="1" t="str">
        <f>IF(L287&lt;=45,"Joven","Mayor")</f>
        <v>Mayor</v>
      </c>
      <c r="N287" s="1">
        <v>49</v>
      </c>
      <c r="O287" s="1" t="s">
        <v>36</v>
      </c>
      <c r="P287" s="1">
        <v>0.23100000000000001</v>
      </c>
      <c r="Q287" s="1">
        <v>92.554000000000002</v>
      </c>
      <c r="R287" s="1">
        <v>3.2785609</v>
      </c>
      <c r="S287" s="1">
        <v>2.7366714000000001</v>
      </c>
      <c r="T287" s="1">
        <v>-5.6939190000000002</v>
      </c>
      <c r="U287" s="1">
        <v>26.62</v>
      </c>
      <c r="V287" s="1">
        <v>111</v>
      </c>
      <c r="W287" s="1">
        <v>176</v>
      </c>
      <c r="X287" s="1">
        <v>1.5855855855855856</v>
      </c>
      <c r="Y287" s="1">
        <v>112</v>
      </c>
      <c r="Z287" s="1">
        <v>176</v>
      </c>
      <c r="AA287" s="1">
        <v>1.5714285714285714</v>
      </c>
      <c r="AB287" s="1">
        <v>114.6193316115011</v>
      </c>
      <c r="AC287" s="1">
        <v>174.83399214774269</v>
      </c>
      <c r="AD287" s="1">
        <v>1.5253447188152993</v>
      </c>
      <c r="AE287" t="s">
        <v>4816</v>
      </c>
      <c r="AF287" t="str">
        <f>IF(X287&lt;$AF$1,"Bajo","Alto")</f>
        <v>Bajo</v>
      </c>
      <c r="AG287" t="str">
        <f>LEFT(AE287,1)</f>
        <v>D</v>
      </c>
      <c r="AH287" t="str">
        <f>K287</f>
        <v>M</v>
      </c>
      <c r="AI287" t="str">
        <f>LEFT(AF287,1)</f>
        <v>B</v>
      </c>
      <c r="AJ287" t="str">
        <f>LEFT(M287,1)</f>
        <v>M</v>
      </c>
      <c r="AK287" t="str">
        <f>_xlfn.CONCAT(AG287,AH287,AI287,AJ287)</f>
        <v>DMBM</v>
      </c>
    </row>
    <row r="288" spans="1:37" ht="15.75" hidden="1" customHeight="1" x14ac:dyDescent="0.2">
      <c r="A288" s="1">
        <v>245401</v>
      </c>
      <c r="B288" s="1" t="s">
        <v>1548</v>
      </c>
      <c r="C288" s="1" t="s">
        <v>1993</v>
      </c>
      <c r="D288" s="1" t="s">
        <v>3147</v>
      </c>
      <c r="E288" s="1" t="s">
        <v>3148</v>
      </c>
      <c r="F288" s="1" t="s">
        <v>32</v>
      </c>
      <c r="G288" s="1" t="s">
        <v>3149</v>
      </c>
      <c r="H288" s="1">
        <v>796</v>
      </c>
      <c r="I288" s="1" t="s">
        <v>100</v>
      </c>
      <c r="J288" s="1">
        <v>1</v>
      </c>
      <c r="K288" s="1" t="s">
        <v>35</v>
      </c>
      <c r="L288" s="1">
        <v>60</v>
      </c>
      <c r="M288" s="1" t="str">
        <f>IF(L288&lt;=45,"Joven","Mayor")</f>
        <v>Mayor</v>
      </c>
      <c r="N288" s="1">
        <v>57</v>
      </c>
      <c r="O288" s="1" t="s">
        <v>36</v>
      </c>
      <c r="P288" s="1">
        <v>0.23599999999999999</v>
      </c>
      <c r="Q288" s="1">
        <v>92.244</v>
      </c>
      <c r="R288" s="1">
        <v>3.4091719999999999</v>
      </c>
      <c r="S288" s="1">
        <v>-3.4889329999999998</v>
      </c>
      <c r="T288" s="1">
        <v>-2.1972482000000002</v>
      </c>
      <c r="U288" s="1">
        <v>1.7430000000000001</v>
      </c>
      <c r="V288" s="1">
        <v>54</v>
      </c>
      <c r="W288" s="1">
        <v>108</v>
      </c>
      <c r="X288" s="1">
        <v>2</v>
      </c>
      <c r="Y288" s="1">
        <v>56</v>
      </c>
      <c r="Z288" s="1">
        <v>108</v>
      </c>
      <c r="AA288" s="1">
        <v>1.9285714285714286</v>
      </c>
      <c r="AB288" s="1">
        <v>55.072151660853478</v>
      </c>
      <c r="AC288" s="1">
        <v>107.9972735991887</v>
      </c>
      <c r="AD288" s="1">
        <v>1.9610142393611179</v>
      </c>
      <c r="AE288" t="s">
        <v>4817</v>
      </c>
      <c r="AF288" t="str">
        <f>IF(X288&lt;$AF$1,"Bajo","Alto")</f>
        <v>Alto</v>
      </c>
      <c r="AG288" t="str">
        <f>LEFT(AE288,1)</f>
        <v>C</v>
      </c>
      <c r="AH288" t="str">
        <f>K288</f>
        <v>M</v>
      </c>
      <c r="AI288" t="str">
        <f>LEFT(AF288,1)</f>
        <v>A</v>
      </c>
      <c r="AJ288" t="str">
        <f>LEFT(M288,1)</f>
        <v>M</v>
      </c>
      <c r="AK288" t="str">
        <f>_xlfn.CONCAT(AG288,AH288,AI288,AJ288)</f>
        <v>CMAM</v>
      </c>
    </row>
    <row r="289" spans="1:37" ht="15.75" hidden="1" customHeight="1" x14ac:dyDescent="0.2">
      <c r="A289" s="1">
        <v>1517502</v>
      </c>
      <c r="B289" s="1" t="s">
        <v>2077</v>
      </c>
      <c r="C289" s="1" t="s">
        <v>57</v>
      </c>
      <c r="D289" s="1" t="s">
        <v>2199</v>
      </c>
      <c r="E289" s="1" t="s">
        <v>296</v>
      </c>
      <c r="F289" s="1" t="s">
        <v>37</v>
      </c>
      <c r="G289" s="1" t="s">
        <v>2202</v>
      </c>
      <c r="H289" s="1">
        <v>4843</v>
      </c>
      <c r="I289" s="1" t="s">
        <v>2203</v>
      </c>
      <c r="J289" s="1">
        <v>2968</v>
      </c>
      <c r="K289" s="1" t="s">
        <v>35</v>
      </c>
      <c r="L289" s="1">
        <v>41</v>
      </c>
      <c r="M289" s="1" t="str">
        <f>IF(L289&lt;=45,"Joven","Mayor")</f>
        <v>Joven</v>
      </c>
      <c r="N289" s="1">
        <v>40</v>
      </c>
      <c r="O289" s="1" t="s">
        <v>36</v>
      </c>
      <c r="P289" s="1">
        <v>0.79200000000000004</v>
      </c>
      <c r="Q289" s="1">
        <v>86.296999999999997</v>
      </c>
      <c r="R289" s="1">
        <v>-7.9054599999999997</v>
      </c>
      <c r="S289" s="1">
        <v>2.6203609999999999</v>
      </c>
      <c r="T289" s="1">
        <v>3.2312485999999998</v>
      </c>
      <c r="U289" s="1">
        <v>4.593</v>
      </c>
      <c r="V289" s="1">
        <v>97</v>
      </c>
      <c r="W289" s="1">
        <v>196</v>
      </c>
      <c r="X289" s="1">
        <v>2.0206185567010309</v>
      </c>
      <c r="Y289" s="1">
        <v>104</v>
      </c>
      <c r="Z289" s="1">
        <v>196</v>
      </c>
      <c r="AA289" s="1">
        <v>1.8846153846153846</v>
      </c>
      <c r="AB289" s="1">
        <v>101.12908801223151</v>
      </c>
      <c r="AC289" s="1">
        <v>195.9702237307024</v>
      </c>
      <c r="AD289" s="1">
        <v>1.9378225155852282</v>
      </c>
      <c r="AE289" t="s">
        <v>4817</v>
      </c>
      <c r="AF289" t="str">
        <f>IF(X289&lt;$AF$1,"Bajo","Alto")</f>
        <v>Alto</v>
      </c>
      <c r="AG289" t="str">
        <f>LEFT(AE289,1)</f>
        <v>C</v>
      </c>
      <c r="AH289" t="str">
        <f>K289</f>
        <v>M</v>
      </c>
      <c r="AI289" t="str">
        <f>LEFT(AF289,1)</f>
        <v>A</v>
      </c>
      <c r="AJ289" t="str">
        <f>LEFT(M289,1)</f>
        <v>J</v>
      </c>
      <c r="AK289" t="str">
        <f>_xlfn.CONCAT(AG289,AH289,AI289,AJ289)</f>
        <v>CMAJ</v>
      </c>
    </row>
    <row r="290" spans="1:37" ht="15.75" hidden="1" customHeight="1" x14ac:dyDescent="0.2">
      <c r="A290" s="1">
        <v>277407</v>
      </c>
      <c r="B290" s="1" t="s">
        <v>3409</v>
      </c>
      <c r="C290" s="1" t="s">
        <v>973</v>
      </c>
      <c r="D290" s="1" t="s">
        <v>3718</v>
      </c>
      <c r="E290" s="1" t="s">
        <v>2786</v>
      </c>
      <c r="F290" s="1" t="s">
        <v>43</v>
      </c>
      <c r="G290" s="1" t="s">
        <v>3722</v>
      </c>
      <c r="H290" s="1">
        <v>2069</v>
      </c>
      <c r="I290" s="1" t="s">
        <v>3723</v>
      </c>
      <c r="J290" s="1">
        <v>4589</v>
      </c>
      <c r="K290" s="1" t="s">
        <v>49</v>
      </c>
      <c r="L290" s="1">
        <v>30</v>
      </c>
      <c r="M290" s="1" t="str">
        <f>IF(L290&lt;=45,"Joven","Mayor")</f>
        <v>Joven</v>
      </c>
      <c r="N290" s="1">
        <v>39</v>
      </c>
      <c r="O290" s="1" t="s">
        <v>50</v>
      </c>
      <c r="P290" s="1">
        <v>0.35899999999999999</v>
      </c>
      <c r="Q290" s="1">
        <v>94.230999999999995</v>
      </c>
      <c r="R290" s="1">
        <v>0.84320220000000001</v>
      </c>
      <c r="S290" s="1">
        <v>-2.0107224000000001</v>
      </c>
      <c r="T290" s="1">
        <v>3.0970423</v>
      </c>
      <c r="U290" s="1">
        <v>17.388999999999999</v>
      </c>
      <c r="V290" s="1">
        <v>62</v>
      </c>
      <c r="W290" s="1">
        <v>125</v>
      </c>
      <c r="X290" s="1">
        <v>2.0161290322580645</v>
      </c>
      <c r="Y290" s="1">
        <v>69</v>
      </c>
      <c r="Z290" s="1">
        <v>125</v>
      </c>
      <c r="AA290" s="1">
        <v>1.8115942028985508</v>
      </c>
      <c r="AB290" s="1">
        <v>67.440486578605032</v>
      </c>
      <c r="AC290" s="1">
        <v>125.5197870478851</v>
      </c>
      <c r="AD290" s="1">
        <v>1.8611933782770969</v>
      </c>
      <c r="AE290" t="s">
        <v>4817</v>
      </c>
      <c r="AF290" t="str">
        <f>IF(X290&lt;$AF$1,"Bajo","Alto")</f>
        <v>Alto</v>
      </c>
      <c r="AG290" t="str">
        <f>LEFT(AE290,1)</f>
        <v>C</v>
      </c>
      <c r="AH290" t="str">
        <f>K290</f>
        <v>F</v>
      </c>
      <c r="AI290" t="str">
        <f>LEFT(AF290,1)</f>
        <v>A</v>
      </c>
      <c r="AJ290" t="str">
        <f>LEFT(M290,1)</f>
        <v>J</v>
      </c>
      <c r="AK290" t="str">
        <f>_xlfn.CONCAT(AG290,AH290,AI290,AJ290)</f>
        <v>CFAJ</v>
      </c>
    </row>
    <row r="291" spans="1:37" ht="15.75" hidden="1" customHeight="1" x14ac:dyDescent="0.2">
      <c r="A291" s="1">
        <v>1512402</v>
      </c>
      <c r="B291" s="1" t="s">
        <v>2077</v>
      </c>
      <c r="C291" s="1" t="s">
        <v>57</v>
      </c>
      <c r="D291" s="1" t="s">
        <v>2131</v>
      </c>
      <c r="E291" s="1" t="s">
        <v>145</v>
      </c>
      <c r="F291" s="1" t="s">
        <v>37</v>
      </c>
      <c r="G291" s="1" t="s">
        <v>2132</v>
      </c>
      <c r="H291" s="1">
        <v>264</v>
      </c>
      <c r="I291" s="1" t="s">
        <v>134</v>
      </c>
      <c r="J291" s="1">
        <v>8</v>
      </c>
      <c r="K291" s="1" t="s">
        <v>35</v>
      </c>
      <c r="L291" s="1">
        <v>40</v>
      </c>
      <c r="M291" s="1" t="str">
        <f>IF(L291&lt;=45,"Joven","Mayor")</f>
        <v>Joven</v>
      </c>
      <c r="N291" s="1">
        <v>40</v>
      </c>
      <c r="O291" s="1" t="s">
        <v>36</v>
      </c>
      <c r="P291" s="1">
        <v>0.23300000000000001</v>
      </c>
      <c r="Q291" s="1">
        <v>89.712999999999994</v>
      </c>
      <c r="R291" s="1">
        <v>6.0946354999999999</v>
      </c>
      <c r="S291" s="1">
        <v>2.2011752000000002</v>
      </c>
      <c r="T291" s="1">
        <v>-10.504365999999999</v>
      </c>
      <c r="U291" s="1">
        <v>4.7839999999999998</v>
      </c>
      <c r="V291" s="1">
        <v>59</v>
      </c>
      <c r="W291" s="1">
        <v>119</v>
      </c>
      <c r="X291" s="1">
        <v>2.0169491525423728</v>
      </c>
      <c r="Y291" s="1">
        <v>68</v>
      </c>
      <c r="Z291" s="1">
        <v>119</v>
      </c>
      <c r="AA291" s="1">
        <v>1.75</v>
      </c>
      <c r="AB291" s="1">
        <v>65.668258973663796</v>
      </c>
      <c r="AC291" s="1">
        <v>119.55802746240811</v>
      </c>
      <c r="AD291" s="1">
        <v>1.8206364738610896</v>
      </c>
      <c r="AE291" t="s">
        <v>4817</v>
      </c>
      <c r="AF291" t="str">
        <f>IF(X291&lt;$AF$1,"Bajo","Alto")</f>
        <v>Alto</v>
      </c>
      <c r="AG291" t="str">
        <f>LEFT(AE291,1)</f>
        <v>C</v>
      </c>
      <c r="AH291" t="str">
        <f>K291</f>
        <v>M</v>
      </c>
      <c r="AI291" t="str">
        <f>LEFT(AF291,1)</f>
        <v>A</v>
      </c>
      <c r="AJ291" t="str">
        <f>LEFT(M291,1)</f>
        <v>J</v>
      </c>
      <c r="AK291" t="str">
        <f>_xlfn.CONCAT(AG291,AH291,AI291,AJ291)</f>
        <v>CMAJ</v>
      </c>
    </row>
    <row r="292" spans="1:37" ht="15.75" hidden="1" customHeight="1" x14ac:dyDescent="0.2">
      <c r="A292" s="1">
        <v>643005</v>
      </c>
      <c r="B292" s="1" t="s">
        <v>4718</v>
      </c>
      <c r="C292" s="1" t="s">
        <v>710</v>
      </c>
      <c r="D292" s="1" t="s">
        <v>4783</v>
      </c>
      <c r="E292" s="1" t="s">
        <v>2381</v>
      </c>
      <c r="F292" s="1" t="s">
        <v>40</v>
      </c>
      <c r="G292" s="1" t="s">
        <v>4787</v>
      </c>
      <c r="H292" s="1">
        <v>1001</v>
      </c>
      <c r="I292" s="1" t="s">
        <v>4788</v>
      </c>
      <c r="J292" s="1">
        <v>3390</v>
      </c>
      <c r="K292" s="1" t="s">
        <v>49</v>
      </c>
      <c r="L292" s="1">
        <v>42</v>
      </c>
      <c r="M292" s="1" t="str">
        <f>IF(L292&lt;=45,"Joven","Mayor")</f>
        <v>Joven</v>
      </c>
      <c r="N292" s="1">
        <v>55</v>
      </c>
      <c r="O292" s="1" t="s">
        <v>50</v>
      </c>
      <c r="P292" s="1">
        <v>0.33400000000000002</v>
      </c>
      <c r="Q292" s="1">
        <v>93.344999999999999</v>
      </c>
      <c r="R292" s="1">
        <v>-2.8039521999999999</v>
      </c>
      <c r="S292" s="1">
        <v>0.58103649999999996</v>
      </c>
      <c r="T292" s="1">
        <v>-7.3135159999999999</v>
      </c>
      <c r="U292" s="1">
        <v>29.434000000000001</v>
      </c>
      <c r="V292" s="1">
        <v>88</v>
      </c>
      <c r="W292" s="1">
        <v>177</v>
      </c>
      <c r="X292" s="1">
        <v>2.0113636363636362</v>
      </c>
      <c r="Y292" s="1">
        <v>101</v>
      </c>
      <c r="Z292" s="1">
        <v>177</v>
      </c>
      <c r="AA292" s="1">
        <v>1.7524752475247525</v>
      </c>
      <c r="AB292" s="1">
        <v>96.104753568570686</v>
      </c>
      <c r="AC292" s="1">
        <v>178.48787359747439</v>
      </c>
      <c r="AD292" s="1">
        <v>1.8572221140978566</v>
      </c>
      <c r="AE292" t="s">
        <v>4817</v>
      </c>
      <c r="AF292" t="str">
        <f>IF(X292&lt;$AF$1,"Bajo","Alto")</f>
        <v>Alto</v>
      </c>
      <c r="AG292" t="str">
        <f>LEFT(AE292,1)</f>
        <v>C</v>
      </c>
      <c r="AH292" t="str">
        <f>K292</f>
        <v>F</v>
      </c>
      <c r="AI292" t="str">
        <f>LEFT(AF292,1)</f>
        <v>A</v>
      </c>
      <c r="AJ292" t="str">
        <f>LEFT(M292,1)</f>
        <v>J</v>
      </c>
      <c r="AK292" t="str">
        <f>_xlfn.CONCAT(AG292,AH292,AI292,AJ292)</f>
        <v>CFAJ</v>
      </c>
    </row>
    <row r="293" spans="1:37" ht="15.75" hidden="1" customHeight="1" x14ac:dyDescent="0.2">
      <c r="A293" s="1">
        <v>480202</v>
      </c>
      <c r="B293" s="1" t="s">
        <v>4465</v>
      </c>
      <c r="C293" s="1" t="s">
        <v>2650</v>
      </c>
      <c r="D293" s="1" t="s">
        <v>3420</v>
      </c>
      <c r="E293" s="1" t="s">
        <v>37</v>
      </c>
      <c r="F293" s="1" t="s">
        <v>37</v>
      </c>
      <c r="G293" s="1" t="s">
        <v>4470</v>
      </c>
      <c r="H293" s="1">
        <v>1596</v>
      </c>
      <c r="I293" s="1" t="s">
        <v>39</v>
      </c>
      <c r="J293" s="1">
        <v>11</v>
      </c>
      <c r="K293" s="1" t="s">
        <v>49</v>
      </c>
      <c r="L293" s="1">
        <v>48</v>
      </c>
      <c r="M293" s="1" t="str">
        <f>IF(L293&lt;=45,"Joven","Mayor")</f>
        <v>Mayor</v>
      </c>
      <c r="N293" s="1">
        <v>43</v>
      </c>
      <c r="O293" s="1" t="s">
        <v>50</v>
      </c>
      <c r="P293" s="1">
        <v>0.19700000000000001</v>
      </c>
      <c r="Q293" s="1">
        <v>23.649000000000001</v>
      </c>
      <c r="R293" s="1">
        <v>19.474806000000001</v>
      </c>
      <c r="S293" s="1">
        <v>0.34894409999999998</v>
      </c>
      <c r="T293" s="1">
        <v>-7.0641129999999999</v>
      </c>
      <c r="U293" s="1">
        <v>0.36099999999999999</v>
      </c>
      <c r="V293" s="1">
        <v>64</v>
      </c>
      <c r="W293" s="1">
        <v>101</v>
      </c>
      <c r="X293" s="1">
        <v>1.578125</v>
      </c>
      <c r="Y293" s="1">
        <v>67</v>
      </c>
      <c r="Z293" s="1">
        <v>101</v>
      </c>
      <c r="AA293" s="1">
        <v>1.5074626865671641</v>
      </c>
      <c r="AB293" s="1">
        <v>66.711663912074073</v>
      </c>
      <c r="AC293" s="1">
        <v>100.1103453073101</v>
      </c>
      <c r="AD293" s="1">
        <v>1.500642308056586</v>
      </c>
      <c r="AE293" t="s">
        <v>4816</v>
      </c>
      <c r="AF293" t="str">
        <f>IF(X293&lt;$AF$1,"Bajo","Alto")</f>
        <v>Bajo</v>
      </c>
      <c r="AG293" t="str">
        <f>LEFT(AE293,1)</f>
        <v>D</v>
      </c>
      <c r="AH293" t="str">
        <f>K293</f>
        <v>F</v>
      </c>
      <c r="AI293" t="str">
        <f>LEFT(AF293,1)</f>
        <v>B</v>
      </c>
      <c r="AJ293" t="str">
        <f>LEFT(M293,1)</f>
        <v>M</v>
      </c>
      <c r="AK293" t="str">
        <f>_xlfn.CONCAT(AG293,AH293,AI293,AJ293)</f>
        <v>DFBM</v>
      </c>
    </row>
    <row r="294" spans="1:37" ht="15.75" hidden="1" customHeight="1" x14ac:dyDescent="0.2">
      <c r="A294" s="1">
        <v>523001</v>
      </c>
      <c r="B294" s="1" t="s">
        <v>4529</v>
      </c>
      <c r="C294" s="1" t="s">
        <v>685</v>
      </c>
      <c r="D294" s="1" t="s">
        <v>4581</v>
      </c>
      <c r="E294" s="1" t="s">
        <v>2381</v>
      </c>
      <c r="F294" s="1" t="s">
        <v>32</v>
      </c>
      <c r="G294" s="1" t="s">
        <v>4582</v>
      </c>
      <c r="H294" s="1">
        <v>157</v>
      </c>
      <c r="I294" s="1" t="s">
        <v>294</v>
      </c>
      <c r="J294" s="1">
        <v>16</v>
      </c>
      <c r="K294" s="1" t="s">
        <v>35</v>
      </c>
      <c r="L294" s="1">
        <v>46</v>
      </c>
      <c r="M294" s="1" t="str">
        <f>IF(L294&lt;=45,"Joven","Mayor")</f>
        <v>Mayor</v>
      </c>
      <c r="N294" s="1">
        <v>45</v>
      </c>
      <c r="O294" s="1" t="s">
        <v>36</v>
      </c>
      <c r="P294" s="1">
        <v>0.35599999999999998</v>
      </c>
      <c r="Q294" s="1">
        <v>93.387</v>
      </c>
      <c r="R294" s="1">
        <v>2.4993121999999999</v>
      </c>
      <c r="S294" s="1">
        <v>1.4316101999999999</v>
      </c>
      <c r="T294" s="1">
        <v>-2.8008573000000001</v>
      </c>
      <c r="U294" s="1">
        <v>71.507000000000005</v>
      </c>
      <c r="V294" s="1">
        <v>120</v>
      </c>
      <c r="W294" s="1">
        <v>185</v>
      </c>
      <c r="X294" s="1">
        <v>1.5416666666666667</v>
      </c>
      <c r="Y294" s="1">
        <v>123</v>
      </c>
      <c r="Z294" s="1">
        <v>185</v>
      </c>
      <c r="AA294" s="1">
        <v>1.5040650406504066</v>
      </c>
      <c r="AB294" s="1">
        <v>124.9542477047698</v>
      </c>
      <c r="AC294" s="1">
        <v>184.58354130785031</v>
      </c>
      <c r="AD294" s="1">
        <v>1.4772090160869682</v>
      </c>
      <c r="AE294" t="s">
        <v>4817</v>
      </c>
      <c r="AF294" t="str">
        <f>IF(X294&lt;$AF$1,"Bajo","Alto")</f>
        <v>Bajo</v>
      </c>
      <c r="AG294" t="str">
        <f>LEFT(AE294,1)</f>
        <v>C</v>
      </c>
      <c r="AH294" t="str">
        <f>K294</f>
        <v>M</v>
      </c>
      <c r="AI294" t="str">
        <f>LEFT(AF294,1)</f>
        <v>B</v>
      </c>
      <c r="AJ294" t="str">
        <f>LEFT(M294,1)</f>
        <v>M</v>
      </c>
      <c r="AK294" t="str">
        <f>_xlfn.CONCAT(AG294,AH294,AI294,AJ294)</f>
        <v>CMBM</v>
      </c>
    </row>
    <row r="295" spans="1:37" ht="15.75" hidden="1" customHeight="1" x14ac:dyDescent="0.2">
      <c r="A295" s="1">
        <v>10721403</v>
      </c>
      <c r="B295" s="1" t="s">
        <v>1067</v>
      </c>
      <c r="C295" s="1" t="s">
        <v>1068</v>
      </c>
      <c r="D295" s="1" t="s">
        <v>1218</v>
      </c>
      <c r="E295" s="1" t="s">
        <v>392</v>
      </c>
      <c r="F295" s="1" t="s">
        <v>63</v>
      </c>
      <c r="G295" s="1" t="s">
        <v>1221</v>
      </c>
      <c r="H295" s="1">
        <v>2638</v>
      </c>
      <c r="I295" s="1" t="s">
        <v>73</v>
      </c>
      <c r="J295" s="1">
        <v>5</v>
      </c>
      <c r="K295" s="1" t="s">
        <v>49</v>
      </c>
      <c r="L295" s="1">
        <v>38</v>
      </c>
      <c r="M295" s="1" t="str">
        <f>IF(L295&lt;=45,"Joven","Mayor")</f>
        <v>Joven</v>
      </c>
      <c r="N295" s="1">
        <v>42</v>
      </c>
      <c r="O295" s="1" t="s">
        <v>50</v>
      </c>
      <c r="P295" s="1">
        <v>0.34699999999999998</v>
      </c>
      <c r="Q295" s="1">
        <v>90.787999999999997</v>
      </c>
      <c r="R295" s="1">
        <v>4.8319162999999996</v>
      </c>
      <c r="S295" s="1">
        <v>3.6106248000000001</v>
      </c>
      <c r="T295" s="1">
        <v>-6.1154584999999999</v>
      </c>
      <c r="U295" s="1">
        <v>6.7380000000000004</v>
      </c>
      <c r="V295" s="1">
        <v>70</v>
      </c>
      <c r="W295" s="1">
        <v>110</v>
      </c>
      <c r="X295" s="1">
        <v>1.5714285714285714</v>
      </c>
      <c r="Y295" s="1">
        <v>74</v>
      </c>
      <c r="Z295" s="1">
        <v>110</v>
      </c>
      <c r="AA295" s="1">
        <v>1.4864864864864864</v>
      </c>
      <c r="AB295" s="1">
        <v>73.010681569727467</v>
      </c>
      <c r="AC295" s="1">
        <v>109.9066778562801</v>
      </c>
      <c r="AD295" s="1">
        <v>1.5053506623043342</v>
      </c>
      <c r="AE295" t="s">
        <v>4817</v>
      </c>
      <c r="AF295" t="str">
        <f>IF(X295&lt;$AF$1,"Bajo","Alto")</f>
        <v>Bajo</v>
      </c>
      <c r="AG295" t="str">
        <f>LEFT(AE295,1)</f>
        <v>C</v>
      </c>
      <c r="AH295" t="str">
        <f>K295</f>
        <v>F</v>
      </c>
      <c r="AI295" t="str">
        <f>LEFT(AF295,1)</f>
        <v>B</v>
      </c>
      <c r="AJ295" t="str">
        <f>LEFT(M295,1)</f>
        <v>J</v>
      </c>
      <c r="AK295" t="str">
        <f>_xlfn.CONCAT(AG295,AH295,AI295,AJ295)</f>
        <v>CFBJ</v>
      </c>
    </row>
    <row r="296" spans="1:37" ht="15.75" hidden="1" customHeight="1" x14ac:dyDescent="0.2">
      <c r="A296" s="1">
        <v>1245002</v>
      </c>
      <c r="B296" s="1" t="s">
        <v>1798</v>
      </c>
      <c r="C296" s="1" t="s">
        <v>54</v>
      </c>
      <c r="D296" s="1" t="s">
        <v>1856</v>
      </c>
      <c r="E296" s="1" t="s">
        <v>1857</v>
      </c>
      <c r="F296" s="1" t="s">
        <v>37</v>
      </c>
      <c r="G296" s="1" t="s">
        <v>1858</v>
      </c>
      <c r="H296" s="1">
        <v>1508</v>
      </c>
      <c r="I296" s="1" t="s">
        <v>48</v>
      </c>
      <c r="J296" s="1">
        <v>4</v>
      </c>
      <c r="K296" s="1" t="s">
        <v>35</v>
      </c>
      <c r="L296" s="1">
        <v>42</v>
      </c>
      <c r="M296" s="1" t="str">
        <f>IF(L296&lt;=45,"Joven","Mayor")</f>
        <v>Joven</v>
      </c>
      <c r="N296" s="1">
        <v>32</v>
      </c>
      <c r="O296" s="1" t="s">
        <v>36</v>
      </c>
      <c r="P296" s="1">
        <v>0.29399999999999998</v>
      </c>
      <c r="Q296" s="1">
        <v>88.843000000000004</v>
      </c>
      <c r="R296" s="1">
        <v>5.0884647000000003</v>
      </c>
      <c r="S296" s="1">
        <v>7.4362409999999999</v>
      </c>
      <c r="T296" s="1">
        <v>-2.0710258000000001</v>
      </c>
      <c r="U296" s="1">
        <v>55.377000000000002</v>
      </c>
      <c r="V296" s="1">
        <v>96</v>
      </c>
      <c r="W296" s="1">
        <v>151</v>
      </c>
      <c r="X296" s="1">
        <v>1.5729166666666667</v>
      </c>
      <c r="Y296" s="1">
        <v>98</v>
      </c>
      <c r="Z296" s="1">
        <v>151</v>
      </c>
      <c r="AA296" s="1">
        <v>1.5408163265306123</v>
      </c>
      <c r="AB296" s="1">
        <v>97.527379801755615</v>
      </c>
      <c r="AC296" s="1">
        <v>150.8290895816472</v>
      </c>
      <c r="AD296" s="1">
        <v>1.5465307269429183</v>
      </c>
      <c r="AE296" t="s">
        <v>4817</v>
      </c>
      <c r="AF296" t="str">
        <f>IF(X296&lt;$AF$1,"Bajo","Alto")</f>
        <v>Bajo</v>
      </c>
      <c r="AG296" t="str">
        <f>LEFT(AE296,1)</f>
        <v>C</v>
      </c>
      <c r="AH296" t="str">
        <f>K296</f>
        <v>M</v>
      </c>
      <c r="AI296" t="str">
        <f>LEFT(AF296,1)</f>
        <v>B</v>
      </c>
      <c r="AJ296" t="str">
        <f>LEFT(M296,1)</f>
        <v>J</v>
      </c>
      <c r="AK296" t="str">
        <f>_xlfn.CONCAT(AG296,AH296,AI296,AJ296)</f>
        <v>CMBJ</v>
      </c>
    </row>
    <row r="297" spans="1:37" ht="15.75" hidden="1" customHeight="1" x14ac:dyDescent="0.2">
      <c r="A297" s="1">
        <v>199404</v>
      </c>
      <c r="B297" s="1" t="s">
        <v>2656</v>
      </c>
      <c r="C297" s="1" t="s">
        <v>323</v>
      </c>
      <c r="D297" s="1" t="s">
        <v>2813</v>
      </c>
      <c r="E297" s="1" t="s">
        <v>775</v>
      </c>
      <c r="F297" s="1" t="s">
        <v>61</v>
      </c>
      <c r="G297" s="1" t="s">
        <v>2814</v>
      </c>
      <c r="H297" s="1">
        <v>1953</v>
      </c>
      <c r="I297" s="1" t="s">
        <v>108</v>
      </c>
      <c r="J297" s="1">
        <v>3</v>
      </c>
      <c r="K297" s="1" t="s">
        <v>35</v>
      </c>
      <c r="L297" s="1">
        <v>39</v>
      </c>
      <c r="M297" s="1" t="str">
        <f>IF(L297&lt;=45,"Joven","Mayor")</f>
        <v>Joven</v>
      </c>
      <c r="N297" s="1">
        <v>24</v>
      </c>
      <c r="O297" s="1" t="s">
        <v>36</v>
      </c>
      <c r="P297" s="1">
        <v>0.371</v>
      </c>
      <c r="Q297" s="1">
        <v>83.396000000000001</v>
      </c>
      <c r="R297" s="1">
        <v>-7.7222030000000004</v>
      </c>
      <c r="S297" s="1">
        <v>8.5571140000000003</v>
      </c>
      <c r="T297" s="1">
        <v>3.8674488</v>
      </c>
      <c r="U297" s="1">
        <v>3.6890000000000001</v>
      </c>
      <c r="V297" s="1">
        <v>122</v>
      </c>
      <c r="W297" s="1">
        <v>246</v>
      </c>
      <c r="X297" s="1">
        <v>2.0163934426229506</v>
      </c>
      <c r="Y297" s="1">
        <v>127</v>
      </c>
      <c r="Z297" s="1">
        <v>246</v>
      </c>
      <c r="AA297" s="1">
        <v>1.9370078740157479</v>
      </c>
      <c r="AB297" s="1">
        <v>126.03887866678861</v>
      </c>
      <c r="AC297" s="1">
        <v>245.3723502572557</v>
      </c>
      <c r="AD297" s="1">
        <v>1.9467988992979799</v>
      </c>
      <c r="AE297" t="s">
        <v>4817</v>
      </c>
      <c r="AF297" t="str">
        <f>IF(X297&lt;$AF$1,"Bajo","Alto")</f>
        <v>Alto</v>
      </c>
      <c r="AG297" t="str">
        <f>LEFT(AE297,1)</f>
        <v>C</v>
      </c>
      <c r="AH297" t="str">
        <f>K297</f>
        <v>M</v>
      </c>
      <c r="AI297" t="str">
        <f>LEFT(AF297,1)</f>
        <v>A</v>
      </c>
      <c r="AJ297" t="str">
        <f>LEFT(M297,1)</f>
        <v>J</v>
      </c>
      <c r="AK297" t="str">
        <f>_xlfn.CONCAT(AG297,AH297,AI297,AJ297)</f>
        <v>CMAJ</v>
      </c>
    </row>
    <row r="298" spans="1:37" ht="15.75" hidden="1" customHeight="1" x14ac:dyDescent="0.2">
      <c r="A298" s="1">
        <v>191905</v>
      </c>
      <c r="B298" s="1" t="s">
        <v>2656</v>
      </c>
      <c r="C298" s="1" t="s">
        <v>323</v>
      </c>
      <c r="D298" s="1" t="s">
        <v>2682</v>
      </c>
      <c r="E298" s="1" t="s">
        <v>323</v>
      </c>
      <c r="F298" s="1" t="s">
        <v>40</v>
      </c>
      <c r="G298" s="1" t="s">
        <v>2683</v>
      </c>
      <c r="H298" s="1">
        <v>980</v>
      </c>
      <c r="I298" s="1" t="s">
        <v>108</v>
      </c>
      <c r="J298" s="1">
        <v>3</v>
      </c>
      <c r="K298" s="1" t="s">
        <v>35</v>
      </c>
      <c r="L298" s="1">
        <v>37</v>
      </c>
      <c r="M298" s="1" t="str">
        <f>IF(L298&lt;=45,"Joven","Mayor")</f>
        <v>Joven</v>
      </c>
      <c r="N298" s="1">
        <v>48</v>
      </c>
      <c r="O298" s="1" t="s">
        <v>36</v>
      </c>
      <c r="P298" s="1">
        <v>0.71299999999999997</v>
      </c>
      <c r="Q298" s="1">
        <v>89.997</v>
      </c>
      <c r="R298" s="1">
        <v>-5.4424986999999998</v>
      </c>
      <c r="S298" s="1">
        <v>3.4234512000000001</v>
      </c>
      <c r="T298" s="1">
        <v>7.8129115000000002</v>
      </c>
      <c r="U298" s="1">
        <v>10.009</v>
      </c>
      <c r="V298" s="1">
        <v>67</v>
      </c>
      <c r="W298" s="1">
        <v>135</v>
      </c>
      <c r="X298" s="1">
        <v>2.0149253731343282</v>
      </c>
      <c r="Y298" s="1">
        <v>73</v>
      </c>
      <c r="Z298" s="1">
        <v>135</v>
      </c>
      <c r="AA298" s="1">
        <v>1.8493150684931507</v>
      </c>
      <c r="AB298" s="1">
        <v>71.271852507617041</v>
      </c>
      <c r="AC298" s="1">
        <v>134.1546428244242</v>
      </c>
      <c r="AD298" s="1">
        <v>1.88229487664975</v>
      </c>
      <c r="AE298" t="s">
        <v>4817</v>
      </c>
      <c r="AF298" t="str">
        <f>IF(X298&lt;$AF$1,"Bajo","Alto")</f>
        <v>Alto</v>
      </c>
      <c r="AG298" t="str">
        <f>LEFT(AE298,1)</f>
        <v>C</v>
      </c>
      <c r="AH298" t="str">
        <f>K298</f>
        <v>M</v>
      </c>
      <c r="AI298" t="str">
        <f>LEFT(AF298,1)</f>
        <v>A</v>
      </c>
      <c r="AJ298" t="str">
        <f>LEFT(M298,1)</f>
        <v>J</v>
      </c>
      <c r="AK298" t="str">
        <f>_xlfn.CONCAT(AG298,AH298,AI298,AJ298)</f>
        <v>CMAJ</v>
      </c>
    </row>
    <row r="299" spans="1:37" ht="15.75" hidden="1" customHeight="1" x14ac:dyDescent="0.2">
      <c r="A299" s="1">
        <v>170201</v>
      </c>
      <c r="B299" s="1" t="s">
        <v>2551</v>
      </c>
      <c r="C299" s="1" t="s">
        <v>2552</v>
      </c>
      <c r="D299" s="1" t="s">
        <v>2558</v>
      </c>
      <c r="E299" s="1" t="s">
        <v>37</v>
      </c>
      <c r="F299" s="1" t="s">
        <v>32</v>
      </c>
      <c r="G299" s="1" t="s">
        <v>2559</v>
      </c>
      <c r="H299" s="1">
        <v>1902</v>
      </c>
      <c r="I299" s="1" t="s">
        <v>294</v>
      </c>
      <c r="J299" s="1">
        <v>16</v>
      </c>
      <c r="K299" s="1" t="s">
        <v>35</v>
      </c>
      <c r="L299" s="1">
        <v>57</v>
      </c>
      <c r="M299" s="1" t="str">
        <f>IF(L299&lt;=45,"Joven","Mayor")</f>
        <v>Mayor</v>
      </c>
      <c r="N299" s="1">
        <v>40</v>
      </c>
      <c r="O299" s="1" t="s">
        <v>36</v>
      </c>
      <c r="P299" s="1">
        <v>0.36099999999999999</v>
      </c>
      <c r="Q299" s="1">
        <v>90.730999999999995</v>
      </c>
      <c r="R299" s="1">
        <v>4.5672490000000003</v>
      </c>
      <c r="S299" s="1">
        <v>4.6027063999999998</v>
      </c>
      <c r="T299" s="1">
        <v>-4.9402369999999998</v>
      </c>
      <c r="U299" s="1">
        <v>10.273999999999999</v>
      </c>
      <c r="V299" s="1">
        <v>107</v>
      </c>
      <c r="W299" s="1">
        <v>165</v>
      </c>
      <c r="X299" s="1">
        <v>1.5420560747663552</v>
      </c>
      <c r="Y299" s="1">
        <v>111</v>
      </c>
      <c r="Z299" s="1">
        <v>165</v>
      </c>
      <c r="AA299" s="1">
        <v>1.4864864864864864</v>
      </c>
      <c r="AB299" s="1">
        <v>109.9610494859219</v>
      </c>
      <c r="AC299" s="1">
        <v>164.9898519373919</v>
      </c>
      <c r="AD299" s="1">
        <v>1.5004390437226158</v>
      </c>
      <c r="AE299" t="s">
        <v>4817</v>
      </c>
      <c r="AF299" t="str">
        <f>IF(X299&lt;$AF$1,"Bajo","Alto")</f>
        <v>Bajo</v>
      </c>
      <c r="AG299" t="str">
        <f>LEFT(AE299,1)</f>
        <v>C</v>
      </c>
      <c r="AH299" t="str">
        <f>K299</f>
        <v>M</v>
      </c>
      <c r="AI299" t="str">
        <f>LEFT(AF299,1)</f>
        <v>B</v>
      </c>
      <c r="AJ299" t="str">
        <f>LEFT(M299,1)</f>
        <v>M</v>
      </c>
      <c r="AK299" t="str">
        <f>_xlfn.CONCAT(AG299,AH299,AI299,AJ299)</f>
        <v>CMBM</v>
      </c>
    </row>
    <row r="300" spans="1:37" ht="15.75" hidden="1" customHeight="1" x14ac:dyDescent="0.2">
      <c r="A300" s="1">
        <v>2314203</v>
      </c>
      <c r="B300" s="1" t="s">
        <v>319</v>
      </c>
      <c r="C300" s="1" t="s">
        <v>1989</v>
      </c>
      <c r="D300" s="1" t="s">
        <v>2997</v>
      </c>
      <c r="E300" s="1" t="s">
        <v>181</v>
      </c>
      <c r="F300" s="1" t="s">
        <v>63</v>
      </c>
      <c r="G300" s="1" t="s">
        <v>2998</v>
      </c>
      <c r="H300" s="1">
        <v>2623</v>
      </c>
      <c r="I300" s="1" t="s">
        <v>294</v>
      </c>
      <c r="J300" s="1">
        <v>16</v>
      </c>
      <c r="K300" s="1" t="s">
        <v>35</v>
      </c>
      <c r="L300" s="1">
        <v>39</v>
      </c>
      <c r="M300" s="1" t="str">
        <f>IF(L300&lt;=45,"Joven","Mayor")</f>
        <v>Joven</v>
      </c>
      <c r="N300" s="1">
        <v>50</v>
      </c>
      <c r="O300" s="1" t="s">
        <v>36</v>
      </c>
      <c r="P300" s="1">
        <v>0.35499999999999998</v>
      </c>
      <c r="Q300" s="1">
        <v>93.816999999999993</v>
      </c>
      <c r="R300" s="1">
        <v>1.3121518999999999</v>
      </c>
      <c r="S300" s="1">
        <v>-2.8423642999999998</v>
      </c>
      <c r="T300" s="1">
        <v>-2.4528629999999998</v>
      </c>
      <c r="U300" s="1">
        <v>2.3839999999999999</v>
      </c>
      <c r="V300" s="1">
        <v>78</v>
      </c>
      <c r="W300" s="1">
        <v>123</v>
      </c>
      <c r="X300" s="1">
        <v>1.5769230769230769</v>
      </c>
      <c r="Y300" s="1">
        <v>79</v>
      </c>
      <c r="Z300" s="1">
        <v>123</v>
      </c>
      <c r="AA300" s="1">
        <v>1.5569620253164558</v>
      </c>
      <c r="AB300" s="1">
        <v>79.29805269590247</v>
      </c>
      <c r="AC300" s="1">
        <v>122.801708664138</v>
      </c>
      <c r="AD300" s="1">
        <v>1.5486093855931911</v>
      </c>
      <c r="AE300" t="s">
        <v>4817</v>
      </c>
      <c r="AF300" t="str">
        <f>IF(X300&lt;$AF$1,"Bajo","Alto")</f>
        <v>Bajo</v>
      </c>
      <c r="AG300" t="str">
        <f>LEFT(AE300,1)</f>
        <v>C</v>
      </c>
      <c r="AH300" t="str">
        <f>K300</f>
        <v>M</v>
      </c>
      <c r="AI300" t="str">
        <f>LEFT(AF300,1)</f>
        <v>B</v>
      </c>
      <c r="AJ300" t="str">
        <f>LEFT(M300,1)</f>
        <v>J</v>
      </c>
      <c r="AK300" t="str">
        <f>_xlfn.CONCAT(AG300,AH300,AI300,AJ300)</f>
        <v>CMBJ</v>
      </c>
    </row>
    <row r="301" spans="1:37" ht="15.75" hidden="1" customHeight="1" x14ac:dyDescent="0.2">
      <c r="A301" s="1">
        <v>312207</v>
      </c>
      <c r="B301" s="1" t="s">
        <v>4122</v>
      </c>
      <c r="C301" s="1" t="s">
        <v>628</v>
      </c>
      <c r="D301" s="1" t="s">
        <v>4182</v>
      </c>
      <c r="E301" s="1" t="s">
        <v>418</v>
      </c>
      <c r="F301" s="1" t="s">
        <v>43</v>
      </c>
      <c r="G301" s="1" t="s">
        <v>4189</v>
      </c>
      <c r="H301" s="1">
        <v>13760</v>
      </c>
      <c r="I301" s="1" t="s">
        <v>4190</v>
      </c>
      <c r="J301" s="1">
        <v>3864</v>
      </c>
      <c r="K301" s="1" t="s">
        <v>49</v>
      </c>
      <c r="L301" s="1">
        <v>41</v>
      </c>
      <c r="M301" s="1" t="str">
        <f>IF(L301&lt;=45,"Joven","Mayor")</f>
        <v>Joven</v>
      </c>
      <c r="N301" s="1">
        <v>27</v>
      </c>
      <c r="O301" s="1" t="s">
        <v>50</v>
      </c>
      <c r="P301" s="1">
        <v>0.37</v>
      </c>
      <c r="Q301" s="1">
        <v>90.144999999999996</v>
      </c>
      <c r="R301" s="1">
        <v>5.0398474000000002</v>
      </c>
      <c r="S301" s="1">
        <v>4.7094253999999998</v>
      </c>
      <c r="T301" s="1">
        <v>-1.2050308000000001</v>
      </c>
      <c r="U301" s="1">
        <v>74.27</v>
      </c>
      <c r="V301" s="1">
        <v>98</v>
      </c>
      <c r="W301" s="1">
        <v>154</v>
      </c>
      <c r="X301" s="1">
        <v>1.5714285714285714</v>
      </c>
      <c r="Y301" s="1">
        <v>99</v>
      </c>
      <c r="Z301" s="1">
        <v>154</v>
      </c>
      <c r="AA301" s="1">
        <v>1.5555555555555556</v>
      </c>
      <c r="AB301" s="1">
        <v>99.756222807503036</v>
      </c>
      <c r="AC301" s="1">
        <v>153.98697168656551</v>
      </c>
      <c r="AD301" s="1">
        <v>1.5436327414251654</v>
      </c>
      <c r="AE301" t="s">
        <v>4817</v>
      </c>
      <c r="AF301" t="str">
        <f>IF(X301&lt;$AF$1,"Bajo","Alto")</f>
        <v>Bajo</v>
      </c>
      <c r="AG301" t="str">
        <f>LEFT(AE301,1)</f>
        <v>C</v>
      </c>
      <c r="AH301" t="str">
        <f>K301</f>
        <v>F</v>
      </c>
      <c r="AI301" t="str">
        <f>LEFT(AF301,1)</f>
        <v>B</v>
      </c>
      <c r="AJ301" t="str">
        <f>LEFT(M301,1)</f>
        <v>J</v>
      </c>
      <c r="AK301" t="str">
        <f>_xlfn.CONCAT(AG301,AH301,AI301,AJ301)</f>
        <v>CFBJ</v>
      </c>
    </row>
    <row r="302" spans="1:37" ht="15.75" hidden="1" customHeight="1" x14ac:dyDescent="0.2">
      <c r="A302" s="1">
        <v>1518403</v>
      </c>
      <c r="B302" s="1" t="s">
        <v>2077</v>
      </c>
      <c r="C302" s="1" t="s">
        <v>57</v>
      </c>
      <c r="D302" s="1" t="s">
        <v>2215</v>
      </c>
      <c r="E302" s="1" t="s">
        <v>312</v>
      </c>
      <c r="F302" s="1" t="s">
        <v>63</v>
      </c>
      <c r="G302" s="1" t="s">
        <v>2216</v>
      </c>
      <c r="H302" s="1">
        <v>2106</v>
      </c>
      <c r="I302" s="1" t="s">
        <v>2217</v>
      </c>
      <c r="J302" s="1">
        <v>3346</v>
      </c>
      <c r="K302" s="1" t="s">
        <v>35</v>
      </c>
      <c r="L302" s="1">
        <v>42</v>
      </c>
      <c r="M302" s="1" t="str">
        <f>IF(L302&lt;=45,"Joven","Mayor")</f>
        <v>Joven</v>
      </c>
      <c r="N302" s="1">
        <v>46</v>
      </c>
      <c r="O302" s="1" t="s">
        <v>36</v>
      </c>
      <c r="P302" s="1">
        <v>1.0309999999999999</v>
      </c>
      <c r="Q302" s="1">
        <v>93.222999999999999</v>
      </c>
      <c r="R302" s="1">
        <v>-0.110493675</v>
      </c>
      <c r="S302" s="1">
        <v>6.6950855000000002</v>
      </c>
      <c r="T302" s="1">
        <v>-8.7981350000000003</v>
      </c>
      <c r="U302" s="1">
        <v>7.2869999999999999</v>
      </c>
      <c r="V302" s="1">
        <v>72</v>
      </c>
      <c r="W302" s="1">
        <v>145</v>
      </c>
      <c r="X302" s="1">
        <v>2.0138888888888888</v>
      </c>
      <c r="Y302" s="1">
        <v>77</v>
      </c>
      <c r="Z302" s="1">
        <v>145</v>
      </c>
      <c r="AA302" s="1">
        <v>1.8831168831168832</v>
      </c>
      <c r="AB302" s="1">
        <v>77.88276340362745</v>
      </c>
      <c r="AC302" s="1">
        <v>144.82337398723479</v>
      </c>
      <c r="AD302" s="1">
        <v>1.8595048205555778</v>
      </c>
      <c r="AE302" t="s">
        <v>4817</v>
      </c>
      <c r="AF302" t="str">
        <f>IF(X302&lt;$AF$1,"Bajo","Alto")</f>
        <v>Alto</v>
      </c>
      <c r="AG302" t="str">
        <f>LEFT(AE302,1)</f>
        <v>C</v>
      </c>
      <c r="AH302" t="str">
        <f>K302</f>
        <v>M</v>
      </c>
      <c r="AI302" t="str">
        <f>LEFT(AF302,1)</f>
        <v>A</v>
      </c>
      <c r="AJ302" t="str">
        <f>LEFT(M302,1)</f>
        <v>J</v>
      </c>
      <c r="AK302" t="str">
        <f>_xlfn.CONCAT(AG302,AH302,AI302,AJ302)</f>
        <v>CMAJ</v>
      </c>
    </row>
    <row r="303" spans="1:37" ht="15.75" hidden="1" customHeight="1" x14ac:dyDescent="0.2">
      <c r="A303" s="1">
        <v>261002</v>
      </c>
      <c r="B303" s="1" t="s">
        <v>3358</v>
      </c>
      <c r="C303" s="1" t="s">
        <v>968</v>
      </c>
      <c r="D303" s="1" t="s">
        <v>3367</v>
      </c>
      <c r="E303" s="1" t="s">
        <v>75</v>
      </c>
      <c r="F303" s="1" t="s">
        <v>37</v>
      </c>
      <c r="G303" s="1" t="s">
        <v>3368</v>
      </c>
      <c r="H303" s="1">
        <v>8554</v>
      </c>
      <c r="I303" s="1" t="s">
        <v>3369</v>
      </c>
      <c r="J303" s="1">
        <v>3417</v>
      </c>
      <c r="K303" s="1" t="s">
        <v>35</v>
      </c>
      <c r="L303" s="1">
        <v>62</v>
      </c>
      <c r="M303" s="1" t="str">
        <f>IF(L303&lt;=45,"Joven","Mayor")</f>
        <v>Mayor</v>
      </c>
      <c r="N303" s="1">
        <v>70</v>
      </c>
      <c r="O303" s="1" t="s">
        <v>36</v>
      </c>
      <c r="P303" s="1">
        <v>0.27800000000000002</v>
      </c>
      <c r="Q303" s="1">
        <v>82.43</v>
      </c>
      <c r="R303" s="1">
        <v>8.0530279999999994</v>
      </c>
      <c r="S303" s="1">
        <v>8.8345929999999999</v>
      </c>
      <c r="T303" s="1">
        <v>-2.6071702999999999</v>
      </c>
      <c r="U303" s="1">
        <v>4.609</v>
      </c>
      <c r="V303" s="1">
        <v>98</v>
      </c>
      <c r="W303" s="1">
        <v>196</v>
      </c>
      <c r="X303" s="1">
        <v>2</v>
      </c>
      <c r="Y303" s="1">
        <v>103</v>
      </c>
      <c r="Z303" s="1">
        <v>196</v>
      </c>
      <c r="AA303" s="1">
        <v>1.9029126213592233</v>
      </c>
      <c r="AB303" s="1">
        <v>105.2132713738647</v>
      </c>
      <c r="AC303" s="1">
        <v>195.34223741738509</v>
      </c>
      <c r="AD303" s="1">
        <v>1.8566311537187761</v>
      </c>
      <c r="AE303" t="s">
        <v>4817</v>
      </c>
      <c r="AF303" t="str">
        <f>IF(X303&lt;$AF$1,"Bajo","Alto")</f>
        <v>Alto</v>
      </c>
      <c r="AG303" t="str">
        <f>LEFT(AE303,1)</f>
        <v>C</v>
      </c>
      <c r="AH303" t="str">
        <f>K303</f>
        <v>M</v>
      </c>
      <c r="AI303" t="str">
        <f>LEFT(AF303,1)</f>
        <v>A</v>
      </c>
      <c r="AJ303" t="str">
        <f>LEFT(M303,1)</f>
        <v>M</v>
      </c>
      <c r="AK303" t="str">
        <f>_xlfn.CONCAT(AG303,AH303,AI303,AJ303)</f>
        <v>CMAM</v>
      </c>
    </row>
    <row r="304" spans="1:37" ht="15.75" hidden="1" customHeight="1" x14ac:dyDescent="0.2">
      <c r="A304" s="1">
        <v>1265006</v>
      </c>
      <c r="B304" s="1" t="s">
        <v>1798</v>
      </c>
      <c r="C304" s="1" t="s">
        <v>54</v>
      </c>
      <c r="D304" s="1" t="s">
        <v>1885</v>
      </c>
      <c r="E304" s="1" t="s">
        <v>1886</v>
      </c>
      <c r="F304" s="1" t="s">
        <v>88</v>
      </c>
      <c r="G304" s="1" t="s">
        <v>1890</v>
      </c>
      <c r="H304" s="1">
        <v>6389</v>
      </c>
      <c r="I304" s="1" t="s">
        <v>1891</v>
      </c>
      <c r="J304" s="1">
        <v>3099</v>
      </c>
      <c r="K304" s="1" t="s">
        <v>35</v>
      </c>
      <c r="L304" s="1">
        <v>31</v>
      </c>
      <c r="M304" s="1" t="str">
        <f>IF(L304&lt;=45,"Joven","Mayor")</f>
        <v>Joven</v>
      </c>
      <c r="N304" s="1">
        <v>28</v>
      </c>
      <c r="O304" s="1" t="s">
        <v>36</v>
      </c>
      <c r="P304" s="1">
        <v>0.35699999999999998</v>
      </c>
      <c r="Q304" s="1">
        <v>73.734999999999999</v>
      </c>
      <c r="R304" s="1">
        <v>9.0521060000000002</v>
      </c>
      <c r="S304" s="1">
        <v>13.460820999999999</v>
      </c>
      <c r="T304" s="1">
        <v>-12.460381999999999</v>
      </c>
      <c r="U304" s="1">
        <v>69.403999999999996</v>
      </c>
      <c r="V304" s="1">
        <v>74</v>
      </c>
      <c r="W304" s="1">
        <v>149</v>
      </c>
      <c r="X304" s="1">
        <v>2.0135135135135136</v>
      </c>
      <c r="Y304" s="1">
        <v>89</v>
      </c>
      <c r="Z304" s="1">
        <v>149</v>
      </c>
      <c r="AA304" s="1">
        <v>1.6741573033707866</v>
      </c>
      <c r="AB304" s="1">
        <v>84.339773456273406</v>
      </c>
      <c r="AC304" s="1">
        <v>150.02142392246739</v>
      </c>
      <c r="AD304" s="1">
        <v>1.7787743288194524</v>
      </c>
      <c r="AE304" t="s">
        <v>4817</v>
      </c>
      <c r="AF304" t="str">
        <f>IF(X304&lt;$AF$1,"Bajo","Alto")</f>
        <v>Alto</v>
      </c>
      <c r="AG304" t="str">
        <f>LEFT(AE304,1)</f>
        <v>C</v>
      </c>
      <c r="AH304" t="str">
        <f>K304</f>
        <v>M</v>
      </c>
      <c r="AI304" t="str">
        <f>LEFT(AF304,1)</f>
        <v>A</v>
      </c>
      <c r="AJ304" t="str">
        <f>LEFT(M304,1)</f>
        <v>J</v>
      </c>
      <c r="AK304" t="str">
        <f>_xlfn.CONCAT(AG304,AH304,AI304,AJ304)</f>
        <v>CMAJ</v>
      </c>
    </row>
    <row r="305" spans="1:37" ht="15.75" hidden="1" customHeight="1" x14ac:dyDescent="0.2">
      <c r="A305" s="1">
        <v>10125901</v>
      </c>
      <c r="B305" s="1" t="s">
        <v>29</v>
      </c>
      <c r="C305" s="1" t="s">
        <v>30</v>
      </c>
      <c r="D305" s="1" t="s">
        <v>516</v>
      </c>
      <c r="E305" s="1" t="s">
        <v>517</v>
      </c>
      <c r="F305" s="1" t="s">
        <v>32</v>
      </c>
      <c r="G305" s="1" t="s">
        <v>518</v>
      </c>
      <c r="H305" s="1">
        <v>3800</v>
      </c>
      <c r="I305" s="1" t="s">
        <v>65</v>
      </c>
      <c r="J305" s="1">
        <v>2</v>
      </c>
      <c r="K305" s="1" t="s">
        <v>35</v>
      </c>
      <c r="L305" s="1">
        <v>49</v>
      </c>
      <c r="M305" s="1" t="str">
        <f>IF(L305&lt;=45,"Joven","Mayor")</f>
        <v>Mayor</v>
      </c>
      <c r="N305" s="1">
        <v>53</v>
      </c>
      <c r="O305" s="1" t="s">
        <v>36</v>
      </c>
      <c r="P305" s="1">
        <v>1.401</v>
      </c>
      <c r="Q305" s="1">
        <v>92.286000000000001</v>
      </c>
      <c r="R305" s="1">
        <v>3.4792863999999999</v>
      </c>
      <c r="S305" s="1">
        <v>1.7684888000000001</v>
      </c>
      <c r="T305" s="1">
        <v>-6.2106757000000004</v>
      </c>
      <c r="U305" s="1">
        <v>2.0960000000000001</v>
      </c>
      <c r="V305" s="1">
        <v>116</v>
      </c>
      <c r="W305" s="1">
        <v>179</v>
      </c>
      <c r="X305" s="1">
        <v>1.5431034482758621</v>
      </c>
      <c r="Y305" s="1">
        <v>119</v>
      </c>
      <c r="Z305" s="1">
        <v>179</v>
      </c>
      <c r="AA305" s="1">
        <v>1.5042016806722689</v>
      </c>
      <c r="AB305" s="1">
        <v>121.26932799576279</v>
      </c>
      <c r="AC305" s="1">
        <v>179.13944791835181</v>
      </c>
      <c r="AD305" s="1">
        <v>1.4772032704313411</v>
      </c>
      <c r="AE305" t="s">
        <v>4817</v>
      </c>
      <c r="AF305" t="str">
        <f>IF(X305&lt;$AF$1,"Bajo","Alto")</f>
        <v>Bajo</v>
      </c>
      <c r="AG305" t="str">
        <f>LEFT(AE305,1)</f>
        <v>C</v>
      </c>
      <c r="AH305" t="str">
        <f>K305</f>
        <v>M</v>
      </c>
      <c r="AI305" t="str">
        <f>LEFT(AF305,1)</f>
        <v>B</v>
      </c>
      <c r="AJ305" t="str">
        <f>LEFT(M305,1)</f>
        <v>M</v>
      </c>
      <c r="AK305" t="str">
        <f>_xlfn.CONCAT(AG305,AH305,AI305,AJ305)</f>
        <v>CMBM</v>
      </c>
    </row>
    <row r="306" spans="1:37" ht="15.75" hidden="1" customHeight="1" x14ac:dyDescent="0.2">
      <c r="A306" s="1">
        <v>10111804</v>
      </c>
      <c r="B306" s="1" t="s">
        <v>29</v>
      </c>
      <c r="C306" s="1" t="s">
        <v>30</v>
      </c>
      <c r="D306" s="1" t="s">
        <v>128</v>
      </c>
      <c r="E306" s="1" t="s">
        <v>129</v>
      </c>
      <c r="F306" s="1" t="s">
        <v>61</v>
      </c>
      <c r="G306" s="1" t="s">
        <v>133</v>
      </c>
      <c r="H306" s="1">
        <v>1192</v>
      </c>
      <c r="I306" s="1" t="s">
        <v>134</v>
      </c>
      <c r="J306" s="1">
        <v>8</v>
      </c>
      <c r="K306" s="1" t="s">
        <v>35</v>
      </c>
      <c r="L306" s="1">
        <v>50</v>
      </c>
      <c r="M306" s="1" t="str">
        <f>IF(L306&lt;=45,"Joven","Mayor")</f>
        <v>Mayor</v>
      </c>
      <c r="N306" s="1">
        <v>55</v>
      </c>
      <c r="O306" s="1" t="s">
        <v>36</v>
      </c>
      <c r="P306" s="1">
        <v>0.35</v>
      </c>
      <c r="Q306" s="1">
        <v>91.007000000000005</v>
      </c>
      <c r="R306" s="1">
        <v>5.2772493000000003</v>
      </c>
      <c r="S306" s="1">
        <v>1.0857568</v>
      </c>
      <c r="T306" s="1">
        <v>-11.262115</v>
      </c>
      <c r="U306" s="1">
        <v>1.923</v>
      </c>
      <c r="V306" s="1">
        <v>65</v>
      </c>
      <c r="W306" s="1">
        <v>128</v>
      </c>
      <c r="X306" s="1">
        <v>1.9692307692307693</v>
      </c>
      <c r="Y306" s="1">
        <v>72</v>
      </c>
      <c r="Z306" s="1">
        <v>128</v>
      </c>
      <c r="AA306" s="1">
        <v>1.7777777777777777</v>
      </c>
      <c r="AB306" s="1">
        <v>71.169673126915313</v>
      </c>
      <c r="AC306" s="1">
        <v>127.2929122451669</v>
      </c>
      <c r="AD306" s="1">
        <v>1.7885836291276518</v>
      </c>
      <c r="AE306" t="s">
        <v>4815</v>
      </c>
      <c r="AF306" t="str">
        <f>IF(X306&lt;$AF$1,"Bajo","Alto")</f>
        <v>Alto</v>
      </c>
      <c r="AG306" t="str">
        <f>LEFT(AE306,1)</f>
        <v>I</v>
      </c>
      <c r="AH306" t="str">
        <f>K306</f>
        <v>M</v>
      </c>
      <c r="AI306" t="str">
        <f>LEFT(AF306,1)</f>
        <v>A</v>
      </c>
      <c r="AJ306" t="str">
        <f>LEFT(M306,1)</f>
        <v>M</v>
      </c>
      <c r="AK306" t="str">
        <f>_xlfn.CONCAT(AG306,AH306,AI306,AJ306)</f>
        <v>IMAM</v>
      </c>
    </row>
    <row r="307" spans="1:37" ht="15.75" hidden="1" customHeight="1" x14ac:dyDescent="0.2">
      <c r="A307" s="1">
        <v>1014910</v>
      </c>
      <c r="B307" s="1" t="s">
        <v>29</v>
      </c>
      <c r="C307" s="1" t="s">
        <v>30</v>
      </c>
      <c r="D307" s="1" t="s">
        <v>672</v>
      </c>
      <c r="E307" s="1" t="s">
        <v>673</v>
      </c>
      <c r="F307" s="1" t="s">
        <v>75</v>
      </c>
      <c r="G307" s="1" t="s">
        <v>682</v>
      </c>
      <c r="H307" s="1">
        <v>25696</v>
      </c>
      <c r="I307" s="1" t="s">
        <v>683</v>
      </c>
      <c r="J307" s="1">
        <v>2949</v>
      </c>
      <c r="K307" s="1" t="s">
        <v>35</v>
      </c>
      <c r="L307" s="1">
        <v>35</v>
      </c>
      <c r="M307" s="1" t="str">
        <f>IF(L307&lt;=45,"Joven","Mayor")</f>
        <v>Joven</v>
      </c>
      <c r="N307" s="1">
        <v>38</v>
      </c>
      <c r="O307" s="1" t="s">
        <v>36</v>
      </c>
      <c r="P307" s="1">
        <v>0.20599999999999999</v>
      </c>
      <c r="Q307" s="1">
        <v>85.853999999999999</v>
      </c>
      <c r="R307" s="1">
        <v>7.7648992999999997</v>
      </c>
      <c r="S307" s="1">
        <v>-4.7973584999999996</v>
      </c>
      <c r="T307" s="1">
        <v>-2.3464808000000001</v>
      </c>
      <c r="U307" s="1">
        <v>6.1139999999999999</v>
      </c>
      <c r="V307" s="1">
        <v>75</v>
      </c>
      <c r="W307" s="1">
        <v>151</v>
      </c>
      <c r="X307" s="1">
        <v>2.0133333333333332</v>
      </c>
      <c r="Y307" s="1">
        <v>81</v>
      </c>
      <c r="Z307" s="1">
        <v>151</v>
      </c>
      <c r="AA307" s="1">
        <v>1.8641975308641976</v>
      </c>
      <c r="AB307" s="1">
        <v>79.294387537048806</v>
      </c>
      <c r="AC307" s="1">
        <v>151.11904217533311</v>
      </c>
      <c r="AD307" s="1">
        <v>1.9057974576665415</v>
      </c>
      <c r="AE307" t="s">
        <v>4817</v>
      </c>
      <c r="AF307" t="str">
        <f>IF(X307&lt;$AF$1,"Bajo","Alto")</f>
        <v>Alto</v>
      </c>
      <c r="AG307" t="str">
        <f>LEFT(AE307,1)</f>
        <v>C</v>
      </c>
      <c r="AH307" t="str">
        <f>K307</f>
        <v>M</v>
      </c>
      <c r="AI307" t="str">
        <f>LEFT(AF307,1)</f>
        <v>A</v>
      </c>
      <c r="AJ307" t="str">
        <f>LEFT(M307,1)</f>
        <v>J</v>
      </c>
      <c r="AK307" t="str">
        <f>_xlfn.CONCAT(AG307,AH307,AI307,AJ307)</f>
        <v>CMAJ</v>
      </c>
    </row>
    <row r="308" spans="1:37" ht="15.75" hidden="1" customHeight="1" x14ac:dyDescent="0.2">
      <c r="A308" s="1">
        <v>2313603</v>
      </c>
      <c r="B308" s="1" t="s">
        <v>319</v>
      </c>
      <c r="C308" s="1" t="s">
        <v>1989</v>
      </c>
      <c r="D308" s="1" t="s">
        <v>2984</v>
      </c>
      <c r="E308" s="1" t="s">
        <v>1130</v>
      </c>
      <c r="F308" s="1" t="s">
        <v>63</v>
      </c>
      <c r="G308" s="1" t="s">
        <v>2986</v>
      </c>
      <c r="H308" s="1">
        <v>3508</v>
      </c>
      <c r="I308" s="1" t="s">
        <v>2214</v>
      </c>
      <c r="J308" s="1">
        <v>3306</v>
      </c>
      <c r="K308" s="1" t="s">
        <v>35</v>
      </c>
      <c r="L308" s="1">
        <v>41</v>
      </c>
      <c r="M308" s="1" t="str">
        <f>IF(L308&lt;=45,"Joven","Mayor")</f>
        <v>Joven</v>
      </c>
      <c r="N308" s="1">
        <v>32</v>
      </c>
      <c r="O308" s="1" t="s">
        <v>36</v>
      </c>
      <c r="P308" s="1">
        <v>5.2999999999999999E-2</v>
      </c>
      <c r="Q308" s="1">
        <v>88.043000000000006</v>
      </c>
      <c r="R308" s="1">
        <v>5.8978630000000001</v>
      </c>
      <c r="S308" s="1">
        <v>6.9769459999999999</v>
      </c>
      <c r="T308" s="1">
        <v>-3.5737336000000002</v>
      </c>
      <c r="U308" s="1">
        <v>12.701000000000001</v>
      </c>
      <c r="V308" s="1">
        <v>77</v>
      </c>
      <c r="W308" s="1">
        <v>155</v>
      </c>
      <c r="X308" s="1">
        <v>2.0129870129870131</v>
      </c>
      <c r="Y308" s="1">
        <v>79</v>
      </c>
      <c r="Z308" s="1">
        <v>155</v>
      </c>
      <c r="AA308" s="1">
        <v>1.9620253164556962</v>
      </c>
      <c r="AB308" s="1">
        <v>81.152697654746135</v>
      </c>
      <c r="AC308" s="1">
        <v>154.3245904905543</v>
      </c>
      <c r="AD308" s="1">
        <v>1.9016569374823338</v>
      </c>
      <c r="AE308" t="s">
        <v>4817</v>
      </c>
      <c r="AF308" t="str">
        <f>IF(X308&lt;$AF$1,"Bajo","Alto")</f>
        <v>Alto</v>
      </c>
      <c r="AG308" t="str">
        <f>LEFT(AE308,1)</f>
        <v>C</v>
      </c>
      <c r="AH308" t="str">
        <f>K308</f>
        <v>M</v>
      </c>
      <c r="AI308" t="str">
        <f>LEFT(AF308,1)</f>
        <v>A</v>
      </c>
      <c r="AJ308" t="str">
        <f>LEFT(M308,1)</f>
        <v>J</v>
      </c>
      <c r="AK308" t="str">
        <f>_xlfn.CONCAT(AG308,AH308,AI308,AJ308)</f>
        <v>CMAJ</v>
      </c>
    </row>
    <row r="309" spans="1:37" ht="15.75" hidden="1" customHeight="1" x14ac:dyDescent="0.2">
      <c r="A309" s="1">
        <v>298802</v>
      </c>
      <c r="B309" s="1" t="s">
        <v>3890</v>
      </c>
      <c r="C309" s="1" t="s">
        <v>1695</v>
      </c>
      <c r="D309" s="1" t="s">
        <v>4095</v>
      </c>
      <c r="E309" s="1" t="s">
        <v>763</v>
      </c>
      <c r="F309" s="1" t="s">
        <v>37</v>
      </c>
      <c r="G309" s="1" t="s">
        <v>4096</v>
      </c>
      <c r="H309" s="1">
        <v>858</v>
      </c>
      <c r="I309" s="1" t="s">
        <v>108</v>
      </c>
      <c r="J309" s="1">
        <v>3</v>
      </c>
      <c r="K309" s="1" t="s">
        <v>35</v>
      </c>
      <c r="L309" s="1">
        <v>34</v>
      </c>
      <c r="M309" s="1" t="str">
        <f>IF(L309&lt;=45,"Joven","Mayor")</f>
        <v>Joven</v>
      </c>
      <c r="N309" s="1">
        <v>40</v>
      </c>
      <c r="O309" s="1" t="s">
        <v>36</v>
      </c>
      <c r="P309" s="1">
        <v>0.36799999999999999</v>
      </c>
      <c r="Q309" s="1">
        <v>91.481999999999999</v>
      </c>
      <c r="R309" s="1">
        <v>-3.4838103999999999</v>
      </c>
      <c r="S309" s="1">
        <v>-5.5020632999999997</v>
      </c>
      <c r="T309" s="1">
        <v>3.9877069999999999</v>
      </c>
      <c r="U309" s="1">
        <v>6.8579999999999997</v>
      </c>
      <c r="V309" s="1">
        <v>80</v>
      </c>
      <c r="W309" s="1">
        <v>161</v>
      </c>
      <c r="X309" s="1">
        <v>2.0125000000000002</v>
      </c>
      <c r="Y309" s="1">
        <v>84</v>
      </c>
      <c r="Z309" s="1">
        <v>161</v>
      </c>
      <c r="AA309" s="1">
        <v>1.9166666666666667</v>
      </c>
      <c r="AB309" s="1">
        <v>86.161078487254599</v>
      </c>
      <c r="AC309" s="1">
        <v>160.1234209088025</v>
      </c>
      <c r="AD309" s="1">
        <v>1.8584194130356528</v>
      </c>
      <c r="AE309" t="s">
        <v>4817</v>
      </c>
      <c r="AF309" t="str">
        <f>IF(X309&lt;$AF$1,"Bajo","Alto")</f>
        <v>Alto</v>
      </c>
      <c r="AG309" t="str">
        <f>LEFT(AE309,1)</f>
        <v>C</v>
      </c>
      <c r="AH309" t="str">
        <f>K309</f>
        <v>M</v>
      </c>
      <c r="AI309" t="str">
        <f>LEFT(AF309,1)</f>
        <v>A</v>
      </c>
      <c r="AJ309" t="str">
        <f>LEFT(M309,1)</f>
        <v>J</v>
      </c>
      <c r="AK309" t="str">
        <f>_xlfn.CONCAT(AG309,AH309,AI309,AJ309)</f>
        <v>CMAJ</v>
      </c>
    </row>
    <row r="310" spans="1:37" ht="15.75" hidden="1" customHeight="1" x14ac:dyDescent="0.2">
      <c r="A310" s="1">
        <v>2824002</v>
      </c>
      <c r="B310" s="1" t="s">
        <v>1775</v>
      </c>
      <c r="C310" s="1" t="s">
        <v>561</v>
      </c>
      <c r="D310" s="1" t="s">
        <v>464</v>
      </c>
      <c r="E310" s="1" t="s">
        <v>3819</v>
      </c>
      <c r="F310" s="1" t="s">
        <v>37</v>
      </c>
      <c r="G310" s="1" t="s">
        <v>3820</v>
      </c>
      <c r="H310" s="1">
        <v>5005</v>
      </c>
      <c r="I310" s="1" t="s">
        <v>3821</v>
      </c>
      <c r="J310" s="1">
        <v>3405</v>
      </c>
      <c r="K310" s="1" t="s">
        <v>35</v>
      </c>
      <c r="L310" s="1">
        <v>55</v>
      </c>
      <c r="M310" s="1" t="str">
        <f>IF(L310&lt;=45,"Joven","Mayor")</f>
        <v>Mayor</v>
      </c>
      <c r="N310" s="1">
        <v>64</v>
      </c>
      <c r="O310" s="1" t="s">
        <v>36</v>
      </c>
      <c r="P310" s="1">
        <v>0.36099999999999999</v>
      </c>
      <c r="Q310" s="1">
        <v>87.771000000000001</v>
      </c>
      <c r="R310" s="1">
        <v>-6.9917819999999997</v>
      </c>
      <c r="S310" s="1">
        <v>-3.6340313000000002</v>
      </c>
      <c r="T310" s="1">
        <v>4.9402460000000001</v>
      </c>
      <c r="U310" s="1">
        <v>11.741</v>
      </c>
      <c r="V310" s="1">
        <v>85</v>
      </c>
      <c r="W310" s="1">
        <v>170</v>
      </c>
      <c r="X310" s="1">
        <v>2</v>
      </c>
      <c r="Y310" s="1">
        <v>86</v>
      </c>
      <c r="Z310" s="1">
        <v>170</v>
      </c>
      <c r="AA310" s="1">
        <v>1.9767441860465116</v>
      </c>
      <c r="AB310" s="1">
        <v>87.956666251073557</v>
      </c>
      <c r="AC310" s="1">
        <v>168.93787493711901</v>
      </c>
      <c r="AD310" s="1">
        <v>1.9206943843788193</v>
      </c>
      <c r="AE310" t="s">
        <v>4817</v>
      </c>
      <c r="AF310" t="str">
        <f>IF(X310&lt;$AF$1,"Bajo","Alto")</f>
        <v>Alto</v>
      </c>
      <c r="AG310" t="str">
        <f>LEFT(AE310,1)</f>
        <v>C</v>
      </c>
      <c r="AH310" t="str">
        <f>K310</f>
        <v>M</v>
      </c>
      <c r="AI310" t="str">
        <f>LEFT(AF310,1)</f>
        <v>A</v>
      </c>
      <c r="AJ310" t="str">
        <f>LEFT(M310,1)</f>
        <v>M</v>
      </c>
      <c r="AK310" t="str">
        <f>_xlfn.CONCAT(AG310,AH310,AI310,AJ310)</f>
        <v>CMAM</v>
      </c>
    </row>
    <row r="311" spans="1:37" ht="15.75" hidden="1" customHeight="1" x14ac:dyDescent="0.2">
      <c r="A311" s="1">
        <v>1521102</v>
      </c>
      <c r="B311" s="1" t="s">
        <v>2077</v>
      </c>
      <c r="C311" s="1" t="s">
        <v>57</v>
      </c>
      <c r="D311" s="1" t="s">
        <v>2242</v>
      </c>
      <c r="E311" s="1" t="s">
        <v>387</v>
      </c>
      <c r="F311" s="1" t="s">
        <v>37</v>
      </c>
      <c r="G311" s="1" t="s">
        <v>2243</v>
      </c>
      <c r="H311" s="1">
        <v>510</v>
      </c>
      <c r="I311" s="1" t="s">
        <v>2244</v>
      </c>
      <c r="J311" s="1">
        <v>2079</v>
      </c>
      <c r="K311" s="1" t="s">
        <v>49</v>
      </c>
      <c r="L311" s="1">
        <v>51</v>
      </c>
      <c r="M311" s="1" t="str">
        <f>IF(L311&lt;=45,"Joven","Mayor")</f>
        <v>Mayor</v>
      </c>
      <c r="N311" s="1">
        <v>65</v>
      </c>
      <c r="O311" s="1" t="s">
        <v>50</v>
      </c>
      <c r="P311" s="1">
        <v>0.33</v>
      </c>
      <c r="Q311" s="1">
        <v>92.260999999999996</v>
      </c>
      <c r="R311" s="1">
        <v>3.7291615</v>
      </c>
      <c r="S311" s="1">
        <v>-2.2912645</v>
      </c>
      <c r="T311" s="1">
        <v>1.342913</v>
      </c>
      <c r="U311" s="1">
        <v>57.707999999999998</v>
      </c>
      <c r="V311" s="1">
        <v>107</v>
      </c>
      <c r="W311" s="1">
        <v>220</v>
      </c>
      <c r="X311" s="1">
        <v>2.05607476635514</v>
      </c>
      <c r="Y311" s="1">
        <v>112</v>
      </c>
      <c r="Z311" s="1">
        <v>220</v>
      </c>
      <c r="AA311" s="1">
        <v>1.9642857142857142</v>
      </c>
      <c r="AB311" s="1">
        <v>110.9146128741932</v>
      </c>
      <c r="AC311" s="1">
        <v>220.31455179681461</v>
      </c>
      <c r="AD311" s="1">
        <v>1.9863437836339037</v>
      </c>
      <c r="AE311" t="s">
        <v>4817</v>
      </c>
      <c r="AF311" t="str">
        <f>IF(X311&lt;$AF$1,"Bajo","Alto")</f>
        <v>Alto</v>
      </c>
      <c r="AG311" t="str">
        <f>LEFT(AE311,1)</f>
        <v>C</v>
      </c>
      <c r="AH311" t="str">
        <f>K311</f>
        <v>F</v>
      </c>
      <c r="AI311" t="str">
        <f>LEFT(AF311,1)</f>
        <v>A</v>
      </c>
      <c r="AJ311" t="str">
        <f>LEFT(M311,1)</f>
        <v>M</v>
      </c>
      <c r="AK311" t="str">
        <f>_xlfn.CONCAT(AG311,AH311,AI311,AJ311)</f>
        <v>CFAM</v>
      </c>
    </row>
    <row r="312" spans="1:37" ht="15.75" hidden="1" customHeight="1" x14ac:dyDescent="0.2">
      <c r="A312" s="1">
        <v>10728302</v>
      </c>
      <c r="B312" s="1" t="s">
        <v>1067</v>
      </c>
      <c r="C312" s="1" t="s">
        <v>1068</v>
      </c>
      <c r="D312" s="1" t="s">
        <v>1347</v>
      </c>
      <c r="E312" s="1" t="s">
        <v>569</v>
      </c>
      <c r="F312" s="1" t="s">
        <v>37</v>
      </c>
      <c r="G312" s="1" t="s">
        <v>1349</v>
      </c>
      <c r="H312" s="1">
        <v>1889</v>
      </c>
      <c r="I312" s="1" t="s">
        <v>85</v>
      </c>
      <c r="J312" s="1">
        <v>12</v>
      </c>
      <c r="K312" s="1" t="s">
        <v>35</v>
      </c>
      <c r="L312" s="1">
        <v>55</v>
      </c>
      <c r="M312" s="1" t="str">
        <f>IF(L312&lt;=45,"Joven","Mayor")</f>
        <v>Mayor</v>
      </c>
      <c r="N312" s="1">
        <v>67</v>
      </c>
      <c r="O312" s="1" t="s">
        <v>36</v>
      </c>
      <c r="P312" s="1">
        <v>0.36099999999999999</v>
      </c>
      <c r="Q312" s="1">
        <v>91.873999999999995</v>
      </c>
      <c r="R312" s="1">
        <v>4.5098133000000002</v>
      </c>
      <c r="S312" s="1">
        <v>-0.83410609999999996</v>
      </c>
      <c r="T312" s="1">
        <v>-2.1117568000000002</v>
      </c>
      <c r="U312" s="1">
        <v>0.371</v>
      </c>
      <c r="V312" s="1">
        <v>82</v>
      </c>
      <c r="W312" s="1">
        <v>129</v>
      </c>
      <c r="X312" s="1">
        <v>1.5731707317073171</v>
      </c>
      <c r="Y312" s="1">
        <v>83</v>
      </c>
      <c r="Z312" s="1">
        <v>129</v>
      </c>
      <c r="AA312" s="1">
        <v>1.5542168674698795</v>
      </c>
      <c r="AB312" s="1">
        <v>84.270186391815287</v>
      </c>
      <c r="AC312" s="1">
        <v>128.83869258949059</v>
      </c>
      <c r="AD312" s="1">
        <v>1.5288763215789447</v>
      </c>
      <c r="AE312" t="s">
        <v>4815</v>
      </c>
      <c r="AF312" t="str">
        <f>IF(X312&lt;$AF$1,"Bajo","Alto")</f>
        <v>Bajo</v>
      </c>
      <c r="AG312" t="str">
        <f>LEFT(AE312,1)</f>
        <v>I</v>
      </c>
      <c r="AH312" t="str">
        <f>K312</f>
        <v>M</v>
      </c>
      <c r="AI312" t="str">
        <f>LEFT(AF312,1)</f>
        <v>B</v>
      </c>
      <c r="AJ312" t="str">
        <f>LEFT(M312,1)</f>
        <v>M</v>
      </c>
      <c r="AK312" t="str">
        <f>_xlfn.CONCAT(AG312,AH312,AI312,AJ312)</f>
        <v>IMBM</v>
      </c>
    </row>
    <row r="313" spans="1:37" ht="15.75" hidden="1" customHeight="1" x14ac:dyDescent="0.2">
      <c r="A313" s="1">
        <v>150703</v>
      </c>
      <c r="B313" s="1" t="s">
        <v>2077</v>
      </c>
      <c r="C313" s="1" t="s">
        <v>57</v>
      </c>
      <c r="D313" s="1" t="s">
        <v>2086</v>
      </c>
      <c r="E313" s="1" t="s">
        <v>43</v>
      </c>
      <c r="F313" s="1" t="s">
        <v>63</v>
      </c>
      <c r="G313" s="1" t="s">
        <v>2089</v>
      </c>
      <c r="H313" s="1">
        <v>2</v>
      </c>
      <c r="I313" s="1" t="s">
        <v>91</v>
      </c>
      <c r="J313" s="1">
        <v>6</v>
      </c>
      <c r="K313" s="1" t="s">
        <v>35</v>
      </c>
      <c r="L313" s="1">
        <v>43</v>
      </c>
      <c r="M313" s="1" t="str">
        <f>IF(L313&lt;=45,"Joven","Mayor")</f>
        <v>Joven</v>
      </c>
      <c r="N313" s="1">
        <v>41</v>
      </c>
      <c r="O313" s="1" t="s">
        <v>36</v>
      </c>
      <c r="P313" s="1">
        <v>0.72299999999999998</v>
      </c>
      <c r="Q313" s="1">
        <v>93.352999999999994</v>
      </c>
      <c r="R313" s="1">
        <v>-0.96081629999999996</v>
      </c>
      <c r="S313" s="1">
        <v>5.0876913000000004</v>
      </c>
      <c r="T313" s="1">
        <v>-2.6279249999999998</v>
      </c>
      <c r="U313" s="1">
        <v>16.728000000000002</v>
      </c>
      <c r="V313" s="1">
        <v>116</v>
      </c>
      <c r="W313" s="1">
        <v>183</v>
      </c>
      <c r="X313" s="1">
        <v>1.5775862068965518</v>
      </c>
      <c r="Y313" s="1">
        <v>120</v>
      </c>
      <c r="Z313" s="1">
        <v>183</v>
      </c>
      <c r="AA313" s="1">
        <v>1.5249999999999999</v>
      </c>
      <c r="AB313" s="1">
        <v>118.7206992499241</v>
      </c>
      <c r="AC313" s="1">
        <v>183.1743454967004</v>
      </c>
      <c r="AD313" s="1">
        <v>1.5429015045732855</v>
      </c>
      <c r="AE313" t="s">
        <v>4817</v>
      </c>
      <c r="AF313" t="str">
        <f>IF(X313&lt;$AF$1,"Bajo","Alto")</f>
        <v>Bajo</v>
      </c>
      <c r="AG313" t="str">
        <f>LEFT(AE313,1)</f>
        <v>C</v>
      </c>
      <c r="AH313" t="str">
        <f>K313</f>
        <v>M</v>
      </c>
      <c r="AI313" t="str">
        <f>LEFT(AF313,1)</f>
        <v>B</v>
      </c>
      <c r="AJ313" t="str">
        <f>LEFT(M313,1)</f>
        <v>J</v>
      </c>
      <c r="AK313" t="str">
        <f>_xlfn.CONCAT(AG313,AH313,AI313,AJ313)</f>
        <v>CMBJ</v>
      </c>
    </row>
    <row r="314" spans="1:37" ht="15.75" hidden="1" customHeight="1" x14ac:dyDescent="0.2">
      <c r="A314" s="1">
        <v>4654001</v>
      </c>
      <c r="B314" s="1" t="s">
        <v>4382</v>
      </c>
      <c r="C314" s="1" t="s">
        <v>669</v>
      </c>
      <c r="D314" s="1" t="s">
        <v>4407</v>
      </c>
      <c r="E314" s="1" t="s">
        <v>4408</v>
      </c>
      <c r="F314" s="1" t="s">
        <v>32</v>
      </c>
      <c r="G314" s="1" t="s">
        <v>4409</v>
      </c>
      <c r="H314" s="1">
        <v>826</v>
      </c>
      <c r="I314" s="1" t="s">
        <v>100</v>
      </c>
      <c r="J314" s="1">
        <v>1</v>
      </c>
      <c r="K314" s="1" t="s">
        <v>35</v>
      </c>
      <c r="L314" s="1">
        <v>52</v>
      </c>
      <c r="M314" s="1" t="str">
        <f>IF(L314&lt;=45,"Joven","Mayor")</f>
        <v>Mayor</v>
      </c>
      <c r="N314" s="1">
        <v>51</v>
      </c>
      <c r="O314" s="1" t="s">
        <v>36</v>
      </c>
      <c r="P314" s="1">
        <v>0.19</v>
      </c>
      <c r="Q314" s="1">
        <v>91.224999999999994</v>
      </c>
      <c r="R314" s="1">
        <v>3.2411346000000001</v>
      </c>
      <c r="S314" s="1">
        <v>6.8380064999999997</v>
      </c>
      <c r="T314" s="1">
        <v>-2.8630300000000002</v>
      </c>
      <c r="U314" s="1">
        <v>3.4860000000000002</v>
      </c>
      <c r="V314" s="1">
        <v>71</v>
      </c>
      <c r="W314" s="1">
        <v>142</v>
      </c>
      <c r="X314" s="1">
        <v>2</v>
      </c>
      <c r="Y314" s="1">
        <v>72</v>
      </c>
      <c r="Z314" s="1">
        <v>142</v>
      </c>
      <c r="AA314" s="1">
        <v>1.9722222222222223</v>
      </c>
      <c r="AB314" s="1">
        <v>73.758223973010217</v>
      </c>
      <c r="AC314" s="1">
        <v>141.67290926475931</v>
      </c>
      <c r="AD314" s="1">
        <v>1.920774411767298</v>
      </c>
      <c r="AE314" t="s">
        <v>4817</v>
      </c>
      <c r="AF314" t="str">
        <f>IF(X314&lt;$AF$1,"Bajo","Alto")</f>
        <v>Alto</v>
      </c>
      <c r="AG314" t="str">
        <f>LEFT(AE314,1)</f>
        <v>C</v>
      </c>
      <c r="AH314" t="str">
        <f>K314</f>
        <v>M</v>
      </c>
      <c r="AI314" t="str">
        <f>LEFT(AF314,1)</f>
        <v>A</v>
      </c>
      <c r="AJ314" t="str">
        <f>LEFT(M314,1)</f>
        <v>M</v>
      </c>
      <c r="AK314" t="str">
        <f>_xlfn.CONCAT(AG314,AH314,AI314,AJ314)</f>
        <v>CMAM</v>
      </c>
    </row>
    <row r="315" spans="1:37" ht="15.75" hidden="1" customHeight="1" x14ac:dyDescent="0.2">
      <c r="A315" s="1">
        <v>1519302</v>
      </c>
      <c r="B315" s="1" t="s">
        <v>2077</v>
      </c>
      <c r="C315" s="1" t="s">
        <v>57</v>
      </c>
      <c r="D315" s="1" t="s">
        <v>2227</v>
      </c>
      <c r="E315" s="1" t="s">
        <v>342</v>
      </c>
      <c r="F315" s="1" t="s">
        <v>37</v>
      </c>
      <c r="G315" s="1" t="s">
        <v>2228</v>
      </c>
      <c r="H315" s="1">
        <v>1647</v>
      </c>
      <c r="I315" s="1" t="s">
        <v>134</v>
      </c>
      <c r="J315" s="1">
        <v>8</v>
      </c>
      <c r="K315" s="1" t="s">
        <v>49</v>
      </c>
      <c r="L315" s="1">
        <v>50</v>
      </c>
      <c r="M315" s="1" t="str">
        <f>IF(L315&lt;=45,"Joven","Mayor")</f>
        <v>Mayor</v>
      </c>
      <c r="N315" s="1">
        <v>56</v>
      </c>
      <c r="O315" s="1" t="s">
        <v>50</v>
      </c>
      <c r="P315" s="1">
        <v>0.30499999999999999</v>
      </c>
      <c r="Q315" s="1">
        <v>80.081000000000003</v>
      </c>
      <c r="R315" s="1">
        <v>-9.9291509999999992</v>
      </c>
      <c r="S315" s="1">
        <v>-5.1183886999999997</v>
      </c>
      <c r="T315" s="1">
        <v>6.3651179999999998</v>
      </c>
      <c r="U315" s="1">
        <v>52.29</v>
      </c>
      <c r="V315" s="1">
        <v>62</v>
      </c>
      <c r="W315" s="1">
        <v>127</v>
      </c>
      <c r="X315" s="1">
        <v>2.0483870967741935</v>
      </c>
      <c r="Y315" s="1">
        <v>71</v>
      </c>
      <c r="Z315" s="1">
        <v>127</v>
      </c>
      <c r="AA315" s="1">
        <v>1.7887323943661972</v>
      </c>
      <c r="AB315" s="1">
        <v>67.901593852921906</v>
      </c>
      <c r="AC315" s="1">
        <v>127.104032135032</v>
      </c>
      <c r="AD315" s="1">
        <v>1.8718858413006534</v>
      </c>
      <c r="AE315" t="s">
        <v>4817</v>
      </c>
      <c r="AF315" t="str">
        <f>IF(X315&lt;$AF$1,"Bajo","Alto")</f>
        <v>Alto</v>
      </c>
      <c r="AG315" t="str">
        <f>LEFT(AE315,1)</f>
        <v>C</v>
      </c>
      <c r="AH315" t="str">
        <f>K315</f>
        <v>F</v>
      </c>
      <c r="AI315" t="str">
        <f>LEFT(AF315,1)</f>
        <v>A</v>
      </c>
      <c r="AJ315" t="str">
        <f>LEFT(M315,1)</f>
        <v>M</v>
      </c>
      <c r="AK315" t="str">
        <f>_xlfn.CONCAT(AG315,AH315,AI315,AJ315)</f>
        <v>CFAM</v>
      </c>
    </row>
    <row r="316" spans="1:37" ht="15.75" hidden="1" customHeight="1" x14ac:dyDescent="0.2">
      <c r="A316" s="1">
        <v>525904</v>
      </c>
      <c r="B316" s="1" t="s">
        <v>4529</v>
      </c>
      <c r="C316" s="1" t="s">
        <v>685</v>
      </c>
      <c r="D316" s="1" t="s">
        <v>4660</v>
      </c>
      <c r="E316" s="1" t="s">
        <v>1005</v>
      </c>
      <c r="F316" s="1" t="s">
        <v>61</v>
      </c>
      <c r="G316" s="1" t="s">
        <v>4662</v>
      </c>
      <c r="H316" s="1">
        <v>449</v>
      </c>
      <c r="I316" s="1" t="s">
        <v>4663</v>
      </c>
      <c r="J316" s="1">
        <v>2473</v>
      </c>
      <c r="K316" s="1" t="s">
        <v>35</v>
      </c>
      <c r="L316" s="1">
        <v>36</v>
      </c>
      <c r="M316" s="1" t="str">
        <f>IF(L316&lt;=45,"Joven","Mayor")</f>
        <v>Joven</v>
      </c>
      <c r="N316" s="1">
        <v>36</v>
      </c>
      <c r="O316" s="1" t="s">
        <v>36</v>
      </c>
      <c r="P316" s="1">
        <v>0.30099999999999999</v>
      </c>
      <c r="Q316" s="1">
        <v>75.070999999999998</v>
      </c>
      <c r="R316" s="1">
        <v>11.836859</v>
      </c>
      <c r="S316" s="1">
        <v>1.8947371</v>
      </c>
      <c r="T316" s="1">
        <v>-6.5272500000000004</v>
      </c>
      <c r="U316" s="1">
        <v>50.957000000000001</v>
      </c>
      <c r="V316" s="1">
        <v>95</v>
      </c>
      <c r="W316" s="1">
        <v>191</v>
      </c>
      <c r="X316" s="1">
        <v>2.0105263157894737</v>
      </c>
      <c r="Y316" s="1">
        <v>100</v>
      </c>
      <c r="Z316" s="1">
        <v>191</v>
      </c>
      <c r="AA316" s="1">
        <v>1.91</v>
      </c>
      <c r="AB316" s="1">
        <v>99.840636647227029</v>
      </c>
      <c r="AC316" s="1">
        <v>189.76191958893469</v>
      </c>
      <c r="AD316" s="1">
        <v>1.9006481324776803</v>
      </c>
      <c r="AE316" t="s">
        <v>4817</v>
      </c>
      <c r="AF316" t="str">
        <f>IF(X316&lt;$AF$1,"Bajo","Alto")</f>
        <v>Alto</v>
      </c>
      <c r="AG316" t="str">
        <f>LEFT(AE316,1)</f>
        <v>C</v>
      </c>
      <c r="AH316" t="str">
        <f>K316</f>
        <v>M</v>
      </c>
      <c r="AI316" t="str">
        <f>LEFT(AF316,1)</f>
        <v>A</v>
      </c>
      <c r="AJ316" t="str">
        <f>LEFT(M316,1)</f>
        <v>J</v>
      </c>
      <c r="AK316" t="str">
        <f>_xlfn.CONCAT(AG316,AH316,AI316,AJ316)</f>
        <v>CMAJ</v>
      </c>
    </row>
    <row r="317" spans="1:37" ht="15.75" hidden="1" customHeight="1" x14ac:dyDescent="0.2">
      <c r="A317" s="1">
        <v>1051006</v>
      </c>
      <c r="B317" s="1" t="s">
        <v>694</v>
      </c>
      <c r="C317" s="1" t="s">
        <v>879</v>
      </c>
      <c r="D317" s="1" t="s">
        <v>903</v>
      </c>
      <c r="E317" s="1" t="s">
        <v>75</v>
      </c>
      <c r="F317" s="1" t="s">
        <v>88</v>
      </c>
      <c r="G317" s="1" t="s">
        <v>908</v>
      </c>
      <c r="H317" s="1">
        <v>13</v>
      </c>
      <c r="I317" s="1" t="s">
        <v>91</v>
      </c>
      <c r="J317" s="1">
        <v>6</v>
      </c>
      <c r="K317" s="1" t="s">
        <v>35</v>
      </c>
      <c r="L317" s="1">
        <v>43</v>
      </c>
      <c r="M317" s="1" t="str">
        <f>IF(L317&lt;=45,"Joven","Mayor")</f>
        <v>Joven</v>
      </c>
      <c r="N317" s="1">
        <v>27</v>
      </c>
      <c r="O317" s="1" t="s">
        <v>36</v>
      </c>
      <c r="P317" s="1">
        <v>0.36</v>
      </c>
      <c r="Q317" s="1">
        <v>92.843999999999994</v>
      </c>
      <c r="R317" s="1">
        <v>3.4820790000000001</v>
      </c>
      <c r="S317" s="1">
        <v>0.52607740000000003</v>
      </c>
      <c r="T317" s="1">
        <v>-4.2520465999999999</v>
      </c>
      <c r="U317" s="1">
        <v>0.184</v>
      </c>
      <c r="V317" s="1">
        <v>109</v>
      </c>
      <c r="W317" s="1">
        <v>172</v>
      </c>
      <c r="X317" s="1">
        <v>1.5779816513761469</v>
      </c>
      <c r="Y317" s="1">
        <v>110</v>
      </c>
      <c r="Z317" s="1">
        <v>172</v>
      </c>
      <c r="AA317" s="1">
        <v>1.5636363636363637</v>
      </c>
      <c r="AB317" s="1">
        <v>113.2561464726332</v>
      </c>
      <c r="AC317" s="1">
        <v>171.60072052997879</v>
      </c>
      <c r="AD317" s="1">
        <v>1.5151559175770097</v>
      </c>
      <c r="AE317" t="s">
        <v>4817</v>
      </c>
      <c r="AF317" t="str">
        <f>IF(X317&lt;$AF$1,"Bajo","Alto")</f>
        <v>Bajo</v>
      </c>
      <c r="AG317" t="str">
        <f>LEFT(AE317,1)</f>
        <v>C</v>
      </c>
      <c r="AH317" t="str">
        <f>K317</f>
        <v>M</v>
      </c>
      <c r="AI317" t="str">
        <f>LEFT(AF317,1)</f>
        <v>B</v>
      </c>
      <c r="AJ317" t="str">
        <f>LEFT(M317,1)</f>
        <v>J</v>
      </c>
      <c r="AK317" t="str">
        <f>_xlfn.CONCAT(AG317,AH317,AI317,AJ317)</f>
        <v>CMBJ</v>
      </c>
    </row>
    <row r="318" spans="1:37" ht="15.75" hidden="1" customHeight="1" x14ac:dyDescent="0.2">
      <c r="A318" s="1">
        <v>10118703</v>
      </c>
      <c r="B318" s="1" t="s">
        <v>29</v>
      </c>
      <c r="C318" s="1" t="s">
        <v>30</v>
      </c>
      <c r="D318" s="1" t="s">
        <v>315</v>
      </c>
      <c r="E318" s="1" t="s">
        <v>316</v>
      </c>
      <c r="F318" s="1" t="s">
        <v>63</v>
      </c>
      <c r="G318" s="1" t="s">
        <v>318</v>
      </c>
      <c r="H318" s="1">
        <v>411</v>
      </c>
      <c r="I318" s="1" t="s">
        <v>48</v>
      </c>
      <c r="J318" s="1">
        <v>4</v>
      </c>
      <c r="K318" s="1" t="s">
        <v>35</v>
      </c>
      <c r="L318" s="1">
        <v>28</v>
      </c>
      <c r="M318" s="1" t="str">
        <f>IF(L318&lt;=45,"Joven","Mayor")</f>
        <v>Joven</v>
      </c>
      <c r="N318" s="1">
        <v>33</v>
      </c>
      <c r="O318" s="1" t="s">
        <v>36</v>
      </c>
      <c r="P318" s="1">
        <v>0.09</v>
      </c>
      <c r="Q318" s="1">
        <v>59.05</v>
      </c>
      <c r="R318" s="1">
        <v>14.668405</v>
      </c>
      <c r="S318" s="1">
        <v>2.9452448000000002</v>
      </c>
      <c r="T318" s="1">
        <v>-8.6724180000000004</v>
      </c>
      <c r="U318" s="1">
        <v>2.1629999999999998</v>
      </c>
      <c r="V318" s="1">
        <v>82</v>
      </c>
      <c r="W318" s="1">
        <v>164</v>
      </c>
      <c r="X318" s="1">
        <v>2</v>
      </c>
      <c r="Y318" s="1">
        <v>94</v>
      </c>
      <c r="Z318" s="1">
        <v>164</v>
      </c>
      <c r="AA318" s="1">
        <v>1.7446808510638299</v>
      </c>
      <c r="AB318" s="1">
        <v>88.300137637245371</v>
      </c>
      <c r="AC318" s="1">
        <v>163.33120011188609</v>
      </c>
      <c r="AD318" s="1">
        <v>1.8497275823383577</v>
      </c>
      <c r="AE318" t="s">
        <v>4817</v>
      </c>
      <c r="AF318" t="str">
        <f>IF(X318&lt;$AF$1,"Bajo","Alto")</f>
        <v>Alto</v>
      </c>
      <c r="AG318" t="str">
        <f>LEFT(AE318,1)</f>
        <v>C</v>
      </c>
      <c r="AH318" t="str">
        <f>K318</f>
        <v>M</v>
      </c>
      <c r="AI318" t="str">
        <f>LEFT(AF318,1)</f>
        <v>A</v>
      </c>
      <c r="AJ318" t="str">
        <f>LEFT(M318,1)</f>
        <v>J</v>
      </c>
      <c r="AK318" t="str">
        <f>_xlfn.CONCAT(AG318,AH318,AI318,AJ318)</f>
        <v>CMAJ</v>
      </c>
    </row>
    <row r="319" spans="1:37" ht="15.75" hidden="1" customHeight="1" x14ac:dyDescent="0.2">
      <c r="A319" s="1">
        <v>115502</v>
      </c>
      <c r="B319" s="1" t="s">
        <v>1648</v>
      </c>
      <c r="C319" s="1" t="s">
        <v>51</v>
      </c>
      <c r="D319" s="1" t="s">
        <v>1194</v>
      </c>
      <c r="E319" s="1" t="s">
        <v>690</v>
      </c>
      <c r="F319" s="1" t="s">
        <v>37</v>
      </c>
      <c r="G319" s="1" t="s">
        <v>1732</v>
      </c>
      <c r="H319" s="1">
        <v>7006</v>
      </c>
      <c r="I319" s="1" t="s">
        <v>85</v>
      </c>
      <c r="J319" s="1">
        <v>12</v>
      </c>
      <c r="K319" s="1" t="s">
        <v>35</v>
      </c>
      <c r="L319" s="1">
        <v>40</v>
      </c>
      <c r="M319" s="1" t="str">
        <f>IF(L319&lt;=45,"Joven","Mayor")</f>
        <v>Joven</v>
      </c>
      <c r="N319" s="1">
        <v>48</v>
      </c>
      <c r="O319" s="1" t="s">
        <v>36</v>
      </c>
      <c r="P319" s="1">
        <v>0.113</v>
      </c>
      <c r="Q319" s="1">
        <v>93.992999999999995</v>
      </c>
      <c r="R319" s="1">
        <v>0.53385439999999995</v>
      </c>
      <c r="S319" s="1">
        <v>-4.0959789999999998</v>
      </c>
      <c r="T319" s="1">
        <v>-1.4929155000000001</v>
      </c>
      <c r="U319" s="1">
        <v>1.24</v>
      </c>
      <c r="V319" s="1">
        <v>107</v>
      </c>
      <c r="W319" s="1">
        <v>169</v>
      </c>
      <c r="X319" s="1">
        <v>1.5794392523364487</v>
      </c>
      <c r="Y319" s="1">
        <v>114</v>
      </c>
      <c r="Z319" s="1">
        <v>169</v>
      </c>
      <c r="AA319" s="1">
        <v>1.4824561403508771</v>
      </c>
      <c r="AB319" s="1">
        <v>112.71074271636139</v>
      </c>
      <c r="AC319" s="1">
        <v>169.02079366354701</v>
      </c>
      <c r="AD319" s="1">
        <v>1.4995979051339487</v>
      </c>
      <c r="AE319" t="s">
        <v>4815</v>
      </c>
      <c r="AF319" t="str">
        <f>IF(X319&lt;$AF$1,"Bajo","Alto")</f>
        <v>Bajo</v>
      </c>
      <c r="AG319" t="str">
        <f>LEFT(AE319,1)</f>
        <v>I</v>
      </c>
      <c r="AH319" t="str">
        <f>K319</f>
        <v>M</v>
      </c>
      <c r="AI319" t="str">
        <f>LEFT(AF319,1)</f>
        <v>B</v>
      </c>
      <c r="AJ319" t="str">
        <f>LEFT(M319,1)</f>
        <v>J</v>
      </c>
      <c r="AK319" t="str">
        <f>_xlfn.CONCAT(AG319,AH319,AI319,AJ319)</f>
        <v>IMBJ</v>
      </c>
    </row>
    <row r="320" spans="1:37" ht="15.75" hidden="1" customHeight="1" x14ac:dyDescent="0.2">
      <c r="A320" s="1">
        <v>1524102</v>
      </c>
      <c r="B320" s="1" t="s">
        <v>2077</v>
      </c>
      <c r="C320" s="1" t="s">
        <v>57</v>
      </c>
      <c r="D320" s="1" t="s">
        <v>2295</v>
      </c>
      <c r="E320" s="1" t="s">
        <v>487</v>
      </c>
      <c r="F320" s="1" t="s">
        <v>37</v>
      </c>
      <c r="G320" s="1" t="s">
        <v>2297</v>
      </c>
      <c r="H320" s="1">
        <v>203</v>
      </c>
      <c r="I320" s="1" t="s">
        <v>91</v>
      </c>
      <c r="J320" s="1">
        <v>6</v>
      </c>
      <c r="K320" s="1" t="s">
        <v>35</v>
      </c>
      <c r="L320" s="1">
        <v>55</v>
      </c>
      <c r="M320" s="1" t="str">
        <f>IF(L320&lt;=45,"Joven","Mayor")</f>
        <v>Mayor</v>
      </c>
      <c r="N320" s="1">
        <v>61</v>
      </c>
      <c r="O320" s="1" t="s">
        <v>36</v>
      </c>
      <c r="P320" s="1">
        <v>0.35899999999999999</v>
      </c>
      <c r="Q320" s="1">
        <v>72.778999999999996</v>
      </c>
      <c r="R320" s="1">
        <v>-12.0157995</v>
      </c>
      <c r="S320" s="1">
        <v>4.1735144000000002</v>
      </c>
      <c r="T320" s="1">
        <v>0.79868185999999997</v>
      </c>
      <c r="U320" s="1">
        <v>72.891000000000005</v>
      </c>
      <c r="V320" s="1">
        <v>88</v>
      </c>
      <c r="W320" s="1">
        <v>136</v>
      </c>
      <c r="X320" s="1">
        <v>1.5454545454545454</v>
      </c>
      <c r="Y320" s="1">
        <v>89</v>
      </c>
      <c r="Z320" s="1">
        <v>136</v>
      </c>
      <c r="AA320" s="1">
        <v>1.5280898876404494</v>
      </c>
      <c r="AB320" s="1">
        <v>89.451346032105448</v>
      </c>
      <c r="AC320" s="1">
        <v>135.9310302073695</v>
      </c>
      <c r="AD320" s="1">
        <v>1.5196085496419673</v>
      </c>
      <c r="AE320" t="s">
        <v>4817</v>
      </c>
      <c r="AF320" t="str">
        <f>IF(X320&lt;$AF$1,"Bajo","Alto")</f>
        <v>Bajo</v>
      </c>
      <c r="AG320" t="str">
        <f>LEFT(AE320,1)</f>
        <v>C</v>
      </c>
      <c r="AH320" t="str">
        <f>K320</f>
        <v>M</v>
      </c>
      <c r="AI320" t="str">
        <f>LEFT(AF320,1)</f>
        <v>B</v>
      </c>
      <c r="AJ320" t="str">
        <f>LEFT(M320,1)</f>
        <v>M</v>
      </c>
      <c r="AK320" t="str">
        <f>_xlfn.CONCAT(AG320,AH320,AI320,AJ320)</f>
        <v>CMBM</v>
      </c>
    </row>
    <row r="321" spans="1:37" ht="15.75" hidden="1" customHeight="1" x14ac:dyDescent="0.2">
      <c r="A321" s="1">
        <v>1528003</v>
      </c>
      <c r="B321" s="1" t="s">
        <v>2077</v>
      </c>
      <c r="C321" s="1" t="s">
        <v>57</v>
      </c>
      <c r="D321" s="1" t="s">
        <v>2343</v>
      </c>
      <c r="E321" s="1" t="s">
        <v>556</v>
      </c>
      <c r="F321" s="1" t="s">
        <v>63</v>
      </c>
      <c r="G321" s="1" t="s">
        <v>2346</v>
      </c>
      <c r="H321" s="1">
        <v>2054</v>
      </c>
      <c r="I321" s="1" t="s">
        <v>39</v>
      </c>
      <c r="J321" s="1">
        <v>11</v>
      </c>
      <c r="K321" s="1" t="s">
        <v>35</v>
      </c>
      <c r="L321" s="1">
        <v>36</v>
      </c>
      <c r="M321" s="1" t="str">
        <f>IF(L321&lt;=45,"Joven","Mayor")</f>
        <v>Joven</v>
      </c>
      <c r="N321" s="1">
        <v>34</v>
      </c>
      <c r="O321" s="1" t="s">
        <v>36</v>
      </c>
      <c r="P321" s="1">
        <v>1.0369999999999999</v>
      </c>
      <c r="Q321" s="1">
        <v>86.650999999999996</v>
      </c>
      <c r="R321" s="1">
        <v>6.3854784999999996</v>
      </c>
      <c r="S321" s="1">
        <v>7.2764606000000001</v>
      </c>
      <c r="T321" s="1">
        <v>-4.8202566999999998</v>
      </c>
      <c r="U321" s="1">
        <v>4.41</v>
      </c>
      <c r="V321" s="1">
        <v>59</v>
      </c>
      <c r="W321" s="1">
        <v>116</v>
      </c>
      <c r="X321" s="1">
        <v>1.9661016949152543</v>
      </c>
      <c r="Y321" s="1">
        <v>62</v>
      </c>
      <c r="Z321" s="1">
        <v>116</v>
      </c>
      <c r="AA321" s="1">
        <v>1.8709677419354838</v>
      </c>
      <c r="AB321" s="1">
        <v>61.396264039122123</v>
      </c>
      <c r="AC321" s="1">
        <v>115.8418231403261</v>
      </c>
      <c r="AD321" s="1">
        <v>1.8867894480763665</v>
      </c>
      <c r="AE321" t="s">
        <v>4816</v>
      </c>
      <c r="AF321" t="str">
        <f>IF(X321&lt;$AF$1,"Bajo","Alto")</f>
        <v>Alto</v>
      </c>
      <c r="AG321" t="str">
        <f>LEFT(AE321,1)</f>
        <v>D</v>
      </c>
      <c r="AH321" t="str">
        <f>K321</f>
        <v>M</v>
      </c>
      <c r="AI321" t="str">
        <f>LEFT(AF321,1)</f>
        <v>A</v>
      </c>
      <c r="AJ321" t="str">
        <f>LEFT(M321,1)</f>
        <v>J</v>
      </c>
      <c r="AK321" t="str">
        <f>_xlfn.CONCAT(AG321,AH321,AI321,AJ321)</f>
        <v>DMAJ</v>
      </c>
    </row>
    <row r="322" spans="1:37" ht="15.75" hidden="1" customHeight="1" x14ac:dyDescent="0.2">
      <c r="A322" s="1">
        <v>239103</v>
      </c>
      <c r="B322" s="1" t="s">
        <v>319</v>
      </c>
      <c r="C322" s="1" t="s">
        <v>1989</v>
      </c>
      <c r="D322" s="1" t="s">
        <v>3100</v>
      </c>
      <c r="E322" s="1" t="s">
        <v>770</v>
      </c>
      <c r="F322" s="1" t="s">
        <v>63</v>
      </c>
      <c r="G322" s="1" t="s">
        <v>3102</v>
      </c>
      <c r="H322" s="1">
        <v>1769</v>
      </c>
      <c r="I322" s="1" t="s">
        <v>73</v>
      </c>
      <c r="J322" s="1">
        <v>5</v>
      </c>
      <c r="K322" s="1" t="s">
        <v>35</v>
      </c>
      <c r="L322" s="1">
        <v>52</v>
      </c>
      <c r="M322" s="1" t="str">
        <f>IF(L322&lt;=45,"Joven","Mayor")</f>
        <v>Mayor</v>
      </c>
      <c r="N322" s="1">
        <v>48</v>
      </c>
      <c r="O322" s="1" t="s">
        <v>36</v>
      </c>
      <c r="P322" s="1">
        <v>0.41099999999999998</v>
      </c>
      <c r="Q322" s="1">
        <v>18.3</v>
      </c>
      <c r="R322" s="1">
        <v>19.817530000000001</v>
      </c>
      <c r="S322" s="1">
        <v>-6.8586172999999997</v>
      </c>
      <c r="T322" s="1">
        <v>-14.387886999999999</v>
      </c>
      <c r="U322" s="1">
        <v>26.15</v>
      </c>
      <c r="V322" s="1">
        <v>99</v>
      </c>
      <c r="W322" s="1">
        <v>197</v>
      </c>
      <c r="X322" s="1">
        <v>1.9898989898989898</v>
      </c>
      <c r="Y322" s="1">
        <v>114</v>
      </c>
      <c r="Z322" s="1">
        <v>197</v>
      </c>
      <c r="AA322" s="1">
        <v>1.7280701754385965</v>
      </c>
      <c r="AB322" s="1">
        <v>110.3070723111889</v>
      </c>
      <c r="AC322" s="1">
        <v>197.28184884810071</v>
      </c>
      <c r="AD322" s="1">
        <v>1.7884786960127632</v>
      </c>
      <c r="AE322" t="s">
        <v>4817</v>
      </c>
      <c r="AF322" t="str">
        <f>IF(X322&lt;$AF$1,"Bajo","Alto")</f>
        <v>Alto</v>
      </c>
      <c r="AG322" t="str">
        <f>LEFT(AE322,1)</f>
        <v>C</v>
      </c>
      <c r="AH322" t="str">
        <f>K322</f>
        <v>M</v>
      </c>
      <c r="AI322" t="str">
        <f>LEFT(AF322,1)</f>
        <v>A</v>
      </c>
      <c r="AJ322" t="str">
        <f>LEFT(M322,1)</f>
        <v>M</v>
      </c>
      <c r="AK322" t="str">
        <f>_xlfn.CONCAT(AG322,AH322,AI322,AJ322)</f>
        <v>CMAM</v>
      </c>
    </row>
    <row r="323" spans="1:37" ht="15.75" hidden="1" customHeight="1" x14ac:dyDescent="0.2">
      <c r="A323" s="1">
        <v>153406</v>
      </c>
      <c r="B323" s="1" t="s">
        <v>2077</v>
      </c>
      <c r="C323" s="1" t="s">
        <v>57</v>
      </c>
      <c r="D323" s="1" t="s">
        <v>2444</v>
      </c>
      <c r="E323" s="1" t="s">
        <v>634</v>
      </c>
      <c r="F323" s="1" t="s">
        <v>88</v>
      </c>
      <c r="G323" s="1" t="s">
        <v>2447</v>
      </c>
      <c r="H323" s="1">
        <v>1097</v>
      </c>
      <c r="I323" s="1" t="s">
        <v>1045</v>
      </c>
      <c r="J323" s="1">
        <v>2533</v>
      </c>
      <c r="K323" s="1" t="s">
        <v>35</v>
      </c>
      <c r="L323" s="1">
        <v>52</v>
      </c>
      <c r="M323" s="1" t="str">
        <f>IF(L323&lt;=45,"Joven","Mayor")</f>
        <v>Mayor</v>
      </c>
      <c r="N323" s="1">
        <v>61</v>
      </c>
      <c r="O323" s="1" t="s">
        <v>36</v>
      </c>
      <c r="P323" s="1">
        <v>0.34599999999999997</v>
      </c>
      <c r="Q323" s="1">
        <v>91.13</v>
      </c>
      <c r="R323" s="1">
        <v>3.0550172</v>
      </c>
      <c r="S323" s="1">
        <v>7.3211510000000004</v>
      </c>
      <c r="T323" s="1">
        <v>-2.0373510000000001</v>
      </c>
      <c r="U323" s="1">
        <v>0.187</v>
      </c>
      <c r="V323" s="1">
        <v>108</v>
      </c>
      <c r="W323" s="1">
        <v>167</v>
      </c>
      <c r="X323" s="1">
        <v>1.5462962962962963</v>
      </c>
      <c r="Y323" s="1">
        <v>111</v>
      </c>
      <c r="Z323" s="1">
        <v>167</v>
      </c>
      <c r="AA323" s="1">
        <v>1.5045045045045045</v>
      </c>
      <c r="AB323" s="1">
        <v>112.422974458957</v>
      </c>
      <c r="AC323" s="1">
        <v>166.78778027694531</v>
      </c>
      <c r="AD323" s="1">
        <v>1.4835738075746754</v>
      </c>
      <c r="AE323" t="s">
        <v>4817</v>
      </c>
      <c r="AF323" t="str">
        <f>IF(X323&lt;$AF$1,"Bajo","Alto")</f>
        <v>Bajo</v>
      </c>
      <c r="AG323" t="str">
        <f>LEFT(AE323,1)</f>
        <v>C</v>
      </c>
      <c r="AH323" t="str">
        <f>K323</f>
        <v>M</v>
      </c>
      <c r="AI323" t="str">
        <f>LEFT(AF323,1)</f>
        <v>B</v>
      </c>
      <c r="AJ323" t="str">
        <f>LEFT(M323,1)</f>
        <v>M</v>
      </c>
      <c r="AK323" t="str">
        <f>_xlfn.CONCAT(AG323,AH323,AI323,AJ323)</f>
        <v>CMBM</v>
      </c>
    </row>
    <row r="324" spans="1:37" ht="15.75" hidden="1" customHeight="1" x14ac:dyDescent="0.2">
      <c r="A324" s="1">
        <v>211603</v>
      </c>
      <c r="B324" s="1" t="s">
        <v>2816</v>
      </c>
      <c r="C324" s="1" t="s">
        <v>2817</v>
      </c>
      <c r="D324" s="1" t="s">
        <v>2841</v>
      </c>
      <c r="E324" s="1" t="s">
        <v>244</v>
      </c>
      <c r="F324" s="1" t="s">
        <v>63</v>
      </c>
      <c r="G324" s="1" t="s">
        <v>2843</v>
      </c>
      <c r="H324" s="1">
        <v>4853</v>
      </c>
      <c r="I324" s="1" t="s">
        <v>42</v>
      </c>
      <c r="J324" s="1">
        <v>15</v>
      </c>
      <c r="K324" s="1" t="s">
        <v>35</v>
      </c>
      <c r="L324" s="1">
        <v>48</v>
      </c>
      <c r="M324" s="1" t="str">
        <f>IF(L324&lt;=45,"Joven","Mayor")</f>
        <v>Mayor</v>
      </c>
      <c r="N324" s="1">
        <v>47</v>
      </c>
      <c r="O324" s="1" t="s">
        <v>36</v>
      </c>
      <c r="P324" s="1">
        <v>0.32200000000000001</v>
      </c>
      <c r="Q324" s="1">
        <v>88.400999999999996</v>
      </c>
      <c r="R324" s="1">
        <v>6.9271050000000001</v>
      </c>
      <c r="S324" s="1">
        <v>2.2931710000000001</v>
      </c>
      <c r="T324" s="1">
        <v>-3.7278785999999999</v>
      </c>
      <c r="U324" s="1">
        <v>32.975000000000001</v>
      </c>
      <c r="V324" s="1">
        <v>108</v>
      </c>
      <c r="W324" s="1">
        <v>167</v>
      </c>
      <c r="X324" s="1">
        <v>1.5462962962962963</v>
      </c>
      <c r="Y324" s="1">
        <v>112</v>
      </c>
      <c r="Z324" s="1">
        <v>167</v>
      </c>
      <c r="AA324" s="1">
        <v>1.4910714285714286</v>
      </c>
      <c r="AB324" s="1">
        <v>110.76230439619439</v>
      </c>
      <c r="AC324" s="1">
        <v>166.5166090541843</v>
      </c>
      <c r="AD324" s="1">
        <v>1.5033689481446499</v>
      </c>
      <c r="AE324" t="s">
        <v>4817</v>
      </c>
      <c r="AF324" t="str">
        <f>IF(X324&lt;$AF$1,"Bajo","Alto")</f>
        <v>Bajo</v>
      </c>
      <c r="AG324" t="str">
        <f>LEFT(AE324,1)</f>
        <v>C</v>
      </c>
      <c r="AH324" t="str">
        <f>K324</f>
        <v>M</v>
      </c>
      <c r="AI324" t="str">
        <f>LEFT(AF324,1)</f>
        <v>B</v>
      </c>
      <c r="AJ324" t="str">
        <f>LEFT(M324,1)</f>
        <v>M</v>
      </c>
      <c r="AK324" t="str">
        <f>_xlfn.CONCAT(AG324,AH324,AI324,AJ324)</f>
        <v>CMBM</v>
      </c>
    </row>
    <row r="325" spans="1:37" ht="15.75" hidden="1" customHeight="1" x14ac:dyDescent="0.2">
      <c r="A325" s="1">
        <v>157201</v>
      </c>
      <c r="B325" s="1" t="s">
        <v>2077</v>
      </c>
      <c r="C325" s="1" t="s">
        <v>57</v>
      </c>
      <c r="D325" s="1" t="s">
        <v>2510</v>
      </c>
      <c r="E325" s="1" t="s">
        <v>1016</v>
      </c>
      <c r="F325" s="1" t="s">
        <v>32</v>
      </c>
      <c r="G325" s="1" t="s">
        <v>2511</v>
      </c>
      <c r="H325" s="1">
        <v>5502</v>
      </c>
      <c r="I325" s="1" t="s">
        <v>2512</v>
      </c>
      <c r="J325" s="1">
        <v>2544</v>
      </c>
      <c r="K325" s="1" t="s">
        <v>35</v>
      </c>
      <c r="L325" s="1">
        <v>46</v>
      </c>
      <c r="M325" s="1" t="str">
        <f>IF(L325&lt;=45,"Joven","Mayor")</f>
        <v>Mayor</v>
      </c>
      <c r="N325" s="1">
        <v>40</v>
      </c>
      <c r="O325" s="1" t="s">
        <v>36</v>
      </c>
      <c r="P325" s="1">
        <v>0.16800000000000001</v>
      </c>
      <c r="Q325" s="1">
        <v>88.144000000000005</v>
      </c>
      <c r="R325" s="1">
        <v>6.9543270000000001</v>
      </c>
      <c r="S325" s="1">
        <v>3.0530944</v>
      </c>
      <c r="T325" s="1">
        <v>-5.133356</v>
      </c>
      <c r="U325" s="1">
        <v>8.3610000000000007</v>
      </c>
      <c r="V325" s="1">
        <v>84</v>
      </c>
      <c r="W325" s="1">
        <v>167</v>
      </c>
      <c r="X325" s="1">
        <v>1.9880952380952381</v>
      </c>
      <c r="Y325" s="1">
        <v>86</v>
      </c>
      <c r="Z325" s="1">
        <v>167</v>
      </c>
      <c r="AA325" s="1">
        <v>1.941860465116279</v>
      </c>
      <c r="AB325" s="1">
        <v>87.421002425946654</v>
      </c>
      <c r="AC325" s="1">
        <v>167.04598038199489</v>
      </c>
      <c r="AD325" s="1">
        <v>1.9108220650237644</v>
      </c>
      <c r="AE325" t="s">
        <v>4817</v>
      </c>
      <c r="AF325" t="str">
        <f>IF(X325&lt;$AF$1,"Bajo","Alto")</f>
        <v>Alto</v>
      </c>
      <c r="AG325" t="str">
        <f>LEFT(AE325,1)</f>
        <v>C</v>
      </c>
      <c r="AH325" t="str">
        <f>K325</f>
        <v>M</v>
      </c>
      <c r="AI325" t="str">
        <f>LEFT(AF325,1)</f>
        <v>A</v>
      </c>
      <c r="AJ325" t="str">
        <f>LEFT(M325,1)</f>
        <v>M</v>
      </c>
      <c r="AK325" t="str">
        <f>_xlfn.CONCAT(AG325,AH325,AI325,AJ325)</f>
        <v>CMAM</v>
      </c>
    </row>
    <row r="326" spans="1:37" ht="15.75" hidden="1" customHeight="1" x14ac:dyDescent="0.2">
      <c r="A326" s="1">
        <v>297306</v>
      </c>
      <c r="B326" s="1" t="s">
        <v>3890</v>
      </c>
      <c r="C326" s="1" t="s">
        <v>1695</v>
      </c>
      <c r="D326" s="1" t="s">
        <v>4055</v>
      </c>
      <c r="E326" s="1" t="s">
        <v>1021</v>
      </c>
      <c r="F326" s="1" t="s">
        <v>88</v>
      </c>
      <c r="G326" s="1" t="s">
        <v>4061</v>
      </c>
      <c r="H326" s="1">
        <v>6248</v>
      </c>
      <c r="I326" s="1" t="s">
        <v>134</v>
      </c>
      <c r="J326" s="1">
        <v>8</v>
      </c>
      <c r="K326" s="1" t="s">
        <v>35</v>
      </c>
      <c r="L326" s="1">
        <v>62</v>
      </c>
      <c r="M326" s="1" t="str">
        <f>IF(L326&lt;=45,"Joven","Mayor")</f>
        <v>Mayor</v>
      </c>
      <c r="N326" s="1">
        <v>63</v>
      </c>
      <c r="O326" s="1" t="s">
        <v>36</v>
      </c>
      <c r="P326" s="1">
        <v>0.16400000000000001</v>
      </c>
      <c r="Q326" s="1">
        <v>83.799000000000007</v>
      </c>
      <c r="R326" s="1">
        <v>7.7252349999999996</v>
      </c>
      <c r="S326" s="1">
        <v>8.1791830000000001</v>
      </c>
      <c r="T326" s="1">
        <v>-5.5966125</v>
      </c>
      <c r="U326" s="1">
        <v>0.82</v>
      </c>
      <c r="V326" s="1">
        <v>108</v>
      </c>
      <c r="W326" s="1">
        <v>167</v>
      </c>
      <c r="X326" s="1">
        <v>1.5462962962962963</v>
      </c>
      <c r="Y326" s="1">
        <v>108</v>
      </c>
      <c r="Z326" s="1">
        <v>167</v>
      </c>
      <c r="AA326" s="1">
        <v>1.5462962962962963</v>
      </c>
      <c r="AB326" s="1">
        <v>112.45890910027769</v>
      </c>
      <c r="AC326" s="1">
        <v>166.88660740682141</v>
      </c>
      <c r="AD326" s="1">
        <v>1.4839785370673608</v>
      </c>
      <c r="AE326" t="s">
        <v>4817</v>
      </c>
      <c r="AF326" t="str">
        <f>IF(X326&lt;$AF$1,"Bajo","Alto")</f>
        <v>Bajo</v>
      </c>
      <c r="AG326" t="str">
        <f>LEFT(AE326,1)</f>
        <v>C</v>
      </c>
      <c r="AH326" t="str">
        <f>K326</f>
        <v>M</v>
      </c>
      <c r="AI326" t="str">
        <f>LEFT(AF326,1)</f>
        <v>B</v>
      </c>
      <c r="AJ326" t="str">
        <f>LEFT(M326,1)</f>
        <v>M</v>
      </c>
      <c r="AK326" t="str">
        <f>_xlfn.CONCAT(AG326,AH326,AI326,AJ326)</f>
        <v>CMBM</v>
      </c>
    </row>
    <row r="327" spans="1:37" ht="15.75" hidden="1" customHeight="1" x14ac:dyDescent="0.2">
      <c r="A327" s="1">
        <v>275802</v>
      </c>
      <c r="B327" s="1" t="s">
        <v>3409</v>
      </c>
      <c r="C327" s="1" t="s">
        <v>973</v>
      </c>
      <c r="D327" s="1" t="s">
        <v>3695</v>
      </c>
      <c r="E327" s="1" t="s">
        <v>695</v>
      </c>
      <c r="F327" s="1" t="s">
        <v>37</v>
      </c>
      <c r="G327" s="1" t="s">
        <v>3697</v>
      </c>
      <c r="H327" s="1">
        <v>3691</v>
      </c>
      <c r="I327" s="1" t="s">
        <v>3698</v>
      </c>
      <c r="J327" s="1">
        <v>4028</v>
      </c>
      <c r="K327" s="1" t="s">
        <v>35</v>
      </c>
      <c r="L327" s="1">
        <v>49</v>
      </c>
      <c r="M327" s="1" t="str">
        <f>IF(L327&lt;=45,"Joven","Mayor")</f>
        <v>Mayor</v>
      </c>
      <c r="N327" s="1">
        <v>35</v>
      </c>
      <c r="O327" s="1" t="s">
        <v>36</v>
      </c>
      <c r="P327" s="1">
        <v>0.36099999999999999</v>
      </c>
      <c r="Q327" s="1">
        <v>92.994</v>
      </c>
      <c r="R327" s="1">
        <v>3.2030221999999999</v>
      </c>
      <c r="S327" s="1">
        <v>0.86962645999999999</v>
      </c>
      <c r="T327" s="1">
        <v>1.561266</v>
      </c>
      <c r="U327" s="1">
        <v>4.8879999999999999</v>
      </c>
      <c r="V327" s="1">
        <v>78</v>
      </c>
      <c r="W327" s="1">
        <v>155</v>
      </c>
      <c r="X327" s="1">
        <v>1.9871794871794872</v>
      </c>
      <c r="Y327" s="1">
        <v>80</v>
      </c>
      <c r="Z327" s="1">
        <v>155</v>
      </c>
      <c r="AA327" s="1">
        <v>1.9375</v>
      </c>
      <c r="AB327" s="1">
        <v>79.060877891771497</v>
      </c>
      <c r="AC327" s="1">
        <v>155.0241957902463</v>
      </c>
      <c r="AD327" s="1">
        <v>1.9608205717429925</v>
      </c>
      <c r="AE327" t="s">
        <v>4817</v>
      </c>
      <c r="AF327" t="str">
        <f>IF(X327&lt;$AF$1,"Bajo","Alto")</f>
        <v>Alto</v>
      </c>
      <c r="AG327" t="str">
        <f>LEFT(AE327,1)</f>
        <v>C</v>
      </c>
      <c r="AH327" t="str">
        <f>K327</f>
        <v>M</v>
      </c>
      <c r="AI327" t="str">
        <f>LEFT(AF327,1)</f>
        <v>A</v>
      </c>
      <c r="AJ327" t="str">
        <f>LEFT(M327,1)</f>
        <v>M</v>
      </c>
      <c r="AK327" t="str">
        <f>_xlfn.CONCAT(AG327,AH327,AI327,AJ327)</f>
        <v>CMAM</v>
      </c>
    </row>
    <row r="328" spans="1:37" ht="15.75" hidden="1" customHeight="1" x14ac:dyDescent="0.2">
      <c r="A328" s="1">
        <v>10125603</v>
      </c>
      <c r="B328" s="1" t="s">
        <v>29</v>
      </c>
      <c r="C328" s="1" t="s">
        <v>30</v>
      </c>
      <c r="D328" s="1" t="s">
        <v>509</v>
      </c>
      <c r="E328" s="1" t="s">
        <v>510</v>
      </c>
      <c r="F328" s="1" t="s">
        <v>63</v>
      </c>
      <c r="G328" s="1" t="s">
        <v>514</v>
      </c>
      <c r="H328" s="1">
        <v>9309</v>
      </c>
      <c r="I328" s="1" t="s">
        <v>515</v>
      </c>
      <c r="J328" s="1">
        <v>4599</v>
      </c>
      <c r="K328" s="1" t="s">
        <v>35</v>
      </c>
      <c r="L328" s="1">
        <v>32</v>
      </c>
      <c r="M328" s="1" t="str">
        <f>IF(L328&lt;=45,"Joven","Mayor")</f>
        <v>Joven</v>
      </c>
      <c r="N328" s="1">
        <v>37</v>
      </c>
      <c r="O328" s="1" t="s">
        <v>36</v>
      </c>
      <c r="P328" s="1">
        <v>0.316</v>
      </c>
      <c r="Q328" s="1">
        <v>94.528000000000006</v>
      </c>
      <c r="R328" s="1">
        <v>0.75004360000000003</v>
      </c>
      <c r="S328" s="1">
        <v>-0.58799729999999995</v>
      </c>
      <c r="T328" s="1">
        <v>9.2426359999999992</v>
      </c>
      <c r="U328" s="1">
        <v>3.0129999999999999</v>
      </c>
      <c r="V328" s="1">
        <v>85</v>
      </c>
      <c r="W328" s="1">
        <v>170</v>
      </c>
      <c r="X328" s="1">
        <v>2</v>
      </c>
      <c r="Y328" s="1">
        <v>97</v>
      </c>
      <c r="Z328" s="1">
        <v>170</v>
      </c>
      <c r="AA328" s="1">
        <v>1.7525773195876289</v>
      </c>
      <c r="AB328" s="1">
        <v>93.694004812929052</v>
      </c>
      <c r="AC328" s="1">
        <v>171.32643867225809</v>
      </c>
      <c r="AD328" s="1">
        <v>1.8285741869432437</v>
      </c>
      <c r="AE328" t="s">
        <v>4817</v>
      </c>
      <c r="AF328" t="str">
        <f>IF(X328&lt;$AF$1,"Bajo","Alto")</f>
        <v>Alto</v>
      </c>
      <c r="AG328" t="str">
        <f>LEFT(AE328,1)</f>
        <v>C</v>
      </c>
      <c r="AH328" t="str">
        <f>K328</f>
        <v>M</v>
      </c>
      <c r="AI328" t="str">
        <f>LEFT(AF328,1)</f>
        <v>A</v>
      </c>
      <c r="AJ328" t="str">
        <f>LEFT(M328,1)</f>
        <v>J</v>
      </c>
      <c r="AK328" t="str">
        <f>_xlfn.CONCAT(AG328,AH328,AI328,AJ328)</f>
        <v>CMAJ</v>
      </c>
    </row>
    <row r="329" spans="1:37" ht="15.75" hidden="1" customHeight="1" x14ac:dyDescent="0.2">
      <c r="A329" s="1">
        <v>10126803</v>
      </c>
      <c r="B329" s="1" t="s">
        <v>29</v>
      </c>
      <c r="C329" s="1" t="s">
        <v>30</v>
      </c>
      <c r="D329" s="1" t="s">
        <v>536</v>
      </c>
      <c r="E329" s="1" t="s">
        <v>537</v>
      </c>
      <c r="F329" s="1" t="s">
        <v>63</v>
      </c>
      <c r="G329" s="1" t="s">
        <v>539</v>
      </c>
      <c r="H329" s="1">
        <v>2221</v>
      </c>
      <c r="I329" s="1" t="s">
        <v>91</v>
      </c>
      <c r="J329" s="1">
        <v>6</v>
      </c>
      <c r="K329" s="1" t="s">
        <v>35</v>
      </c>
      <c r="L329" s="1">
        <v>35</v>
      </c>
      <c r="M329" s="1" t="str">
        <f>IF(L329&lt;=45,"Joven","Mayor")</f>
        <v>Joven</v>
      </c>
      <c r="N329" s="1">
        <v>44</v>
      </c>
      <c r="O329" s="1" t="s">
        <v>36</v>
      </c>
      <c r="P329" s="1">
        <v>0.36299999999999999</v>
      </c>
      <c r="Q329" s="1">
        <v>90.686000000000007</v>
      </c>
      <c r="R329" s="1">
        <v>3.2734782999999998</v>
      </c>
      <c r="S329" s="1">
        <v>7.8146399999999998</v>
      </c>
      <c r="T329" s="1">
        <v>-3.7657854999999998</v>
      </c>
      <c r="U329" s="1">
        <v>0.46400000000000002</v>
      </c>
      <c r="V329" s="1">
        <v>102</v>
      </c>
      <c r="W329" s="1">
        <v>161</v>
      </c>
      <c r="X329" s="1">
        <v>1.5784313725490196</v>
      </c>
      <c r="Y329" s="1">
        <v>103</v>
      </c>
      <c r="Z329" s="1">
        <v>161</v>
      </c>
      <c r="AA329" s="1">
        <v>1.5631067961165048</v>
      </c>
      <c r="AB329" s="1">
        <v>105.4047310529788</v>
      </c>
      <c r="AC329" s="1">
        <v>160.65237946143631</v>
      </c>
      <c r="AD329" s="1">
        <v>1.524147710036742</v>
      </c>
      <c r="AE329" t="s">
        <v>4817</v>
      </c>
      <c r="AF329" t="str">
        <f>IF(X329&lt;$AF$1,"Bajo","Alto")</f>
        <v>Bajo</v>
      </c>
      <c r="AG329" t="str">
        <f>LEFT(AE329,1)</f>
        <v>C</v>
      </c>
      <c r="AH329" t="str">
        <f>K329</f>
        <v>M</v>
      </c>
      <c r="AI329" t="str">
        <f>LEFT(AF329,1)</f>
        <v>B</v>
      </c>
      <c r="AJ329" t="str">
        <f>LEFT(M329,1)</f>
        <v>J</v>
      </c>
      <c r="AK329" t="str">
        <f>_xlfn.CONCAT(AG329,AH329,AI329,AJ329)</f>
        <v>CMBJ</v>
      </c>
    </row>
    <row r="330" spans="1:37" ht="15.75" hidden="1" customHeight="1" x14ac:dyDescent="0.2">
      <c r="A330" s="1">
        <v>4681503</v>
      </c>
      <c r="B330" s="1" t="s">
        <v>4382</v>
      </c>
      <c r="C330" s="1" t="s">
        <v>669</v>
      </c>
      <c r="D330" s="1" t="s">
        <v>4436</v>
      </c>
      <c r="E330" s="1" t="s">
        <v>4437</v>
      </c>
      <c r="F330" s="1" t="s">
        <v>63</v>
      </c>
      <c r="G330" s="1" t="s">
        <v>4439</v>
      </c>
      <c r="H330" s="1">
        <v>5</v>
      </c>
      <c r="I330" s="1" t="s">
        <v>134</v>
      </c>
      <c r="J330" s="1">
        <v>8</v>
      </c>
      <c r="K330" s="1" t="s">
        <v>49</v>
      </c>
      <c r="L330" s="1">
        <v>37</v>
      </c>
      <c r="M330" s="1" t="str">
        <f>IF(L330&lt;=45,"Joven","Mayor")</f>
        <v>Joven</v>
      </c>
      <c r="N330" s="1">
        <v>47</v>
      </c>
      <c r="O330" s="1" t="s">
        <v>50</v>
      </c>
      <c r="P330" s="1">
        <v>1.7999999999999999E-2</v>
      </c>
      <c r="Q330" s="1">
        <v>91.632999999999996</v>
      </c>
      <c r="R330" s="1">
        <v>2.8893886000000002</v>
      </c>
      <c r="S330" s="1">
        <v>6.7353085999999998</v>
      </c>
      <c r="T330" s="1">
        <v>-2.2697644000000001</v>
      </c>
      <c r="U330" s="1">
        <v>17.71</v>
      </c>
      <c r="V330" s="1">
        <v>105</v>
      </c>
      <c r="W330" s="1">
        <v>165</v>
      </c>
      <c r="X330" s="1">
        <v>1.5714285714285714</v>
      </c>
      <c r="Y330" s="1">
        <v>107</v>
      </c>
      <c r="Z330" s="1">
        <v>165</v>
      </c>
      <c r="AA330" s="1">
        <v>1.5420560747663552</v>
      </c>
      <c r="AB330" s="1">
        <v>106.7394276272894</v>
      </c>
      <c r="AC330" s="1">
        <v>164.87054660430749</v>
      </c>
      <c r="AD330" s="1">
        <v>1.5446077449468736</v>
      </c>
      <c r="AE330" t="s">
        <v>4817</v>
      </c>
      <c r="AF330" t="str">
        <f>IF(X330&lt;$AF$1,"Bajo","Alto")</f>
        <v>Bajo</v>
      </c>
      <c r="AG330" t="str">
        <f>LEFT(AE330,1)</f>
        <v>C</v>
      </c>
      <c r="AH330" t="str">
        <f>K330</f>
        <v>F</v>
      </c>
      <c r="AI330" t="str">
        <f>LEFT(AF330,1)</f>
        <v>B</v>
      </c>
      <c r="AJ330" t="str">
        <f>LEFT(M330,1)</f>
        <v>J</v>
      </c>
      <c r="AK330" t="str">
        <f>_xlfn.CONCAT(AG330,AH330,AI330,AJ330)</f>
        <v>CFBJ</v>
      </c>
    </row>
    <row r="331" spans="1:37" ht="15.75" hidden="1" customHeight="1" x14ac:dyDescent="0.2">
      <c r="A331" s="1">
        <v>234001</v>
      </c>
      <c r="B331" s="1" t="s">
        <v>319</v>
      </c>
      <c r="C331" s="1" t="s">
        <v>1989</v>
      </c>
      <c r="D331" s="1" t="s">
        <v>3031</v>
      </c>
      <c r="E331" s="1" t="s">
        <v>657</v>
      </c>
      <c r="F331" s="1" t="s">
        <v>32</v>
      </c>
      <c r="G331" s="1" t="s">
        <v>3032</v>
      </c>
      <c r="H331" s="1">
        <v>2937</v>
      </c>
      <c r="I331" s="1" t="s">
        <v>65</v>
      </c>
      <c r="J331" s="1">
        <v>2</v>
      </c>
      <c r="K331" s="1" t="s">
        <v>35</v>
      </c>
      <c r="L331" s="1">
        <v>45</v>
      </c>
      <c r="M331" s="1" t="str">
        <f>IF(L331&lt;=45,"Joven","Mayor")</f>
        <v>Joven</v>
      </c>
      <c r="N331" s="1">
        <v>55</v>
      </c>
      <c r="O331" s="1" t="s">
        <v>36</v>
      </c>
      <c r="P331" s="1">
        <v>0.39900000000000002</v>
      </c>
      <c r="Q331" s="1">
        <v>93.492000000000004</v>
      </c>
      <c r="R331" s="1">
        <v>-1.4421364000000001</v>
      </c>
      <c r="S331" s="1">
        <v>3.8623327999999999</v>
      </c>
      <c r="T331" s="1">
        <v>-1.0215160000000001</v>
      </c>
      <c r="U331" s="1">
        <v>71.585999999999999</v>
      </c>
      <c r="V331" s="1">
        <v>114</v>
      </c>
      <c r="W331" s="1">
        <v>180</v>
      </c>
      <c r="X331" s="1">
        <v>1.5789473684210527</v>
      </c>
      <c r="Y331" s="1">
        <v>115</v>
      </c>
      <c r="Z331" s="1">
        <v>180</v>
      </c>
      <c r="AA331" s="1">
        <v>1.5652173913043479</v>
      </c>
      <c r="AB331" s="1">
        <v>114.7306527439091</v>
      </c>
      <c r="AC331" s="1">
        <v>180.00704849766859</v>
      </c>
      <c r="AD331" s="1">
        <v>1.5689534068934767</v>
      </c>
      <c r="AE331" t="s">
        <v>4817</v>
      </c>
      <c r="AF331" t="str">
        <f>IF(X331&lt;$AF$1,"Bajo","Alto")</f>
        <v>Bajo</v>
      </c>
      <c r="AG331" t="str">
        <f>LEFT(AE331,1)</f>
        <v>C</v>
      </c>
      <c r="AH331" t="str">
        <f>K331</f>
        <v>M</v>
      </c>
      <c r="AI331" t="str">
        <f>LEFT(AF331,1)</f>
        <v>B</v>
      </c>
      <c r="AJ331" t="str">
        <f>LEFT(M331,1)</f>
        <v>J</v>
      </c>
      <c r="AK331" t="str">
        <f>_xlfn.CONCAT(AG331,AH331,AI331,AJ331)</f>
        <v>CMBJ</v>
      </c>
    </row>
    <row r="332" spans="1:37" ht="15.75" hidden="1" customHeight="1" x14ac:dyDescent="0.2">
      <c r="A332" s="1">
        <v>1519005</v>
      </c>
      <c r="B332" s="1" t="s">
        <v>2077</v>
      </c>
      <c r="C332" s="1" t="s">
        <v>57</v>
      </c>
      <c r="D332" s="1" t="s">
        <v>2218</v>
      </c>
      <c r="E332" s="1" t="s">
        <v>320</v>
      </c>
      <c r="F332" s="1" t="s">
        <v>40</v>
      </c>
      <c r="G332" s="1" t="s">
        <v>2219</v>
      </c>
      <c r="H332" s="1">
        <v>2977</v>
      </c>
      <c r="I332" s="1" t="s">
        <v>65</v>
      </c>
      <c r="J332" s="1">
        <v>2</v>
      </c>
      <c r="K332" s="1" t="s">
        <v>35</v>
      </c>
      <c r="L332" s="1">
        <v>58</v>
      </c>
      <c r="M332" s="1" t="str">
        <f>IF(L332&lt;=45,"Joven","Mayor")</f>
        <v>Mayor</v>
      </c>
      <c r="N332" s="1">
        <v>50</v>
      </c>
      <c r="O332" s="1" t="s">
        <v>36</v>
      </c>
      <c r="P332" s="1">
        <v>0.39900000000000002</v>
      </c>
      <c r="Q332" s="1">
        <v>89.382000000000005</v>
      </c>
      <c r="R332" s="1">
        <v>-5.7542076</v>
      </c>
      <c r="S332" s="1">
        <v>4.2920949999999998</v>
      </c>
      <c r="T332" s="1">
        <v>16.245740000000001</v>
      </c>
      <c r="U332" s="1">
        <v>6.9119999999999999</v>
      </c>
      <c r="V332" s="1">
        <v>77</v>
      </c>
      <c r="W332" s="1">
        <v>153</v>
      </c>
      <c r="X332" s="1">
        <v>1.9870129870129871</v>
      </c>
      <c r="Y332" s="1">
        <v>99</v>
      </c>
      <c r="Z332" s="1">
        <v>153</v>
      </c>
      <c r="AA332" s="1">
        <v>1.5454545454545454</v>
      </c>
      <c r="AB332" s="1">
        <v>89.871625668860588</v>
      </c>
      <c r="AC332" s="1">
        <v>155.5632971774539</v>
      </c>
      <c r="AD332" s="1">
        <v>1.7309500748394124</v>
      </c>
      <c r="AE332" t="s">
        <v>4817</v>
      </c>
      <c r="AF332" t="str">
        <f>IF(X332&lt;$AF$1,"Bajo","Alto")</f>
        <v>Alto</v>
      </c>
      <c r="AG332" t="str">
        <f>LEFT(AE332,1)</f>
        <v>C</v>
      </c>
      <c r="AH332" t="str">
        <f>K332</f>
        <v>M</v>
      </c>
      <c r="AI332" t="str">
        <f>LEFT(AF332,1)</f>
        <v>A</v>
      </c>
      <c r="AJ332" t="str">
        <f>LEFT(M332,1)</f>
        <v>M</v>
      </c>
      <c r="AK332" t="str">
        <f>_xlfn.CONCAT(AG332,AH332,AI332,AJ332)</f>
        <v>CMAM</v>
      </c>
    </row>
    <row r="333" spans="1:37" ht="15.75" hidden="1" customHeight="1" x14ac:dyDescent="0.2">
      <c r="A333" s="1">
        <v>480502</v>
      </c>
      <c r="B333" s="1" t="s">
        <v>4465</v>
      </c>
      <c r="C333" s="1" t="s">
        <v>2650</v>
      </c>
      <c r="D333" s="1" t="s">
        <v>4479</v>
      </c>
      <c r="E333" s="1" t="s">
        <v>40</v>
      </c>
      <c r="F333" s="1" t="s">
        <v>37</v>
      </c>
      <c r="G333" s="1" t="s">
        <v>4480</v>
      </c>
      <c r="H333" s="1">
        <v>489</v>
      </c>
      <c r="I333" s="1" t="s">
        <v>87</v>
      </c>
      <c r="J333" s="1">
        <v>14</v>
      </c>
      <c r="K333" s="1" t="s">
        <v>35</v>
      </c>
      <c r="L333" s="1">
        <v>31</v>
      </c>
      <c r="M333" s="1" t="str">
        <f>IF(L333&lt;=45,"Joven","Mayor")</f>
        <v>Joven</v>
      </c>
      <c r="N333" s="1">
        <v>35</v>
      </c>
      <c r="O333" s="1" t="s">
        <v>36</v>
      </c>
      <c r="P333" s="1">
        <v>0.36099999999999999</v>
      </c>
      <c r="Q333" s="1">
        <v>93.867999999999995</v>
      </c>
      <c r="R333" s="1">
        <v>-1.9531293000000001</v>
      </c>
      <c r="S333" s="1">
        <v>0.68079822999999995</v>
      </c>
      <c r="T333" s="1">
        <v>3.0386236000000002</v>
      </c>
      <c r="U333" s="1">
        <v>0.55000000000000004</v>
      </c>
      <c r="V333" s="1">
        <v>86</v>
      </c>
      <c r="W333" s="1">
        <v>169</v>
      </c>
      <c r="X333" s="1">
        <v>1.9651162790697674</v>
      </c>
      <c r="Y333" s="1">
        <v>93</v>
      </c>
      <c r="Z333" s="1">
        <v>169</v>
      </c>
      <c r="AA333" s="1">
        <v>1.8172043010752688</v>
      </c>
      <c r="AB333" s="1">
        <v>90.854897658858818</v>
      </c>
      <c r="AC333" s="1">
        <v>169.39850023780761</v>
      </c>
      <c r="AD333" s="1">
        <v>1.8644949760866347</v>
      </c>
      <c r="AE333" t="s">
        <v>4816</v>
      </c>
      <c r="AF333" t="str">
        <f>IF(X333&lt;$AF$1,"Bajo","Alto")</f>
        <v>Alto</v>
      </c>
      <c r="AG333" t="str">
        <f>LEFT(AE333,1)</f>
        <v>D</v>
      </c>
      <c r="AH333" t="str">
        <f>K333</f>
        <v>M</v>
      </c>
      <c r="AI333" t="str">
        <f>LEFT(AF333,1)</f>
        <v>A</v>
      </c>
      <c r="AJ333" t="str">
        <f>LEFT(M333,1)</f>
        <v>J</v>
      </c>
      <c r="AK333" t="str">
        <f>_xlfn.CONCAT(AG333,AH333,AI333,AJ333)</f>
        <v>DMAJ</v>
      </c>
    </row>
    <row r="334" spans="1:37" ht="15.75" hidden="1" customHeight="1" x14ac:dyDescent="0.2">
      <c r="A334" s="1">
        <v>277001</v>
      </c>
      <c r="B334" s="1" t="s">
        <v>3409</v>
      </c>
      <c r="C334" s="1" t="s">
        <v>973</v>
      </c>
      <c r="D334" s="1" t="s">
        <v>3707</v>
      </c>
      <c r="E334" s="1" t="s">
        <v>720</v>
      </c>
      <c r="F334" s="1" t="s">
        <v>32</v>
      </c>
      <c r="G334" s="1" t="s">
        <v>3708</v>
      </c>
      <c r="H334" s="1">
        <v>1609</v>
      </c>
      <c r="I334" s="1" t="s">
        <v>91</v>
      </c>
      <c r="J334" s="1">
        <v>6</v>
      </c>
      <c r="K334" s="1" t="s">
        <v>35</v>
      </c>
      <c r="L334" s="1">
        <v>52</v>
      </c>
      <c r="M334" s="1" t="str">
        <f>IF(L334&lt;=45,"Joven","Mayor")</f>
        <v>Mayor</v>
      </c>
      <c r="N334" s="1">
        <v>50</v>
      </c>
      <c r="O334" s="1" t="s">
        <v>36</v>
      </c>
      <c r="P334" s="1">
        <v>0.13200000000000001</v>
      </c>
      <c r="Q334" s="1">
        <v>49.034999999999997</v>
      </c>
      <c r="R334" s="1">
        <v>16.185665</v>
      </c>
      <c r="S334" s="1">
        <v>1.4786931999999999</v>
      </c>
      <c r="T334" s="1">
        <v>-3.3393630000000001</v>
      </c>
      <c r="U334" s="1">
        <v>6.4909999999999997</v>
      </c>
      <c r="V334" s="1">
        <v>70</v>
      </c>
      <c r="W334" s="1">
        <v>139</v>
      </c>
      <c r="X334" s="1">
        <v>1.9857142857142858</v>
      </c>
      <c r="Y334" s="1">
        <v>70</v>
      </c>
      <c r="Z334" s="1">
        <v>139</v>
      </c>
      <c r="AA334" s="1">
        <v>1.9857142857142858</v>
      </c>
      <c r="AB334" s="1">
        <v>71.80338866733814</v>
      </c>
      <c r="AC334" s="1">
        <v>138.239733695013</v>
      </c>
      <c r="AD334" s="1">
        <v>1.9252536163087155</v>
      </c>
      <c r="AE334" t="s">
        <v>4817</v>
      </c>
      <c r="AF334" t="str">
        <f>IF(X334&lt;$AF$1,"Bajo","Alto")</f>
        <v>Alto</v>
      </c>
      <c r="AG334" t="str">
        <f>LEFT(AE334,1)</f>
        <v>C</v>
      </c>
      <c r="AH334" t="str">
        <f>K334</f>
        <v>M</v>
      </c>
      <c r="AI334" t="str">
        <f>LEFT(AF334,1)</f>
        <v>A</v>
      </c>
      <c r="AJ334" t="str">
        <f>LEFT(M334,1)</f>
        <v>M</v>
      </c>
      <c r="AK334" t="str">
        <f>_xlfn.CONCAT(AG334,AH334,AI334,AJ334)</f>
        <v>CMAM</v>
      </c>
    </row>
    <row r="335" spans="1:37" ht="15.75" hidden="1" customHeight="1" x14ac:dyDescent="0.2">
      <c r="A335" s="1">
        <v>1010101</v>
      </c>
      <c r="B335" s="1" t="s">
        <v>29</v>
      </c>
      <c r="C335" s="1" t="s">
        <v>30</v>
      </c>
      <c r="D335" s="1" t="s">
        <v>31</v>
      </c>
      <c r="E335" s="1" t="s">
        <v>32</v>
      </c>
      <c r="F335" s="1" t="s">
        <v>32</v>
      </c>
      <c r="G335" s="1" t="s">
        <v>33</v>
      </c>
      <c r="H335" s="1">
        <v>3388</v>
      </c>
      <c r="I335" s="1" t="s">
        <v>34</v>
      </c>
      <c r="J335" s="1">
        <v>10</v>
      </c>
      <c r="K335" s="1" t="s">
        <v>35</v>
      </c>
      <c r="L335" s="1">
        <v>66</v>
      </c>
      <c r="M335" s="1" t="str">
        <f>IF(L335&lt;=45,"Joven","Mayor")</f>
        <v>Mayor</v>
      </c>
      <c r="N335" s="1">
        <v>63</v>
      </c>
      <c r="O335" s="1" t="s">
        <v>36</v>
      </c>
      <c r="P335" s="1">
        <v>0.47199999999999998</v>
      </c>
      <c r="Q335" s="1">
        <v>54.546999999999997</v>
      </c>
      <c r="R335" s="1">
        <v>15.132714999999999</v>
      </c>
      <c r="S335" s="1">
        <v>-4.1865114999999999</v>
      </c>
      <c r="T335" s="1">
        <v>-4.2651729999999999</v>
      </c>
      <c r="U335" s="1">
        <v>1.0089999999999999</v>
      </c>
      <c r="V335" s="1">
        <v>64</v>
      </c>
      <c r="W335" s="1">
        <v>101</v>
      </c>
      <c r="X335" s="1">
        <v>1.578125</v>
      </c>
      <c r="Y335" s="1">
        <v>68</v>
      </c>
      <c r="Z335" s="1">
        <v>101</v>
      </c>
      <c r="AA335" s="1">
        <v>1.4852941176470589</v>
      </c>
      <c r="AB335" s="1">
        <v>65.877988653896409</v>
      </c>
      <c r="AC335" s="1">
        <v>100.7946555839726</v>
      </c>
      <c r="AD335" s="1">
        <v>1.5300202335186355</v>
      </c>
      <c r="AE335" t="s">
        <v>4815</v>
      </c>
      <c r="AF335" t="str">
        <f>IF(X335&lt;$AF$1,"Bajo","Alto")</f>
        <v>Bajo</v>
      </c>
      <c r="AG335" t="str">
        <f>LEFT(AE335,1)</f>
        <v>I</v>
      </c>
      <c r="AH335" t="str">
        <f>K335</f>
        <v>M</v>
      </c>
      <c r="AI335" t="str">
        <f>LEFT(AF335,1)</f>
        <v>B</v>
      </c>
      <c r="AJ335" t="str">
        <f>LEFT(M335,1)</f>
        <v>M</v>
      </c>
      <c r="AK335" t="str">
        <f>_xlfn.CONCAT(AG335,AH335,AI335,AJ335)</f>
        <v>IMBM</v>
      </c>
    </row>
    <row r="336" spans="1:37" ht="15.75" hidden="1" customHeight="1" x14ac:dyDescent="0.2">
      <c r="A336" s="1">
        <v>192503</v>
      </c>
      <c r="B336" s="1" t="s">
        <v>2656</v>
      </c>
      <c r="C336" s="1" t="s">
        <v>323</v>
      </c>
      <c r="D336" s="1" t="s">
        <v>2688</v>
      </c>
      <c r="E336" s="1" t="s">
        <v>821</v>
      </c>
      <c r="F336" s="1" t="s">
        <v>63</v>
      </c>
      <c r="G336" s="1" t="s">
        <v>2691</v>
      </c>
      <c r="H336" s="1">
        <v>1133</v>
      </c>
      <c r="I336" s="1" t="s">
        <v>108</v>
      </c>
      <c r="J336" s="1">
        <v>3</v>
      </c>
      <c r="K336" s="1" t="s">
        <v>35</v>
      </c>
      <c r="L336" s="1">
        <v>42</v>
      </c>
      <c r="M336" s="1" t="str">
        <f>IF(L336&lt;=45,"Joven","Mayor")</f>
        <v>Joven</v>
      </c>
      <c r="N336" s="1">
        <v>52</v>
      </c>
      <c r="O336" s="1" t="s">
        <v>36</v>
      </c>
      <c r="P336" s="1">
        <v>0.315</v>
      </c>
      <c r="Q336" s="1">
        <v>90.807000000000002</v>
      </c>
      <c r="R336" s="1">
        <v>4.4569216000000003</v>
      </c>
      <c r="S336" s="1">
        <v>4.7627443999999999</v>
      </c>
      <c r="T336" s="1">
        <v>-4.3194385000000004</v>
      </c>
      <c r="U336" s="1">
        <v>2.6419999999999999</v>
      </c>
      <c r="V336" s="1">
        <v>112</v>
      </c>
      <c r="W336" s="1">
        <v>177</v>
      </c>
      <c r="X336" s="1">
        <v>1.5803571428571428</v>
      </c>
      <c r="Y336" s="1">
        <v>115</v>
      </c>
      <c r="Z336" s="1">
        <v>177</v>
      </c>
      <c r="AA336" s="1">
        <v>1.5391304347826087</v>
      </c>
      <c r="AB336" s="1">
        <v>115.2970971032116</v>
      </c>
      <c r="AC336" s="1">
        <v>176.7985241332203</v>
      </c>
      <c r="AD336" s="1">
        <v>1.5334169599686789</v>
      </c>
      <c r="AE336" t="s">
        <v>4817</v>
      </c>
      <c r="AF336" t="str">
        <f>IF(X336&lt;$AF$1,"Bajo","Alto")</f>
        <v>Bajo</v>
      </c>
      <c r="AG336" t="str">
        <f>LEFT(AE336,1)</f>
        <v>C</v>
      </c>
      <c r="AH336" t="str">
        <f>K336</f>
        <v>M</v>
      </c>
      <c r="AI336" t="str">
        <f>LEFT(AF336,1)</f>
        <v>B</v>
      </c>
      <c r="AJ336" t="str">
        <f>LEFT(M336,1)</f>
        <v>J</v>
      </c>
      <c r="AK336" t="str">
        <f>_xlfn.CONCAT(AG336,AH336,AI336,AJ336)</f>
        <v>CMBJ</v>
      </c>
    </row>
    <row r="337" spans="1:37" ht="15.75" hidden="1" customHeight="1" x14ac:dyDescent="0.2">
      <c r="A337" s="1">
        <v>10113302</v>
      </c>
      <c r="B337" s="1" t="s">
        <v>29</v>
      </c>
      <c r="C337" s="1" t="s">
        <v>30</v>
      </c>
      <c r="D337" s="1" t="s">
        <v>168</v>
      </c>
      <c r="E337" s="1" t="s">
        <v>169</v>
      </c>
      <c r="F337" s="1" t="s">
        <v>37</v>
      </c>
      <c r="G337" s="1" t="s">
        <v>170</v>
      </c>
      <c r="H337" s="1">
        <v>2803</v>
      </c>
      <c r="I337" s="1" t="s">
        <v>87</v>
      </c>
      <c r="J337" s="1">
        <v>14</v>
      </c>
      <c r="K337" s="1" t="s">
        <v>35</v>
      </c>
      <c r="L337" s="1">
        <v>35</v>
      </c>
      <c r="M337" s="1" t="str">
        <f>IF(L337&lt;=45,"Joven","Mayor")</f>
        <v>Joven</v>
      </c>
      <c r="N337" s="1">
        <v>32</v>
      </c>
      <c r="O337" s="1" t="s">
        <v>36</v>
      </c>
      <c r="P337" s="1">
        <v>0.29499999999999998</v>
      </c>
      <c r="Q337" s="1">
        <v>88.876000000000005</v>
      </c>
      <c r="R337" s="1">
        <v>5.9095306000000001</v>
      </c>
      <c r="S337" s="1">
        <v>-5.076829</v>
      </c>
      <c r="T337" s="1">
        <v>1.9553256000000001</v>
      </c>
      <c r="U337" s="1">
        <v>75.929000000000002</v>
      </c>
      <c r="V337" s="1">
        <v>79</v>
      </c>
      <c r="W337" s="1">
        <v>155</v>
      </c>
      <c r="X337" s="1">
        <v>1.9620253164556962</v>
      </c>
      <c r="Y337" s="1">
        <v>82</v>
      </c>
      <c r="Z337" s="1">
        <v>155</v>
      </c>
      <c r="AA337" s="1">
        <v>1.8902439024390243</v>
      </c>
      <c r="AB337" s="1">
        <v>80.655684921844795</v>
      </c>
      <c r="AC337" s="1">
        <v>155.14859062959789</v>
      </c>
      <c r="AD337" s="1">
        <v>1.9235915085209006</v>
      </c>
      <c r="AE337" t="s">
        <v>4816</v>
      </c>
      <c r="AF337" t="str">
        <f>IF(X337&lt;$AF$1,"Bajo","Alto")</f>
        <v>Alto</v>
      </c>
      <c r="AG337" t="str">
        <f>LEFT(AE337,1)</f>
        <v>D</v>
      </c>
      <c r="AH337" t="str">
        <f>K337</f>
        <v>M</v>
      </c>
      <c r="AI337" t="str">
        <f>LEFT(AF337,1)</f>
        <v>A</v>
      </c>
      <c r="AJ337" t="str">
        <f>LEFT(M337,1)</f>
        <v>J</v>
      </c>
      <c r="AK337" t="str">
        <f>_xlfn.CONCAT(AG337,AH337,AI337,AJ337)</f>
        <v>DMAJ</v>
      </c>
    </row>
    <row r="338" spans="1:37" ht="15.75" hidden="1" customHeight="1" x14ac:dyDescent="0.2">
      <c r="A338" s="1">
        <v>10714802</v>
      </c>
      <c r="B338" s="1" t="s">
        <v>1067</v>
      </c>
      <c r="C338" s="1" t="s">
        <v>1068</v>
      </c>
      <c r="D338" s="1" t="s">
        <v>1141</v>
      </c>
      <c r="E338" s="1" t="s">
        <v>201</v>
      </c>
      <c r="F338" s="1" t="s">
        <v>37</v>
      </c>
      <c r="G338" s="1" t="s">
        <v>1144</v>
      </c>
      <c r="H338" s="1">
        <v>2072</v>
      </c>
      <c r="I338" s="1" t="s">
        <v>1145</v>
      </c>
      <c r="J338" s="1">
        <v>2501</v>
      </c>
      <c r="K338" s="1" t="s">
        <v>35</v>
      </c>
      <c r="L338" s="1">
        <v>35</v>
      </c>
      <c r="M338" s="1" t="str">
        <f>IF(L338&lt;=45,"Joven","Mayor")</f>
        <v>Joven</v>
      </c>
      <c r="N338" s="1">
        <v>41</v>
      </c>
      <c r="O338" s="1" t="s">
        <v>36</v>
      </c>
      <c r="P338" s="1">
        <v>0.26700000000000002</v>
      </c>
      <c r="Q338" s="1">
        <v>91.858999999999995</v>
      </c>
      <c r="R338" s="1">
        <v>-2.0562659999999999</v>
      </c>
      <c r="S338" s="1">
        <v>7.6033220000000004</v>
      </c>
      <c r="T338" s="1">
        <v>1.5077910000000001</v>
      </c>
      <c r="U338" s="1">
        <v>28.213000000000001</v>
      </c>
      <c r="V338" s="1">
        <v>93</v>
      </c>
      <c r="W338" s="1">
        <v>147</v>
      </c>
      <c r="X338" s="1">
        <v>1.5806451612903225</v>
      </c>
      <c r="Y338" s="1">
        <v>96</v>
      </c>
      <c r="Z338" s="1">
        <v>147</v>
      </c>
      <c r="AA338" s="1">
        <v>1.53125</v>
      </c>
      <c r="AB338" s="1">
        <v>94.782680994770999</v>
      </c>
      <c r="AC338" s="1">
        <v>146.97541504570609</v>
      </c>
      <c r="AD338" s="1">
        <v>1.550656865823562</v>
      </c>
      <c r="AE338" t="s">
        <v>4817</v>
      </c>
      <c r="AF338" t="str">
        <f>IF(X338&lt;$AF$1,"Bajo","Alto")</f>
        <v>Bajo</v>
      </c>
      <c r="AG338" t="str">
        <f>LEFT(AE338,1)</f>
        <v>C</v>
      </c>
      <c r="AH338" t="str">
        <f>K338</f>
        <v>M</v>
      </c>
      <c r="AI338" t="str">
        <f>LEFT(AF338,1)</f>
        <v>B</v>
      </c>
      <c r="AJ338" t="str">
        <f>LEFT(M338,1)</f>
        <v>J</v>
      </c>
      <c r="AK338" t="str">
        <f>_xlfn.CONCAT(AG338,AH338,AI338,AJ338)</f>
        <v>CMBJ</v>
      </c>
    </row>
    <row r="339" spans="1:37" ht="15.75" hidden="1" customHeight="1" x14ac:dyDescent="0.2">
      <c r="A339" s="1">
        <v>1071902</v>
      </c>
      <c r="B339" s="1" t="s">
        <v>1067</v>
      </c>
      <c r="C339" s="1" t="s">
        <v>1068</v>
      </c>
      <c r="D339" s="1" t="s">
        <v>1206</v>
      </c>
      <c r="E339" s="1" t="s">
        <v>323</v>
      </c>
      <c r="F339" s="1" t="s">
        <v>37</v>
      </c>
      <c r="G339" s="1" t="s">
        <v>1208</v>
      </c>
      <c r="H339" s="1">
        <v>866</v>
      </c>
      <c r="I339" s="1" t="s">
        <v>108</v>
      </c>
      <c r="J339" s="1">
        <v>3</v>
      </c>
      <c r="K339" s="1" t="s">
        <v>35</v>
      </c>
      <c r="L339" s="1">
        <v>38</v>
      </c>
      <c r="M339" s="1" t="str">
        <f>IF(L339&lt;=45,"Joven","Mayor")</f>
        <v>Joven</v>
      </c>
      <c r="N339" s="1">
        <v>78</v>
      </c>
      <c r="O339" s="1" t="s">
        <v>36</v>
      </c>
      <c r="P339" s="1">
        <v>0.27300000000000002</v>
      </c>
      <c r="Q339" s="1">
        <v>85.602000000000004</v>
      </c>
      <c r="R339" s="1">
        <v>8.6118559999999995</v>
      </c>
      <c r="S339" s="1">
        <v>1.1408498</v>
      </c>
      <c r="T339" s="1">
        <v>-3.4139377999999998</v>
      </c>
      <c r="U339" s="1">
        <v>7.4320000000000004</v>
      </c>
      <c r="V339" s="1">
        <v>73</v>
      </c>
      <c r="W339" s="1">
        <v>146</v>
      </c>
      <c r="X339" s="1">
        <v>2</v>
      </c>
      <c r="Y339" s="1">
        <v>73</v>
      </c>
      <c r="Z339" s="1">
        <v>146</v>
      </c>
      <c r="AA339" s="1">
        <v>2</v>
      </c>
      <c r="AB339" s="1">
        <v>74.895125059497332</v>
      </c>
      <c r="AC339" s="1">
        <v>145.80045344168369</v>
      </c>
      <c r="AD339" s="1">
        <v>1.9467282193047752</v>
      </c>
      <c r="AE339" t="s">
        <v>4817</v>
      </c>
      <c r="AF339" t="str">
        <f>IF(X339&lt;$AF$1,"Bajo","Alto")</f>
        <v>Alto</v>
      </c>
      <c r="AG339" t="str">
        <f>LEFT(AE339,1)</f>
        <v>C</v>
      </c>
      <c r="AH339" t="str">
        <f>K339</f>
        <v>M</v>
      </c>
      <c r="AI339" t="str">
        <f>LEFT(AF339,1)</f>
        <v>A</v>
      </c>
      <c r="AJ339" t="str">
        <f>LEFT(M339,1)</f>
        <v>J</v>
      </c>
      <c r="AK339" t="str">
        <f>_xlfn.CONCAT(AG339,AH339,AI339,AJ339)</f>
        <v>CMAJ</v>
      </c>
    </row>
    <row r="340" spans="1:37" ht="15.75" hidden="1" customHeight="1" x14ac:dyDescent="0.2">
      <c r="A340" s="1">
        <v>294003</v>
      </c>
      <c r="B340" s="1" t="s">
        <v>3890</v>
      </c>
      <c r="C340" s="1" t="s">
        <v>1695</v>
      </c>
      <c r="D340" s="1" t="s">
        <v>4006</v>
      </c>
      <c r="E340" s="1" t="s">
        <v>657</v>
      </c>
      <c r="F340" s="1" t="s">
        <v>63</v>
      </c>
      <c r="G340" s="1" t="s">
        <v>4007</v>
      </c>
      <c r="H340" s="1">
        <v>140</v>
      </c>
      <c r="I340" s="1" t="s">
        <v>48</v>
      </c>
      <c r="J340" s="1">
        <v>4</v>
      </c>
      <c r="K340" s="1" t="s">
        <v>35</v>
      </c>
      <c r="L340" s="1">
        <v>55</v>
      </c>
      <c r="M340" s="1" t="str">
        <f>IF(L340&lt;=45,"Joven","Mayor")</f>
        <v>Mayor</v>
      </c>
      <c r="N340" s="1">
        <v>51</v>
      </c>
      <c r="O340" s="1" t="s">
        <v>36</v>
      </c>
      <c r="P340" s="1">
        <v>0.35099999999999998</v>
      </c>
      <c r="Q340" s="1">
        <v>94.093999999999994</v>
      </c>
      <c r="R340" s="1">
        <v>-0.96900743</v>
      </c>
      <c r="S340" s="1">
        <v>2.3995034999999998</v>
      </c>
      <c r="T340" s="1">
        <v>-0.62520379999999998</v>
      </c>
      <c r="U340" s="1">
        <v>2.5139999999999998</v>
      </c>
      <c r="V340" s="1">
        <v>117</v>
      </c>
      <c r="W340" s="1">
        <v>181</v>
      </c>
      <c r="X340" s="1">
        <v>1.5470085470085471</v>
      </c>
      <c r="Y340" s="1">
        <v>122</v>
      </c>
      <c r="Z340" s="1">
        <v>181</v>
      </c>
      <c r="AA340" s="1">
        <v>1.4836065573770492</v>
      </c>
      <c r="AB340" s="1">
        <v>121.44715446248669</v>
      </c>
      <c r="AC340" s="1">
        <v>181.06560591894959</v>
      </c>
      <c r="AD340" s="1">
        <v>1.4909003567875128</v>
      </c>
      <c r="AE340" t="s">
        <v>4817</v>
      </c>
      <c r="AF340" t="str">
        <f>IF(X340&lt;$AF$1,"Bajo","Alto")</f>
        <v>Bajo</v>
      </c>
      <c r="AG340" t="str">
        <f>LEFT(AE340,1)</f>
        <v>C</v>
      </c>
      <c r="AH340" t="str">
        <f>K340</f>
        <v>M</v>
      </c>
      <c r="AI340" t="str">
        <f>LEFT(AF340,1)</f>
        <v>B</v>
      </c>
      <c r="AJ340" t="str">
        <f>LEFT(M340,1)</f>
        <v>M</v>
      </c>
      <c r="AK340" t="str">
        <f>_xlfn.CONCAT(AG340,AH340,AI340,AJ340)</f>
        <v>CMBM</v>
      </c>
    </row>
    <row r="341" spans="1:37" ht="15.75" hidden="1" customHeight="1" x14ac:dyDescent="0.2">
      <c r="A341" s="1">
        <v>115501</v>
      </c>
      <c r="B341" s="1" t="s">
        <v>1648</v>
      </c>
      <c r="C341" s="1" t="s">
        <v>51</v>
      </c>
      <c r="D341" s="1" t="s">
        <v>1194</v>
      </c>
      <c r="E341" s="1" t="s">
        <v>690</v>
      </c>
      <c r="F341" s="1" t="s">
        <v>32</v>
      </c>
      <c r="G341" s="1" t="s">
        <v>1731</v>
      </c>
      <c r="H341" s="1">
        <v>4189</v>
      </c>
      <c r="I341" s="1" t="s">
        <v>100</v>
      </c>
      <c r="J341" s="1">
        <v>1</v>
      </c>
      <c r="K341" s="1" t="s">
        <v>35</v>
      </c>
      <c r="L341" s="1">
        <v>42</v>
      </c>
      <c r="M341" s="1" t="str">
        <f>IF(L341&lt;=45,"Joven","Mayor")</f>
        <v>Joven</v>
      </c>
      <c r="N341" s="1">
        <v>45</v>
      </c>
      <c r="O341" s="1" t="s">
        <v>36</v>
      </c>
      <c r="P341" s="1">
        <v>0.10199999999999999</v>
      </c>
      <c r="Q341" s="1">
        <v>89.831999999999994</v>
      </c>
      <c r="R341" s="1">
        <v>-4.0950030000000002</v>
      </c>
      <c r="S341" s="1">
        <v>-7.9866260000000002</v>
      </c>
      <c r="T341" s="1">
        <v>3.4574308</v>
      </c>
      <c r="U341" s="1">
        <v>2.379</v>
      </c>
      <c r="V341" s="1">
        <v>74</v>
      </c>
      <c r="W341" s="1">
        <v>148</v>
      </c>
      <c r="X341" s="1">
        <v>2</v>
      </c>
      <c r="Y341" s="1">
        <v>80</v>
      </c>
      <c r="Z341" s="1">
        <v>148</v>
      </c>
      <c r="AA341" s="1">
        <v>1.85</v>
      </c>
      <c r="AB341" s="1">
        <v>77.562726863924127</v>
      </c>
      <c r="AC341" s="1">
        <v>147.79092922417519</v>
      </c>
      <c r="AD341" s="1">
        <v>1.9054375110284514</v>
      </c>
      <c r="AE341" t="s">
        <v>4817</v>
      </c>
      <c r="AF341" t="str">
        <f>IF(X341&lt;$AF$1,"Bajo","Alto")</f>
        <v>Alto</v>
      </c>
      <c r="AG341" t="str">
        <f>LEFT(AE341,1)</f>
        <v>C</v>
      </c>
      <c r="AH341" t="str">
        <f>K341</f>
        <v>M</v>
      </c>
      <c r="AI341" t="str">
        <f>LEFT(AF341,1)</f>
        <v>A</v>
      </c>
      <c r="AJ341" t="str">
        <f>LEFT(M341,1)</f>
        <v>J</v>
      </c>
      <c r="AK341" t="str">
        <f>_xlfn.CONCAT(AG341,AH341,AI341,AJ341)</f>
        <v>CMAJ</v>
      </c>
    </row>
    <row r="342" spans="1:37" ht="15.75" hidden="1" customHeight="1" x14ac:dyDescent="0.2">
      <c r="A342" s="1">
        <v>10724702</v>
      </c>
      <c r="B342" s="1" t="s">
        <v>1067</v>
      </c>
      <c r="C342" s="1" t="s">
        <v>1068</v>
      </c>
      <c r="D342" s="1" t="s">
        <v>1270</v>
      </c>
      <c r="E342" s="1" t="s">
        <v>497</v>
      </c>
      <c r="F342" s="1" t="s">
        <v>37</v>
      </c>
      <c r="G342" s="1" t="s">
        <v>1272</v>
      </c>
      <c r="H342" s="1">
        <v>1260</v>
      </c>
      <c r="I342" s="1" t="s">
        <v>1273</v>
      </c>
      <c r="J342" s="1">
        <v>3843</v>
      </c>
      <c r="K342" s="1" t="s">
        <v>49</v>
      </c>
      <c r="L342" s="1">
        <v>41</v>
      </c>
      <c r="M342" s="1" t="str">
        <f>IF(L342&lt;=45,"Joven","Mayor")</f>
        <v>Joven</v>
      </c>
      <c r="N342" s="1">
        <v>37</v>
      </c>
      <c r="O342" s="1" t="s">
        <v>50</v>
      </c>
      <c r="P342" s="1">
        <v>0.53800000000000003</v>
      </c>
      <c r="Q342" s="1">
        <v>86.671000000000006</v>
      </c>
      <c r="R342" s="1">
        <v>-6.7283726000000001</v>
      </c>
      <c r="S342" s="1">
        <v>6.6246213999999997</v>
      </c>
      <c r="T342" s="1">
        <v>8.0011679999999998</v>
      </c>
      <c r="U342" s="1">
        <v>11.452999999999999</v>
      </c>
      <c r="V342" s="1">
        <v>76</v>
      </c>
      <c r="W342" s="1">
        <v>120</v>
      </c>
      <c r="X342" s="1">
        <v>1.5789473684210527</v>
      </c>
      <c r="Y342" s="1">
        <v>80</v>
      </c>
      <c r="Z342" s="1">
        <v>120</v>
      </c>
      <c r="AA342" s="1">
        <v>1.5</v>
      </c>
      <c r="AB342" s="1">
        <v>80.410309244210112</v>
      </c>
      <c r="AC342" s="1">
        <v>119.5277942115499</v>
      </c>
      <c r="AD342" s="1">
        <v>1.4864735048902504</v>
      </c>
      <c r="AE342" t="s">
        <v>4817</v>
      </c>
      <c r="AF342" t="str">
        <f>IF(X342&lt;$AF$1,"Bajo","Alto")</f>
        <v>Bajo</v>
      </c>
      <c r="AG342" t="str">
        <f>LEFT(AE342,1)</f>
        <v>C</v>
      </c>
      <c r="AH342" t="str">
        <f>K342</f>
        <v>F</v>
      </c>
      <c r="AI342" t="str">
        <f>LEFT(AF342,1)</f>
        <v>B</v>
      </c>
      <c r="AJ342" t="str">
        <f>LEFT(M342,1)</f>
        <v>J</v>
      </c>
      <c r="AK342" t="str">
        <f>_xlfn.CONCAT(AG342,AH342,AI342,AJ342)</f>
        <v>CFBJ</v>
      </c>
    </row>
    <row r="343" spans="1:37" ht="15.75" hidden="1" customHeight="1" x14ac:dyDescent="0.2">
      <c r="A343" s="1">
        <v>241304</v>
      </c>
      <c r="B343" s="1" t="s">
        <v>1548</v>
      </c>
      <c r="C343" s="1" t="s">
        <v>1993</v>
      </c>
      <c r="D343" s="1" t="s">
        <v>1659</v>
      </c>
      <c r="E343" s="1" t="s">
        <v>163</v>
      </c>
      <c r="F343" s="1" t="s">
        <v>61</v>
      </c>
      <c r="G343" s="1" t="s">
        <v>3132</v>
      </c>
      <c r="H343" s="1">
        <v>1598</v>
      </c>
      <c r="I343" s="1" t="s">
        <v>3133</v>
      </c>
      <c r="J343" s="1">
        <v>5057</v>
      </c>
      <c r="K343" s="1" t="s">
        <v>35</v>
      </c>
      <c r="L343" s="1">
        <v>51</v>
      </c>
      <c r="M343" s="1" t="str">
        <f>IF(L343&lt;=45,"Joven","Mayor")</f>
        <v>Mayor</v>
      </c>
      <c r="N343" s="1">
        <v>55</v>
      </c>
      <c r="O343" s="1" t="s">
        <v>36</v>
      </c>
      <c r="P343" s="1">
        <v>0.28899999999999998</v>
      </c>
      <c r="Q343" s="1">
        <v>80.754000000000005</v>
      </c>
      <c r="R343" s="1">
        <v>-9.4936779999999992</v>
      </c>
      <c r="S343" s="1">
        <v>6.0668949999999997</v>
      </c>
      <c r="T343" s="1">
        <v>9.0257100000000001</v>
      </c>
      <c r="U343" s="1">
        <v>1.843</v>
      </c>
      <c r="V343" s="1">
        <v>103</v>
      </c>
      <c r="W343" s="1">
        <v>204</v>
      </c>
      <c r="X343" s="1">
        <v>1.9805825242718447</v>
      </c>
      <c r="Y343" s="1">
        <v>110</v>
      </c>
      <c r="Z343" s="1">
        <v>204</v>
      </c>
      <c r="AA343" s="1">
        <v>1.8545454545454545</v>
      </c>
      <c r="AB343" s="1">
        <v>109.0979081572264</v>
      </c>
      <c r="AC343" s="1">
        <v>201.31720357963289</v>
      </c>
      <c r="AD343" s="1">
        <v>1.8452893092093452</v>
      </c>
      <c r="AE343" t="s">
        <v>4817</v>
      </c>
      <c r="AF343" t="str">
        <f>IF(X343&lt;$AF$1,"Bajo","Alto")</f>
        <v>Alto</v>
      </c>
      <c r="AG343" t="str">
        <f>LEFT(AE343,1)</f>
        <v>C</v>
      </c>
      <c r="AH343" t="str">
        <f>K343</f>
        <v>M</v>
      </c>
      <c r="AI343" t="str">
        <f>LEFT(AF343,1)</f>
        <v>A</v>
      </c>
      <c r="AJ343" t="str">
        <f>LEFT(M343,1)</f>
        <v>M</v>
      </c>
      <c r="AK343" t="str">
        <f>_xlfn.CONCAT(AG343,AH343,AI343,AJ343)</f>
        <v>CMAM</v>
      </c>
    </row>
    <row r="344" spans="1:37" ht="15.75" hidden="1" customHeight="1" x14ac:dyDescent="0.2">
      <c r="A344" s="1">
        <v>116704</v>
      </c>
      <c r="B344" s="1" t="s">
        <v>1648</v>
      </c>
      <c r="C344" s="1" t="s">
        <v>51</v>
      </c>
      <c r="D344" s="1" t="s">
        <v>1750</v>
      </c>
      <c r="E344" s="1" t="s">
        <v>715</v>
      </c>
      <c r="F344" s="1" t="s">
        <v>61</v>
      </c>
      <c r="G344" s="1" t="s">
        <v>1753</v>
      </c>
      <c r="H344" s="1">
        <v>966</v>
      </c>
      <c r="I344" s="1" t="s">
        <v>91</v>
      </c>
      <c r="J344" s="1">
        <v>6</v>
      </c>
      <c r="K344" s="1" t="s">
        <v>35</v>
      </c>
      <c r="L344" s="1">
        <v>45</v>
      </c>
      <c r="M344" s="1" t="str">
        <f>IF(L344&lt;=45,"Joven","Mayor")</f>
        <v>Joven</v>
      </c>
      <c r="N344" s="1">
        <v>42</v>
      </c>
      <c r="O344" s="1" t="s">
        <v>36</v>
      </c>
      <c r="P344" s="1">
        <v>0.35599999999999998</v>
      </c>
      <c r="Q344" s="1">
        <v>93.962999999999994</v>
      </c>
      <c r="R344" s="1">
        <v>1.6715821</v>
      </c>
      <c r="S344" s="1">
        <v>1.0830016</v>
      </c>
      <c r="T344" s="1">
        <v>-4.5956799999999998</v>
      </c>
      <c r="U344" s="1">
        <v>10.08</v>
      </c>
      <c r="V344" s="1">
        <v>110</v>
      </c>
      <c r="W344" s="1">
        <v>174</v>
      </c>
      <c r="X344" s="1">
        <v>1.5818181818181818</v>
      </c>
      <c r="Y344" s="1">
        <v>114</v>
      </c>
      <c r="Z344" s="1">
        <v>174</v>
      </c>
      <c r="AA344" s="1">
        <v>1.5263157894736843</v>
      </c>
      <c r="AB344" s="1">
        <v>117.1589269873916</v>
      </c>
      <c r="AC344" s="1">
        <v>173.3604527426692</v>
      </c>
      <c r="AD344" s="1">
        <v>1.4797033158329105</v>
      </c>
      <c r="AE344" t="s">
        <v>4817</v>
      </c>
      <c r="AF344" t="str">
        <f>IF(X344&lt;$AF$1,"Bajo","Alto")</f>
        <v>Bajo</v>
      </c>
      <c r="AG344" t="str">
        <f>LEFT(AE344,1)</f>
        <v>C</v>
      </c>
      <c r="AH344" t="str">
        <f>K344</f>
        <v>M</v>
      </c>
      <c r="AI344" t="str">
        <f>LEFT(AF344,1)</f>
        <v>B</v>
      </c>
      <c r="AJ344" t="str">
        <f>LEFT(M344,1)</f>
        <v>J</v>
      </c>
      <c r="AK344" t="str">
        <f>_xlfn.CONCAT(AG344,AH344,AI344,AJ344)</f>
        <v>CMBJ</v>
      </c>
    </row>
    <row r="345" spans="1:37" ht="15.75" hidden="1" customHeight="1" x14ac:dyDescent="0.2">
      <c r="A345" s="1">
        <v>1260003</v>
      </c>
      <c r="B345" s="1" t="s">
        <v>1798</v>
      </c>
      <c r="C345" s="1" t="s">
        <v>54</v>
      </c>
      <c r="D345" s="1" t="s">
        <v>1864</v>
      </c>
      <c r="E345" s="1" t="s">
        <v>1865</v>
      </c>
      <c r="F345" s="1" t="s">
        <v>63</v>
      </c>
      <c r="G345" s="1" t="s">
        <v>1867</v>
      </c>
      <c r="H345" s="1">
        <v>55</v>
      </c>
      <c r="I345" s="1" t="s">
        <v>108</v>
      </c>
      <c r="J345" s="1">
        <v>3</v>
      </c>
      <c r="K345" s="1" t="s">
        <v>35</v>
      </c>
      <c r="L345" s="1">
        <v>38</v>
      </c>
      <c r="M345" s="1" t="str">
        <f>IF(L345&lt;=45,"Joven","Mayor")</f>
        <v>Joven</v>
      </c>
      <c r="N345" s="1">
        <v>43</v>
      </c>
      <c r="O345" s="1" t="s">
        <v>36</v>
      </c>
      <c r="P345" s="1">
        <v>0.40100000000000002</v>
      </c>
      <c r="Q345" s="1">
        <v>90.897000000000006</v>
      </c>
      <c r="R345" s="1">
        <v>5.5479474</v>
      </c>
      <c r="S345" s="1">
        <v>0.13508321000000001</v>
      </c>
      <c r="T345" s="1">
        <v>-4.0465499999999999</v>
      </c>
      <c r="U345" s="1">
        <v>5.5540000000000003</v>
      </c>
      <c r="V345" s="1">
        <v>77</v>
      </c>
      <c r="W345" s="1">
        <v>154</v>
      </c>
      <c r="X345" s="1">
        <v>2</v>
      </c>
      <c r="Y345" s="1">
        <v>78</v>
      </c>
      <c r="Z345" s="1">
        <v>154</v>
      </c>
      <c r="AA345" s="1">
        <v>1.9743589743589745</v>
      </c>
      <c r="AB345" s="1">
        <v>80.05412107078314</v>
      </c>
      <c r="AC345" s="1">
        <v>153.75721913364441</v>
      </c>
      <c r="AD345" s="1">
        <v>1.9206658829930023</v>
      </c>
      <c r="AE345" t="s">
        <v>4817</v>
      </c>
      <c r="AF345" t="str">
        <f>IF(X345&lt;$AF$1,"Bajo","Alto")</f>
        <v>Alto</v>
      </c>
      <c r="AG345" t="str">
        <f>LEFT(AE345,1)</f>
        <v>C</v>
      </c>
      <c r="AH345" t="str">
        <f>K345</f>
        <v>M</v>
      </c>
      <c r="AI345" t="str">
        <f>LEFT(AF345,1)</f>
        <v>A</v>
      </c>
      <c r="AJ345" t="str">
        <f>LEFT(M345,1)</f>
        <v>J</v>
      </c>
      <c r="AK345" t="str">
        <f>_xlfn.CONCAT(AG345,AH345,AI345,AJ345)</f>
        <v>CMAJ</v>
      </c>
    </row>
    <row r="346" spans="1:37" ht="15.75" hidden="1" customHeight="1" x14ac:dyDescent="0.2">
      <c r="A346" s="1">
        <v>10120601</v>
      </c>
      <c r="B346" s="1" t="s">
        <v>29</v>
      </c>
      <c r="C346" s="1" t="s">
        <v>30</v>
      </c>
      <c r="D346" s="1" t="s">
        <v>370</v>
      </c>
      <c r="E346" s="1" t="s">
        <v>371</v>
      </c>
      <c r="F346" s="1" t="s">
        <v>32</v>
      </c>
      <c r="G346" s="1" t="s">
        <v>372</v>
      </c>
      <c r="H346" s="1">
        <v>3167</v>
      </c>
      <c r="I346" s="1" t="s">
        <v>39</v>
      </c>
      <c r="J346" s="1">
        <v>11</v>
      </c>
      <c r="K346" s="1" t="s">
        <v>35</v>
      </c>
      <c r="L346" s="1">
        <v>34</v>
      </c>
      <c r="M346" s="1" t="str">
        <f>IF(L346&lt;=45,"Joven","Mayor")</f>
        <v>Joven</v>
      </c>
      <c r="N346" s="1">
        <v>26</v>
      </c>
      <c r="O346" s="1" t="s">
        <v>36</v>
      </c>
      <c r="P346" s="1">
        <v>0.46500000000000002</v>
      </c>
      <c r="Q346" s="1">
        <v>90.563999999999993</v>
      </c>
      <c r="R346" s="1">
        <v>4.6857579999999999</v>
      </c>
      <c r="S346" s="1">
        <v>4.6025257000000002</v>
      </c>
      <c r="T346" s="1">
        <v>-6.2694054000000001</v>
      </c>
      <c r="U346" s="1">
        <v>8.8000000000000007</v>
      </c>
      <c r="V346" s="1">
        <v>101</v>
      </c>
      <c r="W346" s="1">
        <v>198</v>
      </c>
      <c r="X346" s="1">
        <v>1.9603960396039604</v>
      </c>
      <c r="Y346" s="1">
        <v>108</v>
      </c>
      <c r="Z346" s="1">
        <v>198</v>
      </c>
      <c r="AA346" s="1">
        <v>1.8333333333333333</v>
      </c>
      <c r="AB346" s="1">
        <v>106.72976587169251</v>
      </c>
      <c r="AC346" s="1">
        <v>198.67230328224471</v>
      </c>
      <c r="AD346" s="1">
        <v>1.8614516921276012</v>
      </c>
      <c r="AE346" t="s">
        <v>4816</v>
      </c>
      <c r="AF346" t="str">
        <f>IF(X346&lt;$AF$1,"Bajo","Alto")</f>
        <v>Alto</v>
      </c>
      <c r="AG346" t="str">
        <f>LEFT(AE346,1)</f>
        <v>D</v>
      </c>
      <c r="AH346" t="str">
        <f>K346</f>
        <v>M</v>
      </c>
      <c r="AI346" t="str">
        <f>LEFT(AF346,1)</f>
        <v>A</v>
      </c>
      <c r="AJ346" t="str">
        <f>LEFT(M346,1)</f>
        <v>J</v>
      </c>
      <c r="AK346" t="str">
        <f>_xlfn.CONCAT(AG346,AH346,AI346,AJ346)</f>
        <v>DMAJ</v>
      </c>
    </row>
    <row r="347" spans="1:37" ht="15.75" hidden="1" customHeight="1" x14ac:dyDescent="0.2">
      <c r="A347" s="1">
        <v>2313907</v>
      </c>
      <c r="B347" s="1" t="s">
        <v>319</v>
      </c>
      <c r="C347" s="1" t="s">
        <v>1989</v>
      </c>
      <c r="D347" s="1" t="s">
        <v>2987</v>
      </c>
      <c r="E347" s="1" t="s">
        <v>176</v>
      </c>
      <c r="F347" s="1" t="s">
        <v>43</v>
      </c>
      <c r="G347" s="1" t="s">
        <v>2993</v>
      </c>
      <c r="H347" s="1">
        <v>287</v>
      </c>
      <c r="I347" s="1" t="s">
        <v>73</v>
      </c>
      <c r="J347" s="1">
        <v>5</v>
      </c>
      <c r="K347" s="1" t="s">
        <v>35</v>
      </c>
      <c r="L347" s="1">
        <v>65</v>
      </c>
      <c r="M347" s="1" t="str">
        <f>IF(L347&lt;=45,"Joven","Mayor")</f>
        <v>Mayor</v>
      </c>
      <c r="N347" s="1">
        <v>63</v>
      </c>
      <c r="O347" s="1" t="s">
        <v>36</v>
      </c>
      <c r="P347" s="1">
        <v>0.35099999999999998</v>
      </c>
      <c r="Q347" s="1">
        <v>86.991</v>
      </c>
      <c r="R347" s="1">
        <v>8.0815169999999998</v>
      </c>
      <c r="S347" s="1">
        <v>0.18608337999999999</v>
      </c>
      <c r="T347" s="1">
        <v>-10.156575</v>
      </c>
      <c r="U347" s="1">
        <v>6.585</v>
      </c>
      <c r="V347" s="1">
        <v>96</v>
      </c>
      <c r="W347" s="1">
        <v>190</v>
      </c>
      <c r="X347" s="1">
        <v>1.9791666666666667</v>
      </c>
      <c r="Y347" s="1">
        <v>110</v>
      </c>
      <c r="Z347" s="1">
        <v>190</v>
      </c>
      <c r="AA347" s="1">
        <v>1.7272727272727273</v>
      </c>
      <c r="AB347" s="1">
        <v>104.0179287505832</v>
      </c>
      <c r="AC347" s="1">
        <v>189.1386775969909</v>
      </c>
      <c r="AD347" s="1">
        <v>1.818327665901831</v>
      </c>
      <c r="AE347" t="s">
        <v>4817</v>
      </c>
      <c r="AF347" t="str">
        <f>IF(X347&lt;$AF$1,"Bajo","Alto")</f>
        <v>Alto</v>
      </c>
      <c r="AG347" t="str">
        <f>LEFT(AE347,1)</f>
        <v>C</v>
      </c>
      <c r="AH347" t="str">
        <f>K347</f>
        <v>M</v>
      </c>
      <c r="AI347" t="str">
        <f>LEFT(AF347,1)</f>
        <v>A</v>
      </c>
      <c r="AJ347" t="str">
        <f>LEFT(M347,1)</f>
        <v>M</v>
      </c>
      <c r="AK347" t="str">
        <f>_xlfn.CONCAT(AG347,AH347,AI347,AJ347)</f>
        <v>CMAM</v>
      </c>
    </row>
    <row r="348" spans="1:37" ht="15.75" hidden="1" customHeight="1" x14ac:dyDescent="0.2">
      <c r="A348" s="1">
        <v>134906</v>
      </c>
      <c r="B348" s="1" t="s">
        <v>956</v>
      </c>
      <c r="C348" s="1" t="s">
        <v>163</v>
      </c>
      <c r="D348" s="1" t="s">
        <v>430</v>
      </c>
      <c r="E348" s="1" t="s">
        <v>673</v>
      </c>
      <c r="F348" s="1" t="s">
        <v>88</v>
      </c>
      <c r="G348" s="1" t="s">
        <v>2055</v>
      </c>
      <c r="H348" s="1">
        <v>71</v>
      </c>
      <c r="I348" s="1" t="s">
        <v>91</v>
      </c>
      <c r="J348" s="1">
        <v>6</v>
      </c>
      <c r="K348" s="1" t="s">
        <v>35</v>
      </c>
      <c r="L348" s="1">
        <v>38</v>
      </c>
      <c r="M348" s="1" t="str">
        <f>IF(L348&lt;=45,"Joven","Mayor")</f>
        <v>Joven</v>
      </c>
      <c r="N348" s="1">
        <v>35</v>
      </c>
      <c r="O348" s="1" t="s">
        <v>36</v>
      </c>
      <c r="P348" s="1">
        <v>0.192</v>
      </c>
      <c r="Q348" s="1">
        <v>93.394000000000005</v>
      </c>
      <c r="R348" s="1">
        <v>1.6652674999999999</v>
      </c>
      <c r="S348" s="1">
        <v>3.9240173999999999</v>
      </c>
      <c r="T348" s="1">
        <v>-1.2897673999999999</v>
      </c>
      <c r="U348" s="1">
        <v>55.567999999999998</v>
      </c>
      <c r="V348" s="1">
        <v>79</v>
      </c>
      <c r="W348" s="1">
        <v>125</v>
      </c>
      <c r="X348" s="1">
        <v>1.5822784810126582</v>
      </c>
      <c r="Y348" s="1">
        <v>81</v>
      </c>
      <c r="Z348" s="1">
        <v>125</v>
      </c>
      <c r="AA348" s="1">
        <v>1.5432098765432098</v>
      </c>
      <c r="AB348" s="1">
        <v>80.146653153718262</v>
      </c>
      <c r="AC348" s="1">
        <v>125.03585700587379</v>
      </c>
      <c r="AD348" s="1">
        <v>1.560088314181501</v>
      </c>
      <c r="AE348" t="s">
        <v>4817</v>
      </c>
      <c r="AF348" t="str">
        <f>IF(X348&lt;$AF$1,"Bajo","Alto")</f>
        <v>Bajo</v>
      </c>
      <c r="AG348" t="str">
        <f>LEFT(AE348,1)</f>
        <v>C</v>
      </c>
      <c r="AH348" t="str">
        <f>K348</f>
        <v>M</v>
      </c>
      <c r="AI348" t="str">
        <f>LEFT(AF348,1)</f>
        <v>B</v>
      </c>
      <c r="AJ348" t="str">
        <f>LEFT(M348,1)</f>
        <v>J</v>
      </c>
      <c r="AK348" t="str">
        <f>_xlfn.CONCAT(AG348,AH348,AI348,AJ348)</f>
        <v>CMBJ</v>
      </c>
    </row>
    <row r="349" spans="1:37" ht="15.75" hidden="1" customHeight="1" x14ac:dyDescent="0.2">
      <c r="A349" s="1">
        <v>1290003</v>
      </c>
      <c r="B349" s="1" t="s">
        <v>1798</v>
      </c>
      <c r="C349" s="1" t="s">
        <v>54</v>
      </c>
      <c r="D349" s="1" t="s">
        <v>1942</v>
      </c>
      <c r="E349" s="1" t="s">
        <v>1943</v>
      </c>
      <c r="F349" s="1" t="s">
        <v>63</v>
      </c>
      <c r="G349" s="1" t="s">
        <v>1945</v>
      </c>
      <c r="H349" s="1">
        <v>4228</v>
      </c>
      <c r="I349" s="1" t="s">
        <v>1946</v>
      </c>
      <c r="J349" s="1">
        <v>2814</v>
      </c>
      <c r="K349" s="1" t="s">
        <v>35</v>
      </c>
      <c r="L349" s="1">
        <v>41</v>
      </c>
      <c r="M349" s="1" t="str">
        <f>IF(L349&lt;=45,"Joven","Mayor")</f>
        <v>Joven</v>
      </c>
      <c r="N349" s="1">
        <v>25</v>
      </c>
      <c r="O349" s="1" t="s">
        <v>36</v>
      </c>
      <c r="P349" s="1">
        <v>0.35899999999999999</v>
      </c>
      <c r="Q349" s="1">
        <v>80.299000000000007</v>
      </c>
      <c r="R349" s="1">
        <v>10.116254</v>
      </c>
      <c r="S349" s="1">
        <v>-3.786556</v>
      </c>
      <c r="T349" s="1">
        <v>-1.4355434</v>
      </c>
      <c r="U349" s="1">
        <v>73.471000000000004</v>
      </c>
      <c r="V349" s="1">
        <v>80</v>
      </c>
      <c r="W349" s="1">
        <v>160</v>
      </c>
      <c r="X349" s="1">
        <v>2</v>
      </c>
      <c r="Y349" s="1">
        <v>80</v>
      </c>
      <c r="Z349" s="1">
        <v>160</v>
      </c>
      <c r="AA349" s="1">
        <v>2</v>
      </c>
      <c r="AB349" s="1">
        <v>80.95193244090342</v>
      </c>
      <c r="AC349" s="1">
        <v>159.9497825499075</v>
      </c>
      <c r="AD349" s="1">
        <v>1.9758612021606048</v>
      </c>
      <c r="AE349" t="s">
        <v>4817</v>
      </c>
      <c r="AF349" t="str">
        <f>IF(X349&lt;$AF$1,"Bajo","Alto")</f>
        <v>Alto</v>
      </c>
      <c r="AG349" t="str">
        <f>LEFT(AE349,1)</f>
        <v>C</v>
      </c>
      <c r="AH349" t="str">
        <f>K349</f>
        <v>M</v>
      </c>
      <c r="AI349" t="str">
        <f>LEFT(AF349,1)</f>
        <v>A</v>
      </c>
      <c r="AJ349" t="str">
        <f>LEFT(M349,1)</f>
        <v>J</v>
      </c>
      <c r="AK349" t="str">
        <f>_xlfn.CONCAT(AG349,AH349,AI349,AJ349)</f>
        <v>CMAJ</v>
      </c>
    </row>
    <row r="350" spans="1:37" ht="15.75" hidden="1" customHeight="1" x14ac:dyDescent="0.2">
      <c r="A350" s="1">
        <v>520102</v>
      </c>
      <c r="B350" s="1" t="s">
        <v>4529</v>
      </c>
      <c r="C350" s="1" t="s">
        <v>685</v>
      </c>
      <c r="D350" s="1" t="s">
        <v>4530</v>
      </c>
      <c r="E350" s="1" t="s">
        <v>32</v>
      </c>
      <c r="F350" s="1" t="s">
        <v>37</v>
      </c>
      <c r="G350" s="1" t="s">
        <v>4532</v>
      </c>
      <c r="H350" s="1">
        <v>9927</v>
      </c>
      <c r="I350" s="1" t="s">
        <v>294</v>
      </c>
      <c r="J350" s="1">
        <v>16</v>
      </c>
      <c r="K350" s="1" t="s">
        <v>35</v>
      </c>
      <c r="L350" s="1">
        <v>74</v>
      </c>
      <c r="M350" s="1" t="str">
        <f>IF(L350&lt;=45,"Joven","Mayor")</f>
        <v>Mayor</v>
      </c>
      <c r="N350" s="1">
        <v>74</v>
      </c>
      <c r="O350" s="1" t="s">
        <v>36</v>
      </c>
      <c r="P350" s="1">
        <v>5.3239999999999998</v>
      </c>
      <c r="Q350" s="1">
        <v>75.366</v>
      </c>
      <c r="R350" s="1">
        <v>-10.647391000000001</v>
      </c>
      <c r="S350" s="1">
        <v>3.4215422000000002</v>
      </c>
      <c r="T350" s="1">
        <v>4.49146</v>
      </c>
      <c r="U350" s="1">
        <v>3.9060000000000001</v>
      </c>
      <c r="V350" s="1">
        <v>102</v>
      </c>
      <c r="W350" s="1">
        <v>158</v>
      </c>
      <c r="X350" s="1">
        <v>1.5490196078431373</v>
      </c>
      <c r="Y350" s="1">
        <v>104</v>
      </c>
      <c r="Z350" s="1">
        <v>158</v>
      </c>
      <c r="AA350" s="1">
        <v>1.5192307692307692</v>
      </c>
      <c r="AB350" s="1">
        <v>104.8191798702096</v>
      </c>
      <c r="AC350" s="1">
        <v>157.2015426850198</v>
      </c>
      <c r="AD350" s="1">
        <v>1.4997402467723149</v>
      </c>
      <c r="AE350" t="s">
        <v>4817</v>
      </c>
      <c r="AF350" t="str">
        <f>IF(X350&lt;$AF$1,"Bajo","Alto")</f>
        <v>Bajo</v>
      </c>
      <c r="AG350" t="str">
        <f>LEFT(AE350,1)</f>
        <v>C</v>
      </c>
      <c r="AH350" t="str">
        <f>K350</f>
        <v>M</v>
      </c>
      <c r="AI350" t="str">
        <f>LEFT(AF350,1)</f>
        <v>B</v>
      </c>
      <c r="AJ350" t="str">
        <f>LEFT(M350,1)</f>
        <v>M</v>
      </c>
      <c r="AK350" t="str">
        <f>_xlfn.CONCAT(AG350,AH350,AI350,AJ350)</f>
        <v>CMBM</v>
      </c>
    </row>
    <row r="351" spans="1:37" ht="15.75" hidden="1" customHeight="1" x14ac:dyDescent="0.2">
      <c r="A351" s="1">
        <v>2717505</v>
      </c>
      <c r="B351" s="1" t="s">
        <v>3409</v>
      </c>
      <c r="C351" s="1" t="s">
        <v>973</v>
      </c>
      <c r="D351" s="1" t="s">
        <v>422</v>
      </c>
      <c r="E351" s="1" t="s">
        <v>296</v>
      </c>
      <c r="F351" s="1" t="s">
        <v>40</v>
      </c>
      <c r="G351" s="1" t="s">
        <v>3567</v>
      </c>
      <c r="H351" s="1">
        <v>218</v>
      </c>
      <c r="I351" s="1" t="s">
        <v>3568</v>
      </c>
      <c r="J351" s="1">
        <v>3617</v>
      </c>
      <c r="K351" s="1" t="s">
        <v>49</v>
      </c>
      <c r="L351" s="1">
        <v>28</v>
      </c>
      <c r="M351" s="1" t="str">
        <f>IF(L351&lt;=45,"Joven","Mayor")</f>
        <v>Joven</v>
      </c>
      <c r="N351" s="1">
        <v>20</v>
      </c>
      <c r="O351" s="1" t="s">
        <v>50</v>
      </c>
      <c r="P351" s="1">
        <v>0.94699999999999995</v>
      </c>
      <c r="Q351" s="1">
        <v>82.918999999999997</v>
      </c>
      <c r="R351" s="1">
        <v>-9.0432830000000006</v>
      </c>
      <c r="S351" s="1">
        <v>4.0413160000000001</v>
      </c>
      <c r="T351" s="1">
        <v>9.3500870000000003</v>
      </c>
      <c r="U351" s="1">
        <v>3.3359999999999999</v>
      </c>
      <c r="V351" s="1">
        <v>69</v>
      </c>
      <c r="W351" s="1">
        <v>109</v>
      </c>
      <c r="X351" s="1">
        <v>1.5797101449275361</v>
      </c>
      <c r="Y351" s="1">
        <v>73</v>
      </c>
      <c r="Z351" s="1">
        <v>109</v>
      </c>
      <c r="AA351" s="1">
        <v>1.4931506849315068</v>
      </c>
      <c r="AB351" s="1">
        <v>73.119730699510455</v>
      </c>
      <c r="AC351" s="1">
        <v>107.8767663184267</v>
      </c>
      <c r="AD351" s="1">
        <v>1.4753441415389259</v>
      </c>
      <c r="AE351" t="s">
        <v>4817</v>
      </c>
      <c r="AF351" t="str">
        <f>IF(X351&lt;$AF$1,"Bajo","Alto")</f>
        <v>Bajo</v>
      </c>
      <c r="AG351" t="str">
        <f>LEFT(AE351,1)</f>
        <v>C</v>
      </c>
      <c r="AH351" t="str">
        <f>K351</f>
        <v>F</v>
      </c>
      <c r="AI351" t="str">
        <f>LEFT(AF351,1)</f>
        <v>B</v>
      </c>
      <c r="AJ351" t="str">
        <f>LEFT(M351,1)</f>
        <v>J</v>
      </c>
      <c r="AK351" t="str">
        <f>_xlfn.CONCAT(AG351,AH351,AI351,AJ351)</f>
        <v>CFBJ</v>
      </c>
    </row>
    <row r="352" spans="1:37" ht="15.75" hidden="1" customHeight="1" x14ac:dyDescent="0.2">
      <c r="A352" s="1">
        <v>1017605</v>
      </c>
      <c r="B352" s="1" t="s">
        <v>29</v>
      </c>
      <c r="C352" s="1" t="s">
        <v>30</v>
      </c>
      <c r="D352" s="1" t="s">
        <v>726</v>
      </c>
      <c r="E352" s="1" t="s">
        <v>727</v>
      </c>
      <c r="F352" s="1" t="s">
        <v>40</v>
      </c>
      <c r="G352" s="1" t="s">
        <v>730</v>
      </c>
      <c r="H352" s="1">
        <v>5</v>
      </c>
      <c r="I352" s="1" t="s">
        <v>93</v>
      </c>
      <c r="J352" s="1">
        <v>9</v>
      </c>
      <c r="K352" s="1" t="s">
        <v>49</v>
      </c>
      <c r="L352" s="1">
        <v>51</v>
      </c>
      <c r="M352" s="1" t="str">
        <f>IF(L352&lt;=45,"Joven","Mayor")</f>
        <v>Mayor</v>
      </c>
      <c r="N352" s="1">
        <v>63</v>
      </c>
      <c r="O352" s="1" t="s">
        <v>50</v>
      </c>
      <c r="P352" s="1">
        <v>0.36199999999999999</v>
      </c>
      <c r="Q352" s="1">
        <v>93.234999999999999</v>
      </c>
      <c r="R352" s="1">
        <v>1.7101359</v>
      </c>
      <c r="S352" s="1">
        <v>-4.2558350000000003</v>
      </c>
      <c r="T352" s="1">
        <v>-2.4856612999999999</v>
      </c>
      <c r="U352" s="1">
        <v>9.4740000000000002</v>
      </c>
      <c r="V352" s="1">
        <v>119</v>
      </c>
      <c r="W352" s="1">
        <v>186</v>
      </c>
      <c r="X352" s="1">
        <v>1.5630252100840336</v>
      </c>
      <c r="Y352" s="1">
        <v>120</v>
      </c>
      <c r="Z352" s="1">
        <v>186</v>
      </c>
      <c r="AA352" s="1">
        <v>1.55</v>
      </c>
      <c r="AB352" s="1">
        <v>120.9697632588538</v>
      </c>
      <c r="AC352" s="1">
        <v>185.8683631528024</v>
      </c>
      <c r="AD352" s="1">
        <v>1.5364861279845372</v>
      </c>
      <c r="AE352" t="s">
        <v>4815</v>
      </c>
      <c r="AF352" t="str">
        <f>IF(X352&lt;$AF$1,"Bajo","Alto")</f>
        <v>Bajo</v>
      </c>
      <c r="AG352" t="str">
        <f>LEFT(AE352,1)</f>
        <v>I</v>
      </c>
      <c r="AH352" t="str">
        <f>K352</f>
        <v>F</v>
      </c>
      <c r="AI352" t="str">
        <f>LEFT(AF352,1)</f>
        <v>B</v>
      </c>
      <c r="AJ352" t="str">
        <f>LEFT(M352,1)</f>
        <v>M</v>
      </c>
      <c r="AK352" t="str">
        <f>_xlfn.CONCAT(AG352,AH352,AI352,AJ352)</f>
        <v>IFBM</v>
      </c>
    </row>
    <row r="353" spans="1:37" ht="15.75" hidden="1" customHeight="1" x14ac:dyDescent="0.2">
      <c r="A353" s="1">
        <v>131002</v>
      </c>
      <c r="B353" s="1" t="s">
        <v>956</v>
      </c>
      <c r="C353" s="1" t="s">
        <v>163</v>
      </c>
      <c r="D353" s="1" t="s">
        <v>1970</v>
      </c>
      <c r="E353" s="1" t="s">
        <v>75</v>
      </c>
      <c r="F353" s="1" t="s">
        <v>37</v>
      </c>
      <c r="G353" s="1" t="s">
        <v>1971</v>
      </c>
      <c r="H353" s="1">
        <v>30247</v>
      </c>
      <c r="I353" s="1" t="s">
        <v>42</v>
      </c>
      <c r="J353" s="1">
        <v>15</v>
      </c>
      <c r="K353" s="1" t="s">
        <v>35</v>
      </c>
      <c r="L353" s="1">
        <v>33</v>
      </c>
      <c r="M353" s="1" t="str">
        <f>IF(L353&lt;=45,"Joven","Mayor")</f>
        <v>Joven</v>
      </c>
      <c r="N353" s="1">
        <v>31</v>
      </c>
      <c r="O353" s="1" t="s">
        <v>36</v>
      </c>
      <c r="P353" s="1">
        <v>0.77900000000000003</v>
      </c>
      <c r="Q353" s="1">
        <v>91.09</v>
      </c>
      <c r="R353" s="1">
        <v>4.2831516000000001</v>
      </c>
      <c r="S353" s="1">
        <v>4.0401544999999999</v>
      </c>
      <c r="T353" s="1">
        <v>-6.4770474</v>
      </c>
      <c r="U353" s="1">
        <v>38.432000000000002</v>
      </c>
      <c r="V353" s="1">
        <v>71</v>
      </c>
      <c r="W353" s="1">
        <v>142</v>
      </c>
      <c r="X353" s="1">
        <v>2</v>
      </c>
      <c r="Y353" s="1">
        <v>73</v>
      </c>
      <c r="Z353" s="1">
        <v>142</v>
      </c>
      <c r="AA353" s="1">
        <v>1.9452054794520548</v>
      </c>
      <c r="AB353" s="1">
        <v>75.17182830944239</v>
      </c>
      <c r="AC353" s="1">
        <v>141.09363174753841</v>
      </c>
      <c r="AD353" s="1">
        <v>1.8769482520330762</v>
      </c>
      <c r="AE353" t="s">
        <v>4817</v>
      </c>
      <c r="AF353" t="str">
        <f>IF(X353&lt;$AF$1,"Bajo","Alto")</f>
        <v>Alto</v>
      </c>
      <c r="AG353" t="str">
        <f>LEFT(AE353,1)</f>
        <v>C</v>
      </c>
      <c r="AH353" t="str">
        <f>K353</f>
        <v>M</v>
      </c>
      <c r="AI353" t="str">
        <f>LEFT(AF353,1)</f>
        <v>A</v>
      </c>
      <c r="AJ353" t="str">
        <f>LEFT(M353,1)</f>
        <v>J</v>
      </c>
      <c r="AK353" t="str">
        <f>_xlfn.CONCAT(AG353,AH353,AI353,AJ353)</f>
        <v>CMAJ</v>
      </c>
    </row>
    <row r="354" spans="1:37" ht="15.75" hidden="1" customHeight="1" x14ac:dyDescent="0.2">
      <c r="A354" s="1">
        <v>132703</v>
      </c>
      <c r="B354" s="1" t="s">
        <v>956</v>
      </c>
      <c r="C354" s="1" t="s">
        <v>163</v>
      </c>
      <c r="D354" s="1" t="s">
        <v>2001</v>
      </c>
      <c r="E354" s="1" t="s">
        <v>973</v>
      </c>
      <c r="F354" s="1" t="s">
        <v>63</v>
      </c>
      <c r="G354" s="1" t="s">
        <v>2004</v>
      </c>
      <c r="H354" s="1">
        <v>1911</v>
      </c>
      <c r="I354" s="1" t="s">
        <v>108</v>
      </c>
      <c r="J354" s="1">
        <v>3</v>
      </c>
      <c r="K354" s="1" t="s">
        <v>35</v>
      </c>
      <c r="L354" s="1">
        <v>44</v>
      </c>
      <c r="M354" s="1" t="str">
        <f>IF(L354&lt;=45,"Joven","Mayor")</f>
        <v>Joven</v>
      </c>
      <c r="N354" s="1">
        <v>46</v>
      </c>
      <c r="O354" s="1" t="s">
        <v>36</v>
      </c>
      <c r="P354" s="1">
        <v>0.72699999999999998</v>
      </c>
      <c r="Q354" s="1">
        <v>90.582999999999998</v>
      </c>
      <c r="R354" s="1">
        <v>1.4967497999999999</v>
      </c>
      <c r="S354" s="1">
        <v>10.556661999999999</v>
      </c>
      <c r="T354" s="1">
        <v>0.50228952999999998</v>
      </c>
      <c r="U354" s="1">
        <v>0.92700000000000005</v>
      </c>
      <c r="V354" s="1">
        <v>91</v>
      </c>
      <c r="W354" s="1">
        <v>144</v>
      </c>
      <c r="X354" s="1">
        <v>1.5824175824175823</v>
      </c>
      <c r="Y354" s="1">
        <v>93</v>
      </c>
      <c r="Z354" s="1">
        <v>144</v>
      </c>
      <c r="AA354" s="1">
        <v>1.5483870967741935</v>
      </c>
      <c r="AB354" s="1">
        <v>93.338319599063198</v>
      </c>
      <c r="AC354" s="1">
        <v>143.92433464144821</v>
      </c>
      <c r="AD354" s="1">
        <v>1.5419640642736911</v>
      </c>
      <c r="AE354" t="s">
        <v>4817</v>
      </c>
      <c r="AF354" t="str">
        <f>IF(X354&lt;$AF$1,"Bajo","Alto")</f>
        <v>Bajo</v>
      </c>
      <c r="AG354" t="str">
        <f>LEFT(AE354,1)</f>
        <v>C</v>
      </c>
      <c r="AH354" t="str">
        <f>K354</f>
        <v>M</v>
      </c>
      <c r="AI354" t="str">
        <f>LEFT(AF354,1)</f>
        <v>B</v>
      </c>
      <c r="AJ354" t="str">
        <f>LEFT(M354,1)</f>
        <v>J</v>
      </c>
      <c r="AK354" t="str">
        <f>_xlfn.CONCAT(AG354,AH354,AI354,AJ354)</f>
        <v>CMBJ</v>
      </c>
    </row>
    <row r="355" spans="1:37" ht="15.75" hidden="1" customHeight="1" x14ac:dyDescent="0.2">
      <c r="A355" s="1">
        <v>315203</v>
      </c>
      <c r="B355" s="1" t="s">
        <v>4122</v>
      </c>
      <c r="C355" s="1" t="s">
        <v>628</v>
      </c>
      <c r="D355" s="1" t="s">
        <v>4227</v>
      </c>
      <c r="E355" s="1" t="s">
        <v>685</v>
      </c>
      <c r="F355" s="1" t="s">
        <v>63</v>
      </c>
      <c r="G355" s="1" t="s">
        <v>4229</v>
      </c>
      <c r="H355" s="1">
        <v>240</v>
      </c>
      <c r="I355" s="1" t="s">
        <v>42</v>
      </c>
      <c r="J355" s="1">
        <v>15</v>
      </c>
      <c r="K355" s="1" t="s">
        <v>35</v>
      </c>
      <c r="L355" s="1">
        <v>50</v>
      </c>
      <c r="M355" s="1" t="str">
        <f>IF(L355&lt;=45,"Joven","Mayor")</f>
        <v>Mayor</v>
      </c>
      <c r="N355" s="1">
        <v>51</v>
      </c>
      <c r="O355" s="1" t="s">
        <v>36</v>
      </c>
      <c r="P355" s="1">
        <v>0.35899999999999999</v>
      </c>
      <c r="Q355" s="1">
        <v>89.981999999999999</v>
      </c>
      <c r="R355" s="1">
        <v>5.1428269999999996</v>
      </c>
      <c r="S355" s="1">
        <v>4.8172459999999999</v>
      </c>
      <c r="T355" s="1">
        <v>-6.1146206999999997</v>
      </c>
      <c r="U355" s="1">
        <v>39.597000000000001</v>
      </c>
      <c r="V355" s="1">
        <v>95</v>
      </c>
      <c r="W355" s="1">
        <v>188</v>
      </c>
      <c r="X355" s="1">
        <v>1.9789473684210526</v>
      </c>
      <c r="Y355" s="1">
        <v>100</v>
      </c>
      <c r="Z355" s="1">
        <v>188</v>
      </c>
      <c r="AA355" s="1">
        <v>1.88</v>
      </c>
      <c r="AB355" s="1">
        <v>99.465862271670858</v>
      </c>
      <c r="AC355" s="1">
        <v>187.4630185400938</v>
      </c>
      <c r="AD355" s="1">
        <v>1.8846970634817053</v>
      </c>
      <c r="AE355" t="s">
        <v>4817</v>
      </c>
      <c r="AF355" t="str">
        <f>IF(X355&lt;$AF$1,"Bajo","Alto")</f>
        <v>Alto</v>
      </c>
      <c r="AG355" t="str">
        <f>LEFT(AE355,1)</f>
        <v>C</v>
      </c>
      <c r="AH355" t="str">
        <f>K355</f>
        <v>M</v>
      </c>
      <c r="AI355" t="str">
        <f>LEFT(AF355,1)</f>
        <v>A</v>
      </c>
      <c r="AJ355" t="str">
        <f>LEFT(M355,1)</f>
        <v>M</v>
      </c>
      <c r="AK355" t="str">
        <f>_xlfn.CONCAT(AG355,AH355,AI355,AJ355)</f>
        <v>CMAM</v>
      </c>
    </row>
    <row r="356" spans="1:37" ht="15.75" hidden="1" customHeight="1" x14ac:dyDescent="0.2">
      <c r="A356" s="1">
        <v>197904</v>
      </c>
      <c r="B356" s="1" t="s">
        <v>2656</v>
      </c>
      <c r="C356" s="1" t="s">
        <v>323</v>
      </c>
      <c r="D356" s="1" t="s">
        <v>2793</v>
      </c>
      <c r="E356" s="1" t="s">
        <v>739</v>
      </c>
      <c r="F356" s="1" t="s">
        <v>61</v>
      </c>
      <c r="G356" s="1" t="s">
        <v>2797</v>
      </c>
      <c r="H356" s="1">
        <v>3362</v>
      </c>
      <c r="I356" s="1" t="s">
        <v>2798</v>
      </c>
      <c r="J356" s="1">
        <v>2791</v>
      </c>
      <c r="K356" s="1" t="s">
        <v>49</v>
      </c>
      <c r="L356" s="1">
        <v>47</v>
      </c>
      <c r="M356" s="1" t="str">
        <f>IF(L356&lt;=45,"Joven","Mayor")</f>
        <v>Mayor</v>
      </c>
      <c r="N356" s="1">
        <v>38</v>
      </c>
      <c r="O356" s="1" t="s">
        <v>50</v>
      </c>
      <c r="P356" s="1">
        <v>0.35699999999999998</v>
      </c>
      <c r="Q356" s="1">
        <v>88.379000000000005</v>
      </c>
      <c r="R356" s="1">
        <v>-6.1373730000000002</v>
      </c>
      <c r="S356" s="1">
        <v>-5.3737954999999999</v>
      </c>
      <c r="T356" s="1">
        <v>14.15155</v>
      </c>
      <c r="U356" s="1">
        <v>13.241</v>
      </c>
      <c r="V356" s="1">
        <v>89</v>
      </c>
      <c r="W356" s="1">
        <v>182</v>
      </c>
      <c r="X356" s="1">
        <v>2.0449438202247192</v>
      </c>
      <c r="Y356" s="1">
        <v>114</v>
      </c>
      <c r="Z356" s="1">
        <v>182</v>
      </c>
      <c r="AA356" s="1">
        <v>1.5964912280701755</v>
      </c>
      <c r="AB356" s="1">
        <v>101.4943395736443</v>
      </c>
      <c r="AC356" s="1">
        <v>181.85546926122379</v>
      </c>
      <c r="AD356" s="1">
        <v>1.7917794236127764</v>
      </c>
      <c r="AE356" t="s">
        <v>4817</v>
      </c>
      <c r="AF356" t="str">
        <f>IF(X356&lt;$AF$1,"Bajo","Alto")</f>
        <v>Alto</v>
      </c>
      <c r="AG356" t="str">
        <f>LEFT(AE356,1)</f>
        <v>C</v>
      </c>
      <c r="AH356" t="str">
        <f>K356</f>
        <v>F</v>
      </c>
      <c r="AI356" t="str">
        <f>LEFT(AF356,1)</f>
        <v>A</v>
      </c>
      <c r="AJ356" t="str">
        <f>LEFT(M356,1)</f>
        <v>M</v>
      </c>
      <c r="AK356" t="str">
        <f>_xlfn.CONCAT(AG356,AH356,AI356,AJ356)</f>
        <v>CFAM</v>
      </c>
    </row>
    <row r="357" spans="1:37" ht="15.75" hidden="1" customHeight="1" x14ac:dyDescent="0.2">
      <c r="A357" s="1">
        <v>197603</v>
      </c>
      <c r="B357" s="1" t="s">
        <v>2656</v>
      </c>
      <c r="C357" s="1" t="s">
        <v>323</v>
      </c>
      <c r="D357" s="1" t="s">
        <v>2791</v>
      </c>
      <c r="E357" s="1" t="s">
        <v>727</v>
      </c>
      <c r="F357" s="1" t="s">
        <v>63</v>
      </c>
      <c r="G357" s="1" t="s">
        <v>2792</v>
      </c>
      <c r="H357" s="1">
        <v>2320</v>
      </c>
      <c r="I357" s="1" t="s">
        <v>108</v>
      </c>
      <c r="J357" s="1">
        <v>3</v>
      </c>
      <c r="K357" s="1" t="s">
        <v>35</v>
      </c>
      <c r="L357" s="1">
        <v>45</v>
      </c>
      <c r="M357" s="1" t="str">
        <f>IF(L357&lt;=45,"Joven","Mayor")</f>
        <v>Joven</v>
      </c>
      <c r="N357" s="1">
        <v>46</v>
      </c>
      <c r="O357" s="1" t="s">
        <v>36</v>
      </c>
      <c r="P357" s="1">
        <v>0.48399999999999999</v>
      </c>
      <c r="Q357" s="1">
        <v>92.26</v>
      </c>
      <c r="R357" s="1">
        <v>3.0635636000000002</v>
      </c>
      <c r="S357" s="1">
        <v>-4.1637279999999999</v>
      </c>
      <c r="T357" s="1">
        <v>-0.13786735999999999</v>
      </c>
      <c r="U357" s="1">
        <v>1.7010000000000001</v>
      </c>
      <c r="V357" s="1">
        <v>101</v>
      </c>
      <c r="W357" s="1">
        <v>202</v>
      </c>
      <c r="X357" s="1">
        <v>2</v>
      </c>
      <c r="Y357" s="1">
        <v>110</v>
      </c>
      <c r="Z357" s="1">
        <v>202</v>
      </c>
      <c r="AA357" s="1">
        <v>1.8363636363636364</v>
      </c>
      <c r="AB357" s="1">
        <v>110.1103684547074</v>
      </c>
      <c r="AC357" s="1">
        <v>201.96813412997381</v>
      </c>
      <c r="AD357" s="1">
        <v>1.8342335691397764</v>
      </c>
      <c r="AE357" t="s">
        <v>4817</v>
      </c>
      <c r="AF357" t="str">
        <f>IF(X357&lt;$AF$1,"Bajo","Alto")</f>
        <v>Alto</v>
      </c>
      <c r="AG357" t="str">
        <f>LEFT(AE357,1)</f>
        <v>C</v>
      </c>
      <c r="AH357" t="str">
        <f>K357</f>
        <v>M</v>
      </c>
      <c r="AI357" t="str">
        <f>LEFT(AF357,1)</f>
        <v>A</v>
      </c>
      <c r="AJ357" t="str">
        <f>LEFT(M357,1)</f>
        <v>J</v>
      </c>
      <c r="AK357" t="str">
        <f>_xlfn.CONCAT(AG357,AH357,AI357,AJ357)</f>
        <v>CMAJ</v>
      </c>
    </row>
    <row r="358" spans="1:37" ht="15.75" hidden="1" customHeight="1" x14ac:dyDescent="0.2">
      <c r="A358" s="1">
        <v>212002</v>
      </c>
      <c r="B358" s="1" t="s">
        <v>2816</v>
      </c>
      <c r="C358" s="1" t="s">
        <v>2817</v>
      </c>
      <c r="D358" s="1" t="s">
        <v>69</v>
      </c>
      <c r="E358" s="1" t="s">
        <v>1983</v>
      </c>
      <c r="F358" s="1" t="s">
        <v>37</v>
      </c>
      <c r="G358" s="1" t="s">
        <v>2849</v>
      </c>
      <c r="H358" s="1">
        <v>3400</v>
      </c>
      <c r="I358" s="1" t="s">
        <v>108</v>
      </c>
      <c r="J358" s="1">
        <v>3</v>
      </c>
      <c r="K358" s="1" t="s">
        <v>35</v>
      </c>
      <c r="L358" s="1">
        <v>57</v>
      </c>
      <c r="M358" s="1" t="str">
        <f>IF(L358&lt;=45,"Joven","Mayor")</f>
        <v>Mayor</v>
      </c>
      <c r="N358" s="1">
        <v>69</v>
      </c>
      <c r="O358" s="1" t="s">
        <v>36</v>
      </c>
      <c r="P358" s="1">
        <v>0.35899999999999999</v>
      </c>
      <c r="Q358" s="1">
        <v>86.912000000000006</v>
      </c>
      <c r="R358" s="1">
        <v>7.0879969999999997</v>
      </c>
      <c r="S358" s="1">
        <v>5.1424050000000001</v>
      </c>
      <c r="T358" s="1">
        <v>-4.0855527</v>
      </c>
      <c r="U358" s="1">
        <v>7.5679999999999996</v>
      </c>
      <c r="V358" s="1">
        <v>111</v>
      </c>
      <c r="W358" s="1">
        <v>172</v>
      </c>
      <c r="X358" s="1">
        <v>1.5495495495495495</v>
      </c>
      <c r="Y358" s="1">
        <v>114</v>
      </c>
      <c r="Z358" s="1">
        <v>172</v>
      </c>
      <c r="AA358" s="1">
        <v>1.5087719298245614</v>
      </c>
      <c r="AB358" s="1">
        <v>114.20897531272659</v>
      </c>
      <c r="AC358" s="1">
        <v>171.63415601070761</v>
      </c>
      <c r="AD358" s="1">
        <v>1.5028079495568505</v>
      </c>
      <c r="AE358" t="s">
        <v>4817</v>
      </c>
      <c r="AF358" t="str">
        <f>IF(X358&lt;$AF$1,"Bajo","Alto")</f>
        <v>Bajo</v>
      </c>
      <c r="AG358" t="str">
        <f>LEFT(AE358,1)</f>
        <v>C</v>
      </c>
      <c r="AH358" t="str">
        <f>K358</f>
        <v>M</v>
      </c>
      <c r="AI358" t="str">
        <f>LEFT(AF358,1)</f>
        <v>B</v>
      </c>
      <c r="AJ358" t="str">
        <f>LEFT(M358,1)</f>
        <v>M</v>
      </c>
      <c r="AK358" t="str">
        <f>_xlfn.CONCAT(AG358,AH358,AI358,AJ358)</f>
        <v>CMBM</v>
      </c>
    </row>
    <row r="359" spans="1:37" ht="15.75" hidden="1" customHeight="1" x14ac:dyDescent="0.2">
      <c r="A359" s="1">
        <v>2910305</v>
      </c>
      <c r="B359" s="1" t="s">
        <v>3890</v>
      </c>
      <c r="C359" s="1" t="s">
        <v>1695</v>
      </c>
      <c r="D359" s="1" t="s">
        <v>3922</v>
      </c>
      <c r="E359" s="1" t="s">
        <v>81</v>
      </c>
      <c r="F359" s="1" t="s">
        <v>40</v>
      </c>
      <c r="G359" s="1" t="s">
        <v>3924</v>
      </c>
      <c r="H359" s="1">
        <v>2741</v>
      </c>
      <c r="I359" s="1" t="s">
        <v>65</v>
      </c>
      <c r="J359" s="1">
        <v>2</v>
      </c>
      <c r="K359" s="1" t="s">
        <v>35</v>
      </c>
      <c r="L359" s="1">
        <v>33</v>
      </c>
      <c r="M359" s="1" t="str">
        <f>IF(L359&lt;=45,"Joven","Mayor")</f>
        <v>Joven</v>
      </c>
      <c r="N359" s="1">
        <v>47</v>
      </c>
      <c r="O359" s="1" t="s">
        <v>36</v>
      </c>
      <c r="P359" s="1">
        <v>0.35399999999999998</v>
      </c>
      <c r="Q359" s="1">
        <v>93.516999999999996</v>
      </c>
      <c r="R359" s="1">
        <v>0.52186142999999996</v>
      </c>
      <c r="S359" s="1">
        <v>5.6582670000000004</v>
      </c>
      <c r="T359" s="1">
        <v>-3.3072461999999998</v>
      </c>
      <c r="U359" s="1">
        <v>1.23</v>
      </c>
      <c r="V359" s="1">
        <v>103</v>
      </c>
      <c r="W359" s="1">
        <v>163</v>
      </c>
      <c r="X359" s="1">
        <v>1.5825242718446602</v>
      </c>
      <c r="Y359" s="1">
        <v>105</v>
      </c>
      <c r="Z359" s="1">
        <v>163</v>
      </c>
      <c r="AA359" s="1">
        <v>1.5523809523809524</v>
      </c>
      <c r="AB359" s="1">
        <v>107.4788786874776</v>
      </c>
      <c r="AC359" s="1">
        <v>162.84390871993989</v>
      </c>
      <c r="AD359" s="1">
        <v>1.5151247455181431</v>
      </c>
      <c r="AE359" t="s">
        <v>4817</v>
      </c>
      <c r="AF359" t="str">
        <f>IF(X359&lt;$AF$1,"Bajo","Alto")</f>
        <v>Bajo</v>
      </c>
      <c r="AG359" t="str">
        <f>LEFT(AE359,1)</f>
        <v>C</v>
      </c>
      <c r="AH359" t="str">
        <f>K359</f>
        <v>M</v>
      </c>
      <c r="AI359" t="str">
        <f>LEFT(AF359,1)</f>
        <v>B</v>
      </c>
      <c r="AJ359" t="str">
        <f>LEFT(M359,1)</f>
        <v>J</v>
      </c>
      <c r="AK359" t="str">
        <f>_xlfn.CONCAT(AG359,AH359,AI359,AJ359)</f>
        <v>CMBJ</v>
      </c>
    </row>
    <row r="360" spans="1:37" ht="15.75" hidden="1" customHeight="1" x14ac:dyDescent="0.2">
      <c r="A360" s="1">
        <v>4632005</v>
      </c>
      <c r="B360" s="1" t="s">
        <v>4382</v>
      </c>
      <c r="C360" s="1" t="s">
        <v>669</v>
      </c>
      <c r="D360" s="1" t="s">
        <v>4391</v>
      </c>
      <c r="E360" s="1" t="s">
        <v>3847</v>
      </c>
      <c r="F360" s="1" t="s">
        <v>40</v>
      </c>
      <c r="G360" s="1" t="s">
        <v>4394</v>
      </c>
      <c r="H360" s="1">
        <v>43</v>
      </c>
      <c r="I360" s="1" t="s">
        <v>42</v>
      </c>
      <c r="J360" s="1">
        <v>15</v>
      </c>
      <c r="K360" s="1" t="s">
        <v>35</v>
      </c>
      <c r="L360" s="1">
        <v>44</v>
      </c>
      <c r="M360" s="1" t="str">
        <f>IF(L360&lt;=45,"Joven","Mayor")</f>
        <v>Joven</v>
      </c>
      <c r="N360" s="1">
        <v>39</v>
      </c>
      <c r="O360" s="1" t="s">
        <v>36</v>
      </c>
      <c r="P360" s="1">
        <v>0.35399999999999998</v>
      </c>
      <c r="Q360" s="1">
        <v>92.534000000000006</v>
      </c>
      <c r="R360" s="1">
        <v>3.2187016000000002</v>
      </c>
      <c r="S360" s="1">
        <v>-2.8679082</v>
      </c>
      <c r="T360" s="1">
        <v>-2.560473</v>
      </c>
      <c r="U360" s="1">
        <v>3.58</v>
      </c>
      <c r="V360" s="1">
        <v>101</v>
      </c>
      <c r="W360" s="1">
        <v>160</v>
      </c>
      <c r="X360" s="1">
        <v>1.5841584158415842</v>
      </c>
      <c r="Y360" s="1">
        <v>101</v>
      </c>
      <c r="Z360" s="1">
        <v>160</v>
      </c>
      <c r="AA360" s="1">
        <v>1.5841584158415842</v>
      </c>
      <c r="AB360" s="1">
        <v>102.9094858261692</v>
      </c>
      <c r="AC360" s="1">
        <v>160.01895555208779</v>
      </c>
      <c r="AD360" s="1">
        <v>1.5549485479150653</v>
      </c>
      <c r="AE360" t="s">
        <v>4817</v>
      </c>
      <c r="AF360" t="str">
        <f>IF(X360&lt;$AF$1,"Bajo","Alto")</f>
        <v>Bajo</v>
      </c>
      <c r="AG360" t="str">
        <f>LEFT(AE360,1)</f>
        <v>C</v>
      </c>
      <c r="AH360" t="str">
        <f>K360</f>
        <v>M</v>
      </c>
      <c r="AI360" t="str">
        <f>LEFT(AF360,1)</f>
        <v>B</v>
      </c>
      <c r="AJ360" t="str">
        <f>LEFT(M360,1)</f>
        <v>J</v>
      </c>
      <c r="AK360" t="str">
        <f>_xlfn.CONCAT(AG360,AH360,AI360,AJ360)</f>
        <v>CMBJ</v>
      </c>
    </row>
    <row r="361" spans="1:37" ht="15.75" hidden="1" customHeight="1" x14ac:dyDescent="0.2">
      <c r="A361" s="1">
        <v>2310906</v>
      </c>
      <c r="B361" s="1" t="s">
        <v>319</v>
      </c>
      <c r="C361" s="1" t="s">
        <v>1989</v>
      </c>
      <c r="D361" s="1" t="s">
        <v>2253</v>
      </c>
      <c r="E361" s="1" t="s">
        <v>98</v>
      </c>
      <c r="F361" s="1" t="s">
        <v>88</v>
      </c>
      <c r="G361" s="1" t="s">
        <v>2939</v>
      </c>
      <c r="H361" s="1">
        <v>2573</v>
      </c>
      <c r="I361" s="1" t="s">
        <v>73</v>
      </c>
      <c r="J361" s="1">
        <v>5</v>
      </c>
      <c r="K361" s="1" t="s">
        <v>35</v>
      </c>
      <c r="L361" s="1">
        <v>50</v>
      </c>
      <c r="M361" s="1" t="str">
        <f>IF(L361&lt;=45,"Joven","Mayor")</f>
        <v>Mayor</v>
      </c>
      <c r="N361" s="1">
        <v>57</v>
      </c>
      <c r="O361" s="1" t="s">
        <v>36</v>
      </c>
      <c r="P361" s="1">
        <v>0.48099999999999998</v>
      </c>
      <c r="Q361" s="1">
        <v>90.582999999999998</v>
      </c>
      <c r="R361" s="1">
        <v>-5.1028074999999999</v>
      </c>
      <c r="S361" s="1">
        <v>3.1491416000000001</v>
      </c>
      <c r="T361" s="1">
        <v>1.8061453000000001</v>
      </c>
      <c r="U361" s="1">
        <v>0.53700000000000003</v>
      </c>
      <c r="V361" s="1">
        <v>89</v>
      </c>
      <c r="W361" s="1">
        <v>138</v>
      </c>
      <c r="X361" s="1">
        <v>1.550561797752809</v>
      </c>
      <c r="Y361" s="1">
        <v>91</v>
      </c>
      <c r="Z361" s="1">
        <v>138</v>
      </c>
      <c r="AA361" s="1">
        <v>1.5164835164835164</v>
      </c>
      <c r="AB361" s="1">
        <v>90.058912180554444</v>
      </c>
      <c r="AC361" s="1">
        <v>137.99447554075729</v>
      </c>
      <c r="AD361" s="1">
        <v>1.532268958169285</v>
      </c>
      <c r="AE361" t="s">
        <v>4817</v>
      </c>
      <c r="AF361" t="str">
        <f>IF(X361&lt;$AF$1,"Bajo","Alto")</f>
        <v>Bajo</v>
      </c>
      <c r="AG361" t="str">
        <f>LEFT(AE361,1)</f>
        <v>C</v>
      </c>
      <c r="AH361" t="str">
        <f>K361</f>
        <v>M</v>
      </c>
      <c r="AI361" t="str">
        <f>LEFT(AF361,1)</f>
        <v>B</v>
      </c>
      <c r="AJ361" t="str">
        <f>LEFT(M361,1)</f>
        <v>M</v>
      </c>
      <c r="AK361" t="str">
        <f>_xlfn.CONCAT(AG361,AH361,AI361,AJ361)</f>
        <v>CMBM</v>
      </c>
    </row>
    <row r="362" spans="1:37" ht="15.75" hidden="1" customHeight="1" x14ac:dyDescent="0.2">
      <c r="A362" s="1">
        <v>1272001</v>
      </c>
      <c r="B362" s="1" t="s">
        <v>1798</v>
      </c>
      <c r="C362" s="1" t="s">
        <v>54</v>
      </c>
      <c r="D362" s="1" t="s">
        <v>1899</v>
      </c>
      <c r="E362" s="1" t="s">
        <v>1900</v>
      </c>
      <c r="F362" s="1" t="s">
        <v>32</v>
      </c>
      <c r="G362" s="1" t="s">
        <v>1901</v>
      </c>
      <c r="H362" s="1">
        <v>22</v>
      </c>
      <c r="I362" s="1" t="s">
        <v>294</v>
      </c>
      <c r="J362" s="1">
        <v>16</v>
      </c>
      <c r="K362" s="1" t="s">
        <v>35</v>
      </c>
      <c r="L362" s="1">
        <v>63</v>
      </c>
      <c r="M362" s="1" t="str">
        <f>IF(L362&lt;=45,"Joven","Mayor")</f>
        <v>Mayor</v>
      </c>
      <c r="N362" s="1">
        <v>62</v>
      </c>
      <c r="O362" s="1" t="s">
        <v>36</v>
      </c>
      <c r="P362" s="1">
        <v>8.4000000000000005E-2</v>
      </c>
      <c r="Q362" s="1">
        <v>94.397000000000006</v>
      </c>
      <c r="R362" s="1">
        <v>-0.15408309000000001</v>
      </c>
      <c r="S362" s="1">
        <v>3.1190407000000002</v>
      </c>
      <c r="T362" s="1">
        <v>2.1631258</v>
      </c>
      <c r="U362" s="1">
        <v>0.86799999999999999</v>
      </c>
      <c r="V362" s="1">
        <v>91</v>
      </c>
      <c r="W362" s="1">
        <v>180</v>
      </c>
      <c r="X362" s="1">
        <v>1.9780219780219781</v>
      </c>
      <c r="Y362" s="1">
        <v>96</v>
      </c>
      <c r="Z362" s="1">
        <v>180</v>
      </c>
      <c r="AA362" s="1">
        <v>1.875</v>
      </c>
      <c r="AB362" s="1">
        <v>94.421803860784394</v>
      </c>
      <c r="AC362" s="1">
        <v>180.09820288651511</v>
      </c>
      <c r="AD362" s="1">
        <v>1.907379392497649</v>
      </c>
      <c r="AE362" t="s">
        <v>4817</v>
      </c>
      <c r="AF362" t="str">
        <f>IF(X362&lt;$AF$1,"Bajo","Alto")</f>
        <v>Alto</v>
      </c>
      <c r="AG362" t="str">
        <f>LEFT(AE362,1)</f>
        <v>C</v>
      </c>
      <c r="AH362" t="str">
        <f>K362</f>
        <v>M</v>
      </c>
      <c r="AI362" t="str">
        <f>LEFT(AF362,1)</f>
        <v>A</v>
      </c>
      <c r="AJ362" t="str">
        <f>LEFT(M362,1)</f>
        <v>M</v>
      </c>
      <c r="AK362" t="str">
        <f>_xlfn.CONCAT(AG362,AH362,AI362,AJ362)</f>
        <v>CMAM</v>
      </c>
    </row>
    <row r="363" spans="1:37" ht="15.75" hidden="1" customHeight="1" x14ac:dyDescent="0.2">
      <c r="A363" s="1">
        <v>2713007</v>
      </c>
      <c r="B363" s="1" t="s">
        <v>3409</v>
      </c>
      <c r="C363" s="1" t="s">
        <v>973</v>
      </c>
      <c r="D363" s="1" t="s">
        <v>3476</v>
      </c>
      <c r="E363" s="1" t="s">
        <v>158</v>
      </c>
      <c r="F363" s="1" t="s">
        <v>43</v>
      </c>
      <c r="G363" s="1" t="s">
        <v>3483</v>
      </c>
      <c r="H363" s="1">
        <v>381</v>
      </c>
      <c r="I363" s="1" t="s">
        <v>3484</v>
      </c>
      <c r="J363" s="1">
        <v>4227</v>
      </c>
      <c r="K363" s="1" t="s">
        <v>49</v>
      </c>
      <c r="L363" s="1">
        <v>30</v>
      </c>
      <c r="M363" s="1" t="str">
        <f>IF(L363&lt;=45,"Joven","Mayor")</f>
        <v>Joven</v>
      </c>
      <c r="N363" s="1">
        <v>42</v>
      </c>
      <c r="O363" s="1" t="s">
        <v>50</v>
      </c>
      <c r="P363" s="1">
        <v>0.35699999999999998</v>
      </c>
      <c r="Q363" s="1">
        <v>89.960999999999999</v>
      </c>
      <c r="R363" s="1">
        <v>-1.9208763</v>
      </c>
      <c r="S363" s="1">
        <v>11.1439085</v>
      </c>
      <c r="T363" s="1">
        <v>1.4635171</v>
      </c>
      <c r="U363" s="1">
        <v>1.343</v>
      </c>
      <c r="V363" s="1">
        <v>84</v>
      </c>
      <c r="W363" s="1">
        <v>134</v>
      </c>
      <c r="X363" s="1">
        <v>1.5952380952380953</v>
      </c>
      <c r="Y363" s="1">
        <v>85</v>
      </c>
      <c r="Z363" s="1">
        <v>134</v>
      </c>
      <c r="AA363" s="1">
        <v>1.5764705882352941</v>
      </c>
      <c r="AB363" s="1">
        <v>84.866512902224713</v>
      </c>
      <c r="AC363" s="1">
        <v>134.05844957257841</v>
      </c>
      <c r="AD363" s="1">
        <v>1.5796389528461958</v>
      </c>
      <c r="AE363" t="s">
        <v>4817</v>
      </c>
      <c r="AF363" t="str">
        <f>IF(X363&lt;$AF$1,"Bajo","Alto")</f>
        <v>Bajo</v>
      </c>
      <c r="AG363" t="str">
        <f>LEFT(AE363,1)</f>
        <v>C</v>
      </c>
      <c r="AH363" t="str">
        <f>K363</f>
        <v>F</v>
      </c>
      <c r="AI363" t="str">
        <f>LEFT(AF363,1)</f>
        <v>B</v>
      </c>
      <c r="AJ363" t="str">
        <f>LEFT(M363,1)</f>
        <v>J</v>
      </c>
      <c r="AK363" t="str">
        <f>_xlfn.CONCAT(AG363,AH363,AI363,AJ363)</f>
        <v>CFBJ</v>
      </c>
    </row>
    <row r="364" spans="1:37" ht="15.75" hidden="1" customHeight="1" x14ac:dyDescent="0.2">
      <c r="A364" s="1">
        <v>173104</v>
      </c>
      <c r="B364" s="1" t="s">
        <v>2551</v>
      </c>
      <c r="C364" s="1" t="s">
        <v>2552</v>
      </c>
      <c r="D364" s="1" t="s">
        <v>2621</v>
      </c>
      <c r="E364" s="1" t="s">
        <v>628</v>
      </c>
      <c r="F364" s="1" t="s">
        <v>61</v>
      </c>
      <c r="G364" s="1" t="s">
        <v>2624</v>
      </c>
      <c r="H364" s="1">
        <v>599</v>
      </c>
      <c r="I364" s="1" t="s">
        <v>2625</v>
      </c>
      <c r="J364" s="1">
        <v>2592</v>
      </c>
      <c r="K364" s="1" t="s">
        <v>35</v>
      </c>
      <c r="L364" s="1">
        <v>42</v>
      </c>
      <c r="M364" s="1" t="str">
        <f>IF(L364&lt;=45,"Joven","Mayor")</f>
        <v>Joven</v>
      </c>
      <c r="N364" s="1">
        <v>44</v>
      </c>
      <c r="O364" s="1" t="s">
        <v>36</v>
      </c>
      <c r="P364" s="1">
        <v>0.19</v>
      </c>
      <c r="Q364" s="1">
        <v>93.524000000000001</v>
      </c>
      <c r="R364" s="1">
        <v>-0.54668914999999996</v>
      </c>
      <c r="S364" s="1">
        <v>5.7284600000000001</v>
      </c>
      <c r="T364" s="1">
        <v>0.84772336000000004</v>
      </c>
      <c r="U364" s="1">
        <v>66.375</v>
      </c>
      <c r="V364" s="1">
        <v>93</v>
      </c>
      <c r="W364" s="1">
        <v>182</v>
      </c>
      <c r="X364" s="1">
        <v>1.956989247311828</v>
      </c>
      <c r="Y364" s="1">
        <v>94</v>
      </c>
      <c r="Z364" s="1">
        <v>182</v>
      </c>
      <c r="AA364" s="1">
        <v>1.9361702127659575</v>
      </c>
      <c r="AB364" s="1">
        <v>93.626006961547318</v>
      </c>
      <c r="AC364" s="1">
        <v>182.00966971895701</v>
      </c>
      <c r="AD364" s="1">
        <v>1.9440076067081373</v>
      </c>
      <c r="AE364" t="s">
        <v>4815</v>
      </c>
      <c r="AF364" t="str">
        <f>IF(X364&lt;$AF$1,"Bajo","Alto")</f>
        <v>Alto</v>
      </c>
      <c r="AG364" t="str">
        <f>LEFT(AE364,1)</f>
        <v>I</v>
      </c>
      <c r="AH364" t="str">
        <f>K364</f>
        <v>M</v>
      </c>
      <c r="AI364" t="str">
        <f>LEFT(AF364,1)</f>
        <v>A</v>
      </c>
      <c r="AJ364" t="str">
        <f>LEFT(M364,1)</f>
        <v>J</v>
      </c>
      <c r="AK364" t="str">
        <f>_xlfn.CONCAT(AG364,AH364,AI364,AJ364)</f>
        <v>IMAJ</v>
      </c>
    </row>
    <row r="365" spans="1:37" ht="15.75" hidden="1" customHeight="1" x14ac:dyDescent="0.2">
      <c r="A365" s="1">
        <v>215803</v>
      </c>
      <c r="B365" s="1" t="s">
        <v>2816</v>
      </c>
      <c r="C365" s="1" t="s">
        <v>2817</v>
      </c>
      <c r="D365" s="1" t="s">
        <v>2893</v>
      </c>
      <c r="E365" s="1" t="s">
        <v>695</v>
      </c>
      <c r="F365" s="1" t="s">
        <v>63</v>
      </c>
      <c r="G365" s="1" t="s">
        <v>2894</v>
      </c>
      <c r="H365" s="1">
        <v>2937</v>
      </c>
      <c r="I365" s="1" t="s">
        <v>108</v>
      </c>
      <c r="J365" s="1">
        <v>3</v>
      </c>
      <c r="K365" s="1" t="s">
        <v>35</v>
      </c>
      <c r="L365" s="1">
        <v>44</v>
      </c>
      <c r="M365" s="1" t="str">
        <f>IF(L365&lt;=45,"Joven","Mayor")</f>
        <v>Joven</v>
      </c>
      <c r="N365" s="1">
        <v>36</v>
      </c>
      <c r="O365" s="1" t="s">
        <v>36</v>
      </c>
      <c r="P365" s="1">
        <v>0.34100000000000003</v>
      </c>
      <c r="Q365" s="1">
        <v>87.597999999999999</v>
      </c>
      <c r="R365" s="1">
        <v>-6.4996185000000004</v>
      </c>
      <c r="S365" s="1">
        <v>5.8090824999999997</v>
      </c>
      <c r="T365" s="1">
        <v>2.7962954</v>
      </c>
      <c r="U365" s="1">
        <v>11.916</v>
      </c>
      <c r="V365" s="1">
        <v>37</v>
      </c>
      <c r="W365" s="1">
        <v>74</v>
      </c>
      <c r="X365" s="1">
        <v>2</v>
      </c>
      <c r="Y365" s="1">
        <v>37</v>
      </c>
      <c r="Z365" s="1">
        <v>74</v>
      </c>
      <c r="AA365" s="1">
        <v>2</v>
      </c>
      <c r="AB365" s="1">
        <v>37.882862467919487</v>
      </c>
      <c r="AC365" s="1">
        <v>73.863102548528332</v>
      </c>
      <c r="AD365" s="1">
        <v>1.949776171509694</v>
      </c>
      <c r="AE365" t="s">
        <v>4817</v>
      </c>
      <c r="AF365" t="str">
        <f>IF(X365&lt;$AF$1,"Bajo","Alto")</f>
        <v>Alto</v>
      </c>
      <c r="AG365" t="str">
        <f>LEFT(AE365,1)</f>
        <v>C</v>
      </c>
      <c r="AH365" t="str">
        <f>K365</f>
        <v>M</v>
      </c>
      <c r="AI365" t="str">
        <f>LEFT(AF365,1)</f>
        <v>A</v>
      </c>
      <c r="AJ365" t="str">
        <f>LEFT(M365,1)</f>
        <v>J</v>
      </c>
      <c r="AK365" t="str">
        <f>_xlfn.CONCAT(AG365,AH365,AI365,AJ365)</f>
        <v>CMAJ</v>
      </c>
    </row>
    <row r="366" spans="1:37" ht="15.75" hidden="1" customHeight="1" x14ac:dyDescent="0.2">
      <c r="A366" s="1">
        <v>298906</v>
      </c>
      <c r="B366" s="1" t="s">
        <v>3890</v>
      </c>
      <c r="C366" s="1" t="s">
        <v>1695</v>
      </c>
      <c r="D366" s="1" t="s">
        <v>4099</v>
      </c>
      <c r="E366" s="1" t="s">
        <v>4100</v>
      </c>
      <c r="F366" s="1" t="s">
        <v>88</v>
      </c>
      <c r="G366" s="1" t="s">
        <v>4106</v>
      </c>
      <c r="H366" s="1">
        <v>4985</v>
      </c>
      <c r="I366" s="1" t="s">
        <v>91</v>
      </c>
      <c r="J366" s="1">
        <v>6</v>
      </c>
      <c r="K366" s="1" t="s">
        <v>35</v>
      </c>
      <c r="L366" s="1">
        <v>44</v>
      </c>
      <c r="M366" s="1" t="str">
        <f>IF(L366&lt;=45,"Joven","Mayor")</f>
        <v>Joven</v>
      </c>
      <c r="N366" s="1">
        <v>49</v>
      </c>
      <c r="O366" s="1" t="s">
        <v>36</v>
      </c>
      <c r="P366" s="1">
        <v>0.33500000000000002</v>
      </c>
      <c r="Q366" s="1">
        <v>91.004999999999995</v>
      </c>
      <c r="R366" s="1">
        <v>-4.4644823000000002</v>
      </c>
      <c r="S366" s="1">
        <v>4.1657175999999998</v>
      </c>
      <c r="T366" s="1">
        <v>-0.13903397000000001</v>
      </c>
      <c r="U366" s="1">
        <v>1.26</v>
      </c>
      <c r="V366" s="1">
        <v>94</v>
      </c>
      <c r="W366" s="1">
        <v>149</v>
      </c>
      <c r="X366" s="1">
        <v>1.5851063829787233</v>
      </c>
      <c r="Y366" s="1">
        <v>96</v>
      </c>
      <c r="Z366" s="1">
        <v>149</v>
      </c>
      <c r="AA366" s="1">
        <v>1.5520833333333333</v>
      </c>
      <c r="AB366" s="1">
        <v>96.09920788226168</v>
      </c>
      <c r="AC366" s="1">
        <v>148.99713471697621</v>
      </c>
      <c r="AD366" s="1">
        <v>1.5504512263984915</v>
      </c>
      <c r="AE366" t="s">
        <v>4817</v>
      </c>
      <c r="AF366" t="str">
        <f>IF(X366&lt;$AF$1,"Bajo","Alto")</f>
        <v>Bajo</v>
      </c>
      <c r="AG366" t="str">
        <f>LEFT(AE366,1)</f>
        <v>C</v>
      </c>
      <c r="AH366" t="str">
        <f>K366</f>
        <v>M</v>
      </c>
      <c r="AI366" t="str">
        <f>LEFT(AF366,1)</f>
        <v>B</v>
      </c>
      <c r="AJ366" t="str">
        <f>LEFT(M366,1)</f>
        <v>J</v>
      </c>
      <c r="AK366" t="str">
        <f>_xlfn.CONCAT(AG366,AH366,AI366,AJ366)</f>
        <v>CMBJ</v>
      </c>
    </row>
    <row r="367" spans="1:37" ht="15.75" hidden="1" customHeight="1" x14ac:dyDescent="0.2">
      <c r="A367" s="1">
        <v>2310101</v>
      </c>
      <c r="B367" s="1" t="s">
        <v>319</v>
      </c>
      <c r="C367" s="1" t="s">
        <v>1989</v>
      </c>
      <c r="D367" s="1" t="s">
        <v>2925</v>
      </c>
      <c r="E367" s="1" t="s">
        <v>30</v>
      </c>
      <c r="F367" s="1" t="s">
        <v>32</v>
      </c>
      <c r="G367" s="1" t="s">
        <v>2926</v>
      </c>
      <c r="H367" s="1">
        <v>1808</v>
      </c>
      <c r="I367" s="1" t="s">
        <v>48</v>
      </c>
      <c r="J367" s="1">
        <v>4</v>
      </c>
      <c r="K367" s="1" t="s">
        <v>35</v>
      </c>
      <c r="L367" s="1">
        <v>49</v>
      </c>
      <c r="M367" s="1" t="str">
        <f>IF(L367&lt;=45,"Joven","Mayor")</f>
        <v>Mayor</v>
      </c>
      <c r="N367" s="1">
        <v>57</v>
      </c>
      <c r="O367" s="1" t="s">
        <v>36</v>
      </c>
      <c r="P367" s="1">
        <v>0.33300000000000002</v>
      </c>
      <c r="Q367" s="1">
        <v>92.926000000000002</v>
      </c>
      <c r="R367" s="1">
        <v>1.9464809000000001</v>
      </c>
      <c r="S367" s="1">
        <v>4.8278930000000004</v>
      </c>
      <c r="T367" s="1">
        <v>-2.318654</v>
      </c>
      <c r="U367" s="1">
        <v>8.5609999999999999</v>
      </c>
      <c r="V367" s="1">
        <v>107</v>
      </c>
      <c r="W367" s="1">
        <v>166</v>
      </c>
      <c r="X367" s="1">
        <v>1.5514018691588785</v>
      </c>
      <c r="Y367" s="1">
        <v>108</v>
      </c>
      <c r="Z367" s="1">
        <v>166</v>
      </c>
      <c r="AA367" s="1">
        <v>1.537037037037037</v>
      </c>
      <c r="AB367" s="1">
        <v>109.81306162677561</v>
      </c>
      <c r="AC367" s="1">
        <v>166.0259202733578</v>
      </c>
      <c r="AD367" s="1">
        <v>1.5118959239806484</v>
      </c>
      <c r="AE367" t="s">
        <v>4817</v>
      </c>
      <c r="AF367" t="str">
        <f>IF(X367&lt;$AF$1,"Bajo","Alto")</f>
        <v>Bajo</v>
      </c>
      <c r="AG367" t="str">
        <f>LEFT(AE367,1)</f>
        <v>C</v>
      </c>
      <c r="AH367" t="str">
        <f>K367</f>
        <v>M</v>
      </c>
      <c r="AI367" t="str">
        <f>LEFT(AF367,1)</f>
        <v>B</v>
      </c>
      <c r="AJ367" t="str">
        <f>LEFT(M367,1)</f>
        <v>M</v>
      </c>
      <c r="AK367" t="str">
        <f>_xlfn.CONCAT(AG367,AH367,AI367,AJ367)</f>
        <v>CMBM</v>
      </c>
    </row>
    <row r="368" spans="1:37" ht="15.75" hidden="1" customHeight="1" x14ac:dyDescent="0.2">
      <c r="A368" s="1">
        <v>310705</v>
      </c>
      <c r="B368" s="1" t="s">
        <v>4122</v>
      </c>
      <c r="C368" s="1" t="s">
        <v>628</v>
      </c>
      <c r="D368" s="1" t="s">
        <v>4130</v>
      </c>
      <c r="E368" s="1" t="s">
        <v>43</v>
      </c>
      <c r="F368" s="1" t="s">
        <v>40</v>
      </c>
      <c r="G368" s="1" t="s">
        <v>4134</v>
      </c>
      <c r="H368" s="1">
        <v>1619</v>
      </c>
      <c r="I368" s="1" t="s">
        <v>4135</v>
      </c>
      <c r="J368" s="1">
        <v>3046</v>
      </c>
      <c r="K368" s="1" t="s">
        <v>49</v>
      </c>
      <c r="L368" s="1">
        <v>40</v>
      </c>
      <c r="M368" s="1" t="str">
        <f>IF(L368&lt;=45,"Joven","Mayor")</f>
        <v>Joven</v>
      </c>
      <c r="N368" s="1">
        <v>32</v>
      </c>
      <c r="O368" s="1" t="s">
        <v>50</v>
      </c>
      <c r="P368" s="1">
        <v>0.35799999999999998</v>
      </c>
      <c r="Q368" s="1">
        <v>92.984999999999999</v>
      </c>
      <c r="R368" s="1">
        <v>-2.1223667000000002</v>
      </c>
      <c r="S368" s="1">
        <v>4.1924114000000001</v>
      </c>
      <c r="T368" s="1">
        <v>-2.795302</v>
      </c>
      <c r="U368" s="1">
        <v>53.750999999999998</v>
      </c>
      <c r="V368" s="1">
        <v>95</v>
      </c>
      <c r="W368" s="1">
        <v>152</v>
      </c>
      <c r="X368" s="1">
        <v>1.6</v>
      </c>
      <c r="Y368" s="1">
        <v>96</v>
      </c>
      <c r="Z368" s="1">
        <v>152</v>
      </c>
      <c r="AA368" s="1">
        <v>1.5833333333333333</v>
      </c>
      <c r="AB368" s="1">
        <v>96.983981741652997</v>
      </c>
      <c r="AC368" s="1">
        <v>152.06298055593609</v>
      </c>
      <c r="AD368" s="1">
        <v>1.567918514224371</v>
      </c>
      <c r="AE368" t="s">
        <v>4817</v>
      </c>
      <c r="AF368" t="str">
        <f>IF(X368&lt;$AF$1,"Bajo","Alto")</f>
        <v>Bajo</v>
      </c>
      <c r="AG368" t="str">
        <f>LEFT(AE368,1)</f>
        <v>C</v>
      </c>
      <c r="AH368" t="str">
        <f>K368</f>
        <v>F</v>
      </c>
      <c r="AI368" t="str">
        <f>LEFT(AF368,1)</f>
        <v>B</v>
      </c>
      <c r="AJ368" t="str">
        <f>LEFT(M368,1)</f>
        <v>J</v>
      </c>
      <c r="AK368" t="str">
        <f>_xlfn.CONCAT(AG368,AH368,AI368,AJ368)</f>
        <v>CFBJ</v>
      </c>
    </row>
    <row r="369" spans="1:37" ht="15.75" hidden="1" customHeight="1" x14ac:dyDescent="0.2">
      <c r="A369" s="1">
        <v>10123506</v>
      </c>
      <c r="B369" s="1" t="s">
        <v>29</v>
      </c>
      <c r="C369" s="1" t="s">
        <v>30</v>
      </c>
      <c r="D369" s="1" t="s">
        <v>464</v>
      </c>
      <c r="E369" s="1" t="s">
        <v>465</v>
      </c>
      <c r="F369" s="1" t="s">
        <v>88</v>
      </c>
      <c r="G369" s="1" t="s">
        <v>470</v>
      </c>
      <c r="H369" s="1">
        <v>5056</v>
      </c>
      <c r="I369" s="1" t="s">
        <v>471</v>
      </c>
      <c r="J369" s="1">
        <v>3138</v>
      </c>
      <c r="K369" s="1" t="s">
        <v>35</v>
      </c>
      <c r="L369" s="1">
        <v>49</v>
      </c>
      <c r="M369" s="1" t="str">
        <f>IF(L369&lt;=45,"Joven","Mayor")</f>
        <v>Mayor</v>
      </c>
      <c r="N369" s="1">
        <v>40</v>
      </c>
      <c r="O369" s="1" t="s">
        <v>36</v>
      </c>
      <c r="P369" s="1">
        <v>0.32600000000000001</v>
      </c>
      <c r="Q369" s="1">
        <v>91.536000000000001</v>
      </c>
      <c r="R369" s="1">
        <v>1.6675276000000001</v>
      </c>
      <c r="S369" s="1">
        <v>8.8791829999999994</v>
      </c>
      <c r="T369" s="1">
        <v>10.846928</v>
      </c>
      <c r="U369" s="1">
        <v>67.085999999999999</v>
      </c>
      <c r="V369" s="1">
        <v>88</v>
      </c>
      <c r="W369" s="1">
        <v>174</v>
      </c>
      <c r="X369" s="1">
        <v>1.9772727272727273</v>
      </c>
      <c r="Y369" s="1">
        <v>109</v>
      </c>
      <c r="Z369" s="1">
        <v>174</v>
      </c>
      <c r="AA369" s="1">
        <v>1.5963302752293578</v>
      </c>
      <c r="AB369" s="1">
        <v>101.21878616111459</v>
      </c>
      <c r="AC369" s="1">
        <v>176.91316511941159</v>
      </c>
      <c r="AD369" s="1">
        <v>1.7478293489689827</v>
      </c>
      <c r="AE369" t="s">
        <v>4817</v>
      </c>
      <c r="AF369" t="str">
        <f>IF(X369&lt;$AF$1,"Bajo","Alto")</f>
        <v>Alto</v>
      </c>
      <c r="AG369" t="str">
        <f>LEFT(AE369,1)</f>
        <v>C</v>
      </c>
      <c r="AH369" t="str">
        <f>K369</f>
        <v>M</v>
      </c>
      <c r="AI369" t="str">
        <f>LEFT(AF369,1)</f>
        <v>A</v>
      </c>
      <c r="AJ369" t="str">
        <f>LEFT(M369,1)</f>
        <v>M</v>
      </c>
      <c r="AK369" t="str">
        <f>_xlfn.CONCAT(AG369,AH369,AI369,AJ369)</f>
        <v>CMAM</v>
      </c>
    </row>
    <row r="370" spans="1:37" ht="15.75" hidden="1" customHeight="1" x14ac:dyDescent="0.2">
      <c r="A370" s="1">
        <v>482003</v>
      </c>
      <c r="B370" s="1" t="s">
        <v>4465</v>
      </c>
      <c r="C370" s="1" t="s">
        <v>2650</v>
      </c>
      <c r="D370" s="1" t="s">
        <v>929</v>
      </c>
      <c r="E370" s="1" t="s">
        <v>1983</v>
      </c>
      <c r="F370" s="1" t="s">
        <v>63</v>
      </c>
      <c r="G370" s="1" t="s">
        <v>4521</v>
      </c>
      <c r="H370" s="1">
        <v>5245</v>
      </c>
      <c r="I370" s="1" t="s">
        <v>4522</v>
      </c>
      <c r="J370" s="1">
        <v>4016</v>
      </c>
      <c r="K370" s="1" t="s">
        <v>35</v>
      </c>
      <c r="L370" s="1">
        <v>67</v>
      </c>
      <c r="M370" s="1" t="str">
        <f>IF(L370&lt;=45,"Joven","Mayor")</f>
        <v>Mayor</v>
      </c>
      <c r="N370" s="1">
        <v>63</v>
      </c>
      <c r="O370" s="1" t="s">
        <v>36</v>
      </c>
      <c r="P370" s="1">
        <v>0.45700000000000002</v>
      </c>
      <c r="Q370" s="1">
        <v>85.494</v>
      </c>
      <c r="R370" s="1">
        <v>8.5451490000000003</v>
      </c>
      <c r="S370" s="1">
        <v>1.6032827000000001</v>
      </c>
      <c r="T370" s="1">
        <v>-10.417522</v>
      </c>
      <c r="U370" s="1">
        <v>6.1980000000000004</v>
      </c>
      <c r="V370" s="1">
        <v>78</v>
      </c>
      <c r="W370" s="1">
        <v>154</v>
      </c>
      <c r="X370" s="1">
        <v>1.9743589743589745</v>
      </c>
      <c r="Y370" s="1">
        <v>88</v>
      </c>
      <c r="Z370" s="1">
        <v>154</v>
      </c>
      <c r="AA370" s="1">
        <v>1.75</v>
      </c>
      <c r="AB370" s="1">
        <v>85.75526155148782</v>
      </c>
      <c r="AC370" s="1">
        <v>153.99297674682339</v>
      </c>
      <c r="AD370" s="1">
        <v>1.7957262791900572</v>
      </c>
      <c r="AE370" t="s">
        <v>4817</v>
      </c>
      <c r="AF370" t="str">
        <f>IF(X370&lt;$AF$1,"Bajo","Alto")</f>
        <v>Alto</v>
      </c>
      <c r="AG370" t="str">
        <f>LEFT(AE370,1)</f>
        <v>C</v>
      </c>
      <c r="AH370" t="str">
        <f>K370</f>
        <v>M</v>
      </c>
      <c r="AI370" t="str">
        <f>LEFT(AF370,1)</f>
        <v>A</v>
      </c>
      <c r="AJ370" t="str">
        <f>LEFT(M370,1)</f>
        <v>M</v>
      </c>
      <c r="AK370" t="str">
        <f>_xlfn.CONCAT(AG370,AH370,AI370,AJ370)</f>
        <v>CMAM</v>
      </c>
    </row>
    <row r="371" spans="1:37" ht="15.75" hidden="1" customHeight="1" x14ac:dyDescent="0.2">
      <c r="A371" s="1">
        <v>250402</v>
      </c>
      <c r="B371" s="1" t="s">
        <v>3169</v>
      </c>
      <c r="C371" s="1" t="s">
        <v>821</v>
      </c>
      <c r="D371" s="1" t="s">
        <v>3185</v>
      </c>
      <c r="E371" s="1" t="s">
        <v>61</v>
      </c>
      <c r="F371" s="1" t="s">
        <v>37</v>
      </c>
      <c r="G371" s="1" t="s">
        <v>3186</v>
      </c>
      <c r="H371" s="1">
        <v>3994</v>
      </c>
      <c r="I371" s="1" t="s">
        <v>87</v>
      </c>
      <c r="J371" s="1">
        <v>14</v>
      </c>
      <c r="K371" s="1" t="s">
        <v>35</v>
      </c>
      <c r="L371" s="1">
        <v>37</v>
      </c>
      <c r="M371" s="1" t="str">
        <f>IF(L371&lt;=45,"Joven","Mayor")</f>
        <v>Joven</v>
      </c>
      <c r="N371" s="1">
        <v>49</v>
      </c>
      <c r="O371" s="1" t="s">
        <v>36</v>
      </c>
      <c r="P371" s="1">
        <v>0.371</v>
      </c>
      <c r="Q371" s="1">
        <v>86.959000000000003</v>
      </c>
      <c r="R371" s="1">
        <v>-8.0175990000000006</v>
      </c>
      <c r="S371" s="1">
        <v>-0.67417895999999999</v>
      </c>
      <c r="T371" s="1">
        <v>1.6220587</v>
      </c>
      <c r="U371" s="1">
        <v>2.8119999999999998</v>
      </c>
      <c r="V371" s="1">
        <v>113</v>
      </c>
      <c r="W371" s="1">
        <v>180</v>
      </c>
      <c r="X371" s="1">
        <v>1.5929203539823009</v>
      </c>
      <c r="Y371" s="1">
        <v>117</v>
      </c>
      <c r="Z371" s="1">
        <v>180</v>
      </c>
      <c r="AA371" s="1">
        <v>1.5384615384615385</v>
      </c>
      <c r="AB371" s="1">
        <v>115.6227123481312</v>
      </c>
      <c r="AC371" s="1">
        <v>179.98448538523959</v>
      </c>
      <c r="AD371" s="1">
        <v>1.5566533748431708</v>
      </c>
      <c r="AE371" t="s">
        <v>4816</v>
      </c>
      <c r="AF371" t="str">
        <f>IF(X371&lt;$AF$1,"Bajo","Alto")</f>
        <v>Bajo</v>
      </c>
      <c r="AG371" t="str">
        <f>LEFT(AE371,1)</f>
        <v>D</v>
      </c>
      <c r="AH371" t="str">
        <f>K371</f>
        <v>M</v>
      </c>
      <c r="AI371" t="str">
        <f>LEFT(AF371,1)</f>
        <v>B</v>
      </c>
      <c r="AJ371" t="str">
        <f>LEFT(M371,1)</f>
        <v>J</v>
      </c>
      <c r="AK371" t="str">
        <f>_xlfn.CONCAT(AG371,AH371,AI371,AJ371)</f>
        <v>DMBJ</v>
      </c>
    </row>
    <row r="372" spans="1:37" ht="15.75" hidden="1" customHeight="1" x14ac:dyDescent="0.2">
      <c r="A372" s="1">
        <v>133405</v>
      </c>
      <c r="B372" s="1" t="s">
        <v>956</v>
      </c>
      <c r="C372" s="1" t="s">
        <v>163</v>
      </c>
      <c r="D372" s="1" t="s">
        <v>2028</v>
      </c>
      <c r="E372" s="1" t="s">
        <v>634</v>
      </c>
      <c r="F372" s="1" t="s">
        <v>40</v>
      </c>
      <c r="G372" s="1" t="s">
        <v>2031</v>
      </c>
      <c r="H372" s="1">
        <v>5226</v>
      </c>
      <c r="I372" s="1" t="s">
        <v>134</v>
      </c>
      <c r="J372" s="1">
        <v>8</v>
      </c>
      <c r="K372" s="1" t="s">
        <v>35</v>
      </c>
      <c r="L372" s="1">
        <v>37</v>
      </c>
      <c r="M372" s="1" t="str">
        <f>IF(L372&lt;=45,"Joven","Mayor")</f>
        <v>Joven</v>
      </c>
      <c r="N372" s="1">
        <v>32</v>
      </c>
      <c r="O372" s="1" t="s">
        <v>36</v>
      </c>
      <c r="P372" s="1">
        <v>0.36599999999999999</v>
      </c>
      <c r="Q372" s="1">
        <v>93.162999999999997</v>
      </c>
      <c r="R372" s="1">
        <v>0.80058779999999996</v>
      </c>
      <c r="S372" s="1">
        <v>-6.284567</v>
      </c>
      <c r="T372" s="1">
        <v>-3.7636747000000002</v>
      </c>
      <c r="U372" s="1">
        <v>65.319000000000003</v>
      </c>
      <c r="V372" s="1">
        <v>92</v>
      </c>
      <c r="W372" s="1">
        <v>146</v>
      </c>
      <c r="X372" s="1">
        <v>1.5869565217391304</v>
      </c>
      <c r="Y372" s="1">
        <v>93</v>
      </c>
      <c r="Z372" s="1">
        <v>146</v>
      </c>
      <c r="AA372" s="1">
        <v>1.5698924731182795</v>
      </c>
      <c r="AB372" s="1">
        <v>94.558516199376072</v>
      </c>
      <c r="AC372" s="1">
        <v>145.9476847713527</v>
      </c>
      <c r="AD372" s="1">
        <v>1.5434642022472398</v>
      </c>
      <c r="AE372" t="s">
        <v>4817</v>
      </c>
      <c r="AF372" t="str">
        <f>IF(X372&lt;$AF$1,"Bajo","Alto")</f>
        <v>Bajo</v>
      </c>
      <c r="AG372" t="str">
        <f>LEFT(AE372,1)</f>
        <v>C</v>
      </c>
      <c r="AH372" t="str">
        <f>K372</f>
        <v>M</v>
      </c>
      <c r="AI372" t="str">
        <f>LEFT(AF372,1)</f>
        <v>B</v>
      </c>
      <c r="AJ372" t="str">
        <f>LEFT(M372,1)</f>
        <v>J</v>
      </c>
      <c r="AK372" t="str">
        <f>_xlfn.CONCAT(AG372,AH372,AI372,AJ372)</f>
        <v>CMBJ</v>
      </c>
    </row>
    <row r="373" spans="1:37" ht="15.75" hidden="1" customHeight="1" x14ac:dyDescent="0.2">
      <c r="A373" s="1">
        <v>10128602</v>
      </c>
      <c r="B373" s="1" t="s">
        <v>29</v>
      </c>
      <c r="C373" s="1" t="s">
        <v>30</v>
      </c>
      <c r="D373" s="1" t="s">
        <v>575</v>
      </c>
      <c r="E373" s="1" t="s">
        <v>576</v>
      </c>
      <c r="F373" s="1" t="s">
        <v>37</v>
      </c>
      <c r="G373" s="1" t="s">
        <v>577</v>
      </c>
      <c r="H373" s="1">
        <v>225</v>
      </c>
      <c r="I373" s="1" t="s">
        <v>42</v>
      </c>
      <c r="J373" s="1">
        <v>15</v>
      </c>
      <c r="K373" s="1" t="s">
        <v>35</v>
      </c>
      <c r="L373" s="1">
        <v>48</v>
      </c>
      <c r="M373" s="1" t="str">
        <f>IF(L373&lt;=45,"Joven","Mayor")</f>
        <v>Mayor</v>
      </c>
      <c r="N373" s="1">
        <v>58</v>
      </c>
      <c r="O373" s="1" t="s">
        <v>36</v>
      </c>
      <c r="P373" s="1">
        <v>0.36299999999999999</v>
      </c>
      <c r="Q373" s="1">
        <v>94.534999999999997</v>
      </c>
      <c r="R373" s="1">
        <v>8.8006130000000002E-2</v>
      </c>
      <c r="S373" s="1">
        <v>2.2478997999999999</v>
      </c>
      <c r="T373" s="1">
        <v>-2.6356359</v>
      </c>
      <c r="U373" s="1">
        <v>3.101</v>
      </c>
      <c r="V373" s="1">
        <v>105</v>
      </c>
      <c r="W373" s="1">
        <v>163</v>
      </c>
      <c r="X373" s="1">
        <v>1.5523809523809524</v>
      </c>
      <c r="Y373" s="1">
        <v>107</v>
      </c>
      <c r="Z373" s="1">
        <v>163</v>
      </c>
      <c r="AA373" s="1">
        <v>1.5233644859813085</v>
      </c>
      <c r="AB373" s="1">
        <v>107.372079408831</v>
      </c>
      <c r="AC373" s="1">
        <v>163.2874155054528</v>
      </c>
      <c r="AD373" s="1">
        <v>1.520762347199387</v>
      </c>
      <c r="AE373" t="s">
        <v>4817</v>
      </c>
      <c r="AF373" t="str">
        <f>IF(X373&lt;$AF$1,"Bajo","Alto")</f>
        <v>Bajo</v>
      </c>
      <c r="AG373" t="str">
        <f>LEFT(AE373,1)</f>
        <v>C</v>
      </c>
      <c r="AH373" t="str">
        <f>K373</f>
        <v>M</v>
      </c>
      <c r="AI373" t="str">
        <f>LEFT(AF373,1)</f>
        <v>B</v>
      </c>
      <c r="AJ373" t="str">
        <f>LEFT(M373,1)</f>
        <v>M</v>
      </c>
      <c r="AK373" t="str">
        <f>_xlfn.CONCAT(AG373,AH373,AI373,AJ373)</f>
        <v>CMBM</v>
      </c>
    </row>
    <row r="374" spans="1:37" ht="15.75" hidden="1" customHeight="1" x14ac:dyDescent="0.2">
      <c r="A374" s="1">
        <v>255503</v>
      </c>
      <c r="B374" s="1" t="s">
        <v>3169</v>
      </c>
      <c r="C374" s="1" t="s">
        <v>821</v>
      </c>
      <c r="D374" s="1" t="s">
        <v>3277</v>
      </c>
      <c r="E374" s="1" t="s">
        <v>690</v>
      </c>
      <c r="F374" s="1" t="s">
        <v>63</v>
      </c>
      <c r="G374" s="1" t="s">
        <v>3280</v>
      </c>
      <c r="H374" s="1">
        <v>1328</v>
      </c>
      <c r="I374" s="1" t="s">
        <v>134</v>
      </c>
      <c r="J374" s="1">
        <v>8</v>
      </c>
      <c r="K374" s="1" t="s">
        <v>35</v>
      </c>
      <c r="L374" s="1">
        <v>55</v>
      </c>
      <c r="M374" s="1" t="str">
        <f>IF(L374&lt;=45,"Joven","Mayor")</f>
        <v>Mayor</v>
      </c>
      <c r="N374" s="1">
        <v>40</v>
      </c>
      <c r="O374" s="1" t="s">
        <v>36</v>
      </c>
      <c r="P374" s="1">
        <v>0.375</v>
      </c>
      <c r="Q374" s="1">
        <v>85.856999999999999</v>
      </c>
      <c r="R374" s="1">
        <v>6.5568530000000003</v>
      </c>
      <c r="S374" s="1">
        <v>8.4576469999999997</v>
      </c>
      <c r="T374" s="1">
        <v>-5.0685735000000003</v>
      </c>
      <c r="U374" s="1">
        <v>2.6720000000000002</v>
      </c>
      <c r="V374" s="1">
        <v>105</v>
      </c>
      <c r="W374" s="1">
        <v>163</v>
      </c>
      <c r="X374" s="1">
        <v>1.5523809523809524</v>
      </c>
      <c r="Y374" s="1">
        <v>106</v>
      </c>
      <c r="Z374" s="1">
        <v>163</v>
      </c>
      <c r="AA374" s="1">
        <v>1.5377358490566038</v>
      </c>
      <c r="AB374" s="1">
        <v>109.7378594930815</v>
      </c>
      <c r="AC374" s="1">
        <v>163.06940049182001</v>
      </c>
      <c r="AD374" s="1">
        <v>1.4859903523277747</v>
      </c>
      <c r="AE374" t="s">
        <v>4817</v>
      </c>
      <c r="AF374" t="str">
        <f>IF(X374&lt;$AF$1,"Bajo","Alto")</f>
        <v>Bajo</v>
      </c>
      <c r="AG374" t="str">
        <f>LEFT(AE374,1)</f>
        <v>C</v>
      </c>
      <c r="AH374" t="str">
        <f>K374</f>
        <v>M</v>
      </c>
      <c r="AI374" t="str">
        <f>LEFT(AF374,1)</f>
        <v>B</v>
      </c>
      <c r="AJ374" t="str">
        <f>LEFT(M374,1)</f>
        <v>M</v>
      </c>
      <c r="AK374" t="str">
        <f>_xlfn.CONCAT(AG374,AH374,AI374,AJ374)</f>
        <v>CMBM</v>
      </c>
    </row>
    <row r="375" spans="1:37" ht="15.75" hidden="1" customHeight="1" x14ac:dyDescent="0.2">
      <c r="A375" s="1">
        <v>2826004</v>
      </c>
      <c r="B375" s="1" t="s">
        <v>1775</v>
      </c>
      <c r="C375" s="1" t="s">
        <v>561</v>
      </c>
      <c r="D375" s="1" t="s">
        <v>3824</v>
      </c>
      <c r="E375" s="1" t="s">
        <v>3825</v>
      </c>
      <c r="F375" s="1" t="s">
        <v>61</v>
      </c>
      <c r="G375" s="1" t="s">
        <v>3829</v>
      </c>
      <c r="H375" s="1">
        <v>10032</v>
      </c>
      <c r="I375" s="1" t="s">
        <v>3830</v>
      </c>
      <c r="J375" s="1">
        <v>3878</v>
      </c>
      <c r="K375" s="1" t="s">
        <v>35</v>
      </c>
      <c r="L375" s="1">
        <v>34</v>
      </c>
      <c r="M375" s="1" t="str">
        <f>IF(L375&lt;=45,"Joven","Mayor")</f>
        <v>Joven</v>
      </c>
      <c r="N375" s="1">
        <v>47</v>
      </c>
      <c r="O375" s="1" t="s">
        <v>50</v>
      </c>
      <c r="P375" s="1">
        <v>0.438</v>
      </c>
      <c r="Q375" s="1">
        <v>91.558999999999997</v>
      </c>
      <c r="R375" s="1">
        <v>3.8280683</v>
      </c>
      <c r="S375" s="1">
        <v>4.307525</v>
      </c>
      <c r="T375" s="1">
        <v>-0.54830646999999999</v>
      </c>
      <c r="U375" s="1">
        <v>9.0909999999999993</v>
      </c>
      <c r="V375" s="1">
        <v>78</v>
      </c>
      <c r="W375" s="1">
        <v>156</v>
      </c>
      <c r="X375" s="1">
        <v>2</v>
      </c>
      <c r="Y375" s="1">
        <v>80</v>
      </c>
      <c r="Z375" s="1">
        <v>156</v>
      </c>
      <c r="AA375" s="1">
        <v>1.95</v>
      </c>
      <c r="AB375" s="1">
        <v>79.63269174936454</v>
      </c>
      <c r="AC375" s="1">
        <v>155.99285680074539</v>
      </c>
      <c r="AD375" s="1">
        <v>1.9589047333941239</v>
      </c>
      <c r="AE375" t="s">
        <v>4817</v>
      </c>
      <c r="AF375" t="str">
        <f>IF(X375&lt;$AF$1,"Bajo","Alto")</f>
        <v>Alto</v>
      </c>
      <c r="AG375" t="str">
        <f>LEFT(AE375,1)</f>
        <v>C</v>
      </c>
      <c r="AH375" t="str">
        <f>K375</f>
        <v>M</v>
      </c>
      <c r="AI375" t="str">
        <f>LEFT(AF375,1)</f>
        <v>A</v>
      </c>
      <c r="AJ375" t="str">
        <f>LEFT(M375,1)</f>
        <v>J</v>
      </c>
      <c r="AK375" t="str">
        <f>_xlfn.CONCAT(AG375,AH375,AI375,AJ375)</f>
        <v>CMAJ</v>
      </c>
    </row>
    <row r="376" spans="1:37" ht="15.75" hidden="1" customHeight="1" x14ac:dyDescent="0.2">
      <c r="A376" s="1">
        <v>481304</v>
      </c>
      <c r="B376" s="1" t="s">
        <v>4465</v>
      </c>
      <c r="C376" s="1" t="s">
        <v>2650</v>
      </c>
      <c r="D376" s="1" t="s">
        <v>4508</v>
      </c>
      <c r="E376" s="1" t="s">
        <v>163</v>
      </c>
      <c r="F376" s="1" t="s">
        <v>61</v>
      </c>
      <c r="G376" s="1" t="s">
        <v>4510</v>
      </c>
      <c r="H376" s="1">
        <v>6760</v>
      </c>
      <c r="I376" s="1" t="s">
        <v>65</v>
      </c>
      <c r="J376" s="1">
        <v>2</v>
      </c>
      <c r="K376" s="1" t="s">
        <v>35</v>
      </c>
      <c r="L376" s="1">
        <v>43</v>
      </c>
      <c r="M376" s="1" t="str">
        <f>IF(L376&lt;=45,"Joven","Mayor")</f>
        <v>Joven</v>
      </c>
      <c r="N376" s="1">
        <v>50</v>
      </c>
      <c r="O376" s="1" t="s">
        <v>36</v>
      </c>
      <c r="P376" s="1">
        <v>0.23200000000000001</v>
      </c>
      <c r="Q376" s="1">
        <v>72.289000000000001</v>
      </c>
      <c r="R376" s="1">
        <v>12.234427</v>
      </c>
      <c r="S376" s="1">
        <v>3.5824121999999998</v>
      </c>
      <c r="T376" s="1">
        <v>-8.7644339999999996</v>
      </c>
      <c r="U376" s="1">
        <v>51.645000000000003</v>
      </c>
      <c r="V376" s="1">
        <v>71</v>
      </c>
      <c r="W376" s="1">
        <v>142</v>
      </c>
      <c r="X376" s="1">
        <v>2</v>
      </c>
      <c r="Y376" s="1">
        <v>78</v>
      </c>
      <c r="Z376" s="1">
        <v>142</v>
      </c>
      <c r="AA376" s="1">
        <v>1.8205128205128205</v>
      </c>
      <c r="AB376" s="1">
        <v>77.027700739308557</v>
      </c>
      <c r="AC376" s="1">
        <v>142.47510134292679</v>
      </c>
      <c r="AD376" s="1">
        <v>1.8496605763310718</v>
      </c>
      <c r="AE376" t="s">
        <v>4817</v>
      </c>
      <c r="AF376" t="str">
        <f>IF(X376&lt;$AF$1,"Bajo","Alto")</f>
        <v>Alto</v>
      </c>
      <c r="AG376" t="str">
        <f>LEFT(AE376,1)</f>
        <v>C</v>
      </c>
      <c r="AH376" t="str">
        <f>K376</f>
        <v>M</v>
      </c>
      <c r="AI376" t="str">
        <f>LEFT(AF376,1)</f>
        <v>A</v>
      </c>
      <c r="AJ376" t="str">
        <f>LEFT(M376,1)</f>
        <v>J</v>
      </c>
      <c r="AK376" t="str">
        <f>_xlfn.CONCAT(AG376,AH376,AI376,AJ376)</f>
        <v>CMAJ</v>
      </c>
    </row>
    <row r="377" spans="1:37" ht="15.75" hidden="1" customHeight="1" x14ac:dyDescent="0.2">
      <c r="A377" s="1">
        <v>1076803</v>
      </c>
      <c r="B377" s="1" t="s">
        <v>1067</v>
      </c>
      <c r="C377" s="1" t="s">
        <v>1068</v>
      </c>
      <c r="D377" s="1" t="s">
        <v>1478</v>
      </c>
      <c r="E377" s="1" t="s">
        <v>1479</v>
      </c>
      <c r="F377" s="1" t="s">
        <v>63</v>
      </c>
      <c r="G377" s="1" t="s">
        <v>1482</v>
      </c>
      <c r="H377" s="1">
        <v>1583</v>
      </c>
      <c r="I377" s="1" t="s">
        <v>1483</v>
      </c>
      <c r="J377" s="1">
        <v>4113</v>
      </c>
      <c r="K377" s="1" t="s">
        <v>35</v>
      </c>
      <c r="L377" s="1">
        <v>37</v>
      </c>
      <c r="M377" s="1" t="str">
        <f>IF(L377&lt;=45,"Joven","Mayor")</f>
        <v>Joven</v>
      </c>
      <c r="N377" s="1">
        <v>40</v>
      </c>
      <c r="O377" s="1" t="s">
        <v>36</v>
      </c>
      <c r="P377" s="1">
        <v>0.46600000000000003</v>
      </c>
      <c r="Q377" s="1">
        <v>92.478999999999999</v>
      </c>
      <c r="R377" s="1">
        <v>2.8357418000000001</v>
      </c>
      <c r="S377" s="1">
        <v>4.0498633000000002</v>
      </c>
      <c r="T377" s="1">
        <v>0.61548340000000001</v>
      </c>
      <c r="U377" s="1">
        <v>27.356000000000002</v>
      </c>
      <c r="V377" s="1">
        <v>109</v>
      </c>
      <c r="W377" s="1">
        <v>173</v>
      </c>
      <c r="X377" s="1">
        <v>1.5871559633027523</v>
      </c>
      <c r="Y377" s="1">
        <v>112</v>
      </c>
      <c r="Z377" s="1">
        <v>173</v>
      </c>
      <c r="AA377" s="1">
        <v>1.5446428571428572</v>
      </c>
      <c r="AB377" s="1">
        <v>112.5198961916271</v>
      </c>
      <c r="AC377" s="1">
        <v>172.99001841855491</v>
      </c>
      <c r="AD377" s="1">
        <v>1.5374171526424458</v>
      </c>
      <c r="AE377" t="s">
        <v>4817</v>
      </c>
      <c r="AF377" t="str">
        <f>IF(X377&lt;$AF$1,"Bajo","Alto")</f>
        <v>Bajo</v>
      </c>
      <c r="AG377" t="str">
        <f>LEFT(AE377,1)</f>
        <v>C</v>
      </c>
      <c r="AH377" t="str">
        <f>K377</f>
        <v>M</v>
      </c>
      <c r="AI377" t="str">
        <f>LEFT(AF377,1)</f>
        <v>B</v>
      </c>
      <c r="AJ377" t="str">
        <f>LEFT(M377,1)</f>
        <v>J</v>
      </c>
      <c r="AK377" t="str">
        <f>_xlfn.CONCAT(AG377,AH377,AI377,AJ377)</f>
        <v>CMBJ</v>
      </c>
    </row>
    <row r="378" spans="1:37" ht="15.75" hidden="1" customHeight="1" x14ac:dyDescent="0.2">
      <c r="A378" s="1">
        <v>1031006</v>
      </c>
      <c r="B378" s="1" t="s">
        <v>783</v>
      </c>
      <c r="C378" s="1" t="s">
        <v>81</v>
      </c>
      <c r="D378" s="1" t="s">
        <v>798</v>
      </c>
      <c r="E378" s="1" t="s">
        <v>75</v>
      </c>
      <c r="F378" s="1" t="s">
        <v>88</v>
      </c>
      <c r="G378" s="1" t="s">
        <v>804</v>
      </c>
      <c r="H378" s="1">
        <v>115</v>
      </c>
      <c r="I378" s="1" t="s">
        <v>91</v>
      </c>
      <c r="J378" s="1">
        <v>6</v>
      </c>
      <c r="K378" s="1" t="s">
        <v>35</v>
      </c>
      <c r="L378" s="1">
        <v>37</v>
      </c>
      <c r="M378" s="1" t="str">
        <f>IF(L378&lt;=45,"Joven","Mayor")</f>
        <v>Joven</v>
      </c>
      <c r="N378" s="1">
        <v>78</v>
      </c>
      <c r="O378" s="1" t="s">
        <v>36</v>
      </c>
      <c r="P378" s="1">
        <v>0.54100000000000004</v>
      </c>
      <c r="Q378" s="1">
        <v>91.432000000000002</v>
      </c>
      <c r="R378" s="1">
        <v>2.3655249999999999</v>
      </c>
      <c r="S378" s="1">
        <v>7.8212767000000003</v>
      </c>
      <c r="T378" s="1">
        <v>-3.6129353000000002</v>
      </c>
      <c r="U378" s="1">
        <v>1.0369999999999999</v>
      </c>
      <c r="V378" s="1">
        <v>95</v>
      </c>
      <c r="W378" s="1">
        <v>151</v>
      </c>
      <c r="X378" s="1">
        <v>1.5894736842105264</v>
      </c>
      <c r="Y378" s="1">
        <v>96</v>
      </c>
      <c r="Z378" s="1">
        <v>151</v>
      </c>
      <c r="AA378" s="1">
        <v>1.5729166666666667</v>
      </c>
      <c r="AB378" s="1">
        <v>98.581899393866252</v>
      </c>
      <c r="AC378" s="1">
        <v>150.63687576846311</v>
      </c>
      <c r="AD378" s="1">
        <v>1.5280378720095518</v>
      </c>
      <c r="AE378" t="s">
        <v>4817</v>
      </c>
      <c r="AF378" t="str">
        <f>IF(X378&lt;$AF$1,"Bajo","Alto")</f>
        <v>Bajo</v>
      </c>
      <c r="AG378" t="str">
        <f>LEFT(AE378,1)</f>
        <v>C</v>
      </c>
      <c r="AH378" t="str">
        <f>K378</f>
        <v>M</v>
      </c>
      <c r="AI378" t="str">
        <f>LEFT(AF378,1)</f>
        <v>B</v>
      </c>
      <c r="AJ378" t="str">
        <f>LEFT(M378,1)</f>
        <v>J</v>
      </c>
      <c r="AK378" t="str">
        <f>_xlfn.CONCAT(AG378,AH378,AI378,AJ378)</f>
        <v>CMBJ</v>
      </c>
    </row>
    <row r="379" spans="1:37" ht="15.75" hidden="1" customHeight="1" x14ac:dyDescent="0.2">
      <c r="A379" s="1">
        <v>213104</v>
      </c>
      <c r="B379" s="1" t="s">
        <v>2816</v>
      </c>
      <c r="C379" s="1" t="s">
        <v>2817</v>
      </c>
      <c r="D379" s="1" t="s">
        <v>2864</v>
      </c>
      <c r="E379" s="1" t="s">
        <v>628</v>
      </c>
      <c r="F379" s="1" t="s">
        <v>61</v>
      </c>
      <c r="G379" s="1" t="s">
        <v>2866</v>
      </c>
      <c r="H379" s="1">
        <v>2588</v>
      </c>
      <c r="I379" s="1" t="s">
        <v>65</v>
      </c>
      <c r="J379" s="1">
        <v>2</v>
      </c>
      <c r="K379" s="1" t="s">
        <v>49</v>
      </c>
      <c r="L379" s="1">
        <v>57</v>
      </c>
      <c r="M379" s="1" t="str">
        <f>IF(L379&lt;=45,"Joven","Mayor")</f>
        <v>Mayor</v>
      </c>
      <c r="N379" s="1">
        <v>53</v>
      </c>
      <c r="O379" s="1" t="s">
        <v>50</v>
      </c>
      <c r="P379" s="1">
        <v>2E-3</v>
      </c>
      <c r="Q379" s="1">
        <v>93.498999999999995</v>
      </c>
      <c r="R379" s="1">
        <v>-0.56183170000000004</v>
      </c>
      <c r="S379" s="1">
        <v>-5.9375524999999998</v>
      </c>
      <c r="T379" s="1">
        <v>1.3966700999999999</v>
      </c>
      <c r="U379" s="1">
        <v>34.64</v>
      </c>
      <c r="V379" s="1">
        <v>95</v>
      </c>
      <c r="W379" s="1">
        <v>149</v>
      </c>
      <c r="X379" s="1">
        <v>1.5684210526315789</v>
      </c>
      <c r="Y379" s="1">
        <v>96</v>
      </c>
      <c r="Z379" s="1">
        <v>149</v>
      </c>
      <c r="AA379" s="1">
        <v>1.5520833333333333</v>
      </c>
      <c r="AB379" s="1">
        <v>96.87332004782138</v>
      </c>
      <c r="AC379" s="1">
        <v>149.05322960822701</v>
      </c>
      <c r="AD379" s="1">
        <v>1.5386406653002818</v>
      </c>
      <c r="AE379" t="s">
        <v>4817</v>
      </c>
      <c r="AF379" t="str">
        <f>IF(X379&lt;$AF$1,"Bajo","Alto")</f>
        <v>Bajo</v>
      </c>
      <c r="AG379" t="str">
        <f>LEFT(AE379,1)</f>
        <v>C</v>
      </c>
      <c r="AH379" t="str">
        <f>K379</f>
        <v>F</v>
      </c>
      <c r="AI379" t="str">
        <f>LEFT(AF379,1)</f>
        <v>B</v>
      </c>
      <c r="AJ379" t="str">
        <f>LEFT(M379,1)</f>
        <v>M</v>
      </c>
      <c r="AK379" t="str">
        <f>_xlfn.CONCAT(AG379,AH379,AI379,AJ379)</f>
        <v>CFBM</v>
      </c>
    </row>
    <row r="380" spans="1:37" ht="15.75" hidden="1" customHeight="1" x14ac:dyDescent="0.2">
      <c r="A380" s="1">
        <v>294005</v>
      </c>
      <c r="B380" s="1" t="s">
        <v>3890</v>
      </c>
      <c r="C380" s="1" t="s">
        <v>1695</v>
      </c>
      <c r="D380" s="1" t="s">
        <v>4006</v>
      </c>
      <c r="E380" s="1" t="s">
        <v>657</v>
      </c>
      <c r="F380" s="1" t="s">
        <v>40</v>
      </c>
      <c r="G380" s="1" t="s">
        <v>4009</v>
      </c>
      <c r="H380" s="1">
        <v>9720</v>
      </c>
      <c r="I380" s="1" t="s">
        <v>4010</v>
      </c>
      <c r="J380" s="1">
        <v>1210</v>
      </c>
      <c r="K380" s="1" t="s">
        <v>35</v>
      </c>
      <c r="L380" s="1">
        <v>47</v>
      </c>
      <c r="M380" s="1" t="str">
        <f>IF(L380&lt;=45,"Joven","Mayor")</f>
        <v>Mayor</v>
      </c>
      <c r="N380" s="1">
        <v>58</v>
      </c>
      <c r="O380" s="1" t="s">
        <v>36</v>
      </c>
      <c r="P380" s="1">
        <v>0.30499999999999999</v>
      </c>
      <c r="Q380" s="1">
        <v>92.897999999999996</v>
      </c>
      <c r="R380" s="1">
        <v>2.7274942000000002</v>
      </c>
      <c r="S380" s="1">
        <v>-2.9657013000000001</v>
      </c>
      <c r="T380" s="1">
        <v>3.5478736999999998</v>
      </c>
      <c r="U380" s="1">
        <v>38.890999999999998</v>
      </c>
      <c r="V380" s="1">
        <v>72</v>
      </c>
      <c r="W380" s="1">
        <v>142</v>
      </c>
      <c r="X380" s="1">
        <v>1.9722222222222223</v>
      </c>
      <c r="Y380" s="1">
        <v>79</v>
      </c>
      <c r="Z380" s="1">
        <v>142</v>
      </c>
      <c r="AA380" s="1">
        <v>1.7974683544303798</v>
      </c>
      <c r="AB380" s="1">
        <v>76.744586359438472</v>
      </c>
      <c r="AC380" s="1">
        <v>142.0991436553941</v>
      </c>
      <c r="AD380" s="1">
        <v>1.851585243939724</v>
      </c>
      <c r="AE380" t="s">
        <v>4817</v>
      </c>
      <c r="AF380" t="str">
        <f>IF(X380&lt;$AF$1,"Bajo","Alto")</f>
        <v>Alto</v>
      </c>
      <c r="AG380" t="str">
        <f>LEFT(AE380,1)</f>
        <v>C</v>
      </c>
      <c r="AH380" t="str">
        <f>K380</f>
        <v>M</v>
      </c>
      <c r="AI380" t="str">
        <f>LEFT(AF380,1)</f>
        <v>A</v>
      </c>
      <c r="AJ380" t="str">
        <f>LEFT(M380,1)</f>
        <v>M</v>
      </c>
      <c r="AK380" t="str">
        <f>_xlfn.CONCAT(AG380,AH380,AI380,AJ380)</f>
        <v>CMAM</v>
      </c>
    </row>
    <row r="381" spans="1:37" ht="15.75" hidden="1" customHeight="1" x14ac:dyDescent="0.2">
      <c r="A381" s="1">
        <v>1516904</v>
      </c>
      <c r="B381" s="1" t="s">
        <v>2077</v>
      </c>
      <c r="C381" s="1" t="s">
        <v>57</v>
      </c>
      <c r="D381" s="1" t="s">
        <v>2194</v>
      </c>
      <c r="E381" s="1" t="s">
        <v>279</v>
      </c>
      <c r="F381" s="1" t="s">
        <v>61</v>
      </c>
      <c r="G381" s="1" t="s">
        <v>2197</v>
      </c>
      <c r="H381" s="1">
        <v>31184</v>
      </c>
      <c r="I381" s="1" t="s">
        <v>2198</v>
      </c>
      <c r="J381" s="1">
        <v>3515</v>
      </c>
      <c r="K381" s="1" t="s">
        <v>35</v>
      </c>
      <c r="L381" s="1">
        <v>41</v>
      </c>
      <c r="M381" s="1" t="str">
        <f>IF(L381&lt;=45,"Joven","Mayor")</f>
        <v>Joven</v>
      </c>
      <c r="N381" s="1">
        <v>33</v>
      </c>
      <c r="O381" s="1" t="s">
        <v>36</v>
      </c>
      <c r="P381" s="1">
        <v>0.19900000000000001</v>
      </c>
      <c r="Q381" s="1">
        <v>93.227999999999994</v>
      </c>
      <c r="R381" s="1">
        <v>3.1346352</v>
      </c>
      <c r="S381" s="1">
        <v>0.10570913</v>
      </c>
      <c r="T381" s="1">
        <v>0.6423468</v>
      </c>
      <c r="U381" s="1">
        <v>39.921999999999997</v>
      </c>
      <c r="V381" s="1">
        <v>99</v>
      </c>
      <c r="W381" s="1">
        <v>197</v>
      </c>
      <c r="X381" s="1">
        <v>1.9898989898989898</v>
      </c>
      <c r="Y381" s="1">
        <v>110</v>
      </c>
      <c r="Z381" s="1">
        <v>197</v>
      </c>
      <c r="AA381" s="1">
        <v>1.790909090909091</v>
      </c>
      <c r="AB381" s="1">
        <v>109.5558647933028</v>
      </c>
      <c r="AC381" s="1">
        <v>197.24546899055031</v>
      </c>
      <c r="AD381" s="1">
        <v>1.8004099494143011</v>
      </c>
      <c r="AE381" t="s">
        <v>4817</v>
      </c>
      <c r="AF381" t="str">
        <f>IF(X381&lt;$AF$1,"Bajo","Alto")</f>
        <v>Alto</v>
      </c>
      <c r="AG381" t="str">
        <f>LEFT(AE381,1)</f>
        <v>C</v>
      </c>
      <c r="AH381" t="str">
        <f>K381</f>
        <v>M</v>
      </c>
      <c r="AI381" t="str">
        <f>LEFT(AF381,1)</f>
        <v>A</v>
      </c>
      <c r="AJ381" t="str">
        <f>LEFT(M381,1)</f>
        <v>J</v>
      </c>
      <c r="AK381" t="str">
        <f>_xlfn.CONCAT(AG381,AH381,AI381,AJ381)</f>
        <v>CMAJ</v>
      </c>
    </row>
    <row r="382" spans="1:37" ht="15.75" hidden="1" customHeight="1" x14ac:dyDescent="0.2">
      <c r="A382" s="1">
        <v>1528602</v>
      </c>
      <c r="B382" s="1" t="s">
        <v>2077</v>
      </c>
      <c r="C382" s="1" t="s">
        <v>57</v>
      </c>
      <c r="D382" s="1" t="s">
        <v>2355</v>
      </c>
      <c r="E382" s="1" t="s">
        <v>576</v>
      </c>
      <c r="F382" s="1" t="s">
        <v>37</v>
      </c>
      <c r="G382" s="1" t="s">
        <v>2358</v>
      </c>
      <c r="H382" s="1">
        <v>654</v>
      </c>
      <c r="I382" s="1" t="s">
        <v>2359</v>
      </c>
      <c r="J382" s="1">
        <v>4213</v>
      </c>
      <c r="K382" s="1" t="s">
        <v>35</v>
      </c>
      <c r="L382" s="1">
        <v>45</v>
      </c>
      <c r="M382" s="1" t="str">
        <f>IF(L382&lt;=45,"Joven","Mayor")</f>
        <v>Joven</v>
      </c>
      <c r="N382" s="1">
        <v>51</v>
      </c>
      <c r="O382" s="1" t="s">
        <v>36</v>
      </c>
      <c r="P382" s="1">
        <v>0.316</v>
      </c>
      <c r="Q382" s="1">
        <v>89.396000000000001</v>
      </c>
      <c r="R382" s="1">
        <v>-6.3929010000000002</v>
      </c>
      <c r="S382" s="1">
        <v>1.7644683000000001</v>
      </c>
      <c r="T382" s="1">
        <v>11.067854000000001</v>
      </c>
      <c r="U382" s="1">
        <v>0.59599999999999997</v>
      </c>
      <c r="V382" s="1">
        <v>94</v>
      </c>
      <c r="W382" s="1">
        <v>187</v>
      </c>
      <c r="X382" s="1">
        <v>1.9893617021276595</v>
      </c>
      <c r="Y382" s="1">
        <v>115</v>
      </c>
      <c r="Z382" s="1">
        <v>187</v>
      </c>
      <c r="AA382" s="1">
        <v>1.6260869565217391</v>
      </c>
      <c r="AB382" s="1">
        <v>107.2938903598701</v>
      </c>
      <c r="AC382" s="1">
        <v>190.04892498357279</v>
      </c>
      <c r="AD382" s="1">
        <v>1.7712930749937146</v>
      </c>
      <c r="AE382" t="s">
        <v>4817</v>
      </c>
      <c r="AF382" t="str">
        <f>IF(X382&lt;$AF$1,"Bajo","Alto")</f>
        <v>Alto</v>
      </c>
      <c r="AG382" t="str">
        <f>LEFT(AE382,1)</f>
        <v>C</v>
      </c>
      <c r="AH382" t="str">
        <f>K382</f>
        <v>M</v>
      </c>
      <c r="AI382" t="str">
        <f>LEFT(AF382,1)</f>
        <v>A</v>
      </c>
      <c r="AJ382" t="str">
        <f>LEFT(M382,1)</f>
        <v>J</v>
      </c>
      <c r="AK382" t="str">
        <f>_xlfn.CONCAT(AG382,AH382,AI382,AJ382)</f>
        <v>CMAJ</v>
      </c>
    </row>
    <row r="383" spans="1:37" ht="15.75" hidden="1" customHeight="1" x14ac:dyDescent="0.2">
      <c r="A383" s="1">
        <v>10128306</v>
      </c>
      <c r="B383" s="1" t="s">
        <v>29</v>
      </c>
      <c r="C383" s="1" t="s">
        <v>30</v>
      </c>
      <c r="D383" s="1" t="s">
        <v>568</v>
      </c>
      <c r="E383" s="1" t="s">
        <v>569</v>
      </c>
      <c r="F383" s="1" t="s">
        <v>88</v>
      </c>
      <c r="G383" s="1" t="s">
        <v>574</v>
      </c>
      <c r="H383" s="1">
        <v>2121</v>
      </c>
      <c r="I383" s="1" t="s">
        <v>134</v>
      </c>
      <c r="J383" s="1">
        <v>8</v>
      </c>
      <c r="K383" s="1" t="s">
        <v>35</v>
      </c>
      <c r="L383" s="1">
        <v>56</v>
      </c>
      <c r="M383" s="1" t="str">
        <f>IF(L383&lt;=45,"Joven","Mayor")</f>
        <v>Mayor</v>
      </c>
      <c r="N383" s="1">
        <v>54</v>
      </c>
      <c r="O383" s="1" t="s">
        <v>36</v>
      </c>
      <c r="P383" s="1">
        <v>0.36399999999999999</v>
      </c>
      <c r="Q383" s="1">
        <v>81.069999999999993</v>
      </c>
      <c r="R383" s="1">
        <v>-9.8788699999999992</v>
      </c>
      <c r="S383" s="1">
        <v>-3.7195450999999999</v>
      </c>
      <c r="T383" s="1">
        <v>8.6759330000000006</v>
      </c>
      <c r="U383" s="1">
        <v>1.2509999999999999</v>
      </c>
      <c r="V383" s="1">
        <v>71</v>
      </c>
      <c r="W383" s="1">
        <v>140</v>
      </c>
      <c r="X383" s="1">
        <v>1.971830985915493</v>
      </c>
      <c r="Y383" s="1">
        <v>84</v>
      </c>
      <c r="Z383" s="1">
        <v>140</v>
      </c>
      <c r="AA383" s="1">
        <v>1.6666666666666667</v>
      </c>
      <c r="AB383" s="1">
        <v>78.513448513670028</v>
      </c>
      <c r="AC383" s="1">
        <v>141.26409334652359</v>
      </c>
      <c r="AD383" s="1">
        <v>1.7992343480101758</v>
      </c>
      <c r="AE383" t="s">
        <v>4817</v>
      </c>
      <c r="AF383" t="str">
        <f>IF(X383&lt;$AF$1,"Bajo","Alto")</f>
        <v>Alto</v>
      </c>
      <c r="AG383" t="str">
        <f>LEFT(AE383,1)</f>
        <v>C</v>
      </c>
      <c r="AH383" t="str">
        <f>K383</f>
        <v>M</v>
      </c>
      <c r="AI383" t="str">
        <f>LEFT(AF383,1)</f>
        <v>A</v>
      </c>
      <c r="AJ383" t="str">
        <f>LEFT(M383,1)</f>
        <v>M</v>
      </c>
      <c r="AK383" t="str">
        <f>_xlfn.CONCAT(AG383,AH383,AI383,AJ383)</f>
        <v>CMAM</v>
      </c>
    </row>
    <row r="384" spans="1:37" ht="15.75" hidden="1" customHeight="1" x14ac:dyDescent="0.2">
      <c r="A384" s="1">
        <v>211601</v>
      </c>
      <c r="B384" s="1" t="s">
        <v>2816</v>
      </c>
      <c r="C384" s="1" t="s">
        <v>2817</v>
      </c>
      <c r="D384" s="1" t="s">
        <v>2841</v>
      </c>
      <c r="E384" s="1" t="s">
        <v>244</v>
      </c>
      <c r="F384" s="1" t="s">
        <v>32</v>
      </c>
      <c r="G384" s="1" t="s">
        <v>2842</v>
      </c>
      <c r="H384" s="1">
        <v>9149</v>
      </c>
      <c r="I384" s="1" t="s">
        <v>34</v>
      </c>
      <c r="J384" s="1">
        <v>10</v>
      </c>
      <c r="K384" s="1" t="s">
        <v>49</v>
      </c>
      <c r="L384" s="1">
        <v>54</v>
      </c>
      <c r="M384" s="1" t="str">
        <f>IF(L384&lt;=45,"Joven","Mayor")</f>
        <v>Mayor</v>
      </c>
      <c r="N384" s="1">
        <v>54</v>
      </c>
      <c r="O384" s="1" t="s">
        <v>50</v>
      </c>
      <c r="P384" s="1">
        <v>0.33700000000000002</v>
      </c>
      <c r="Q384" s="1">
        <v>89.691999999999993</v>
      </c>
      <c r="R384" s="1">
        <v>5.7482470000000001</v>
      </c>
      <c r="S384" s="1">
        <v>3.5531209000000001</v>
      </c>
      <c r="T384" s="1">
        <v>1.7709056999999999</v>
      </c>
      <c r="U384" s="1">
        <v>11.987</v>
      </c>
      <c r="V384" s="1">
        <v>81</v>
      </c>
      <c r="W384" s="1">
        <v>131</v>
      </c>
      <c r="X384" s="1">
        <v>1.617283950617284</v>
      </c>
      <c r="Y384" s="1">
        <v>87</v>
      </c>
      <c r="Z384" s="1">
        <v>131</v>
      </c>
      <c r="AA384" s="1">
        <v>1.5057471264367817</v>
      </c>
      <c r="AB384" s="1">
        <v>85.938641128954259</v>
      </c>
      <c r="AC384" s="1">
        <v>131.24646413425941</v>
      </c>
      <c r="AD384" s="1">
        <v>1.5272113034382171</v>
      </c>
      <c r="AE384" t="s">
        <v>4815</v>
      </c>
      <c r="AF384" t="str">
        <f>IF(X384&lt;$AF$1,"Bajo","Alto")</f>
        <v>Bajo</v>
      </c>
      <c r="AG384" t="str">
        <f>LEFT(AE384,1)</f>
        <v>I</v>
      </c>
      <c r="AH384" t="str">
        <f>K384</f>
        <v>F</v>
      </c>
      <c r="AI384" t="str">
        <f>LEFT(AF384,1)</f>
        <v>B</v>
      </c>
      <c r="AJ384" t="str">
        <f>LEFT(M384,1)</f>
        <v>M</v>
      </c>
      <c r="AK384" t="str">
        <f>_xlfn.CONCAT(AG384,AH384,AI384,AJ384)</f>
        <v>IFBM</v>
      </c>
    </row>
    <row r="385" spans="1:37" ht="15.75" hidden="1" customHeight="1" x14ac:dyDescent="0.2">
      <c r="A385" s="1">
        <v>230102</v>
      </c>
      <c r="B385" s="1" t="s">
        <v>319</v>
      </c>
      <c r="C385" s="1" t="s">
        <v>1989</v>
      </c>
      <c r="D385" s="1" t="s">
        <v>2916</v>
      </c>
      <c r="E385" s="1" t="s">
        <v>32</v>
      </c>
      <c r="F385" s="1" t="s">
        <v>37</v>
      </c>
      <c r="G385" s="1" t="s">
        <v>2918</v>
      </c>
      <c r="H385" s="1">
        <v>3212</v>
      </c>
      <c r="I385" s="1" t="s">
        <v>87</v>
      </c>
      <c r="J385" s="1">
        <v>14</v>
      </c>
      <c r="K385" s="1" t="s">
        <v>35</v>
      </c>
      <c r="L385" s="1">
        <v>64</v>
      </c>
      <c r="M385" s="1" t="str">
        <f>IF(L385&lt;=45,"Joven","Mayor")</f>
        <v>Mayor</v>
      </c>
      <c r="N385" s="1">
        <v>62</v>
      </c>
      <c r="O385" s="1" t="s">
        <v>36</v>
      </c>
      <c r="P385" s="1">
        <v>0.35299999999999998</v>
      </c>
      <c r="Q385" s="1">
        <v>60.902999999999999</v>
      </c>
      <c r="R385" s="1">
        <v>11.929273</v>
      </c>
      <c r="S385" s="1">
        <v>-13.774359</v>
      </c>
      <c r="T385" s="1">
        <v>6.8673834999999999</v>
      </c>
      <c r="U385" s="1">
        <v>53.360999999999997</v>
      </c>
      <c r="V385" s="1">
        <v>82</v>
      </c>
      <c r="W385" s="1">
        <v>164</v>
      </c>
      <c r="X385" s="1">
        <v>2</v>
      </c>
      <c r="Y385" s="1">
        <v>82</v>
      </c>
      <c r="Z385" s="1">
        <v>164</v>
      </c>
      <c r="AA385" s="1">
        <v>2</v>
      </c>
      <c r="AB385" s="1">
        <v>86.194563888977882</v>
      </c>
      <c r="AC385" s="1">
        <v>163.18210864296731</v>
      </c>
      <c r="AD385" s="1">
        <v>1.8931832969553919</v>
      </c>
      <c r="AE385" t="s">
        <v>4816</v>
      </c>
      <c r="AF385" t="str">
        <f>IF(X385&lt;$AF$1,"Bajo","Alto")</f>
        <v>Alto</v>
      </c>
      <c r="AG385" t="str">
        <f>LEFT(AE385,1)</f>
        <v>D</v>
      </c>
      <c r="AH385" t="str">
        <f>K385</f>
        <v>M</v>
      </c>
      <c r="AI385" t="str">
        <f>LEFT(AF385,1)</f>
        <v>A</v>
      </c>
      <c r="AJ385" t="str">
        <f>LEFT(M385,1)</f>
        <v>M</v>
      </c>
      <c r="AK385" t="str">
        <f>_xlfn.CONCAT(AG385,AH385,AI385,AJ385)</f>
        <v>DMAM</v>
      </c>
    </row>
    <row r="386" spans="1:37" ht="15.75" hidden="1" customHeight="1" x14ac:dyDescent="0.2">
      <c r="A386" s="1">
        <v>292801</v>
      </c>
      <c r="B386" s="1" t="s">
        <v>3890</v>
      </c>
      <c r="C386" s="1" t="s">
        <v>1695</v>
      </c>
      <c r="D386" s="1" t="s">
        <v>3986</v>
      </c>
      <c r="E386" s="1" t="s">
        <v>561</v>
      </c>
      <c r="F386" s="1" t="s">
        <v>32</v>
      </c>
      <c r="G386" s="1" t="s">
        <v>3987</v>
      </c>
      <c r="H386" s="1">
        <v>2437</v>
      </c>
      <c r="I386" s="1" t="s">
        <v>3988</v>
      </c>
      <c r="J386" s="1">
        <v>2568</v>
      </c>
      <c r="K386" s="1" t="s">
        <v>49</v>
      </c>
      <c r="L386" s="1">
        <v>47</v>
      </c>
      <c r="M386" s="1" t="str">
        <f>IF(L386&lt;=45,"Joven","Mayor")</f>
        <v>Mayor</v>
      </c>
      <c r="N386" s="1">
        <v>44</v>
      </c>
      <c r="O386" s="1" t="s">
        <v>50</v>
      </c>
      <c r="P386" s="1">
        <v>0.372</v>
      </c>
      <c r="Q386" s="1">
        <v>90.411000000000001</v>
      </c>
      <c r="R386" s="1">
        <v>4.5573896999999999</v>
      </c>
      <c r="S386" s="1">
        <v>5.4478650000000002</v>
      </c>
      <c r="T386" s="1">
        <v>7.3020149999999999</v>
      </c>
      <c r="U386" s="1">
        <v>36.698999999999998</v>
      </c>
      <c r="V386" s="1">
        <v>85</v>
      </c>
      <c r="W386" s="1">
        <v>173</v>
      </c>
      <c r="X386" s="1">
        <v>2.0352941176470587</v>
      </c>
      <c r="Y386" s="1">
        <v>104</v>
      </c>
      <c r="Z386" s="1">
        <v>173</v>
      </c>
      <c r="AA386" s="1">
        <v>1.6634615384615385</v>
      </c>
      <c r="AB386" s="1">
        <v>98.962273994263342</v>
      </c>
      <c r="AC386" s="1">
        <v>174.5202536967968</v>
      </c>
      <c r="AD386" s="1">
        <v>1.7635028648079916</v>
      </c>
      <c r="AE386" t="s">
        <v>4817</v>
      </c>
      <c r="AF386" t="str">
        <f>IF(X386&lt;$AF$1,"Bajo","Alto")</f>
        <v>Alto</v>
      </c>
      <c r="AG386" t="str">
        <f>LEFT(AE386,1)</f>
        <v>C</v>
      </c>
      <c r="AH386" t="str">
        <f>K386</f>
        <v>F</v>
      </c>
      <c r="AI386" t="str">
        <f>LEFT(AF386,1)</f>
        <v>A</v>
      </c>
      <c r="AJ386" t="str">
        <f>LEFT(M386,1)</f>
        <v>M</v>
      </c>
      <c r="AK386" t="str">
        <f>_xlfn.CONCAT(AG386,AH386,AI386,AJ386)</f>
        <v>CFAM</v>
      </c>
    </row>
    <row r="387" spans="1:37" ht="15.75" hidden="1" customHeight="1" x14ac:dyDescent="0.2">
      <c r="A387" s="1">
        <v>1016703</v>
      </c>
      <c r="B387" s="1" t="s">
        <v>29</v>
      </c>
      <c r="C387" s="1" t="s">
        <v>30</v>
      </c>
      <c r="D387" s="1" t="s">
        <v>714</v>
      </c>
      <c r="E387" s="1" t="s">
        <v>715</v>
      </c>
      <c r="F387" s="1" t="s">
        <v>63</v>
      </c>
      <c r="G387" s="1" t="s">
        <v>717</v>
      </c>
      <c r="H387" s="1">
        <v>1114</v>
      </c>
      <c r="I387" s="1" t="s">
        <v>718</v>
      </c>
      <c r="J387" s="1">
        <v>4323</v>
      </c>
      <c r="K387" s="1" t="s">
        <v>35</v>
      </c>
      <c r="L387" s="1">
        <v>31</v>
      </c>
      <c r="M387" s="1" t="str">
        <f>IF(L387&lt;=45,"Joven","Mayor")</f>
        <v>Joven</v>
      </c>
      <c r="N387" s="1">
        <v>36</v>
      </c>
      <c r="O387" s="1" t="s">
        <v>36</v>
      </c>
      <c r="P387" s="1">
        <v>6.4000000000000001E-2</v>
      </c>
      <c r="Q387" s="1">
        <v>90.082999999999998</v>
      </c>
      <c r="R387" s="1">
        <v>-4.8217916000000001</v>
      </c>
      <c r="S387" s="1">
        <v>5.7626413999999997</v>
      </c>
      <c r="T387" s="1">
        <v>7.1341742999999997</v>
      </c>
      <c r="U387" s="1">
        <v>58.902999999999999</v>
      </c>
      <c r="V387" s="1">
        <v>105</v>
      </c>
      <c r="W387" s="1">
        <v>167</v>
      </c>
      <c r="X387" s="1">
        <v>1.5904761904761904</v>
      </c>
      <c r="Y387" s="1">
        <v>106</v>
      </c>
      <c r="Z387" s="1">
        <v>167</v>
      </c>
      <c r="AA387" s="1">
        <v>1.5754716981132075</v>
      </c>
      <c r="AB387" s="1">
        <v>109.6516008167785</v>
      </c>
      <c r="AC387" s="1">
        <v>165.582899139994</v>
      </c>
      <c r="AD387" s="1">
        <v>1.5100819131375334</v>
      </c>
      <c r="AE387" t="s">
        <v>4817</v>
      </c>
      <c r="AF387" t="str">
        <f>IF(X387&lt;$AF$1,"Bajo","Alto")</f>
        <v>Bajo</v>
      </c>
      <c r="AG387" t="str">
        <f>LEFT(AE387,1)</f>
        <v>C</v>
      </c>
      <c r="AH387" t="str">
        <f>K387</f>
        <v>M</v>
      </c>
      <c r="AI387" t="str">
        <f>LEFT(AF387,1)</f>
        <v>B</v>
      </c>
      <c r="AJ387" t="str">
        <f>LEFT(M387,1)</f>
        <v>J</v>
      </c>
      <c r="AK387" t="str">
        <f>_xlfn.CONCAT(AG387,AH387,AI387,AJ387)</f>
        <v>CMBJ</v>
      </c>
    </row>
    <row r="388" spans="1:37" ht="15.75" hidden="1" customHeight="1" x14ac:dyDescent="0.2">
      <c r="A388" s="1">
        <v>10112703</v>
      </c>
      <c r="B388" s="1" t="s">
        <v>29</v>
      </c>
      <c r="C388" s="1" t="s">
        <v>30</v>
      </c>
      <c r="D388" s="1" t="s">
        <v>152</v>
      </c>
      <c r="E388" s="1" t="s">
        <v>153</v>
      </c>
      <c r="F388" s="1" t="s">
        <v>63</v>
      </c>
      <c r="G388" s="1" t="s">
        <v>154</v>
      </c>
      <c r="H388" s="1">
        <v>92</v>
      </c>
      <c r="I388" s="1" t="s">
        <v>93</v>
      </c>
      <c r="J388" s="1">
        <v>9</v>
      </c>
      <c r="K388" s="1" t="s">
        <v>35</v>
      </c>
      <c r="L388" s="1">
        <v>48</v>
      </c>
      <c r="M388" s="1" t="str">
        <f>IF(L388&lt;=45,"Joven","Mayor")</f>
        <v>Mayor</v>
      </c>
      <c r="N388" s="1">
        <v>43</v>
      </c>
      <c r="O388" s="1" t="s">
        <v>36</v>
      </c>
      <c r="P388" s="1">
        <v>0.39400000000000002</v>
      </c>
      <c r="Q388" s="1">
        <v>88.683000000000007</v>
      </c>
      <c r="R388" s="1">
        <v>5.4518769999999996</v>
      </c>
      <c r="S388" s="1">
        <v>6.738734</v>
      </c>
      <c r="T388" s="1">
        <v>-5.2495303</v>
      </c>
      <c r="U388" s="1">
        <v>1.502</v>
      </c>
      <c r="V388" s="1">
        <v>126</v>
      </c>
      <c r="W388" s="1">
        <v>199</v>
      </c>
      <c r="X388" s="1">
        <v>1.5793650793650793</v>
      </c>
      <c r="Y388" s="1">
        <v>129</v>
      </c>
      <c r="Z388" s="1">
        <v>199</v>
      </c>
      <c r="AA388" s="1">
        <v>1.5426356589147288</v>
      </c>
      <c r="AB388" s="1">
        <v>130.6866423330687</v>
      </c>
      <c r="AC388" s="1">
        <v>198.43981021890801</v>
      </c>
      <c r="AD388" s="1">
        <v>1.5184398854870202</v>
      </c>
      <c r="AE388" t="s">
        <v>4815</v>
      </c>
      <c r="AF388" t="str">
        <f>IF(X388&lt;$AF$1,"Bajo","Alto")</f>
        <v>Bajo</v>
      </c>
      <c r="AG388" t="str">
        <f>LEFT(AE388,1)</f>
        <v>I</v>
      </c>
      <c r="AH388" t="str">
        <f>K388</f>
        <v>M</v>
      </c>
      <c r="AI388" t="str">
        <f>LEFT(AF388,1)</f>
        <v>B</v>
      </c>
      <c r="AJ388" t="str">
        <f>LEFT(M388,1)</f>
        <v>M</v>
      </c>
      <c r="AK388" t="str">
        <f>_xlfn.CONCAT(AG388,AH388,AI388,AJ388)</f>
        <v>IMBM</v>
      </c>
    </row>
    <row r="389" spans="1:37" ht="15.75" hidden="1" customHeight="1" x14ac:dyDescent="0.2">
      <c r="A389" s="1">
        <v>10112401</v>
      </c>
      <c r="B389" s="1" t="s">
        <v>29</v>
      </c>
      <c r="C389" s="1" t="s">
        <v>30</v>
      </c>
      <c r="D389" s="1" t="s">
        <v>144</v>
      </c>
      <c r="E389" s="1" t="s">
        <v>145</v>
      </c>
      <c r="F389" s="1" t="s">
        <v>32</v>
      </c>
      <c r="G389" s="1" t="s">
        <v>146</v>
      </c>
      <c r="H389" s="1">
        <v>185</v>
      </c>
      <c r="I389" s="1" t="s">
        <v>39</v>
      </c>
      <c r="J389" s="1">
        <v>11</v>
      </c>
      <c r="K389" s="1" t="s">
        <v>49</v>
      </c>
      <c r="L389" s="1">
        <v>39</v>
      </c>
      <c r="M389" s="1" t="str">
        <f>IF(L389&lt;=45,"Joven","Mayor")</f>
        <v>Joven</v>
      </c>
      <c r="N389" s="1">
        <v>35</v>
      </c>
      <c r="O389" s="1" t="s">
        <v>50</v>
      </c>
      <c r="P389" s="1">
        <v>2.1829999999999998</v>
      </c>
      <c r="Q389" s="1">
        <v>92.004000000000005</v>
      </c>
      <c r="R389" s="1">
        <v>-3.8768810999999999</v>
      </c>
      <c r="S389" s="1">
        <v>-0.38842516999999999</v>
      </c>
      <c r="T389" s="1">
        <v>-0.13670684</v>
      </c>
      <c r="U389" s="1">
        <v>82.295000000000002</v>
      </c>
      <c r="V389" s="1">
        <v>99</v>
      </c>
      <c r="W389" s="1">
        <v>156</v>
      </c>
      <c r="X389" s="1">
        <v>1.5757575757575757</v>
      </c>
      <c r="Y389" s="1">
        <v>100</v>
      </c>
      <c r="Z389" s="1">
        <v>156</v>
      </c>
      <c r="AA389" s="1">
        <v>1.56</v>
      </c>
      <c r="AB389" s="1">
        <v>99.906662048080079</v>
      </c>
      <c r="AC389" s="1">
        <v>156.0043279167121</v>
      </c>
      <c r="AD389" s="1">
        <v>1.5615007519882409</v>
      </c>
      <c r="AE389" t="s">
        <v>4816</v>
      </c>
      <c r="AF389" t="str">
        <f>IF(X389&lt;$AF$1,"Bajo","Alto")</f>
        <v>Bajo</v>
      </c>
      <c r="AG389" t="str">
        <f>LEFT(AE389,1)</f>
        <v>D</v>
      </c>
      <c r="AH389" t="str">
        <f>K389</f>
        <v>F</v>
      </c>
      <c r="AI389" t="str">
        <f>LEFT(AF389,1)</f>
        <v>B</v>
      </c>
      <c r="AJ389" t="str">
        <f>LEFT(M389,1)</f>
        <v>J</v>
      </c>
      <c r="AK389" t="str">
        <f>_xlfn.CONCAT(AG389,AH389,AI389,AJ389)</f>
        <v>DFBJ</v>
      </c>
    </row>
    <row r="390" spans="1:37" ht="15.75" hidden="1" customHeight="1" x14ac:dyDescent="0.2">
      <c r="A390" s="1">
        <v>1034608</v>
      </c>
      <c r="B390" s="1" t="s">
        <v>783</v>
      </c>
      <c r="C390" s="1" t="s">
        <v>81</v>
      </c>
      <c r="D390" s="1" t="s">
        <v>403</v>
      </c>
      <c r="E390" s="1" t="s">
        <v>669</v>
      </c>
      <c r="F390" s="1" t="s">
        <v>46</v>
      </c>
      <c r="G390" s="1" t="s">
        <v>851</v>
      </c>
      <c r="H390" s="1">
        <v>29711</v>
      </c>
      <c r="I390" s="1" t="s">
        <v>108</v>
      </c>
      <c r="J390" s="1">
        <v>3</v>
      </c>
      <c r="K390" s="1" t="s">
        <v>35</v>
      </c>
      <c r="L390" s="1">
        <v>46</v>
      </c>
      <c r="M390" s="1" t="str">
        <f>IF(L390&lt;=45,"Joven","Mayor")</f>
        <v>Mayor</v>
      </c>
      <c r="N390" s="1">
        <v>58</v>
      </c>
      <c r="O390" s="1" t="s">
        <v>36</v>
      </c>
      <c r="P390" s="1">
        <v>0.43</v>
      </c>
      <c r="Q390" s="1">
        <v>94.507000000000005</v>
      </c>
      <c r="R390" s="1">
        <v>0.66379270000000001</v>
      </c>
      <c r="S390" s="1">
        <v>-0.81990189999999996</v>
      </c>
      <c r="T390" s="1">
        <v>-12.596234000000001</v>
      </c>
      <c r="U390" s="1">
        <v>3.1349999999999998</v>
      </c>
      <c r="V390" s="1">
        <v>71</v>
      </c>
      <c r="W390" s="1">
        <v>140</v>
      </c>
      <c r="X390" s="1">
        <v>1.971830985915493</v>
      </c>
      <c r="Y390" s="1">
        <v>80</v>
      </c>
      <c r="Z390" s="1">
        <v>140</v>
      </c>
      <c r="AA390" s="1">
        <v>1.75</v>
      </c>
      <c r="AB390" s="1">
        <v>78.668509047648513</v>
      </c>
      <c r="AC390" s="1">
        <v>140.77385654763339</v>
      </c>
      <c r="AD390" s="1">
        <v>1.7894562672132055</v>
      </c>
      <c r="AE390" t="s">
        <v>4817</v>
      </c>
      <c r="AF390" t="str">
        <f>IF(X390&lt;$AF$1,"Bajo","Alto")</f>
        <v>Alto</v>
      </c>
      <c r="AG390" t="str">
        <f>LEFT(AE390,1)</f>
        <v>C</v>
      </c>
      <c r="AH390" t="str">
        <f>K390</f>
        <v>M</v>
      </c>
      <c r="AI390" t="str">
        <f>LEFT(AF390,1)</f>
        <v>A</v>
      </c>
      <c r="AJ390" t="str">
        <f>LEFT(M390,1)</f>
        <v>M</v>
      </c>
      <c r="AK390" t="str">
        <f>_xlfn.CONCAT(AG390,AH390,AI390,AJ390)</f>
        <v>CMAM</v>
      </c>
    </row>
    <row r="391" spans="1:37" ht="15.75" hidden="1" customHeight="1" x14ac:dyDescent="0.2">
      <c r="A391" s="1">
        <v>1031003</v>
      </c>
      <c r="B391" s="1" t="s">
        <v>783</v>
      </c>
      <c r="C391" s="1" t="s">
        <v>81</v>
      </c>
      <c r="D391" s="1" t="s">
        <v>798</v>
      </c>
      <c r="E391" s="1" t="s">
        <v>75</v>
      </c>
      <c r="F391" s="1" t="s">
        <v>63</v>
      </c>
      <c r="G391" s="1" t="s">
        <v>801</v>
      </c>
      <c r="H391" s="1">
        <v>2537</v>
      </c>
      <c r="I391" s="1" t="s">
        <v>65</v>
      </c>
      <c r="J391" s="1">
        <v>2</v>
      </c>
      <c r="K391" s="1" t="s">
        <v>35</v>
      </c>
      <c r="L391" s="1">
        <v>46</v>
      </c>
      <c r="M391" s="1" t="str">
        <f>IF(L391&lt;=45,"Joven","Mayor")</f>
        <v>Mayor</v>
      </c>
      <c r="N391" s="1">
        <v>48</v>
      </c>
      <c r="O391" s="1" t="s">
        <v>36</v>
      </c>
      <c r="P391" s="1">
        <v>0.35699999999999998</v>
      </c>
      <c r="Q391" s="1">
        <v>88.453999999999994</v>
      </c>
      <c r="R391" s="1">
        <v>-5.9533285999999999</v>
      </c>
      <c r="S391" s="1">
        <v>-5.7946887</v>
      </c>
      <c r="T391" s="1">
        <v>6.7775860000000003</v>
      </c>
      <c r="U391" s="1">
        <v>1.149</v>
      </c>
      <c r="V391" s="1">
        <v>96</v>
      </c>
      <c r="W391" s="1">
        <v>189</v>
      </c>
      <c r="X391" s="1">
        <v>1.96875</v>
      </c>
      <c r="Y391" s="1">
        <v>110</v>
      </c>
      <c r="Z391" s="1">
        <v>189</v>
      </c>
      <c r="AA391" s="1">
        <v>1.7181818181818183</v>
      </c>
      <c r="AB391" s="1">
        <v>104.1566256079991</v>
      </c>
      <c r="AC391" s="1">
        <v>189.33143822224699</v>
      </c>
      <c r="AD391" s="1">
        <v>1.8177570281012114</v>
      </c>
      <c r="AE391" t="s">
        <v>4817</v>
      </c>
      <c r="AF391" t="str">
        <f>IF(X391&lt;$AF$1,"Bajo","Alto")</f>
        <v>Alto</v>
      </c>
      <c r="AG391" t="str">
        <f>LEFT(AE391,1)</f>
        <v>C</v>
      </c>
      <c r="AH391" t="str">
        <f>K391</f>
        <v>M</v>
      </c>
      <c r="AI391" t="str">
        <f>LEFT(AF391,1)</f>
        <v>A</v>
      </c>
      <c r="AJ391" t="str">
        <f>LEFT(M391,1)</f>
        <v>M</v>
      </c>
      <c r="AK391" t="str">
        <f>_xlfn.CONCAT(AG391,AH391,AI391,AJ391)</f>
        <v>CMAM</v>
      </c>
    </row>
    <row r="392" spans="1:37" ht="15.75" hidden="1" customHeight="1" x14ac:dyDescent="0.2">
      <c r="A392" s="1">
        <v>1521701</v>
      </c>
      <c r="B392" s="1" t="s">
        <v>2077</v>
      </c>
      <c r="C392" s="1" t="s">
        <v>57</v>
      </c>
      <c r="D392" s="1" t="s">
        <v>2250</v>
      </c>
      <c r="E392" s="1" t="s">
        <v>404</v>
      </c>
      <c r="F392" s="1" t="s">
        <v>32</v>
      </c>
      <c r="G392" s="1" t="s">
        <v>2251</v>
      </c>
      <c r="H392" s="1">
        <v>303</v>
      </c>
      <c r="I392" s="1" t="s">
        <v>2252</v>
      </c>
      <c r="J392" s="1">
        <v>2344</v>
      </c>
      <c r="K392" s="1" t="s">
        <v>35</v>
      </c>
      <c r="L392" s="1">
        <v>35</v>
      </c>
      <c r="M392" s="1" t="str">
        <f>IF(L392&lt;=45,"Joven","Mayor")</f>
        <v>Joven</v>
      </c>
      <c r="N392" s="1">
        <v>52</v>
      </c>
      <c r="O392" s="1" t="s">
        <v>36</v>
      </c>
      <c r="P392" s="1">
        <v>0.33900000000000002</v>
      </c>
      <c r="Q392" s="1">
        <v>40.667999999999999</v>
      </c>
      <c r="R392" s="1">
        <v>16.640889999999999</v>
      </c>
      <c r="S392" s="1">
        <v>7.1322823</v>
      </c>
      <c r="T392" s="1">
        <v>-13.347407</v>
      </c>
      <c r="U392" s="1">
        <v>6.82</v>
      </c>
      <c r="V392" s="1">
        <v>89</v>
      </c>
      <c r="W392" s="1">
        <v>177</v>
      </c>
      <c r="X392" s="1">
        <v>1.9887640449438202</v>
      </c>
      <c r="Y392" s="1">
        <v>107</v>
      </c>
      <c r="Z392" s="1">
        <v>177</v>
      </c>
      <c r="AA392" s="1">
        <v>1.6542056074766356</v>
      </c>
      <c r="AB392" s="1">
        <v>98.369547924942253</v>
      </c>
      <c r="AC392" s="1">
        <v>178.68284693732949</v>
      </c>
      <c r="AD392" s="1">
        <v>1.816444730168606</v>
      </c>
      <c r="AE392" t="s">
        <v>4817</v>
      </c>
      <c r="AF392" t="str">
        <f>IF(X392&lt;$AF$1,"Bajo","Alto")</f>
        <v>Alto</v>
      </c>
      <c r="AG392" t="str">
        <f>LEFT(AE392,1)</f>
        <v>C</v>
      </c>
      <c r="AH392" t="str">
        <f>K392</f>
        <v>M</v>
      </c>
      <c r="AI392" t="str">
        <f>LEFT(AF392,1)</f>
        <v>A</v>
      </c>
      <c r="AJ392" t="str">
        <f>LEFT(M392,1)</f>
        <v>J</v>
      </c>
      <c r="AK392" t="str">
        <f>_xlfn.CONCAT(AG392,AH392,AI392,AJ392)</f>
        <v>CMAJ</v>
      </c>
    </row>
    <row r="393" spans="1:37" ht="15.75" hidden="1" customHeight="1" x14ac:dyDescent="0.2">
      <c r="A393" s="1">
        <v>275801</v>
      </c>
      <c r="B393" s="1" t="s">
        <v>3409</v>
      </c>
      <c r="C393" s="1" t="s">
        <v>973</v>
      </c>
      <c r="D393" s="1" t="s">
        <v>3695</v>
      </c>
      <c r="E393" s="1" t="s">
        <v>695</v>
      </c>
      <c r="F393" s="1" t="s">
        <v>32</v>
      </c>
      <c r="G393" s="1" t="s">
        <v>3696</v>
      </c>
      <c r="H393" s="1">
        <v>390</v>
      </c>
      <c r="I393" s="1" t="s">
        <v>34</v>
      </c>
      <c r="J393" s="1">
        <v>10</v>
      </c>
      <c r="K393" s="1" t="s">
        <v>35</v>
      </c>
      <c r="L393" s="1">
        <v>51</v>
      </c>
      <c r="M393" s="1" t="str">
        <f>IF(L393&lt;=45,"Joven","Mayor")</f>
        <v>Mayor</v>
      </c>
      <c r="N393" s="1">
        <v>62</v>
      </c>
      <c r="O393" s="1" t="s">
        <v>36</v>
      </c>
      <c r="P393" s="1">
        <v>0.25700000000000001</v>
      </c>
      <c r="Q393" s="1">
        <v>91.415000000000006</v>
      </c>
      <c r="R393" s="1">
        <v>-3.4921536</v>
      </c>
      <c r="S393" s="1">
        <v>-5.7525740000000001</v>
      </c>
      <c r="T393" s="1">
        <v>1.0685480000000001</v>
      </c>
      <c r="U393" s="1">
        <v>1.2070000000000001</v>
      </c>
      <c r="V393" s="1">
        <v>77</v>
      </c>
      <c r="W393" s="1">
        <v>151</v>
      </c>
      <c r="X393" s="1">
        <v>1.9610389610389611</v>
      </c>
      <c r="Y393" s="1">
        <v>79</v>
      </c>
      <c r="Z393" s="1">
        <v>151</v>
      </c>
      <c r="AA393" s="1">
        <v>1.9113924050632911</v>
      </c>
      <c r="AB393" s="1">
        <v>79.676260070152466</v>
      </c>
      <c r="AC393" s="1">
        <v>150.89914666225511</v>
      </c>
      <c r="AD393" s="1">
        <v>1.8939034855475534</v>
      </c>
      <c r="AE393" t="s">
        <v>4815</v>
      </c>
      <c r="AF393" t="str">
        <f>IF(X393&lt;$AF$1,"Bajo","Alto")</f>
        <v>Alto</v>
      </c>
      <c r="AG393" t="str">
        <f>LEFT(AE393,1)</f>
        <v>I</v>
      </c>
      <c r="AH393" t="str">
        <f>K393</f>
        <v>M</v>
      </c>
      <c r="AI393" t="str">
        <f>LEFT(AF393,1)</f>
        <v>A</v>
      </c>
      <c r="AJ393" t="str">
        <f>LEFT(M393,1)</f>
        <v>M</v>
      </c>
      <c r="AK393" t="str">
        <f>_xlfn.CONCAT(AG393,AH393,AI393,AJ393)</f>
        <v>IMAM</v>
      </c>
    </row>
    <row r="394" spans="1:37" ht="15.75" hidden="1" customHeight="1" x14ac:dyDescent="0.2">
      <c r="A394" s="1">
        <v>1014904</v>
      </c>
      <c r="B394" s="1" t="s">
        <v>29</v>
      </c>
      <c r="C394" s="1" t="s">
        <v>30</v>
      </c>
      <c r="D394" s="1" t="s">
        <v>672</v>
      </c>
      <c r="E394" s="1" t="s">
        <v>673</v>
      </c>
      <c r="F394" s="1" t="s">
        <v>61</v>
      </c>
      <c r="G394" s="1" t="s">
        <v>675</v>
      </c>
      <c r="H394" s="1">
        <v>3312</v>
      </c>
      <c r="I394" s="1" t="s">
        <v>294</v>
      </c>
      <c r="J394" s="1">
        <v>16</v>
      </c>
      <c r="K394" s="1" t="s">
        <v>35</v>
      </c>
      <c r="L394" s="1">
        <v>53</v>
      </c>
      <c r="M394" s="1" t="str">
        <f>IF(L394&lt;=45,"Joven","Mayor")</f>
        <v>Mayor</v>
      </c>
      <c r="N394" s="1">
        <v>52</v>
      </c>
      <c r="O394" s="1" t="s">
        <v>36</v>
      </c>
      <c r="P394" s="1">
        <v>3.1E-2</v>
      </c>
      <c r="Q394" s="1">
        <v>92.724000000000004</v>
      </c>
      <c r="R394" s="1">
        <v>2.1635547000000002</v>
      </c>
      <c r="S394" s="1">
        <v>5.2669560000000004</v>
      </c>
      <c r="T394" s="1">
        <v>-6.8328986</v>
      </c>
      <c r="U394" s="1">
        <v>0.71599999999999997</v>
      </c>
      <c r="V394" s="1">
        <v>244</v>
      </c>
      <c r="W394" s="1">
        <v>480</v>
      </c>
      <c r="X394" s="1">
        <v>1.9672131147540983</v>
      </c>
      <c r="Y394" s="1">
        <v>269</v>
      </c>
      <c r="Z394" s="1">
        <v>480</v>
      </c>
      <c r="AA394" s="1">
        <v>1.7843866171003717</v>
      </c>
      <c r="AB394" s="1">
        <v>260.82691476496677</v>
      </c>
      <c r="AC394" s="1">
        <v>481.94456635994169</v>
      </c>
      <c r="AD394" s="1">
        <v>1.8477562670026819</v>
      </c>
      <c r="AE394" t="s">
        <v>4817</v>
      </c>
      <c r="AF394" t="str">
        <f>IF(X394&lt;$AF$1,"Bajo","Alto")</f>
        <v>Alto</v>
      </c>
      <c r="AG394" t="str">
        <f>LEFT(AE394,1)</f>
        <v>C</v>
      </c>
      <c r="AH394" t="str">
        <f>K394</f>
        <v>M</v>
      </c>
      <c r="AI394" t="str">
        <f>LEFT(AF394,1)</f>
        <v>A</v>
      </c>
      <c r="AJ394" t="str">
        <f>LEFT(M394,1)</f>
        <v>M</v>
      </c>
      <c r="AK394" t="str">
        <f>_xlfn.CONCAT(AG394,AH394,AI394,AJ394)</f>
        <v>CMAM</v>
      </c>
    </row>
    <row r="395" spans="1:37" ht="15.75" hidden="1" customHeight="1" x14ac:dyDescent="0.2">
      <c r="A395" s="1">
        <v>277103</v>
      </c>
      <c r="B395" s="1" t="s">
        <v>3409</v>
      </c>
      <c r="C395" s="1" t="s">
        <v>973</v>
      </c>
      <c r="D395" s="1" t="s">
        <v>2584</v>
      </c>
      <c r="E395" s="1" t="s">
        <v>3709</v>
      </c>
      <c r="F395" s="1" t="s">
        <v>63</v>
      </c>
      <c r="G395" s="1" t="s">
        <v>3712</v>
      </c>
      <c r="H395" s="1">
        <v>3601</v>
      </c>
      <c r="I395" s="1" t="s">
        <v>3713</v>
      </c>
      <c r="J395" s="1">
        <v>3821</v>
      </c>
      <c r="K395" s="1" t="s">
        <v>35</v>
      </c>
      <c r="L395" s="1">
        <v>32</v>
      </c>
      <c r="M395" s="1" t="str">
        <f>IF(L395&lt;=45,"Joven","Mayor")</f>
        <v>Joven</v>
      </c>
      <c r="N395" s="1">
        <v>36</v>
      </c>
      <c r="O395" s="1" t="s">
        <v>36</v>
      </c>
      <c r="P395" s="1">
        <v>0.42399999999999999</v>
      </c>
      <c r="Q395" s="1">
        <v>82.483999999999995</v>
      </c>
      <c r="R395" s="1">
        <v>-8.4561639999999993</v>
      </c>
      <c r="S395" s="1">
        <v>7.4505350000000004</v>
      </c>
      <c r="T395" s="1">
        <v>11.83731</v>
      </c>
      <c r="U395" s="1">
        <v>3.7069999999999999</v>
      </c>
      <c r="V395" s="1">
        <v>88</v>
      </c>
      <c r="W395" s="1">
        <v>175</v>
      </c>
      <c r="X395" s="1">
        <v>1.9886363636363635</v>
      </c>
      <c r="Y395" s="1">
        <v>101</v>
      </c>
      <c r="Z395" s="1">
        <v>175</v>
      </c>
      <c r="AA395" s="1">
        <v>1.7326732673267327</v>
      </c>
      <c r="AB395" s="1">
        <v>97.616065554849456</v>
      </c>
      <c r="AC395" s="1">
        <v>176.2016552878631</v>
      </c>
      <c r="AD395" s="1">
        <v>1.805047706915182</v>
      </c>
      <c r="AE395" t="s">
        <v>4817</v>
      </c>
      <c r="AF395" t="str">
        <f>IF(X395&lt;$AF$1,"Bajo","Alto")</f>
        <v>Alto</v>
      </c>
      <c r="AG395" t="str">
        <f>LEFT(AE395,1)</f>
        <v>C</v>
      </c>
      <c r="AH395" t="str">
        <f>K395</f>
        <v>M</v>
      </c>
      <c r="AI395" t="str">
        <f>LEFT(AF395,1)</f>
        <v>A</v>
      </c>
      <c r="AJ395" t="str">
        <f>LEFT(M395,1)</f>
        <v>J</v>
      </c>
      <c r="AK395" t="str">
        <f>_xlfn.CONCAT(AG395,AH395,AI395,AJ395)</f>
        <v>CMAJ</v>
      </c>
    </row>
    <row r="396" spans="1:37" ht="15.75" hidden="1" customHeight="1" x14ac:dyDescent="0.2">
      <c r="A396" s="1">
        <v>2712103</v>
      </c>
      <c r="B396" s="1" t="s">
        <v>3409</v>
      </c>
      <c r="C396" s="1" t="s">
        <v>973</v>
      </c>
      <c r="D396" s="1" t="s">
        <v>3464</v>
      </c>
      <c r="E396" s="1" t="s">
        <v>136</v>
      </c>
      <c r="F396" s="1" t="s">
        <v>63</v>
      </c>
      <c r="G396" s="1" t="s">
        <v>3467</v>
      </c>
      <c r="H396" s="1">
        <v>10553</v>
      </c>
      <c r="I396" s="1" t="s">
        <v>3468</v>
      </c>
      <c r="J396" s="1">
        <v>4029</v>
      </c>
      <c r="K396" s="1" t="s">
        <v>35</v>
      </c>
      <c r="L396" s="1">
        <v>31</v>
      </c>
      <c r="M396" s="1" t="str">
        <f>IF(L396&lt;=45,"Joven","Mayor")</f>
        <v>Joven</v>
      </c>
      <c r="N396" s="1">
        <v>36</v>
      </c>
      <c r="O396" s="1" t="s">
        <v>36</v>
      </c>
      <c r="P396" s="1">
        <v>0.05</v>
      </c>
      <c r="Q396" s="1">
        <v>83.085999999999999</v>
      </c>
      <c r="R396" s="1">
        <v>-9.1678110000000004</v>
      </c>
      <c r="S396" s="1">
        <v>4.0169230000000002</v>
      </c>
      <c r="T396" s="1">
        <v>16.278441999999998</v>
      </c>
      <c r="U396" s="1">
        <v>11.170999999999999</v>
      </c>
      <c r="V396" s="1">
        <v>87</v>
      </c>
      <c r="W396" s="1">
        <v>173</v>
      </c>
      <c r="X396" s="1">
        <v>1.9885057471264367</v>
      </c>
      <c r="Y396" s="1">
        <v>101</v>
      </c>
      <c r="Z396" s="1">
        <v>173</v>
      </c>
      <c r="AA396" s="1">
        <v>1.7128712871287128</v>
      </c>
      <c r="AB396" s="1">
        <v>99.769964126856394</v>
      </c>
      <c r="AC396" s="1">
        <v>173.63282307020469</v>
      </c>
      <c r="AD396" s="1">
        <v>1.7403316177344967</v>
      </c>
      <c r="AE396" t="s">
        <v>4817</v>
      </c>
      <c r="AF396" t="str">
        <f>IF(X396&lt;$AF$1,"Bajo","Alto")</f>
        <v>Alto</v>
      </c>
      <c r="AG396" t="str">
        <f>LEFT(AE396,1)</f>
        <v>C</v>
      </c>
      <c r="AH396" t="str">
        <f>K396</f>
        <v>M</v>
      </c>
      <c r="AI396" t="str">
        <f>LEFT(AF396,1)</f>
        <v>A</v>
      </c>
      <c r="AJ396" t="str">
        <f>LEFT(M396,1)</f>
        <v>J</v>
      </c>
      <c r="AK396" t="str">
        <f>_xlfn.CONCAT(AG396,AH396,AI396,AJ396)</f>
        <v>CMAJ</v>
      </c>
    </row>
    <row r="397" spans="1:37" ht="15.75" hidden="1" customHeight="1" x14ac:dyDescent="0.2">
      <c r="A397" s="1">
        <v>2828006</v>
      </c>
      <c r="B397" s="1" t="s">
        <v>1775</v>
      </c>
      <c r="C397" s="1" t="s">
        <v>561</v>
      </c>
      <c r="D397" s="1" t="s">
        <v>1775</v>
      </c>
      <c r="E397" s="1" t="s">
        <v>556</v>
      </c>
      <c r="F397" s="1" t="s">
        <v>88</v>
      </c>
      <c r="G397" s="1" t="s">
        <v>3835</v>
      </c>
      <c r="H397" s="1">
        <v>16</v>
      </c>
      <c r="I397" s="1" t="s">
        <v>134</v>
      </c>
      <c r="J397" s="1">
        <v>8</v>
      </c>
      <c r="K397" s="1" t="s">
        <v>35</v>
      </c>
      <c r="L397" s="1">
        <v>33</v>
      </c>
      <c r="M397" s="1" t="str">
        <f>IF(L397&lt;=45,"Joven","Mayor")</f>
        <v>Joven</v>
      </c>
      <c r="N397" s="1">
        <v>31</v>
      </c>
      <c r="O397" s="1" t="s">
        <v>36</v>
      </c>
      <c r="P397" s="1">
        <v>0.22600000000000001</v>
      </c>
      <c r="Q397" s="1">
        <v>93.14</v>
      </c>
      <c r="R397" s="1">
        <v>1.3180301000000001</v>
      </c>
      <c r="S397" s="1">
        <v>5.5279090000000002</v>
      </c>
      <c r="T397" s="1">
        <v>-3.8902272999999998</v>
      </c>
      <c r="U397" s="1">
        <v>35.511000000000003</v>
      </c>
      <c r="V397" s="1">
        <v>93</v>
      </c>
      <c r="W397" s="1">
        <v>148</v>
      </c>
      <c r="X397" s="1">
        <v>1.5913978494623655</v>
      </c>
      <c r="Y397" s="1">
        <v>93</v>
      </c>
      <c r="Z397" s="1">
        <v>148</v>
      </c>
      <c r="AA397" s="1">
        <v>1.5913978494623655</v>
      </c>
      <c r="AB397" s="1">
        <v>95.635210475089707</v>
      </c>
      <c r="AC397" s="1">
        <v>147.79467831764529</v>
      </c>
      <c r="AD397" s="1">
        <v>1.545400251470578</v>
      </c>
      <c r="AE397" t="s">
        <v>4817</v>
      </c>
      <c r="AF397" t="str">
        <f>IF(X397&lt;$AF$1,"Bajo","Alto")</f>
        <v>Bajo</v>
      </c>
      <c r="AG397" t="str">
        <f>LEFT(AE397,1)</f>
        <v>C</v>
      </c>
      <c r="AH397" t="str">
        <f>K397</f>
        <v>M</v>
      </c>
      <c r="AI397" t="str">
        <f>LEFT(AF397,1)</f>
        <v>B</v>
      </c>
      <c r="AJ397" t="str">
        <f>LEFT(M397,1)</f>
        <v>J</v>
      </c>
      <c r="AK397" t="str">
        <f>_xlfn.CONCAT(AG397,AH397,AI397,AJ397)</f>
        <v>CMBJ</v>
      </c>
    </row>
    <row r="398" spans="1:37" ht="15.75" hidden="1" customHeight="1" x14ac:dyDescent="0.2">
      <c r="A398" s="1">
        <v>112202</v>
      </c>
      <c r="B398" s="1" t="s">
        <v>1648</v>
      </c>
      <c r="C398" s="1" t="s">
        <v>51</v>
      </c>
      <c r="D398" s="1" t="s">
        <v>1681</v>
      </c>
      <c r="E398" s="1" t="s">
        <v>418</v>
      </c>
      <c r="F398" s="1" t="s">
        <v>37</v>
      </c>
      <c r="G398" s="1" t="s">
        <v>1682</v>
      </c>
      <c r="H398" s="1">
        <v>3617</v>
      </c>
      <c r="I398" s="1" t="s">
        <v>85</v>
      </c>
      <c r="J398" s="1">
        <v>12</v>
      </c>
      <c r="K398" s="1" t="s">
        <v>35</v>
      </c>
      <c r="L398" s="1">
        <v>37</v>
      </c>
      <c r="M398" s="1" t="str">
        <f>IF(L398&lt;=45,"Joven","Mayor")</f>
        <v>Joven</v>
      </c>
      <c r="N398" s="1">
        <v>47</v>
      </c>
      <c r="O398" s="1" t="s">
        <v>36</v>
      </c>
      <c r="P398" s="1">
        <v>0.36099999999999999</v>
      </c>
      <c r="Q398" s="1">
        <v>91.173000000000002</v>
      </c>
      <c r="R398" s="1">
        <v>-3.0556880999999998</v>
      </c>
      <c r="S398" s="1">
        <v>7.2148104000000002</v>
      </c>
      <c r="T398" s="1">
        <v>11.701917</v>
      </c>
      <c r="U398" s="1">
        <v>16.670999999999999</v>
      </c>
      <c r="V398" s="1">
        <v>86</v>
      </c>
      <c r="W398" s="1">
        <v>168</v>
      </c>
      <c r="X398" s="1">
        <v>1.9534883720930232</v>
      </c>
      <c r="Y398" s="1">
        <v>104</v>
      </c>
      <c r="Z398" s="1">
        <v>168</v>
      </c>
      <c r="AA398" s="1">
        <v>1.6153846153846154</v>
      </c>
      <c r="AB398" s="1">
        <v>95.976141535729539</v>
      </c>
      <c r="AC398" s="1">
        <v>169.78161374675119</v>
      </c>
      <c r="AD398" s="1">
        <v>1.7689981179702428</v>
      </c>
      <c r="AE398" t="s">
        <v>4815</v>
      </c>
      <c r="AF398" t="str">
        <f>IF(X398&lt;$AF$1,"Bajo","Alto")</f>
        <v>Alto</v>
      </c>
      <c r="AG398" t="str">
        <f>LEFT(AE398,1)</f>
        <v>I</v>
      </c>
      <c r="AH398" t="str">
        <f>K398</f>
        <v>M</v>
      </c>
      <c r="AI398" t="str">
        <f>LEFT(AF398,1)</f>
        <v>A</v>
      </c>
      <c r="AJ398" t="str">
        <f>LEFT(M398,1)</f>
        <v>J</v>
      </c>
      <c r="AK398" t="str">
        <f>_xlfn.CONCAT(AG398,AH398,AI398,AJ398)</f>
        <v>IMAJ</v>
      </c>
    </row>
    <row r="399" spans="1:37" ht="15.75" hidden="1" customHeight="1" x14ac:dyDescent="0.2">
      <c r="A399" s="1">
        <v>160101</v>
      </c>
      <c r="B399" s="1" t="s">
        <v>2547</v>
      </c>
      <c r="C399" s="1" t="s">
        <v>244</v>
      </c>
      <c r="D399" s="1" t="s">
        <v>2548</v>
      </c>
      <c r="E399" s="1" t="s">
        <v>32</v>
      </c>
      <c r="F399" s="1" t="s">
        <v>32</v>
      </c>
      <c r="G399" s="1" t="s">
        <v>2549</v>
      </c>
      <c r="H399" s="1">
        <v>1022362</v>
      </c>
      <c r="I399" s="1" t="s">
        <v>2550</v>
      </c>
      <c r="J399" s="1">
        <v>376</v>
      </c>
      <c r="K399" s="1" t="s">
        <v>35</v>
      </c>
      <c r="L399" s="1">
        <v>42</v>
      </c>
      <c r="M399" s="1" t="str">
        <f>IF(L399&lt;=45,"Joven","Mayor")</f>
        <v>Joven</v>
      </c>
      <c r="N399" s="1">
        <v>40</v>
      </c>
      <c r="O399" s="1" t="s">
        <v>36</v>
      </c>
      <c r="P399" s="1">
        <v>0.72699999999999998</v>
      </c>
      <c r="Q399" s="1">
        <v>91.933000000000007</v>
      </c>
      <c r="R399" s="1">
        <v>-3.5051958999999999</v>
      </c>
      <c r="S399" s="1">
        <v>-3.7708065999999998</v>
      </c>
      <c r="T399" s="1">
        <v>-0.42098530000000001</v>
      </c>
      <c r="U399" s="1">
        <v>6.6989999999999998</v>
      </c>
      <c r="V399" s="1">
        <v>98</v>
      </c>
      <c r="W399" s="1">
        <v>156</v>
      </c>
      <c r="X399" s="1">
        <v>1.5918367346938775</v>
      </c>
      <c r="Y399" s="1">
        <v>98</v>
      </c>
      <c r="Z399" s="1">
        <v>156</v>
      </c>
      <c r="AA399" s="1">
        <v>1.5918367346938775</v>
      </c>
      <c r="AB399" s="1">
        <v>98.283907678080595</v>
      </c>
      <c r="AC399" s="1">
        <v>156.02517909263449</v>
      </c>
      <c r="AD399" s="1">
        <v>1.5874946649829982</v>
      </c>
      <c r="AE399" t="s">
        <v>4817</v>
      </c>
      <c r="AF399" t="str">
        <f>IF(X399&lt;$AF$1,"Bajo","Alto")</f>
        <v>Bajo</v>
      </c>
      <c r="AG399" t="str">
        <f>LEFT(AE399,1)</f>
        <v>C</v>
      </c>
      <c r="AH399" t="str">
        <f>K399</f>
        <v>M</v>
      </c>
      <c r="AI399" t="str">
        <f>LEFT(AF399,1)</f>
        <v>B</v>
      </c>
      <c r="AJ399" t="str">
        <f>LEFT(M399,1)</f>
        <v>J</v>
      </c>
      <c r="AK399" t="str">
        <f>_xlfn.CONCAT(AG399,AH399,AI399,AJ399)</f>
        <v>CMBJ</v>
      </c>
    </row>
    <row r="400" spans="1:37" ht="15.75" hidden="1" customHeight="1" x14ac:dyDescent="0.2">
      <c r="A400" s="1">
        <v>440103</v>
      </c>
      <c r="B400" s="1" t="s">
        <v>4314</v>
      </c>
      <c r="C400" s="1" t="s">
        <v>995</v>
      </c>
      <c r="D400" s="1" t="s">
        <v>1687</v>
      </c>
      <c r="E400" s="1" t="s">
        <v>32</v>
      </c>
      <c r="F400" s="1" t="s">
        <v>63</v>
      </c>
      <c r="G400" s="1" t="s">
        <v>4315</v>
      </c>
      <c r="H400" s="1">
        <v>10773</v>
      </c>
      <c r="I400" s="1" t="s">
        <v>91</v>
      </c>
      <c r="J400" s="1">
        <v>6</v>
      </c>
      <c r="K400" s="1" t="s">
        <v>35</v>
      </c>
      <c r="L400" s="1">
        <v>42</v>
      </c>
      <c r="M400" s="1" t="str">
        <f>IF(L400&lt;=45,"Joven","Mayor")</f>
        <v>Joven</v>
      </c>
      <c r="N400" s="1">
        <v>55</v>
      </c>
      <c r="O400" s="1" t="s">
        <v>36</v>
      </c>
      <c r="P400" s="1">
        <v>0.35899999999999999</v>
      </c>
      <c r="Q400" s="1">
        <v>78.403999999999996</v>
      </c>
      <c r="R400" s="1">
        <v>11.032137000000001</v>
      </c>
      <c r="S400" s="1">
        <v>-1.5232935000000001</v>
      </c>
      <c r="T400" s="1">
        <v>-8.3987759999999998</v>
      </c>
      <c r="U400" s="1">
        <v>0.94399999999999995</v>
      </c>
      <c r="V400" s="1">
        <v>85</v>
      </c>
      <c r="W400" s="1">
        <v>169</v>
      </c>
      <c r="X400" s="1">
        <v>1.9882352941176471</v>
      </c>
      <c r="Y400" s="1">
        <v>101</v>
      </c>
      <c r="Z400" s="1">
        <v>169</v>
      </c>
      <c r="AA400" s="1">
        <v>1.6732673267326732</v>
      </c>
      <c r="AB400" s="1">
        <v>94.512530691622942</v>
      </c>
      <c r="AC400" s="1">
        <v>169.08635627216381</v>
      </c>
      <c r="AD400" s="1">
        <v>1.7890363852795519</v>
      </c>
      <c r="AE400" t="s">
        <v>4817</v>
      </c>
      <c r="AF400" t="str">
        <f>IF(X400&lt;$AF$1,"Bajo","Alto")</f>
        <v>Alto</v>
      </c>
      <c r="AG400" t="str">
        <f>LEFT(AE400,1)</f>
        <v>C</v>
      </c>
      <c r="AH400" t="str">
        <f>K400</f>
        <v>M</v>
      </c>
      <c r="AI400" t="str">
        <f>LEFT(AF400,1)</f>
        <v>A</v>
      </c>
      <c r="AJ400" t="str">
        <f>LEFT(M400,1)</f>
        <v>J</v>
      </c>
      <c r="AK400" t="str">
        <f>_xlfn.CONCAT(AG400,AH400,AI400,AJ400)</f>
        <v>CMAJ</v>
      </c>
    </row>
    <row r="401" spans="1:37" ht="15.75" hidden="1" customHeight="1" x14ac:dyDescent="0.2">
      <c r="A401" s="1">
        <v>1510001</v>
      </c>
      <c r="B401" s="1" t="s">
        <v>2077</v>
      </c>
      <c r="C401" s="1" t="s">
        <v>57</v>
      </c>
      <c r="D401" s="1" t="s">
        <v>2090</v>
      </c>
      <c r="E401" s="1" t="s">
        <v>70</v>
      </c>
      <c r="F401" s="1" t="s">
        <v>32</v>
      </c>
      <c r="G401" s="1" t="s">
        <v>2091</v>
      </c>
      <c r="H401" s="1">
        <v>2588</v>
      </c>
      <c r="I401" s="1" t="s">
        <v>2092</v>
      </c>
      <c r="J401" s="1">
        <v>2263</v>
      </c>
      <c r="K401" s="1" t="s">
        <v>49</v>
      </c>
      <c r="L401" s="1">
        <v>34</v>
      </c>
      <c r="M401" s="1" t="str">
        <f>IF(L401&lt;=45,"Joven","Mayor")</f>
        <v>Joven</v>
      </c>
      <c r="N401" s="1">
        <v>57</v>
      </c>
      <c r="O401" s="1" t="s">
        <v>50</v>
      </c>
      <c r="P401" s="1">
        <v>0.27600000000000002</v>
      </c>
      <c r="Q401" s="1">
        <v>91.14</v>
      </c>
      <c r="R401" s="1">
        <v>4.9119630000000001</v>
      </c>
      <c r="S401" s="1">
        <v>-2.2315225999999999</v>
      </c>
      <c r="T401" s="1">
        <v>-10.705859999999999</v>
      </c>
      <c r="U401" s="1">
        <v>40.265999999999998</v>
      </c>
      <c r="V401" s="1">
        <v>112</v>
      </c>
      <c r="W401" s="1">
        <v>225</v>
      </c>
      <c r="X401" s="1">
        <v>2.0089285714285716</v>
      </c>
      <c r="Y401" s="1">
        <v>125</v>
      </c>
      <c r="Z401" s="1">
        <v>225</v>
      </c>
      <c r="AA401" s="1">
        <v>1.8</v>
      </c>
      <c r="AB401" s="1">
        <v>122.496902367885</v>
      </c>
      <c r="AC401" s="1">
        <v>224.98471483557839</v>
      </c>
      <c r="AD401" s="1">
        <v>1.8366563601739092</v>
      </c>
      <c r="AE401" t="s">
        <v>4817</v>
      </c>
      <c r="AF401" t="str">
        <f>IF(X401&lt;$AF$1,"Bajo","Alto")</f>
        <v>Alto</v>
      </c>
      <c r="AG401" t="str">
        <f>LEFT(AE401,1)</f>
        <v>C</v>
      </c>
      <c r="AH401" t="str">
        <f>K401</f>
        <v>F</v>
      </c>
      <c r="AI401" t="str">
        <f>LEFT(AF401,1)</f>
        <v>A</v>
      </c>
      <c r="AJ401" t="str">
        <f>LEFT(M401,1)</f>
        <v>J</v>
      </c>
      <c r="AK401" t="str">
        <f>_xlfn.CONCAT(AG401,AH401,AI401,AJ401)</f>
        <v>CFAJ</v>
      </c>
    </row>
    <row r="402" spans="1:37" ht="15.75" hidden="1" customHeight="1" x14ac:dyDescent="0.2">
      <c r="A402" s="1">
        <v>280104</v>
      </c>
      <c r="B402" s="1" t="s">
        <v>1775</v>
      </c>
      <c r="C402" s="1" t="s">
        <v>561</v>
      </c>
      <c r="D402" s="1" t="s">
        <v>3768</v>
      </c>
      <c r="E402" s="1" t="s">
        <v>32</v>
      </c>
      <c r="F402" s="1" t="s">
        <v>61</v>
      </c>
      <c r="G402" s="1" t="s">
        <v>3772</v>
      </c>
      <c r="H402" s="1">
        <v>804</v>
      </c>
      <c r="I402" s="1" t="s">
        <v>45</v>
      </c>
      <c r="J402" s="1">
        <v>17</v>
      </c>
      <c r="K402" s="1" t="s">
        <v>35</v>
      </c>
      <c r="L402" s="1">
        <v>53</v>
      </c>
      <c r="M402" s="1" t="str">
        <f>IF(L402&lt;=45,"Joven","Mayor")</f>
        <v>Mayor</v>
      </c>
      <c r="N402" s="1">
        <v>59</v>
      </c>
      <c r="O402" s="1" t="s">
        <v>36</v>
      </c>
      <c r="P402" s="1">
        <v>0.72199999999999998</v>
      </c>
      <c r="Q402" s="1">
        <v>90.682000000000002</v>
      </c>
      <c r="R402" s="1">
        <v>5.5927486000000002</v>
      </c>
      <c r="S402" s="1">
        <v>-0.3699461</v>
      </c>
      <c r="T402" s="1">
        <v>3.5030332000000001E-3</v>
      </c>
      <c r="U402" s="1">
        <v>1.4550000000000001</v>
      </c>
      <c r="V402" s="1">
        <v>88</v>
      </c>
      <c r="W402" s="1">
        <v>173</v>
      </c>
      <c r="X402" s="1">
        <v>1.9659090909090908</v>
      </c>
      <c r="Y402" s="1">
        <v>94</v>
      </c>
      <c r="Z402" s="1">
        <v>173</v>
      </c>
      <c r="AA402" s="1">
        <v>1.8404255319148937</v>
      </c>
      <c r="AB402" s="1">
        <v>93.997187409009257</v>
      </c>
      <c r="AC402" s="1">
        <v>173.00024423451259</v>
      </c>
      <c r="AD402" s="1">
        <v>1.8404831995848761</v>
      </c>
      <c r="AE402" t="s">
        <v>4817</v>
      </c>
      <c r="AF402" t="str">
        <f>IF(X402&lt;$AF$1,"Bajo","Alto")</f>
        <v>Alto</v>
      </c>
      <c r="AG402" t="str">
        <f>LEFT(AE402,1)</f>
        <v>C</v>
      </c>
      <c r="AH402" t="str">
        <f>K402</f>
        <v>M</v>
      </c>
      <c r="AI402" t="str">
        <f>LEFT(AF402,1)</f>
        <v>A</v>
      </c>
      <c r="AJ402" t="str">
        <f>LEFT(M402,1)</f>
        <v>M</v>
      </c>
      <c r="AK402" t="str">
        <f>_xlfn.CONCAT(AG402,AH402,AI402,AJ402)</f>
        <v>CMAM</v>
      </c>
    </row>
    <row r="403" spans="1:37" ht="15.75" hidden="1" customHeight="1" x14ac:dyDescent="0.2">
      <c r="A403" s="1">
        <v>257907</v>
      </c>
      <c r="B403" s="1" t="s">
        <v>3169</v>
      </c>
      <c r="C403" s="1" t="s">
        <v>821</v>
      </c>
      <c r="D403" s="1" t="s">
        <v>2266</v>
      </c>
      <c r="E403" s="1" t="s">
        <v>739</v>
      </c>
      <c r="F403" s="1" t="s">
        <v>43</v>
      </c>
      <c r="G403" s="1" t="s">
        <v>3327</v>
      </c>
      <c r="H403" s="1">
        <v>1322</v>
      </c>
      <c r="I403" s="1" t="s">
        <v>3328</v>
      </c>
      <c r="J403" s="1">
        <v>2826</v>
      </c>
      <c r="K403" s="1" t="s">
        <v>49</v>
      </c>
      <c r="L403" s="1">
        <v>39</v>
      </c>
      <c r="M403" s="1" t="str">
        <f>IF(L403&lt;=45,"Joven","Mayor")</f>
        <v>Joven</v>
      </c>
      <c r="N403" s="1">
        <v>43</v>
      </c>
      <c r="O403" s="1" t="s">
        <v>50</v>
      </c>
      <c r="P403" s="1">
        <v>0.71899999999999997</v>
      </c>
      <c r="Q403" s="1">
        <v>88.451999999999998</v>
      </c>
      <c r="R403" s="1">
        <v>4.1531057000000002</v>
      </c>
      <c r="S403" s="1">
        <v>9.7345299999999995</v>
      </c>
      <c r="T403" s="1">
        <v>-7.7201519999999997</v>
      </c>
      <c r="U403" s="1">
        <v>50.423000000000002</v>
      </c>
      <c r="V403" s="1">
        <v>90</v>
      </c>
      <c r="W403" s="1">
        <v>145</v>
      </c>
      <c r="X403" s="1">
        <v>1.6111111111111112</v>
      </c>
      <c r="Y403" s="1">
        <v>93</v>
      </c>
      <c r="Z403" s="1">
        <v>145</v>
      </c>
      <c r="AA403" s="1">
        <v>1.5591397849462365</v>
      </c>
      <c r="AB403" s="1">
        <v>95.36363849385657</v>
      </c>
      <c r="AC403" s="1">
        <v>144.89473440064509</v>
      </c>
      <c r="AD403" s="1">
        <v>1.5193918425205575</v>
      </c>
      <c r="AE403" t="s">
        <v>4817</v>
      </c>
      <c r="AF403" t="str">
        <f>IF(X403&lt;$AF$1,"Bajo","Alto")</f>
        <v>Bajo</v>
      </c>
      <c r="AG403" t="str">
        <f>LEFT(AE403,1)</f>
        <v>C</v>
      </c>
      <c r="AH403" t="str">
        <f>K403</f>
        <v>F</v>
      </c>
      <c r="AI403" t="str">
        <f>LEFT(AF403,1)</f>
        <v>B</v>
      </c>
      <c r="AJ403" t="str">
        <f>LEFT(M403,1)</f>
        <v>J</v>
      </c>
      <c r="AK403" t="str">
        <f>_xlfn.CONCAT(AG403,AH403,AI403,AJ403)</f>
        <v>CFBJ</v>
      </c>
    </row>
    <row r="404" spans="1:37" ht="15.75" hidden="1" customHeight="1" x14ac:dyDescent="0.2">
      <c r="A404" s="1">
        <v>253402</v>
      </c>
      <c r="B404" s="1" t="s">
        <v>3169</v>
      </c>
      <c r="C404" s="1" t="s">
        <v>821</v>
      </c>
      <c r="D404" s="1" t="s">
        <v>3226</v>
      </c>
      <c r="E404" s="1" t="s">
        <v>634</v>
      </c>
      <c r="F404" s="1" t="s">
        <v>37</v>
      </c>
      <c r="G404" s="1" t="s">
        <v>3228</v>
      </c>
      <c r="H404" s="1">
        <v>1332</v>
      </c>
      <c r="I404" s="1" t="s">
        <v>3229</v>
      </c>
      <c r="J404" s="1">
        <v>2559</v>
      </c>
      <c r="K404" s="1" t="s">
        <v>49</v>
      </c>
      <c r="L404" s="1">
        <v>37</v>
      </c>
      <c r="M404" s="1" t="str">
        <f>IF(L404&lt;=45,"Joven","Mayor")</f>
        <v>Joven</v>
      </c>
      <c r="N404" s="1">
        <v>27</v>
      </c>
      <c r="O404" s="1" t="s">
        <v>50</v>
      </c>
      <c r="P404" s="1">
        <v>0.36399999999999999</v>
      </c>
      <c r="Q404" s="1">
        <v>88.599000000000004</v>
      </c>
      <c r="R404" s="1">
        <v>5.9991719999999997</v>
      </c>
      <c r="S404" s="1">
        <v>5.3412240000000004</v>
      </c>
      <c r="T404" s="1">
        <v>-5.4621487000000002</v>
      </c>
      <c r="U404" s="1">
        <v>74.171000000000006</v>
      </c>
      <c r="V404" s="1">
        <v>86</v>
      </c>
      <c r="W404" s="1">
        <v>139</v>
      </c>
      <c r="X404" s="1">
        <v>1.6162790697674418</v>
      </c>
      <c r="Y404" s="1">
        <v>87</v>
      </c>
      <c r="Z404" s="1">
        <v>139</v>
      </c>
      <c r="AA404" s="1">
        <v>1.5977011494252873</v>
      </c>
      <c r="AB404" s="1">
        <v>89.321837362060705</v>
      </c>
      <c r="AC404" s="1">
        <v>138.65440708981899</v>
      </c>
      <c r="AD404" s="1">
        <v>1.5523013317313623</v>
      </c>
      <c r="AE404" t="s">
        <v>4817</v>
      </c>
      <c r="AF404" t="str">
        <f>IF(X404&lt;$AF$1,"Bajo","Alto")</f>
        <v>Bajo</v>
      </c>
      <c r="AG404" t="str">
        <f>LEFT(AE404,1)</f>
        <v>C</v>
      </c>
      <c r="AH404" t="str">
        <f>K404</f>
        <v>F</v>
      </c>
      <c r="AI404" t="str">
        <f>LEFT(AF404,1)</f>
        <v>B</v>
      </c>
      <c r="AJ404" t="str">
        <f>LEFT(M404,1)</f>
        <v>J</v>
      </c>
      <c r="AK404" t="str">
        <f>_xlfn.CONCAT(AG404,AH404,AI404,AJ404)</f>
        <v>CFBJ</v>
      </c>
    </row>
    <row r="405" spans="1:37" ht="15.75" hidden="1" customHeight="1" x14ac:dyDescent="0.2">
      <c r="A405" s="1">
        <v>210804</v>
      </c>
      <c r="B405" s="1" t="s">
        <v>2816</v>
      </c>
      <c r="C405" s="1" t="s">
        <v>2817</v>
      </c>
      <c r="D405" s="1" t="s">
        <v>2821</v>
      </c>
      <c r="E405" s="1" t="s">
        <v>46</v>
      </c>
      <c r="F405" s="1" t="s">
        <v>61</v>
      </c>
      <c r="G405" s="1" t="s">
        <v>2825</v>
      </c>
      <c r="H405" s="1">
        <v>2663</v>
      </c>
      <c r="I405" s="1" t="s">
        <v>2826</v>
      </c>
      <c r="J405" s="1">
        <v>4053</v>
      </c>
      <c r="K405" s="1" t="s">
        <v>35</v>
      </c>
      <c r="L405" s="1">
        <v>42</v>
      </c>
      <c r="M405" s="1" t="str">
        <f>IF(L405&lt;=45,"Joven","Mayor")</f>
        <v>Joven</v>
      </c>
      <c r="N405" s="1">
        <v>53</v>
      </c>
      <c r="O405" s="1" t="s">
        <v>36</v>
      </c>
      <c r="P405" s="1">
        <v>1.1399999999999999</v>
      </c>
      <c r="Q405" s="1">
        <v>79.47</v>
      </c>
      <c r="R405" s="1">
        <v>8.9674060000000004</v>
      </c>
      <c r="S405" s="1">
        <v>8.8394130000000004</v>
      </c>
      <c r="T405" s="1">
        <v>-9.3839419999999993</v>
      </c>
      <c r="U405" s="1">
        <v>1.5920000000000001</v>
      </c>
      <c r="V405" s="1">
        <v>84</v>
      </c>
      <c r="W405" s="1">
        <v>167</v>
      </c>
      <c r="X405" s="1">
        <v>1.9880952380952381</v>
      </c>
      <c r="Y405" s="1">
        <v>92</v>
      </c>
      <c r="Z405" s="1">
        <v>167</v>
      </c>
      <c r="AA405" s="1">
        <v>1.8152173913043479</v>
      </c>
      <c r="AB405" s="1">
        <v>92.169722272167974</v>
      </c>
      <c r="AC405" s="1">
        <v>167.37398013413531</v>
      </c>
      <c r="AD405" s="1">
        <v>1.815932347500155</v>
      </c>
      <c r="AE405" t="s">
        <v>4817</v>
      </c>
      <c r="AF405" t="str">
        <f>IF(X405&lt;$AF$1,"Bajo","Alto")</f>
        <v>Alto</v>
      </c>
      <c r="AG405" t="str">
        <f>LEFT(AE405,1)</f>
        <v>C</v>
      </c>
      <c r="AH405" t="str">
        <f>K405</f>
        <v>M</v>
      </c>
      <c r="AI405" t="str">
        <f>LEFT(AF405,1)</f>
        <v>A</v>
      </c>
      <c r="AJ405" t="str">
        <f>LEFT(M405,1)</f>
        <v>J</v>
      </c>
      <c r="AK405" t="str">
        <f>_xlfn.CONCAT(AG405,AH405,AI405,AJ405)</f>
        <v>CMAJ</v>
      </c>
    </row>
    <row r="406" spans="1:37" ht="15.75" hidden="1" customHeight="1" x14ac:dyDescent="0.2">
      <c r="A406" s="1">
        <v>1010107</v>
      </c>
      <c r="B406" s="1" t="s">
        <v>29</v>
      </c>
      <c r="C406" s="1" t="s">
        <v>30</v>
      </c>
      <c r="D406" s="1" t="s">
        <v>31</v>
      </c>
      <c r="E406" s="1" t="s">
        <v>32</v>
      </c>
      <c r="F406" s="1" t="s">
        <v>43</v>
      </c>
      <c r="G406" s="1" t="s">
        <v>44</v>
      </c>
      <c r="H406" s="1">
        <v>2303</v>
      </c>
      <c r="I406" s="1" t="s">
        <v>45</v>
      </c>
      <c r="J406" s="1">
        <v>17</v>
      </c>
      <c r="K406" s="1" t="s">
        <v>35</v>
      </c>
      <c r="L406" s="1">
        <v>53</v>
      </c>
      <c r="M406" s="1" t="str">
        <f>IF(L406&lt;=45,"Joven","Mayor")</f>
        <v>Mayor</v>
      </c>
      <c r="N406" s="1">
        <v>54</v>
      </c>
      <c r="O406" s="1" t="s">
        <v>36</v>
      </c>
      <c r="P406" s="1">
        <v>0.33900000000000002</v>
      </c>
      <c r="Q406" s="1">
        <v>76.259</v>
      </c>
      <c r="R406" s="1">
        <v>10.129727000000001</v>
      </c>
      <c r="S406" s="1">
        <v>8.7987400000000004</v>
      </c>
      <c r="T406" s="1">
        <v>-3.8628847999999998</v>
      </c>
      <c r="U406" s="1">
        <v>1.8140000000000001</v>
      </c>
      <c r="V406" s="1">
        <v>94</v>
      </c>
      <c r="W406" s="1">
        <v>146</v>
      </c>
      <c r="X406" s="1">
        <v>1.553191489361702</v>
      </c>
      <c r="Y406" s="1">
        <v>94</v>
      </c>
      <c r="Z406" s="1">
        <v>146</v>
      </c>
      <c r="AA406" s="1">
        <v>1.553191489361702</v>
      </c>
      <c r="AB406" s="1">
        <v>96.615941841540462</v>
      </c>
      <c r="AC406" s="1">
        <v>145.5335687901343</v>
      </c>
      <c r="AD406" s="1">
        <v>1.5063100976526576</v>
      </c>
      <c r="AE406" t="s">
        <v>4817</v>
      </c>
      <c r="AF406" t="str">
        <f>IF(X406&lt;$AF$1,"Bajo","Alto")</f>
        <v>Bajo</v>
      </c>
      <c r="AG406" t="str">
        <f>LEFT(AE406,1)</f>
        <v>C</v>
      </c>
      <c r="AH406" t="str">
        <f>K406</f>
        <v>M</v>
      </c>
      <c r="AI406" t="str">
        <f>LEFT(AF406,1)</f>
        <v>B</v>
      </c>
      <c r="AJ406" t="str">
        <f>LEFT(M406,1)</f>
        <v>M</v>
      </c>
      <c r="AK406" t="str">
        <f>_xlfn.CONCAT(AG406,AH406,AI406,AJ406)</f>
        <v>CMBM</v>
      </c>
    </row>
    <row r="407" spans="1:37" ht="15.75" hidden="1" customHeight="1" x14ac:dyDescent="0.2">
      <c r="A407" s="1">
        <v>1513904</v>
      </c>
      <c r="B407" s="1" t="s">
        <v>2077</v>
      </c>
      <c r="C407" s="1" t="s">
        <v>57</v>
      </c>
      <c r="D407" s="1" t="s">
        <v>2159</v>
      </c>
      <c r="E407" s="1" t="s">
        <v>176</v>
      </c>
      <c r="F407" s="1" t="s">
        <v>61</v>
      </c>
      <c r="G407" s="1" t="s">
        <v>2162</v>
      </c>
      <c r="H407" s="1">
        <v>4414</v>
      </c>
      <c r="I407" s="1" t="s">
        <v>45</v>
      </c>
      <c r="J407" s="1">
        <v>17</v>
      </c>
      <c r="K407" s="1" t="s">
        <v>35</v>
      </c>
      <c r="L407" s="1">
        <v>53</v>
      </c>
      <c r="M407" s="1" t="str">
        <f>IF(L407&lt;=45,"Joven","Mayor")</f>
        <v>Mayor</v>
      </c>
      <c r="N407" s="1">
        <v>49</v>
      </c>
      <c r="O407" s="1" t="s">
        <v>36</v>
      </c>
      <c r="P407" s="1">
        <v>2.6539999999999999</v>
      </c>
      <c r="Q407" s="1">
        <v>74.566999999999993</v>
      </c>
      <c r="R407" s="1">
        <v>-10.485242</v>
      </c>
      <c r="S407" s="1">
        <v>7.6073084</v>
      </c>
      <c r="T407" s="1">
        <v>7.8834295000000001</v>
      </c>
      <c r="U407" s="1">
        <v>3.3690000000000002</v>
      </c>
      <c r="V407" s="1">
        <v>99</v>
      </c>
      <c r="W407" s="1">
        <v>154</v>
      </c>
      <c r="X407" s="1">
        <v>1.5555555555555556</v>
      </c>
      <c r="Y407" s="1">
        <v>107</v>
      </c>
      <c r="Z407" s="1">
        <v>154</v>
      </c>
      <c r="AA407" s="1">
        <v>1.4392523364485981</v>
      </c>
      <c r="AB407" s="1">
        <v>105.19658795377561</v>
      </c>
      <c r="AC407" s="1">
        <v>154.05331133454459</v>
      </c>
      <c r="AD407" s="1">
        <v>1.464432585990689</v>
      </c>
      <c r="AE407" t="s">
        <v>4817</v>
      </c>
      <c r="AF407" t="str">
        <f>IF(X407&lt;$AF$1,"Bajo","Alto")</f>
        <v>Bajo</v>
      </c>
      <c r="AG407" t="str">
        <f>LEFT(AE407,1)</f>
        <v>C</v>
      </c>
      <c r="AH407" t="str">
        <f>K407</f>
        <v>M</v>
      </c>
      <c r="AI407" t="str">
        <f>LEFT(AF407,1)</f>
        <v>B</v>
      </c>
      <c r="AJ407" t="str">
        <f>LEFT(M407,1)</f>
        <v>M</v>
      </c>
      <c r="AK407" t="str">
        <f>_xlfn.CONCAT(AG407,AH407,AI407,AJ407)</f>
        <v>CMBM</v>
      </c>
    </row>
    <row r="408" spans="1:37" ht="15.75" hidden="1" customHeight="1" x14ac:dyDescent="0.2">
      <c r="A408" s="1">
        <v>10725301</v>
      </c>
      <c r="B408" s="1" t="s">
        <v>1067</v>
      </c>
      <c r="C408" s="1" t="s">
        <v>1068</v>
      </c>
      <c r="D408" s="1" t="s">
        <v>1292</v>
      </c>
      <c r="E408" s="1" t="s">
        <v>506</v>
      </c>
      <c r="F408" s="1" t="s">
        <v>32</v>
      </c>
      <c r="G408" s="1" t="s">
        <v>1293</v>
      </c>
      <c r="H408" s="1">
        <v>194</v>
      </c>
      <c r="I408" s="1" t="s">
        <v>85</v>
      </c>
      <c r="J408" s="1">
        <v>12</v>
      </c>
      <c r="K408" s="1" t="s">
        <v>35</v>
      </c>
      <c r="L408" s="1">
        <v>62</v>
      </c>
      <c r="M408" s="1" t="str">
        <f>IF(L408&lt;=45,"Joven","Mayor")</f>
        <v>Mayor</v>
      </c>
      <c r="N408" s="1">
        <v>63</v>
      </c>
      <c r="O408" s="1" t="s">
        <v>36</v>
      </c>
      <c r="P408" s="1">
        <v>9.8000000000000004E-2</v>
      </c>
      <c r="Q408" s="1">
        <v>93.923000000000002</v>
      </c>
      <c r="R408" s="1">
        <v>-1.6555652999999999</v>
      </c>
      <c r="S408" s="1">
        <v>-1.6842495</v>
      </c>
      <c r="T408" s="1">
        <v>1.7899575000000001</v>
      </c>
      <c r="U408" s="1">
        <v>13.936999999999999</v>
      </c>
      <c r="V408" s="1">
        <v>89</v>
      </c>
      <c r="W408" s="1">
        <v>141</v>
      </c>
      <c r="X408" s="1">
        <v>1.5842696629213484</v>
      </c>
      <c r="Y408" s="1">
        <v>90</v>
      </c>
      <c r="Z408" s="1">
        <v>141</v>
      </c>
      <c r="AA408" s="1">
        <v>1.5666666666666667</v>
      </c>
      <c r="AB408" s="1">
        <v>91.111800651710155</v>
      </c>
      <c r="AC408" s="1">
        <v>140.89996355345329</v>
      </c>
      <c r="AD408" s="1">
        <v>1.5464513108687927</v>
      </c>
      <c r="AE408" t="s">
        <v>4815</v>
      </c>
      <c r="AF408" t="str">
        <f>IF(X408&lt;$AF$1,"Bajo","Alto")</f>
        <v>Bajo</v>
      </c>
      <c r="AG408" t="str">
        <f>LEFT(AE408,1)</f>
        <v>I</v>
      </c>
      <c r="AH408" t="str">
        <f>K408</f>
        <v>M</v>
      </c>
      <c r="AI408" t="str">
        <f>LEFT(AF408,1)</f>
        <v>B</v>
      </c>
      <c r="AJ408" t="str">
        <f>LEFT(M408,1)</f>
        <v>M</v>
      </c>
      <c r="AK408" t="str">
        <f>_xlfn.CONCAT(AG408,AH408,AI408,AJ408)</f>
        <v>IMBM</v>
      </c>
    </row>
    <row r="409" spans="1:37" ht="15.75" hidden="1" customHeight="1" x14ac:dyDescent="0.2">
      <c r="A409" s="1">
        <v>481805</v>
      </c>
      <c r="B409" s="1" t="s">
        <v>4465</v>
      </c>
      <c r="C409" s="1" t="s">
        <v>2650</v>
      </c>
      <c r="D409" s="1" t="s">
        <v>4514</v>
      </c>
      <c r="E409" s="1" t="s">
        <v>959</v>
      </c>
      <c r="F409" s="1" t="s">
        <v>40</v>
      </c>
      <c r="G409" s="1" t="s">
        <v>4517</v>
      </c>
      <c r="H409" s="1">
        <v>3428</v>
      </c>
      <c r="I409" s="1" t="s">
        <v>4518</v>
      </c>
      <c r="J409" s="1">
        <v>4006</v>
      </c>
      <c r="K409" s="1" t="s">
        <v>49</v>
      </c>
      <c r="L409" s="1">
        <v>31</v>
      </c>
      <c r="M409" s="1" t="str">
        <f>IF(L409&lt;=45,"Joven","Mayor")</f>
        <v>Joven</v>
      </c>
      <c r="N409" s="1">
        <v>29</v>
      </c>
      <c r="O409" s="1" t="s">
        <v>50</v>
      </c>
      <c r="P409" s="1">
        <v>0.34399999999999997</v>
      </c>
      <c r="Q409" s="1">
        <v>91.588999999999999</v>
      </c>
      <c r="R409" s="1">
        <v>-2.1123965</v>
      </c>
      <c r="S409" s="1">
        <v>8.054081</v>
      </c>
      <c r="T409" s="1">
        <v>1.7684211999999999</v>
      </c>
      <c r="U409" s="1">
        <v>15.308</v>
      </c>
      <c r="V409" s="1">
        <v>128</v>
      </c>
      <c r="W409" s="1">
        <v>207</v>
      </c>
      <c r="X409" s="1">
        <v>1.6171875</v>
      </c>
      <c r="Y409" s="1">
        <v>128</v>
      </c>
      <c r="Z409" s="1">
        <v>207</v>
      </c>
      <c r="AA409" s="1">
        <v>1.6171875</v>
      </c>
      <c r="AB409" s="1">
        <v>129.6980489712553</v>
      </c>
      <c r="AC409" s="1">
        <v>206.83969044472039</v>
      </c>
      <c r="AD409" s="1">
        <v>1.5947787348024165</v>
      </c>
      <c r="AE409" t="s">
        <v>4817</v>
      </c>
      <c r="AF409" t="str">
        <f>IF(X409&lt;$AF$1,"Bajo","Alto")</f>
        <v>Bajo</v>
      </c>
      <c r="AG409" t="str">
        <f>LEFT(AE409,1)</f>
        <v>C</v>
      </c>
      <c r="AH409" t="str">
        <f>K409</f>
        <v>F</v>
      </c>
      <c r="AI409" t="str">
        <f>LEFT(AF409,1)</f>
        <v>B</v>
      </c>
      <c r="AJ409" t="str">
        <f>LEFT(M409,1)</f>
        <v>J</v>
      </c>
      <c r="AK409" t="str">
        <f>_xlfn.CONCAT(AG409,AH409,AI409,AJ409)</f>
        <v>CFBJ</v>
      </c>
    </row>
    <row r="410" spans="1:37" ht="15.75" hidden="1" customHeight="1" x14ac:dyDescent="0.2">
      <c r="A410" s="1">
        <v>1530105</v>
      </c>
      <c r="B410" s="1" t="s">
        <v>2077</v>
      </c>
      <c r="C410" s="1" t="s">
        <v>57</v>
      </c>
      <c r="D410" s="1" t="s">
        <v>2384</v>
      </c>
      <c r="E410" s="1" t="s">
        <v>622</v>
      </c>
      <c r="F410" s="1" t="s">
        <v>40</v>
      </c>
      <c r="G410" s="1" t="s">
        <v>2385</v>
      </c>
      <c r="H410" s="1">
        <v>1912</v>
      </c>
      <c r="I410" s="1" t="s">
        <v>2386</v>
      </c>
      <c r="J410" s="1">
        <v>2582</v>
      </c>
      <c r="K410" s="1" t="s">
        <v>49</v>
      </c>
      <c r="L410" s="1">
        <v>33</v>
      </c>
      <c r="M410" s="1" t="str">
        <f>IF(L410&lt;=45,"Joven","Mayor")</f>
        <v>Joven</v>
      </c>
      <c r="N410" s="1">
        <v>27</v>
      </c>
      <c r="O410" s="1" t="s">
        <v>36</v>
      </c>
      <c r="P410" s="1">
        <v>0.36499999999999999</v>
      </c>
      <c r="Q410" s="1">
        <v>88.025999999999996</v>
      </c>
      <c r="R410" s="1">
        <v>2.5757291000000002</v>
      </c>
      <c r="S410" s="1">
        <v>12.716870999999999</v>
      </c>
      <c r="T410" s="1">
        <v>5.2765490000000002</v>
      </c>
      <c r="U410" s="1">
        <v>57.115000000000002</v>
      </c>
      <c r="V410" s="1">
        <v>102</v>
      </c>
      <c r="W410" s="1">
        <v>165</v>
      </c>
      <c r="X410" s="1">
        <v>1.6176470588235294</v>
      </c>
      <c r="Y410" s="1">
        <v>110</v>
      </c>
      <c r="Z410" s="1">
        <v>165</v>
      </c>
      <c r="AA410" s="1">
        <v>1.5</v>
      </c>
      <c r="AB410" s="1">
        <v>106.7749754250781</v>
      </c>
      <c r="AC410" s="1">
        <v>165.68024508322509</v>
      </c>
      <c r="AD410" s="1">
        <v>1.5516767334634478</v>
      </c>
      <c r="AE410" t="s">
        <v>4817</v>
      </c>
      <c r="AF410" t="str">
        <f>IF(X410&lt;$AF$1,"Bajo","Alto")</f>
        <v>Bajo</v>
      </c>
      <c r="AG410" t="str">
        <f>LEFT(AE410,1)</f>
        <v>C</v>
      </c>
      <c r="AH410" t="str">
        <f>K410</f>
        <v>F</v>
      </c>
      <c r="AI410" t="str">
        <f>LEFT(AF410,1)</f>
        <v>B</v>
      </c>
      <c r="AJ410" t="str">
        <f>LEFT(M410,1)</f>
        <v>J</v>
      </c>
      <c r="AK410" t="str">
        <f>_xlfn.CONCAT(AG410,AH410,AI410,AJ410)</f>
        <v>CFBJ</v>
      </c>
    </row>
    <row r="411" spans="1:37" ht="15.75" hidden="1" customHeight="1" x14ac:dyDescent="0.2">
      <c r="A411" s="1">
        <v>10121401</v>
      </c>
      <c r="B411" s="1" t="s">
        <v>29</v>
      </c>
      <c r="C411" s="1" t="s">
        <v>30</v>
      </c>
      <c r="D411" s="1" t="s">
        <v>391</v>
      </c>
      <c r="E411" s="1" t="s">
        <v>392</v>
      </c>
      <c r="F411" s="1" t="s">
        <v>32</v>
      </c>
      <c r="G411" s="1" t="s">
        <v>393</v>
      </c>
      <c r="H411" s="1">
        <v>818</v>
      </c>
      <c r="I411" s="1" t="s">
        <v>100</v>
      </c>
      <c r="J411" s="1">
        <v>1</v>
      </c>
      <c r="K411" s="1" t="s">
        <v>35</v>
      </c>
      <c r="L411" s="1">
        <v>57</v>
      </c>
      <c r="M411" s="1" t="str">
        <f>IF(L411&lt;=45,"Joven","Mayor")</f>
        <v>Mayor</v>
      </c>
      <c r="N411" s="1">
        <v>49</v>
      </c>
      <c r="O411" s="1" t="s">
        <v>36</v>
      </c>
      <c r="P411" s="1">
        <v>0.37</v>
      </c>
      <c r="Q411" s="1">
        <v>87.043000000000006</v>
      </c>
      <c r="R411" s="1">
        <v>6.0388985000000002</v>
      </c>
      <c r="S411" s="1">
        <v>8.0409980000000001</v>
      </c>
      <c r="T411" s="1">
        <v>-0.72975999999999996</v>
      </c>
      <c r="U411" s="1">
        <v>7.6879999999999997</v>
      </c>
      <c r="V411" s="1">
        <v>85</v>
      </c>
      <c r="W411" s="1">
        <v>167</v>
      </c>
      <c r="X411" s="1">
        <v>1.9647058823529411</v>
      </c>
      <c r="Y411" s="1">
        <v>88</v>
      </c>
      <c r="Z411" s="1">
        <v>167</v>
      </c>
      <c r="AA411" s="1">
        <v>1.8977272727272727</v>
      </c>
      <c r="AB411" s="1">
        <v>88.515053430586704</v>
      </c>
      <c r="AC411" s="1">
        <v>166.94824537609429</v>
      </c>
      <c r="AD411" s="1">
        <v>1.8861000350298009</v>
      </c>
      <c r="AE411" t="s">
        <v>4817</v>
      </c>
      <c r="AF411" t="str">
        <f>IF(X411&lt;$AF$1,"Bajo","Alto")</f>
        <v>Alto</v>
      </c>
      <c r="AG411" t="str">
        <f>LEFT(AE411,1)</f>
        <v>C</v>
      </c>
      <c r="AH411" t="str">
        <f>K411</f>
        <v>M</v>
      </c>
      <c r="AI411" t="str">
        <f>LEFT(AF411,1)</f>
        <v>A</v>
      </c>
      <c r="AJ411" t="str">
        <f>LEFT(M411,1)</f>
        <v>M</v>
      </c>
      <c r="AK411" t="str">
        <f>_xlfn.CONCAT(AG411,AH411,AI411,AJ411)</f>
        <v>CMAM</v>
      </c>
    </row>
    <row r="412" spans="1:37" ht="15.75" hidden="1" customHeight="1" x14ac:dyDescent="0.2">
      <c r="A412" s="1">
        <v>118502</v>
      </c>
      <c r="B412" s="1" t="s">
        <v>1648</v>
      </c>
      <c r="C412" s="1" t="s">
        <v>51</v>
      </c>
      <c r="D412" s="1" t="s">
        <v>1770</v>
      </c>
      <c r="E412" s="1" t="s">
        <v>755</v>
      </c>
      <c r="F412" s="1" t="s">
        <v>37</v>
      </c>
      <c r="G412" s="1" t="s">
        <v>1773</v>
      </c>
      <c r="H412" s="1">
        <v>2648</v>
      </c>
      <c r="I412" s="1" t="s">
        <v>1774</v>
      </c>
      <c r="J412" s="1">
        <v>4095</v>
      </c>
      <c r="K412" s="1" t="s">
        <v>49</v>
      </c>
      <c r="L412" s="1">
        <v>53</v>
      </c>
      <c r="M412" s="1" t="str">
        <f>IF(L412&lt;=45,"Joven","Mayor")</f>
        <v>Mayor</v>
      </c>
      <c r="N412" s="1">
        <v>53</v>
      </c>
      <c r="O412" s="1" t="s">
        <v>50</v>
      </c>
      <c r="P412" s="1">
        <v>0.28899999999999998</v>
      </c>
      <c r="Q412" s="1">
        <v>87.44</v>
      </c>
      <c r="R412" s="1">
        <v>-7.8494419999999998</v>
      </c>
      <c r="S412" s="1">
        <v>0.27210876000000001</v>
      </c>
      <c r="T412" s="1">
        <v>9.6868219999999994</v>
      </c>
      <c r="U412" s="1">
        <v>0.79500000000000004</v>
      </c>
      <c r="V412" s="1">
        <v>61</v>
      </c>
      <c r="W412" s="1">
        <v>124</v>
      </c>
      <c r="X412" s="1">
        <v>2.0327868852459017</v>
      </c>
      <c r="Y412" s="1">
        <v>70</v>
      </c>
      <c r="Z412" s="1">
        <v>124</v>
      </c>
      <c r="AA412" s="1">
        <v>1.7714285714285714</v>
      </c>
      <c r="AB412" s="1">
        <v>65.851204494523927</v>
      </c>
      <c r="AC412" s="1">
        <v>124.08292154248601</v>
      </c>
      <c r="AD412" s="1">
        <v>1.8842923602529476</v>
      </c>
      <c r="AE412" t="s">
        <v>4817</v>
      </c>
      <c r="AF412" t="str">
        <f>IF(X412&lt;$AF$1,"Bajo","Alto")</f>
        <v>Alto</v>
      </c>
      <c r="AG412" t="str">
        <f>LEFT(AE412,1)</f>
        <v>C</v>
      </c>
      <c r="AH412" t="str">
        <f>K412</f>
        <v>F</v>
      </c>
      <c r="AI412" t="str">
        <f>LEFT(AF412,1)</f>
        <v>A</v>
      </c>
      <c r="AJ412" t="str">
        <f>LEFT(M412,1)</f>
        <v>M</v>
      </c>
      <c r="AK412" t="str">
        <f>_xlfn.CONCAT(AG412,AH412,AI412,AJ412)</f>
        <v>CFAM</v>
      </c>
    </row>
    <row r="413" spans="1:37" ht="15.75" hidden="1" customHeight="1" x14ac:dyDescent="0.2">
      <c r="A413" s="1">
        <v>10717303</v>
      </c>
      <c r="B413" s="1" t="s">
        <v>1067</v>
      </c>
      <c r="C413" s="1" t="s">
        <v>1068</v>
      </c>
      <c r="D413" s="1" t="s">
        <v>1181</v>
      </c>
      <c r="E413" s="1" t="s">
        <v>1182</v>
      </c>
      <c r="F413" s="1" t="s">
        <v>63</v>
      </c>
      <c r="G413" s="1" t="s">
        <v>1184</v>
      </c>
      <c r="H413" s="1">
        <v>92</v>
      </c>
      <c r="I413" s="1" t="s">
        <v>65</v>
      </c>
      <c r="J413" s="1">
        <v>2</v>
      </c>
      <c r="K413" s="1" t="s">
        <v>49</v>
      </c>
      <c r="L413" s="1">
        <v>48</v>
      </c>
      <c r="M413" s="1" t="str">
        <f>IF(L413&lt;=45,"Joven","Mayor")</f>
        <v>Mayor</v>
      </c>
      <c r="N413" s="1">
        <v>57</v>
      </c>
      <c r="O413" s="1" t="s">
        <v>50</v>
      </c>
      <c r="P413" s="1">
        <v>0.61499999999999999</v>
      </c>
      <c r="Q413" s="1">
        <v>86.227000000000004</v>
      </c>
      <c r="R413" s="1">
        <v>-8.2845300000000002</v>
      </c>
      <c r="S413" s="1">
        <v>0.92091350000000005</v>
      </c>
      <c r="T413" s="1">
        <v>-1.3474896E-2</v>
      </c>
      <c r="U413" s="1">
        <v>51.182000000000002</v>
      </c>
      <c r="V413" s="1">
        <v>82</v>
      </c>
      <c r="W413" s="1">
        <v>129</v>
      </c>
      <c r="X413" s="1">
        <v>1.5731707317073171</v>
      </c>
      <c r="Y413" s="1">
        <v>85</v>
      </c>
      <c r="Z413" s="1">
        <v>129</v>
      </c>
      <c r="AA413" s="1">
        <v>1.5176470588235293</v>
      </c>
      <c r="AB413" s="1">
        <v>84.992942210332785</v>
      </c>
      <c r="AC413" s="1">
        <v>129.0018778828844</v>
      </c>
      <c r="AD413" s="1">
        <v>1.5177951783766035</v>
      </c>
      <c r="AE413" t="s">
        <v>4817</v>
      </c>
      <c r="AF413" t="str">
        <f>IF(X413&lt;$AF$1,"Bajo","Alto")</f>
        <v>Bajo</v>
      </c>
      <c r="AG413" t="str">
        <f>LEFT(AE413,1)</f>
        <v>C</v>
      </c>
      <c r="AH413" t="str">
        <f>K413</f>
        <v>F</v>
      </c>
      <c r="AI413" t="str">
        <f>LEFT(AF413,1)</f>
        <v>B</v>
      </c>
      <c r="AJ413" t="str">
        <f>LEFT(M413,1)</f>
        <v>M</v>
      </c>
      <c r="AK413" t="str">
        <f>_xlfn.CONCAT(AG413,AH413,AI413,AJ413)</f>
        <v>CFBM</v>
      </c>
    </row>
    <row r="414" spans="1:37" ht="15.75" hidden="1" customHeight="1" x14ac:dyDescent="0.2">
      <c r="A414" s="1">
        <v>133707</v>
      </c>
      <c r="B414" s="1" t="s">
        <v>956</v>
      </c>
      <c r="C414" s="1" t="s">
        <v>163</v>
      </c>
      <c r="D414" s="1" t="s">
        <v>2032</v>
      </c>
      <c r="E414" s="1" t="s">
        <v>647</v>
      </c>
      <c r="F414" s="1" t="s">
        <v>43</v>
      </c>
      <c r="G414" s="1" t="s">
        <v>2037</v>
      </c>
      <c r="H414" s="1">
        <v>31547</v>
      </c>
      <c r="I414" s="1" t="s">
        <v>2038</v>
      </c>
      <c r="J414" s="1">
        <v>4077</v>
      </c>
      <c r="K414" s="1" t="s">
        <v>35</v>
      </c>
      <c r="L414" s="1">
        <v>44</v>
      </c>
      <c r="M414" s="1" t="str">
        <f>IF(L414&lt;=45,"Joven","Mayor")</f>
        <v>Joven</v>
      </c>
      <c r="N414" s="1">
        <v>29</v>
      </c>
      <c r="O414" s="1" t="s">
        <v>36</v>
      </c>
      <c r="P414" s="1">
        <v>0.42699999999999999</v>
      </c>
      <c r="Q414" s="1">
        <v>91.649000000000001</v>
      </c>
      <c r="R414" s="1">
        <v>4.2543416000000001</v>
      </c>
      <c r="S414" s="1">
        <v>2.6692019999999999</v>
      </c>
      <c r="T414" s="1">
        <v>-2.6023526000000001</v>
      </c>
      <c r="U414" s="1">
        <v>67.108999999999995</v>
      </c>
      <c r="V414" s="1">
        <v>71</v>
      </c>
      <c r="W414" s="1">
        <v>141</v>
      </c>
      <c r="X414" s="1">
        <v>1.9859154929577465</v>
      </c>
      <c r="Y414" s="1">
        <v>74</v>
      </c>
      <c r="Z414" s="1">
        <v>141</v>
      </c>
      <c r="AA414" s="1">
        <v>1.9054054054054055</v>
      </c>
      <c r="AB414" s="1">
        <v>75.422016479862805</v>
      </c>
      <c r="AC414" s="1">
        <v>140.89999159704479</v>
      </c>
      <c r="AD414" s="1">
        <v>1.8681546605779784</v>
      </c>
      <c r="AE414" t="s">
        <v>4817</v>
      </c>
      <c r="AF414" t="str">
        <f>IF(X414&lt;$AF$1,"Bajo","Alto")</f>
        <v>Alto</v>
      </c>
      <c r="AG414" t="str">
        <f>LEFT(AE414,1)</f>
        <v>C</v>
      </c>
      <c r="AH414" t="str">
        <f>K414</f>
        <v>M</v>
      </c>
      <c r="AI414" t="str">
        <f>LEFT(AF414,1)</f>
        <v>A</v>
      </c>
      <c r="AJ414" t="str">
        <f>LEFT(M414,1)</f>
        <v>J</v>
      </c>
      <c r="AK414" t="str">
        <f>_xlfn.CONCAT(AG414,AH414,AI414,AJ414)</f>
        <v>CMAJ</v>
      </c>
    </row>
    <row r="415" spans="1:37" ht="15.75" hidden="1" customHeight="1" x14ac:dyDescent="0.2">
      <c r="A415" s="1">
        <v>285502</v>
      </c>
      <c r="B415" s="1" t="s">
        <v>1775</v>
      </c>
      <c r="C415" s="1" t="s">
        <v>561</v>
      </c>
      <c r="D415" s="1" t="s">
        <v>3877</v>
      </c>
      <c r="E415" s="1" t="s">
        <v>690</v>
      </c>
      <c r="F415" s="1" t="s">
        <v>37</v>
      </c>
      <c r="G415" s="1" t="s">
        <v>3879</v>
      </c>
      <c r="H415" s="1">
        <v>561</v>
      </c>
      <c r="I415" s="1" t="s">
        <v>34</v>
      </c>
      <c r="J415" s="1">
        <v>10</v>
      </c>
      <c r="K415" s="1" t="s">
        <v>49</v>
      </c>
      <c r="L415" s="1">
        <v>41</v>
      </c>
      <c r="M415" s="1" t="str">
        <f>IF(L415&lt;=45,"Joven","Mayor")</f>
        <v>Joven</v>
      </c>
      <c r="N415" s="1">
        <v>45</v>
      </c>
      <c r="O415" s="1" t="s">
        <v>50</v>
      </c>
      <c r="P415" s="1">
        <v>0.248</v>
      </c>
      <c r="Q415" s="1">
        <v>28.257000000000001</v>
      </c>
      <c r="R415" s="1">
        <v>18.798736999999999</v>
      </c>
      <c r="S415" s="1">
        <v>-1.3322147</v>
      </c>
      <c r="T415" s="1">
        <v>-14.589961000000001</v>
      </c>
      <c r="U415" s="1">
        <v>11.347</v>
      </c>
      <c r="V415" s="1">
        <v>67</v>
      </c>
      <c r="W415" s="1">
        <v>138</v>
      </c>
      <c r="X415" s="1">
        <v>2.0597014925373136</v>
      </c>
      <c r="Y415" s="1">
        <v>80</v>
      </c>
      <c r="Z415" s="1">
        <v>138</v>
      </c>
      <c r="AA415" s="1">
        <v>1.7250000000000001</v>
      </c>
      <c r="AB415" s="1">
        <v>75.671163885984697</v>
      </c>
      <c r="AC415" s="1">
        <v>139.0917539503225</v>
      </c>
      <c r="AD415" s="1">
        <v>1.8381077653291407</v>
      </c>
      <c r="AE415" t="s">
        <v>4815</v>
      </c>
      <c r="AF415" t="str">
        <f>IF(X415&lt;$AF$1,"Bajo","Alto")</f>
        <v>Alto</v>
      </c>
      <c r="AG415" t="str">
        <f>LEFT(AE415,1)</f>
        <v>I</v>
      </c>
      <c r="AH415" t="str">
        <f>K415</f>
        <v>F</v>
      </c>
      <c r="AI415" t="str">
        <f>LEFT(AF415,1)</f>
        <v>A</v>
      </c>
      <c r="AJ415" t="str">
        <f>LEFT(M415,1)</f>
        <v>J</v>
      </c>
      <c r="AK415" t="str">
        <f>_xlfn.CONCAT(AG415,AH415,AI415,AJ415)</f>
        <v>IFAJ</v>
      </c>
    </row>
    <row r="416" spans="1:37" ht="15.75" hidden="1" customHeight="1" x14ac:dyDescent="0.2">
      <c r="A416" s="1">
        <v>2313001</v>
      </c>
      <c r="B416" s="1" t="s">
        <v>319</v>
      </c>
      <c r="C416" s="1" t="s">
        <v>1989</v>
      </c>
      <c r="D416" s="1" t="s">
        <v>2966</v>
      </c>
      <c r="E416" s="1" t="s">
        <v>158</v>
      </c>
      <c r="F416" s="1" t="s">
        <v>32</v>
      </c>
      <c r="G416" s="1" t="s">
        <v>2967</v>
      </c>
      <c r="H416" s="1">
        <v>222</v>
      </c>
      <c r="I416" s="1" t="s">
        <v>100</v>
      </c>
      <c r="J416" s="1">
        <v>1</v>
      </c>
      <c r="K416" s="1" t="s">
        <v>35</v>
      </c>
      <c r="L416" s="1">
        <v>34</v>
      </c>
      <c r="M416" s="1" t="str">
        <f>IF(L416&lt;=45,"Joven","Mayor")</f>
        <v>Joven</v>
      </c>
      <c r="N416" s="1">
        <v>37</v>
      </c>
      <c r="O416" s="1" t="s">
        <v>36</v>
      </c>
      <c r="P416" s="1">
        <v>0.36099999999999999</v>
      </c>
      <c r="Q416" s="1">
        <v>91.856999999999999</v>
      </c>
      <c r="R416" s="1">
        <v>-4.3006330000000004</v>
      </c>
      <c r="S416" s="1">
        <v>-1.7795023999999999</v>
      </c>
      <c r="T416" s="1">
        <v>-1.9776533999999999</v>
      </c>
      <c r="U416" s="1">
        <v>18.577999999999999</v>
      </c>
      <c r="V416" s="1">
        <v>111</v>
      </c>
      <c r="W416" s="1">
        <v>177</v>
      </c>
      <c r="X416" s="1">
        <v>1.5945945945945945</v>
      </c>
      <c r="Y416" s="1">
        <v>114</v>
      </c>
      <c r="Z416" s="1">
        <v>177</v>
      </c>
      <c r="AA416" s="1">
        <v>1.5526315789473684</v>
      </c>
      <c r="AB416" s="1">
        <v>115.6920925379013</v>
      </c>
      <c r="AC416" s="1">
        <v>176.86006246485749</v>
      </c>
      <c r="AD416" s="1">
        <v>1.5287134892725469</v>
      </c>
      <c r="AE416" t="s">
        <v>4817</v>
      </c>
      <c r="AF416" t="str">
        <f>IF(X416&lt;$AF$1,"Bajo","Alto")</f>
        <v>Bajo</v>
      </c>
      <c r="AG416" t="str">
        <f>LEFT(AE416,1)</f>
        <v>C</v>
      </c>
      <c r="AH416" t="str">
        <f>K416</f>
        <v>M</v>
      </c>
      <c r="AI416" t="str">
        <f>LEFT(AF416,1)</f>
        <v>B</v>
      </c>
      <c r="AJ416" t="str">
        <f>LEFT(M416,1)</f>
        <v>J</v>
      </c>
      <c r="AK416" t="str">
        <f>_xlfn.CONCAT(AG416,AH416,AI416,AJ416)</f>
        <v>CMBJ</v>
      </c>
    </row>
    <row r="417" spans="1:37" ht="15.75" hidden="1" customHeight="1" x14ac:dyDescent="0.2">
      <c r="A417" s="1">
        <v>1051304</v>
      </c>
      <c r="B417" s="1" t="s">
        <v>694</v>
      </c>
      <c r="C417" s="1" t="s">
        <v>879</v>
      </c>
      <c r="D417" s="1" t="s">
        <v>935</v>
      </c>
      <c r="E417" s="1" t="s">
        <v>163</v>
      </c>
      <c r="F417" s="1" t="s">
        <v>61</v>
      </c>
      <c r="G417" s="1" t="s">
        <v>939</v>
      </c>
      <c r="H417" s="1">
        <v>4989</v>
      </c>
      <c r="I417" s="1" t="s">
        <v>108</v>
      </c>
      <c r="J417" s="1">
        <v>3</v>
      </c>
      <c r="K417" s="1" t="s">
        <v>35</v>
      </c>
      <c r="L417" s="1">
        <v>39</v>
      </c>
      <c r="M417" s="1" t="str">
        <f>IF(L417&lt;=45,"Joven","Mayor")</f>
        <v>Joven</v>
      </c>
      <c r="N417" s="1">
        <v>36</v>
      </c>
      <c r="O417" s="1" t="s">
        <v>36</v>
      </c>
      <c r="P417" s="1">
        <v>0.40100000000000002</v>
      </c>
      <c r="Q417" s="1">
        <v>79.603999999999999</v>
      </c>
      <c r="R417" s="1">
        <v>10.136105000000001</v>
      </c>
      <c r="S417" s="1">
        <v>4.7569900000000001</v>
      </c>
      <c r="T417" s="1">
        <v>-5.2286729999999997</v>
      </c>
      <c r="U417" s="1">
        <v>3.052</v>
      </c>
      <c r="V417" s="1">
        <v>70</v>
      </c>
      <c r="W417" s="1">
        <v>139</v>
      </c>
      <c r="X417" s="1">
        <v>1.9857142857142858</v>
      </c>
      <c r="Y417" s="1">
        <v>74</v>
      </c>
      <c r="Z417" s="1">
        <v>139</v>
      </c>
      <c r="AA417" s="1">
        <v>1.8783783783783783</v>
      </c>
      <c r="AB417" s="1">
        <v>76.608270244227697</v>
      </c>
      <c r="AC417" s="1">
        <v>137.96595485119769</v>
      </c>
      <c r="AD417" s="1">
        <v>1.8009276858929366</v>
      </c>
      <c r="AE417" t="s">
        <v>4817</v>
      </c>
      <c r="AF417" t="str">
        <f>IF(X417&lt;$AF$1,"Bajo","Alto")</f>
        <v>Alto</v>
      </c>
      <c r="AG417" t="str">
        <f>LEFT(AE417,1)</f>
        <v>C</v>
      </c>
      <c r="AH417" t="str">
        <f>K417</f>
        <v>M</v>
      </c>
      <c r="AI417" t="str">
        <f>LEFT(AF417,1)</f>
        <v>A</v>
      </c>
      <c r="AJ417" t="str">
        <f>LEFT(M417,1)</f>
        <v>J</v>
      </c>
      <c r="AK417" t="str">
        <f>_xlfn.CONCAT(AG417,AH417,AI417,AJ417)</f>
        <v>CMAJ</v>
      </c>
    </row>
    <row r="418" spans="1:37" ht="15.75" hidden="1" customHeight="1" x14ac:dyDescent="0.2">
      <c r="A418" s="1">
        <v>1014909</v>
      </c>
      <c r="B418" s="1" t="s">
        <v>29</v>
      </c>
      <c r="C418" s="1" t="s">
        <v>30</v>
      </c>
      <c r="D418" s="1" t="s">
        <v>672</v>
      </c>
      <c r="E418" s="1" t="s">
        <v>673</v>
      </c>
      <c r="F418" s="1" t="s">
        <v>189</v>
      </c>
      <c r="G418" s="1" t="s">
        <v>680</v>
      </c>
      <c r="H418" s="1">
        <v>8903</v>
      </c>
      <c r="I418" s="1" t="s">
        <v>681</v>
      </c>
      <c r="J418" s="1">
        <v>241</v>
      </c>
      <c r="K418" s="1" t="s">
        <v>35</v>
      </c>
      <c r="L418" s="1">
        <v>65</v>
      </c>
      <c r="M418" s="1" t="str">
        <f>IF(L418&lt;=45,"Joven","Mayor")</f>
        <v>Mayor</v>
      </c>
      <c r="N418" s="1">
        <v>61</v>
      </c>
      <c r="O418" s="1" t="s">
        <v>36</v>
      </c>
      <c r="P418" s="1">
        <v>1.159</v>
      </c>
      <c r="Q418" s="1">
        <v>91.201999999999998</v>
      </c>
      <c r="R418" s="1">
        <v>2.2254488000000001</v>
      </c>
      <c r="S418" s="1">
        <v>8.1270120000000006</v>
      </c>
      <c r="T418" s="1">
        <v>-1.7355571999999999</v>
      </c>
      <c r="U418" s="1">
        <v>37.765999999999998</v>
      </c>
      <c r="V418" s="1">
        <v>85</v>
      </c>
      <c r="W418" s="1">
        <v>167</v>
      </c>
      <c r="X418" s="1">
        <v>1.9647058823529411</v>
      </c>
      <c r="Y418" s="1">
        <v>88</v>
      </c>
      <c r="Z418" s="1">
        <v>167</v>
      </c>
      <c r="AA418" s="1">
        <v>1.8977272727272727</v>
      </c>
      <c r="AB418" s="1">
        <v>86.7481684051927</v>
      </c>
      <c r="AC418" s="1">
        <v>166.98396303956591</v>
      </c>
      <c r="AD418" s="1">
        <v>1.9249278239466592</v>
      </c>
      <c r="AE418" t="s">
        <v>4817</v>
      </c>
      <c r="AF418" t="str">
        <f>IF(X418&lt;$AF$1,"Bajo","Alto")</f>
        <v>Alto</v>
      </c>
      <c r="AG418" t="str">
        <f>LEFT(AE418,1)</f>
        <v>C</v>
      </c>
      <c r="AH418" t="str">
        <f>K418</f>
        <v>M</v>
      </c>
      <c r="AI418" t="str">
        <f>LEFT(AF418,1)</f>
        <v>A</v>
      </c>
      <c r="AJ418" t="str">
        <f>LEFT(M418,1)</f>
        <v>M</v>
      </c>
      <c r="AK418" t="str">
        <f>_xlfn.CONCAT(AG418,AH418,AI418,AJ418)</f>
        <v>CMAM</v>
      </c>
    </row>
    <row r="419" spans="1:37" ht="15.75" hidden="1" customHeight="1" x14ac:dyDescent="0.2">
      <c r="A419" s="1">
        <v>1018006</v>
      </c>
      <c r="B419" s="1" t="s">
        <v>29</v>
      </c>
      <c r="C419" s="1" t="s">
        <v>30</v>
      </c>
      <c r="D419" s="1" t="s">
        <v>743</v>
      </c>
      <c r="E419" s="1" t="s">
        <v>744</v>
      </c>
      <c r="F419" s="1" t="s">
        <v>88</v>
      </c>
      <c r="G419" s="1" t="s">
        <v>746</v>
      </c>
      <c r="H419" s="1">
        <v>39</v>
      </c>
      <c r="I419" s="1" t="s">
        <v>45</v>
      </c>
      <c r="J419" s="1">
        <v>17</v>
      </c>
      <c r="K419" s="1" t="s">
        <v>35</v>
      </c>
      <c r="L419" s="1">
        <v>41</v>
      </c>
      <c r="M419" s="1" t="str">
        <f>IF(L419&lt;=45,"Joven","Mayor")</f>
        <v>Joven</v>
      </c>
      <c r="N419" s="1">
        <v>48</v>
      </c>
      <c r="O419" s="1" t="s">
        <v>36</v>
      </c>
      <c r="P419" s="1">
        <v>0.40100000000000002</v>
      </c>
      <c r="Q419" s="1">
        <v>91.2</v>
      </c>
      <c r="R419" s="1">
        <v>1.8312683999999999</v>
      </c>
      <c r="S419" s="1">
        <v>9.2365919999999999</v>
      </c>
      <c r="T419" s="1">
        <v>-7.1567426000000003</v>
      </c>
      <c r="U419" s="1">
        <v>3.2650000000000001</v>
      </c>
      <c r="V419" s="1">
        <v>116</v>
      </c>
      <c r="W419" s="1">
        <v>185</v>
      </c>
      <c r="X419" s="1">
        <v>1.5948275862068966</v>
      </c>
      <c r="Y419" s="1">
        <v>121</v>
      </c>
      <c r="Z419" s="1">
        <v>185</v>
      </c>
      <c r="AA419" s="1">
        <v>1.5289256198347108</v>
      </c>
      <c r="AB419" s="1">
        <v>121.45004152871481</v>
      </c>
      <c r="AC419" s="1">
        <v>184.5553463189672</v>
      </c>
      <c r="AD419" s="1">
        <v>1.5195988737091721</v>
      </c>
      <c r="AE419" t="s">
        <v>4817</v>
      </c>
      <c r="AF419" t="str">
        <f>IF(X419&lt;$AF$1,"Bajo","Alto")</f>
        <v>Bajo</v>
      </c>
      <c r="AG419" t="str">
        <f>LEFT(AE419,1)</f>
        <v>C</v>
      </c>
      <c r="AH419" t="str">
        <f>K419</f>
        <v>M</v>
      </c>
      <c r="AI419" t="str">
        <f>LEFT(AF419,1)</f>
        <v>B</v>
      </c>
      <c r="AJ419" t="str">
        <f>LEFT(M419,1)</f>
        <v>J</v>
      </c>
      <c r="AK419" t="str">
        <f>_xlfn.CONCAT(AG419,AH419,AI419,AJ419)</f>
        <v>CMBJ</v>
      </c>
    </row>
    <row r="420" spans="1:37" ht="15.75" hidden="1" customHeight="1" x14ac:dyDescent="0.2">
      <c r="A420" s="1">
        <v>284104</v>
      </c>
      <c r="B420" s="1" t="s">
        <v>1775</v>
      </c>
      <c r="C420" s="1" t="s">
        <v>561</v>
      </c>
      <c r="D420" s="1" t="s">
        <v>3854</v>
      </c>
      <c r="E420" s="1" t="s">
        <v>988</v>
      </c>
      <c r="F420" s="1" t="s">
        <v>61</v>
      </c>
      <c r="G420" s="1" t="s">
        <v>3858</v>
      </c>
      <c r="H420" s="1">
        <v>343</v>
      </c>
      <c r="I420" s="1" t="s">
        <v>108</v>
      </c>
      <c r="J420" s="1">
        <v>3</v>
      </c>
      <c r="K420" s="1" t="s">
        <v>35</v>
      </c>
      <c r="L420" s="1">
        <v>47</v>
      </c>
      <c r="M420" s="1" t="str">
        <f>IF(L420&lt;=45,"Joven","Mayor")</f>
        <v>Mayor</v>
      </c>
      <c r="N420" s="1">
        <v>53</v>
      </c>
      <c r="O420" s="1" t="s">
        <v>36</v>
      </c>
      <c r="P420" s="1">
        <v>0.34699999999999998</v>
      </c>
      <c r="Q420" s="1">
        <v>91.635000000000005</v>
      </c>
      <c r="R420" s="1">
        <v>3.7760742</v>
      </c>
      <c r="S420" s="1">
        <v>4.3100467</v>
      </c>
      <c r="T420" s="1">
        <v>-2.2838921999999999</v>
      </c>
      <c r="U420" s="1">
        <v>1.081</v>
      </c>
      <c r="V420" s="1">
        <v>115</v>
      </c>
      <c r="W420" s="1">
        <v>179</v>
      </c>
      <c r="X420" s="1">
        <v>1.5565217391304347</v>
      </c>
      <c r="Y420" s="1">
        <v>116</v>
      </c>
      <c r="Z420" s="1">
        <v>179</v>
      </c>
      <c r="AA420" s="1">
        <v>1.5431034482758621</v>
      </c>
      <c r="AB420" s="1">
        <v>116.9011925395944</v>
      </c>
      <c r="AC420" s="1">
        <v>178.85780921007651</v>
      </c>
      <c r="AD420" s="1">
        <v>1.5299913142417039</v>
      </c>
      <c r="AE420" t="s">
        <v>4817</v>
      </c>
      <c r="AF420" t="str">
        <f>IF(X420&lt;$AF$1,"Bajo","Alto")</f>
        <v>Bajo</v>
      </c>
      <c r="AG420" t="str">
        <f>LEFT(AE420,1)</f>
        <v>C</v>
      </c>
      <c r="AH420" t="str">
        <f>K420</f>
        <v>M</v>
      </c>
      <c r="AI420" t="str">
        <f>LEFT(AF420,1)</f>
        <v>B</v>
      </c>
      <c r="AJ420" t="str">
        <f>LEFT(M420,1)</f>
        <v>M</v>
      </c>
      <c r="AK420" t="str">
        <f>_xlfn.CONCAT(AG420,AH420,AI420,AJ420)</f>
        <v>CMBM</v>
      </c>
    </row>
    <row r="421" spans="1:37" ht="15.75" hidden="1" customHeight="1" x14ac:dyDescent="0.2">
      <c r="A421" s="1">
        <v>115307</v>
      </c>
      <c r="B421" s="1" t="s">
        <v>1648</v>
      </c>
      <c r="C421" s="1" t="s">
        <v>51</v>
      </c>
      <c r="D421" s="1" t="s">
        <v>1726</v>
      </c>
      <c r="E421" s="1" t="s">
        <v>1727</v>
      </c>
      <c r="F421" s="1" t="s">
        <v>43</v>
      </c>
      <c r="G421" s="1" t="s">
        <v>1730</v>
      </c>
      <c r="H421" s="1">
        <v>44</v>
      </c>
      <c r="I421" s="1" t="s">
        <v>134</v>
      </c>
      <c r="J421" s="1">
        <v>8</v>
      </c>
      <c r="K421" s="1" t="s">
        <v>35</v>
      </c>
      <c r="L421" s="1">
        <v>37</v>
      </c>
      <c r="M421" s="1" t="str">
        <f>IF(L421&lt;=45,"Joven","Mayor")</f>
        <v>Joven</v>
      </c>
      <c r="N421" s="1">
        <v>38</v>
      </c>
      <c r="O421" s="1" t="s">
        <v>36</v>
      </c>
      <c r="P421" s="1">
        <v>0.35899999999999999</v>
      </c>
      <c r="Q421" s="1">
        <v>92.491</v>
      </c>
      <c r="R421" s="1">
        <v>3.4181588000000001</v>
      </c>
      <c r="S421" s="1">
        <v>2.3890660000000001</v>
      </c>
      <c r="T421" s="1">
        <v>-3.1243292999999999</v>
      </c>
      <c r="U421" s="1">
        <v>0.96399999999999997</v>
      </c>
      <c r="V421" s="1">
        <v>94</v>
      </c>
      <c r="W421" s="1">
        <v>150</v>
      </c>
      <c r="X421" s="1">
        <v>1.5957446808510638</v>
      </c>
      <c r="Y421" s="1">
        <v>95</v>
      </c>
      <c r="Z421" s="1">
        <v>150</v>
      </c>
      <c r="AA421" s="1">
        <v>1.5789473684210527</v>
      </c>
      <c r="AB421" s="1">
        <v>96.203900963380192</v>
      </c>
      <c r="AC421" s="1">
        <v>149.94055099144231</v>
      </c>
      <c r="AD421" s="1">
        <v>1.5585703852956738</v>
      </c>
      <c r="AE421" t="s">
        <v>4817</v>
      </c>
      <c r="AF421" t="str">
        <f>IF(X421&lt;$AF$1,"Bajo","Alto")</f>
        <v>Bajo</v>
      </c>
      <c r="AG421" t="str">
        <f>LEFT(AE421,1)</f>
        <v>C</v>
      </c>
      <c r="AH421" t="str">
        <f>K421</f>
        <v>M</v>
      </c>
      <c r="AI421" t="str">
        <f>LEFT(AF421,1)</f>
        <v>B</v>
      </c>
      <c r="AJ421" t="str">
        <f>LEFT(M421,1)</f>
        <v>J</v>
      </c>
      <c r="AK421" t="str">
        <f>_xlfn.CONCAT(AG421,AH421,AI421,AJ421)</f>
        <v>CMBJ</v>
      </c>
    </row>
    <row r="422" spans="1:37" ht="15.75" hidden="1" customHeight="1" x14ac:dyDescent="0.2">
      <c r="A422" s="1">
        <v>10512103</v>
      </c>
      <c r="B422" s="1" t="s">
        <v>694</v>
      </c>
      <c r="C422" s="1" t="s">
        <v>879</v>
      </c>
      <c r="D422" s="1" t="s">
        <v>925</v>
      </c>
      <c r="E422" s="1" t="s">
        <v>136</v>
      </c>
      <c r="F422" s="1" t="s">
        <v>63</v>
      </c>
      <c r="G422" s="1" t="s">
        <v>927</v>
      </c>
      <c r="H422" s="1">
        <v>3641</v>
      </c>
      <c r="I422" s="1" t="s">
        <v>108</v>
      </c>
      <c r="J422" s="1">
        <v>3</v>
      </c>
      <c r="K422" s="1" t="s">
        <v>35</v>
      </c>
      <c r="L422" s="1">
        <v>47</v>
      </c>
      <c r="M422" s="1" t="str">
        <f>IF(L422&lt;=45,"Joven","Mayor")</f>
        <v>Mayor</v>
      </c>
      <c r="N422" s="1">
        <v>42</v>
      </c>
      <c r="O422" s="1" t="s">
        <v>36</v>
      </c>
      <c r="P422" s="1">
        <v>0.34899999999999998</v>
      </c>
      <c r="Q422" s="1">
        <v>91.879000000000005</v>
      </c>
      <c r="R422" s="1">
        <v>4.1437590000000002</v>
      </c>
      <c r="S422" s="1">
        <v>-2.2961744999999998</v>
      </c>
      <c r="T422" s="1">
        <v>-1.3766581</v>
      </c>
      <c r="U422" s="1">
        <v>1.1240000000000001</v>
      </c>
      <c r="V422" s="1">
        <v>102</v>
      </c>
      <c r="W422" s="1">
        <v>200</v>
      </c>
      <c r="X422" s="1">
        <v>1.9607843137254901</v>
      </c>
      <c r="Y422" s="1">
        <v>107</v>
      </c>
      <c r="Z422" s="1">
        <v>200</v>
      </c>
      <c r="AA422" s="1">
        <v>1.8691588785046729</v>
      </c>
      <c r="AB422" s="1">
        <v>105.8879948409665</v>
      </c>
      <c r="AC422" s="1">
        <v>199.94227206394271</v>
      </c>
      <c r="AD422" s="1">
        <v>1.8882430663101764</v>
      </c>
      <c r="AE422" t="s">
        <v>4817</v>
      </c>
      <c r="AF422" t="str">
        <f>IF(X422&lt;$AF$1,"Bajo","Alto")</f>
        <v>Alto</v>
      </c>
      <c r="AG422" t="str">
        <f>LEFT(AE422,1)</f>
        <v>C</v>
      </c>
      <c r="AH422" t="str">
        <f>K422</f>
        <v>M</v>
      </c>
      <c r="AI422" t="str">
        <f>LEFT(AF422,1)</f>
        <v>A</v>
      </c>
      <c r="AJ422" t="str">
        <f>LEFT(M422,1)</f>
        <v>M</v>
      </c>
      <c r="AK422" t="str">
        <f>_xlfn.CONCAT(AG422,AH422,AI422,AJ422)</f>
        <v>CMAM</v>
      </c>
    </row>
    <row r="423" spans="1:37" ht="15.75" hidden="1" customHeight="1" x14ac:dyDescent="0.2">
      <c r="A423" s="1">
        <v>1051305</v>
      </c>
      <c r="B423" s="1" t="s">
        <v>694</v>
      </c>
      <c r="C423" s="1" t="s">
        <v>879</v>
      </c>
      <c r="D423" s="1" t="s">
        <v>935</v>
      </c>
      <c r="E423" s="1" t="s">
        <v>163</v>
      </c>
      <c r="F423" s="1" t="s">
        <v>40</v>
      </c>
      <c r="G423" s="1" t="s">
        <v>940</v>
      </c>
      <c r="H423" s="1">
        <v>2598</v>
      </c>
      <c r="I423" s="1" t="s">
        <v>91</v>
      </c>
      <c r="J423" s="1">
        <v>6</v>
      </c>
      <c r="K423" s="1" t="s">
        <v>35</v>
      </c>
      <c r="L423" s="1">
        <v>31</v>
      </c>
      <c r="M423" s="1" t="str">
        <f>IF(L423&lt;=45,"Joven","Mayor")</f>
        <v>Joven</v>
      </c>
      <c r="N423" s="1">
        <v>31</v>
      </c>
      <c r="O423" s="1" t="s">
        <v>36</v>
      </c>
      <c r="P423" s="1">
        <v>3.0790000000000002</v>
      </c>
      <c r="Q423" s="1">
        <v>92.980999999999995</v>
      </c>
      <c r="R423" s="1">
        <v>1.8023399</v>
      </c>
      <c r="S423" s="1">
        <v>-2.0579657999999998</v>
      </c>
      <c r="T423" s="1">
        <v>4.0231459999999997</v>
      </c>
      <c r="U423" s="1">
        <v>1.075</v>
      </c>
      <c r="V423" s="1">
        <v>59</v>
      </c>
      <c r="W423" s="1">
        <v>117</v>
      </c>
      <c r="X423" s="1">
        <v>1.9830508474576272</v>
      </c>
      <c r="Y423" s="1">
        <v>64</v>
      </c>
      <c r="Z423" s="1">
        <v>117</v>
      </c>
      <c r="AA423" s="1">
        <v>1.828125</v>
      </c>
      <c r="AB423" s="1">
        <v>61.877825679346188</v>
      </c>
      <c r="AC423" s="1">
        <v>117.20280352601409</v>
      </c>
      <c r="AD423" s="1">
        <v>1.8941002247455261</v>
      </c>
      <c r="AE423" t="s">
        <v>4817</v>
      </c>
      <c r="AF423" t="str">
        <f>IF(X423&lt;$AF$1,"Bajo","Alto")</f>
        <v>Alto</v>
      </c>
      <c r="AG423" t="str">
        <f>LEFT(AE423,1)</f>
        <v>C</v>
      </c>
      <c r="AH423" t="str">
        <f>K423</f>
        <v>M</v>
      </c>
      <c r="AI423" t="str">
        <f>LEFT(AF423,1)</f>
        <v>A</v>
      </c>
      <c r="AJ423" t="str">
        <f>LEFT(M423,1)</f>
        <v>J</v>
      </c>
      <c r="AK423" t="str">
        <f>_xlfn.CONCAT(AG423,AH423,AI423,AJ423)</f>
        <v>CMAJ</v>
      </c>
    </row>
    <row r="424" spans="1:37" ht="15.75" hidden="1" customHeight="1" x14ac:dyDescent="0.2">
      <c r="A424" s="1">
        <v>290102</v>
      </c>
      <c r="B424" s="1" t="s">
        <v>3890</v>
      </c>
      <c r="C424" s="1" t="s">
        <v>1695</v>
      </c>
      <c r="D424" s="1" t="s">
        <v>3891</v>
      </c>
      <c r="E424" s="1" t="s">
        <v>32</v>
      </c>
      <c r="F424" s="1" t="s">
        <v>37</v>
      </c>
      <c r="G424" s="1" t="s">
        <v>3893</v>
      </c>
      <c r="H424" s="1">
        <v>20859</v>
      </c>
      <c r="I424" s="1" t="s">
        <v>39</v>
      </c>
      <c r="J424" s="1">
        <v>11</v>
      </c>
      <c r="K424" s="1" t="s">
        <v>35</v>
      </c>
      <c r="L424" s="1">
        <v>72</v>
      </c>
      <c r="M424" s="1" t="str">
        <f>IF(L424&lt;=45,"Joven","Mayor")</f>
        <v>Mayor</v>
      </c>
      <c r="N424" s="1">
        <v>74</v>
      </c>
      <c r="O424" s="1" t="s">
        <v>36</v>
      </c>
      <c r="P424" s="1">
        <v>0.35899999999999999</v>
      </c>
      <c r="Q424" s="1">
        <v>83.897000000000006</v>
      </c>
      <c r="R424" s="1">
        <v>9.3077439999999996</v>
      </c>
      <c r="S424" s="1">
        <v>1.1211209</v>
      </c>
      <c r="T424" s="1">
        <v>-10.074827000000001</v>
      </c>
      <c r="U424" s="1">
        <v>20.475999999999999</v>
      </c>
      <c r="V424" s="1">
        <v>112</v>
      </c>
      <c r="W424" s="1">
        <v>178</v>
      </c>
      <c r="X424" s="1">
        <v>1.5892857142857142</v>
      </c>
      <c r="Y424" s="1">
        <v>125</v>
      </c>
      <c r="Z424" s="1">
        <v>178</v>
      </c>
      <c r="AA424" s="1">
        <v>1.4239999999999999</v>
      </c>
      <c r="AB424" s="1">
        <v>120.0692881504331</v>
      </c>
      <c r="AC424" s="1">
        <v>179.62861775777759</v>
      </c>
      <c r="AD424" s="1">
        <v>1.4960413318410239</v>
      </c>
      <c r="AE424" t="s">
        <v>4816</v>
      </c>
      <c r="AF424" t="str">
        <f>IF(X424&lt;$AF$1,"Bajo","Alto")</f>
        <v>Bajo</v>
      </c>
      <c r="AG424" t="str">
        <f>LEFT(AE424,1)</f>
        <v>D</v>
      </c>
      <c r="AH424" t="str">
        <f>K424</f>
        <v>M</v>
      </c>
      <c r="AI424" t="str">
        <f>LEFT(AF424,1)</f>
        <v>B</v>
      </c>
      <c r="AJ424" t="str">
        <f>LEFT(M424,1)</f>
        <v>M</v>
      </c>
      <c r="AK424" t="str">
        <f>_xlfn.CONCAT(AG424,AH424,AI424,AJ424)</f>
        <v>DMBM</v>
      </c>
    </row>
    <row r="425" spans="1:37" ht="15.75" hidden="1" customHeight="1" x14ac:dyDescent="0.2">
      <c r="A425" s="1">
        <v>10726803</v>
      </c>
      <c r="B425" s="1" t="s">
        <v>1067</v>
      </c>
      <c r="C425" s="1" t="s">
        <v>1068</v>
      </c>
      <c r="D425" s="1" t="s">
        <v>1313</v>
      </c>
      <c r="E425" s="1" t="s">
        <v>537</v>
      </c>
      <c r="F425" s="1" t="s">
        <v>63</v>
      </c>
      <c r="G425" s="1" t="s">
        <v>1315</v>
      </c>
      <c r="H425" s="1">
        <v>1579</v>
      </c>
      <c r="I425" s="1" t="s">
        <v>1316</v>
      </c>
      <c r="J425" s="1">
        <v>5020</v>
      </c>
      <c r="K425" s="1" t="s">
        <v>35</v>
      </c>
      <c r="L425" s="1">
        <v>46</v>
      </c>
      <c r="M425" s="1" t="str">
        <f>IF(L425&lt;=45,"Joven","Mayor")</f>
        <v>Mayor</v>
      </c>
      <c r="N425" s="1">
        <v>50</v>
      </c>
      <c r="O425" s="1" t="s">
        <v>36</v>
      </c>
      <c r="P425" s="1">
        <v>0.23699999999999999</v>
      </c>
      <c r="Q425" s="1">
        <v>76.341999999999999</v>
      </c>
      <c r="R425" s="1">
        <v>11.200868</v>
      </c>
      <c r="S425" s="1">
        <v>4.1116950000000001</v>
      </c>
      <c r="T425" s="1">
        <v>-5.6785189999999997</v>
      </c>
      <c r="U425" s="1">
        <v>29.853000000000002</v>
      </c>
      <c r="V425" s="1">
        <v>73</v>
      </c>
      <c r="W425" s="1">
        <v>143</v>
      </c>
      <c r="X425" s="1">
        <v>1.9589041095890412</v>
      </c>
      <c r="Y425" s="1">
        <v>76</v>
      </c>
      <c r="Z425" s="1">
        <v>143</v>
      </c>
      <c r="AA425" s="1">
        <v>1.881578947368421</v>
      </c>
      <c r="AB425" s="1">
        <v>76.500690368875667</v>
      </c>
      <c r="AC425" s="1">
        <v>142.298261306591</v>
      </c>
      <c r="AD425" s="1">
        <v>1.8600912046734299</v>
      </c>
      <c r="AE425" t="s">
        <v>4817</v>
      </c>
      <c r="AF425" t="str">
        <f>IF(X425&lt;$AF$1,"Bajo","Alto")</f>
        <v>Alto</v>
      </c>
      <c r="AG425" t="str">
        <f>LEFT(AE425,1)</f>
        <v>C</v>
      </c>
      <c r="AH425" t="str">
        <f>K425</f>
        <v>M</v>
      </c>
      <c r="AI425" t="str">
        <f>LEFT(AF425,1)</f>
        <v>A</v>
      </c>
      <c r="AJ425" t="str">
        <f>LEFT(M425,1)</f>
        <v>M</v>
      </c>
      <c r="AK425" t="str">
        <f>_xlfn.CONCAT(AG425,AH425,AI425,AJ425)</f>
        <v>CMAM</v>
      </c>
    </row>
    <row r="426" spans="1:37" ht="15.75" hidden="1" customHeight="1" x14ac:dyDescent="0.2">
      <c r="A426" s="1">
        <v>119102</v>
      </c>
      <c r="B426" s="1" t="s">
        <v>1648</v>
      </c>
      <c r="C426" s="1" t="s">
        <v>51</v>
      </c>
      <c r="D426" s="1" t="s">
        <v>1788</v>
      </c>
      <c r="E426" s="1" t="s">
        <v>770</v>
      </c>
      <c r="F426" s="1" t="s">
        <v>37</v>
      </c>
      <c r="G426" s="1" t="s">
        <v>1790</v>
      </c>
      <c r="H426" s="1">
        <v>5156</v>
      </c>
      <c r="I426" s="1" t="s">
        <v>108</v>
      </c>
      <c r="J426" s="1">
        <v>3</v>
      </c>
      <c r="K426" s="1" t="s">
        <v>49</v>
      </c>
      <c r="L426" s="1">
        <v>34</v>
      </c>
      <c r="M426" s="1" t="str">
        <f>IF(L426&lt;=45,"Joven","Mayor")</f>
        <v>Joven</v>
      </c>
      <c r="N426" s="1">
        <v>26</v>
      </c>
      <c r="O426" s="1" t="s">
        <v>50</v>
      </c>
      <c r="P426" s="1">
        <v>0.314</v>
      </c>
      <c r="Q426" s="1">
        <v>87.835999999999999</v>
      </c>
      <c r="R426" s="1">
        <v>4.0872089999999996</v>
      </c>
      <c r="S426" s="1">
        <v>10.891242</v>
      </c>
      <c r="T426" s="1">
        <v>0.60739964000000002</v>
      </c>
      <c r="U426" s="1">
        <v>6.8520000000000003</v>
      </c>
      <c r="V426" s="1">
        <v>89</v>
      </c>
      <c r="W426" s="1">
        <v>144</v>
      </c>
      <c r="X426" s="1">
        <v>1.6179775280898876</v>
      </c>
      <c r="Y426" s="1">
        <v>90</v>
      </c>
      <c r="Z426" s="1">
        <v>144</v>
      </c>
      <c r="AA426" s="1">
        <v>1.6</v>
      </c>
      <c r="AB426" s="1">
        <v>89.602708549334238</v>
      </c>
      <c r="AC426" s="1">
        <v>144.03431214075141</v>
      </c>
      <c r="AD426" s="1">
        <v>1.60747721215869</v>
      </c>
      <c r="AE426" t="s">
        <v>4817</v>
      </c>
      <c r="AF426" t="str">
        <f>IF(X426&lt;$AF$1,"Bajo","Alto")</f>
        <v>Bajo</v>
      </c>
      <c r="AG426" t="str">
        <f>LEFT(AE426,1)</f>
        <v>C</v>
      </c>
      <c r="AH426" t="str">
        <f>K426</f>
        <v>F</v>
      </c>
      <c r="AI426" t="str">
        <f>LEFT(AF426,1)</f>
        <v>B</v>
      </c>
      <c r="AJ426" t="str">
        <f>LEFT(M426,1)</f>
        <v>J</v>
      </c>
      <c r="AK426" t="str">
        <f>_xlfn.CONCAT(AG426,AH426,AI426,AJ426)</f>
        <v>CFBJ</v>
      </c>
    </row>
    <row r="427" spans="1:37" ht="15.75" hidden="1" customHeight="1" x14ac:dyDescent="0.2">
      <c r="A427" s="1">
        <v>271904</v>
      </c>
      <c r="B427" s="1" t="s">
        <v>3409</v>
      </c>
      <c r="C427" s="1" t="s">
        <v>973</v>
      </c>
      <c r="D427" s="1" t="s">
        <v>3595</v>
      </c>
      <c r="E427" s="1" t="s">
        <v>323</v>
      </c>
      <c r="F427" s="1" t="s">
        <v>61</v>
      </c>
      <c r="G427" s="1" t="s">
        <v>3598</v>
      </c>
      <c r="H427" s="1">
        <v>7833</v>
      </c>
      <c r="I427" s="1" t="s">
        <v>3599</v>
      </c>
      <c r="J427" s="1">
        <v>203</v>
      </c>
      <c r="K427" s="1" t="s">
        <v>35</v>
      </c>
      <c r="L427" s="1">
        <v>25</v>
      </c>
      <c r="M427" s="1" t="str">
        <f>IF(L427&lt;=45,"Joven","Mayor")</f>
        <v>Joven</v>
      </c>
      <c r="N427" s="1">
        <v>23</v>
      </c>
      <c r="O427" s="1" t="s">
        <v>36</v>
      </c>
      <c r="P427" s="1">
        <v>0.34899999999999998</v>
      </c>
      <c r="Q427" s="1">
        <v>80.494</v>
      </c>
      <c r="R427" s="1">
        <v>9.308961</v>
      </c>
      <c r="S427" s="1">
        <v>7.0781292999999996</v>
      </c>
      <c r="T427" s="1">
        <v>-8.3434080000000002</v>
      </c>
      <c r="U427" s="1">
        <v>0.99</v>
      </c>
      <c r="V427" s="1">
        <v>95</v>
      </c>
      <c r="W427" s="1">
        <v>188</v>
      </c>
      <c r="X427" s="1">
        <v>1.9789473684210526</v>
      </c>
      <c r="Y427" s="1">
        <v>100</v>
      </c>
      <c r="Z427" s="1">
        <v>188</v>
      </c>
      <c r="AA427" s="1">
        <v>1.88</v>
      </c>
      <c r="AB427" s="1">
        <v>101.97535422259941</v>
      </c>
      <c r="AC427" s="1">
        <v>188.62213919726219</v>
      </c>
      <c r="AD427" s="1">
        <v>1.8496835890907888</v>
      </c>
      <c r="AE427" t="s">
        <v>4817</v>
      </c>
      <c r="AF427" t="str">
        <f>IF(X427&lt;$AF$1,"Bajo","Alto")</f>
        <v>Alto</v>
      </c>
      <c r="AG427" t="str">
        <f>LEFT(AE427,1)</f>
        <v>C</v>
      </c>
      <c r="AH427" t="str">
        <f>K427</f>
        <v>M</v>
      </c>
      <c r="AI427" t="str">
        <f>LEFT(AF427,1)</f>
        <v>A</v>
      </c>
      <c r="AJ427" t="str">
        <f>LEFT(M427,1)</f>
        <v>J</v>
      </c>
      <c r="AK427" t="str">
        <f>_xlfn.CONCAT(AG427,AH427,AI427,AJ427)</f>
        <v>CMAJ</v>
      </c>
    </row>
    <row r="428" spans="1:37" ht="15.75" hidden="1" customHeight="1" x14ac:dyDescent="0.2">
      <c r="A428" s="1">
        <v>1077902</v>
      </c>
      <c r="B428" s="1" t="s">
        <v>1067</v>
      </c>
      <c r="C428" s="1" t="s">
        <v>1068</v>
      </c>
      <c r="D428" s="1" t="s">
        <v>1495</v>
      </c>
      <c r="E428" s="1" t="s">
        <v>739</v>
      </c>
      <c r="F428" s="1" t="s">
        <v>37</v>
      </c>
      <c r="G428" s="1" t="s">
        <v>1496</v>
      </c>
      <c r="H428" s="1">
        <v>1952</v>
      </c>
      <c r="I428" s="1" t="s">
        <v>34</v>
      </c>
      <c r="J428" s="1">
        <v>10</v>
      </c>
      <c r="K428" s="1" t="s">
        <v>35</v>
      </c>
      <c r="L428" s="1">
        <v>64</v>
      </c>
      <c r="M428" s="1" t="str">
        <f>IF(L428&lt;=45,"Joven","Mayor")</f>
        <v>Mayor</v>
      </c>
      <c r="N428" s="1">
        <v>60</v>
      </c>
      <c r="O428" s="1" t="s">
        <v>36</v>
      </c>
      <c r="P428" s="1">
        <v>0.41499999999999998</v>
      </c>
      <c r="Q428" s="1">
        <v>91.71</v>
      </c>
      <c r="R428" s="1">
        <v>4.4597926000000001</v>
      </c>
      <c r="S428" s="1">
        <v>1.6811221999999999</v>
      </c>
      <c r="T428" s="1">
        <v>-7.2635803000000001</v>
      </c>
      <c r="U428" s="1">
        <v>1.365</v>
      </c>
      <c r="V428" s="1">
        <v>89</v>
      </c>
      <c r="W428" s="1">
        <v>141</v>
      </c>
      <c r="X428" s="1">
        <v>1.5842696629213484</v>
      </c>
      <c r="Y428" s="1">
        <v>90</v>
      </c>
      <c r="Z428" s="1">
        <v>141</v>
      </c>
      <c r="AA428" s="1">
        <v>1.5666666666666667</v>
      </c>
      <c r="AB428" s="1">
        <v>92.710969095398923</v>
      </c>
      <c r="AC428" s="1">
        <v>139.994910503764</v>
      </c>
      <c r="AD428" s="1">
        <v>1.5100145308556774</v>
      </c>
      <c r="AE428" t="s">
        <v>4815</v>
      </c>
      <c r="AF428" t="str">
        <f>IF(X428&lt;$AF$1,"Bajo","Alto")</f>
        <v>Bajo</v>
      </c>
      <c r="AG428" t="str">
        <f>LEFT(AE428,1)</f>
        <v>I</v>
      </c>
      <c r="AH428" t="str">
        <f>K428</f>
        <v>M</v>
      </c>
      <c r="AI428" t="str">
        <f>LEFT(AF428,1)</f>
        <v>B</v>
      </c>
      <c r="AJ428" t="str">
        <f>LEFT(M428,1)</f>
        <v>M</v>
      </c>
      <c r="AK428" t="str">
        <f>_xlfn.CONCAT(AG428,AH428,AI428,AJ428)</f>
        <v>IMBM</v>
      </c>
    </row>
    <row r="429" spans="1:37" ht="15.75" hidden="1" customHeight="1" x14ac:dyDescent="0.2">
      <c r="A429" s="1">
        <v>10121408</v>
      </c>
      <c r="B429" s="1" t="s">
        <v>29</v>
      </c>
      <c r="C429" s="1" t="s">
        <v>30</v>
      </c>
      <c r="D429" s="1" t="s">
        <v>391</v>
      </c>
      <c r="E429" s="1" t="s">
        <v>392</v>
      </c>
      <c r="F429" s="1" t="s">
        <v>46</v>
      </c>
      <c r="G429" s="1" t="s">
        <v>401</v>
      </c>
      <c r="H429" s="1">
        <v>3831</v>
      </c>
      <c r="I429" s="1" t="s">
        <v>402</v>
      </c>
      <c r="J429" s="1">
        <v>5042</v>
      </c>
      <c r="K429" s="1" t="s">
        <v>35</v>
      </c>
      <c r="L429" s="1">
        <v>50</v>
      </c>
      <c r="M429" s="1" t="str">
        <f>IF(L429&lt;=45,"Joven","Mayor")</f>
        <v>Mayor</v>
      </c>
      <c r="N429" s="1">
        <v>48</v>
      </c>
      <c r="O429" s="1" t="s">
        <v>36</v>
      </c>
      <c r="P429" s="1">
        <v>41.058</v>
      </c>
      <c r="Q429" s="1">
        <v>22.829000000000001</v>
      </c>
      <c r="R429" s="1">
        <v>9.3454789999999992</v>
      </c>
      <c r="S429" s="1">
        <v>2.9682740000000001</v>
      </c>
      <c r="T429" s="1">
        <v>-5.9390903000000002</v>
      </c>
      <c r="U429" s="1">
        <v>1.9179999999999999</v>
      </c>
      <c r="V429" s="1">
        <v>71</v>
      </c>
      <c r="W429" s="1">
        <v>139</v>
      </c>
      <c r="X429" s="1">
        <v>1.9577464788732395</v>
      </c>
      <c r="Y429" s="1">
        <v>75</v>
      </c>
      <c r="Z429" s="1">
        <v>139</v>
      </c>
      <c r="AA429" s="1">
        <v>1.8533333333333333</v>
      </c>
      <c r="AB429" s="1">
        <v>74.861221584052828</v>
      </c>
      <c r="AC429" s="1">
        <v>139.0816804645774</v>
      </c>
      <c r="AD429" s="1">
        <v>1.8578601513791624</v>
      </c>
      <c r="AE429" t="s">
        <v>4817</v>
      </c>
      <c r="AF429" t="str">
        <f>IF(X429&lt;$AF$1,"Bajo","Alto")</f>
        <v>Alto</v>
      </c>
      <c r="AG429" t="str">
        <f>LEFT(AE429,1)</f>
        <v>C</v>
      </c>
      <c r="AH429" t="str">
        <f>K429</f>
        <v>M</v>
      </c>
      <c r="AI429" t="str">
        <f>LEFT(AF429,1)</f>
        <v>A</v>
      </c>
      <c r="AJ429" t="str">
        <f>LEFT(M429,1)</f>
        <v>M</v>
      </c>
      <c r="AK429" t="str">
        <f>_xlfn.CONCAT(AG429,AH429,AI429,AJ429)</f>
        <v>CMAM</v>
      </c>
    </row>
    <row r="430" spans="1:37" ht="15.75" hidden="1" customHeight="1" x14ac:dyDescent="0.2">
      <c r="A430" s="1">
        <v>217003</v>
      </c>
      <c r="B430" s="1" t="s">
        <v>2816</v>
      </c>
      <c r="C430" s="1" t="s">
        <v>2817</v>
      </c>
      <c r="D430" s="1" t="s">
        <v>2897</v>
      </c>
      <c r="E430" s="1" t="s">
        <v>720</v>
      </c>
      <c r="F430" s="1" t="s">
        <v>63</v>
      </c>
      <c r="G430" s="1" t="s">
        <v>2898</v>
      </c>
      <c r="H430" s="1">
        <v>2659</v>
      </c>
      <c r="I430" s="1" t="s">
        <v>108</v>
      </c>
      <c r="J430" s="1">
        <v>3</v>
      </c>
      <c r="K430" s="1" t="s">
        <v>35</v>
      </c>
      <c r="L430" s="1">
        <v>51</v>
      </c>
      <c r="M430" s="1" t="str">
        <f>IF(L430&lt;=45,"Joven","Mayor")</f>
        <v>Mayor</v>
      </c>
      <c r="N430" s="1">
        <v>42</v>
      </c>
      <c r="O430" s="1" t="s">
        <v>36</v>
      </c>
      <c r="P430" s="1">
        <v>0.36199999999999999</v>
      </c>
      <c r="Q430" s="1">
        <v>88.522000000000006</v>
      </c>
      <c r="R430" s="1">
        <v>-5.4889317000000002</v>
      </c>
      <c r="S430" s="1">
        <v>-6.9680432999999997</v>
      </c>
      <c r="T430" s="1">
        <v>15.505319999999999</v>
      </c>
      <c r="U430" s="1">
        <v>1.698</v>
      </c>
      <c r="V430" s="1">
        <v>94</v>
      </c>
      <c r="W430" s="1">
        <v>184</v>
      </c>
      <c r="X430" s="1">
        <v>1.9574468085106382</v>
      </c>
      <c r="Y430" s="1">
        <v>111</v>
      </c>
      <c r="Z430" s="1">
        <v>184</v>
      </c>
      <c r="AA430" s="1">
        <v>1.6576576576576576</v>
      </c>
      <c r="AB430" s="1">
        <v>105.2819614643479</v>
      </c>
      <c r="AC430" s="1">
        <v>182.1153382347502</v>
      </c>
      <c r="AD430" s="1">
        <v>1.729786714663563</v>
      </c>
      <c r="AE430" t="s">
        <v>4817</v>
      </c>
      <c r="AF430" t="str">
        <f>IF(X430&lt;$AF$1,"Bajo","Alto")</f>
        <v>Alto</v>
      </c>
      <c r="AG430" t="str">
        <f>LEFT(AE430,1)</f>
        <v>C</v>
      </c>
      <c r="AH430" t="str">
        <f>K430</f>
        <v>M</v>
      </c>
      <c r="AI430" t="str">
        <f>LEFT(AF430,1)</f>
        <v>A</v>
      </c>
      <c r="AJ430" t="str">
        <f>LEFT(M430,1)</f>
        <v>M</v>
      </c>
      <c r="AK430" t="str">
        <f>_xlfn.CONCAT(AG430,AH430,AI430,AJ430)</f>
        <v>CMAM</v>
      </c>
    </row>
    <row r="431" spans="1:37" ht="15.75" hidden="1" customHeight="1" x14ac:dyDescent="0.2">
      <c r="A431" s="1">
        <v>262506</v>
      </c>
      <c r="B431" s="1" t="s">
        <v>3358</v>
      </c>
      <c r="C431" s="1" t="s">
        <v>968</v>
      </c>
      <c r="D431" s="1" t="s">
        <v>956</v>
      </c>
      <c r="E431" s="1" t="s">
        <v>821</v>
      </c>
      <c r="F431" s="1" t="s">
        <v>88</v>
      </c>
      <c r="G431" s="1" t="s">
        <v>3381</v>
      </c>
      <c r="H431" s="1">
        <v>1023</v>
      </c>
      <c r="I431" s="1" t="s">
        <v>3382</v>
      </c>
      <c r="J431" s="1">
        <v>3180</v>
      </c>
      <c r="K431" s="1" t="s">
        <v>49</v>
      </c>
      <c r="L431" s="1">
        <v>38</v>
      </c>
      <c r="M431" s="1" t="str">
        <f>IF(L431&lt;=45,"Joven","Mayor")</f>
        <v>Joven</v>
      </c>
      <c r="N431" s="1">
        <v>47</v>
      </c>
      <c r="O431" s="1" t="s">
        <v>50</v>
      </c>
      <c r="P431" s="1">
        <v>0.36099999999999999</v>
      </c>
      <c r="Q431" s="1">
        <v>69.790000000000006</v>
      </c>
      <c r="R431" s="1">
        <v>12.625545000000001</v>
      </c>
      <c r="S431" s="1">
        <v>4.2698559999999999</v>
      </c>
      <c r="T431" s="1">
        <v>-12.380653000000001</v>
      </c>
      <c r="U431" s="1">
        <v>6.1070000000000002</v>
      </c>
      <c r="V431" s="1">
        <v>56</v>
      </c>
      <c r="W431" s="1">
        <v>112</v>
      </c>
      <c r="X431" s="1">
        <v>2</v>
      </c>
      <c r="Y431" s="1">
        <v>68</v>
      </c>
      <c r="Z431" s="1">
        <v>112</v>
      </c>
      <c r="AA431" s="1">
        <v>1.6470588235294117</v>
      </c>
      <c r="AB431" s="1">
        <v>63.059520398590848</v>
      </c>
      <c r="AC431" s="1">
        <v>112.8258983633809</v>
      </c>
      <c r="AD431" s="1">
        <v>1.7891968992187601</v>
      </c>
      <c r="AE431" t="s">
        <v>4817</v>
      </c>
      <c r="AF431" t="str">
        <f>IF(X431&lt;$AF$1,"Bajo","Alto")</f>
        <v>Alto</v>
      </c>
      <c r="AG431" t="str">
        <f>LEFT(AE431,1)</f>
        <v>C</v>
      </c>
      <c r="AH431" t="str">
        <f>K431</f>
        <v>F</v>
      </c>
      <c r="AI431" t="str">
        <f>LEFT(AF431,1)</f>
        <v>A</v>
      </c>
      <c r="AJ431" t="str">
        <f>LEFT(M431,1)</f>
        <v>J</v>
      </c>
      <c r="AK431" t="str">
        <f>_xlfn.CONCAT(AG431,AH431,AI431,AJ431)</f>
        <v>CFAJ</v>
      </c>
    </row>
    <row r="432" spans="1:37" ht="15.75" hidden="1" customHeight="1" x14ac:dyDescent="0.2">
      <c r="A432" s="1">
        <v>2711802</v>
      </c>
      <c r="B432" s="1" t="s">
        <v>3409</v>
      </c>
      <c r="C432" s="1" t="s">
        <v>973</v>
      </c>
      <c r="D432" s="1" t="s">
        <v>1925</v>
      </c>
      <c r="E432" s="1" t="s">
        <v>129</v>
      </c>
      <c r="F432" s="1" t="s">
        <v>37</v>
      </c>
      <c r="G432" s="1" t="s">
        <v>3452</v>
      </c>
      <c r="H432" s="1">
        <v>1216</v>
      </c>
      <c r="I432" s="1" t="s">
        <v>3453</v>
      </c>
      <c r="J432" s="1">
        <v>3833</v>
      </c>
      <c r="K432" s="1" t="s">
        <v>49</v>
      </c>
      <c r="L432" s="1">
        <v>37</v>
      </c>
      <c r="M432" s="1" t="str">
        <f>IF(L432&lt;=45,"Joven","Mayor")</f>
        <v>Joven</v>
      </c>
      <c r="N432" s="1">
        <v>32</v>
      </c>
      <c r="O432" s="1" t="s">
        <v>50</v>
      </c>
      <c r="P432" s="1">
        <v>0.46</v>
      </c>
      <c r="Q432" s="1">
        <v>92.495999999999995</v>
      </c>
      <c r="R432" s="1">
        <v>3.535952</v>
      </c>
      <c r="S432" s="1">
        <v>1.8399053000000001</v>
      </c>
      <c r="T432" s="1">
        <v>-3.5341182</v>
      </c>
      <c r="U432" s="1">
        <v>83.048000000000002</v>
      </c>
      <c r="V432" s="1">
        <v>77</v>
      </c>
      <c r="W432" s="1">
        <v>152</v>
      </c>
      <c r="X432" s="1">
        <v>1.974025974025974</v>
      </c>
      <c r="Y432" s="1">
        <v>80</v>
      </c>
      <c r="Z432" s="1">
        <v>152</v>
      </c>
      <c r="AA432" s="1">
        <v>1.9</v>
      </c>
      <c r="AB432" s="1">
        <v>79.442568183695812</v>
      </c>
      <c r="AC432" s="1">
        <v>151.77257971784459</v>
      </c>
      <c r="AD432" s="1">
        <v>1.910469200427904</v>
      </c>
      <c r="AE432" t="s">
        <v>4817</v>
      </c>
      <c r="AF432" t="str">
        <f>IF(X432&lt;$AF$1,"Bajo","Alto")</f>
        <v>Alto</v>
      </c>
      <c r="AG432" t="str">
        <f>LEFT(AE432,1)</f>
        <v>C</v>
      </c>
      <c r="AH432" t="str">
        <f>K432</f>
        <v>F</v>
      </c>
      <c r="AI432" t="str">
        <f>LEFT(AF432,1)</f>
        <v>A</v>
      </c>
      <c r="AJ432" t="str">
        <f>LEFT(M432,1)</f>
        <v>J</v>
      </c>
      <c r="AK432" t="str">
        <f>_xlfn.CONCAT(AG432,AH432,AI432,AJ432)</f>
        <v>CFAJ</v>
      </c>
    </row>
    <row r="433" spans="1:37" ht="15.75" hidden="1" customHeight="1" x14ac:dyDescent="0.2">
      <c r="A433" s="1">
        <v>155802</v>
      </c>
      <c r="B433" s="1" t="s">
        <v>2077</v>
      </c>
      <c r="C433" s="1" t="s">
        <v>57</v>
      </c>
      <c r="D433" s="1" t="s">
        <v>2490</v>
      </c>
      <c r="E433" s="1" t="s">
        <v>695</v>
      </c>
      <c r="F433" s="1" t="s">
        <v>37</v>
      </c>
      <c r="G433" s="1" t="s">
        <v>2491</v>
      </c>
      <c r="H433" s="1">
        <v>3418</v>
      </c>
      <c r="I433" s="1" t="s">
        <v>2492</v>
      </c>
      <c r="J433" s="1">
        <v>2877</v>
      </c>
      <c r="K433" s="1" t="s">
        <v>35</v>
      </c>
      <c r="L433" s="1">
        <v>35</v>
      </c>
      <c r="M433" s="1" t="str">
        <f>IF(L433&lt;=45,"Joven","Mayor")</f>
        <v>Joven</v>
      </c>
      <c r="N433" s="1">
        <v>47</v>
      </c>
      <c r="O433" s="1" t="s">
        <v>36</v>
      </c>
      <c r="P433" s="1">
        <v>1.008</v>
      </c>
      <c r="Q433" s="1">
        <v>94.483999999999995</v>
      </c>
      <c r="R433" s="1">
        <v>0.20524803</v>
      </c>
      <c r="S433" s="1">
        <v>1.448526</v>
      </c>
      <c r="T433" s="1">
        <v>-0.52083239999999997</v>
      </c>
      <c r="U433" s="1">
        <v>0.5</v>
      </c>
      <c r="V433" s="1">
        <v>87</v>
      </c>
      <c r="W433" s="1">
        <v>172</v>
      </c>
      <c r="X433" s="1">
        <v>1.9770114942528736</v>
      </c>
      <c r="Y433" s="1">
        <v>89</v>
      </c>
      <c r="Z433" s="1">
        <v>172</v>
      </c>
      <c r="AA433" s="1">
        <v>1.9325842696629214</v>
      </c>
      <c r="AB433" s="1">
        <v>89.414468172362831</v>
      </c>
      <c r="AC433" s="1">
        <v>172.0201640018536</v>
      </c>
      <c r="AD433" s="1">
        <v>1.9238515591263496</v>
      </c>
      <c r="AE433" t="s">
        <v>4817</v>
      </c>
      <c r="AF433" t="str">
        <f>IF(X433&lt;$AF$1,"Bajo","Alto")</f>
        <v>Alto</v>
      </c>
      <c r="AG433" t="str">
        <f>LEFT(AE433,1)</f>
        <v>C</v>
      </c>
      <c r="AH433" t="str">
        <f>K433</f>
        <v>M</v>
      </c>
      <c r="AI433" t="str">
        <f>LEFT(AF433,1)</f>
        <v>A</v>
      </c>
      <c r="AJ433" t="str">
        <f>LEFT(M433,1)</f>
        <v>J</v>
      </c>
      <c r="AK433" t="str">
        <f>_xlfn.CONCAT(AG433,AH433,AI433,AJ433)</f>
        <v>CMAJ</v>
      </c>
    </row>
    <row r="434" spans="1:37" ht="15.75" hidden="1" customHeight="1" x14ac:dyDescent="0.2">
      <c r="A434" s="1">
        <v>1513304</v>
      </c>
      <c r="B434" s="1" t="s">
        <v>2077</v>
      </c>
      <c r="C434" s="1" t="s">
        <v>57</v>
      </c>
      <c r="D434" s="1" t="s">
        <v>2149</v>
      </c>
      <c r="E434" s="1" t="s">
        <v>169</v>
      </c>
      <c r="F434" s="1" t="s">
        <v>61</v>
      </c>
      <c r="G434" s="1" t="s">
        <v>2153</v>
      </c>
      <c r="H434" s="1">
        <v>542</v>
      </c>
      <c r="I434" s="1" t="s">
        <v>2154</v>
      </c>
      <c r="J434" s="1">
        <v>2278</v>
      </c>
      <c r="K434" s="1" t="s">
        <v>35</v>
      </c>
      <c r="L434" s="1">
        <v>43</v>
      </c>
      <c r="M434" s="1" t="str">
        <f>IF(L434&lt;=45,"Joven","Mayor")</f>
        <v>Joven</v>
      </c>
      <c r="N434" s="1">
        <v>49</v>
      </c>
      <c r="O434" s="1" t="s">
        <v>36</v>
      </c>
      <c r="P434" s="1">
        <v>0.4</v>
      </c>
      <c r="Q434" s="1">
        <v>92.016000000000005</v>
      </c>
      <c r="R434" s="1">
        <v>3.7931363999999999</v>
      </c>
      <c r="S434" s="1">
        <v>2.9326696000000001</v>
      </c>
      <c r="T434" s="1">
        <v>2.4059472</v>
      </c>
      <c r="U434" s="1">
        <v>2.452</v>
      </c>
      <c r="V434" s="1">
        <v>85</v>
      </c>
      <c r="W434" s="1">
        <v>168</v>
      </c>
      <c r="X434" s="1">
        <v>1.9764705882352942</v>
      </c>
      <c r="Y434" s="1">
        <v>94</v>
      </c>
      <c r="Z434" s="1">
        <v>168</v>
      </c>
      <c r="AA434" s="1">
        <v>1.7872340425531914</v>
      </c>
      <c r="AB434" s="1">
        <v>92.154003792836193</v>
      </c>
      <c r="AC434" s="1">
        <v>168.1877392059032</v>
      </c>
      <c r="AD434" s="1">
        <v>1.8250725121394853</v>
      </c>
      <c r="AE434" t="s">
        <v>4817</v>
      </c>
      <c r="AF434" t="str">
        <f>IF(X434&lt;$AF$1,"Bajo","Alto")</f>
        <v>Alto</v>
      </c>
      <c r="AG434" t="str">
        <f>LEFT(AE434,1)</f>
        <v>C</v>
      </c>
      <c r="AH434" t="str">
        <f>K434</f>
        <v>M</v>
      </c>
      <c r="AI434" t="str">
        <f>LEFT(AF434,1)</f>
        <v>A</v>
      </c>
      <c r="AJ434" t="str">
        <f>LEFT(M434,1)</f>
        <v>J</v>
      </c>
      <c r="AK434" t="str">
        <f>_xlfn.CONCAT(AG434,AH434,AI434,AJ434)</f>
        <v>CMAJ</v>
      </c>
    </row>
    <row r="435" spans="1:37" ht="15.75" hidden="1" customHeight="1" x14ac:dyDescent="0.2">
      <c r="A435" s="1">
        <v>1529801</v>
      </c>
      <c r="B435" s="1" t="s">
        <v>2077</v>
      </c>
      <c r="C435" s="1" t="s">
        <v>57</v>
      </c>
      <c r="D435" s="1" t="s">
        <v>2374</v>
      </c>
      <c r="E435" s="1" t="s">
        <v>608</v>
      </c>
      <c r="F435" s="1" t="s">
        <v>32</v>
      </c>
      <c r="G435" s="1" t="s">
        <v>2375</v>
      </c>
      <c r="H435" s="1">
        <v>56</v>
      </c>
      <c r="I435" s="1" t="s">
        <v>42</v>
      </c>
      <c r="J435" s="1">
        <v>15</v>
      </c>
      <c r="K435" s="1" t="s">
        <v>35</v>
      </c>
      <c r="L435" s="1">
        <v>51</v>
      </c>
      <c r="M435" s="1" t="str">
        <f>IF(L435&lt;=45,"Joven","Mayor")</f>
        <v>Mayor</v>
      </c>
      <c r="N435" s="1">
        <v>60</v>
      </c>
      <c r="O435" s="1" t="s">
        <v>36</v>
      </c>
      <c r="P435" s="1">
        <v>0.121</v>
      </c>
      <c r="Q435" s="1">
        <v>20.378</v>
      </c>
      <c r="R435" s="1">
        <v>19.397148000000001</v>
      </c>
      <c r="S435" s="1">
        <v>-7.8972449999999998</v>
      </c>
      <c r="T435" s="1">
        <v>-0.47612487999999997</v>
      </c>
      <c r="U435" s="1">
        <v>45.753999999999998</v>
      </c>
      <c r="V435" s="1">
        <v>90</v>
      </c>
      <c r="W435" s="1">
        <v>176</v>
      </c>
      <c r="X435" s="1">
        <v>1.9555555555555555</v>
      </c>
      <c r="Y435" s="1">
        <v>92</v>
      </c>
      <c r="Z435" s="1">
        <v>176</v>
      </c>
      <c r="AA435" s="1">
        <v>1.9130434782608696</v>
      </c>
      <c r="AB435" s="1">
        <v>92.312597822659882</v>
      </c>
      <c r="AC435" s="1">
        <v>175.86927540847589</v>
      </c>
      <c r="AD435" s="1">
        <v>1.9051492380957069</v>
      </c>
      <c r="AE435" t="s">
        <v>4817</v>
      </c>
      <c r="AF435" t="str">
        <f>IF(X435&lt;$AF$1,"Bajo","Alto")</f>
        <v>Alto</v>
      </c>
      <c r="AG435" t="str">
        <f>LEFT(AE435,1)</f>
        <v>C</v>
      </c>
      <c r="AH435" t="str">
        <f>K435</f>
        <v>M</v>
      </c>
      <c r="AI435" t="str">
        <f>LEFT(AF435,1)</f>
        <v>A</v>
      </c>
      <c r="AJ435" t="str">
        <f>LEFT(M435,1)</f>
        <v>M</v>
      </c>
      <c r="AK435" t="str">
        <f>_xlfn.CONCAT(AG435,AH435,AI435,AJ435)</f>
        <v>CMAM</v>
      </c>
    </row>
    <row r="436" spans="1:37" ht="15.75" hidden="1" customHeight="1" x14ac:dyDescent="0.2">
      <c r="A436" s="1">
        <v>240102</v>
      </c>
      <c r="B436" s="1" t="s">
        <v>1548</v>
      </c>
      <c r="C436" s="1" t="s">
        <v>1993</v>
      </c>
      <c r="D436" s="1" t="s">
        <v>3118</v>
      </c>
      <c r="E436" s="1" t="s">
        <v>32</v>
      </c>
      <c r="F436" s="1" t="s">
        <v>37</v>
      </c>
      <c r="G436" s="1" t="s">
        <v>3119</v>
      </c>
      <c r="H436" s="1">
        <v>7838</v>
      </c>
      <c r="I436" s="1" t="s">
        <v>108</v>
      </c>
      <c r="J436" s="1">
        <v>3</v>
      </c>
      <c r="K436" s="1" t="s">
        <v>35</v>
      </c>
      <c r="L436" s="1">
        <v>54</v>
      </c>
      <c r="M436" s="1" t="str">
        <f>IF(L436&lt;=45,"Joven","Mayor")</f>
        <v>Mayor</v>
      </c>
      <c r="N436" s="1">
        <v>53</v>
      </c>
      <c r="O436" s="1" t="s">
        <v>36</v>
      </c>
      <c r="P436" s="1">
        <v>0.32400000000000001</v>
      </c>
      <c r="Q436" s="1">
        <v>86.591999999999999</v>
      </c>
      <c r="R436" s="1">
        <v>-1.2368037999999999</v>
      </c>
      <c r="S436" s="1">
        <v>15.30231</v>
      </c>
      <c r="T436" s="1">
        <v>-1.3802209999999999</v>
      </c>
      <c r="U436" s="1">
        <v>2.9550000000000001</v>
      </c>
      <c r="V436" s="1">
        <v>88</v>
      </c>
      <c r="W436" s="1">
        <v>172</v>
      </c>
      <c r="X436" s="1">
        <v>1.9545454545454546</v>
      </c>
      <c r="Y436" s="1">
        <v>93</v>
      </c>
      <c r="Z436" s="1">
        <v>172</v>
      </c>
      <c r="AA436" s="1">
        <v>1.8494623655913978</v>
      </c>
      <c r="AB436" s="1">
        <v>91.985447476258514</v>
      </c>
      <c r="AC436" s="1">
        <v>172.28731567433209</v>
      </c>
      <c r="AD436" s="1">
        <v>1.8729844817985968</v>
      </c>
      <c r="AE436" t="s">
        <v>4817</v>
      </c>
      <c r="AF436" t="str">
        <f>IF(X436&lt;$AF$1,"Bajo","Alto")</f>
        <v>Alto</v>
      </c>
      <c r="AG436" t="str">
        <f>LEFT(AE436,1)</f>
        <v>C</v>
      </c>
      <c r="AH436" t="str">
        <f>K436</f>
        <v>M</v>
      </c>
      <c r="AI436" t="str">
        <f>LEFT(AF436,1)</f>
        <v>A</v>
      </c>
      <c r="AJ436" t="str">
        <f>LEFT(M436,1)</f>
        <v>M</v>
      </c>
      <c r="AK436" t="str">
        <f>_xlfn.CONCAT(AG436,AH436,AI436,AJ436)</f>
        <v>CMAM</v>
      </c>
    </row>
    <row r="437" spans="1:37" ht="15.75" hidden="1" customHeight="1" x14ac:dyDescent="0.2">
      <c r="A437" s="1">
        <v>10115403</v>
      </c>
      <c r="B437" s="1" t="s">
        <v>29</v>
      </c>
      <c r="C437" s="1" t="s">
        <v>30</v>
      </c>
      <c r="D437" s="1" t="s">
        <v>220</v>
      </c>
      <c r="E437" s="1" t="s">
        <v>221</v>
      </c>
      <c r="F437" s="1" t="s">
        <v>63</v>
      </c>
      <c r="G437" s="1" t="s">
        <v>223</v>
      </c>
      <c r="H437" s="1">
        <v>190</v>
      </c>
      <c r="I437" s="1" t="s">
        <v>85</v>
      </c>
      <c r="J437" s="1">
        <v>12</v>
      </c>
      <c r="K437" s="1" t="s">
        <v>35</v>
      </c>
      <c r="L437" s="1">
        <v>45</v>
      </c>
      <c r="M437" s="1" t="str">
        <f>IF(L437&lt;=45,"Joven","Mayor")</f>
        <v>Joven</v>
      </c>
      <c r="N437" s="1">
        <v>56</v>
      </c>
      <c r="O437" s="1" t="s">
        <v>36</v>
      </c>
      <c r="P437" s="1">
        <v>0.35799999999999998</v>
      </c>
      <c r="Q437" s="1">
        <v>90.204999999999998</v>
      </c>
      <c r="R437" s="1">
        <v>5.7251120000000002</v>
      </c>
      <c r="S437" s="1">
        <v>-2.0464313000000001</v>
      </c>
      <c r="T437" s="1">
        <v>-4.0486126000000002</v>
      </c>
      <c r="U437" s="1">
        <v>70.061000000000007</v>
      </c>
      <c r="V437" s="1">
        <v>85</v>
      </c>
      <c r="W437" s="1">
        <v>166</v>
      </c>
      <c r="X437" s="1">
        <v>1.9529411764705882</v>
      </c>
      <c r="Y437" s="1">
        <v>87</v>
      </c>
      <c r="Z437" s="1">
        <v>166</v>
      </c>
      <c r="AA437" s="1">
        <v>1.9080459770114941</v>
      </c>
      <c r="AB437" s="1">
        <v>87.823804800774269</v>
      </c>
      <c r="AC437" s="1">
        <v>165.93876221001159</v>
      </c>
      <c r="AD437" s="1">
        <v>1.8894508452057936</v>
      </c>
      <c r="AE437" t="s">
        <v>4815</v>
      </c>
      <c r="AF437" t="str">
        <f>IF(X437&lt;$AF$1,"Bajo","Alto")</f>
        <v>Alto</v>
      </c>
      <c r="AG437" t="str">
        <f>LEFT(AE437,1)</f>
        <v>I</v>
      </c>
      <c r="AH437" t="str">
        <f>K437</f>
        <v>M</v>
      </c>
      <c r="AI437" t="str">
        <f>LEFT(AF437,1)</f>
        <v>A</v>
      </c>
      <c r="AJ437" t="str">
        <f>LEFT(M437,1)</f>
        <v>J</v>
      </c>
      <c r="AK437" t="str">
        <f>_xlfn.CONCAT(AG437,AH437,AI437,AJ437)</f>
        <v>IMAJ</v>
      </c>
    </row>
    <row r="438" spans="1:37" ht="15.75" hidden="1" customHeight="1" x14ac:dyDescent="0.2">
      <c r="A438" s="1">
        <v>523507</v>
      </c>
      <c r="B438" s="1" t="s">
        <v>4529</v>
      </c>
      <c r="C438" s="1" t="s">
        <v>685</v>
      </c>
      <c r="D438" s="1" t="s">
        <v>175</v>
      </c>
      <c r="E438" s="1" t="s">
        <v>640</v>
      </c>
      <c r="F438" s="1" t="s">
        <v>43</v>
      </c>
      <c r="G438" s="1" t="s">
        <v>4592</v>
      </c>
      <c r="H438" s="1">
        <v>2793</v>
      </c>
      <c r="I438" s="1" t="s">
        <v>4593</v>
      </c>
      <c r="J438" s="1">
        <v>4216</v>
      </c>
      <c r="K438" s="1" t="s">
        <v>35</v>
      </c>
      <c r="L438" s="1">
        <v>41</v>
      </c>
      <c r="M438" s="1" t="str">
        <f>IF(L438&lt;=45,"Joven","Mayor")</f>
        <v>Joven</v>
      </c>
      <c r="N438" s="1">
        <v>45</v>
      </c>
      <c r="O438" s="1" t="s">
        <v>36</v>
      </c>
      <c r="P438" s="1">
        <v>0.40799999999999997</v>
      </c>
      <c r="Q438" s="1">
        <v>67.659000000000006</v>
      </c>
      <c r="R438" s="1">
        <v>13.356851000000001</v>
      </c>
      <c r="S438" s="1">
        <v>-1.7334106</v>
      </c>
      <c r="T438" s="1">
        <v>-9.924868</v>
      </c>
      <c r="U438" s="1">
        <v>44.53</v>
      </c>
      <c r="V438" s="1">
        <v>84</v>
      </c>
      <c r="W438" s="1">
        <v>166</v>
      </c>
      <c r="X438" s="1">
        <v>1.9761904761904763</v>
      </c>
      <c r="Y438" s="1">
        <v>98</v>
      </c>
      <c r="Z438" s="1">
        <v>166</v>
      </c>
      <c r="AA438" s="1">
        <v>1.6938775510204083</v>
      </c>
      <c r="AB438" s="1">
        <v>91.87780977186776</v>
      </c>
      <c r="AC438" s="1">
        <v>166.10109521003321</v>
      </c>
      <c r="AD438" s="1">
        <v>1.8078477885189206</v>
      </c>
      <c r="AE438" t="s">
        <v>4817</v>
      </c>
      <c r="AF438" t="str">
        <f>IF(X438&lt;$AF$1,"Bajo","Alto")</f>
        <v>Alto</v>
      </c>
      <c r="AG438" t="str">
        <f>LEFT(AE438,1)</f>
        <v>C</v>
      </c>
      <c r="AH438" t="str">
        <f>K438</f>
        <v>M</v>
      </c>
      <c r="AI438" t="str">
        <f>LEFT(AF438,1)</f>
        <v>A</v>
      </c>
      <c r="AJ438" t="str">
        <f>LEFT(M438,1)</f>
        <v>J</v>
      </c>
      <c r="AK438" t="str">
        <f>_xlfn.CONCAT(AG438,AH438,AI438,AJ438)</f>
        <v>CMAJ</v>
      </c>
    </row>
    <row r="439" spans="1:37" ht="15.75" hidden="1" customHeight="1" x14ac:dyDescent="0.2">
      <c r="A439" s="1">
        <v>10129003</v>
      </c>
      <c r="B439" s="1" t="s">
        <v>29</v>
      </c>
      <c r="C439" s="1" t="s">
        <v>30</v>
      </c>
      <c r="D439" s="1" t="s">
        <v>585</v>
      </c>
      <c r="E439" s="1" t="s">
        <v>586</v>
      </c>
      <c r="F439" s="1" t="s">
        <v>63</v>
      </c>
      <c r="G439" s="1" t="s">
        <v>587</v>
      </c>
      <c r="H439" s="1">
        <v>1319</v>
      </c>
      <c r="I439" s="1" t="s">
        <v>588</v>
      </c>
      <c r="J439" s="1">
        <v>4231</v>
      </c>
      <c r="K439" s="1" t="s">
        <v>35</v>
      </c>
      <c r="L439" s="1">
        <v>34</v>
      </c>
      <c r="M439" s="1" t="str">
        <f>IF(L439&lt;=45,"Joven","Mayor")</f>
        <v>Joven</v>
      </c>
      <c r="N439" s="1">
        <v>27</v>
      </c>
      <c r="O439" s="1" t="s">
        <v>36</v>
      </c>
      <c r="P439" s="1">
        <v>0.36399999999999999</v>
      </c>
      <c r="Q439" s="1">
        <v>94.009</v>
      </c>
      <c r="R439" s="1">
        <v>-1.8540831</v>
      </c>
      <c r="S439" s="1">
        <v>-0.16385026</v>
      </c>
      <c r="T439" s="1">
        <v>-0.25803672999999999</v>
      </c>
      <c r="U439" s="1">
        <v>3.49</v>
      </c>
      <c r="V439" s="1">
        <v>81</v>
      </c>
      <c r="W439" s="1">
        <v>160</v>
      </c>
      <c r="X439" s="1">
        <v>1.9753086419753085</v>
      </c>
      <c r="Y439" s="1">
        <v>85</v>
      </c>
      <c r="Z439" s="1">
        <v>160</v>
      </c>
      <c r="AA439" s="1">
        <v>1.8823529411764706</v>
      </c>
      <c r="AB439" s="1">
        <v>85.192791740677194</v>
      </c>
      <c r="AC439" s="1">
        <v>159.9983774165303</v>
      </c>
      <c r="AD439" s="1">
        <v>1.8780741204438722</v>
      </c>
      <c r="AE439" t="s">
        <v>4817</v>
      </c>
      <c r="AF439" t="str">
        <f>IF(X439&lt;$AF$1,"Bajo","Alto")</f>
        <v>Alto</v>
      </c>
      <c r="AG439" t="str">
        <f>LEFT(AE439,1)</f>
        <v>C</v>
      </c>
      <c r="AH439" t="str">
        <f>K439</f>
        <v>M</v>
      </c>
      <c r="AI439" t="str">
        <f>LEFT(AF439,1)</f>
        <v>A</v>
      </c>
      <c r="AJ439" t="str">
        <f>LEFT(M439,1)</f>
        <v>J</v>
      </c>
      <c r="AK439" t="str">
        <f>_xlfn.CONCAT(AG439,AH439,AI439,AJ439)</f>
        <v>CMAJ</v>
      </c>
    </row>
    <row r="440" spans="1:37" ht="15.75" hidden="1" customHeight="1" x14ac:dyDescent="0.2">
      <c r="A440" s="1">
        <v>10121704</v>
      </c>
      <c r="B440" s="1" t="s">
        <v>29</v>
      </c>
      <c r="C440" s="1" t="s">
        <v>30</v>
      </c>
      <c r="D440" s="1" t="s">
        <v>403</v>
      </c>
      <c r="E440" s="1" t="s">
        <v>404</v>
      </c>
      <c r="F440" s="1" t="s">
        <v>61</v>
      </c>
      <c r="G440" s="1" t="s">
        <v>408</v>
      </c>
      <c r="H440" s="1">
        <v>83</v>
      </c>
      <c r="I440" s="1" t="s">
        <v>73</v>
      </c>
      <c r="J440" s="1">
        <v>5</v>
      </c>
      <c r="K440" s="1" t="s">
        <v>35</v>
      </c>
      <c r="L440" s="1">
        <v>46</v>
      </c>
      <c r="M440" s="1" t="str">
        <f>IF(L440&lt;=45,"Joven","Mayor")</f>
        <v>Mayor</v>
      </c>
      <c r="N440" s="1">
        <v>45</v>
      </c>
      <c r="O440" s="1" t="s">
        <v>36</v>
      </c>
      <c r="P440" s="1">
        <v>0.35899999999999999</v>
      </c>
      <c r="Q440" s="1">
        <v>94.632000000000005</v>
      </c>
      <c r="R440" s="1">
        <v>-0.55451059999999996</v>
      </c>
      <c r="S440" s="1">
        <v>0.43217420000000001</v>
      </c>
      <c r="T440" s="1">
        <v>0.76278440000000003</v>
      </c>
      <c r="U440" s="1">
        <v>7.6479999999999997</v>
      </c>
      <c r="V440" s="1">
        <v>97</v>
      </c>
      <c r="W440" s="1">
        <v>151</v>
      </c>
      <c r="X440" s="1">
        <v>1.5567010309278351</v>
      </c>
      <c r="Y440" s="1">
        <v>99</v>
      </c>
      <c r="Z440" s="1">
        <v>151</v>
      </c>
      <c r="AA440" s="1">
        <v>1.5252525252525253</v>
      </c>
      <c r="AB440" s="1">
        <v>98.418780460267044</v>
      </c>
      <c r="AC440" s="1">
        <v>150.98661868243741</v>
      </c>
      <c r="AD440" s="1">
        <v>1.534124056164186</v>
      </c>
      <c r="AE440" t="s">
        <v>4817</v>
      </c>
      <c r="AF440" t="str">
        <f>IF(X440&lt;$AF$1,"Bajo","Alto")</f>
        <v>Bajo</v>
      </c>
      <c r="AG440" t="str">
        <f>LEFT(AE440,1)</f>
        <v>C</v>
      </c>
      <c r="AH440" t="str">
        <f>K440</f>
        <v>M</v>
      </c>
      <c r="AI440" t="str">
        <f>LEFT(AF440,1)</f>
        <v>B</v>
      </c>
      <c r="AJ440" t="str">
        <f>LEFT(M440,1)</f>
        <v>M</v>
      </c>
      <c r="AK440" t="str">
        <f>_xlfn.CONCAT(AG440,AH440,AI440,AJ440)</f>
        <v>CMBM</v>
      </c>
    </row>
    <row r="441" spans="1:37" ht="15.75" hidden="1" customHeight="1" x14ac:dyDescent="0.2">
      <c r="A441" s="1">
        <v>170102</v>
      </c>
      <c r="B441" s="1" t="s">
        <v>2551</v>
      </c>
      <c r="C441" s="1" t="s">
        <v>2552</v>
      </c>
      <c r="D441" s="1" t="s">
        <v>2553</v>
      </c>
      <c r="E441" s="1" t="s">
        <v>32</v>
      </c>
      <c r="F441" s="1" t="s">
        <v>37</v>
      </c>
      <c r="G441" s="1" t="s">
        <v>2554</v>
      </c>
      <c r="H441" s="1">
        <v>3478</v>
      </c>
      <c r="I441" s="1" t="s">
        <v>73</v>
      </c>
      <c r="J441" s="1">
        <v>5</v>
      </c>
      <c r="K441" s="1" t="s">
        <v>35</v>
      </c>
      <c r="L441" s="1">
        <v>48</v>
      </c>
      <c r="M441" s="1" t="str">
        <f>IF(L441&lt;=45,"Joven","Mayor")</f>
        <v>Mayor</v>
      </c>
      <c r="N441" s="1">
        <v>48</v>
      </c>
      <c r="O441" s="1" t="s">
        <v>36</v>
      </c>
      <c r="P441" s="1">
        <v>0.36899999999999999</v>
      </c>
      <c r="Q441" s="1">
        <v>93.53</v>
      </c>
      <c r="R441" s="1">
        <v>2.1405582000000001</v>
      </c>
      <c r="S441" s="1">
        <v>1.8640874999999999</v>
      </c>
      <c r="T441" s="1">
        <v>-2.8601296</v>
      </c>
      <c r="U441" s="1">
        <v>0.71399999999999997</v>
      </c>
      <c r="V441" s="1">
        <v>79</v>
      </c>
      <c r="W441" s="1">
        <v>123</v>
      </c>
      <c r="X441" s="1">
        <v>1.5569620253164558</v>
      </c>
      <c r="Y441" s="1">
        <v>80</v>
      </c>
      <c r="Z441" s="1">
        <v>123</v>
      </c>
      <c r="AA441" s="1">
        <v>1.5375000000000001</v>
      </c>
      <c r="AB441" s="1">
        <v>81.546978044232901</v>
      </c>
      <c r="AC441" s="1">
        <v>123.046373338072</v>
      </c>
      <c r="AD441" s="1">
        <v>1.5089016943255567</v>
      </c>
      <c r="AE441" t="s">
        <v>4817</v>
      </c>
      <c r="AF441" t="str">
        <f>IF(X441&lt;$AF$1,"Bajo","Alto")</f>
        <v>Bajo</v>
      </c>
      <c r="AG441" t="str">
        <f>LEFT(AE441,1)</f>
        <v>C</v>
      </c>
      <c r="AH441" t="str">
        <f>K441</f>
        <v>M</v>
      </c>
      <c r="AI441" t="str">
        <f>LEFT(AF441,1)</f>
        <v>B</v>
      </c>
      <c r="AJ441" t="str">
        <f>LEFT(M441,1)</f>
        <v>M</v>
      </c>
      <c r="AK441" t="str">
        <f>_xlfn.CONCAT(AG441,AH441,AI441,AJ441)</f>
        <v>CMBM</v>
      </c>
    </row>
    <row r="442" spans="1:37" ht="15.75" hidden="1" customHeight="1" x14ac:dyDescent="0.2">
      <c r="A442" s="1">
        <v>460109</v>
      </c>
      <c r="B442" s="1" t="s">
        <v>4382</v>
      </c>
      <c r="C442" s="1" t="s">
        <v>669</v>
      </c>
      <c r="D442" s="1" t="s">
        <v>4383</v>
      </c>
      <c r="E442" s="1" t="s">
        <v>32</v>
      </c>
      <c r="F442" s="1" t="s">
        <v>189</v>
      </c>
      <c r="G442" s="1" t="s">
        <v>4387</v>
      </c>
      <c r="H442" s="1">
        <v>15394</v>
      </c>
      <c r="I442" s="1" t="s">
        <v>4388</v>
      </c>
      <c r="J442" s="1">
        <v>901</v>
      </c>
      <c r="K442" s="1" t="s">
        <v>35</v>
      </c>
      <c r="L442" s="1">
        <v>65</v>
      </c>
      <c r="M442" s="1" t="str">
        <f>IF(L442&lt;=45,"Joven","Mayor")</f>
        <v>Mayor</v>
      </c>
      <c r="N442" s="1">
        <v>69</v>
      </c>
      <c r="O442" s="1" t="s">
        <v>36</v>
      </c>
      <c r="P442" s="1">
        <v>0.35299999999999998</v>
      </c>
      <c r="Q442" s="1">
        <v>94.409000000000006</v>
      </c>
      <c r="R442" s="1">
        <v>0.37924284000000003</v>
      </c>
      <c r="S442" s="1">
        <v>2.2455938</v>
      </c>
      <c r="T442" s="1">
        <v>5.2473926999999998</v>
      </c>
      <c r="U442" s="1">
        <v>3.9489999999999998</v>
      </c>
      <c r="V442" s="1">
        <v>85</v>
      </c>
      <c r="W442" s="1">
        <v>166</v>
      </c>
      <c r="X442" s="1">
        <v>1.9529411764705882</v>
      </c>
      <c r="Y442" s="1">
        <v>90</v>
      </c>
      <c r="Z442" s="1">
        <v>166</v>
      </c>
      <c r="AA442" s="1">
        <v>1.8444444444444446</v>
      </c>
      <c r="AB442" s="1">
        <v>89.1251315566426</v>
      </c>
      <c r="AC442" s="1">
        <v>166.12741574013759</v>
      </c>
      <c r="AD442" s="1">
        <v>1.8639794728892709</v>
      </c>
      <c r="AE442" t="s">
        <v>4817</v>
      </c>
      <c r="AF442" t="str">
        <f>IF(X442&lt;$AF$1,"Bajo","Alto")</f>
        <v>Alto</v>
      </c>
      <c r="AG442" t="str">
        <f>LEFT(AE442,1)</f>
        <v>C</v>
      </c>
      <c r="AH442" t="str">
        <f>K442</f>
        <v>M</v>
      </c>
      <c r="AI442" t="str">
        <f>LEFT(AF442,1)</f>
        <v>A</v>
      </c>
      <c r="AJ442" t="str">
        <f>LEFT(M442,1)</f>
        <v>M</v>
      </c>
      <c r="AK442" t="str">
        <f>_xlfn.CONCAT(AG442,AH442,AI442,AJ442)</f>
        <v>CMAM</v>
      </c>
    </row>
    <row r="443" spans="1:37" ht="15.75" hidden="1" customHeight="1" x14ac:dyDescent="0.2">
      <c r="A443" s="1">
        <v>1033705</v>
      </c>
      <c r="B443" s="1" t="s">
        <v>783</v>
      </c>
      <c r="C443" s="1" t="s">
        <v>81</v>
      </c>
      <c r="D443" s="1" t="s">
        <v>835</v>
      </c>
      <c r="E443" s="1" t="s">
        <v>647</v>
      </c>
      <c r="F443" s="1" t="s">
        <v>40</v>
      </c>
      <c r="G443" s="1" t="s">
        <v>836</v>
      </c>
      <c r="H443" s="1">
        <v>1694</v>
      </c>
      <c r="I443" s="1" t="s">
        <v>65</v>
      </c>
      <c r="J443" s="1">
        <v>2</v>
      </c>
      <c r="K443" s="1" t="s">
        <v>35</v>
      </c>
      <c r="L443" s="1">
        <v>35</v>
      </c>
      <c r="M443" s="1" t="str">
        <f>IF(L443&lt;=45,"Joven","Mayor")</f>
        <v>Joven</v>
      </c>
      <c r="N443" s="1">
        <v>37</v>
      </c>
      <c r="O443" s="1" t="s">
        <v>36</v>
      </c>
      <c r="P443" s="1">
        <v>0.90200000000000002</v>
      </c>
      <c r="Q443" s="1">
        <v>90.616</v>
      </c>
      <c r="R443" s="1">
        <v>2.3502483000000001</v>
      </c>
      <c r="S443" s="1">
        <v>9.2067460000000008</v>
      </c>
      <c r="T443" s="1">
        <v>-0.38104483</v>
      </c>
      <c r="U443" s="1">
        <v>1.218</v>
      </c>
      <c r="V443" s="1">
        <v>109</v>
      </c>
      <c r="W443" s="1">
        <v>174</v>
      </c>
      <c r="X443" s="1">
        <v>1.5963302752293578</v>
      </c>
      <c r="Y443" s="1">
        <v>111</v>
      </c>
      <c r="Z443" s="1">
        <v>174</v>
      </c>
      <c r="AA443" s="1">
        <v>1.5675675675675675</v>
      </c>
      <c r="AB443" s="1">
        <v>111.316766318042</v>
      </c>
      <c r="AC443" s="1">
        <v>174.02275384472071</v>
      </c>
      <c r="AD443" s="1">
        <v>1.5633112567025356</v>
      </c>
      <c r="AE443" t="s">
        <v>4817</v>
      </c>
      <c r="AF443" t="str">
        <f>IF(X443&lt;$AF$1,"Bajo","Alto")</f>
        <v>Bajo</v>
      </c>
      <c r="AG443" t="str">
        <f>LEFT(AE443,1)</f>
        <v>C</v>
      </c>
      <c r="AH443" t="str">
        <f>K443</f>
        <v>M</v>
      </c>
      <c r="AI443" t="str">
        <f>LEFT(AF443,1)</f>
        <v>B</v>
      </c>
      <c r="AJ443" t="str">
        <f>LEFT(M443,1)</f>
        <v>J</v>
      </c>
      <c r="AK443" t="str">
        <f>_xlfn.CONCAT(AG443,AH443,AI443,AJ443)</f>
        <v>CMBJ</v>
      </c>
    </row>
    <row r="444" spans="1:37" ht="15.75" hidden="1" customHeight="1" x14ac:dyDescent="0.2">
      <c r="A444" s="1">
        <v>317603</v>
      </c>
      <c r="B444" s="1" t="s">
        <v>4122</v>
      </c>
      <c r="C444" s="1" t="s">
        <v>628</v>
      </c>
      <c r="D444" s="1" t="s">
        <v>4254</v>
      </c>
      <c r="E444" s="1" t="s">
        <v>727</v>
      </c>
      <c r="F444" s="1" t="s">
        <v>63</v>
      </c>
      <c r="G444" s="1" t="s">
        <v>4257</v>
      </c>
      <c r="H444" s="1">
        <v>2269</v>
      </c>
      <c r="I444" s="1" t="s">
        <v>48</v>
      </c>
      <c r="J444" s="1">
        <v>4</v>
      </c>
      <c r="K444" s="1" t="s">
        <v>49</v>
      </c>
      <c r="L444" s="1">
        <v>54</v>
      </c>
      <c r="M444" s="1" t="str">
        <f>IF(L444&lt;=45,"Joven","Mayor")</f>
        <v>Mayor</v>
      </c>
      <c r="N444" s="1">
        <v>39</v>
      </c>
      <c r="O444" s="1" t="s">
        <v>50</v>
      </c>
      <c r="P444" s="1">
        <v>7.2999999999999995E-2</v>
      </c>
      <c r="Q444" s="1">
        <v>76.293999999999997</v>
      </c>
      <c r="R444" s="1">
        <v>11.012508</v>
      </c>
      <c r="S444" s="1">
        <v>5.3377499999999998</v>
      </c>
      <c r="T444" s="1">
        <v>-14.472035</v>
      </c>
      <c r="U444" s="1">
        <v>13.318</v>
      </c>
      <c r="V444" s="1">
        <v>81</v>
      </c>
      <c r="W444" s="1">
        <v>162</v>
      </c>
      <c r="X444" s="1">
        <v>2</v>
      </c>
      <c r="Y444" s="1">
        <v>100</v>
      </c>
      <c r="Z444" s="1">
        <v>162</v>
      </c>
      <c r="AA444" s="1">
        <v>1.62</v>
      </c>
      <c r="AB444" s="1">
        <v>93.424294567637162</v>
      </c>
      <c r="AC444" s="1">
        <v>164.10701214381379</v>
      </c>
      <c r="AD444" s="1">
        <v>1.7565774823700047</v>
      </c>
      <c r="AE444" t="s">
        <v>4817</v>
      </c>
      <c r="AF444" t="str">
        <f>IF(X444&lt;$AF$1,"Bajo","Alto")</f>
        <v>Alto</v>
      </c>
      <c r="AG444" t="str">
        <f>LEFT(AE444,1)</f>
        <v>C</v>
      </c>
      <c r="AH444" t="str">
        <f>K444</f>
        <v>F</v>
      </c>
      <c r="AI444" t="str">
        <f>LEFT(AF444,1)</f>
        <v>A</v>
      </c>
      <c r="AJ444" t="str">
        <f>LEFT(M444,1)</f>
        <v>M</v>
      </c>
      <c r="AK444" t="str">
        <f>_xlfn.CONCAT(AG444,AH444,AI444,AJ444)</f>
        <v>CFAM</v>
      </c>
    </row>
    <row r="445" spans="1:37" ht="15.75" hidden="1" customHeight="1" x14ac:dyDescent="0.2">
      <c r="A445" s="1">
        <v>2721703</v>
      </c>
      <c r="B445" s="1" t="s">
        <v>3409</v>
      </c>
      <c r="C445" s="1" t="s">
        <v>973</v>
      </c>
      <c r="D445" s="1" t="s">
        <v>3634</v>
      </c>
      <c r="E445" s="1" t="s">
        <v>404</v>
      </c>
      <c r="F445" s="1" t="s">
        <v>63</v>
      </c>
      <c r="G445" s="1" t="s">
        <v>3636</v>
      </c>
      <c r="H445" s="1">
        <v>596</v>
      </c>
      <c r="I445" s="1" t="s">
        <v>3637</v>
      </c>
      <c r="J445" s="1">
        <v>2799</v>
      </c>
      <c r="K445" s="1" t="s">
        <v>49</v>
      </c>
      <c r="L445" s="1">
        <v>32</v>
      </c>
      <c r="M445" s="1" t="str">
        <f>IF(L445&lt;=45,"Joven","Mayor")</f>
        <v>Joven</v>
      </c>
      <c r="N445" s="1">
        <v>34</v>
      </c>
      <c r="O445" s="1" t="s">
        <v>50</v>
      </c>
      <c r="P445" s="1">
        <v>0.34699999999999998</v>
      </c>
      <c r="Q445" s="1">
        <v>92.063000000000002</v>
      </c>
      <c r="R445" s="1">
        <v>3.5124792999999999</v>
      </c>
      <c r="S445" s="1">
        <v>3.6955852999999999</v>
      </c>
      <c r="T445" s="1">
        <v>-2.4169407000000001</v>
      </c>
      <c r="U445" s="1">
        <v>32.570999999999998</v>
      </c>
      <c r="V445" s="1">
        <v>94</v>
      </c>
      <c r="W445" s="1">
        <v>185</v>
      </c>
      <c r="X445" s="1">
        <v>1.9680851063829787</v>
      </c>
      <c r="Y445" s="1">
        <v>103</v>
      </c>
      <c r="Z445" s="1">
        <v>185</v>
      </c>
      <c r="AA445" s="1">
        <v>1.796116504854369</v>
      </c>
      <c r="AB445" s="1">
        <v>101.052844920624</v>
      </c>
      <c r="AC445" s="1">
        <v>185.29930662582959</v>
      </c>
      <c r="AD445" s="1">
        <v>1.8336871838826541</v>
      </c>
      <c r="AE445" t="s">
        <v>4817</v>
      </c>
      <c r="AF445" t="str">
        <f>IF(X445&lt;$AF$1,"Bajo","Alto")</f>
        <v>Alto</v>
      </c>
      <c r="AG445" t="str">
        <f>LEFT(AE445,1)</f>
        <v>C</v>
      </c>
      <c r="AH445" t="str">
        <f>K445</f>
        <v>F</v>
      </c>
      <c r="AI445" t="str">
        <f>LEFT(AF445,1)</f>
        <v>A</v>
      </c>
      <c r="AJ445" t="str">
        <f>LEFT(M445,1)</f>
        <v>J</v>
      </c>
      <c r="AK445" t="str">
        <f>_xlfn.CONCAT(AG445,AH445,AI445,AJ445)</f>
        <v>CFAJ</v>
      </c>
    </row>
    <row r="446" spans="1:37" ht="15.75" hidden="1" customHeight="1" x14ac:dyDescent="0.2">
      <c r="A446" s="1">
        <v>10730101</v>
      </c>
      <c r="B446" s="1" t="s">
        <v>1067</v>
      </c>
      <c r="C446" s="1" t="s">
        <v>1068</v>
      </c>
      <c r="D446" s="1" t="s">
        <v>1361</v>
      </c>
      <c r="E446" s="1" t="s">
        <v>622</v>
      </c>
      <c r="F446" s="1" t="s">
        <v>32</v>
      </c>
      <c r="G446" s="1" t="s">
        <v>1362</v>
      </c>
      <c r="H446" s="1">
        <v>1211</v>
      </c>
      <c r="I446" s="1" t="s">
        <v>48</v>
      </c>
      <c r="J446" s="1">
        <v>4</v>
      </c>
      <c r="K446" s="1" t="s">
        <v>35</v>
      </c>
      <c r="L446" s="1">
        <v>32</v>
      </c>
      <c r="M446" s="1" t="str">
        <f>IF(L446&lt;=45,"Joven","Mayor")</f>
        <v>Joven</v>
      </c>
      <c r="N446" s="1">
        <v>35</v>
      </c>
      <c r="O446" s="1" t="s">
        <v>36</v>
      </c>
      <c r="P446" s="1">
        <v>0.38200000000000001</v>
      </c>
      <c r="Q446" s="1">
        <v>46.698</v>
      </c>
      <c r="R446" s="1">
        <v>16.459779999999999</v>
      </c>
      <c r="S446" s="1">
        <v>1.4765016</v>
      </c>
      <c r="T446" s="1">
        <v>-14.75488</v>
      </c>
      <c r="U446" s="1">
        <v>11.653</v>
      </c>
      <c r="V446" s="1">
        <v>80</v>
      </c>
      <c r="W446" s="1">
        <v>158</v>
      </c>
      <c r="X446" s="1">
        <v>1.9750000000000001</v>
      </c>
      <c r="Y446" s="1">
        <v>94</v>
      </c>
      <c r="Z446" s="1">
        <v>158</v>
      </c>
      <c r="AA446" s="1">
        <v>1.6808510638297873</v>
      </c>
      <c r="AB446" s="1">
        <v>88.568049788256076</v>
      </c>
      <c r="AC446" s="1">
        <v>157.6288335073568</v>
      </c>
      <c r="AD446" s="1">
        <v>1.779748271348502</v>
      </c>
      <c r="AE446" t="s">
        <v>4817</v>
      </c>
      <c r="AF446" t="str">
        <f>IF(X446&lt;$AF$1,"Bajo","Alto")</f>
        <v>Alto</v>
      </c>
      <c r="AG446" t="str">
        <f>LEFT(AE446,1)</f>
        <v>C</v>
      </c>
      <c r="AH446" t="str">
        <f>K446</f>
        <v>M</v>
      </c>
      <c r="AI446" t="str">
        <f>LEFT(AF446,1)</f>
        <v>A</v>
      </c>
      <c r="AJ446" t="str">
        <f>LEFT(M446,1)</f>
        <v>J</v>
      </c>
      <c r="AK446" t="str">
        <f>_xlfn.CONCAT(AG446,AH446,AI446,AJ446)</f>
        <v>CMAJ</v>
      </c>
    </row>
    <row r="447" spans="1:37" ht="15.75" hidden="1" customHeight="1" x14ac:dyDescent="0.2">
      <c r="A447" s="1">
        <v>460103</v>
      </c>
      <c r="B447" s="1" t="s">
        <v>4382</v>
      </c>
      <c r="C447" s="1" t="s">
        <v>669</v>
      </c>
      <c r="D447" s="1" t="s">
        <v>4383</v>
      </c>
      <c r="E447" s="1" t="s">
        <v>32</v>
      </c>
      <c r="F447" s="1" t="s">
        <v>63</v>
      </c>
      <c r="G447" s="1" t="s">
        <v>4384</v>
      </c>
      <c r="H447" s="1">
        <v>1786</v>
      </c>
      <c r="I447" s="1" t="s">
        <v>87</v>
      </c>
      <c r="J447" s="1">
        <v>14</v>
      </c>
      <c r="K447" s="1" t="s">
        <v>35</v>
      </c>
      <c r="L447" s="1">
        <v>48</v>
      </c>
      <c r="M447" s="1" t="str">
        <f>IF(L447&lt;=45,"Joven","Mayor")</f>
        <v>Mayor</v>
      </c>
      <c r="N447" s="1">
        <v>50</v>
      </c>
      <c r="O447" s="1" t="s">
        <v>36</v>
      </c>
      <c r="P447" s="1">
        <v>0.63700000000000001</v>
      </c>
      <c r="Q447" s="1">
        <v>81.748000000000005</v>
      </c>
      <c r="R447" s="1">
        <v>9.1661370000000009</v>
      </c>
      <c r="S447" s="1">
        <v>5.7003225999999998</v>
      </c>
      <c r="T447" s="1">
        <v>2.7856771999999999</v>
      </c>
      <c r="U447" s="1">
        <v>2.7559999999999998</v>
      </c>
      <c r="V447" s="1">
        <v>70</v>
      </c>
      <c r="W447" s="1">
        <v>140</v>
      </c>
      <c r="X447" s="1">
        <v>2</v>
      </c>
      <c r="Y447" s="1">
        <v>81</v>
      </c>
      <c r="Z447" s="1">
        <v>140</v>
      </c>
      <c r="AA447" s="1">
        <v>1.728395061728395</v>
      </c>
      <c r="AB447" s="1">
        <v>79.786481731596268</v>
      </c>
      <c r="AC447" s="1">
        <v>140.8065661979044</v>
      </c>
      <c r="AD447" s="1">
        <v>1.7647922698431702</v>
      </c>
      <c r="AE447" t="s">
        <v>4816</v>
      </c>
      <c r="AF447" t="str">
        <f>IF(X447&lt;$AF$1,"Bajo","Alto")</f>
        <v>Alto</v>
      </c>
      <c r="AG447" t="str">
        <f>LEFT(AE447,1)</f>
        <v>D</v>
      </c>
      <c r="AH447" t="str">
        <f>K447</f>
        <v>M</v>
      </c>
      <c r="AI447" t="str">
        <f>LEFT(AF447,1)</f>
        <v>A</v>
      </c>
      <c r="AJ447" t="str">
        <f>LEFT(M447,1)</f>
        <v>M</v>
      </c>
      <c r="AK447" t="str">
        <f>_xlfn.CONCAT(AG447,AH447,AI447,AJ447)</f>
        <v>DMAM</v>
      </c>
    </row>
    <row r="448" spans="1:37" ht="15.75" hidden="1" customHeight="1" x14ac:dyDescent="0.2">
      <c r="A448" s="1">
        <v>2819005</v>
      </c>
      <c r="B448" s="1" t="s">
        <v>1775</v>
      </c>
      <c r="C448" s="1" t="s">
        <v>561</v>
      </c>
      <c r="D448" s="1" t="s">
        <v>3795</v>
      </c>
      <c r="E448" s="1" t="s">
        <v>320</v>
      </c>
      <c r="F448" s="1" t="s">
        <v>40</v>
      </c>
      <c r="G448" s="1" t="s">
        <v>3798</v>
      </c>
      <c r="H448" s="1">
        <v>31</v>
      </c>
      <c r="I448" s="1" t="s">
        <v>108</v>
      </c>
      <c r="J448" s="1">
        <v>3</v>
      </c>
      <c r="K448" s="1" t="s">
        <v>35</v>
      </c>
      <c r="L448" s="1">
        <v>43</v>
      </c>
      <c r="M448" s="1" t="str">
        <f>IF(L448&lt;=45,"Joven","Mayor")</f>
        <v>Joven</v>
      </c>
      <c r="N448" s="1">
        <v>55</v>
      </c>
      <c r="O448" s="1" t="s">
        <v>36</v>
      </c>
      <c r="P448" s="1">
        <v>0.85199999999999998</v>
      </c>
      <c r="Q448" s="1">
        <v>80.034999999999997</v>
      </c>
      <c r="R448" s="1">
        <v>-8.9520959999999992</v>
      </c>
      <c r="S448" s="1">
        <v>8.4738655000000005</v>
      </c>
      <c r="T448" s="1">
        <v>5.9304610000000001E-2</v>
      </c>
      <c r="U448" s="1">
        <v>4.5979999999999999</v>
      </c>
      <c r="V448" s="1">
        <v>114</v>
      </c>
      <c r="W448" s="1">
        <v>182</v>
      </c>
      <c r="X448" s="1">
        <v>1.5964912280701755</v>
      </c>
      <c r="Y448" s="1">
        <v>115</v>
      </c>
      <c r="Z448" s="1">
        <v>182</v>
      </c>
      <c r="AA448" s="1">
        <v>1.5826086956521739</v>
      </c>
      <c r="AB448" s="1">
        <v>115.04755118132179</v>
      </c>
      <c r="AC448" s="1">
        <v>181.9905869624067</v>
      </c>
      <c r="AD448" s="1">
        <v>1.5818727569053486</v>
      </c>
      <c r="AE448" t="s">
        <v>4817</v>
      </c>
      <c r="AF448" t="str">
        <f>IF(X448&lt;$AF$1,"Bajo","Alto")</f>
        <v>Bajo</v>
      </c>
      <c r="AG448" t="str">
        <f>LEFT(AE448,1)</f>
        <v>C</v>
      </c>
      <c r="AH448" t="str">
        <f>K448</f>
        <v>M</v>
      </c>
      <c r="AI448" t="str">
        <f>LEFT(AF448,1)</f>
        <v>B</v>
      </c>
      <c r="AJ448" t="str">
        <f>LEFT(M448,1)</f>
        <v>J</v>
      </c>
      <c r="AK448" t="str">
        <f>_xlfn.CONCAT(AG448,AH448,AI448,AJ448)</f>
        <v>CMBJ</v>
      </c>
    </row>
    <row r="449" spans="1:37" ht="15.75" hidden="1" customHeight="1" x14ac:dyDescent="0.2">
      <c r="A449" s="1">
        <v>1055003</v>
      </c>
      <c r="B449" s="1" t="s">
        <v>694</v>
      </c>
      <c r="C449" s="1" t="s">
        <v>879</v>
      </c>
      <c r="D449" s="1" t="s">
        <v>1000</v>
      </c>
      <c r="E449" s="1" t="s">
        <v>1001</v>
      </c>
      <c r="F449" s="1" t="s">
        <v>63</v>
      </c>
      <c r="G449" s="1" t="s">
        <v>1003</v>
      </c>
      <c r="H449" s="1">
        <v>1060</v>
      </c>
      <c r="I449" s="1" t="s">
        <v>91</v>
      </c>
      <c r="J449" s="1">
        <v>6</v>
      </c>
      <c r="K449" s="1" t="s">
        <v>35</v>
      </c>
      <c r="L449" s="1">
        <v>55</v>
      </c>
      <c r="M449" s="1" t="str">
        <f>IF(L449&lt;=45,"Joven","Mayor")</f>
        <v>Mayor</v>
      </c>
      <c r="N449" s="1">
        <v>65</v>
      </c>
      <c r="O449" s="1" t="s">
        <v>36</v>
      </c>
      <c r="P449" s="1">
        <v>0.06</v>
      </c>
      <c r="Q449" s="1">
        <v>90.834000000000003</v>
      </c>
      <c r="R449" s="1">
        <v>-4.5636840000000003</v>
      </c>
      <c r="S449" s="1">
        <v>4.6073060000000003</v>
      </c>
      <c r="T449" s="1">
        <v>3.3121939</v>
      </c>
      <c r="U449" s="1">
        <v>1.5329999999999999</v>
      </c>
      <c r="V449" s="1">
        <v>122</v>
      </c>
      <c r="W449" s="1">
        <v>190</v>
      </c>
      <c r="X449" s="1">
        <v>1.5573770491803278</v>
      </c>
      <c r="Y449" s="1">
        <v>125</v>
      </c>
      <c r="Z449" s="1">
        <v>190</v>
      </c>
      <c r="AA449" s="1">
        <v>1.52</v>
      </c>
      <c r="AB449" s="1">
        <v>125.147241042386</v>
      </c>
      <c r="AC449" s="1">
        <v>189.91371915873509</v>
      </c>
      <c r="AD449" s="1">
        <v>1.5175222208407566</v>
      </c>
      <c r="AE449" t="s">
        <v>4817</v>
      </c>
      <c r="AF449" t="str">
        <f>IF(X449&lt;$AF$1,"Bajo","Alto")</f>
        <v>Bajo</v>
      </c>
      <c r="AG449" t="str">
        <f>LEFT(AE449,1)</f>
        <v>C</v>
      </c>
      <c r="AH449" t="str">
        <f>K449</f>
        <v>M</v>
      </c>
      <c r="AI449" t="str">
        <f>LEFT(AF449,1)</f>
        <v>B</v>
      </c>
      <c r="AJ449" t="str">
        <f>LEFT(M449,1)</f>
        <v>M</v>
      </c>
      <c r="AK449" t="str">
        <f>_xlfn.CONCAT(AG449,AH449,AI449,AJ449)</f>
        <v>CMBM</v>
      </c>
    </row>
    <row r="450" spans="1:37" ht="15.75" hidden="1" customHeight="1" x14ac:dyDescent="0.2">
      <c r="A450" s="1">
        <v>1017805</v>
      </c>
      <c r="B450" s="1" t="s">
        <v>29</v>
      </c>
      <c r="C450" s="1" t="s">
        <v>30</v>
      </c>
      <c r="D450" s="1" t="s">
        <v>731</v>
      </c>
      <c r="E450" s="1" t="s">
        <v>732</v>
      </c>
      <c r="F450" s="1" t="s">
        <v>40</v>
      </c>
      <c r="G450" s="1" t="s">
        <v>736</v>
      </c>
      <c r="H450" s="1">
        <v>403</v>
      </c>
      <c r="I450" s="1" t="s">
        <v>737</v>
      </c>
      <c r="J450" s="1">
        <v>2835</v>
      </c>
      <c r="K450" s="1" t="s">
        <v>49</v>
      </c>
      <c r="L450" s="1">
        <v>47</v>
      </c>
      <c r="M450" s="1" t="str">
        <f>IF(L450&lt;=45,"Joven","Mayor")</f>
        <v>Mayor</v>
      </c>
      <c r="N450" s="1">
        <v>54</v>
      </c>
      <c r="O450" s="1" t="s">
        <v>50</v>
      </c>
      <c r="P450" s="1">
        <v>0.36</v>
      </c>
      <c r="Q450" s="1">
        <v>93.147999999999996</v>
      </c>
      <c r="R450" s="1">
        <v>3.0018799999999999</v>
      </c>
      <c r="S450" s="1">
        <v>0.84645163999999995</v>
      </c>
      <c r="T450" s="1">
        <v>-1.7510734999999999</v>
      </c>
      <c r="U450" s="1">
        <v>42.58</v>
      </c>
      <c r="V450" s="1">
        <v>68</v>
      </c>
      <c r="W450" s="1">
        <v>135</v>
      </c>
      <c r="X450" s="1">
        <v>1.9852941176470589</v>
      </c>
      <c r="Y450" s="1">
        <v>74</v>
      </c>
      <c r="Z450" s="1">
        <v>135</v>
      </c>
      <c r="AA450" s="1">
        <v>1.8243243243243243</v>
      </c>
      <c r="AB450" s="1">
        <v>74.790488863670362</v>
      </c>
      <c r="AC450" s="1">
        <v>134.6924995713243</v>
      </c>
      <c r="AD450" s="1">
        <v>1.8009308619020334</v>
      </c>
      <c r="AE450" t="s">
        <v>4817</v>
      </c>
      <c r="AF450" t="str">
        <f>IF(X450&lt;$AF$1,"Bajo","Alto")</f>
        <v>Alto</v>
      </c>
      <c r="AG450" t="str">
        <f>LEFT(AE450,1)</f>
        <v>C</v>
      </c>
      <c r="AH450" t="str">
        <f>K450</f>
        <v>F</v>
      </c>
      <c r="AI450" t="str">
        <f>LEFT(AF450,1)</f>
        <v>A</v>
      </c>
      <c r="AJ450" t="str">
        <f>LEFT(M450,1)</f>
        <v>M</v>
      </c>
      <c r="AK450" t="str">
        <f>_xlfn.CONCAT(AG450,AH450,AI450,AJ450)</f>
        <v>CFAM</v>
      </c>
    </row>
    <row r="451" spans="1:37" ht="15.75" hidden="1" customHeight="1" x14ac:dyDescent="0.2">
      <c r="A451" s="1">
        <v>317604</v>
      </c>
      <c r="B451" s="1" t="s">
        <v>4122</v>
      </c>
      <c r="C451" s="1" t="s">
        <v>628</v>
      </c>
      <c r="D451" s="1" t="s">
        <v>4254</v>
      </c>
      <c r="E451" s="1" t="s">
        <v>727</v>
      </c>
      <c r="F451" s="1" t="s">
        <v>61</v>
      </c>
      <c r="G451" s="1" t="s">
        <v>4258</v>
      </c>
      <c r="H451" s="1">
        <v>1495</v>
      </c>
      <c r="I451" s="1" t="s">
        <v>91</v>
      </c>
      <c r="J451" s="1">
        <v>6</v>
      </c>
      <c r="K451" s="1" t="s">
        <v>35</v>
      </c>
      <c r="L451" s="1">
        <v>44</v>
      </c>
      <c r="M451" s="1" t="str">
        <f>IF(L451&lt;=45,"Joven","Mayor")</f>
        <v>Joven</v>
      </c>
      <c r="N451" s="1">
        <v>41</v>
      </c>
      <c r="O451" s="1" t="s">
        <v>36</v>
      </c>
      <c r="P451" s="1">
        <v>0.112</v>
      </c>
      <c r="Q451" s="1">
        <v>85.903999999999996</v>
      </c>
      <c r="R451" s="1">
        <v>8.3214760000000005</v>
      </c>
      <c r="S451" s="1">
        <v>2.2274219999999998</v>
      </c>
      <c r="T451" s="1">
        <v>-11.293958999999999</v>
      </c>
      <c r="U451" s="1">
        <v>1.5309999999999999</v>
      </c>
      <c r="V451" s="1">
        <v>80</v>
      </c>
      <c r="W451" s="1">
        <v>158</v>
      </c>
      <c r="X451" s="1">
        <v>1.9750000000000001</v>
      </c>
      <c r="Y451" s="1">
        <v>90</v>
      </c>
      <c r="Z451" s="1">
        <v>158</v>
      </c>
      <c r="AA451" s="1">
        <v>1.7555555555555555</v>
      </c>
      <c r="AB451" s="1">
        <v>88.830490860367945</v>
      </c>
      <c r="AC451" s="1">
        <v>157.87802068931521</v>
      </c>
      <c r="AD451" s="1">
        <v>1.7772953763982078</v>
      </c>
      <c r="AE451" t="s">
        <v>4817</v>
      </c>
      <c r="AF451" t="str">
        <f>IF(X451&lt;$AF$1,"Bajo","Alto")</f>
        <v>Alto</v>
      </c>
      <c r="AG451" t="str">
        <f>LEFT(AE451,1)</f>
        <v>C</v>
      </c>
      <c r="AH451" t="str">
        <f>K451</f>
        <v>M</v>
      </c>
      <c r="AI451" t="str">
        <f>LEFT(AF451,1)</f>
        <v>A</v>
      </c>
      <c r="AJ451" t="str">
        <f>LEFT(M451,1)</f>
        <v>J</v>
      </c>
      <c r="AK451" t="str">
        <f>_xlfn.CONCAT(AG451,AH451,AI451,AJ451)</f>
        <v>CMAJ</v>
      </c>
    </row>
    <row r="452" spans="1:37" ht="15.75" hidden="1" customHeight="1" x14ac:dyDescent="0.2">
      <c r="A452" s="1">
        <v>170405</v>
      </c>
      <c r="B452" s="1" t="s">
        <v>2551</v>
      </c>
      <c r="C452" s="1" t="s">
        <v>2552</v>
      </c>
      <c r="D452" s="1" t="s">
        <v>2563</v>
      </c>
      <c r="E452" s="1" t="s">
        <v>61</v>
      </c>
      <c r="F452" s="1" t="s">
        <v>40</v>
      </c>
      <c r="G452" s="1" t="s">
        <v>2568</v>
      </c>
      <c r="H452" s="1">
        <v>168</v>
      </c>
      <c r="I452" s="1" t="s">
        <v>2569</v>
      </c>
      <c r="J452" s="1">
        <v>4012</v>
      </c>
      <c r="K452" s="1" t="s">
        <v>35</v>
      </c>
      <c r="L452" s="1">
        <v>53</v>
      </c>
      <c r="M452" s="1" t="str">
        <f>IF(L452&lt;=45,"Joven","Mayor")</f>
        <v>Mayor</v>
      </c>
      <c r="N452" s="1">
        <v>50</v>
      </c>
      <c r="O452" s="1" t="s">
        <v>36</v>
      </c>
      <c r="P452" s="1">
        <v>0.61899999999999999</v>
      </c>
      <c r="Q452" s="1">
        <v>92.123000000000005</v>
      </c>
      <c r="R452" s="1">
        <v>3.6269355000000001</v>
      </c>
      <c r="S452" s="1">
        <v>-2.8411240000000002</v>
      </c>
      <c r="T452" s="1">
        <v>1.4117119</v>
      </c>
      <c r="U452" s="1">
        <v>6.0030000000000001</v>
      </c>
      <c r="V452" s="1">
        <v>95</v>
      </c>
      <c r="W452" s="1">
        <v>148</v>
      </c>
      <c r="X452" s="1">
        <v>1.5578947368421052</v>
      </c>
      <c r="Y452" s="1">
        <v>98</v>
      </c>
      <c r="Z452" s="1">
        <v>148</v>
      </c>
      <c r="AA452" s="1">
        <v>1.510204081632653</v>
      </c>
      <c r="AB452" s="1">
        <v>97.132612572540438</v>
      </c>
      <c r="AC452" s="1">
        <v>148.02898783678029</v>
      </c>
      <c r="AD452" s="1">
        <v>1.5239885339872794</v>
      </c>
      <c r="AE452" t="s">
        <v>4817</v>
      </c>
      <c r="AF452" t="str">
        <f>IF(X452&lt;$AF$1,"Bajo","Alto")</f>
        <v>Bajo</v>
      </c>
      <c r="AG452" t="str">
        <f>LEFT(AE452,1)</f>
        <v>C</v>
      </c>
      <c r="AH452" t="str">
        <f>K452</f>
        <v>M</v>
      </c>
      <c r="AI452" t="str">
        <f>LEFT(AF452,1)</f>
        <v>B</v>
      </c>
      <c r="AJ452" t="str">
        <f>LEFT(M452,1)</f>
        <v>M</v>
      </c>
      <c r="AK452" t="str">
        <f>_xlfn.CONCAT(AG452,AH452,AI452,AJ452)</f>
        <v>CMBM</v>
      </c>
    </row>
    <row r="453" spans="1:37" ht="15.75" hidden="1" customHeight="1" x14ac:dyDescent="0.2">
      <c r="A453" s="1">
        <v>10910905</v>
      </c>
      <c r="B453" s="1" t="s">
        <v>719</v>
      </c>
      <c r="C453" s="1" t="s">
        <v>98</v>
      </c>
      <c r="D453" s="1" t="s">
        <v>1550</v>
      </c>
      <c r="E453" s="1" t="s">
        <v>98</v>
      </c>
      <c r="F453" s="1" t="s">
        <v>40</v>
      </c>
      <c r="G453" s="1" t="s">
        <v>1553</v>
      </c>
      <c r="H453" s="1">
        <v>3177</v>
      </c>
      <c r="I453" s="1" t="s">
        <v>134</v>
      </c>
      <c r="J453" s="1">
        <v>8</v>
      </c>
      <c r="K453" s="1" t="s">
        <v>35</v>
      </c>
      <c r="L453" s="1">
        <v>51</v>
      </c>
      <c r="M453" s="1" t="str">
        <f>IF(L453&lt;=45,"Joven","Mayor")</f>
        <v>Mayor</v>
      </c>
      <c r="N453" s="1">
        <v>52</v>
      </c>
      <c r="O453" s="1" t="s">
        <v>36</v>
      </c>
      <c r="P453" s="1">
        <v>0.34200000000000003</v>
      </c>
      <c r="Q453" s="1">
        <v>86.32</v>
      </c>
      <c r="R453" s="1">
        <v>8.2463770000000007</v>
      </c>
      <c r="S453" s="1">
        <v>-1.2481061</v>
      </c>
      <c r="T453" s="1">
        <v>-5.9000729999999999</v>
      </c>
      <c r="U453" s="1">
        <v>4.9160000000000004</v>
      </c>
      <c r="V453" s="1">
        <v>106</v>
      </c>
      <c r="W453" s="1">
        <v>207</v>
      </c>
      <c r="X453" s="1">
        <v>1.9528301886792452</v>
      </c>
      <c r="Y453" s="1">
        <v>108</v>
      </c>
      <c r="Z453" s="1">
        <v>207</v>
      </c>
      <c r="AA453" s="1">
        <v>1.9166666666666667</v>
      </c>
      <c r="AB453" s="1">
        <v>113.2871369394541</v>
      </c>
      <c r="AC453" s="1">
        <v>205.90345603292329</v>
      </c>
      <c r="AD453" s="1">
        <v>1.8175360556862483</v>
      </c>
      <c r="AE453" t="s">
        <v>4817</v>
      </c>
      <c r="AF453" t="str">
        <f>IF(X453&lt;$AF$1,"Bajo","Alto")</f>
        <v>Alto</v>
      </c>
      <c r="AG453" t="str">
        <f>LEFT(AE453,1)</f>
        <v>C</v>
      </c>
      <c r="AH453" t="str">
        <f>K453</f>
        <v>M</v>
      </c>
      <c r="AI453" t="str">
        <f>LEFT(AF453,1)</f>
        <v>A</v>
      </c>
      <c r="AJ453" t="str">
        <f>LEFT(M453,1)</f>
        <v>M</v>
      </c>
      <c r="AK453" t="str">
        <f>_xlfn.CONCAT(AG453,AH453,AI453,AJ453)</f>
        <v>CMAM</v>
      </c>
    </row>
    <row r="454" spans="1:37" ht="15.75" hidden="1" customHeight="1" x14ac:dyDescent="0.2">
      <c r="A454" s="1">
        <v>10125005</v>
      </c>
      <c r="B454" s="1" t="s">
        <v>29</v>
      </c>
      <c r="C454" s="1" t="s">
        <v>30</v>
      </c>
      <c r="D454" s="1" t="s">
        <v>499</v>
      </c>
      <c r="E454" s="1" t="s">
        <v>500</v>
      </c>
      <c r="F454" s="1" t="s">
        <v>40</v>
      </c>
      <c r="G454" s="1" t="s">
        <v>504</v>
      </c>
      <c r="H454" s="1">
        <v>524</v>
      </c>
      <c r="I454" s="1" t="s">
        <v>91</v>
      </c>
      <c r="J454" s="1">
        <v>6</v>
      </c>
      <c r="K454" s="1" t="s">
        <v>35</v>
      </c>
      <c r="L454" s="1">
        <v>43</v>
      </c>
      <c r="M454" s="1" t="str">
        <f>IF(L454&lt;=45,"Joven","Mayor")</f>
        <v>Joven</v>
      </c>
      <c r="N454" s="1">
        <v>51</v>
      </c>
      <c r="O454" s="1" t="s">
        <v>36</v>
      </c>
      <c r="P454" s="1">
        <v>0.36</v>
      </c>
      <c r="Q454" s="1">
        <v>94.524000000000001</v>
      </c>
      <c r="R454" s="1">
        <v>-0.28272286000000002</v>
      </c>
      <c r="S454" s="1">
        <v>1.841097</v>
      </c>
      <c r="T454" s="1">
        <v>-2.9282794000000001</v>
      </c>
      <c r="U454" s="1">
        <v>3.7879999999999998</v>
      </c>
      <c r="V454" s="1">
        <v>105</v>
      </c>
      <c r="W454" s="1">
        <v>168</v>
      </c>
      <c r="X454" s="1">
        <v>1.6</v>
      </c>
      <c r="Y454" s="1">
        <v>106</v>
      </c>
      <c r="Z454" s="1">
        <v>168</v>
      </c>
      <c r="AA454" s="1">
        <v>1.5849056603773586</v>
      </c>
      <c r="AB454" s="1">
        <v>107.0595901963234</v>
      </c>
      <c r="AC454" s="1">
        <v>167.72955055673671</v>
      </c>
      <c r="AD454" s="1">
        <v>1.5666933737478179</v>
      </c>
      <c r="AE454" t="s">
        <v>4817</v>
      </c>
      <c r="AF454" t="str">
        <f>IF(X454&lt;$AF$1,"Bajo","Alto")</f>
        <v>Bajo</v>
      </c>
      <c r="AG454" t="str">
        <f>LEFT(AE454,1)</f>
        <v>C</v>
      </c>
      <c r="AH454" t="str">
        <f>K454</f>
        <v>M</v>
      </c>
      <c r="AI454" t="str">
        <f>LEFT(AF454,1)</f>
        <v>B</v>
      </c>
      <c r="AJ454" t="str">
        <f>LEFT(M454,1)</f>
        <v>J</v>
      </c>
      <c r="AK454" t="str">
        <f>_xlfn.CONCAT(AG454,AH454,AI454,AJ454)</f>
        <v>CMBJ</v>
      </c>
    </row>
    <row r="455" spans="1:37" ht="15.75" hidden="1" customHeight="1" x14ac:dyDescent="0.2">
      <c r="A455" s="1">
        <v>440201</v>
      </c>
      <c r="B455" s="1" t="s">
        <v>4314</v>
      </c>
      <c r="C455" s="1" t="s">
        <v>995</v>
      </c>
      <c r="D455" s="1" t="s">
        <v>3420</v>
      </c>
      <c r="E455" s="1" t="s">
        <v>37</v>
      </c>
      <c r="F455" s="1" t="s">
        <v>32</v>
      </c>
      <c r="G455" s="1" t="s">
        <v>4318</v>
      </c>
      <c r="H455" s="1">
        <v>1192</v>
      </c>
      <c r="I455" s="1" t="s">
        <v>39</v>
      </c>
      <c r="J455" s="1">
        <v>11</v>
      </c>
      <c r="K455" s="1" t="s">
        <v>35</v>
      </c>
      <c r="L455" s="1">
        <v>38</v>
      </c>
      <c r="M455" s="1" t="str">
        <f>IF(L455&lt;=45,"Joven","Mayor")</f>
        <v>Joven</v>
      </c>
      <c r="N455" s="1">
        <v>38</v>
      </c>
      <c r="O455" s="1" t="s">
        <v>36</v>
      </c>
      <c r="P455" s="1">
        <v>0.35899999999999999</v>
      </c>
      <c r="Q455" s="1">
        <v>92.253</v>
      </c>
      <c r="R455" s="1">
        <v>2.1932410999999998</v>
      </c>
      <c r="S455" s="1">
        <v>6.302435</v>
      </c>
      <c r="T455" s="1">
        <v>-7.6502429999999997</v>
      </c>
      <c r="U455" s="1">
        <v>28.850999999999999</v>
      </c>
      <c r="V455" s="1">
        <v>125</v>
      </c>
      <c r="W455" s="1">
        <v>200</v>
      </c>
      <c r="X455" s="1">
        <v>1.6</v>
      </c>
      <c r="Y455" s="1">
        <v>130</v>
      </c>
      <c r="Z455" s="1">
        <v>200</v>
      </c>
      <c r="AA455" s="1">
        <v>1.5384615384615385</v>
      </c>
      <c r="AB455" s="1">
        <v>132.1411814457297</v>
      </c>
      <c r="AC455" s="1">
        <v>199.5510919731787</v>
      </c>
      <c r="AD455" s="1">
        <v>1.5101355216438277</v>
      </c>
      <c r="AE455" t="s">
        <v>4816</v>
      </c>
      <c r="AF455" t="str">
        <f>IF(X455&lt;$AF$1,"Bajo","Alto")</f>
        <v>Bajo</v>
      </c>
      <c r="AG455" t="str">
        <f>LEFT(AE455,1)</f>
        <v>D</v>
      </c>
      <c r="AH455" t="str">
        <f>K455</f>
        <v>M</v>
      </c>
      <c r="AI455" t="str">
        <f>LEFT(AF455,1)</f>
        <v>B</v>
      </c>
      <c r="AJ455" t="str">
        <f>LEFT(M455,1)</f>
        <v>J</v>
      </c>
      <c r="AK455" t="str">
        <f>_xlfn.CONCAT(AG455,AH455,AI455,AJ455)</f>
        <v>DMBJ</v>
      </c>
    </row>
    <row r="456" spans="1:37" ht="15.75" hidden="1" customHeight="1" x14ac:dyDescent="0.2">
      <c r="A456" s="1">
        <v>10717305</v>
      </c>
      <c r="B456" s="1" t="s">
        <v>1067</v>
      </c>
      <c r="C456" s="1" t="s">
        <v>1068</v>
      </c>
      <c r="D456" s="1" t="s">
        <v>1181</v>
      </c>
      <c r="E456" s="1" t="s">
        <v>1182</v>
      </c>
      <c r="F456" s="1" t="s">
        <v>40</v>
      </c>
      <c r="G456" s="1" t="s">
        <v>1186</v>
      </c>
      <c r="H456" s="1">
        <v>913</v>
      </c>
      <c r="I456" s="1" t="s">
        <v>1187</v>
      </c>
      <c r="J456" s="1">
        <v>2017</v>
      </c>
      <c r="K456" s="1" t="s">
        <v>35</v>
      </c>
      <c r="L456" s="1">
        <v>40</v>
      </c>
      <c r="M456" s="1" t="str">
        <f>IF(L456&lt;=45,"Joven","Mayor")</f>
        <v>Joven</v>
      </c>
      <c r="N456" s="1">
        <v>45</v>
      </c>
      <c r="O456" s="1" t="s">
        <v>36</v>
      </c>
      <c r="P456" s="1">
        <v>0.91</v>
      </c>
      <c r="Q456" s="1">
        <v>90.933999999999997</v>
      </c>
      <c r="R456" s="1">
        <v>3.2429625999999998</v>
      </c>
      <c r="S456" s="1">
        <v>6.9587792999999998</v>
      </c>
      <c r="T456" s="1">
        <v>-4.1691940000000001</v>
      </c>
      <c r="U456" s="1">
        <v>68.022000000000006</v>
      </c>
      <c r="V456" s="1">
        <v>74</v>
      </c>
      <c r="W456" s="1">
        <v>146</v>
      </c>
      <c r="X456" s="1">
        <v>1.972972972972973</v>
      </c>
      <c r="Y456" s="1">
        <v>76</v>
      </c>
      <c r="Z456" s="1">
        <v>146</v>
      </c>
      <c r="AA456" s="1">
        <v>1.9210526315789473</v>
      </c>
      <c r="AB456" s="1">
        <v>76.639551206460055</v>
      </c>
      <c r="AC456" s="1">
        <v>145.83174766493451</v>
      </c>
      <c r="AD456" s="1">
        <v>1.9028262218299909</v>
      </c>
      <c r="AE456" t="s">
        <v>4817</v>
      </c>
      <c r="AF456" t="str">
        <f>IF(X456&lt;$AF$1,"Bajo","Alto")</f>
        <v>Alto</v>
      </c>
      <c r="AG456" t="str">
        <f>LEFT(AE456,1)</f>
        <v>C</v>
      </c>
      <c r="AH456" t="str">
        <f>K456</f>
        <v>M</v>
      </c>
      <c r="AI456" t="str">
        <f>LEFT(AF456,1)</f>
        <v>A</v>
      </c>
      <c r="AJ456" t="str">
        <f>LEFT(M456,1)</f>
        <v>J</v>
      </c>
      <c r="AK456" t="str">
        <f>_xlfn.CONCAT(AG456,AH456,AI456,AJ456)</f>
        <v>CMAJ</v>
      </c>
    </row>
    <row r="457" spans="1:37" ht="15.75" hidden="1" customHeight="1" x14ac:dyDescent="0.2">
      <c r="A457" s="1">
        <v>296704</v>
      </c>
      <c r="B457" s="1" t="s">
        <v>3890</v>
      </c>
      <c r="C457" s="1" t="s">
        <v>1695</v>
      </c>
      <c r="D457" s="1" t="s">
        <v>4049</v>
      </c>
      <c r="E457" s="1" t="s">
        <v>715</v>
      </c>
      <c r="F457" s="1" t="s">
        <v>61</v>
      </c>
      <c r="G457" s="1" t="s">
        <v>4051</v>
      </c>
      <c r="H457" s="1">
        <v>77</v>
      </c>
      <c r="I457" s="1" t="s">
        <v>108</v>
      </c>
      <c r="J457" s="1">
        <v>3</v>
      </c>
      <c r="K457" s="1" t="s">
        <v>35</v>
      </c>
      <c r="L457" s="1">
        <v>53</v>
      </c>
      <c r="M457" s="1" t="str">
        <f>IF(L457&lt;=45,"Joven","Mayor")</f>
        <v>Mayor</v>
      </c>
      <c r="N457" s="1">
        <v>53</v>
      </c>
      <c r="O457" s="1" t="s">
        <v>36</v>
      </c>
      <c r="P457" s="1">
        <v>0.36099999999999999</v>
      </c>
      <c r="Q457" s="1">
        <v>91.84</v>
      </c>
      <c r="R457" s="1">
        <v>3.5701703999999999</v>
      </c>
      <c r="S457" s="1">
        <v>4.2432957</v>
      </c>
      <c r="T457" s="1">
        <v>-6.9740710000000004</v>
      </c>
      <c r="U457" s="1">
        <v>13.504</v>
      </c>
      <c r="V457" s="1">
        <v>96</v>
      </c>
      <c r="W457" s="1">
        <v>150</v>
      </c>
      <c r="X457" s="1">
        <v>1.5625</v>
      </c>
      <c r="Y457" s="1">
        <v>102</v>
      </c>
      <c r="Z457" s="1">
        <v>150</v>
      </c>
      <c r="AA457" s="1">
        <v>1.4705882352941178</v>
      </c>
      <c r="AB457" s="1">
        <v>100.7536224456619</v>
      </c>
      <c r="AC457" s="1">
        <v>149.86154149268299</v>
      </c>
      <c r="AD457" s="1">
        <v>1.4874059895316003</v>
      </c>
      <c r="AE457" t="s">
        <v>4817</v>
      </c>
      <c r="AF457" t="str">
        <f>IF(X457&lt;$AF$1,"Bajo","Alto")</f>
        <v>Bajo</v>
      </c>
      <c r="AG457" t="str">
        <f>LEFT(AE457,1)</f>
        <v>C</v>
      </c>
      <c r="AH457" t="str">
        <f>K457</f>
        <v>M</v>
      </c>
      <c r="AI457" t="str">
        <f>LEFT(AF457,1)</f>
        <v>B</v>
      </c>
      <c r="AJ457" t="str">
        <f>LEFT(M457,1)</f>
        <v>M</v>
      </c>
      <c r="AK457" t="str">
        <f>_xlfn.CONCAT(AG457,AH457,AI457,AJ457)</f>
        <v>CMBM</v>
      </c>
    </row>
    <row r="458" spans="1:37" ht="15.75" hidden="1" customHeight="1" x14ac:dyDescent="0.2">
      <c r="A458" s="1">
        <v>10116907</v>
      </c>
      <c r="B458" s="1" t="s">
        <v>29</v>
      </c>
      <c r="C458" s="1" t="s">
        <v>30</v>
      </c>
      <c r="D458" s="1" t="s">
        <v>278</v>
      </c>
      <c r="E458" s="1" t="s">
        <v>279</v>
      </c>
      <c r="F458" s="1" t="s">
        <v>43</v>
      </c>
      <c r="G458" s="1" t="s">
        <v>283</v>
      </c>
      <c r="H458" s="1">
        <v>4009</v>
      </c>
      <c r="I458" s="1" t="s">
        <v>284</v>
      </c>
      <c r="J458" s="1">
        <v>2586</v>
      </c>
      <c r="K458" s="1" t="s">
        <v>35</v>
      </c>
      <c r="L458" s="1">
        <v>44</v>
      </c>
      <c r="M458" s="1" t="str">
        <f>IF(L458&lt;=45,"Joven","Mayor")</f>
        <v>Joven</v>
      </c>
      <c r="N458" s="1">
        <v>55</v>
      </c>
      <c r="O458" s="1" t="s">
        <v>36</v>
      </c>
      <c r="P458" s="1">
        <v>0.36299999999999999</v>
      </c>
      <c r="Q458" s="1">
        <v>91.938999999999993</v>
      </c>
      <c r="R458" s="1">
        <v>-4.5318417999999996</v>
      </c>
      <c r="S458" s="1">
        <v>-0.42860973000000002</v>
      </c>
      <c r="T458" s="1">
        <v>-3.7603178000000002</v>
      </c>
      <c r="U458" s="1">
        <v>20.349</v>
      </c>
      <c r="V458" s="1">
        <v>113</v>
      </c>
      <c r="W458" s="1">
        <v>181</v>
      </c>
      <c r="X458" s="1">
        <v>1.6017699115044248</v>
      </c>
      <c r="Y458" s="1">
        <v>118</v>
      </c>
      <c r="Z458" s="1">
        <v>181</v>
      </c>
      <c r="AA458" s="1">
        <v>1.5338983050847457</v>
      </c>
      <c r="AB458" s="1">
        <v>116.36378083010619</v>
      </c>
      <c r="AC458" s="1">
        <v>181.13499297914359</v>
      </c>
      <c r="AD458" s="1">
        <v>1.5566269133486206</v>
      </c>
      <c r="AE458" t="s">
        <v>4817</v>
      </c>
      <c r="AF458" t="str">
        <f>IF(X458&lt;$AF$1,"Bajo","Alto")</f>
        <v>Bajo</v>
      </c>
      <c r="AG458" t="str">
        <f>LEFT(AE458,1)</f>
        <v>C</v>
      </c>
      <c r="AH458" t="str">
        <f>K458</f>
        <v>M</v>
      </c>
      <c r="AI458" t="str">
        <f>LEFT(AF458,1)</f>
        <v>B</v>
      </c>
      <c r="AJ458" t="str">
        <f>LEFT(M458,1)</f>
        <v>J</v>
      </c>
      <c r="AK458" t="str">
        <f>_xlfn.CONCAT(AG458,AH458,AI458,AJ458)</f>
        <v>CMBJ</v>
      </c>
    </row>
    <row r="459" spans="1:37" ht="15.75" hidden="1" customHeight="1" x14ac:dyDescent="0.2">
      <c r="A459" s="1">
        <v>10512703</v>
      </c>
      <c r="B459" s="1" t="s">
        <v>694</v>
      </c>
      <c r="C459" s="1" t="s">
        <v>879</v>
      </c>
      <c r="D459" s="1" t="s">
        <v>932</v>
      </c>
      <c r="E459" s="1" t="s">
        <v>153</v>
      </c>
      <c r="F459" s="1" t="s">
        <v>63</v>
      </c>
      <c r="G459" s="1" t="s">
        <v>934</v>
      </c>
      <c r="H459" s="1">
        <v>3354</v>
      </c>
      <c r="I459" s="1" t="s">
        <v>108</v>
      </c>
      <c r="J459" s="1">
        <v>3</v>
      </c>
      <c r="K459" s="1" t="s">
        <v>35</v>
      </c>
      <c r="L459" s="1">
        <v>48</v>
      </c>
      <c r="M459" s="1" t="str">
        <f>IF(L459&lt;=45,"Joven","Mayor")</f>
        <v>Mayor</v>
      </c>
      <c r="N459" s="1">
        <v>39</v>
      </c>
      <c r="O459" s="1" t="s">
        <v>36</v>
      </c>
      <c r="P459" s="1">
        <v>1.3779999999999999</v>
      </c>
      <c r="Q459" s="1">
        <v>91.403000000000006</v>
      </c>
      <c r="R459" s="1">
        <v>2.1453068000000002</v>
      </c>
      <c r="S459" s="1">
        <v>7.6878169999999999</v>
      </c>
      <c r="T459" s="1">
        <v>-2.6223998000000002</v>
      </c>
      <c r="U459" s="1">
        <v>50.085000000000001</v>
      </c>
      <c r="V459" s="1">
        <v>103</v>
      </c>
      <c r="W459" s="1">
        <v>161</v>
      </c>
      <c r="X459" s="1">
        <v>1.5631067961165048</v>
      </c>
      <c r="Y459" s="1">
        <v>104</v>
      </c>
      <c r="Z459" s="1">
        <v>161</v>
      </c>
      <c r="AA459" s="1">
        <v>1.5480769230769231</v>
      </c>
      <c r="AB459" s="1">
        <v>105.5839676137375</v>
      </c>
      <c r="AC459" s="1">
        <v>160.60262650075629</v>
      </c>
      <c r="AD459" s="1">
        <v>1.5210891400510349</v>
      </c>
      <c r="AE459" t="s">
        <v>4817</v>
      </c>
      <c r="AF459" t="str">
        <f>IF(X459&lt;$AF$1,"Bajo","Alto")</f>
        <v>Bajo</v>
      </c>
      <c r="AG459" t="str">
        <f>LEFT(AE459,1)</f>
        <v>C</v>
      </c>
      <c r="AH459" t="str">
        <f>K459</f>
        <v>M</v>
      </c>
      <c r="AI459" t="str">
        <f>LEFT(AF459,1)</f>
        <v>B</v>
      </c>
      <c r="AJ459" t="str">
        <f>LEFT(M459,1)</f>
        <v>M</v>
      </c>
      <c r="AK459" t="str">
        <f>_xlfn.CONCAT(AG459,AH459,AI459,AJ459)</f>
        <v>CMBM</v>
      </c>
    </row>
    <row r="460" spans="1:37" ht="15.75" hidden="1" customHeight="1" x14ac:dyDescent="0.2">
      <c r="A460" s="1">
        <v>153103</v>
      </c>
      <c r="B460" s="1" t="s">
        <v>2077</v>
      </c>
      <c r="C460" s="1" t="s">
        <v>57</v>
      </c>
      <c r="D460" s="1" t="s">
        <v>2392</v>
      </c>
      <c r="E460" s="1" t="s">
        <v>628</v>
      </c>
      <c r="F460" s="1" t="s">
        <v>63</v>
      </c>
      <c r="G460" s="1" t="s">
        <v>2395</v>
      </c>
      <c r="H460" s="1">
        <v>9387</v>
      </c>
      <c r="I460" s="1" t="s">
        <v>2396</v>
      </c>
      <c r="J460" s="1">
        <v>3765</v>
      </c>
      <c r="K460" s="1" t="s">
        <v>49</v>
      </c>
      <c r="L460" s="1">
        <v>53</v>
      </c>
      <c r="M460" s="1" t="str">
        <f>IF(L460&lt;=45,"Joven","Mayor")</f>
        <v>Mayor</v>
      </c>
      <c r="N460" s="1">
        <v>42</v>
      </c>
      <c r="O460" s="1" t="s">
        <v>50</v>
      </c>
      <c r="P460" s="1">
        <v>0.33500000000000002</v>
      </c>
      <c r="Q460" s="1">
        <v>82.007999999999996</v>
      </c>
      <c r="R460" s="1">
        <v>-9.5683120000000006</v>
      </c>
      <c r="S460" s="1">
        <v>3.7022903</v>
      </c>
      <c r="T460" s="1">
        <v>0.49147849999999998</v>
      </c>
      <c r="U460" s="1">
        <v>92.638000000000005</v>
      </c>
      <c r="V460" s="1">
        <v>90</v>
      </c>
      <c r="W460" s="1">
        <v>142</v>
      </c>
      <c r="X460" s="1">
        <v>1.5777777777777777</v>
      </c>
      <c r="Y460" s="1">
        <v>90</v>
      </c>
      <c r="Z460" s="1">
        <v>142</v>
      </c>
      <c r="AA460" s="1">
        <v>1.5777777777777777</v>
      </c>
      <c r="AB460" s="1">
        <v>90.314067964639435</v>
      </c>
      <c r="AC460" s="1">
        <v>141.9604645525842</v>
      </c>
      <c r="AD460" s="1">
        <v>1.5718532865573702</v>
      </c>
      <c r="AE460" t="s">
        <v>4817</v>
      </c>
      <c r="AF460" t="str">
        <f>IF(X460&lt;$AF$1,"Bajo","Alto")</f>
        <v>Bajo</v>
      </c>
      <c r="AG460" t="str">
        <f>LEFT(AE460,1)</f>
        <v>C</v>
      </c>
      <c r="AH460" t="str">
        <f>K460</f>
        <v>F</v>
      </c>
      <c r="AI460" t="str">
        <f>LEFT(AF460,1)</f>
        <v>B</v>
      </c>
      <c r="AJ460" t="str">
        <f>LEFT(M460,1)</f>
        <v>M</v>
      </c>
      <c r="AK460" t="str">
        <f>_xlfn.CONCAT(AG460,AH460,AI460,AJ460)</f>
        <v>CFBM</v>
      </c>
    </row>
    <row r="461" spans="1:37" ht="15.75" hidden="1" customHeight="1" x14ac:dyDescent="0.2">
      <c r="A461" s="1">
        <v>2820003</v>
      </c>
      <c r="B461" s="1" t="s">
        <v>1775</v>
      </c>
      <c r="C461" s="1" t="s">
        <v>561</v>
      </c>
      <c r="D461" s="1" t="s">
        <v>3800</v>
      </c>
      <c r="E461" s="1" t="s">
        <v>1814</v>
      </c>
      <c r="F461" s="1" t="s">
        <v>63</v>
      </c>
      <c r="G461" s="1" t="s">
        <v>3803</v>
      </c>
      <c r="H461" s="1">
        <v>9408</v>
      </c>
      <c r="I461" s="1" t="s">
        <v>39</v>
      </c>
      <c r="J461" s="1">
        <v>11</v>
      </c>
      <c r="K461" s="1" t="s">
        <v>35</v>
      </c>
      <c r="L461" s="1">
        <v>41</v>
      </c>
      <c r="M461" s="1" t="str">
        <f>IF(L461&lt;=45,"Joven","Mayor")</f>
        <v>Joven</v>
      </c>
      <c r="N461" s="1">
        <v>48</v>
      </c>
      <c r="O461" s="1" t="s">
        <v>36</v>
      </c>
      <c r="P461" s="1">
        <v>0.29899999999999999</v>
      </c>
      <c r="Q461" s="1">
        <v>73.625</v>
      </c>
      <c r="R461" s="1">
        <v>11.939368</v>
      </c>
      <c r="S461" s="1">
        <v>3.5223545999999999</v>
      </c>
      <c r="T461" s="1">
        <v>-11.619054</v>
      </c>
      <c r="U461" s="1">
        <v>65.275000000000006</v>
      </c>
      <c r="V461" s="1">
        <v>147</v>
      </c>
      <c r="W461" s="1">
        <v>288</v>
      </c>
      <c r="X461" s="1">
        <v>1.9591836734693877</v>
      </c>
      <c r="Y461" s="1">
        <v>168</v>
      </c>
      <c r="Z461" s="1">
        <v>288</v>
      </c>
      <c r="AA461" s="1">
        <v>1.7142857142857142</v>
      </c>
      <c r="AB461" s="1">
        <v>162.5168618045636</v>
      </c>
      <c r="AC461" s="1">
        <v>286.73068234817038</v>
      </c>
      <c r="AD461" s="1">
        <v>1.7643134328607788</v>
      </c>
      <c r="AE461" t="s">
        <v>4816</v>
      </c>
      <c r="AF461" t="str">
        <f>IF(X461&lt;$AF$1,"Bajo","Alto")</f>
        <v>Alto</v>
      </c>
      <c r="AG461" t="str">
        <f>LEFT(AE461,1)</f>
        <v>D</v>
      </c>
      <c r="AH461" t="str">
        <f>K461</f>
        <v>M</v>
      </c>
      <c r="AI461" t="str">
        <f>LEFT(AF461,1)</f>
        <v>A</v>
      </c>
      <c r="AJ461" t="str">
        <f>LEFT(M461,1)</f>
        <v>J</v>
      </c>
      <c r="AK461" t="str">
        <f>_xlfn.CONCAT(AG461,AH461,AI461,AJ461)</f>
        <v>DMAJ</v>
      </c>
    </row>
    <row r="462" spans="1:37" ht="15.75" hidden="1" customHeight="1" x14ac:dyDescent="0.2">
      <c r="A462" s="1">
        <v>196102</v>
      </c>
      <c r="B462" s="1" t="s">
        <v>2656</v>
      </c>
      <c r="C462" s="1" t="s">
        <v>323</v>
      </c>
      <c r="D462" s="1" t="s">
        <v>2760</v>
      </c>
      <c r="E462" s="1" t="s">
        <v>701</v>
      </c>
      <c r="F462" s="1" t="s">
        <v>37</v>
      </c>
      <c r="G462" s="1" t="s">
        <v>2762</v>
      </c>
      <c r="H462" s="1">
        <v>16640</v>
      </c>
      <c r="I462" s="1" t="s">
        <v>85</v>
      </c>
      <c r="J462" s="1">
        <v>12</v>
      </c>
      <c r="K462" s="1" t="s">
        <v>35</v>
      </c>
      <c r="L462" s="1">
        <v>43</v>
      </c>
      <c r="M462" s="1" t="str">
        <f>IF(L462&lt;=45,"Joven","Mayor")</f>
        <v>Joven</v>
      </c>
      <c r="N462" s="1">
        <v>38</v>
      </c>
      <c r="O462" s="1" t="s">
        <v>36</v>
      </c>
      <c r="P462" s="1">
        <v>0.36799999999999999</v>
      </c>
      <c r="Q462" s="1">
        <v>89.703999999999994</v>
      </c>
      <c r="R462" s="1">
        <v>-6.0478277</v>
      </c>
      <c r="S462" s="1">
        <v>2.2772055</v>
      </c>
      <c r="T462" s="1">
        <v>7.4289092999999999</v>
      </c>
      <c r="U462" s="1">
        <v>18.704000000000001</v>
      </c>
      <c r="V462" s="1">
        <v>82</v>
      </c>
      <c r="W462" s="1">
        <v>160</v>
      </c>
      <c r="X462" s="1">
        <v>1.9512195121951219</v>
      </c>
      <c r="Y462" s="1">
        <v>90</v>
      </c>
      <c r="Z462" s="1">
        <v>160</v>
      </c>
      <c r="AA462" s="1">
        <v>1.7777777777777777</v>
      </c>
      <c r="AB462" s="1">
        <v>87.388605349849286</v>
      </c>
      <c r="AC462" s="1">
        <v>159.82063157873239</v>
      </c>
      <c r="AD462" s="1">
        <v>1.8288497789718763</v>
      </c>
      <c r="AE462" t="s">
        <v>4815</v>
      </c>
      <c r="AF462" t="str">
        <f>IF(X462&lt;$AF$1,"Bajo","Alto")</f>
        <v>Alto</v>
      </c>
      <c r="AG462" t="str">
        <f>LEFT(AE462,1)</f>
        <v>I</v>
      </c>
      <c r="AH462" t="str">
        <f>K462</f>
        <v>M</v>
      </c>
      <c r="AI462" t="str">
        <f>LEFT(AF462,1)</f>
        <v>A</v>
      </c>
      <c r="AJ462" t="str">
        <f>LEFT(M462,1)</f>
        <v>J</v>
      </c>
      <c r="AK462" t="str">
        <f>_xlfn.CONCAT(AG462,AH462,AI462,AJ462)</f>
        <v>IMAJ</v>
      </c>
    </row>
    <row r="463" spans="1:37" ht="15.75" hidden="1" customHeight="1" x14ac:dyDescent="0.2">
      <c r="A463" s="1">
        <v>1519904</v>
      </c>
      <c r="B463" s="1" t="s">
        <v>2077</v>
      </c>
      <c r="C463" s="1" t="s">
        <v>57</v>
      </c>
      <c r="D463" s="1" t="s">
        <v>2229</v>
      </c>
      <c r="E463" s="1" t="s">
        <v>355</v>
      </c>
      <c r="F463" s="1" t="s">
        <v>61</v>
      </c>
      <c r="G463" s="1" t="s">
        <v>2231</v>
      </c>
      <c r="H463" s="1">
        <v>1593</v>
      </c>
      <c r="I463" s="1" t="s">
        <v>2232</v>
      </c>
      <c r="J463" s="1">
        <v>3220</v>
      </c>
      <c r="K463" s="1" t="s">
        <v>49</v>
      </c>
      <c r="L463" s="1">
        <v>30</v>
      </c>
      <c r="M463" s="1" t="str">
        <f>IF(L463&lt;=45,"Joven","Mayor")</f>
        <v>Joven</v>
      </c>
      <c r="N463" s="1">
        <v>36</v>
      </c>
      <c r="O463" s="1" t="s">
        <v>50</v>
      </c>
      <c r="P463" s="1">
        <v>8.5999999999999993E-2</v>
      </c>
      <c r="Q463" s="1">
        <v>91.85</v>
      </c>
      <c r="R463" s="1">
        <v>-1.8222115000000001</v>
      </c>
      <c r="S463" s="1">
        <v>8.1400509999999997</v>
      </c>
      <c r="T463" s="1">
        <v>4.5479636000000001</v>
      </c>
      <c r="U463" s="1">
        <v>8.7050000000000001</v>
      </c>
      <c r="V463" s="1">
        <v>84</v>
      </c>
      <c r="W463" s="1">
        <v>136</v>
      </c>
      <c r="X463" s="1">
        <v>1.6190476190476191</v>
      </c>
      <c r="Y463" s="1">
        <v>89</v>
      </c>
      <c r="Z463" s="1">
        <v>136</v>
      </c>
      <c r="AA463" s="1">
        <v>1.5280898876404494</v>
      </c>
      <c r="AB463" s="1">
        <v>86.98654760412137</v>
      </c>
      <c r="AC463" s="1">
        <v>136.12683268967021</v>
      </c>
      <c r="AD463" s="1">
        <v>1.5649182136666453</v>
      </c>
      <c r="AE463" t="s">
        <v>4817</v>
      </c>
      <c r="AF463" t="str">
        <f>IF(X463&lt;$AF$1,"Bajo","Alto")</f>
        <v>Bajo</v>
      </c>
      <c r="AG463" t="str">
        <f>LEFT(AE463,1)</f>
        <v>C</v>
      </c>
      <c r="AH463" t="str">
        <f>K463</f>
        <v>F</v>
      </c>
      <c r="AI463" t="str">
        <f>LEFT(AF463,1)</f>
        <v>B</v>
      </c>
      <c r="AJ463" t="str">
        <f>LEFT(M463,1)</f>
        <v>J</v>
      </c>
      <c r="AK463" t="str">
        <f>_xlfn.CONCAT(AG463,AH463,AI463,AJ463)</f>
        <v>CFBJ</v>
      </c>
    </row>
    <row r="464" spans="1:37" ht="15.75" hidden="1" customHeight="1" x14ac:dyDescent="0.2">
      <c r="A464" s="1">
        <v>117004</v>
      </c>
      <c r="B464" s="1" t="s">
        <v>1648</v>
      </c>
      <c r="C464" s="1" t="s">
        <v>51</v>
      </c>
      <c r="D464" s="1" t="s">
        <v>1755</v>
      </c>
      <c r="E464" s="1" t="s">
        <v>720</v>
      </c>
      <c r="F464" s="1" t="s">
        <v>61</v>
      </c>
      <c r="G464" s="1" t="s">
        <v>1759</v>
      </c>
      <c r="H464" s="1">
        <v>59</v>
      </c>
      <c r="I464" s="1" t="s">
        <v>91</v>
      </c>
      <c r="J464" s="1">
        <v>6</v>
      </c>
      <c r="K464" s="1" t="s">
        <v>35</v>
      </c>
      <c r="L464" s="1">
        <v>63</v>
      </c>
      <c r="M464" s="1" t="str">
        <f>IF(L464&lt;=45,"Joven","Mayor")</f>
        <v>Mayor</v>
      </c>
      <c r="N464" s="1">
        <v>63</v>
      </c>
      <c r="O464" s="1" t="s">
        <v>36</v>
      </c>
      <c r="P464" s="1">
        <v>0.35499999999999998</v>
      </c>
      <c r="Q464" s="1">
        <v>86.725999999999999</v>
      </c>
      <c r="R464" s="1">
        <v>4.7863769999999999</v>
      </c>
      <c r="S464" s="1">
        <v>11.041314</v>
      </c>
      <c r="T464" s="1">
        <v>-3.6863093</v>
      </c>
      <c r="U464" s="1">
        <v>0.20899999999999999</v>
      </c>
      <c r="V464" s="1">
        <v>108</v>
      </c>
      <c r="W464" s="1">
        <v>169</v>
      </c>
      <c r="X464" s="1">
        <v>1.5648148148148149</v>
      </c>
      <c r="Y464" s="1">
        <v>109</v>
      </c>
      <c r="Z464" s="1">
        <v>169</v>
      </c>
      <c r="AA464" s="1">
        <v>1.5504587155963303</v>
      </c>
      <c r="AB464" s="1">
        <v>111.79629131426741</v>
      </c>
      <c r="AC464" s="1">
        <v>168.58604677181759</v>
      </c>
      <c r="AD464" s="1">
        <v>1.5079753074984401</v>
      </c>
      <c r="AE464" t="s">
        <v>4817</v>
      </c>
      <c r="AF464" t="str">
        <f>IF(X464&lt;$AF$1,"Bajo","Alto")</f>
        <v>Bajo</v>
      </c>
      <c r="AG464" t="str">
        <f>LEFT(AE464,1)</f>
        <v>C</v>
      </c>
      <c r="AH464" t="str">
        <f>K464</f>
        <v>M</v>
      </c>
      <c r="AI464" t="str">
        <f>LEFT(AF464,1)</f>
        <v>B</v>
      </c>
      <c r="AJ464" t="str">
        <f>LEFT(M464,1)</f>
        <v>M</v>
      </c>
      <c r="AK464" t="str">
        <f>_xlfn.CONCAT(AG464,AH464,AI464,AJ464)</f>
        <v>CMBM</v>
      </c>
    </row>
    <row r="465" spans="1:37" ht="15.75" hidden="1" customHeight="1" x14ac:dyDescent="0.2">
      <c r="A465" s="1">
        <v>1510906</v>
      </c>
      <c r="B465" s="1" t="s">
        <v>2077</v>
      </c>
      <c r="C465" s="1" t="s">
        <v>57</v>
      </c>
      <c r="D465" s="1" t="s">
        <v>2110</v>
      </c>
      <c r="E465" s="1" t="s">
        <v>98</v>
      </c>
      <c r="F465" s="1" t="s">
        <v>88</v>
      </c>
      <c r="G465" s="1" t="s">
        <v>2117</v>
      </c>
      <c r="H465" s="1">
        <v>10292</v>
      </c>
      <c r="I465" s="1" t="s">
        <v>2118</v>
      </c>
      <c r="J465" s="1">
        <v>2547</v>
      </c>
      <c r="K465" s="1" t="s">
        <v>35</v>
      </c>
      <c r="L465" s="1">
        <v>34</v>
      </c>
      <c r="M465" s="1" t="str">
        <f>IF(L465&lt;=45,"Joven","Mayor")</f>
        <v>Joven</v>
      </c>
      <c r="N465" s="1">
        <v>36</v>
      </c>
      <c r="O465" s="1" t="s">
        <v>36</v>
      </c>
      <c r="P465" s="1">
        <v>0.16600000000000001</v>
      </c>
      <c r="Q465" s="1">
        <v>92.382000000000005</v>
      </c>
      <c r="R465" s="1">
        <v>1.5552187</v>
      </c>
      <c r="S465" s="1">
        <v>7.2849659999999998</v>
      </c>
      <c r="T465" s="1">
        <v>1.5173924000000001</v>
      </c>
      <c r="U465" s="1">
        <v>19.367000000000001</v>
      </c>
      <c r="V465" s="1">
        <v>113</v>
      </c>
      <c r="W465" s="1">
        <v>181</v>
      </c>
      <c r="X465" s="1">
        <v>1.6017699115044248</v>
      </c>
      <c r="Y465" s="1">
        <v>114</v>
      </c>
      <c r="Z465" s="1">
        <v>181</v>
      </c>
      <c r="AA465" s="1">
        <v>1.5877192982456141</v>
      </c>
      <c r="AB465" s="1">
        <v>114.46975727476929</v>
      </c>
      <c r="AC465" s="1">
        <v>181.01597042716051</v>
      </c>
      <c r="AD465" s="1">
        <v>1.5813431838826737</v>
      </c>
      <c r="AE465" t="s">
        <v>4817</v>
      </c>
      <c r="AF465" t="str">
        <f>IF(X465&lt;$AF$1,"Bajo","Alto")</f>
        <v>Bajo</v>
      </c>
      <c r="AG465" t="str">
        <f>LEFT(AE465,1)</f>
        <v>C</v>
      </c>
      <c r="AH465" t="str">
        <f>K465</f>
        <v>M</v>
      </c>
      <c r="AI465" t="str">
        <f>LEFT(AF465,1)</f>
        <v>B</v>
      </c>
      <c r="AJ465" t="str">
        <f>LEFT(M465,1)</f>
        <v>J</v>
      </c>
      <c r="AK465" t="str">
        <f>_xlfn.CONCAT(AG465,AH465,AI465,AJ465)</f>
        <v>CMBJ</v>
      </c>
    </row>
    <row r="466" spans="1:37" ht="15.75" hidden="1" customHeight="1" x14ac:dyDescent="0.2">
      <c r="A466" s="1">
        <v>1014602</v>
      </c>
      <c r="B466" s="1" t="s">
        <v>29</v>
      </c>
      <c r="C466" s="1" t="s">
        <v>30</v>
      </c>
      <c r="D466" s="1" t="s">
        <v>668</v>
      </c>
      <c r="E466" s="1" t="s">
        <v>669</v>
      </c>
      <c r="F466" s="1" t="s">
        <v>37</v>
      </c>
      <c r="G466" s="1" t="s">
        <v>670</v>
      </c>
      <c r="H466" s="1">
        <v>161</v>
      </c>
      <c r="I466" s="1" t="s">
        <v>85</v>
      </c>
      <c r="J466" s="1">
        <v>12</v>
      </c>
      <c r="K466" s="1" t="s">
        <v>35</v>
      </c>
      <c r="L466" s="1">
        <v>33</v>
      </c>
      <c r="M466" s="1" t="str">
        <f>IF(L466&lt;=45,"Joven","Mayor")</f>
        <v>Joven</v>
      </c>
      <c r="N466" s="1">
        <v>29</v>
      </c>
      <c r="O466" s="1" t="s">
        <v>36</v>
      </c>
      <c r="P466" s="1">
        <v>0.36199999999999999</v>
      </c>
      <c r="Q466" s="1">
        <v>85.677999999999997</v>
      </c>
      <c r="R466" s="1">
        <v>8.5115610000000004</v>
      </c>
      <c r="S466" s="1">
        <v>-1.4302074</v>
      </c>
      <c r="T466" s="1">
        <v>-3.0083183999999998</v>
      </c>
      <c r="U466" s="1">
        <v>85.39</v>
      </c>
      <c r="V466" s="1">
        <v>77</v>
      </c>
      <c r="W466" s="1">
        <v>122</v>
      </c>
      <c r="X466" s="1">
        <v>1.5844155844155845</v>
      </c>
      <c r="Y466" s="1">
        <v>78</v>
      </c>
      <c r="Z466" s="1">
        <v>122</v>
      </c>
      <c r="AA466" s="1">
        <v>1.5641025641025641</v>
      </c>
      <c r="AB466" s="1">
        <v>78.678240261874407</v>
      </c>
      <c r="AC466" s="1">
        <v>121.7793940213505</v>
      </c>
      <c r="AD466" s="1">
        <v>1.5478154266798196</v>
      </c>
      <c r="AE466" t="s">
        <v>4815</v>
      </c>
      <c r="AF466" t="str">
        <f>IF(X466&lt;$AF$1,"Bajo","Alto")</f>
        <v>Bajo</v>
      </c>
      <c r="AG466" t="str">
        <f>LEFT(AE466,1)</f>
        <v>I</v>
      </c>
      <c r="AH466" t="str">
        <f>K466</f>
        <v>M</v>
      </c>
      <c r="AI466" t="str">
        <f>LEFT(AF466,1)</f>
        <v>B</v>
      </c>
      <c r="AJ466" t="str">
        <f>LEFT(M466,1)</f>
        <v>J</v>
      </c>
      <c r="AK466" t="str">
        <f>_xlfn.CONCAT(AG466,AH466,AI466,AJ466)</f>
        <v>IMBJ</v>
      </c>
    </row>
    <row r="467" spans="1:37" ht="15.75" customHeight="1" x14ac:dyDescent="0.2">
      <c r="A467" s="1">
        <v>10510602</v>
      </c>
      <c r="B467" s="1" t="s">
        <v>694</v>
      </c>
      <c r="C467" s="1" t="s">
        <v>879</v>
      </c>
      <c r="D467" s="1" t="s">
        <v>910</v>
      </c>
      <c r="E467" s="1" t="s">
        <v>95</v>
      </c>
      <c r="F467" s="1" t="s">
        <v>37</v>
      </c>
      <c r="G467" s="1" t="s">
        <v>911</v>
      </c>
      <c r="H467" s="1">
        <v>3783</v>
      </c>
      <c r="I467" s="1" t="s">
        <v>65</v>
      </c>
      <c r="J467" s="1">
        <v>2</v>
      </c>
      <c r="K467" s="1" t="s">
        <v>35</v>
      </c>
      <c r="L467" s="1">
        <v>46</v>
      </c>
      <c r="M467" s="1" t="str">
        <f>IF(L467&lt;=45,"Joven","Mayor")</f>
        <v>Mayor</v>
      </c>
      <c r="N467" s="1">
        <v>48</v>
      </c>
      <c r="O467" s="1" t="s">
        <v>36</v>
      </c>
      <c r="P467" s="1">
        <v>0.214</v>
      </c>
      <c r="Q467" s="1">
        <v>93.283000000000001</v>
      </c>
      <c r="R467" s="1">
        <v>2.9125880999999998</v>
      </c>
      <c r="S467" s="1">
        <v>-0.66998433999999996</v>
      </c>
      <c r="T467" s="1">
        <v>-2.4115465</v>
      </c>
      <c r="U467" s="1">
        <v>2.6360000000000001</v>
      </c>
      <c r="V467" s="1">
        <v>99</v>
      </c>
      <c r="W467" s="1">
        <v>188</v>
      </c>
      <c r="X467" s="1">
        <v>1.898989898989899</v>
      </c>
      <c r="Y467" s="1">
        <v>100</v>
      </c>
      <c r="Z467" s="1">
        <v>188</v>
      </c>
      <c r="AA467" s="1">
        <v>1.88</v>
      </c>
      <c r="AB467" s="1">
        <v>101.7628251084225</v>
      </c>
      <c r="AC467" s="1">
        <v>187.53896271463049</v>
      </c>
      <c r="AD467" s="1">
        <v>1.8429024795136966</v>
      </c>
      <c r="AE467" t="s">
        <v>4818</v>
      </c>
      <c r="AF467" t="str">
        <f>IF(X467&lt;$AF$1,"Bajo","Alto")</f>
        <v>Alto</v>
      </c>
      <c r="AG467" t="str">
        <f>LEFT(AE467,1)</f>
        <v>S</v>
      </c>
      <c r="AH467" t="str">
        <f>K467</f>
        <v>M</v>
      </c>
      <c r="AI467" t="str">
        <f>LEFT(AF467,1)</f>
        <v>A</v>
      </c>
      <c r="AJ467" t="str">
        <f>LEFT(M467,1)</f>
        <v>M</v>
      </c>
      <c r="AK467" t="str">
        <f>_xlfn.CONCAT(AG467,AH467,AI467,AJ467)</f>
        <v>SMAM</v>
      </c>
    </row>
    <row r="468" spans="1:37" ht="15.75" hidden="1" customHeight="1" x14ac:dyDescent="0.2">
      <c r="A468" s="1">
        <v>239602</v>
      </c>
      <c r="B468" s="1" t="s">
        <v>319</v>
      </c>
      <c r="C468" s="1" t="s">
        <v>1989</v>
      </c>
      <c r="D468" s="1" t="s">
        <v>319</v>
      </c>
      <c r="E468" s="1" t="s">
        <v>3109</v>
      </c>
      <c r="F468" s="1" t="s">
        <v>37</v>
      </c>
      <c r="G468" s="1" t="s">
        <v>3111</v>
      </c>
      <c r="H468" s="1">
        <v>1180</v>
      </c>
      <c r="I468" s="1" t="s">
        <v>108</v>
      </c>
      <c r="J468" s="1">
        <v>3</v>
      </c>
      <c r="K468" s="1" t="s">
        <v>35</v>
      </c>
      <c r="L468" s="1">
        <v>41</v>
      </c>
      <c r="M468" s="1" t="str">
        <f>IF(L468&lt;=45,"Joven","Mayor")</f>
        <v>Joven</v>
      </c>
      <c r="N468" s="1">
        <v>34</v>
      </c>
      <c r="O468" s="1" t="s">
        <v>36</v>
      </c>
      <c r="P468" s="1">
        <v>0.41599999999999998</v>
      </c>
      <c r="Q468" s="1">
        <v>93.647000000000006</v>
      </c>
      <c r="R468" s="1">
        <v>-0.82450279999999998</v>
      </c>
      <c r="S468" s="1">
        <v>4.5811859999999998</v>
      </c>
      <c r="T468" s="1">
        <v>-2.0986419999999999</v>
      </c>
      <c r="U468" s="1">
        <v>38.061999999999998</v>
      </c>
      <c r="V468" s="1">
        <v>108</v>
      </c>
      <c r="W468" s="1">
        <v>173</v>
      </c>
      <c r="X468" s="1">
        <v>1.6018518518518519</v>
      </c>
      <c r="Y468" s="1">
        <v>109</v>
      </c>
      <c r="Z468" s="1">
        <v>173</v>
      </c>
      <c r="AA468" s="1">
        <v>1.5871559633027523</v>
      </c>
      <c r="AB468" s="1">
        <v>109.68532140330601</v>
      </c>
      <c r="AC468" s="1">
        <v>172.95720237406479</v>
      </c>
      <c r="AD468" s="1">
        <v>1.5768491185626567</v>
      </c>
      <c r="AE468" t="s">
        <v>4817</v>
      </c>
      <c r="AF468" t="str">
        <f>IF(X468&lt;$AF$1,"Bajo","Alto")</f>
        <v>Bajo</v>
      </c>
      <c r="AG468" t="str">
        <f>LEFT(AE468,1)</f>
        <v>C</v>
      </c>
      <c r="AH468" t="str">
        <f>K468</f>
        <v>M</v>
      </c>
      <c r="AI468" t="str">
        <f>LEFT(AF468,1)</f>
        <v>B</v>
      </c>
      <c r="AJ468" t="str">
        <f>LEFT(M468,1)</f>
        <v>J</v>
      </c>
      <c r="AK468" t="str">
        <f>_xlfn.CONCAT(AG468,AH468,AI468,AJ468)</f>
        <v>CMBJ</v>
      </c>
    </row>
    <row r="469" spans="1:37" ht="15.75" hidden="1" customHeight="1" x14ac:dyDescent="0.2">
      <c r="A469" s="1">
        <v>4654008</v>
      </c>
      <c r="B469" s="1" t="s">
        <v>4382</v>
      </c>
      <c r="C469" s="1" t="s">
        <v>669</v>
      </c>
      <c r="D469" s="1" t="s">
        <v>4407</v>
      </c>
      <c r="E469" s="1" t="s">
        <v>4408</v>
      </c>
      <c r="F469" s="1" t="s">
        <v>46</v>
      </c>
      <c r="G469" s="1" t="s">
        <v>4412</v>
      </c>
      <c r="H469" s="1">
        <v>89</v>
      </c>
      <c r="I469" s="1" t="s">
        <v>48</v>
      </c>
      <c r="J469" s="1">
        <v>4</v>
      </c>
      <c r="K469" s="1" t="s">
        <v>35</v>
      </c>
      <c r="L469" s="1">
        <v>49</v>
      </c>
      <c r="M469" s="1" t="str">
        <f>IF(L469&lt;=45,"Joven","Mayor")</f>
        <v>Mayor</v>
      </c>
      <c r="N469" s="1">
        <v>42</v>
      </c>
      <c r="O469" s="1" t="s">
        <v>36</v>
      </c>
      <c r="P469" s="1">
        <v>0.38700000000000001</v>
      </c>
      <c r="Q469" s="1">
        <v>90.677000000000007</v>
      </c>
      <c r="R469" s="1">
        <v>4.7510504999999998</v>
      </c>
      <c r="S469" s="1">
        <v>4.1614050000000002</v>
      </c>
      <c r="T469" s="1">
        <v>-1.3586065000000001</v>
      </c>
      <c r="U469" s="1">
        <v>74.77</v>
      </c>
      <c r="V469" s="1">
        <v>83</v>
      </c>
      <c r="W469" s="1">
        <v>130</v>
      </c>
      <c r="X469" s="1">
        <v>1.5662650602409638</v>
      </c>
      <c r="Y469" s="1">
        <v>84</v>
      </c>
      <c r="Z469" s="1">
        <v>130</v>
      </c>
      <c r="AA469" s="1">
        <v>1.5476190476190477</v>
      </c>
      <c r="AB469" s="1">
        <v>83.853934620300151</v>
      </c>
      <c r="AC469" s="1">
        <v>130.08200407129931</v>
      </c>
      <c r="AD469" s="1">
        <v>1.5512927885891694</v>
      </c>
      <c r="AE469" t="s">
        <v>4817</v>
      </c>
      <c r="AF469" t="str">
        <f>IF(X469&lt;$AF$1,"Bajo","Alto")</f>
        <v>Bajo</v>
      </c>
      <c r="AG469" t="str">
        <f>LEFT(AE469,1)</f>
        <v>C</v>
      </c>
      <c r="AH469" t="str">
        <f>K469</f>
        <v>M</v>
      </c>
      <c r="AI469" t="str">
        <f>LEFT(AF469,1)</f>
        <v>B</v>
      </c>
      <c r="AJ469" t="str">
        <f>LEFT(M469,1)</f>
        <v>M</v>
      </c>
      <c r="AK469" t="str">
        <f>_xlfn.CONCAT(AG469,AH469,AI469,AJ469)</f>
        <v>CMBM</v>
      </c>
    </row>
    <row r="470" spans="1:37" ht="15.75" hidden="1" customHeight="1" x14ac:dyDescent="0.2">
      <c r="A470" s="1">
        <v>237902</v>
      </c>
      <c r="B470" s="1" t="s">
        <v>319</v>
      </c>
      <c r="C470" s="1" t="s">
        <v>1989</v>
      </c>
      <c r="D470" s="1" t="s">
        <v>278</v>
      </c>
      <c r="E470" s="1" t="s">
        <v>739</v>
      </c>
      <c r="F470" s="1" t="s">
        <v>37</v>
      </c>
      <c r="G470" s="1" t="s">
        <v>3081</v>
      </c>
      <c r="H470" s="1">
        <v>324</v>
      </c>
      <c r="I470" s="1" t="s">
        <v>42</v>
      </c>
      <c r="J470" s="1">
        <v>15</v>
      </c>
      <c r="K470" s="1" t="s">
        <v>49</v>
      </c>
      <c r="L470" s="1">
        <v>45</v>
      </c>
      <c r="M470" s="1" t="str">
        <f>IF(L470&lt;=45,"Joven","Mayor")</f>
        <v>Joven</v>
      </c>
      <c r="N470" s="1">
        <v>51</v>
      </c>
      <c r="O470" s="1" t="s">
        <v>50</v>
      </c>
      <c r="P470" s="1">
        <v>0.121</v>
      </c>
      <c r="Q470" s="1">
        <v>87.153999999999996</v>
      </c>
      <c r="R470" s="1">
        <v>7.8220505999999999</v>
      </c>
      <c r="S470" s="1">
        <v>1.5708888999999999</v>
      </c>
      <c r="T470" s="1">
        <v>-19.344100000000001</v>
      </c>
      <c r="U470" s="1">
        <v>19.547999999999998</v>
      </c>
      <c r="V470" s="1">
        <v>84</v>
      </c>
      <c r="W470" s="1">
        <v>165</v>
      </c>
      <c r="X470" s="1">
        <v>1.9642857142857142</v>
      </c>
      <c r="Y470" s="1">
        <v>107</v>
      </c>
      <c r="Z470" s="1">
        <v>165</v>
      </c>
      <c r="AA470" s="1">
        <v>1.5420560747663552</v>
      </c>
      <c r="AB470" s="1">
        <v>99.132331126744248</v>
      </c>
      <c r="AC470" s="1">
        <v>168.60352436273021</v>
      </c>
      <c r="AD470" s="1">
        <v>1.7007924906674952</v>
      </c>
      <c r="AE470" t="s">
        <v>4817</v>
      </c>
      <c r="AF470" t="str">
        <f>IF(X470&lt;$AF$1,"Bajo","Alto")</f>
        <v>Alto</v>
      </c>
      <c r="AG470" t="str">
        <f>LEFT(AE470,1)</f>
        <v>C</v>
      </c>
      <c r="AH470" t="str">
        <f>K470</f>
        <v>F</v>
      </c>
      <c r="AI470" t="str">
        <f>LEFT(AF470,1)</f>
        <v>A</v>
      </c>
      <c r="AJ470" t="str">
        <f>LEFT(M470,1)</f>
        <v>J</v>
      </c>
      <c r="AK470" t="str">
        <f>_xlfn.CONCAT(AG470,AH470,AI470,AJ470)</f>
        <v>CFAJ</v>
      </c>
    </row>
    <row r="471" spans="1:37" ht="15.75" hidden="1" customHeight="1" x14ac:dyDescent="0.2">
      <c r="A471" s="1">
        <v>10116310</v>
      </c>
      <c r="B471" s="1" t="s">
        <v>29</v>
      </c>
      <c r="C471" s="1" t="s">
        <v>30</v>
      </c>
      <c r="D471" s="1" t="s">
        <v>250</v>
      </c>
      <c r="E471" s="1" t="s">
        <v>251</v>
      </c>
      <c r="F471" s="1" t="s">
        <v>75</v>
      </c>
      <c r="G471" s="1" t="s">
        <v>262</v>
      </c>
      <c r="H471" s="1">
        <v>9368</v>
      </c>
      <c r="I471" s="1" t="s">
        <v>263</v>
      </c>
      <c r="J471" s="1">
        <v>4196</v>
      </c>
      <c r="K471" s="1" t="s">
        <v>35</v>
      </c>
      <c r="L471" s="1">
        <v>42</v>
      </c>
      <c r="M471" s="1" t="str">
        <f>IF(L471&lt;=45,"Joven","Mayor")</f>
        <v>Joven</v>
      </c>
      <c r="N471" s="1">
        <v>52</v>
      </c>
      <c r="O471" s="1" t="s">
        <v>36</v>
      </c>
      <c r="P471" s="1">
        <v>0.33700000000000002</v>
      </c>
      <c r="Q471" s="1">
        <v>90.242999999999995</v>
      </c>
      <c r="R471" s="1">
        <v>-4.6590147000000002</v>
      </c>
      <c r="S471" s="1">
        <v>5.6050430000000002</v>
      </c>
      <c r="T471" s="1">
        <v>-5.3413639999999996</v>
      </c>
      <c r="U471" s="1">
        <v>3.8519999999999999</v>
      </c>
      <c r="V471" s="1">
        <v>72</v>
      </c>
      <c r="W471" s="1">
        <v>142</v>
      </c>
      <c r="X471" s="1">
        <v>1.9722222222222223</v>
      </c>
      <c r="Y471" s="1">
        <v>79</v>
      </c>
      <c r="Z471" s="1">
        <v>142</v>
      </c>
      <c r="AA471" s="1">
        <v>1.7974683544303798</v>
      </c>
      <c r="AB471" s="1">
        <v>75.864280032752049</v>
      </c>
      <c r="AC471" s="1">
        <v>142.68665271488771</v>
      </c>
      <c r="AD471" s="1">
        <v>1.8808146950486735</v>
      </c>
      <c r="AE471" t="s">
        <v>4817</v>
      </c>
      <c r="AF471" t="str">
        <f>IF(X471&lt;$AF$1,"Bajo","Alto")</f>
        <v>Alto</v>
      </c>
      <c r="AG471" t="str">
        <f>LEFT(AE471,1)</f>
        <v>C</v>
      </c>
      <c r="AH471" t="str">
        <f>K471</f>
        <v>M</v>
      </c>
      <c r="AI471" t="str">
        <f>LEFT(AF471,1)</f>
        <v>A</v>
      </c>
      <c r="AJ471" t="str">
        <f>LEFT(M471,1)</f>
        <v>J</v>
      </c>
      <c r="AK471" t="str">
        <f>_xlfn.CONCAT(AG471,AH471,AI471,AJ471)</f>
        <v>CMAJ</v>
      </c>
    </row>
    <row r="472" spans="1:37" ht="15.75" hidden="1" customHeight="1" x14ac:dyDescent="0.2">
      <c r="A472" s="1">
        <v>295801</v>
      </c>
      <c r="B472" s="1" t="s">
        <v>3890</v>
      </c>
      <c r="C472" s="1" t="s">
        <v>1695</v>
      </c>
      <c r="D472" s="1" t="s">
        <v>4035</v>
      </c>
      <c r="E472" s="1" t="s">
        <v>695</v>
      </c>
      <c r="F472" s="1" t="s">
        <v>32</v>
      </c>
      <c r="G472" s="1" t="s">
        <v>4036</v>
      </c>
      <c r="H472" s="1">
        <v>105</v>
      </c>
      <c r="I472" s="1" t="s">
        <v>34</v>
      </c>
      <c r="J472" s="1">
        <v>10</v>
      </c>
      <c r="K472" s="1" t="s">
        <v>35</v>
      </c>
      <c r="L472" s="1">
        <v>59</v>
      </c>
      <c r="M472" s="1" t="str">
        <f>IF(L472&lt;=45,"Joven","Mayor")</f>
        <v>Mayor</v>
      </c>
      <c r="N472" s="1">
        <v>55</v>
      </c>
      <c r="O472" s="1" t="s">
        <v>36</v>
      </c>
      <c r="P472" s="1">
        <v>0.35799999999999998</v>
      </c>
      <c r="Q472" s="1">
        <v>94.031999999999996</v>
      </c>
      <c r="R472" s="1">
        <v>1.4453278000000001</v>
      </c>
      <c r="S472" s="1">
        <v>1.3941209000000001</v>
      </c>
      <c r="T472" s="1">
        <v>1.9235929</v>
      </c>
      <c r="U472" s="1">
        <v>8.5129999999999999</v>
      </c>
      <c r="V472" s="1">
        <v>116</v>
      </c>
      <c r="W472" s="1">
        <v>184</v>
      </c>
      <c r="X472" s="1">
        <v>1.5862068965517242</v>
      </c>
      <c r="Y472" s="1">
        <v>124</v>
      </c>
      <c r="Z472" s="1">
        <v>184</v>
      </c>
      <c r="AA472" s="1">
        <v>1.4838709677419355</v>
      </c>
      <c r="AB472" s="1">
        <v>121.8489865445047</v>
      </c>
      <c r="AC472" s="1">
        <v>183.82917864897081</v>
      </c>
      <c r="AD472" s="1">
        <v>1.5086639935394799</v>
      </c>
      <c r="AE472" t="s">
        <v>4815</v>
      </c>
      <c r="AF472" t="str">
        <f>IF(X472&lt;$AF$1,"Bajo","Alto")</f>
        <v>Bajo</v>
      </c>
      <c r="AG472" t="str">
        <f>LEFT(AE472,1)</f>
        <v>I</v>
      </c>
      <c r="AH472" t="str">
        <f>K472</f>
        <v>M</v>
      </c>
      <c r="AI472" t="str">
        <f>LEFT(AF472,1)</f>
        <v>B</v>
      </c>
      <c r="AJ472" t="str">
        <f>LEFT(M472,1)</f>
        <v>M</v>
      </c>
      <c r="AK472" t="str">
        <f>_xlfn.CONCAT(AG472,AH472,AI472,AJ472)</f>
        <v>IMBM</v>
      </c>
    </row>
    <row r="473" spans="1:37" ht="15.75" hidden="1" customHeight="1" x14ac:dyDescent="0.2">
      <c r="A473" s="1">
        <v>10123103</v>
      </c>
      <c r="B473" s="1" t="s">
        <v>29</v>
      </c>
      <c r="C473" s="1" t="s">
        <v>30</v>
      </c>
      <c r="D473" s="1" t="s">
        <v>455</v>
      </c>
      <c r="E473" s="1" t="s">
        <v>456</v>
      </c>
      <c r="F473" s="1" t="s">
        <v>63</v>
      </c>
      <c r="G473" s="1" t="s">
        <v>459</v>
      </c>
      <c r="H473" s="1">
        <v>108</v>
      </c>
      <c r="I473" s="1" t="s">
        <v>65</v>
      </c>
      <c r="J473" s="1">
        <v>2</v>
      </c>
      <c r="K473" s="1" t="s">
        <v>49</v>
      </c>
      <c r="L473" s="1">
        <v>47</v>
      </c>
      <c r="M473" s="1" t="str">
        <f>IF(L473&lt;=45,"Joven","Mayor")</f>
        <v>Mayor</v>
      </c>
      <c r="N473" s="1">
        <v>46</v>
      </c>
      <c r="O473" s="1" t="s">
        <v>50</v>
      </c>
      <c r="P473" s="1">
        <v>0.36199999999999999</v>
      </c>
      <c r="Q473" s="1">
        <v>93.938000000000002</v>
      </c>
      <c r="R473" s="1">
        <v>1.6054231999999999</v>
      </c>
      <c r="S473" s="1">
        <v>-1.4200766</v>
      </c>
      <c r="T473" s="1">
        <v>-5.1040559999999999</v>
      </c>
      <c r="U473" s="1">
        <v>38.893999999999998</v>
      </c>
      <c r="V473" s="1">
        <v>109</v>
      </c>
      <c r="W473" s="1">
        <v>172</v>
      </c>
      <c r="X473" s="1">
        <v>1.5779816513761469</v>
      </c>
      <c r="Y473" s="1">
        <v>116</v>
      </c>
      <c r="Z473" s="1">
        <v>172</v>
      </c>
      <c r="AA473" s="1">
        <v>1.4827586206896552</v>
      </c>
      <c r="AB473" s="1">
        <v>113.1939598952267</v>
      </c>
      <c r="AC473" s="1">
        <v>172.47452293687641</v>
      </c>
      <c r="AD473" s="1">
        <v>1.5237078294329514</v>
      </c>
      <c r="AE473" t="s">
        <v>4817</v>
      </c>
      <c r="AF473" t="str">
        <f>IF(X473&lt;$AF$1,"Bajo","Alto")</f>
        <v>Bajo</v>
      </c>
      <c r="AG473" t="str">
        <f>LEFT(AE473,1)</f>
        <v>C</v>
      </c>
      <c r="AH473" t="str">
        <f>K473</f>
        <v>F</v>
      </c>
      <c r="AI473" t="str">
        <f>LEFT(AF473,1)</f>
        <v>B</v>
      </c>
      <c r="AJ473" t="str">
        <f>LEFT(M473,1)</f>
        <v>M</v>
      </c>
      <c r="AK473" t="str">
        <f>_xlfn.CONCAT(AG473,AH473,AI473,AJ473)</f>
        <v>CFBM</v>
      </c>
    </row>
    <row r="474" spans="1:37" ht="15.75" hidden="1" customHeight="1" x14ac:dyDescent="0.2">
      <c r="A474" s="1">
        <v>1058402</v>
      </c>
      <c r="B474" s="1" t="s">
        <v>694</v>
      </c>
      <c r="C474" s="1" t="s">
        <v>879</v>
      </c>
      <c r="D474" s="1" t="s">
        <v>1046</v>
      </c>
      <c r="E474" s="1" t="s">
        <v>1047</v>
      </c>
      <c r="F474" s="1" t="s">
        <v>37</v>
      </c>
      <c r="G474" s="1" t="s">
        <v>1049</v>
      </c>
      <c r="H474" s="1">
        <v>13</v>
      </c>
      <c r="I474" s="1" t="s">
        <v>85</v>
      </c>
      <c r="J474" s="1">
        <v>12</v>
      </c>
      <c r="K474" s="1" t="s">
        <v>35</v>
      </c>
      <c r="L474" s="1">
        <v>54</v>
      </c>
      <c r="M474" s="1" t="str">
        <f>IF(L474&lt;=45,"Joven","Mayor")</f>
        <v>Mayor</v>
      </c>
      <c r="N474" s="1">
        <v>50</v>
      </c>
      <c r="O474" s="1" t="s">
        <v>36</v>
      </c>
      <c r="P474" s="1">
        <v>0.115</v>
      </c>
      <c r="Q474" s="1">
        <v>87.894999999999996</v>
      </c>
      <c r="R474" s="1">
        <v>6.7973265999999999</v>
      </c>
      <c r="S474" s="1">
        <v>4.3515199999999998</v>
      </c>
      <c r="T474" s="1">
        <v>-1.978642</v>
      </c>
      <c r="U474" s="1">
        <v>33.692999999999998</v>
      </c>
      <c r="V474" s="1">
        <v>106</v>
      </c>
      <c r="W474" s="1">
        <v>169</v>
      </c>
      <c r="X474" s="1">
        <v>1.5943396226415094</v>
      </c>
      <c r="Y474" s="1">
        <v>108</v>
      </c>
      <c r="Z474" s="1">
        <v>169</v>
      </c>
      <c r="AA474" s="1">
        <v>1.5648148148148149</v>
      </c>
      <c r="AB474" s="1">
        <v>109.4547928072666</v>
      </c>
      <c r="AC474" s="1">
        <v>168.7611288036301</v>
      </c>
      <c r="AD474" s="1">
        <v>1.5418340711748733</v>
      </c>
      <c r="AE474" t="s">
        <v>4815</v>
      </c>
      <c r="AF474" t="str">
        <f>IF(X474&lt;$AF$1,"Bajo","Alto")</f>
        <v>Bajo</v>
      </c>
      <c r="AG474" t="str">
        <f>LEFT(AE474,1)</f>
        <v>I</v>
      </c>
      <c r="AH474" t="str">
        <f>K474</f>
        <v>M</v>
      </c>
      <c r="AI474" t="str">
        <f>LEFT(AF474,1)</f>
        <v>B</v>
      </c>
      <c r="AJ474" t="str">
        <f>LEFT(M474,1)</f>
        <v>M</v>
      </c>
      <c r="AK474" t="str">
        <f>_xlfn.CONCAT(AG474,AH474,AI474,AJ474)</f>
        <v>IMBM</v>
      </c>
    </row>
    <row r="475" spans="1:37" ht="15.75" hidden="1" customHeight="1" x14ac:dyDescent="0.2">
      <c r="A475" s="1">
        <v>1014003</v>
      </c>
      <c r="B475" s="1" t="s">
        <v>29</v>
      </c>
      <c r="C475" s="1" t="s">
        <v>30</v>
      </c>
      <c r="D475" s="1" t="s">
        <v>656</v>
      </c>
      <c r="E475" s="1" t="s">
        <v>657</v>
      </c>
      <c r="F475" s="1" t="s">
        <v>63</v>
      </c>
      <c r="G475" s="1" t="s">
        <v>660</v>
      </c>
      <c r="H475" s="1">
        <v>661</v>
      </c>
      <c r="I475" s="1" t="s">
        <v>108</v>
      </c>
      <c r="J475" s="1">
        <v>3</v>
      </c>
      <c r="K475" s="1" t="s">
        <v>49</v>
      </c>
      <c r="L475" s="1">
        <v>46</v>
      </c>
      <c r="M475" s="1" t="str">
        <f>IF(L475&lt;=45,"Joven","Mayor")</f>
        <v>Mayor</v>
      </c>
      <c r="N475" s="1">
        <v>29</v>
      </c>
      <c r="O475" s="1" t="s">
        <v>50</v>
      </c>
      <c r="P475" s="1">
        <v>0.48</v>
      </c>
      <c r="Q475" s="1">
        <v>79.745999999999995</v>
      </c>
      <c r="R475" s="1">
        <v>-10.227485</v>
      </c>
      <c r="S475" s="1">
        <v>3.9928976999999999</v>
      </c>
      <c r="T475" s="1">
        <v>-0.29856890000000003</v>
      </c>
      <c r="U475" s="1">
        <v>11.773999999999999</v>
      </c>
      <c r="V475" s="1">
        <v>68</v>
      </c>
      <c r="W475" s="1">
        <v>134</v>
      </c>
      <c r="X475" s="1">
        <v>1.9705882352941178</v>
      </c>
      <c r="Y475" s="1">
        <v>72</v>
      </c>
      <c r="Z475" s="1">
        <v>134</v>
      </c>
      <c r="AA475" s="1">
        <v>1.8611111111111112</v>
      </c>
      <c r="AB475" s="1">
        <v>71.863536779676679</v>
      </c>
      <c r="AC475" s="1">
        <v>134.06071248516631</v>
      </c>
      <c r="AD475" s="1">
        <v>1.8654900453365839</v>
      </c>
      <c r="AE475" t="s">
        <v>4817</v>
      </c>
      <c r="AF475" t="str">
        <f>IF(X475&lt;$AF$1,"Bajo","Alto")</f>
        <v>Alto</v>
      </c>
      <c r="AG475" t="str">
        <f>LEFT(AE475,1)</f>
        <v>C</v>
      </c>
      <c r="AH475" t="str">
        <f>K475</f>
        <v>F</v>
      </c>
      <c r="AI475" t="str">
        <f>LEFT(AF475,1)</f>
        <v>A</v>
      </c>
      <c r="AJ475" t="str">
        <f>LEFT(M475,1)</f>
        <v>M</v>
      </c>
      <c r="AK475" t="str">
        <f>_xlfn.CONCAT(AG475,AH475,AI475,AJ475)</f>
        <v>CFAM</v>
      </c>
    </row>
    <row r="476" spans="1:37" ht="15.75" hidden="1" customHeight="1" x14ac:dyDescent="0.2">
      <c r="A476" s="1">
        <v>312505</v>
      </c>
      <c r="B476" s="1" t="s">
        <v>4122</v>
      </c>
      <c r="C476" s="1" t="s">
        <v>628</v>
      </c>
      <c r="D476" s="1" t="s">
        <v>4191</v>
      </c>
      <c r="E476" s="1" t="s">
        <v>821</v>
      </c>
      <c r="F476" s="1" t="s">
        <v>40</v>
      </c>
      <c r="G476" s="1" t="s">
        <v>4194</v>
      </c>
      <c r="H476" s="1">
        <v>4185</v>
      </c>
      <c r="I476" s="1" t="s">
        <v>108</v>
      </c>
      <c r="J476" s="1">
        <v>3</v>
      </c>
      <c r="K476" s="1" t="s">
        <v>35</v>
      </c>
      <c r="L476" s="1">
        <v>46</v>
      </c>
      <c r="M476" s="1" t="str">
        <f>IF(L476&lt;=45,"Joven","Mayor")</f>
        <v>Mayor</v>
      </c>
      <c r="N476" s="1">
        <v>46</v>
      </c>
      <c r="O476" s="1" t="s">
        <v>36</v>
      </c>
      <c r="P476" s="1">
        <v>0.29899999999999999</v>
      </c>
      <c r="Q476" s="1">
        <v>44.731999999999999</v>
      </c>
      <c r="R476" s="1">
        <v>16.641681999999999</v>
      </c>
      <c r="S476" s="1">
        <v>2.3951340000000001</v>
      </c>
      <c r="T476" s="1">
        <v>-6.7777696000000001</v>
      </c>
      <c r="U476" s="1">
        <v>71.468000000000004</v>
      </c>
      <c r="V476" s="1">
        <v>84</v>
      </c>
      <c r="W476" s="1">
        <v>164</v>
      </c>
      <c r="X476" s="1">
        <v>1.9523809523809523</v>
      </c>
      <c r="Y476" s="1">
        <v>93</v>
      </c>
      <c r="Z476" s="1">
        <v>164</v>
      </c>
      <c r="AA476" s="1">
        <v>1.7634408602150538</v>
      </c>
      <c r="AB476" s="1">
        <v>88.48775924984011</v>
      </c>
      <c r="AC476" s="1">
        <v>163.67999609586289</v>
      </c>
      <c r="AD476" s="1">
        <v>1.8497473264490947</v>
      </c>
      <c r="AE476" t="s">
        <v>4817</v>
      </c>
      <c r="AF476" t="str">
        <f>IF(X476&lt;$AF$1,"Bajo","Alto")</f>
        <v>Alto</v>
      </c>
      <c r="AG476" t="str">
        <f>LEFT(AE476,1)</f>
        <v>C</v>
      </c>
      <c r="AH476" t="str">
        <f>K476</f>
        <v>M</v>
      </c>
      <c r="AI476" t="str">
        <f>LEFT(AF476,1)</f>
        <v>A</v>
      </c>
      <c r="AJ476" t="str">
        <f>LEFT(M476,1)</f>
        <v>M</v>
      </c>
      <c r="AK476" t="str">
        <f>_xlfn.CONCAT(AG476,AH476,AI476,AJ476)</f>
        <v>CMAM</v>
      </c>
    </row>
    <row r="477" spans="1:37" ht="15.75" hidden="1" customHeight="1" x14ac:dyDescent="0.2">
      <c r="A477" s="1">
        <v>133202</v>
      </c>
      <c r="B477" s="1" t="s">
        <v>956</v>
      </c>
      <c r="C477" s="1" t="s">
        <v>163</v>
      </c>
      <c r="D477" s="1" t="s">
        <v>2018</v>
      </c>
      <c r="E477" s="1" t="s">
        <v>2019</v>
      </c>
      <c r="F477" s="1" t="s">
        <v>37</v>
      </c>
      <c r="G477" s="1" t="s">
        <v>2020</v>
      </c>
      <c r="H477" s="1">
        <v>442</v>
      </c>
      <c r="I477" s="1" t="s">
        <v>45</v>
      </c>
      <c r="J477" s="1">
        <v>17</v>
      </c>
      <c r="K477" s="1" t="s">
        <v>35</v>
      </c>
      <c r="L477" s="1">
        <v>34</v>
      </c>
      <c r="M477" s="1" t="str">
        <f>IF(L477&lt;=45,"Joven","Mayor")</f>
        <v>Joven</v>
      </c>
      <c r="N477" s="1">
        <v>40</v>
      </c>
      <c r="O477" s="1" t="s">
        <v>36</v>
      </c>
      <c r="P477" s="1">
        <v>0.28000000000000003</v>
      </c>
      <c r="Q477" s="1">
        <v>92.994</v>
      </c>
      <c r="R477" s="1">
        <v>2.3424184000000001</v>
      </c>
      <c r="S477" s="1">
        <v>-3.6841922</v>
      </c>
      <c r="T477" s="1">
        <v>0.41620034</v>
      </c>
      <c r="U477" s="1">
        <v>5.4180000000000001</v>
      </c>
      <c r="V477" s="1">
        <v>70</v>
      </c>
      <c r="W477" s="1">
        <v>138</v>
      </c>
      <c r="X477" s="1">
        <v>1.9714285714285715</v>
      </c>
      <c r="Y477" s="1">
        <v>74</v>
      </c>
      <c r="Z477" s="1">
        <v>138</v>
      </c>
      <c r="AA477" s="1">
        <v>1.8648648648648649</v>
      </c>
      <c r="AB477" s="1">
        <v>74.252287726122859</v>
      </c>
      <c r="AC477" s="1">
        <v>137.9527751021578</v>
      </c>
      <c r="AD477" s="1">
        <v>1.8578925892625977</v>
      </c>
      <c r="AE477" t="s">
        <v>4817</v>
      </c>
      <c r="AF477" t="str">
        <f>IF(X477&lt;$AF$1,"Bajo","Alto")</f>
        <v>Alto</v>
      </c>
      <c r="AG477" t="str">
        <f>LEFT(AE477,1)</f>
        <v>C</v>
      </c>
      <c r="AH477" t="str">
        <f>K477</f>
        <v>M</v>
      </c>
      <c r="AI477" t="str">
        <f>LEFT(AF477,1)</f>
        <v>A</v>
      </c>
      <c r="AJ477" t="str">
        <f>LEFT(M477,1)</f>
        <v>J</v>
      </c>
      <c r="AK477" t="str">
        <f>_xlfn.CONCAT(AG477,AH477,AI477,AJ477)</f>
        <v>CMAJ</v>
      </c>
    </row>
    <row r="478" spans="1:37" ht="15.75" hidden="1" customHeight="1" x14ac:dyDescent="0.2">
      <c r="A478" s="1">
        <v>10716006</v>
      </c>
      <c r="B478" s="1" t="s">
        <v>1067</v>
      </c>
      <c r="C478" s="1" t="s">
        <v>1068</v>
      </c>
      <c r="D478" s="1" t="s">
        <v>1152</v>
      </c>
      <c r="E478" s="1" t="s">
        <v>234</v>
      </c>
      <c r="F478" s="1" t="s">
        <v>88</v>
      </c>
      <c r="G478" s="1" t="s">
        <v>1157</v>
      </c>
      <c r="H478" s="1">
        <v>91</v>
      </c>
      <c r="I478" s="1" t="s">
        <v>1158</v>
      </c>
      <c r="J478" s="1">
        <v>2746</v>
      </c>
      <c r="K478" s="1" t="s">
        <v>35</v>
      </c>
      <c r="L478" s="1">
        <v>72</v>
      </c>
      <c r="M478" s="1" t="str">
        <f>IF(L478&lt;=45,"Joven","Mayor")</f>
        <v>Mayor</v>
      </c>
      <c r="N478" s="1">
        <v>76</v>
      </c>
      <c r="O478" s="1" t="s">
        <v>36</v>
      </c>
      <c r="P478" s="1">
        <v>1.1020000000000001</v>
      </c>
      <c r="Q478" s="1">
        <v>93.296999999999997</v>
      </c>
      <c r="R478" s="1">
        <v>-1.2717069000000001</v>
      </c>
      <c r="S478" s="1">
        <v>4.295191</v>
      </c>
      <c r="T478" s="1">
        <v>2.0369079999999999</v>
      </c>
      <c r="U478" s="1">
        <v>1.62</v>
      </c>
      <c r="V478" s="1">
        <v>113</v>
      </c>
      <c r="W478" s="1">
        <v>177</v>
      </c>
      <c r="X478" s="1">
        <v>1.5663716814159292</v>
      </c>
      <c r="Y478" s="1">
        <v>115</v>
      </c>
      <c r="Z478" s="1">
        <v>177</v>
      </c>
      <c r="AA478" s="1">
        <v>1.5391304347826087</v>
      </c>
      <c r="AB478" s="1">
        <v>114.63467629183739</v>
      </c>
      <c r="AC478" s="1">
        <v>176.9237037950916</v>
      </c>
      <c r="AD478" s="1">
        <v>1.5433698555983058</v>
      </c>
      <c r="AE478" t="s">
        <v>4817</v>
      </c>
      <c r="AF478" t="str">
        <f>IF(X478&lt;$AF$1,"Bajo","Alto")</f>
        <v>Bajo</v>
      </c>
      <c r="AG478" t="str">
        <f>LEFT(AE478,1)</f>
        <v>C</v>
      </c>
      <c r="AH478" t="str">
        <f>K478</f>
        <v>M</v>
      </c>
      <c r="AI478" t="str">
        <f>LEFT(AF478,1)</f>
        <v>B</v>
      </c>
      <c r="AJ478" t="str">
        <f>LEFT(M478,1)</f>
        <v>M</v>
      </c>
      <c r="AK478" t="str">
        <f>_xlfn.CONCAT(AG478,AH478,AI478,AJ478)</f>
        <v>CMBM</v>
      </c>
    </row>
    <row r="479" spans="1:37" ht="15.75" hidden="1" customHeight="1" x14ac:dyDescent="0.2">
      <c r="A479" s="1">
        <v>1518103</v>
      </c>
      <c r="B479" s="1" t="s">
        <v>2077</v>
      </c>
      <c r="C479" s="1" t="s">
        <v>57</v>
      </c>
      <c r="D479" s="1" t="s">
        <v>2211</v>
      </c>
      <c r="E479" s="1" t="s">
        <v>308</v>
      </c>
      <c r="F479" s="1" t="s">
        <v>63</v>
      </c>
      <c r="G479" s="1" t="s">
        <v>2213</v>
      </c>
      <c r="H479" s="1">
        <v>1318</v>
      </c>
      <c r="I479" s="1" t="s">
        <v>2214</v>
      </c>
      <c r="J479" s="1">
        <v>3871</v>
      </c>
      <c r="K479" s="1" t="s">
        <v>35</v>
      </c>
      <c r="L479" s="1">
        <v>44</v>
      </c>
      <c r="M479" s="1" t="str">
        <f>IF(L479&lt;=45,"Joven","Mayor")</f>
        <v>Joven</v>
      </c>
      <c r="N479" s="1">
        <v>47</v>
      </c>
      <c r="O479" s="1" t="s">
        <v>36</v>
      </c>
      <c r="P479" s="1">
        <v>0.29499999999999998</v>
      </c>
      <c r="Q479" s="1">
        <v>85.453999999999994</v>
      </c>
      <c r="R479" s="1">
        <v>8.3772579999999994</v>
      </c>
      <c r="S479" s="1">
        <v>2.8121770000000001</v>
      </c>
      <c r="T479" s="1">
        <v>-6.0537650000000003</v>
      </c>
      <c r="U479" s="1">
        <v>7.5449999999999999</v>
      </c>
      <c r="V479" s="1">
        <v>65</v>
      </c>
      <c r="W479" s="1">
        <v>128</v>
      </c>
      <c r="X479" s="1">
        <v>1.9692307692307693</v>
      </c>
      <c r="Y479" s="1">
        <v>70</v>
      </c>
      <c r="Z479" s="1">
        <v>128</v>
      </c>
      <c r="AA479" s="1">
        <v>1.8285714285714285</v>
      </c>
      <c r="AB479" s="1">
        <v>68.750523543315921</v>
      </c>
      <c r="AC479" s="1">
        <v>128.23534629842561</v>
      </c>
      <c r="AD479" s="1">
        <v>1.8652271966719145</v>
      </c>
      <c r="AE479" t="s">
        <v>4817</v>
      </c>
      <c r="AF479" t="str">
        <f>IF(X479&lt;$AF$1,"Bajo","Alto")</f>
        <v>Alto</v>
      </c>
      <c r="AG479" t="str">
        <f>LEFT(AE479,1)</f>
        <v>C</v>
      </c>
      <c r="AH479" t="str">
        <f>K479</f>
        <v>M</v>
      </c>
      <c r="AI479" t="str">
        <f>LEFT(AF479,1)</f>
        <v>A</v>
      </c>
      <c r="AJ479" t="str">
        <f>LEFT(M479,1)</f>
        <v>J</v>
      </c>
      <c r="AK479" t="str">
        <f>_xlfn.CONCAT(AG479,AH479,AI479,AJ479)</f>
        <v>CMAJ</v>
      </c>
    </row>
    <row r="480" spans="1:37" ht="15.75" hidden="1" customHeight="1" x14ac:dyDescent="0.2">
      <c r="A480" s="1">
        <v>540106</v>
      </c>
      <c r="B480" s="1" t="s">
        <v>4677</v>
      </c>
      <c r="C480" s="1" t="s">
        <v>3148</v>
      </c>
      <c r="D480" s="1" t="s">
        <v>4678</v>
      </c>
      <c r="E480" s="1" t="s">
        <v>32</v>
      </c>
      <c r="F480" s="1" t="s">
        <v>88</v>
      </c>
      <c r="G480" s="1" t="s">
        <v>4684</v>
      </c>
      <c r="H480" s="1">
        <v>7906</v>
      </c>
      <c r="I480" s="1" t="s">
        <v>4685</v>
      </c>
      <c r="J480" s="1">
        <v>2983</v>
      </c>
      <c r="K480" s="1" t="s">
        <v>35</v>
      </c>
      <c r="L480" s="1">
        <v>44</v>
      </c>
      <c r="M480" s="1" t="str">
        <f>IF(L480&lt;=45,"Joven","Mayor")</f>
        <v>Joven</v>
      </c>
      <c r="N480" s="1">
        <v>56</v>
      </c>
      <c r="O480" s="1" t="s">
        <v>36</v>
      </c>
      <c r="P480" s="1">
        <v>0.72599999999999998</v>
      </c>
      <c r="Q480" s="1">
        <v>88.876000000000005</v>
      </c>
      <c r="R480" s="1">
        <v>5.1467090000000004</v>
      </c>
      <c r="S480" s="1">
        <v>6.9166045</v>
      </c>
      <c r="T480" s="1">
        <v>-6.2449690000000002</v>
      </c>
      <c r="U480" s="1">
        <v>17.756</v>
      </c>
      <c r="V480" s="1">
        <v>130</v>
      </c>
      <c r="W480" s="1">
        <v>256</v>
      </c>
      <c r="X480" s="1">
        <v>1.9692307692307693</v>
      </c>
      <c r="Y480" s="1">
        <v>147</v>
      </c>
      <c r="Z480" s="1">
        <v>256</v>
      </c>
      <c r="AA480" s="1">
        <v>1.7414965986394557</v>
      </c>
      <c r="AB480" s="1">
        <v>141.23260488010331</v>
      </c>
      <c r="AC480" s="1">
        <v>258.17937481202222</v>
      </c>
      <c r="AD480" s="1">
        <v>1.8280437086832648</v>
      </c>
      <c r="AE480" t="s">
        <v>4817</v>
      </c>
      <c r="AF480" t="str">
        <f>IF(X480&lt;$AF$1,"Bajo","Alto")</f>
        <v>Alto</v>
      </c>
      <c r="AG480" t="str">
        <f>LEFT(AE480,1)</f>
        <v>C</v>
      </c>
      <c r="AH480" t="str">
        <f>K480</f>
        <v>M</v>
      </c>
      <c r="AI480" t="str">
        <f>LEFT(AF480,1)</f>
        <v>A</v>
      </c>
      <c r="AJ480" t="str">
        <f>LEFT(M480,1)</f>
        <v>J</v>
      </c>
      <c r="AK480" t="str">
        <f>_xlfn.CONCAT(AG480,AH480,AI480,AJ480)</f>
        <v>CMAJ</v>
      </c>
    </row>
    <row r="481" spans="1:37" ht="15.75" hidden="1" customHeight="1" x14ac:dyDescent="0.2">
      <c r="A481" s="1">
        <v>290107</v>
      </c>
      <c r="B481" s="1" t="s">
        <v>3890</v>
      </c>
      <c r="C481" s="1" t="s">
        <v>1695</v>
      </c>
      <c r="D481" s="1" t="s">
        <v>3891</v>
      </c>
      <c r="E481" s="1" t="s">
        <v>32</v>
      </c>
      <c r="F481" s="1" t="s">
        <v>43</v>
      </c>
      <c r="G481" s="1" t="s">
        <v>3898</v>
      </c>
      <c r="H481" s="1">
        <v>7253</v>
      </c>
      <c r="I481" s="1" t="s">
        <v>3899</v>
      </c>
      <c r="J481" s="1">
        <v>2484</v>
      </c>
      <c r="K481" s="1" t="s">
        <v>35</v>
      </c>
      <c r="L481" s="1">
        <v>64</v>
      </c>
      <c r="M481" s="1" t="str">
        <f>IF(L481&lt;=45,"Joven","Mayor")</f>
        <v>Mayor</v>
      </c>
      <c r="N481" s="1">
        <v>64</v>
      </c>
      <c r="O481" s="1" t="s">
        <v>36</v>
      </c>
      <c r="P481" s="1">
        <v>0.35099999999999998</v>
      </c>
      <c r="Q481" s="1">
        <v>91.119</v>
      </c>
      <c r="R481" s="1">
        <v>-2.7740836</v>
      </c>
      <c r="S481" s="1">
        <v>7.8785496000000004</v>
      </c>
      <c r="T481" s="1">
        <v>1.7362086999999999</v>
      </c>
      <c r="U481" s="1">
        <v>4.3920000000000003</v>
      </c>
      <c r="V481" s="1">
        <v>95</v>
      </c>
      <c r="W481" s="1">
        <v>149</v>
      </c>
      <c r="X481" s="1">
        <v>1.5684210526315789</v>
      </c>
      <c r="Y481" s="1">
        <v>96</v>
      </c>
      <c r="Z481" s="1">
        <v>149</v>
      </c>
      <c r="AA481" s="1">
        <v>1.5520833333333333</v>
      </c>
      <c r="AB481" s="1">
        <v>97.076950687672706</v>
      </c>
      <c r="AC481" s="1">
        <v>148.74980845302031</v>
      </c>
      <c r="AD481" s="1">
        <v>1.5322876068861655</v>
      </c>
      <c r="AE481" t="s">
        <v>4817</v>
      </c>
      <c r="AF481" t="str">
        <f>IF(X481&lt;$AF$1,"Bajo","Alto")</f>
        <v>Bajo</v>
      </c>
      <c r="AG481" t="str">
        <f>LEFT(AE481,1)</f>
        <v>C</v>
      </c>
      <c r="AH481" t="str">
        <f>K481</f>
        <v>M</v>
      </c>
      <c r="AI481" t="str">
        <f>LEFT(AF481,1)</f>
        <v>B</v>
      </c>
      <c r="AJ481" t="str">
        <f>LEFT(M481,1)</f>
        <v>M</v>
      </c>
      <c r="AK481" t="str">
        <f>_xlfn.CONCAT(AG481,AH481,AI481,AJ481)</f>
        <v>CMBM</v>
      </c>
    </row>
    <row r="482" spans="1:37" ht="15.75" hidden="1" customHeight="1" x14ac:dyDescent="0.2">
      <c r="A482" s="1">
        <v>1097803</v>
      </c>
      <c r="B482" s="1" t="s">
        <v>719</v>
      </c>
      <c r="C482" s="1" t="s">
        <v>98</v>
      </c>
      <c r="D482" s="1" t="s">
        <v>1633</v>
      </c>
      <c r="E482" s="1" t="s">
        <v>732</v>
      </c>
      <c r="F482" s="1" t="s">
        <v>63</v>
      </c>
      <c r="G482" s="1" t="s">
        <v>1636</v>
      </c>
      <c r="H482" s="1">
        <v>1645</v>
      </c>
      <c r="I482" s="1" t="s">
        <v>134</v>
      </c>
      <c r="J482" s="1">
        <v>8</v>
      </c>
      <c r="K482" s="1" t="s">
        <v>35</v>
      </c>
      <c r="L482" s="1">
        <v>33</v>
      </c>
      <c r="M482" s="1" t="str">
        <f>IF(L482&lt;=45,"Joven","Mayor")</f>
        <v>Joven</v>
      </c>
      <c r="N482" s="1">
        <v>29</v>
      </c>
      <c r="O482" s="1" t="s">
        <v>36</v>
      </c>
      <c r="P482" s="1">
        <v>0.35599999999999998</v>
      </c>
      <c r="Q482" s="1">
        <v>92.930999999999997</v>
      </c>
      <c r="R482" s="1">
        <v>2.8184228</v>
      </c>
      <c r="S482" s="1">
        <v>2.5015779999999999</v>
      </c>
      <c r="T482" s="1">
        <v>3.5034000000000001</v>
      </c>
      <c r="U482" s="1">
        <v>23.260999999999999</v>
      </c>
      <c r="V482" s="1">
        <v>97</v>
      </c>
      <c r="W482" s="1">
        <v>191</v>
      </c>
      <c r="X482" s="1">
        <v>1.9690721649484537</v>
      </c>
      <c r="Y482" s="1">
        <v>98</v>
      </c>
      <c r="Z482" s="1">
        <v>191</v>
      </c>
      <c r="AA482" s="1">
        <v>1.9489795918367347</v>
      </c>
      <c r="AB482" s="1">
        <v>99.507465752505595</v>
      </c>
      <c r="AC482" s="1">
        <v>190.82637753831571</v>
      </c>
      <c r="AD482" s="1">
        <v>1.9177091497128265</v>
      </c>
      <c r="AE482" t="s">
        <v>4817</v>
      </c>
      <c r="AF482" t="str">
        <f>IF(X482&lt;$AF$1,"Bajo","Alto")</f>
        <v>Alto</v>
      </c>
      <c r="AG482" t="str">
        <f>LEFT(AE482,1)</f>
        <v>C</v>
      </c>
      <c r="AH482" t="str">
        <f>K482</f>
        <v>M</v>
      </c>
      <c r="AI482" t="str">
        <f>LEFT(AF482,1)</f>
        <v>A</v>
      </c>
      <c r="AJ482" t="str">
        <f>LEFT(M482,1)</f>
        <v>J</v>
      </c>
      <c r="AK482" t="str">
        <f>_xlfn.CONCAT(AG482,AH482,AI482,AJ482)</f>
        <v>CMAJ</v>
      </c>
    </row>
    <row r="483" spans="1:37" ht="15.75" hidden="1" customHeight="1" x14ac:dyDescent="0.2">
      <c r="A483" s="1">
        <v>10730401</v>
      </c>
      <c r="B483" s="1" t="s">
        <v>1067</v>
      </c>
      <c r="C483" s="1" t="s">
        <v>1068</v>
      </c>
      <c r="D483" s="1" t="s">
        <v>1365</v>
      </c>
      <c r="E483" s="1" t="s">
        <v>1366</v>
      </c>
      <c r="F483" s="1" t="s">
        <v>32</v>
      </c>
      <c r="G483" s="1" t="s">
        <v>1367</v>
      </c>
      <c r="H483" s="1">
        <v>836</v>
      </c>
      <c r="I483" s="1" t="s">
        <v>39</v>
      </c>
      <c r="J483" s="1">
        <v>11</v>
      </c>
      <c r="K483" s="1" t="s">
        <v>35</v>
      </c>
      <c r="L483" s="1">
        <v>45</v>
      </c>
      <c r="M483" s="1" t="str">
        <f>IF(L483&lt;=45,"Joven","Mayor")</f>
        <v>Joven</v>
      </c>
      <c r="N483" s="1">
        <v>57</v>
      </c>
      <c r="O483" s="1" t="s">
        <v>36</v>
      </c>
      <c r="P483" s="1">
        <v>0.75900000000000001</v>
      </c>
      <c r="Q483" s="1">
        <v>77.644000000000005</v>
      </c>
      <c r="R483" s="1">
        <v>9.1699149999999996</v>
      </c>
      <c r="S483" s="1">
        <v>10.210317999999999</v>
      </c>
      <c r="T483" s="1">
        <v>-1.6842364000000001</v>
      </c>
      <c r="U483" s="1">
        <v>1.08</v>
      </c>
      <c r="V483" s="1">
        <v>97</v>
      </c>
      <c r="W483" s="1">
        <v>156</v>
      </c>
      <c r="X483" s="1">
        <v>1.6082474226804124</v>
      </c>
      <c r="Y483" s="1">
        <v>100</v>
      </c>
      <c r="Z483" s="1">
        <v>156</v>
      </c>
      <c r="AA483" s="1">
        <v>1.56</v>
      </c>
      <c r="AB483" s="1">
        <v>101.1912303947061</v>
      </c>
      <c r="AC483" s="1">
        <v>155.81504059599871</v>
      </c>
      <c r="AD483" s="1">
        <v>1.5398077480452328</v>
      </c>
      <c r="AE483" t="s">
        <v>4816</v>
      </c>
      <c r="AF483" t="str">
        <f>IF(X483&lt;$AF$1,"Bajo","Alto")</f>
        <v>Bajo</v>
      </c>
      <c r="AG483" t="str">
        <f>LEFT(AE483,1)</f>
        <v>D</v>
      </c>
      <c r="AH483" t="str">
        <f>K483</f>
        <v>M</v>
      </c>
      <c r="AI483" t="str">
        <f>LEFT(AF483,1)</f>
        <v>B</v>
      </c>
      <c r="AJ483" t="str">
        <f>LEFT(M483,1)</f>
        <v>J</v>
      </c>
      <c r="AK483" t="str">
        <f>_xlfn.CONCAT(AG483,AH483,AI483,AJ483)</f>
        <v>DMBJ</v>
      </c>
    </row>
    <row r="484" spans="1:37" ht="15.75" hidden="1" customHeight="1" x14ac:dyDescent="0.2">
      <c r="A484" s="1">
        <v>211201</v>
      </c>
      <c r="B484" s="1" t="s">
        <v>2816</v>
      </c>
      <c r="C484" s="1" t="s">
        <v>2817</v>
      </c>
      <c r="D484" s="1" t="s">
        <v>2830</v>
      </c>
      <c r="E484" s="1" t="s">
        <v>54</v>
      </c>
      <c r="F484" s="1" t="s">
        <v>32</v>
      </c>
      <c r="G484" s="1" t="s">
        <v>2831</v>
      </c>
      <c r="H484" s="1">
        <v>2633</v>
      </c>
      <c r="I484" s="1" t="s">
        <v>34</v>
      </c>
      <c r="J484" s="1">
        <v>10</v>
      </c>
      <c r="K484" s="1" t="s">
        <v>35</v>
      </c>
      <c r="L484" s="1">
        <v>49</v>
      </c>
      <c r="M484" s="1" t="str">
        <f>IF(L484&lt;=45,"Joven","Mayor")</f>
        <v>Mayor</v>
      </c>
      <c r="N484" s="1">
        <v>49</v>
      </c>
      <c r="O484" s="1" t="s">
        <v>36</v>
      </c>
      <c r="P484" s="1">
        <v>0.20399999999999999</v>
      </c>
      <c r="Q484" s="1">
        <v>92.88</v>
      </c>
      <c r="R484" s="1">
        <v>2.2829744999999999</v>
      </c>
      <c r="S484" s="1">
        <v>4.3202294999999999</v>
      </c>
      <c r="T484" s="1">
        <v>-1.3786776999999999</v>
      </c>
      <c r="U484" s="1">
        <v>5.492</v>
      </c>
      <c r="V484" s="1">
        <v>92</v>
      </c>
      <c r="W484" s="1">
        <v>178</v>
      </c>
      <c r="X484" s="1">
        <v>1.9347826086956521</v>
      </c>
      <c r="Y484" s="1">
        <v>94</v>
      </c>
      <c r="Z484" s="1">
        <v>178</v>
      </c>
      <c r="AA484" s="1">
        <v>1.8936170212765957</v>
      </c>
      <c r="AB484" s="1">
        <v>93.15231420019245</v>
      </c>
      <c r="AC484" s="1">
        <v>178.06877200388229</v>
      </c>
      <c r="AD484" s="1">
        <v>1.9115872056726038</v>
      </c>
      <c r="AE484" t="s">
        <v>4815</v>
      </c>
      <c r="AF484" t="str">
        <f>IF(X484&lt;$AF$1,"Bajo","Alto")</f>
        <v>Alto</v>
      </c>
      <c r="AG484" t="str">
        <f>LEFT(AE484,1)</f>
        <v>I</v>
      </c>
      <c r="AH484" t="str">
        <f>K484</f>
        <v>M</v>
      </c>
      <c r="AI484" t="str">
        <f>LEFT(AF484,1)</f>
        <v>A</v>
      </c>
      <c r="AJ484" t="str">
        <f>LEFT(M484,1)</f>
        <v>M</v>
      </c>
      <c r="AK484" t="str">
        <f>_xlfn.CONCAT(AG484,AH484,AI484,AJ484)</f>
        <v>IMAM</v>
      </c>
    </row>
    <row r="485" spans="1:37" ht="15.75" hidden="1" customHeight="1" x14ac:dyDescent="0.2">
      <c r="A485" s="1">
        <v>10911503</v>
      </c>
      <c r="B485" s="1" t="s">
        <v>719</v>
      </c>
      <c r="C485" s="1" t="s">
        <v>98</v>
      </c>
      <c r="D485" s="1" t="s">
        <v>1557</v>
      </c>
      <c r="E485" s="1" t="s">
        <v>112</v>
      </c>
      <c r="F485" s="1" t="s">
        <v>63</v>
      </c>
      <c r="G485" s="1" t="s">
        <v>1561</v>
      </c>
      <c r="H485" s="1">
        <v>3671</v>
      </c>
      <c r="I485" s="1" t="s">
        <v>1562</v>
      </c>
      <c r="J485" s="1">
        <v>4489</v>
      </c>
      <c r="K485" s="1" t="s">
        <v>35</v>
      </c>
      <c r="L485" s="1">
        <v>45</v>
      </c>
      <c r="M485" s="1" t="str">
        <f>IF(L485&lt;=45,"Joven","Mayor")</f>
        <v>Joven</v>
      </c>
      <c r="N485" s="1">
        <v>46</v>
      </c>
      <c r="O485" s="1" t="s">
        <v>36</v>
      </c>
      <c r="P485" s="1">
        <v>0.35799999999999998</v>
      </c>
      <c r="Q485" s="1">
        <v>86.019000000000005</v>
      </c>
      <c r="R485" s="1">
        <v>8.0124929999999992</v>
      </c>
      <c r="S485" s="1">
        <v>3.2365824999999999</v>
      </c>
      <c r="T485" s="1">
        <v>-5.2961280000000004</v>
      </c>
      <c r="U485" s="1">
        <v>2.4510000000000001</v>
      </c>
      <c r="V485" s="1">
        <v>63</v>
      </c>
      <c r="W485" s="1">
        <v>124</v>
      </c>
      <c r="X485" s="1">
        <v>1.9682539682539681</v>
      </c>
      <c r="Y485" s="1">
        <v>70</v>
      </c>
      <c r="Z485" s="1">
        <v>124</v>
      </c>
      <c r="AA485" s="1">
        <v>1.7714285714285714</v>
      </c>
      <c r="AB485" s="1">
        <v>66.747460172291085</v>
      </c>
      <c r="AC485" s="1">
        <v>123.9321528263708</v>
      </c>
      <c r="AD485" s="1">
        <v>1.8567321139481923</v>
      </c>
      <c r="AE485" t="s">
        <v>4817</v>
      </c>
      <c r="AF485" t="str">
        <f>IF(X485&lt;$AF$1,"Bajo","Alto")</f>
        <v>Alto</v>
      </c>
      <c r="AG485" t="str">
        <f>LEFT(AE485,1)</f>
        <v>C</v>
      </c>
      <c r="AH485" t="str">
        <f>K485</f>
        <v>M</v>
      </c>
      <c r="AI485" t="str">
        <f>LEFT(AF485,1)</f>
        <v>A</v>
      </c>
      <c r="AJ485" t="str">
        <f>LEFT(M485,1)</f>
        <v>J</v>
      </c>
      <c r="AK485" t="str">
        <f>_xlfn.CONCAT(AG485,AH485,AI485,AJ485)</f>
        <v>CMAJ</v>
      </c>
    </row>
    <row r="486" spans="1:37" ht="15.75" hidden="1" customHeight="1" x14ac:dyDescent="0.2">
      <c r="A486" s="1">
        <v>2720802</v>
      </c>
      <c r="B486" s="1" t="s">
        <v>3409</v>
      </c>
      <c r="C486" s="1" t="s">
        <v>973</v>
      </c>
      <c r="D486" s="1" t="s">
        <v>3627</v>
      </c>
      <c r="E486" s="1" t="s">
        <v>378</v>
      </c>
      <c r="F486" s="1" t="s">
        <v>37</v>
      </c>
      <c r="G486" s="1" t="s">
        <v>3630</v>
      </c>
      <c r="H486" s="1">
        <v>1170</v>
      </c>
      <c r="I486" s="1" t="s">
        <v>3631</v>
      </c>
      <c r="J486" s="1">
        <v>4366</v>
      </c>
      <c r="K486" s="1" t="s">
        <v>35</v>
      </c>
      <c r="L486" s="1">
        <v>37</v>
      </c>
      <c r="M486" s="1" t="str">
        <f>IF(L486&lt;=45,"Joven","Mayor")</f>
        <v>Joven</v>
      </c>
      <c r="N486" s="1">
        <v>42</v>
      </c>
      <c r="O486" s="1" t="s">
        <v>36</v>
      </c>
      <c r="P486" s="1">
        <v>0.35199999999999998</v>
      </c>
      <c r="Q486" s="1">
        <v>90.775000000000006</v>
      </c>
      <c r="R486" s="1">
        <v>5.2165784999999998</v>
      </c>
      <c r="S486" s="1">
        <v>-2.2234750000000001</v>
      </c>
      <c r="T486" s="1">
        <v>1.4482195</v>
      </c>
      <c r="U486" s="1">
        <v>28.872</v>
      </c>
      <c r="V486" s="1">
        <v>88</v>
      </c>
      <c r="W486" s="1">
        <v>173</v>
      </c>
      <c r="X486" s="1">
        <v>1.9659090909090908</v>
      </c>
      <c r="Y486" s="1">
        <v>90</v>
      </c>
      <c r="Z486" s="1">
        <v>173</v>
      </c>
      <c r="AA486" s="1">
        <v>1.9222222222222223</v>
      </c>
      <c r="AB486" s="1">
        <v>89.033377806300905</v>
      </c>
      <c r="AC486" s="1">
        <v>172.9952862991272</v>
      </c>
      <c r="AD486" s="1">
        <v>1.9430385610606846</v>
      </c>
      <c r="AE486" t="s">
        <v>4817</v>
      </c>
      <c r="AF486" t="str">
        <f>IF(X486&lt;$AF$1,"Bajo","Alto")</f>
        <v>Alto</v>
      </c>
      <c r="AG486" t="str">
        <f>LEFT(AE486,1)</f>
        <v>C</v>
      </c>
      <c r="AH486" t="str">
        <f>K486</f>
        <v>M</v>
      </c>
      <c r="AI486" t="str">
        <f>LEFT(AF486,1)</f>
        <v>A</v>
      </c>
      <c r="AJ486" t="str">
        <f>LEFT(M486,1)</f>
        <v>J</v>
      </c>
      <c r="AK486" t="str">
        <f>_xlfn.CONCAT(AG486,AH486,AI486,AJ486)</f>
        <v>CMAJ</v>
      </c>
    </row>
    <row r="487" spans="1:37" ht="15.75" hidden="1" customHeight="1" x14ac:dyDescent="0.2">
      <c r="A487" s="1">
        <v>118806</v>
      </c>
      <c r="B487" s="1" t="s">
        <v>1648</v>
      </c>
      <c r="C487" s="1" t="s">
        <v>51</v>
      </c>
      <c r="D487" s="1" t="s">
        <v>1783</v>
      </c>
      <c r="E487" s="1" t="s">
        <v>763</v>
      </c>
      <c r="F487" s="1" t="s">
        <v>88</v>
      </c>
      <c r="G487" s="1" t="s">
        <v>1786</v>
      </c>
      <c r="H487" s="1">
        <v>5259</v>
      </c>
      <c r="I487" s="1" t="s">
        <v>108</v>
      </c>
      <c r="J487" s="1">
        <v>3</v>
      </c>
      <c r="K487" s="1" t="s">
        <v>49</v>
      </c>
      <c r="L487" s="1">
        <v>47</v>
      </c>
      <c r="M487" s="1" t="str">
        <f>IF(L487&lt;=45,"Joven","Mayor")</f>
        <v>Mayor</v>
      </c>
      <c r="N487" s="1">
        <v>60</v>
      </c>
      <c r="O487" s="1" t="s">
        <v>50</v>
      </c>
      <c r="P487" s="1">
        <v>0.65900000000000003</v>
      </c>
      <c r="Q487" s="1">
        <v>86.436000000000007</v>
      </c>
      <c r="R487" s="1">
        <v>8.0455810000000003</v>
      </c>
      <c r="S487" s="1">
        <v>1.6761223999999999</v>
      </c>
      <c r="T487" s="1">
        <v>-18.026295000000001</v>
      </c>
      <c r="U487" s="1">
        <v>66.426000000000002</v>
      </c>
      <c r="V487" s="1">
        <v>80</v>
      </c>
      <c r="W487" s="1">
        <v>157</v>
      </c>
      <c r="X487" s="1">
        <v>1.9624999999999999</v>
      </c>
      <c r="Y487" s="1">
        <v>98</v>
      </c>
      <c r="Z487" s="1">
        <v>157</v>
      </c>
      <c r="AA487" s="1">
        <v>1.6020408163265305</v>
      </c>
      <c r="AB487" s="1">
        <v>92.783653263165661</v>
      </c>
      <c r="AC487" s="1">
        <v>158.57719485809591</v>
      </c>
      <c r="AD487" s="1">
        <v>1.7091070385891967</v>
      </c>
      <c r="AE487" t="s">
        <v>4817</v>
      </c>
      <c r="AF487" t="str">
        <f>IF(X487&lt;$AF$1,"Bajo","Alto")</f>
        <v>Alto</v>
      </c>
      <c r="AG487" t="str">
        <f>LEFT(AE487,1)</f>
        <v>C</v>
      </c>
      <c r="AH487" t="str">
        <f>K487</f>
        <v>F</v>
      </c>
      <c r="AI487" t="str">
        <f>LEFT(AF487,1)</f>
        <v>A</v>
      </c>
      <c r="AJ487" t="str">
        <f>LEFT(M487,1)</f>
        <v>M</v>
      </c>
      <c r="AK487" t="str">
        <f>_xlfn.CONCAT(AG487,AH487,AI487,AJ487)</f>
        <v>CFAM</v>
      </c>
    </row>
    <row r="488" spans="1:37" ht="15.75" hidden="1" customHeight="1" x14ac:dyDescent="0.2">
      <c r="A488" s="1">
        <v>294303</v>
      </c>
      <c r="B488" s="1" t="s">
        <v>3890</v>
      </c>
      <c r="C488" s="1" t="s">
        <v>1695</v>
      </c>
      <c r="D488" s="1" t="s">
        <v>4011</v>
      </c>
      <c r="E488" s="1" t="s">
        <v>665</v>
      </c>
      <c r="F488" s="1" t="s">
        <v>63</v>
      </c>
      <c r="G488" s="1" t="s">
        <v>4014</v>
      </c>
      <c r="H488" s="1">
        <v>206</v>
      </c>
      <c r="I488" s="1" t="s">
        <v>45</v>
      </c>
      <c r="J488" s="1">
        <v>17</v>
      </c>
      <c r="K488" s="1" t="s">
        <v>49</v>
      </c>
      <c r="L488" s="1">
        <v>61</v>
      </c>
      <c r="M488" s="1" t="str">
        <f>IF(L488&lt;=45,"Joven","Mayor")</f>
        <v>Mayor</v>
      </c>
      <c r="N488" s="1">
        <v>66</v>
      </c>
      <c r="O488" s="1" t="s">
        <v>50</v>
      </c>
      <c r="P488" s="1">
        <v>0.39200000000000002</v>
      </c>
      <c r="Q488" s="1">
        <v>92.131</v>
      </c>
      <c r="R488" s="1">
        <v>-3.6267507000000001</v>
      </c>
      <c r="S488" s="1">
        <v>-3.0619377999999999</v>
      </c>
      <c r="T488" s="1">
        <v>0.16373072999999999</v>
      </c>
      <c r="U488" s="1">
        <v>0.375</v>
      </c>
      <c r="V488" s="1">
        <v>109</v>
      </c>
      <c r="W488" s="1">
        <v>172</v>
      </c>
      <c r="X488" s="1">
        <v>1.5779816513761469</v>
      </c>
      <c r="Y488" s="1">
        <v>113</v>
      </c>
      <c r="Z488" s="1">
        <v>172</v>
      </c>
      <c r="AA488" s="1">
        <v>1.5221238938053097</v>
      </c>
      <c r="AB488" s="1">
        <v>113.1281322548145</v>
      </c>
      <c r="AC488" s="1">
        <v>171.9792942601193</v>
      </c>
      <c r="AD488" s="1">
        <v>1.5202168623516739</v>
      </c>
      <c r="AE488" t="s">
        <v>4817</v>
      </c>
      <c r="AF488" t="str">
        <f>IF(X488&lt;$AF$1,"Bajo","Alto")</f>
        <v>Bajo</v>
      </c>
      <c r="AG488" t="str">
        <f>LEFT(AE488,1)</f>
        <v>C</v>
      </c>
      <c r="AH488" t="str">
        <f>K488</f>
        <v>F</v>
      </c>
      <c r="AI488" t="str">
        <f>LEFT(AF488,1)</f>
        <v>B</v>
      </c>
      <c r="AJ488" t="str">
        <f>LEFT(M488,1)</f>
        <v>M</v>
      </c>
      <c r="AK488" t="str">
        <f>_xlfn.CONCAT(AG488,AH488,AI488,AJ488)</f>
        <v>CFBM</v>
      </c>
    </row>
    <row r="489" spans="1:37" ht="15.75" hidden="1" customHeight="1" x14ac:dyDescent="0.2">
      <c r="A489" s="1">
        <v>1265001</v>
      </c>
      <c r="B489" s="1" t="s">
        <v>1798</v>
      </c>
      <c r="C489" s="1" t="s">
        <v>54</v>
      </c>
      <c r="D489" s="1" t="s">
        <v>1885</v>
      </c>
      <c r="E489" s="1" t="s">
        <v>1886</v>
      </c>
      <c r="F489" s="1" t="s">
        <v>32</v>
      </c>
      <c r="G489" s="1" t="s">
        <v>1887</v>
      </c>
      <c r="H489" s="1">
        <v>3233</v>
      </c>
      <c r="I489" s="1" t="s">
        <v>100</v>
      </c>
      <c r="J489" s="1">
        <v>1</v>
      </c>
      <c r="K489" s="1" t="s">
        <v>35</v>
      </c>
      <c r="L489" s="1">
        <v>31</v>
      </c>
      <c r="M489" s="1" t="str">
        <f>IF(L489&lt;=45,"Joven","Mayor")</f>
        <v>Joven</v>
      </c>
      <c r="N489" s="1">
        <v>36</v>
      </c>
      <c r="O489" s="1" t="s">
        <v>36</v>
      </c>
      <c r="P489" s="1">
        <v>0.35899999999999999</v>
      </c>
      <c r="Q489" s="1">
        <v>93.543000000000006</v>
      </c>
      <c r="R489" s="1">
        <v>0.15354607000000001</v>
      </c>
      <c r="S489" s="1">
        <v>6.1844679999999999</v>
      </c>
      <c r="T489" s="1">
        <v>1.8484723999999999</v>
      </c>
      <c r="U489" s="1">
        <v>1.2809999999999999</v>
      </c>
      <c r="V489" s="1">
        <v>82</v>
      </c>
      <c r="W489" s="1">
        <v>161</v>
      </c>
      <c r="X489" s="1">
        <v>1.9634146341463414</v>
      </c>
      <c r="Y489" s="1">
        <v>88</v>
      </c>
      <c r="Z489" s="1">
        <v>161</v>
      </c>
      <c r="AA489" s="1">
        <v>1.8295454545454546</v>
      </c>
      <c r="AB489" s="1">
        <v>86.760723029183055</v>
      </c>
      <c r="AC489" s="1">
        <v>161.20652728273399</v>
      </c>
      <c r="AD489" s="1">
        <v>1.8580588272473266</v>
      </c>
      <c r="AE489" t="s">
        <v>4817</v>
      </c>
      <c r="AF489" t="str">
        <f>IF(X489&lt;$AF$1,"Bajo","Alto")</f>
        <v>Alto</v>
      </c>
      <c r="AG489" t="str">
        <f>LEFT(AE489,1)</f>
        <v>C</v>
      </c>
      <c r="AH489" t="str">
        <f>K489</f>
        <v>M</v>
      </c>
      <c r="AI489" t="str">
        <f>LEFT(AF489,1)</f>
        <v>A</v>
      </c>
      <c r="AJ489" t="str">
        <f>LEFT(M489,1)</f>
        <v>J</v>
      </c>
      <c r="AK489" t="str">
        <f>_xlfn.CONCAT(AG489,AH489,AI489,AJ489)</f>
        <v>CMAJ</v>
      </c>
    </row>
    <row r="490" spans="1:37" ht="15.75" hidden="1" customHeight="1" x14ac:dyDescent="0.2">
      <c r="A490" s="1">
        <v>219002</v>
      </c>
      <c r="B490" s="1" t="s">
        <v>2816</v>
      </c>
      <c r="C490" s="1" t="s">
        <v>2817</v>
      </c>
      <c r="D490" s="1" t="s">
        <v>2908</v>
      </c>
      <c r="E490" s="1" t="s">
        <v>2909</v>
      </c>
      <c r="F490" s="1" t="s">
        <v>37</v>
      </c>
      <c r="G490" s="1" t="s">
        <v>2911</v>
      </c>
      <c r="H490" s="1">
        <v>2546</v>
      </c>
      <c r="I490" s="1" t="s">
        <v>108</v>
      </c>
      <c r="J490" s="1">
        <v>3</v>
      </c>
      <c r="K490" s="1" t="s">
        <v>49</v>
      </c>
      <c r="L490" s="1">
        <v>50</v>
      </c>
      <c r="M490" s="1" t="str">
        <f>IF(L490&lt;=45,"Joven","Mayor")</f>
        <v>Mayor</v>
      </c>
      <c r="N490" s="1">
        <v>43</v>
      </c>
      <c r="O490" s="1" t="s">
        <v>50</v>
      </c>
      <c r="P490" s="1">
        <v>0.20300000000000001</v>
      </c>
      <c r="Q490" s="1">
        <v>88.061999999999998</v>
      </c>
      <c r="R490" s="1">
        <v>6.2604183999999998</v>
      </c>
      <c r="S490" s="1">
        <v>5.767436</v>
      </c>
      <c r="T490" s="1">
        <v>5.2434954999999999</v>
      </c>
      <c r="U490" s="1">
        <v>15.273</v>
      </c>
      <c r="V490" s="1">
        <v>38</v>
      </c>
      <c r="W490" s="1">
        <v>60</v>
      </c>
      <c r="X490" s="1">
        <v>1.5789473684210527</v>
      </c>
      <c r="Y490" s="1">
        <v>42</v>
      </c>
      <c r="Z490" s="1">
        <v>60</v>
      </c>
      <c r="AA490" s="1">
        <v>1.4285714285714286</v>
      </c>
      <c r="AB490" s="1">
        <v>40.727580140153123</v>
      </c>
      <c r="AC490" s="1">
        <v>60.480027087440703</v>
      </c>
      <c r="AD490" s="1">
        <v>1.4849894562680817</v>
      </c>
      <c r="AE490" t="s">
        <v>4817</v>
      </c>
      <c r="AF490" t="str">
        <f>IF(X490&lt;$AF$1,"Bajo","Alto")</f>
        <v>Bajo</v>
      </c>
      <c r="AG490" t="str">
        <f>LEFT(AE490,1)</f>
        <v>C</v>
      </c>
      <c r="AH490" t="str">
        <f>K490</f>
        <v>F</v>
      </c>
      <c r="AI490" t="str">
        <f>LEFT(AF490,1)</f>
        <v>B</v>
      </c>
      <c r="AJ490" t="str">
        <f>LEFT(M490,1)</f>
        <v>M</v>
      </c>
      <c r="AK490" t="str">
        <f>_xlfn.CONCAT(AG490,AH490,AI490,AJ490)</f>
        <v>CFBM</v>
      </c>
    </row>
    <row r="491" spans="1:37" ht="15.75" hidden="1" customHeight="1" x14ac:dyDescent="0.2">
      <c r="A491" s="1">
        <v>114002</v>
      </c>
      <c r="B491" s="1" t="s">
        <v>1648</v>
      </c>
      <c r="C491" s="1" t="s">
        <v>51</v>
      </c>
      <c r="D491" s="1" t="s">
        <v>1710</v>
      </c>
      <c r="E491" s="1" t="s">
        <v>657</v>
      </c>
      <c r="F491" s="1" t="s">
        <v>37</v>
      </c>
      <c r="G491" s="1" t="s">
        <v>1712</v>
      </c>
      <c r="H491" s="1">
        <v>114</v>
      </c>
      <c r="I491" s="1" t="s">
        <v>134</v>
      </c>
      <c r="J491" s="1">
        <v>8</v>
      </c>
      <c r="K491" s="1" t="s">
        <v>35</v>
      </c>
      <c r="L491" s="1">
        <v>32</v>
      </c>
      <c r="M491" s="1" t="str">
        <f>IF(L491&lt;=45,"Joven","Mayor")</f>
        <v>Joven</v>
      </c>
      <c r="N491" s="1">
        <v>34</v>
      </c>
      <c r="O491" s="1" t="s">
        <v>36</v>
      </c>
      <c r="P491" s="1">
        <v>0.29699999999999999</v>
      </c>
      <c r="Q491" s="1">
        <v>93.316000000000003</v>
      </c>
      <c r="R491" s="1">
        <v>1.7454103999999999</v>
      </c>
      <c r="S491" s="1">
        <v>3.9302703999999999</v>
      </c>
      <c r="T491" s="1">
        <v>-0.57729965000000005</v>
      </c>
      <c r="U491" s="1">
        <v>4.6539999999999999</v>
      </c>
      <c r="V491" s="1">
        <v>103</v>
      </c>
      <c r="W491" s="1">
        <v>165</v>
      </c>
      <c r="X491" s="1">
        <v>1.6019417475728155</v>
      </c>
      <c r="Y491" s="1">
        <v>103</v>
      </c>
      <c r="Z491" s="1">
        <v>165</v>
      </c>
      <c r="AA491" s="1">
        <v>1.6019417475728155</v>
      </c>
      <c r="AB491" s="1">
        <v>103.428022890158</v>
      </c>
      <c r="AC491" s="1">
        <v>164.95132212393401</v>
      </c>
      <c r="AD491" s="1">
        <v>1.5948416832748955</v>
      </c>
      <c r="AE491" t="s">
        <v>4817</v>
      </c>
      <c r="AF491" t="str">
        <f>IF(X491&lt;$AF$1,"Bajo","Alto")</f>
        <v>Bajo</v>
      </c>
      <c r="AG491" t="str">
        <f>LEFT(AE491,1)</f>
        <v>C</v>
      </c>
      <c r="AH491" t="str">
        <f>K491</f>
        <v>M</v>
      </c>
      <c r="AI491" t="str">
        <f>LEFT(AF491,1)</f>
        <v>B</v>
      </c>
      <c r="AJ491" t="str">
        <f>LEFT(M491,1)</f>
        <v>J</v>
      </c>
      <c r="AK491" t="str">
        <f>_xlfn.CONCAT(AG491,AH491,AI491,AJ491)</f>
        <v>CMBJ</v>
      </c>
    </row>
    <row r="492" spans="1:37" ht="15.75" hidden="1" customHeight="1" x14ac:dyDescent="0.2">
      <c r="A492" s="1">
        <v>171904</v>
      </c>
      <c r="B492" s="1" t="s">
        <v>2551</v>
      </c>
      <c r="C492" s="1" t="s">
        <v>2552</v>
      </c>
      <c r="D492" s="1" t="s">
        <v>2596</v>
      </c>
      <c r="E492" s="1" t="s">
        <v>323</v>
      </c>
      <c r="F492" s="1" t="s">
        <v>61</v>
      </c>
      <c r="G492" s="1" t="s">
        <v>2599</v>
      </c>
      <c r="H492" s="1">
        <v>5817</v>
      </c>
      <c r="I492" s="1" t="s">
        <v>2600</v>
      </c>
      <c r="J492" s="1">
        <v>4600</v>
      </c>
      <c r="K492" s="1" t="s">
        <v>35</v>
      </c>
      <c r="L492" s="1">
        <v>41</v>
      </c>
      <c r="M492" s="1" t="str">
        <f>IF(L492&lt;=45,"Joven","Mayor")</f>
        <v>Joven</v>
      </c>
      <c r="N492" s="1">
        <v>56</v>
      </c>
      <c r="O492" s="1" t="s">
        <v>36</v>
      </c>
      <c r="P492" s="1">
        <v>0.26100000000000001</v>
      </c>
      <c r="Q492" s="1">
        <v>59.09</v>
      </c>
      <c r="R492" s="1">
        <v>14.636848000000001</v>
      </c>
      <c r="S492" s="1">
        <v>2.9878537999999999</v>
      </c>
      <c r="T492" s="1">
        <v>-12.137803999999999</v>
      </c>
      <c r="U492" s="1">
        <v>2.1080000000000001</v>
      </c>
      <c r="V492" s="1">
        <v>105</v>
      </c>
      <c r="W492" s="1">
        <v>206</v>
      </c>
      <c r="X492" s="1">
        <v>1.9619047619047618</v>
      </c>
      <c r="Y492" s="1">
        <v>123</v>
      </c>
      <c r="Z492" s="1">
        <v>206</v>
      </c>
      <c r="AA492" s="1">
        <v>1.6747967479674797</v>
      </c>
      <c r="AB492" s="1">
        <v>114.84798769612389</v>
      </c>
      <c r="AC492" s="1">
        <v>204.5487665841874</v>
      </c>
      <c r="AD492" s="1">
        <v>1.78103918655852</v>
      </c>
      <c r="AE492" t="s">
        <v>4817</v>
      </c>
      <c r="AF492" t="str">
        <f>IF(X492&lt;$AF$1,"Bajo","Alto")</f>
        <v>Alto</v>
      </c>
      <c r="AG492" t="str">
        <f>LEFT(AE492,1)</f>
        <v>C</v>
      </c>
      <c r="AH492" t="str">
        <f>K492</f>
        <v>M</v>
      </c>
      <c r="AI492" t="str">
        <f>LEFT(AF492,1)</f>
        <v>A</v>
      </c>
      <c r="AJ492" t="str">
        <f>LEFT(M492,1)</f>
        <v>J</v>
      </c>
      <c r="AK492" t="str">
        <f>_xlfn.CONCAT(AG492,AH492,AI492,AJ492)</f>
        <v>CMAJ</v>
      </c>
    </row>
    <row r="493" spans="1:37" ht="15.75" hidden="1" customHeight="1" x14ac:dyDescent="0.2">
      <c r="A493" s="1">
        <v>1510602</v>
      </c>
      <c r="B493" s="1" t="s">
        <v>2077</v>
      </c>
      <c r="C493" s="1" t="s">
        <v>57</v>
      </c>
      <c r="D493" s="1" t="s">
        <v>2107</v>
      </c>
      <c r="E493" s="1" t="s">
        <v>95</v>
      </c>
      <c r="F493" s="1" t="s">
        <v>37</v>
      </c>
      <c r="G493" s="1" t="s">
        <v>2108</v>
      </c>
      <c r="H493" s="1">
        <v>1543</v>
      </c>
      <c r="I493" s="1" t="s">
        <v>2109</v>
      </c>
      <c r="J493" s="1">
        <v>3863</v>
      </c>
      <c r="K493" s="1" t="s">
        <v>35</v>
      </c>
      <c r="L493" s="1">
        <v>45</v>
      </c>
      <c r="M493" s="1" t="str">
        <f>IF(L493&lt;=45,"Joven","Mayor")</f>
        <v>Joven</v>
      </c>
      <c r="N493" s="1">
        <v>41</v>
      </c>
      <c r="O493" s="1" t="s">
        <v>36</v>
      </c>
      <c r="P493" s="1">
        <v>0.47599999999999998</v>
      </c>
      <c r="Q493" s="1">
        <v>92.606999999999999</v>
      </c>
      <c r="R493" s="1">
        <v>-1.3750595999999999</v>
      </c>
      <c r="S493" s="1">
        <v>6.7843904000000004</v>
      </c>
      <c r="T493" s="1">
        <v>-5.0245303999999997</v>
      </c>
      <c r="U493" s="1">
        <v>1.2</v>
      </c>
      <c r="V493" s="1">
        <v>103</v>
      </c>
      <c r="W493" s="1">
        <v>165</v>
      </c>
      <c r="X493" s="1">
        <v>1.6019417475728155</v>
      </c>
      <c r="Y493" s="1">
        <v>109</v>
      </c>
      <c r="Z493" s="1">
        <v>165</v>
      </c>
      <c r="AA493" s="1">
        <v>1.5137614678899083</v>
      </c>
      <c r="AB493" s="1">
        <v>107.1584776765576</v>
      </c>
      <c r="AC493" s="1">
        <v>165.41694012436159</v>
      </c>
      <c r="AD493" s="1">
        <v>1.5436663874943124</v>
      </c>
      <c r="AE493" t="s">
        <v>4817</v>
      </c>
      <c r="AF493" t="str">
        <f>IF(X493&lt;$AF$1,"Bajo","Alto")</f>
        <v>Bajo</v>
      </c>
      <c r="AG493" t="str">
        <f>LEFT(AE493,1)</f>
        <v>C</v>
      </c>
      <c r="AH493" t="str">
        <f>K493</f>
        <v>M</v>
      </c>
      <c r="AI493" t="str">
        <f>LEFT(AF493,1)</f>
        <v>B</v>
      </c>
      <c r="AJ493" t="str">
        <f>LEFT(M493,1)</f>
        <v>J</v>
      </c>
      <c r="AK493" t="str">
        <f>_xlfn.CONCAT(AG493,AH493,AI493,AJ493)</f>
        <v>CMBJ</v>
      </c>
    </row>
    <row r="494" spans="1:37" ht="15.75" hidden="1" customHeight="1" x14ac:dyDescent="0.2">
      <c r="A494" s="1">
        <v>1517803</v>
      </c>
      <c r="B494" s="1" t="s">
        <v>2077</v>
      </c>
      <c r="C494" s="1" t="s">
        <v>57</v>
      </c>
      <c r="D494" s="1" t="s">
        <v>2206</v>
      </c>
      <c r="E494" s="1" t="s">
        <v>300</v>
      </c>
      <c r="F494" s="1" t="s">
        <v>63</v>
      </c>
      <c r="G494" s="1" t="s">
        <v>2209</v>
      </c>
      <c r="H494" s="1">
        <v>2000</v>
      </c>
      <c r="I494" s="1" t="s">
        <v>2210</v>
      </c>
      <c r="J494" s="1">
        <v>2283</v>
      </c>
      <c r="K494" s="1" t="s">
        <v>35</v>
      </c>
      <c r="L494" s="1">
        <v>47</v>
      </c>
      <c r="M494" s="1" t="str">
        <f>IF(L494&lt;=45,"Joven","Mayor")</f>
        <v>Mayor</v>
      </c>
      <c r="N494" s="1">
        <v>56</v>
      </c>
      <c r="O494" s="1" t="s">
        <v>36</v>
      </c>
      <c r="P494" s="1">
        <v>1.1950000000000001</v>
      </c>
      <c r="Q494" s="1">
        <v>85.644999999999996</v>
      </c>
      <c r="R494" s="1">
        <v>-5.8713373999999998</v>
      </c>
      <c r="S494" s="1">
        <v>9.8066720000000007</v>
      </c>
      <c r="T494" s="1">
        <v>5.6689334000000002</v>
      </c>
      <c r="U494" s="1">
        <v>2.4</v>
      </c>
      <c r="V494" s="1">
        <v>61</v>
      </c>
      <c r="W494" s="1">
        <v>119</v>
      </c>
      <c r="X494" s="1">
        <v>1.9508196721311475</v>
      </c>
      <c r="Y494" s="1">
        <v>65</v>
      </c>
      <c r="Z494" s="1">
        <v>119</v>
      </c>
      <c r="AA494" s="1">
        <v>1.8307692307692307</v>
      </c>
      <c r="AB494" s="1">
        <v>64.060192710019692</v>
      </c>
      <c r="AC494" s="1">
        <v>119.0106850885991</v>
      </c>
      <c r="AD494" s="1">
        <v>1.8577946780042167</v>
      </c>
      <c r="AE494" t="s">
        <v>4817</v>
      </c>
      <c r="AF494" t="str">
        <f>IF(X494&lt;$AF$1,"Bajo","Alto")</f>
        <v>Alto</v>
      </c>
      <c r="AG494" t="str">
        <f>LEFT(AE494,1)</f>
        <v>C</v>
      </c>
      <c r="AH494" t="str">
        <f>K494</f>
        <v>M</v>
      </c>
      <c r="AI494" t="str">
        <f>LEFT(AF494,1)</f>
        <v>A</v>
      </c>
      <c r="AJ494" t="str">
        <f>LEFT(M494,1)</f>
        <v>M</v>
      </c>
      <c r="AK494" t="str">
        <f>_xlfn.CONCAT(AG494,AH494,AI494,AJ494)</f>
        <v>CMAM</v>
      </c>
    </row>
    <row r="495" spans="1:37" ht="15.75" hidden="1" customHeight="1" x14ac:dyDescent="0.2">
      <c r="A495" s="1">
        <v>1513204</v>
      </c>
      <c r="B495" s="1" t="s">
        <v>2077</v>
      </c>
      <c r="C495" s="1" t="s">
        <v>57</v>
      </c>
      <c r="D495" s="1" t="s">
        <v>175</v>
      </c>
      <c r="E495" s="1" t="s">
        <v>2146</v>
      </c>
      <c r="F495" s="1" t="s">
        <v>61</v>
      </c>
      <c r="G495" s="1" t="s">
        <v>2147</v>
      </c>
      <c r="H495" s="1">
        <v>1068</v>
      </c>
      <c r="I495" s="1" t="s">
        <v>2148</v>
      </c>
      <c r="J495" s="1">
        <v>3281</v>
      </c>
      <c r="K495" s="1" t="s">
        <v>49</v>
      </c>
      <c r="L495" s="1">
        <v>45</v>
      </c>
      <c r="M495" s="1" t="str">
        <f>IF(L495&lt;=45,"Joven","Mayor")</f>
        <v>Joven</v>
      </c>
      <c r="N495" s="1">
        <v>50</v>
      </c>
      <c r="O495" s="1" t="s">
        <v>50</v>
      </c>
      <c r="P495" s="1">
        <v>0.34899999999999998</v>
      </c>
      <c r="Q495" s="1">
        <v>79.962000000000003</v>
      </c>
      <c r="R495" s="1">
        <v>10.340889000000001</v>
      </c>
      <c r="S495" s="1">
        <v>3.1216419000000002</v>
      </c>
      <c r="T495" s="1">
        <v>-12.565175999999999</v>
      </c>
      <c r="U495" s="1">
        <v>5.6929999999999996</v>
      </c>
      <c r="V495" s="1">
        <v>78</v>
      </c>
      <c r="W495" s="1">
        <v>153</v>
      </c>
      <c r="X495" s="1">
        <v>1.9615384615384615</v>
      </c>
      <c r="Y495" s="1">
        <v>92</v>
      </c>
      <c r="Z495" s="1">
        <v>153</v>
      </c>
      <c r="AA495" s="1">
        <v>1.6630434782608696</v>
      </c>
      <c r="AB495" s="1">
        <v>88.532187664234698</v>
      </c>
      <c r="AC495" s="1">
        <v>154.7742737921831</v>
      </c>
      <c r="AD495" s="1">
        <v>1.7482260167248631</v>
      </c>
      <c r="AE495" t="s">
        <v>4817</v>
      </c>
      <c r="AF495" t="str">
        <f>IF(X495&lt;$AF$1,"Bajo","Alto")</f>
        <v>Alto</v>
      </c>
      <c r="AG495" t="str">
        <f>LEFT(AE495,1)</f>
        <v>C</v>
      </c>
      <c r="AH495" t="str">
        <f>K495</f>
        <v>F</v>
      </c>
      <c r="AI495" t="str">
        <f>LEFT(AF495,1)</f>
        <v>A</v>
      </c>
      <c r="AJ495" t="str">
        <f>LEFT(M495,1)</f>
        <v>J</v>
      </c>
      <c r="AK495" t="str">
        <f>_xlfn.CONCAT(AG495,AH495,AI495,AJ495)</f>
        <v>CFAJ</v>
      </c>
    </row>
    <row r="496" spans="1:37" ht="15.75" hidden="1" customHeight="1" x14ac:dyDescent="0.2">
      <c r="A496" s="1">
        <v>253602</v>
      </c>
      <c r="B496" s="1" t="s">
        <v>3169</v>
      </c>
      <c r="C496" s="1" t="s">
        <v>821</v>
      </c>
      <c r="D496" s="1" t="s">
        <v>3232</v>
      </c>
      <c r="E496" s="1" t="s">
        <v>3233</v>
      </c>
      <c r="F496" s="1" t="s">
        <v>37</v>
      </c>
      <c r="G496" s="1" t="s">
        <v>3235</v>
      </c>
      <c r="H496" s="1">
        <v>4073</v>
      </c>
      <c r="I496" s="1" t="s">
        <v>48</v>
      </c>
      <c r="J496" s="1">
        <v>4</v>
      </c>
      <c r="K496" s="1" t="s">
        <v>35</v>
      </c>
      <c r="L496" s="1">
        <v>41</v>
      </c>
      <c r="M496" s="1" t="str">
        <f>IF(L496&lt;=45,"Joven","Mayor")</f>
        <v>Joven</v>
      </c>
      <c r="N496" s="1">
        <v>44</v>
      </c>
      <c r="O496" s="1" t="s">
        <v>36</v>
      </c>
      <c r="P496" s="1">
        <v>7.1999999999999995E-2</v>
      </c>
      <c r="Q496" s="1">
        <v>90.762</v>
      </c>
      <c r="R496" s="1">
        <v>4.7747130000000002</v>
      </c>
      <c r="S496" s="1">
        <v>4.1455726999999998</v>
      </c>
      <c r="T496" s="1">
        <v>-0.25791027999999999</v>
      </c>
      <c r="U496" s="1">
        <v>1.554</v>
      </c>
      <c r="V496" s="1">
        <v>103</v>
      </c>
      <c r="W496" s="1">
        <v>165</v>
      </c>
      <c r="X496" s="1">
        <v>1.6019417475728155</v>
      </c>
      <c r="Y496" s="1">
        <v>105</v>
      </c>
      <c r="Z496" s="1">
        <v>165</v>
      </c>
      <c r="AA496" s="1">
        <v>1.5714285714285714</v>
      </c>
      <c r="AB496" s="1">
        <v>105.1924950624107</v>
      </c>
      <c r="AC496" s="1">
        <v>164.98482424529311</v>
      </c>
      <c r="AD496" s="1">
        <v>1.5684086982384782</v>
      </c>
      <c r="AE496" t="s">
        <v>4817</v>
      </c>
      <c r="AF496" t="str">
        <f>IF(X496&lt;$AF$1,"Bajo","Alto")</f>
        <v>Bajo</v>
      </c>
      <c r="AG496" t="str">
        <f>LEFT(AE496,1)</f>
        <v>C</v>
      </c>
      <c r="AH496" t="str">
        <f>K496</f>
        <v>M</v>
      </c>
      <c r="AI496" t="str">
        <f>LEFT(AF496,1)</f>
        <v>B</v>
      </c>
      <c r="AJ496" t="str">
        <f>LEFT(M496,1)</f>
        <v>J</v>
      </c>
      <c r="AK496" t="str">
        <f>_xlfn.CONCAT(AG496,AH496,AI496,AJ496)</f>
        <v>CMBJ</v>
      </c>
    </row>
    <row r="497" spans="1:37" ht="15.75" hidden="1" customHeight="1" x14ac:dyDescent="0.2">
      <c r="A497" s="1">
        <v>1515403</v>
      </c>
      <c r="B497" s="1" t="s">
        <v>2077</v>
      </c>
      <c r="C497" s="1" t="s">
        <v>57</v>
      </c>
      <c r="D497" s="1" t="s">
        <v>2175</v>
      </c>
      <c r="E497" s="1" t="s">
        <v>221</v>
      </c>
      <c r="F497" s="1" t="s">
        <v>63</v>
      </c>
      <c r="G497" s="1" t="s">
        <v>2178</v>
      </c>
      <c r="H497" s="1">
        <v>2254</v>
      </c>
      <c r="I497" s="1" t="s">
        <v>2179</v>
      </c>
      <c r="J497" s="1">
        <v>3999</v>
      </c>
      <c r="K497" s="1" t="s">
        <v>35</v>
      </c>
      <c r="L497" s="1">
        <v>58</v>
      </c>
      <c r="M497" s="1" t="str">
        <f>IF(L497&lt;=45,"Joven","Mayor")</f>
        <v>Mayor</v>
      </c>
      <c r="N497" s="1">
        <v>53</v>
      </c>
      <c r="O497" s="1" t="s">
        <v>36</v>
      </c>
      <c r="P497" s="1">
        <v>0.20799999999999999</v>
      </c>
      <c r="Q497" s="1">
        <v>75.936000000000007</v>
      </c>
      <c r="R497" s="1">
        <v>11.4813595</v>
      </c>
      <c r="S497" s="1">
        <v>3.0463293</v>
      </c>
      <c r="T497" s="1">
        <v>1.5176413</v>
      </c>
      <c r="U497" s="1">
        <v>35.957000000000001</v>
      </c>
      <c r="V497" s="1">
        <v>109</v>
      </c>
      <c r="W497" s="1">
        <v>171</v>
      </c>
      <c r="X497" s="1">
        <v>1.5688073394495412</v>
      </c>
      <c r="Y497" s="1">
        <v>112</v>
      </c>
      <c r="Z497" s="1">
        <v>171</v>
      </c>
      <c r="AA497" s="1">
        <v>1.5267857142857142</v>
      </c>
      <c r="AB497" s="1">
        <v>110.9807769950589</v>
      </c>
      <c r="AC497" s="1">
        <v>171.28431785788959</v>
      </c>
      <c r="AD497" s="1">
        <v>1.5433692437161035</v>
      </c>
      <c r="AE497" t="s">
        <v>4817</v>
      </c>
      <c r="AF497" t="str">
        <f>IF(X497&lt;$AF$1,"Bajo","Alto")</f>
        <v>Bajo</v>
      </c>
      <c r="AG497" t="str">
        <f>LEFT(AE497,1)</f>
        <v>C</v>
      </c>
      <c r="AH497" t="str">
        <f>K497</f>
        <v>M</v>
      </c>
      <c r="AI497" t="str">
        <f>LEFT(AF497,1)</f>
        <v>B</v>
      </c>
      <c r="AJ497" t="str">
        <f>LEFT(M497,1)</f>
        <v>M</v>
      </c>
      <c r="AK497" t="str">
        <f>_xlfn.CONCAT(AG497,AH497,AI497,AJ497)</f>
        <v>CMBM</v>
      </c>
    </row>
    <row r="498" spans="1:37" ht="15.75" hidden="1" customHeight="1" x14ac:dyDescent="0.2">
      <c r="A498" s="1">
        <v>1091301</v>
      </c>
      <c r="B498" s="1" t="s">
        <v>719</v>
      </c>
      <c r="C498" s="1" t="s">
        <v>98</v>
      </c>
      <c r="D498" s="1" t="s">
        <v>1585</v>
      </c>
      <c r="E498" s="1" t="s">
        <v>163</v>
      </c>
      <c r="F498" s="1" t="s">
        <v>32</v>
      </c>
      <c r="G498" s="1" t="s">
        <v>1586</v>
      </c>
      <c r="H498" s="1">
        <v>3007</v>
      </c>
      <c r="I498" s="1" t="s">
        <v>1587</v>
      </c>
      <c r="J498" s="1">
        <v>3493</v>
      </c>
      <c r="K498" s="1" t="s">
        <v>35</v>
      </c>
      <c r="L498" s="1">
        <v>63</v>
      </c>
      <c r="M498" s="1" t="str">
        <f>IF(L498&lt;=45,"Joven","Mayor")</f>
        <v>Mayor</v>
      </c>
      <c r="N498" s="1">
        <v>66</v>
      </c>
      <c r="O498" s="1" t="s">
        <v>36</v>
      </c>
      <c r="P498" s="1">
        <v>0.80100000000000005</v>
      </c>
      <c r="Q498" s="1">
        <v>89.9</v>
      </c>
      <c r="R498" s="1">
        <v>1.3893911000000001</v>
      </c>
      <c r="S498" s="1">
        <v>11.636525000000001</v>
      </c>
      <c r="T498" s="1">
        <v>-2.5172305000000001</v>
      </c>
      <c r="U498" s="1">
        <v>1.367</v>
      </c>
      <c r="V498" s="1">
        <v>93</v>
      </c>
      <c r="W498" s="1">
        <v>146</v>
      </c>
      <c r="X498" s="1">
        <v>1.5698924731182795</v>
      </c>
      <c r="Y498" s="1">
        <v>98</v>
      </c>
      <c r="Z498" s="1">
        <v>146</v>
      </c>
      <c r="AA498" s="1">
        <v>1.489795918367347</v>
      </c>
      <c r="AB498" s="1">
        <v>96.368241777618323</v>
      </c>
      <c r="AC498" s="1">
        <v>146.12263755252661</v>
      </c>
      <c r="AD498" s="1">
        <v>1.516294526673245</v>
      </c>
      <c r="AE498" t="s">
        <v>4817</v>
      </c>
      <c r="AF498" t="str">
        <f>IF(X498&lt;$AF$1,"Bajo","Alto")</f>
        <v>Bajo</v>
      </c>
      <c r="AG498" t="str">
        <f>LEFT(AE498,1)</f>
        <v>C</v>
      </c>
      <c r="AH498" t="str">
        <f>K498</f>
        <v>M</v>
      </c>
      <c r="AI498" t="str">
        <f>LEFT(AF498,1)</f>
        <v>B</v>
      </c>
      <c r="AJ498" t="str">
        <f>LEFT(M498,1)</f>
        <v>M</v>
      </c>
      <c r="AK498" t="str">
        <f>_xlfn.CONCAT(AG498,AH498,AI498,AJ498)</f>
        <v>CMBM</v>
      </c>
    </row>
    <row r="499" spans="1:37" ht="15.75" hidden="1" customHeight="1" x14ac:dyDescent="0.2">
      <c r="A499" s="1">
        <v>1034706</v>
      </c>
      <c r="B499" s="1" t="s">
        <v>783</v>
      </c>
      <c r="C499" s="1" t="s">
        <v>81</v>
      </c>
      <c r="D499" s="1" t="s">
        <v>856</v>
      </c>
      <c r="E499" s="1" t="s">
        <v>857</v>
      </c>
      <c r="F499" s="1" t="s">
        <v>88</v>
      </c>
      <c r="G499" s="1" t="s">
        <v>860</v>
      </c>
      <c r="H499" s="1">
        <v>687</v>
      </c>
      <c r="I499" s="1" t="s">
        <v>73</v>
      </c>
      <c r="J499" s="1">
        <v>5</v>
      </c>
      <c r="K499" s="1" t="s">
        <v>35</v>
      </c>
      <c r="L499" s="1">
        <v>47</v>
      </c>
      <c r="M499" s="1" t="str">
        <f>IF(L499&lt;=45,"Joven","Mayor")</f>
        <v>Mayor</v>
      </c>
      <c r="N499" s="1">
        <v>43</v>
      </c>
      <c r="O499" s="1" t="s">
        <v>36</v>
      </c>
      <c r="P499" s="1">
        <v>1.016</v>
      </c>
      <c r="Q499" s="1">
        <v>79.509</v>
      </c>
      <c r="R499" s="1">
        <v>10.620388</v>
      </c>
      <c r="S499" s="1">
        <v>1.3944634</v>
      </c>
      <c r="T499" s="1">
        <v>-5.3477262999999997</v>
      </c>
      <c r="U499" s="1">
        <v>26.356000000000002</v>
      </c>
      <c r="V499" s="1">
        <v>101</v>
      </c>
      <c r="W499" s="1">
        <v>197</v>
      </c>
      <c r="X499" s="1">
        <v>1.9504950495049505</v>
      </c>
      <c r="Y499" s="1">
        <v>102</v>
      </c>
      <c r="Z499" s="1">
        <v>197</v>
      </c>
      <c r="AA499" s="1">
        <v>1.9313725490196079</v>
      </c>
      <c r="AB499" s="1">
        <v>105.7500346802983</v>
      </c>
      <c r="AC499" s="1">
        <v>196.14253972996539</v>
      </c>
      <c r="AD499" s="1">
        <v>1.8547751811424003</v>
      </c>
      <c r="AE499" t="s">
        <v>4817</v>
      </c>
      <c r="AF499" t="str">
        <f>IF(X499&lt;$AF$1,"Bajo","Alto")</f>
        <v>Alto</v>
      </c>
      <c r="AG499" t="str">
        <f>LEFT(AE499,1)</f>
        <v>C</v>
      </c>
      <c r="AH499" t="str">
        <f>K499</f>
        <v>M</v>
      </c>
      <c r="AI499" t="str">
        <f>LEFT(AF499,1)</f>
        <v>A</v>
      </c>
      <c r="AJ499" t="str">
        <f>LEFT(M499,1)</f>
        <v>M</v>
      </c>
      <c r="AK499" t="str">
        <f>_xlfn.CONCAT(AG499,AH499,AI499,AJ499)</f>
        <v>CMAM</v>
      </c>
    </row>
    <row r="500" spans="1:37" ht="15.75" hidden="1" customHeight="1" x14ac:dyDescent="0.2">
      <c r="A500" s="1">
        <v>1078503</v>
      </c>
      <c r="B500" s="1" t="s">
        <v>1067</v>
      </c>
      <c r="C500" s="1" t="s">
        <v>1068</v>
      </c>
      <c r="D500" s="1" t="s">
        <v>1506</v>
      </c>
      <c r="E500" s="1" t="s">
        <v>755</v>
      </c>
      <c r="F500" s="1" t="s">
        <v>63</v>
      </c>
      <c r="G500" s="1" t="s">
        <v>1508</v>
      </c>
      <c r="H500" s="1">
        <v>28</v>
      </c>
      <c r="I500" s="1" t="s">
        <v>73</v>
      </c>
      <c r="J500" s="1">
        <v>5</v>
      </c>
      <c r="K500" s="1" t="s">
        <v>49</v>
      </c>
      <c r="L500" s="1">
        <v>54</v>
      </c>
      <c r="M500" s="1" t="str">
        <f>IF(L500&lt;=45,"Joven","Mayor")</f>
        <v>Mayor</v>
      </c>
      <c r="N500" s="1">
        <v>67</v>
      </c>
      <c r="O500" s="1" t="s">
        <v>50</v>
      </c>
      <c r="P500" s="1">
        <v>0.36199999999999999</v>
      </c>
      <c r="Q500" s="1">
        <v>90.372</v>
      </c>
      <c r="R500" s="1">
        <v>4.1037602</v>
      </c>
      <c r="S500" s="1">
        <v>6.6988586999999997</v>
      </c>
      <c r="T500" s="1">
        <v>-4.8975887</v>
      </c>
      <c r="U500" s="1">
        <v>0.68400000000000005</v>
      </c>
      <c r="V500" s="1">
        <v>78</v>
      </c>
      <c r="W500" s="1">
        <v>124</v>
      </c>
      <c r="X500" s="1">
        <v>1.5897435897435896</v>
      </c>
      <c r="Y500" s="1">
        <v>82</v>
      </c>
      <c r="Z500" s="1">
        <v>124</v>
      </c>
      <c r="AA500" s="1">
        <v>1.5121951219512195</v>
      </c>
      <c r="AB500" s="1">
        <v>80.617963146419015</v>
      </c>
      <c r="AC500" s="1">
        <v>123.803387346446</v>
      </c>
      <c r="AD500" s="1">
        <v>1.5356799218753923</v>
      </c>
      <c r="AE500" t="s">
        <v>4817</v>
      </c>
      <c r="AF500" t="str">
        <f>IF(X500&lt;$AF$1,"Bajo","Alto")</f>
        <v>Bajo</v>
      </c>
      <c r="AG500" t="str">
        <f>LEFT(AE500,1)</f>
        <v>C</v>
      </c>
      <c r="AH500" t="str">
        <f>K500</f>
        <v>F</v>
      </c>
      <c r="AI500" t="str">
        <f>LEFT(AF500,1)</f>
        <v>B</v>
      </c>
      <c r="AJ500" t="str">
        <f>LEFT(M500,1)</f>
        <v>M</v>
      </c>
      <c r="AK500" t="str">
        <f>_xlfn.CONCAT(AG500,AH500,AI500,AJ500)</f>
        <v>CFBM</v>
      </c>
    </row>
    <row r="501" spans="1:37" ht="15.75" hidden="1" customHeight="1" x14ac:dyDescent="0.2">
      <c r="A501" s="1">
        <v>173102</v>
      </c>
      <c r="B501" s="1" t="s">
        <v>2551</v>
      </c>
      <c r="C501" s="1" t="s">
        <v>2552</v>
      </c>
      <c r="D501" s="1" t="s">
        <v>2621</v>
      </c>
      <c r="E501" s="1" t="s">
        <v>628</v>
      </c>
      <c r="F501" s="1" t="s">
        <v>37</v>
      </c>
      <c r="G501" s="1" t="s">
        <v>2622</v>
      </c>
      <c r="H501" s="1">
        <v>1004</v>
      </c>
      <c r="I501" s="1" t="s">
        <v>42</v>
      </c>
      <c r="J501" s="1">
        <v>15</v>
      </c>
      <c r="K501" s="1" t="s">
        <v>35</v>
      </c>
      <c r="L501" s="1">
        <v>43</v>
      </c>
      <c r="M501" s="1" t="str">
        <f>IF(L501&lt;=45,"Joven","Mayor")</f>
        <v>Joven</v>
      </c>
      <c r="N501" s="1">
        <v>31</v>
      </c>
      <c r="O501" s="1" t="s">
        <v>36</v>
      </c>
      <c r="P501" s="1">
        <v>1.6379999999999999</v>
      </c>
      <c r="Q501" s="1">
        <v>92.507000000000005</v>
      </c>
      <c r="R501" s="1">
        <v>2.6593374999999999</v>
      </c>
      <c r="S501" s="1">
        <v>-3.2245553</v>
      </c>
      <c r="T501" s="1">
        <v>-1.1894488000000001</v>
      </c>
      <c r="U501" s="1">
        <v>48.703000000000003</v>
      </c>
      <c r="V501" s="1">
        <v>106</v>
      </c>
      <c r="W501" s="1">
        <v>170</v>
      </c>
      <c r="X501" s="1">
        <v>1.6037735849056605</v>
      </c>
      <c r="Y501" s="1">
        <v>115</v>
      </c>
      <c r="Z501" s="1">
        <v>170</v>
      </c>
      <c r="AA501" s="1">
        <v>1.4782608695652173</v>
      </c>
      <c r="AB501" s="1">
        <v>115.8263107368107</v>
      </c>
      <c r="AC501" s="1">
        <v>170.0048855465202</v>
      </c>
      <c r="AD501" s="1">
        <v>1.4677570619754794</v>
      </c>
      <c r="AE501" t="s">
        <v>4817</v>
      </c>
      <c r="AF501" t="str">
        <f>IF(X501&lt;$AF$1,"Bajo","Alto")</f>
        <v>Bajo</v>
      </c>
      <c r="AG501" t="str">
        <f>LEFT(AE501,1)</f>
        <v>C</v>
      </c>
      <c r="AH501" t="str">
        <f>K501</f>
        <v>M</v>
      </c>
      <c r="AI501" t="str">
        <f>LEFT(AF501,1)</f>
        <v>B</v>
      </c>
      <c r="AJ501" t="str">
        <f>LEFT(M501,1)</f>
        <v>J</v>
      </c>
      <c r="AK501" t="str">
        <f>_xlfn.CONCAT(AG501,AH501,AI501,AJ501)</f>
        <v>CMBJ</v>
      </c>
    </row>
    <row r="502" spans="1:37" ht="15.75" hidden="1" customHeight="1" x14ac:dyDescent="0.2">
      <c r="A502" s="1">
        <v>1079103</v>
      </c>
      <c r="B502" s="1" t="s">
        <v>1067</v>
      </c>
      <c r="C502" s="1" t="s">
        <v>1068</v>
      </c>
      <c r="D502" s="1" t="s">
        <v>1517</v>
      </c>
      <c r="E502" s="1" t="s">
        <v>770</v>
      </c>
      <c r="F502" s="1" t="s">
        <v>63</v>
      </c>
      <c r="G502" s="1" t="s">
        <v>1520</v>
      </c>
      <c r="H502" s="1">
        <v>0</v>
      </c>
      <c r="I502" s="1" t="s">
        <v>1521</v>
      </c>
      <c r="J502" s="1">
        <v>4177</v>
      </c>
      <c r="K502" s="1" t="s">
        <v>35</v>
      </c>
      <c r="L502" s="1">
        <v>50</v>
      </c>
      <c r="M502" s="1" t="str">
        <f>IF(L502&lt;=45,"Joven","Mayor")</f>
        <v>Mayor</v>
      </c>
      <c r="N502" s="1">
        <v>55</v>
      </c>
      <c r="O502" s="1" t="s">
        <v>36</v>
      </c>
      <c r="P502" s="1">
        <v>0.36199999999999999</v>
      </c>
      <c r="Q502" s="1">
        <v>71.08</v>
      </c>
      <c r="R502" s="1">
        <v>12.477509</v>
      </c>
      <c r="S502" s="1">
        <v>3.5207934000000001</v>
      </c>
      <c r="T502" s="1">
        <v>-10.23779</v>
      </c>
      <c r="U502" s="1">
        <v>21.652999999999999</v>
      </c>
      <c r="V502" s="1">
        <v>63</v>
      </c>
      <c r="W502" s="1">
        <v>120</v>
      </c>
      <c r="X502" s="1">
        <v>1.9047619047619047</v>
      </c>
      <c r="Y502" s="1">
        <v>72</v>
      </c>
      <c r="Z502" s="1">
        <v>120</v>
      </c>
      <c r="AA502" s="1">
        <v>1.6666666666666667</v>
      </c>
      <c r="AB502" s="1">
        <v>68.217635862934458</v>
      </c>
      <c r="AC502" s="1">
        <v>120.5777052372287</v>
      </c>
      <c r="AD502" s="1">
        <v>1.7675444730963432</v>
      </c>
      <c r="AE502" t="s">
        <v>4815</v>
      </c>
      <c r="AF502" t="str">
        <f>IF(X502&lt;$AF$1,"Bajo","Alto")</f>
        <v>Alto</v>
      </c>
      <c r="AG502" t="str">
        <f>LEFT(AE502,1)</f>
        <v>I</v>
      </c>
      <c r="AH502" t="str">
        <f>K502</f>
        <v>M</v>
      </c>
      <c r="AI502" t="str">
        <f>LEFT(AF502,1)</f>
        <v>A</v>
      </c>
      <c r="AJ502" t="str">
        <f>LEFT(M502,1)</f>
        <v>M</v>
      </c>
      <c r="AK502" t="str">
        <f>_xlfn.CONCAT(AG502,AH502,AI502,AJ502)</f>
        <v>IMAM</v>
      </c>
    </row>
    <row r="503" spans="1:37" ht="15.75" hidden="1" customHeight="1" x14ac:dyDescent="0.2">
      <c r="A503" s="1">
        <v>1031005</v>
      </c>
      <c r="B503" s="1" t="s">
        <v>783</v>
      </c>
      <c r="C503" s="1" t="s">
        <v>81</v>
      </c>
      <c r="D503" s="1" t="s">
        <v>798</v>
      </c>
      <c r="E503" s="1" t="s">
        <v>75</v>
      </c>
      <c r="F503" s="1" t="s">
        <v>40</v>
      </c>
      <c r="G503" s="1" t="s">
        <v>803</v>
      </c>
      <c r="H503" s="1">
        <v>12</v>
      </c>
      <c r="I503" s="1" t="s">
        <v>73</v>
      </c>
      <c r="J503" s="1">
        <v>5</v>
      </c>
      <c r="K503" s="1" t="s">
        <v>35</v>
      </c>
      <c r="L503" s="1">
        <v>40</v>
      </c>
      <c r="M503" s="1" t="str">
        <f>IF(L503&lt;=45,"Joven","Mayor")</f>
        <v>Joven</v>
      </c>
      <c r="N503" s="1">
        <v>44</v>
      </c>
      <c r="O503" s="1" t="s">
        <v>36</v>
      </c>
      <c r="P503" s="1">
        <v>0.35099999999999998</v>
      </c>
      <c r="Q503" s="1">
        <v>94.27</v>
      </c>
      <c r="R503" s="1">
        <v>-1.1428392000000001</v>
      </c>
      <c r="S503" s="1">
        <v>0.9548373</v>
      </c>
      <c r="T503" s="1">
        <v>-1.004292</v>
      </c>
      <c r="U503" s="1">
        <v>68.882999999999996</v>
      </c>
      <c r="V503" s="1">
        <v>76</v>
      </c>
      <c r="W503" s="1">
        <v>149</v>
      </c>
      <c r="X503" s="1">
        <v>1.9605263157894737</v>
      </c>
      <c r="Y503" s="1">
        <v>78</v>
      </c>
      <c r="Z503" s="1">
        <v>149</v>
      </c>
      <c r="AA503" s="1">
        <v>1.9102564102564104</v>
      </c>
      <c r="AB503" s="1">
        <v>77.427144285620898</v>
      </c>
      <c r="AC503" s="1">
        <v>149.01216597394841</v>
      </c>
      <c r="AD503" s="1">
        <v>1.9245468414056137</v>
      </c>
      <c r="AE503" t="s">
        <v>4817</v>
      </c>
      <c r="AF503" t="str">
        <f>IF(X503&lt;$AF$1,"Bajo","Alto")</f>
        <v>Alto</v>
      </c>
      <c r="AG503" t="str">
        <f>LEFT(AE503,1)</f>
        <v>C</v>
      </c>
      <c r="AH503" t="str">
        <f>K503</f>
        <v>M</v>
      </c>
      <c r="AI503" t="str">
        <f>LEFT(AF503,1)</f>
        <v>A</v>
      </c>
      <c r="AJ503" t="str">
        <f>LEFT(M503,1)</f>
        <v>J</v>
      </c>
      <c r="AK503" t="str">
        <f>_xlfn.CONCAT(AG503,AH503,AI503,AJ503)</f>
        <v>CMAJ</v>
      </c>
    </row>
    <row r="504" spans="1:37" ht="15.75" hidden="1" customHeight="1" x14ac:dyDescent="0.2">
      <c r="A504" s="1">
        <v>1218005</v>
      </c>
      <c r="B504" s="1" t="s">
        <v>1798</v>
      </c>
      <c r="C504" s="1" t="s">
        <v>54</v>
      </c>
      <c r="D504" s="1" t="s">
        <v>1808</v>
      </c>
      <c r="E504" s="1" t="s">
        <v>1809</v>
      </c>
      <c r="F504" s="1" t="s">
        <v>40</v>
      </c>
      <c r="G504" s="1" t="s">
        <v>1811</v>
      </c>
      <c r="H504" s="1">
        <v>10</v>
      </c>
      <c r="I504" s="1" t="s">
        <v>73</v>
      </c>
      <c r="J504" s="1">
        <v>5</v>
      </c>
      <c r="K504" s="1" t="s">
        <v>49</v>
      </c>
      <c r="L504" s="1">
        <v>39</v>
      </c>
      <c r="M504" s="1" t="str">
        <f>IF(L504&lt;=45,"Joven","Mayor")</f>
        <v>Joven</v>
      </c>
      <c r="N504" s="1">
        <v>34</v>
      </c>
      <c r="O504" s="1" t="s">
        <v>50</v>
      </c>
      <c r="P504" s="1">
        <v>0.98799999999999999</v>
      </c>
      <c r="Q504" s="1">
        <v>90.781000000000006</v>
      </c>
      <c r="R504" s="1">
        <v>3.2769043</v>
      </c>
      <c r="S504" s="1">
        <v>7.1657970000000004</v>
      </c>
      <c r="T504" s="1">
        <v>-1.4696206999999999</v>
      </c>
      <c r="U504" s="1">
        <v>38.706000000000003</v>
      </c>
      <c r="V504" s="1">
        <v>76</v>
      </c>
      <c r="W504" s="1">
        <v>149</v>
      </c>
      <c r="X504" s="1">
        <v>1.9605263157894737</v>
      </c>
      <c r="Y504" s="1">
        <v>83</v>
      </c>
      <c r="Z504" s="1">
        <v>149</v>
      </c>
      <c r="AA504" s="1">
        <v>1.7951807228915662</v>
      </c>
      <c r="AB504" s="1">
        <v>82.10070345306076</v>
      </c>
      <c r="AC504" s="1">
        <v>149.33569214419691</v>
      </c>
      <c r="AD504" s="1">
        <v>1.8189331621205445</v>
      </c>
      <c r="AE504" t="s">
        <v>4817</v>
      </c>
      <c r="AF504" t="str">
        <f>IF(X504&lt;$AF$1,"Bajo","Alto")</f>
        <v>Alto</v>
      </c>
      <c r="AG504" t="str">
        <f>LEFT(AE504,1)</f>
        <v>C</v>
      </c>
      <c r="AH504" t="str">
        <f>K504</f>
        <v>F</v>
      </c>
      <c r="AI504" t="str">
        <f>LEFT(AF504,1)</f>
        <v>A</v>
      </c>
      <c r="AJ504" t="str">
        <f>LEFT(M504,1)</f>
        <v>J</v>
      </c>
      <c r="AK504" t="str">
        <f>_xlfn.CONCAT(AG504,AH504,AI504,AJ504)</f>
        <v>CFAJ</v>
      </c>
    </row>
    <row r="505" spans="1:37" ht="15.75" hidden="1" customHeight="1" x14ac:dyDescent="0.2">
      <c r="A505" s="1">
        <v>316105</v>
      </c>
      <c r="B505" s="1" t="s">
        <v>4122</v>
      </c>
      <c r="C505" s="1" t="s">
        <v>628</v>
      </c>
      <c r="D505" s="1" t="s">
        <v>4240</v>
      </c>
      <c r="E505" s="1" t="s">
        <v>701</v>
      </c>
      <c r="F505" s="1" t="s">
        <v>40</v>
      </c>
      <c r="G505" s="1" t="s">
        <v>4244</v>
      </c>
      <c r="H505" s="1">
        <v>97</v>
      </c>
      <c r="I505" s="1" t="s">
        <v>45</v>
      </c>
      <c r="J505" s="1">
        <v>17</v>
      </c>
      <c r="K505" s="1" t="s">
        <v>49</v>
      </c>
      <c r="L505" s="1">
        <v>31</v>
      </c>
      <c r="M505" s="1" t="str">
        <f>IF(L505&lt;=45,"Joven","Mayor")</f>
        <v>Joven</v>
      </c>
      <c r="N505" s="1">
        <v>26</v>
      </c>
      <c r="O505" s="1" t="s">
        <v>50</v>
      </c>
      <c r="P505" s="1">
        <v>0.32400000000000001</v>
      </c>
      <c r="Q505" s="1">
        <v>90.679000000000002</v>
      </c>
      <c r="R505" s="1">
        <v>3.4924225999999998</v>
      </c>
      <c r="S505" s="1">
        <v>7.4174300000000004</v>
      </c>
      <c r="T505" s="1">
        <v>-1.5189859000000001</v>
      </c>
      <c r="U505" s="1">
        <v>2.3519999999999999</v>
      </c>
      <c r="V505" s="1">
        <v>103</v>
      </c>
      <c r="W505" s="1">
        <v>167</v>
      </c>
      <c r="X505" s="1">
        <v>1.6213592233009708</v>
      </c>
      <c r="Y505" s="1">
        <v>111</v>
      </c>
      <c r="Z505" s="1">
        <v>167</v>
      </c>
      <c r="AA505" s="1">
        <v>1.5045045045045045</v>
      </c>
      <c r="AB505" s="1">
        <v>109.60907595942309</v>
      </c>
      <c r="AC505" s="1">
        <v>167.02084011961639</v>
      </c>
      <c r="AD505" s="1">
        <v>1.5237865902769487</v>
      </c>
      <c r="AE505" t="s">
        <v>4817</v>
      </c>
      <c r="AF505" t="str">
        <f>IF(X505&lt;$AF$1,"Bajo","Alto")</f>
        <v>Bajo</v>
      </c>
      <c r="AG505" t="str">
        <f>LEFT(AE505,1)</f>
        <v>C</v>
      </c>
      <c r="AH505" t="str">
        <f>K505</f>
        <v>F</v>
      </c>
      <c r="AI505" t="str">
        <f>LEFT(AF505,1)</f>
        <v>B</v>
      </c>
      <c r="AJ505" t="str">
        <f>LEFT(M505,1)</f>
        <v>J</v>
      </c>
      <c r="AK505" t="str">
        <f>_xlfn.CONCAT(AG505,AH505,AI505,AJ505)</f>
        <v>CFBJ</v>
      </c>
    </row>
    <row r="506" spans="1:37" ht="15.75" hidden="1" customHeight="1" x14ac:dyDescent="0.2">
      <c r="A506" s="1">
        <v>251303</v>
      </c>
      <c r="B506" s="1" t="s">
        <v>3169</v>
      </c>
      <c r="C506" s="1" t="s">
        <v>821</v>
      </c>
      <c r="D506" s="1" t="s">
        <v>3200</v>
      </c>
      <c r="E506" s="1" t="s">
        <v>163</v>
      </c>
      <c r="F506" s="1" t="s">
        <v>63</v>
      </c>
      <c r="G506" s="1" t="s">
        <v>3202</v>
      </c>
      <c r="H506" s="1">
        <v>1087</v>
      </c>
      <c r="I506" s="1" t="s">
        <v>134</v>
      </c>
      <c r="J506" s="1">
        <v>8</v>
      </c>
      <c r="K506" s="1" t="s">
        <v>35</v>
      </c>
      <c r="L506" s="1">
        <v>35</v>
      </c>
      <c r="M506" s="1" t="str">
        <f>IF(L506&lt;=45,"Joven","Mayor")</f>
        <v>Joven</v>
      </c>
      <c r="N506" s="1">
        <v>43</v>
      </c>
      <c r="O506" s="1" t="s">
        <v>36</v>
      </c>
      <c r="P506" s="1">
        <v>0.32900000000000001</v>
      </c>
      <c r="Q506" s="1">
        <v>92.56</v>
      </c>
      <c r="R506" s="1">
        <v>-1.8853244</v>
      </c>
      <c r="S506" s="1">
        <v>6.0854720000000002</v>
      </c>
      <c r="T506" s="1">
        <v>0.19614701000000001</v>
      </c>
      <c r="U506" s="1">
        <v>40.598999999999997</v>
      </c>
      <c r="V506" s="1">
        <v>74</v>
      </c>
      <c r="W506" s="1">
        <v>145</v>
      </c>
      <c r="X506" s="1">
        <v>1.9594594594594594</v>
      </c>
      <c r="Y506" s="1">
        <v>75</v>
      </c>
      <c r="Z506" s="1">
        <v>145</v>
      </c>
      <c r="AA506" s="1">
        <v>1.9333333333333333</v>
      </c>
      <c r="AB506" s="1">
        <v>74.890011567457805</v>
      </c>
      <c r="AC506" s="1">
        <v>145.00257372385661</v>
      </c>
      <c r="AD506" s="1">
        <v>1.9362071214696546</v>
      </c>
      <c r="AE506" t="s">
        <v>4817</v>
      </c>
      <c r="AF506" t="str">
        <f>IF(X506&lt;$AF$1,"Bajo","Alto")</f>
        <v>Alto</v>
      </c>
      <c r="AG506" t="str">
        <f>LEFT(AE506,1)</f>
        <v>C</v>
      </c>
      <c r="AH506" t="str">
        <f>K506</f>
        <v>M</v>
      </c>
      <c r="AI506" t="str">
        <f>LEFT(AF506,1)</f>
        <v>A</v>
      </c>
      <c r="AJ506" t="str">
        <f>LEFT(M506,1)</f>
        <v>J</v>
      </c>
      <c r="AK506" t="str">
        <f>_xlfn.CONCAT(AG506,AH506,AI506,AJ506)</f>
        <v>CMAJ</v>
      </c>
    </row>
    <row r="507" spans="1:37" ht="15.75" hidden="1" customHeight="1" x14ac:dyDescent="0.2">
      <c r="A507" s="1">
        <v>173505</v>
      </c>
      <c r="B507" s="1" t="s">
        <v>2551</v>
      </c>
      <c r="C507" s="1" t="s">
        <v>2552</v>
      </c>
      <c r="D507" s="1" t="s">
        <v>2628</v>
      </c>
      <c r="E507" s="1" t="s">
        <v>640</v>
      </c>
      <c r="F507" s="1" t="s">
        <v>40</v>
      </c>
      <c r="G507" s="1" t="s">
        <v>2630</v>
      </c>
      <c r="H507" s="1">
        <v>2386</v>
      </c>
      <c r="I507" s="1" t="s">
        <v>2631</v>
      </c>
      <c r="J507" s="1">
        <v>3996</v>
      </c>
      <c r="K507" s="1" t="s">
        <v>35</v>
      </c>
      <c r="L507" s="1">
        <v>47</v>
      </c>
      <c r="M507" s="1" t="str">
        <f>IF(L507&lt;=45,"Joven","Mayor")</f>
        <v>Mayor</v>
      </c>
      <c r="N507" s="1">
        <v>45</v>
      </c>
      <c r="O507" s="1" t="s">
        <v>36</v>
      </c>
      <c r="P507" s="1">
        <v>3.7999999999999999E-2</v>
      </c>
      <c r="Q507" s="1">
        <v>92.427999999999997</v>
      </c>
      <c r="R507" s="1">
        <v>4.1804439999999996</v>
      </c>
      <c r="S507" s="1">
        <v>-9.4949019999999995E-2</v>
      </c>
      <c r="T507" s="1">
        <v>5.0016290000000003</v>
      </c>
      <c r="U507" s="1">
        <v>0.82599999999999996</v>
      </c>
      <c r="V507" s="1">
        <v>80</v>
      </c>
      <c r="W507" s="1">
        <v>156</v>
      </c>
      <c r="X507" s="1">
        <v>1.95</v>
      </c>
      <c r="Y507" s="1">
        <v>89</v>
      </c>
      <c r="Z507" s="1">
        <v>156</v>
      </c>
      <c r="AA507" s="1">
        <v>1.752808988764045</v>
      </c>
      <c r="AB507" s="1">
        <v>86.045585577730435</v>
      </c>
      <c r="AC507" s="1">
        <v>156.97529946443589</v>
      </c>
      <c r="AD507" s="1">
        <v>1.8243271680989392</v>
      </c>
      <c r="AE507" t="s">
        <v>4817</v>
      </c>
      <c r="AF507" t="str">
        <f>IF(X507&lt;$AF$1,"Bajo","Alto")</f>
        <v>Alto</v>
      </c>
      <c r="AG507" t="str">
        <f>LEFT(AE507,1)</f>
        <v>C</v>
      </c>
      <c r="AH507" t="str">
        <f>K507</f>
        <v>M</v>
      </c>
      <c r="AI507" t="str">
        <f>LEFT(AF507,1)</f>
        <v>A</v>
      </c>
      <c r="AJ507" t="str">
        <f>LEFT(M507,1)</f>
        <v>M</v>
      </c>
      <c r="AK507" t="str">
        <f>_xlfn.CONCAT(AG507,AH507,AI507,AJ507)</f>
        <v>CMAM</v>
      </c>
    </row>
    <row r="508" spans="1:37" ht="15.75" hidden="1" customHeight="1" x14ac:dyDescent="0.2">
      <c r="A508" s="1">
        <v>257905</v>
      </c>
      <c r="B508" s="1" t="s">
        <v>3169</v>
      </c>
      <c r="C508" s="1" t="s">
        <v>821</v>
      </c>
      <c r="D508" s="1" t="s">
        <v>2266</v>
      </c>
      <c r="E508" s="1" t="s">
        <v>739</v>
      </c>
      <c r="F508" s="1" t="s">
        <v>40</v>
      </c>
      <c r="G508" s="1" t="s">
        <v>3326</v>
      </c>
      <c r="H508" s="1">
        <v>853</v>
      </c>
      <c r="I508" s="1" t="s">
        <v>65</v>
      </c>
      <c r="J508" s="1">
        <v>2</v>
      </c>
      <c r="K508" s="1" t="s">
        <v>35</v>
      </c>
      <c r="L508" s="1">
        <v>50</v>
      </c>
      <c r="M508" s="1" t="str">
        <f>IF(L508&lt;=45,"Joven","Mayor")</f>
        <v>Mayor</v>
      </c>
      <c r="N508" s="1">
        <v>46</v>
      </c>
      <c r="O508" s="1" t="s">
        <v>36</v>
      </c>
      <c r="P508" s="1">
        <v>0.36199999999999999</v>
      </c>
      <c r="Q508" s="1">
        <v>91.307000000000002</v>
      </c>
      <c r="R508" s="1">
        <v>5.134093</v>
      </c>
      <c r="S508" s="1">
        <v>-0.47242028000000003</v>
      </c>
      <c r="T508" s="1">
        <v>-0.81647753999999995</v>
      </c>
      <c r="U508" s="1">
        <v>8.8569999999999993</v>
      </c>
      <c r="V508" s="1">
        <v>100</v>
      </c>
      <c r="W508" s="1">
        <v>195</v>
      </c>
      <c r="X508" s="1">
        <v>1.95</v>
      </c>
      <c r="Y508" s="1">
        <v>100</v>
      </c>
      <c r="Z508" s="1">
        <v>195</v>
      </c>
      <c r="AA508" s="1">
        <v>1.95</v>
      </c>
      <c r="AB508" s="1">
        <v>100.7165834229843</v>
      </c>
      <c r="AC508" s="1">
        <v>195.12269851674591</v>
      </c>
      <c r="AD508" s="1">
        <v>1.9373442970883921</v>
      </c>
      <c r="AE508" t="s">
        <v>4817</v>
      </c>
      <c r="AF508" t="str">
        <f>IF(X508&lt;$AF$1,"Bajo","Alto")</f>
        <v>Alto</v>
      </c>
      <c r="AG508" t="str">
        <f>LEFT(AE508,1)</f>
        <v>C</v>
      </c>
      <c r="AH508" t="str">
        <f>K508</f>
        <v>M</v>
      </c>
      <c r="AI508" t="str">
        <f>LEFT(AF508,1)</f>
        <v>A</v>
      </c>
      <c r="AJ508" t="str">
        <f>LEFT(M508,1)</f>
        <v>M</v>
      </c>
      <c r="AK508" t="str">
        <f>_xlfn.CONCAT(AG508,AH508,AI508,AJ508)</f>
        <v>CMAM</v>
      </c>
    </row>
    <row r="509" spans="1:37" ht="15.75" hidden="1" customHeight="1" x14ac:dyDescent="0.2">
      <c r="A509" s="1">
        <v>295803</v>
      </c>
      <c r="B509" s="1" t="s">
        <v>3890</v>
      </c>
      <c r="C509" s="1" t="s">
        <v>1695</v>
      </c>
      <c r="D509" s="1" t="s">
        <v>4035</v>
      </c>
      <c r="E509" s="1" t="s">
        <v>695</v>
      </c>
      <c r="F509" s="1" t="s">
        <v>63</v>
      </c>
      <c r="G509" s="1" t="s">
        <v>4038</v>
      </c>
      <c r="H509" s="1">
        <v>275</v>
      </c>
      <c r="I509" s="1" t="s">
        <v>85</v>
      </c>
      <c r="J509" s="1">
        <v>12</v>
      </c>
      <c r="K509" s="1" t="s">
        <v>49</v>
      </c>
      <c r="L509" s="1">
        <v>43</v>
      </c>
      <c r="M509" s="1" t="str">
        <f>IF(L509&lt;=45,"Joven","Mayor")</f>
        <v>Joven</v>
      </c>
      <c r="N509" s="1">
        <v>37</v>
      </c>
      <c r="O509" s="1" t="s">
        <v>50</v>
      </c>
      <c r="P509" s="1">
        <v>0.36899999999999999</v>
      </c>
      <c r="Q509" s="1">
        <v>91.793999999999997</v>
      </c>
      <c r="R509" s="1">
        <v>-3.5227560000000002</v>
      </c>
      <c r="S509" s="1">
        <v>4.5109909999999998</v>
      </c>
      <c r="T509" s="1">
        <v>1.1206882</v>
      </c>
      <c r="U509" s="1">
        <v>39.399000000000001</v>
      </c>
      <c r="V509" s="1">
        <v>97</v>
      </c>
      <c r="W509" s="1">
        <v>143</v>
      </c>
      <c r="X509" s="1">
        <v>1.4742268041237114</v>
      </c>
      <c r="Y509" s="1">
        <v>97</v>
      </c>
      <c r="Z509" s="1">
        <v>143</v>
      </c>
      <c r="AA509" s="1">
        <v>1.4742268041237114</v>
      </c>
      <c r="AB509" s="1">
        <v>97.685549638060593</v>
      </c>
      <c r="AC509" s="1">
        <v>142.99220472348321</v>
      </c>
      <c r="AD509" s="1">
        <v>1.4638009946536665</v>
      </c>
      <c r="AE509" t="s">
        <v>4815</v>
      </c>
      <c r="AF509" t="str">
        <f>IF(X509&lt;$AF$1,"Bajo","Alto")</f>
        <v>Bajo</v>
      </c>
      <c r="AG509" t="str">
        <f>LEFT(AE509,1)</f>
        <v>I</v>
      </c>
      <c r="AH509" t="str">
        <f>K509</f>
        <v>F</v>
      </c>
      <c r="AI509" t="str">
        <f>LEFT(AF509,1)</f>
        <v>B</v>
      </c>
      <c r="AJ509" t="str">
        <f>LEFT(M509,1)</f>
        <v>J</v>
      </c>
      <c r="AK509" t="str">
        <f>_xlfn.CONCAT(AG509,AH509,AI509,AJ509)</f>
        <v>IFBJ</v>
      </c>
    </row>
    <row r="510" spans="1:37" ht="15.75" hidden="1" customHeight="1" x14ac:dyDescent="0.2">
      <c r="A510" s="1">
        <v>10724801</v>
      </c>
      <c r="B510" s="1" t="s">
        <v>1067</v>
      </c>
      <c r="C510" s="1" t="s">
        <v>1068</v>
      </c>
      <c r="D510" s="1" t="s">
        <v>1274</v>
      </c>
      <c r="E510" s="1" t="s">
        <v>1275</v>
      </c>
      <c r="F510" s="1" t="s">
        <v>32</v>
      </c>
      <c r="G510" s="1" t="s">
        <v>1276</v>
      </c>
      <c r="H510" s="1">
        <v>872</v>
      </c>
      <c r="I510" s="1" t="s">
        <v>100</v>
      </c>
      <c r="J510" s="1">
        <v>1</v>
      </c>
      <c r="K510" s="1" t="s">
        <v>35</v>
      </c>
      <c r="L510" s="1">
        <v>36</v>
      </c>
      <c r="M510" s="1" t="str">
        <f>IF(L510&lt;=45,"Joven","Mayor")</f>
        <v>Joven</v>
      </c>
      <c r="N510" s="1">
        <v>40</v>
      </c>
      <c r="O510" s="1" t="s">
        <v>36</v>
      </c>
      <c r="P510" s="1">
        <v>0.35899999999999999</v>
      </c>
      <c r="Q510" s="1">
        <v>92.662999999999997</v>
      </c>
      <c r="R510" s="1">
        <v>-3.1881726000000001</v>
      </c>
      <c r="S510" s="1">
        <v>2.4431229000000001</v>
      </c>
      <c r="T510" s="1">
        <v>-2.4863496</v>
      </c>
      <c r="U510" s="1">
        <v>1.022</v>
      </c>
      <c r="V510" s="1">
        <v>86</v>
      </c>
      <c r="W510" s="1">
        <v>138</v>
      </c>
      <c r="X510" s="1">
        <v>1.6046511627906976</v>
      </c>
      <c r="Y510" s="1">
        <v>87</v>
      </c>
      <c r="Z510" s="1">
        <v>138</v>
      </c>
      <c r="AA510" s="1">
        <v>1.5862068965517242</v>
      </c>
      <c r="AB510" s="1">
        <v>88.479826186091032</v>
      </c>
      <c r="AC510" s="1">
        <v>138.00022887739081</v>
      </c>
      <c r="AD510" s="1">
        <v>1.5596801533848894</v>
      </c>
      <c r="AE510" t="s">
        <v>4817</v>
      </c>
      <c r="AF510" t="str">
        <f>IF(X510&lt;$AF$1,"Bajo","Alto")</f>
        <v>Bajo</v>
      </c>
      <c r="AG510" t="str">
        <f>LEFT(AE510,1)</f>
        <v>C</v>
      </c>
      <c r="AH510" t="str">
        <f>K510</f>
        <v>M</v>
      </c>
      <c r="AI510" t="str">
        <f>LEFT(AF510,1)</f>
        <v>B</v>
      </c>
      <c r="AJ510" t="str">
        <f>LEFT(M510,1)</f>
        <v>J</v>
      </c>
      <c r="AK510" t="str">
        <f>_xlfn.CONCAT(AG510,AH510,AI510,AJ510)</f>
        <v>CMBJ</v>
      </c>
    </row>
    <row r="511" spans="1:37" ht="15.75" hidden="1" customHeight="1" x14ac:dyDescent="0.2">
      <c r="A511" s="1">
        <v>1522302</v>
      </c>
      <c r="B511" s="1" t="s">
        <v>2077</v>
      </c>
      <c r="C511" s="1" t="s">
        <v>57</v>
      </c>
      <c r="D511" s="1" t="s">
        <v>2261</v>
      </c>
      <c r="E511" s="1" t="s">
        <v>423</v>
      </c>
      <c r="F511" s="1" t="s">
        <v>37</v>
      </c>
      <c r="G511" s="1" t="s">
        <v>2263</v>
      </c>
      <c r="H511" s="1">
        <v>33</v>
      </c>
      <c r="I511" s="1" t="s">
        <v>73</v>
      </c>
      <c r="J511" s="1">
        <v>5</v>
      </c>
      <c r="K511" s="1" t="s">
        <v>35</v>
      </c>
      <c r="L511" s="1">
        <v>51</v>
      </c>
      <c r="M511" s="1" t="str">
        <f>IF(L511&lt;=45,"Joven","Mayor")</f>
        <v>Mayor</v>
      </c>
      <c r="N511" s="1">
        <v>53</v>
      </c>
      <c r="O511" s="1" t="s">
        <v>36</v>
      </c>
      <c r="P511" s="1">
        <v>0.37</v>
      </c>
      <c r="Q511" s="1">
        <v>51.164000000000001</v>
      </c>
      <c r="R511" s="1">
        <v>15.472265999999999</v>
      </c>
      <c r="S511" s="1">
        <v>5.335655</v>
      </c>
      <c r="T511" s="1">
        <v>-8.7609300000000001</v>
      </c>
      <c r="U511" s="1">
        <v>6.7830000000000004</v>
      </c>
      <c r="V511" s="1">
        <v>78</v>
      </c>
      <c r="W511" s="1">
        <v>152</v>
      </c>
      <c r="X511" s="1">
        <v>1.9487179487179487</v>
      </c>
      <c r="Y511" s="1">
        <v>84</v>
      </c>
      <c r="Z511" s="1">
        <v>152</v>
      </c>
      <c r="AA511" s="1">
        <v>1.8095238095238095</v>
      </c>
      <c r="AB511" s="1">
        <v>82.8777861265703</v>
      </c>
      <c r="AC511" s="1">
        <v>150.3788477848457</v>
      </c>
      <c r="AD511" s="1">
        <v>1.8144650673364793</v>
      </c>
      <c r="AE511" t="s">
        <v>4817</v>
      </c>
      <c r="AF511" t="str">
        <f>IF(X511&lt;$AF$1,"Bajo","Alto")</f>
        <v>Alto</v>
      </c>
      <c r="AG511" t="str">
        <f>LEFT(AE511,1)</f>
        <v>C</v>
      </c>
      <c r="AH511" t="str">
        <f>K511</f>
        <v>M</v>
      </c>
      <c r="AI511" t="str">
        <f>LEFT(AF511,1)</f>
        <v>A</v>
      </c>
      <c r="AJ511" t="str">
        <f>LEFT(M511,1)</f>
        <v>M</v>
      </c>
      <c r="AK511" t="str">
        <f>_xlfn.CONCAT(AG511,AH511,AI511,AJ511)</f>
        <v>CMAM</v>
      </c>
    </row>
    <row r="512" spans="1:37" ht="15.75" hidden="1" customHeight="1" x14ac:dyDescent="0.2">
      <c r="A512" s="1">
        <v>1510004</v>
      </c>
      <c r="B512" s="1" t="s">
        <v>2077</v>
      </c>
      <c r="C512" s="1" t="s">
        <v>57</v>
      </c>
      <c r="D512" s="1" t="s">
        <v>2090</v>
      </c>
      <c r="E512" s="1" t="s">
        <v>70</v>
      </c>
      <c r="F512" s="1" t="s">
        <v>61</v>
      </c>
      <c r="G512" s="1" t="s">
        <v>2097</v>
      </c>
      <c r="H512" s="1">
        <v>1011</v>
      </c>
      <c r="I512" s="1" t="s">
        <v>2098</v>
      </c>
      <c r="J512" s="1">
        <v>3806</v>
      </c>
      <c r="K512" s="1" t="s">
        <v>35</v>
      </c>
      <c r="L512" s="1">
        <v>33</v>
      </c>
      <c r="M512" s="1" t="str">
        <f>IF(L512&lt;=45,"Joven","Mayor")</f>
        <v>Joven</v>
      </c>
      <c r="N512" s="1">
        <v>39</v>
      </c>
      <c r="O512" s="1" t="s">
        <v>36</v>
      </c>
      <c r="P512" s="1">
        <v>0.34599999999999997</v>
      </c>
      <c r="Q512" s="1">
        <v>90.941999999999993</v>
      </c>
      <c r="R512" s="1">
        <v>-3.202947</v>
      </c>
      <c r="S512" s="1">
        <v>7.4329514999999997</v>
      </c>
      <c r="T512" s="1">
        <v>0.60428519999999997</v>
      </c>
      <c r="U512" s="1">
        <v>3.2280000000000002</v>
      </c>
      <c r="V512" s="1">
        <v>97</v>
      </c>
      <c r="W512" s="1">
        <v>190</v>
      </c>
      <c r="X512" s="1">
        <v>1.9587628865979381</v>
      </c>
      <c r="Y512" s="1">
        <v>105</v>
      </c>
      <c r="Z512" s="1">
        <v>190</v>
      </c>
      <c r="AA512" s="1">
        <v>1.8095238095238095</v>
      </c>
      <c r="AB512" s="1">
        <v>104.56175085015479</v>
      </c>
      <c r="AC512" s="1">
        <v>190.15817797465161</v>
      </c>
      <c r="AD512" s="1">
        <v>1.8186208286351595</v>
      </c>
      <c r="AE512" t="s">
        <v>4817</v>
      </c>
      <c r="AF512" t="str">
        <f>IF(X512&lt;$AF$1,"Bajo","Alto")</f>
        <v>Alto</v>
      </c>
      <c r="AG512" t="str">
        <f>LEFT(AE512,1)</f>
        <v>C</v>
      </c>
      <c r="AH512" t="str">
        <f>K512</f>
        <v>M</v>
      </c>
      <c r="AI512" t="str">
        <f>LEFT(AF512,1)</f>
        <v>A</v>
      </c>
      <c r="AJ512" t="str">
        <f>LEFT(M512,1)</f>
        <v>J</v>
      </c>
      <c r="AK512" t="str">
        <f>_xlfn.CONCAT(AG512,AH512,AI512,AJ512)</f>
        <v>CMAJ</v>
      </c>
    </row>
    <row r="513" spans="1:37" ht="15.75" hidden="1" customHeight="1" x14ac:dyDescent="0.2">
      <c r="A513" s="1">
        <v>1076703</v>
      </c>
      <c r="B513" s="1" t="s">
        <v>1067</v>
      </c>
      <c r="C513" s="1" t="s">
        <v>1068</v>
      </c>
      <c r="D513" s="1" t="s">
        <v>1467</v>
      </c>
      <c r="E513" s="1" t="s">
        <v>715</v>
      </c>
      <c r="F513" s="1" t="s">
        <v>63</v>
      </c>
      <c r="G513" s="1" t="s">
        <v>1470</v>
      </c>
      <c r="H513" s="1">
        <v>43</v>
      </c>
      <c r="I513" s="1" t="s">
        <v>42</v>
      </c>
      <c r="J513" s="1">
        <v>15</v>
      </c>
      <c r="K513" s="1" t="s">
        <v>49</v>
      </c>
      <c r="L513" s="1">
        <v>51</v>
      </c>
      <c r="M513" s="1" t="str">
        <f>IF(L513&lt;=45,"Joven","Mayor")</f>
        <v>Mayor</v>
      </c>
      <c r="N513" s="1">
        <v>51</v>
      </c>
      <c r="O513" s="1" t="s">
        <v>50</v>
      </c>
      <c r="P513" s="1">
        <v>0.39900000000000002</v>
      </c>
      <c r="Q513" s="1">
        <v>94.391999999999996</v>
      </c>
      <c r="R513" s="1">
        <v>-0.73223640000000001</v>
      </c>
      <c r="S513" s="1">
        <v>-1.3696064999999999</v>
      </c>
      <c r="T513" s="1">
        <v>1.3875355</v>
      </c>
      <c r="U513" s="1">
        <v>23.504000000000001</v>
      </c>
      <c r="V513" s="1">
        <v>66</v>
      </c>
      <c r="W513" s="1">
        <v>105</v>
      </c>
      <c r="X513" s="1">
        <v>1.5909090909090908</v>
      </c>
      <c r="Y513" s="1">
        <v>67</v>
      </c>
      <c r="Z513" s="1">
        <v>105</v>
      </c>
      <c r="AA513" s="1">
        <v>1.5671641791044777</v>
      </c>
      <c r="AB513" s="1">
        <v>66.682873745843835</v>
      </c>
      <c r="AC513" s="1">
        <v>104.9934267283957</v>
      </c>
      <c r="AD513" s="1">
        <v>1.5745186257054444</v>
      </c>
      <c r="AE513" t="s">
        <v>4817</v>
      </c>
      <c r="AF513" t="str">
        <f>IF(X513&lt;$AF$1,"Bajo","Alto")</f>
        <v>Bajo</v>
      </c>
      <c r="AG513" t="str">
        <f>LEFT(AE513,1)</f>
        <v>C</v>
      </c>
      <c r="AH513" t="str">
        <f>K513</f>
        <v>F</v>
      </c>
      <c r="AI513" t="str">
        <f>LEFT(AF513,1)</f>
        <v>B</v>
      </c>
      <c r="AJ513" t="str">
        <f>LEFT(M513,1)</f>
        <v>M</v>
      </c>
      <c r="AK513" t="str">
        <f>_xlfn.CONCAT(AG513,AH513,AI513,AJ513)</f>
        <v>CFBM</v>
      </c>
    </row>
    <row r="514" spans="1:37" ht="15.75" hidden="1" customHeight="1" x14ac:dyDescent="0.2">
      <c r="A514" s="1">
        <v>246201</v>
      </c>
      <c r="B514" s="1" t="s">
        <v>1548</v>
      </c>
      <c r="C514" s="1" t="s">
        <v>1993</v>
      </c>
      <c r="D514" s="1" t="s">
        <v>3152</v>
      </c>
      <c r="E514" s="1" t="s">
        <v>706</v>
      </c>
      <c r="F514" s="1" t="s">
        <v>32</v>
      </c>
      <c r="G514" s="1" t="s">
        <v>3153</v>
      </c>
      <c r="H514" s="1">
        <v>3468</v>
      </c>
      <c r="I514" s="1" t="s">
        <v>85</v>
      </c>
      <c r="J514" s="1">
        <v>12</v>
      </c>
      <c r="K514" s="1" t="s">
        <v>35</v>
      </c>
      <c r="L514" s="1">
        <v>26</v>
      </c>
      <c r="M514" s="1" t="str">
        <f>IF(L514&lt;=45,"Joven","Mayor")</f>
        <v>Joven</v>
      </c>
      <c r="N514" s="1">
        <v>26</v>
      </c>
      <c r="O514" s="1" t="s">
        <v>36</v>
      </c>
      <c r="P514" s="1">
        <v>0.58599999999999997</v>
      </c>
      <c r="Q514" s="1">
        <v>90.712999999999994</v>
      </c>
      <c r="R514" s="1">
        <v>3.9879234000000001</v>
      </c>
      <c r="S514" s="1">
        <v>6.0239406000000004</v>
      </c>
      <c r="T514" s="1">
        <v>-7.1707644000000004</v>
      </c>
      <c r="U514" s="1">
        <v>1.3080000000000001</v>
      </c>
      <c r="V514" s="1">
        <v>90</v>
      </c>
      <c r="W514" s="1">
        <v>143</v>
      </c>
      <c r="X514" s="1">
        <v>1.5888888888888888</v>
      </c>
      <c r="Y514" s="1">
        <v>95</v>
      </c>
      <c r="Z514" s="1">
        <v>143</v>
      </c>
      <c r="AA514" s="1">
        <v>1.5052631578947369</v>
      </c>
      <c r="AB514" s="1">
        <v>94.663627476832289</v>
      </c>
      <c r="AC514" s="1">
        <v>142.7553178691287</v>
      </c>
      <c r="AD514" s="1">
        <v>1.5080271237658438</v>
      </c>
      <c r="AE514" t="s">
        <v>4815</v>
      </c>
      <c r="AF514" t="str">
        <f>IF(X514&lt;$AF$1,"Bajo","Alto")</f>
        <v>Bajo</v>
      </c>
      <c r="AG514" t="str">
        <f>LEFT(AE514,1)</f>
        <v>I</v>
      </c>
      <c r="AH514" t="str">
        <f>K514</f>
        <v>M</v>
      </c>
      <c r="AI514" t="str">
        <f>LEFT(AF514,1)</f>
        <v>B</v>
      </c>
      <c r="AJ514" t="str">
        <f>LEFT(M514,1)</f>
        <v>J</v>
      </c>
      <c r="AK514" t="str">
        <f>_xlfn.CONCAT(AG514,AH514,AI514,AJ514)</f>
        <v>IMBJ</v>
      </c>
    </row>
    <row r="515" spans="1:37" ht="15.75" hidden="1" customHeight="1" x14ac:dyDescent="0.2">
      <c r="A515" s="1">
        <v>1074601</v>
      </c>
      <c r="B515" s="1" t="s">
        <v>1067</v>
      </c>
      <c r="C515" s="1" t="s">
        <v>1068</v>
      </c>
      <c r="D515" s="1" t="s">
        <v>1452</v>
      </c>
      <c r="E515" s="1" t="s">
        <v>669</v>
      </c>
      <c r="F515" s="1" t="s">
        <v>32</v>
      </c>
      <c r="G515" s="1" t="s">
        <v>1453</v>
      </c>
      <c r="H515" s="1">
        <v>1557</v>
      </c>
      <c r="I515" s="1" t="s">
        <v>39</v>
      </c>
      <c r="J515" s="1">
        <v>11</v>
      </c>
      <c r="K515" s="1" t="s">
        <v>35</v>
      </c>
      <c r="L515" s="1">
        <v>36</v>
      </c>
      <c r="M515" s="1" t="str">
        <f>IF(L515&lt;=45,"Joven","Mayor")</f>
        <v>Joven</v>
      </c>
      <c r="N515" s="1">
        <v>42</v>
      </c>
      <c r="O515" s="1" t="s">
        <v>36</v>
      </c>
      <c r="P515" s="1">
        <v>0.35799999999999998</v>
      </c>
      <c r="Q515" s="1">
        <v>86.6</v>
      </c>
      <c r="R515" s="1">
        <v>-8.2111029999999996</v>
      </c>
      <c r="S515" s="1">
        <v>0.60216992999999996</v>
      </c>
      <c r="T515" s="1">
        <v>4.3955320000000002</v>
      </c>
      <c r="U515" s="1">
        <v>40.987000000000002</v>
      </c>
      <c r="V515" s="1">
        <v>90</v>
      </c>
      <c r="W515" s="1">
        <v>176</v>
      </c>
      <c r="X515" s="1">
        <v>1.9555555555555555</v>
      </c>
      <c r="Y515" s="1">
        <v>102</v>
      </c>
      <c r="Z515" s="1">
        <v>176</v>
      </c>
      <c r="AA515" s="1">
        <v>1.7254901960784315</v>
      </c>
      <c r="AB515" s="1">
        <v>98.940904697399446</v>
      </c>
      <c r="AC515" s="1">
        <v>176.938521056692</v>
      </c>
      <c r="AD515" s="1">
        <v>1.7883252795983644</v>
      </c>
      <c r="AE515" t="s">
        <v>4816</v>
      </c>
      <c r="AF515" t="str">
        <f>IF(X515&lt;$AF$1,"Bajo","Alto")</f>
        <v>Alto</v>
      </c>
      <c r="AG515" t="str">
        <f>LEFT(AE515,1)</f>
        <v>D</v>
      </c>
      <c r="AH515" t="str">
        <f>K515</f>
        <v>M</v>
      </c>
      <c r="AI515" t="str">
        <f>LEFT(AF515,1)</f>
        <v>A</v>
      </c>
      <c r="AJ515" t="str">
        <f>LEFT(M515,1)</f>
        <v>J</v>
      </c>
      <c r="AK515" t="str">
        <f>_xlfn.CONCAT(AG515,AH515,AI515,AJ515)</f>
        <v>DMAJ</v>
      </c>
    </row>
    <row r="516" spans="1:37" ht="15.75" hidden="1" customHeight="1" x14ac:dyDescent="0.2">
      <c r="A516" s="1">
        <v>2824003</v>
      </c>
      <c r="B516" s="1" t="s">
        <v>1775</v>
      </c>
      <c r="C516" s="1" t="s">
        <v>561</v>
      </c>
      <c r="D516" s="1" t="s">
        <v>464</v>
      </c>
      <c r="E516" s="1" t="s">
        <v>3819</v>
      </c>
      <c r="F516" s="1" t="s">
        <v>63</v>
      </c>
      <c r="G516" s="1" t="s">
        <v>3822</v>
      </c>
      <c r="H516" s="1">
        <v>6026</v>
      </c>
      <c r="I516" s="1" t="s">
        <v>3823</v>
      </c>
      <c r="J516" s="1">
        <v>3425</v>
      </c>
      <c r="K516" s="1" t="s">
        <v>35</v>
      </c>
      <c r="L516" s="1">
        <v>43</v>
      </c>
      <c r="M516" s="1" t="str">
        <f>IF(L516&lt;=45,"Joven","Mayor")</f>
        <v>Joven</v>
      </c>
      <c r="N516" s="1">
        <v>45</v>
      </c>
      <c r="O516" s="1" t="s">
        <v>36</v>
      </c>
      <c r="P516" s="1">
        <v>0.35499999999999998</v>
      </c>
      <c r="Q516" s="1">
        <v>91.46</v>
      </c>
      <c r="R516" s="1">
        <v>5.0526952999999999</v>
      </c>
      <c r="S516" s="1">
        <v>0.18538840000000001</v>
      </c>
      <c r="T516" s="1">
        <v>-4.1741919999999997</v>
      </c>
      <c r="U516" s="1">
        <v>0.38200000000000001</v>
      </c>
      <c r="V516" s="1">
        <v>95</v>
      </c>
      <c r="W516" s="1">
        <v>186</v>
      </c>
      <c r="X516" s="1">
        <v>1.9578947368421054</v>
      </c>
      <c r="Y516" s="1">
        <v>96</v>
      </c>
      <c r="Z516" s="1">
        <v>186</v>
      </c>
      <c r="AA516" s="1">
        <v>1.9375</v>
      </c>
      <c r="AB516" s="1">
        <v>99.894318039504014</v>
      </c>
      <c r="AC516" s="1">
        <v>185.72497679668999</v>
      </c>
      <c r="AD516" s="1">
        <v>1.8592146224297117</v>
      </c>
      <c r="AE516" t="s">
        <v>4817</v>
      </c>
      <c r="AF516" t="str">
        <f>IF(X516&lt;$AF$1,"Bajo","Alto")</f>
        <v>Alto</v>
      </c>
      <c r="AG516" t="str">
        <f>LEFT(AE516,1)</f>
        <v>C</v>
      </c>
      <c r="AH516" t="str">
        <f>K516</f>
        <v>M</v>
      </c>
      <c r="AI516" t="str">
        <f>LEFT(AF516,1)</f>
        <v>A</v>
      </c>
      <c r="AJ516" t="str">
        <f>LEFT(M516,1)</f>
        <v>J</v>
      </c>
      <c r="AK516" t="str">
        <f>_xlfn.CONCAT(AG516,AH516,AI516,AJ516)</f>
        <v>CMAJ</v>
      </c>
    </row>
    <row r="517" spans="1:37" ht="15.75" hidden="1" customHeight="1" x14ac:dyDescent="0.2">
      <c r="A517" s="1">
        <v>111905</v>
      </c>
      <c r="B517" s="1" t="s">
        <v>1648</v>
      </c>
      <c r="C517" s="1" t="s">
        <v>51</v>
      </c>
      <c r="D517" s="1" t="s">
        <v>1678</v>
      </c>
      <c r="E517" s="1" t="s">
        <v>323</v>
      </c>
      <c r="F517" s="1" t="s">
        <v>40</v>
      </c>
      <c r="G517" s="1" t="s">
        <v>1679</v>
      </c>
      <c r="H517" s="1">
        <v>5895</v>
      </c>
      <c r="I517" s="1" t="s">
        <v>1680</v>
      </c>
      <c r="J517" s="1">
        <v>2651</v>
      </c>
      <c r="K517" s="1" t="s">
        <v>35</v>
      </c>
      <c r="L517" s="1">
        <v>60</v>
      </c>
      <c r="M517" s="1" t="str">
        <f>IF(L517&lt;=45,"Joven","Mayor")</f>
        <v>Mayor</v>
      </c>
      <c r="N517" s="1">
        <v>64</v>
      </c>
      <c r="O517" s="1" t="s">
        <v>36</v>
      </c>
      <c r="P517" s="1">
        <v>0.23200000000000001</v>
      </c>
      <c r="Q517" s="1">
        <v>90.608000000000004</v>
      </c>
      <c r="R517" s="1">
        <v>5.4086126999999999</v>
      </c>
      <c r="S517" s="1">
        <v>2.1552891999999999</v>
      </c>
      <c r="T517" s="1">
        <v>-2.4741452000000002</v>
      </c>
      <c r="U517" s="1">
        <v>2.2970000000000002</v>
      </c>
      <c r="V517" s="1">
        <v>100</v>
      </c>
      <c r="W517" s="1">
        <v>157</v>
      </c>
      <c r="X517" s="1">
        <v>1.57</v>
      </c>
      <c r="Y517" s="1">
        <v>101</v>
      </c>
      <c r="Z517" s="1">
        <v>157</v>
      </c>
      <c r="AA517" s="1">
        <v>1.5544554455445545</v>
      </c>
      <c r="AB517" s="1">
        <v>102.6325905622375</v>
      </c>
      <c r="AC517" s="1">
        <v>156.72413941507099</v>
      </c>
      <c r="AD517" s="1">
        <v>1.5270406657038615</v>
      </c>
      <c r="AE517" t="s">
        <v>4817</v>
      </c>
      <c r="AF517" t="str">
        <f>IF(X517&lt;$AF$1,"Bajo","Alto")</f>
        <v>Bajo</v>
      </c>
      <c r="AG517" t="str">
        <f>LEFT(AE517,1)</f>
        <v>C</v>
      </c>
      <c r="AH517" t="str">
        <f>K517</f>
        <v>M</v>
      </c>
      <c r="AI517" t="str">
        <f>LEFT(AF517,1)</f>
        <v>B</v>
      </c>
      <c r="AJ517" t="str">
        <f>LEFT(M517,1)</f>
        <v>M</v>
      </c>
      <c r="AK517" t="str">
        <f>_xlfn.CONCAT(AG517,AH517,AI517,AJ517)</f>
        <v>CMBM</v>
      </c>
    </row>
    <row r="518" spans="1:37" ht="15.75" hidden="1" customHeight="1" x14ac:dyDescent="0.2">
      <c r="A518" s="1">
        <v>135503</v>
      </c>
      <c r="B518" s="1" t="s">
        <v>956</v>
      </c>
      <c r="C518" s="1" t="s">
        <v>163</v>
      </c>
      <c r="D518" s="1" t="s">
        <v>2060</v>
      </c>
      <c r="E518" s="1" t="s">
        <v>690</v>
      </c>
      <c r="F518" s="1" t="s">
        <v>63</v>
      </c>
      <c r="G518" s="1" t="s">
        <v>2062</v>
      </c>
      <c r="H518" s="1">
        <v>431</v>
      </c>
      <c r="I518" s="1" t="s">
        <v>73</v>
      </c>
      <c r="J518" s="1">
        <v>5</v>
      </c>
      <c r="K518" s="1" t="s">
        <v>35</v>
      </c>
      <c r="L518" s="1">
        <v>65</v>
      </c>
      <c r="M518" s="1" t="str">
        <f>IF(L518&lt;=45,"Joven","Mayor")</f>
        <v>Mayor</v>
      </c>
      <c r="N518" s="1">
        <v>65</v>
      </c>
      <c r="O518" s="1" t="s">
        <v>36</v>
      </c>
      <c r="P518" s="1">
        <v>0.35899999999999999</v>
      </c>
      <c r="Q518" s="1">
        <v>93.194000000000003</v>
      </c>
      <c r="R518" s="1">
        <v>3.1425092000000001</v>
      </c>
      <c r="S518" s="1">
        <v>-2.7268675999999999E-2</v>
      </c>
      <c r="T518" s="1">
        <v>-1.8186617</v>
      </c>
      <c r="U518" s="1">
        <v>0.251</v>
      </c>
      <c r="V518" s="1">
        <v>89</v>
      </c>
      <c r="W518" s="1">
        <v>140</v>
      </c>
      <c r="X518" s="1">
        <v>1.5730337078651686</v>
      </c>
      <c r="Y518" s="1">
        <v>93</v>
      </c>
      <c r="Z518" s="1">
        <v>140</v>
      </c>
      <c r="AA518" s="1">
        <v>1.5053763440860215</v>
      </c>
      <c r="AB518" s="1">
        <v>91.778910447228554</v>
      </c>
      <c r="AC518" s="1">
        <v>139.9294787254357</v>
      </c>
      <c r="AD518" s="1">
        <v>1.5246365210000283</v>
      </c>
      <c r="AE518" t="s">
        <v>4817</v>
      </c>
      <c r="AF518" t="str">
        <f>IF(X518&lt;$AF$1,"Bajo","Alto")</f>
        <v>Bajo</v>
      </c>
      <c r="AG518" t="str">
        <f>LEFT(AE518,1)</f>
        <v>C</v>
      </c>
      <c r="AH518" t="str">
        <f>K518</f>
        <v>M</v>
      </c>
      <c r="AI518" t="str">
        <f>LEFT(AF518,1)</f>
        <v>B</v>
      </c>
      <c r="AJ518" t="str">
        <f>LEFT(M518,1)</f>
        <v>M</v>
      </c>
      <c r="AK518" t="str">
        <f>_xlfn.CONCAT(AG518,AH518,AI518,AJ518)</f>
        <v>CMBM</v>
      </c>
    </row>
    <row r="519" spans="1:37" ht="15.75" hidden="1" customHeight="1" x14ac:dyDescent="0.2">
      <c r="A519" s="1">
        <v>1513903</v>
      </c>
      <c r="B519" s="1" t="s">
        <v>2077</v>
      </c>
      <c r="C519" s="1" t="s">
        <v>57</v>
      </c>
      <c r="D519" s="1" t="s">
        <v>2159</v>
      </c>
      <c r="E519" s="1" t="s">
        <v>176</v>
      </c>
      <c r="F519" s="1" t="s">
        <v>63</v>
      </c>
      <c r="G519" s="1" t="s">
        <v>2161</v>
      </c>
      <c r="H519" s="1">
        <v>356</v>
      </c>
      <c r="I519" s="1" t="s">
        <v>87</v>
      </c>
      <c r="J519" s="1">
        <v>14</v>
      </c>
      <c r="K519" s="1" t="s">
        <v>35</v>
      </c>
      <c r="L519" s="1">
        <v>29</v>
      </c>
      <c r="M519" s="1" t="str">
        <f>IF(L519&lt;=45,"Joven","Mayor")</f>
        <v>Joven</v>
      </c>
      <c r="N519" s="1">
        <v>25</v>
      </c>
      <c r="O519" s="1" t="s">
        <v>36</v>
      </c>
      <c r="P519" s="1">
        <v>9.8000000000000004E-2</v>
      </c>
      <c r="Q519" s="1">
        <v>93.835999999999999</v>
      </c>
      <c r="R519" s="1">
        <v>0.64993864000000001</v>
      </c>
      <c r="S519" s="1">
        <v>4.5037355000000003</v>
      </c>
      <c r="T519" s="1">
        <v>-4.7601433000000002</v>
      </c>
      <c r="U519" s="1">
        <v>4.8689999999999998</v>
      </c>
      <c r="V519" s="1">
        <v>63</v>
      </c>
      <c r="W519" s="1">
        <v>102</v>
      </c>
      <c r="X519" s="1">
        <v>1.6190476190476191</v>
      </c>
      <c r="Y519" s="1">
        <v>64</v>
      </c>
      <c r="Z519" s="1">
        <v>102</v>
      </c>
      <c r="AA519" s="1">
        <v>1.59375</v>
      </c>
      <c r="AB519" s="1">
        <v>66.102822629763978</v>
      </c>
      <c r="AC519" s="1">
        <v>101.6481843554716</v>
      </c>
      <c r="AD519" s="1">
        <v>1.5377283497377112</v>
      </c>
      <c r="AE519" t="s">
        <v>4816</v>
      </c>
      <c r="AF519" t="str">
        <f>IF(X519&lt;$AF$1,"Bajo","Alto")</f>
        <v>Bajo</v>
      </c>
      <c r="AG519" t="str">
        <f>LEFT(AE519,1)</f>
        <v>D</v>
      </c>
      <c r="AH519" t="str">
        <f>K519</f>
        <v>M</v>
      </c>
      <c r="AI519" t="str">
        <f>LEFT(AF519,1)</f>
        <v>B</v>
      </c>
      <c r="AJ519" t="str">
        <f>LEFT(M519,1)</f>
        <v>J</v>
      </c>
      <c r="AK519" t="str">
        <f>_xlfn.CONCAT(AG519,AH519,AI519,AJ519)</f>
        <v>DMBJ</v>
      </c>
    </row>
    <row r="520" spans="1:37" ht="15.75" hidden="1" customHeight="1" x14ac:dyDescent="0.2">
      <c r="A520" s="1">
        <v>278001</v>
      </c>
      <c r="B520" s="1" t="s">
        <v>3409</v>
      </c>
      <c r="C520" s="1" t="s">
        <v>973</v>
      </c>
      <c r="D520" s="1" t="s">
        <v>3738</v>
      </c>
      <c r="E520" s="1" t="s">
        <v>744</v>
      </c>
      <c r="F520" s="1" t="s">
        <v>32</v>
      </c>
      <c r="G520" s="1" t="s">
        <v>3739</v>
      </c>
      <c r="H520" s="1">
        <v>866</v>
      </c>
      <c r="I520" s="1" t="s">
        <v>91</v>
      </c>
      <c r="J520" s="1">
        <v>6</v>
      </c>
      <c r="K520" s="1" t="s">
        <v>35</v>
      </c>
      <c r="L520" s="1">
        <v>41</v>
      </c>
      <c r="M520" s="1" t="str">
        <f>IF(L520&lt;=45,"Joven","Mayor")</f>
        <v>Joven</v>
      </c>
      <c r="N520" s="1">
        <v>46</v>
      </c>
      <c r="O520" s="1" t="s">
        <v>36</v>
      </c>
      <c r="P520" s="1">
        <v>0.30399999999999999</v>
      </c>
      <c r="Q520" s="1">
        <v>86.289000000000001</v>
      </c>
      <c r="R520" s="1">
        <v>7.1318630000000001</v>
      </c>
      <c r="S520" s="1">
        <v>6.1939869999999999</v>
      </c>
      <c r="T520" s="1">
        <v>-1.1302512</v>
      </c>
      <c r="U520" s="1">
        <v>1.169</v>
      </c>
      <c r="V520" s="1">
        <v>70</v>
      </c>
      <c r="W520" s="1">
        <v>137</v>
      </c>
      <c r="X520" s="1">
        <v>1.9571428571428571</v>
      </c>
      <c r="Y520" s="1">
        <v>74</v>
      </c>
      <c r="Z520" s="1">
        <v>137</v>
      </c>
      <c r="AA520" s="1">
        <v>1.8513513513513513</v>
      </c>
      <c r="AB520" s="1">
        <v>74.636538065770992</v>
      </c>
      <c r="AC520" s="1">
        <v>136.85499289452989</v>
      </c>
      <c r="AD520" s="1">
        <v>1.833619249246675</v>
      </c>
      <c r="AE520" t="s">
        <v>4817</v>
      </c>
      <c r="AF520" t="str">
        <f>IF(X520&lt;$AF$1,"Bajo","Alto")</f>
        <v>Alto</v>
      </c>
      <c r="AG520" t="str">
        <f>LEFT(AE520,1)</f>
        <v>C</v>
      </c>
      <c r="AH520" t="str">
        <f>K520</f>
        <v>M</v>
      </c>
      <c r="AI520" t="str">
        <f>LEFT(AF520,1)</f>
        <v>A</v>
      </c>
      <c r="AJ520" t="str">
        <f>LEFT(M520,1)</f>
        <v>J</v>
      </c>
      <c r="AK520" t="str">
        <f>_xlfn.CONCAT(AG520,AH520,AI520,AJ520)</f>
        <v>CMAJ</v>
      </c>
    </row>
    <row r="521" spans="1:37" ht="15.75" hidden="1" customHeight="1" x14ac:dyDescent="0.2">
      <c r="A521" s="1">
        <v>195202</v>
      </c>
      <c r="B521" s="1" t="s">
        <v>2656</v>
      </c>
      <c r="C521" s="1" t="s">
        <v>323</v>
      </c>
      <c r="D521" s="1" t="s">
        <v>2745</v>
      </c>
      <c r="E521" s="1" t="s">
        <v>685</v>
      </c>
      <c r="F521" s="1" t="s">
        <v>37</v>
      </c>
      <c r="G521" s="1" t="s">
        <v>2746</v>
      </c>
      <c r="H521" s="1">
        <v>803</v>
      </c>
      <c r="I521" s="1" t="s">
        <v>65</v>
      </c>
      <c r="J521" s="1">
        <v>2</v>
      </c>
      <c r="K521" s="1" t="s">
        <v>35</v>
      </c>
      <c r="L521" s="1">
        <v>41</v>
      </c>
      <c r="M521" s="1" t="str">
        <f>IF(L521&lt;=45,"Joven","Mayor")</f>
        <v>Joven</v>
      </c>
      <c r="N521" s="1">
        <v>46</v>
      </c>
      <c r="O521" s="1" t="s">
        <v>36</v>
      </c>
      <c r="P521" s="1">
        <v>2.5049999999999999</v>
      </c>
      <c r="Q521" s="1">
        <v>92.400999999999996</v>
      </c>
      <c r="R521" s="1">
        <v>2.7463567000000002</v>
      </c>
      <c r="S521" s="1">
        <v>-2.3840186999999999</v>
      </c>
      <c r="T521" s="1">
        <v>-2.3792040000000001</v>
      </c>
      <c r="U521" s="1">
        <v>3.27</v>
      </c>
      <c r="V521" s="1">
        <v>86</v>
      </c>
      <c r="W521" s="1">
        <v>138</v>
      </c>
      <c r="X521" s="1">
        <v>1.6046511627906976</v>
      </c>
      <c r="Y521" s="1">
        <v>87</v>
      </c>
      <c r="Z521" s="1">
        <v>138</v>
      </c>
      <c r="AA521" s="1">
        <v>1.5862068965517242</v>
      </c>
      <c r="AB521" s="1">
        <v>88.502497223396858</v>
      </c>
      <c r="AC521" s="1">
        <v>138.00557798379671</v>
      </c>
      <c r="AD521" s="1">
        <v>1.5593410617041101</v>
      </c>
      <c r="AE521" t="s">
        <v>4817</v>
      </c>
      <c r="AF521" t="str">
        <f>IF(X521&lt;$AF$1,"Bajo","Alto")</f>
        <v>Bajo</v>
      </c>
      <c r="AG521" t="str">
        <f>LEFT(AE521,1)</f>
        <v>C</v>
      </c>
      <c r="AH521" t="str">
        <f>K521</f>
        <v>M</v>
      </c>
      <c r="AI521" t="str">
        <f>LEFT(AF521,1)</f>
        <v>B</v>
      </c>
      <c r="AJ521" t="str">
        <f>LEFT(M521,1)</f>
        <v>J</v>
      </c>
      <c r="AK521" t="str">
        <f>_xlfn.CONCAT(AG521,AH521,AI521,AJ521)</f>
        <v>CMBJ</v>
      </c>
    </row>
    <row r="522" spans="1:37" ht="15.75" hidden="1" customHeight="1" x14ac:dyDescent="0.2">
      <c r="A522" s="1">
        <v>319701</v>
      </c>
      <c r="B522" s="1" t="s">
        <v>4122</v>
      </c>
      <c r="C522" s="1" t="s">
        <v>628</v>
      </c>
      <c r="D522" s="1" t="s">
        <v>4281</v>
      </c>
      <c r="E522" s="1" t="s">
        <v>781</v>
      </c>
      <c r="F522" s="1" t="s">
        <v>32</v>
      </c>
      <c r="G522" s="1" t="s">
        <v>4282</v>
      </c>
      <c r="H522" s="1">
        <v>6511</v>
      </c>
      <c r="I522" s="1" t="s">
        <v>100</v>
      </c>
      <c r="J522" s="1">
        <v>1</v>
      </c>
      <c r="K522" s="1" t="s">
        <v>35</v>
      </c>
      <c r="L522" s="1">
        <v>34</v>
      </c>
      <c r="M522" s="1" t="str">
        <f>IF(L522&lt;=45,"Joven","Mayor")</f>
        <v>Joven</v>
      </c>
      <c r="N522" s="1">
        <v>25</v>
      </c>
      <c r="O522" s="1" t="s">
        <v>36</v>
      </c>
      <c r="P522" s="1">
        <v>0.35</v>
      </c>
      <c r="Q522" s="1">
        <v>92.05</v>
      </c>
      <c r="R522" s="1">
        <v>3.7007604000000001</v>
      </c>
      <c r="S522" s="1">
        <v>-3.1632997999999999</v>
      </c>
      <c r="T522" s="1">
        <v>-4.5905149999999999</v>
      </c>
      <c r="U522" s="1">
        <v>82.25</v>
      </c>
      <c r="V522" s="1">
        <v>115</v>
      </c>
      <c r="W522" s="1">
        <v>225</v>
      </c>
      <c r="X522" s="1">
        <v>1.9565217391304348</v>
      </c>
      <c r="Y522" s="1">
        <v>121</v>
      </c>
      <c r="Z522" s="1">
        <v>225</v>
      </c>
      <c r="AA522" s="1">
        <v>1.859504132231405</v>
      </c>
      <c r="AB522" s="1">
        <v>119.4331309674096</v>
      </c>
      <c r="AC522" s="1">
        <v>224.67840134953079</v>
      </c>
      <c r="AD522" s="1">
        <v>1.8812066595728791</v>
      </c>
      <c r="AE522" t="s">
        <v>4817</v>
      </c>
      <c r="AF522" t="str">
        <f>IF(X522&lt;$AF$1,"Bajo","Alto")</f>
        <v>Alto</v>
      </c>
      <c r="AG522" t="str">
        <f>LEFT(AE522,1)</f>
        <v>C</v>
      </c>
      <c r="AH522" t="str">
        <f>K522</f>
        <v>M</v>
      </c>
      <c r="AI522" t="str">
        <f>LEFT(AF522,1)</f>
        <v>A</v>
      </c>
      <c r="AJ522" t="str">
        <f>LEFT(M522,1)</f>
        <v>J</v>
      </c>
      <c r="AK522" t="str">
        <f>_xlfn.CONCAT(AG522,AH522,AI522,AJ522)</f>
        <v>CMAJ</v>
      </c>
    </row>
    <row r="523" spans="1:37" ht="15.75" hidden="1" customHeight="1" x14ac:dyDescent="0.2">
      <c r="A523" s="1">
        <v>174306</v>
      </c>
      <c r="B523" s="1" t="s">
        <v>2551</v>
      </c>
      <c r="C523" s="1" t="s">
        <v>2552</v>
      </c>
      <c r="D523" s="1" t="s">
        <v>2645</v>
      </c>
      <c r="E523" s="1" t="s">
        <v>665</v>
      </c>
      <c r="F523" s="1" t="s">
        <v>88</v>
      </c>
      <c r="G523" s="1" t="s">
        <v>2646</v>
      </c>
      <c r="H523" s="1">
        <v>7</v>
      </c>
      <c r="I523" s="1" t="s">
        <v>91</v>
      </c>
      <c r="J523" s="1">
        <v>6</v>
      </c>
      <c r="K523" s="1" t="s">
        <v>35</v>
      </c>
      <c r="L523" s="1">
        <v>60</v>
      </c>
      <c r="M523" s="1" t="str">
        <f>IF(L523&lt;=45,"Joven","Mayor")</f>
        <v>Mayor</v>
      </c>
      <c r="N523" s="1">
        <v>56</v>
      </c>
      <c r="O523" s="1" t="s">
        <v>36</v>
      </c>
      <c r="P523" s="1">
        <v>0.316</v>
      </c>
      <c r="Q523" s="1">
        <v>85.938999999999993</v>
      </c>
      <c r="R523" s="1">
        <v>6.0593705</v>
      </c>
      <c r="S523" s="1">
        <v>9.5551589999999997</v>
      </c>
      <c r="T523" s="1">
        <v>-3.3714159000000001</v>
      </c>
      <c r="U523" s="1">
        <v>1.2</v>
      </c>
      <c r="V523" s="1">
        <v>108</v>
      </c>
      <c r="W523" s="1">
        <v>170</v>
      </c>
      <c r="X523" s="1">
        <v>1.5740740740740742</v>
      </c>
      <c r="Y523" s="1">
        <v>110</v>
      </c>
      <c r="Z523" s="1">
        <v>170</v>
      </c>
      <c r="AA523" s="1">
        <v>1.5454545454545454</v>
      </c>
      <c r="AB523" s="1">
        <v>110.8123096543497</v>
      </c>
      <c r="AC523" s="1">
        <v>170.47028809544329</v>
      </c>
      <c r="AD523" s="1">
        <v>1.5383695965473618</v>
      </c>
      <c r="AE523" t="s">
        <v>4817</v>
      </c>
      <c r="AF523" t="str">
        <f>IF(X523&lt;$AF$1,"Bajo","Alto")</f>
        <v>Bajo</v>
      </c>
      <c r="AG523" t="str">
        <f>LEFT(AE523,1)</f>
        <v>C</v>
      </c>
      <c r="AH523" t="str">
        <f>K523</f>
        <v>M</v>
      </c>
      <c r="AI523" t="str">
        <f>LEFT(AF523,1)</f>
        <v>B</v>
      </c>
      <c r="AJ523" t="str">
        <f>LEFT(M523,1)</f>
        <v>M</v>
      </c>
      <c r="AK523" t="str">
        <f>_xlfn.CONCAT(AG523,AH523,AI523,AJ523)</f>
        <v>CMBM</v>
      </c>
    </row>
    <row r="524" spans="1:37" ht="15.75" hidden="1" customHeight="1" x14ac:dyDescent="0.2">
      <c r="A524" s="1">
        <v>10121405</v>
      </c>
      <c r="B524" s="1" t="s">
        <v>29</v>
      </c>
      <c r="C524" s="1" t="s">
        <v>30</v>
      </c>
      <c r="D524" s="1" t="s">
        <v>391</v>
      </c>
      <c r="E524" s="1" t="s">
        <v>392</v>
      </c>
      <c r="F524" s="1" t="s">
        <v>40</v>
      </c>
      <c r="G524" s="1" t="s">
        <v>395</v>
      </c>
      <c r="H524" s="1">
        <v>4043</v>
      </c>
      <c r="I524" s="1" t="s">
        <v>396</v>
      </c>
      <c r="J524" s="1">
        <v>242</v>
      </c>
      <c r="K524" s="1" t="s">
        <v>49</v>
      </c>
      <c r="L524" s="1">
        <v>50</v>
      </c>
      <c r="M524" s="1" t="str">
        <f>IF(L524&lt;=45,"Joven","Mayor")</f>
        <v>Mayor</v>
      </c>
      <c r="N524" s="1">
        <v>46</v>
      </c>
      <c r="O524" s="1" t="s">
        <v>50</v>
      </c>
      <c r="P524" s="1">
        <v>0.36199999999999999</v>
      </c>
      <c r="Q524" s="1">
        <v>90.727999999999994</v>
      </c>
      <c r="R524" s="1">
        <v>-4.3996230000000001</v>
      </c>
      <c r="S524" s="1">
        <v>5.0940560000000001</v>
      </c>
      <c r="T524" s="1">
        <v>-4.9324560000000002</v>
      </c>
      <c r="U524" s="1">
        <v>82.082999999999998</v>
      </c>
      <c r="V524" s="1">
        <v>93</v>
      </c>
      <c r="W524" s="1">
        <v>148</v>
      </c>
      <c r="X524" s="1">
        <v>1.5913978494623655</v>
      </c>
      <c r="Y524" s="1">
        <v>96</v>
      </c>
      <c r="Z524" s="1">
        <v>148</v>
      </c>
      <c r="AA524" s="1">
        <v>1.5416666666666667</v>
      </c>
      <c r="AB524" s="1">
        <v>96.696719067836966</v>
      </c>
      <c r="AC524" s="1">
        <v>148.225750835692</v>
      </c>
      <c r="AD524" s="1">
        <v>1.5328932797782433</v>
      </c>
      <c r="AE524" t="s">
        <v>4817</v>
      </c>
      <c r="AF524" t="str">
        <f>IF(X524&lt;$AF$1,"Bajo","Alto")</f>
        <v>Bajo</v>
      </c>
      <c r="AG524" t="str">
        <f>LEFT(AE524,1)</f>
        <v>C</v>
      </c>
      <c r="AH524" t="str">
        <f>K524</f>
        <v>F</v>
      </c>
      <c r="AI524" t="str">
        <f>LEFT(AF524,1)</f>
        <v>B</v>
      </c>
      <c r="AJ524" t="str">
        <f>LEFT(M524,1)</f>
        <v>M</v>
      </c>
      <c r="AK524" t="str">
        <f>_xlfn.CONCAT(AG524,AH524,AI524,AJ524)</f>
        <v>CFBM</v>
      </c>
    </row>
    <row r="525" spans="1:37" ht="15.75" hidden="1" customHeight="1" x14ac:dyDescent="0.2">
      <c r="A525" s="1">
        <v>541201</v>
      </c>
      <c r="B525" s="1" t="s">
        <v>4677</v>
      </c>
      <c r="C525" s="1" t="s">
        <v>3148</v>
      </c>
      <c r="D525" s="1" t="s">
        <v>4694</v>
      </c>
      <c r="E525" s="1" t="s">
        <v>54</v>
      </c>
      <c r="F525" s="1" t="s">
        <v>32</v>
      </c>
      <c r="G525" s="1" t="s">
        <v>4695</v>
      </c>
      <c r="H525" s="1">
        <v>1328</v>
      </c>
      <c r="I525" s="1" t="s">
        <v>100</v>
      </c>
      <c r="J525" s="1">
        <v>1</v>
      </c>
      <c r="K525" s="1" t="s">
        <v>35</v>
      </c>
      <c r="L525" s="1">
        <v>52</v>
      </c>
      <c r="M525" s="1" t="str">
        <f>IF(L525&lt;=45,"Joven","Mayor")</f>
        <v>Mayor</v>
      </c>
      <c r="N525" s="1">
        <v>57</v>
      </c>
      <c r="O525" s="1" t="s">
        <v>36</v>
      </c>
      <c r="P525" s="1">
        <v>0.35799999999999998</v>
      </c>
      <c r="Q525" s="1">
        <v>77.927000000000007</v>
      </c>
      <c r="R525" s="1">
        <v>4.9189343000000001</v>
      </c>
      <c r="S525" s="1">
        <v>-17.076515000000001</v>
      </c>
      <c r="T525" s="1">
        <v>0.21910296000000001</v>
      </c>
      <c r="U525" s="1">
        <v>2.0920000000000001</v>
      </c>
      <c r="V525" s="1">
        <v>97</v>
      </c>
      <c r="W525" s="1">
        <v>189</v>
      </c>
      <c r="X525" s="1">
        <v>1.9484536082474226</v>
      </c>
      <c r="Y525" s="1">
        <v>99</v>
      </c>
      <c r="Z525" s="1">
        <v>189</v>
      </c>
      <c r="AA525" s="1">
        <v>1.9090909090909092</v>
      </c>
      <c r="AB525" s="1">
        <v>98.823369436104258</v>
      </c>
      <c r="AC525" s="1">
        <v>189.01773837493059</v>
      </c>
      <c r="AD525" s="1">
        <v>1.9126825917137227</v>
      </c>
      <c r="AE525" t="s">
        <v>4817</v>
      </c>
      <c r="AF525" t="str">
        <f>IF(X525&lt;$AF$1,"Bajo","Alto")</f>
        <v>Alto</v>
      </c>
      <c r="AG525" t="str">
        <f>LEFT(AE525,1)</f>
        <v>C</v>
      </c>
      <c r="AH525" t="str">
        <f>K525</f>
        <v>M</v>
      </c>
      <c r="AI525" t="str">
        <f>LEFT(AF525,1)</f>
        <v>A</v>
      </c>
      <c r="AJ525" t="str">
        <f>LEFT(M525,1)</f>
        <v>M</v>
      </c>
      <c r="AK525" t="str">
        <f>_xlfn.CONCAT(AG525,AH525,AI525,AJ525)</f>
        <v>CMAM</v>
      </c>
    </row>
    <row r="526" spans="1:37" ht="15.75" hidden="1" customHeight="1" x14ac:dyDescent="0.2">
      <c r="A526" s="1">
        <v>250102</v>
      </c>
      <c r="B526" s="1" t="s">
        <v>3169</v>
      </c>
      <c r="C526" s="1" t="s">
        <v>821</v>
      </c>
      <c r="D526" s="1" t="s">
        <v>3170</v>
      </c>
      <c r="E526" s="1" t="s">
        <v>32</v>
      </c>
      <c r="F526" s="1" t="s">
        <v>37</v>
      </c>
      <c r="G526" s="1" t="s">
        <v>3172</v>
      </c>
      <c r="H526" s="1">
        <v>1875</v>
      </c>
      <c r="I526" s="1" t="s">
        <v>34</v>
      </c>
      <c r="J526" s="1">
        <v>10</v>
      </c>
      <c r="K526" s="1" t="s">
        <v>35</v>
      </c>
      <c r="L526" s="1">
        <v>26</v>
      </c>
      <c r="M526" s="1" t="str">
        <f>IF(L526&lt;=45,"Joven","Mayor")</f>
        <v>Joven</v>
      </c>
      <c r="N526" s="1">
        <v>31</v>
      </c>
      <c r="O526" s="1" t="s">
        <v>36</v>
      </c>
      <c r="P526" s="1">
        <v>0.36099999999999999</v>
      </c>
      <c r="Q526" s="1">
        <v>91.341999999999999</v>
      </c>
      <c r="R526" s="1">
        <v>4.7198358000000002</v>
      </c>
      <c r="S526" s="1">
        <v>2.1444093999999998</v>
      </c>
      <c r="T526" s="1">
        <v>-0.95306194</v>
      </c>
      <c r="U526" s="1">
        <v>22.725999999999999</v>
      </c>
      <c r="V526" s="1">
        <v>90</v>
      </c>
      <c r="W526" s="1">
        <v>143</v>
      </c>
      <c r="X526" s="1">
        <v>1.5888888888888888</v>
      </c>
      <c r="Y526" s="1">
        <v>91</v>
      </c>
      <c r="Z526" s="1">
        <v>143</v>
      </c>
      <c r="AA526" s="1">
        <v>1.5714285714285714</v>
      </c>
      <c r="AB526" s="1">
        <v>90.669514507894064</v>
      </c>
      <c r="AC526" s="1">
        <v>142.98021696058319</v>
      </c>
      <c r="AD526" s="1">
        <v>1.5769381554164463</v>
      </c>
      <c r="AE526" t="s">
        <v>4815</v>
      </c>
      <c r="AF526" t="str">
        <f>IF(X526&lt;$AF$1,"Bajo","Alto")</f>
        <v>Bajo</v>
      </c>
      <c r="AG526" t="str">
        <f>LEFT(AE526,1)</f>
        <v>I</v>
      </c>
      <c r="AH526" t="str">
        <f>K526</f>
        <v>M</v>
      </c>
      <c r="AI526" t="str">
        <f>LEFT(AF526,1)</f>
        <v>B</v>
      </c>
      <c r="AJ526" t="str">
        <f>LEFT(M526,1)</f>
        <v>J</v>
      </c>
      <c r="AK526" t="str">
        <f>_xlfn.CONCAT(AG526,AH526,AI526,AJ526)</f>
        <v>IMBJ</v>
      </c>
    </row>
    <row r="527" spans="1:37" ht="15.75" hidden="1" customHeight="1" x14ac:dyDescent="0.2">
      <c r="A527" s="1">
        <v>440304</v>
      </c>
      <c r="B527" s="1" t="s">
        <v>4314</v>
      </c>
      <c r="C527" s="1" t="s">
        <v>995</v>
      </c>
      <c r="D527" s="1" t="s">
        <v>4321</v>
      </c>
      <c r="E527" s="1" t="s">
        <v>63</v>
      </c>
      <c r="F527" s="1" t="s">
        <v>61</v>
      </c>
      <c r="G527" s="1" t="s">
        <v>4325</v>
      </c>
      <c r="H527" s="1">
        <v>3023</v>
      </c>
      <c r="I527" s="1" t="s">
        <v>4326</v>
      </c>
      <c r="J527" s="1">
        <v>4166</v>
      </c>
      <c r="K527" s="1" t="s">
        <v>35</v>
      </c>
      <c r="L527" s="1">
        <v>41</v>
      </c>
      <c r="M527" s="1" t="str">
        <f>IF(L527&lt;=45,"Joven","Mayor")</f>
        <v>Joven</v>
      </c>
      <c r="N527" s="1">
        <v>44</v>
      </c>
      <c r="O527" s="1" t="s">
        <v>36</v>
      </c>
      <c r="P527" s="1">
        <v>0.36399999999999999</v>
      </c>
      <c r="Q527" s="1">
        <v>90.85</v>
      </c>
      <c r="R527" s="1">
        <v>3.8728251</v>
      </c>
      <c r="S527" s="1">
        <v>6.1583642999999997</v>
      </c>
      <c r="T527" s="1">
        <v>-1.5294896</v>
      </c>
      <c r="U527" s="1">
        <v>1.264</v>
      </c>
      <c r="V527" s="1">
        <v>91</v>
      </c>
      <c r="W527" s="1">
        <v>178</v>
      </c>
      <c r="X527" s="1">
        <v>1.956043956043956</v>
      </c>
      <c r="Y527" s="1">
        <v>91</v>
      </c>
      <c r="Z527" s="1">
        <v>178</v>
      </c>
      <c r="AA527" s="1">
        <v>1.956043956043956</v>
      </c>
      <c r="AB527" s="1">
        <v>92.408917267338211</v>
      </c>
      <c r="AC527" s="1">
        <v>177.98996499601211</v>
      </c>
      <c r="AD527" s="1">
        <v>1.9261124387064146</v>
      </c>
      <c r="AE527" t="s">
        <v>4817</v>
      </c>
      <c r="AF527" t="str">
        <f>IF(X527&lt;$AF$1,"Bajo","Alto")</f>
        <v>Alto</v>
      </c>
      <c r="AG527" t="str">
        <f>LEFT(AE527,1)</f>
        <v>C</v>
      </c>
      <c r="AH527" t="str">
        <f>K527</f>
        <v>M</v>
      </c>
      <c r="AI527" t="str">
        <f>LEFT(AF527,1)</f>
        <v>A</v>
      </c>
      <c r="AJ527" t="str">
        <f>LEFT(M527,1)</f>
        <v>J</v>
      </c>
      <c r="AK527" t="str">
        <f>_xlfn.CONCAT(AG527,AH527,AI527,AJ527)</f>
        <v>CMAJ</v>
      </c>
    </row>
    <row r="528" spans="1:37" ht="15.75" hidden="1" customHeight="1" x14ac:dyDescent="0.2">
      <c r="A528" s="1">
        <v>527406</v>
      </c>
      <c r="B528" s="1" t="s">
        <v>4529</v>
      </c>
      <c r="C528" s="1" t="s">
        <v>685</v>
      </c>
      <c r="D528" s="1" t="s">
        <v>4667</v>
      </c>
      <c r="E528" s="1" t="s">
        <v>2786</v>
      </c>
      <c r="F528" s="1" t="s">
        <v>88</v>
      </c>
      <c r="G528" s="1" t="s">
        <v>4670</v>
      </c>
      <c r="H528" s="1">
        <v>71</v>
      </c>
      <c r="I528" s="1" t="s">
        <v>4671</v>
      </c>
      <c r="J528" s="1">
        <v>2964</v>
      </c>
      <c r="K528" s="1" t="s">
        <v>35</v>
      </c>
      <c r="L528" s="1">
        <v>34</v>
      </c>
      <c r="M528" s="1" t="str">
        <f>IF(L528&lt;=45,"Joven","Mayor")</f>
        <v>Joven</v>
      </c>
      <c r="N528" s="1">
        <v>41</v>
      </c>
      <c r="O528" s="1" t="s">
        <v>36</v>
      </c>
      <c r="P528" s="1">
        <v>0.36099999999999999</v>
      </c>
      <c r="Q528" s="1">
        <v>94.766000000000005</v>
      </c>
      <c r="R528" s="1">
        <v>-1.1005996000000001E-2</v>
      </c>
      <c r="S528" s="1">
        <v>1.0864106</v>
      </c>
      <c r="T528" s="1">
        <v>-4.2104499999999998</v>
      </c>
      <c r="U528" s="1">
        <v>0.70099999999999996</v>
      </c>
      <c r="V528" s="1">
        <v>76</v>
      </c>
      <c r="W528" s="1">
        <v>122</v>
      </c>
      <c r="X528" s="1">
        <v>1.6052631578947369</v>
      </c>
      <c r="Y528" s="1">
        <v>77</v>
      </c>
      <c r="Z528" s="1">
        <v>122</v>
      </c>
      <c r="AA528" s="1">
        <v>1.5844155844155845</v>
      </c>
      <c r="AB528" s="1">
        <v>79.361888182421808</v>
      </c>
      <c r="AC528" s="1">
        <v>121.6707345597133</v>
      </c>
      <c r="AD528" s="1">
        <v>1.5331129002379589</v>
      </c>
      <c r="AE528" t="s">
        <v>4817</v>
      </c>
      <c r="AF528" t="str">
        <f>IF(X528&lt;$AF$1,"Bajo","Alto")</f>
        <v>Bajo</v>
      </c>
      <c r="AG528" t="str">
        <f>LEFT(AE528,1)</f>
        <v>C</v>
      </c>
      <c r="AH528" t="str">
        <f>K528</f>
        <v>M</v>
      </c>
      <c r="AI528" t="str">
        <f>LEFT(AF528,1)</f>
        <v>B</v>
      </c>
      <c r="AJ528" t="str">
        <f>LEFT(M528,1)</f>
        <v>J</v>
      </c>
      <c r="AK528" t="str">
        <f>_xlfn.CONCAT(AG528,AH528,AI528,AJ528)</f>
        <v>CMBJ</v>
      </c>
    </row>
    <row r="529" spans="1:37" ht="15.75" hidden="1" customHeight="1" x14ac:dyDescent="0.2">
      <c r="A529" s="1">
        <v>193702</v>
      </c>
      <c r="B529" s="1" t="s">
        <v>2656</v>
      </c>
      <c r="C529" s="1" t="s">
        <v>323</v>
      </c>
      <c r="D529" s="1" t="s">
        <v>2708</v>
      </c>
      <c r="E529" s="1" t="s">
        <v>647</v>
      </c>
      <c r="F529" s="1" t="s">
        <v>37</v>
      </c>
      <c r="G529" s="1" t="s">
        <v>2710</v>
      </c>
      <c r="H529" s="1">
        <v>634</v>
      </c>
      <c r="I529" s="1" t="s">
        <v>42</v>
      </c>
      <c r="J529" s="1">
        <v>15</v>
      </c>
      <c r="K529" s="1" t="s">
        <v>35</v>
      </c>
      <c r="L529" s="1">
        <v>33</v>
      </c>
      <c r="M529" s="1" t="str">
        <f>IF(L529&lt;=45,"Joven","Mayor")</f>
        <v>Joven</v>
      </c>
      <c r="N529" s="1">
        <v>31</v>
      </c>
      <c r="O529" s="1" t="s">
        <v>36</v>
      </c>
      <c r="P529" s="1">
        <v>0.35599999999999998</v>
      </c>
      <c r="Q529" s="1">
        <v>82.605000000000004</v>
      </c>
      <c r="R529" s="1">
        <v>7.4543486000000003</v>
      </c>
      <c r="S529" s="1">
        <v>10.135456</v>
      </c>
      <c r="T529" s="1">
        <v>-3.5718648000000002</v>
      </c>
      <c r="U529" s="1">
        <v>0.84599999999999997</v>
      </c>
      <c r="V529" s="1">
        <v>104</v>
      </c>
      <c r="W529" s="1">
        <v>167</v>
      </c>
      <c r="X529" s="1">
        <v>1.6057692307692308</v>
      </c>
      <c r="Y529" s="1">
        <v>105</v>
      </c>
      <c r="Z529" s="1">
        <v>167</v>
      </c>
      <c r="AA529" s="1">
        <v>1.5904761904761904</v>
      </c>
      <c r="AB529" s="1">
        <v>107.1634476627444</v>
      </c>
      <c r="AC529" s="1">
        <v>166.80019358889101</v>
      </c>
      <c r="AD529" s="1">
        <v>1.556502680968517</v>
      </c>
      <c r="AE529" t="s">
        <v>4817</v>
      </c>
      <c r="AF529" t="str">
        <f>IF(X529&lt;$AF$1,"Bajo","Alto")</f>
        <v>Bajo</v>
      </c>
      <c r="AG529" t="str">
        <f>LEFT(AE529,1)</f>
        <v>C</v>
      </c>
      <c r="AH529" t="str">
        <f>K529</f>
        <v>M</v>
      </c>
      <c r="AI529" t="str">
        <f>LEFT(AF529,1)</f>
        <v>B</v>
      </c>
      <c r="AJ529" t="str">
        <f>LEFT(M529,1)</f>
        <v>J</v>
      </c>
      <c r="AK529" t="str">
        <f>_xlfn.CONCAT(AG529,AH529,AI529,AJ529)</f>
        <v>CMBJ</v>
      </c>
    </row>
    <row r="530" spans="1:37" ht="15.75" hidden="1" customHeight="1" x14ac:dyDescent="0.2">
      <c r="A530" s="1">
        <v>10128904</v>
      </c>
      <c r="B530" s="1" t="s">
        <v>29</v>
      </c>
      <c r="C530" s="1" t="s">
        <v>30</v>
      </c>
      <c r="D530" s="1" t="s">
        <v>579</v>
      </c>
      <c r="E530" s="1" t="s">
        <v>580</v>
      </c>
      <c r="F530" s="1" t="s">
        <v>61</v>
      </c>
      <c r="G530" s="1" t="s">
        <v>582</v>
      </c>
      <c r="H530" s="1">
        <v>33</v>
      </c>
      <c r="I530" s="1" t="s">
        <v>91</v>
      </c>
      <c r="J530" s="1">
        <v>6</v>
      </c>
      <c r="K530" s="1" t="s">
        <v>35</v>
      </c>
      <c r="L530" s="1">
        <v>54</v>
      </c>
      <c r="M530" s="1" t="str">
        <f>IF(L530&lt;=45,"Joven","Mayor")</f>
        <v>Mayor</v>
      </c>
      <c r="N530" s="1">
        <v>47</v>
      </c>
      <c r="O530" s="1" t="s">
        <v>36</v>
      </c>
      <c r="P530" s="1">
        <v>1.4E-2</v>
      </c>
      <c r="Q530" s="1">
        <v>90.995000000000005</v>
      </c>
      <c r="R530" s="1">
        <v>3.7567982999999998</v>
      </c>
      <c r="S530" s="1">
        <v>6.3635153999999998</v>
      </c>
      <c r="T530" s="1">
        <v>-4.3342890000000001</v>
      </c>
      <c r="U530" s="1">
        <v>4.2430000000000003</v>
      </c>
      <c r="V530" s="1">
        <v>101</v>
      </c>
      <c r="W530" s="1">
        <v>159</v>
      </c>
      <c r="X530" s="1">
        <v>1.5742574257425743</v>
      </c>
      <c r="Y530" s="1">
        <v>101</v>
      </c>
      <c r="Z530" s="1">
        <v>159</v>
      </c>
      <c r="AA530" s="1">
        <v>1.5742574257425743</v>
      </c>
      <c r="AB530" s="1">
        <v>103.8853187916816</v>
      </c>
      <c r="AC530" s="1">
        <v>158.84757521419809</v>
      </c>
      <c r="AD530" s="1">
        <v>1.5290666386915635</v>
      </c>
      <c r="AE530" t="s">
        <v>4817</v>
      </c>
      <c r="AF530" t="str">
        <f>IF(X530&lt;$AF$1,"Bajo","Alto")</f>
        <v>Bajo</v>
      </c>
      <c r="AG530" t="str">
        <f>LEFT(AE530,1)</f>
        <v>C</v>
      </c>
      <c r="AH530" t="str">
        <f>K530</f>
        <v>M</v>
      </c>
      <c r="AI530" t="str">
        <f>LEFT(AF530,1)</f>
        <v>B</v>
      </c>
      <c r="AJ530" t="str">
        <f>LEFT(M530,1)</f>
        <v>M</v>
      </c>
      <c r="AK530" t="str">
        <f>_xlfn.CONCAT(AG530,AH530,AI530,AJ530)</f>
        <v>CMBM</v>
      </c>
    </row>
    <row r="531" spans="1:37" ht="15.75" hidden="1" customHeight="1" x14ac:dyDescent="0.2">
      <c r="A531" s="1">
        <v>524602</v>
      </c>
      <c r="B531" s="1" t="s">
        <v>4529</v>
      </c>
      <c r="C531" s="1" t="s">
        <v>685</v>
      </c>
      <c r="D531" s="1" t="s">
        <v>4626</v>
      </c>
      <c r="E531" s="1" t="s">
        <v>669</v>
      </c>
      <c r="F531" s="1" t="s">
        <v>37</v>
      </c>
      <c r="G531" s="1" t="s">
        <v>4628</v>
      </c>
      <c r="H531" s="1">
        <v>6</v>
      </c>
      <c r="I531" s="1" t="s">
        <v>294</v>
      </c>
      <c r="J531" s="1">
        <v>16</v>
      </c>
      <c r="K531" s="1" t="s">
        <v>35</v>
      </c>
      <c r="L531" s="1">
        <v>44</v>
      </c>
      <c r="M531" s="1" t="str">
        <f>IF(L531&lt;=45,"Joven","Mayor")</f>
        <v>Joven</v>
      </c>
      <c r="N531" s="1">
        <v>54</v>
      </c>
      <c r="O531" s="1" t="s">
        <v>36</v>
      </c>
      <c r="P531" s="1">
        <v>0.92600000000000005</v>
      </c>
      <c r="Q531" s="1">
        <v>93.304000000000002</v>
      </c>
      <c r="R531" s="1">
        <v>0.40662422999999998</v>
      </c>
      <c r="S531" s="1">
        <v>6.0680585000000002</v>
      </c>
      <c r="T531" s="1">
        <v>-6.2875819999999996</v>
      </c>
      <c r="U531" s="1">
        <v>1.8080000000000001</v>
      </c>
      <c r="V531" s="1">
        <v>104</v>
      </c>
      <c r="W531" s="1">
        <v>167</v>
      </c>
      <c r="X531" s="1">
        <v>1.6057692307692308</v>
      </c>
      <c r="Y531" s="1">
        <v>108</v>
      </c>
      <c r="Z531" s="1">
        <v>167</v>
      </c>
      <c r="AA531" s="1">
        <v>1.5462962962962963</v>
      </c>
      <c r="AB531" s="1">
        <v>108.41227898937269</v>
      </c>
      <c r="AC531" s="1">
        <v>166.98111740910829</v>
      </c>
      <c r="AD531" s="1">
        <v>1.5402417416709495</v>
      </c>
      <c r="AE531" t="s">
        <v>4817</v>
      </c>
      <c r="AF531" t="str">
        <f>IF(X531&lt;$AF$1,"Bajo","Alto")</f>
        <v>Bajo</v>
      </c>
      <c r="AG531" t="str">
        <f>LEFT(AE531,1)</f>
        <v>C</v>
      </c>
      <c r="AH531" t="str">
        <f>K531</f>
        <v>M</v>
      </c>
      <c r="AI531" t="str">
        <f>LEFT(AF531,1)</f>
        <v>B</v>
      </c>
      <c r="AJ531" t="str">
        <f>LEFT(M531,1)</f>
        <v>J</v>
      </c>
      <c r="AK531" t="str">
        <f>_xlfn.CONCAT(AG531,AH531,AI531,AJ531)</f>
        <v>CMBJ</v>
      </c>
    </row>
    <row r="532" spans="1:37" ht="15.75" hidden="1" customHeight="1" x14ac:dyDescent="0.2">
      <c r="A532" s="1">
        <v>132404</v>
      </c>
      <c r="B532" s="1" t="s">
        <v>956</v>
      </c>
      <c r="C532" s="1" t="s">
        <v>163</v>
      </c>
      <c r="D532" s="1" t="s">
        <v>1992</v>
      </c>
      <c r="E532" s="1" t="s">
        <v>1993</v>
      </c>
      <c r="F532" s="1" t="s">
        <v>61</v>
      </c>
      <c r="G532" s="1" t="s">
        <v>1995</v>
      </c>
      <c r="H532" s="1">
        <v>5118</v>
      </c>
      <c r="I532" s="1" t="s">
        <v>65</v>
      </c>
      <c r="J532" s="1">
        <v>2</v>
      </c>
      <c r="K532" s="1" t="s">
        <v>35</v>
      </c>
      <c r="L532" s="1">
        <v>32</v>
      </c>
      <c r="M532" s="1" t="str">
        <f>IF(L532&lt;=45,"Joven","Mayor")</f>
        <v>Joven</v>
      </c>
      <c r="N532" s="1">
        <v>34</v>
      </c>
      <c r="O532" s="1" t="s">
        <v>36</v>
      </c>
      <c r="P532" s="1">
        <v>0.378</v>
      </c>
      <c r="Q532" s="1">
        <v>88.643000000000001</v>
      </c>
      <c r="R532" s="1">
        <v>7.1325396999999997</v>
      </c>
      <c r="S532" s="1">
        <v>-0.33785018</v>
      </c>
      <c r="T532" s="1">
        <v>-2.4368013999999998</v>
      </c>
      <c r="U532" s="1">
        <v>12.672000000000001</v>
      </c>
      <c r="V532" s="1">
        <v>68</v>
      </c>
      <c r="W532" s="1">
        <v>133</v>
      </c>
      <c r="X532" s="1">
        <v>1.9558823529411764</v>
      </c>
      <c r="Y532" s="1">
        <v>69</v>
      </c>
      <c r="Z532" s="1">
        <v>133</v>
      </c>
      <c r="AA532" s="1">
        <v>1.9275362318840579</v>
      </c>
      <c r="AB532" s="1">
        <v>70.55326588046114</v>
      </c>
      <c r="AC532" s="1">
        <v>133.04980124480201</v>
      </c>
      <c r="AD532" s="1">
        <v>1.8858064128488277</v>
      </c>
      <c r="AE532" t="s">
        <v>4817</v>
      </c>
      <c r="AF532" t="str">
        <f>IF(X532&lt;$AF$1,"Bajo","Alto")</f>
        <v>Alto</v>
      </c>
      <c r="AG532" t="str">
        <f>LEFT(AE532,1)</f>
        <v>C</v>
      </c>
      <c r="AH532" t="str">
        <f>K532</f>
        <v>M</v>
      </c>
      <c r="AI532" t="str">
        <f>LEFT(AF532,1)</f>
        <v>A</v>
      </c>
      <c r="AJ532" t="str">
        <f>LEFT(M532,1)</f>
        <v>J</v>
      </c>
      <c r="AK532" t="str">
        <f>_xlfn.CONCAT(AG532,AH532,AI532,AJ532)</f>
        <v>CMAJ</v>
      </c>
    </row>
    <row r="533" spans="1:37" ht="15.75" hidden="1" customHeight="1" x14ac:dyDescent="0.2">
      <c r="A533" s="1">
        <v>1280005</v>
      </c>
      <c r="B533" s="1" t="s">
        <v>1798</v>
      </c>
      <c r="C533" s="1" t="s">
        <v>54</v>
      </c>
      <c r="D533" s="1" t="s">
        <v>1922</v>
      </c>
      <c r="E533" s="1" t="s">
        <v>1923</v>
      </c>
      <c r="F533" s="1" t="s">
        <v>40</v>
      </c>
      <c r="G533" s="1" t="s">
        <v>1924</v>
      </c>
      <c r="H533" s="1">
        <v>2814</v>
      </c>
      <c r="I533" s="1" t="s">
        <v>65</v>
      </c>
      <c r="J533" s="1">
        <v>2</v>
      </c>
      <c r="K533" s="1" t="s">
        <v>35</v>
      </c>
      <c r="L533" s="1">
        <v>37</v>
      </c>
      <c r="M533" s="1" t="str">
        <f>IF(L533&lt;=45,"Joven","Mayor")</f>
        <v>Joven</v>
      </c>
      <c r="N533" s="1">
        <v>27</v>
      </c>
      <c r="O533" s="1" t="s">
        <v>36</v>
      </c>
      <c r="P533" s="1">
        <v>0.14899999999999999</v>
      </c>
      <c r="Q533" s="1">
        <v>83.92</v>
      </c>
      <c r="R533" s="1">
        <v>-8.9244299999999992</v>
      </c>
      <c r="S533" s="1">
        <v>3.5126629999999999</v>
      </c>
      <c r="T533" s="1">
        <v>3.7264974</v>
      </c>
      <c r="U533" s="1">
        <v>2.8730000000000002</v>
      </c>
      <c r="V533" s="1">
        <v>113</v>
      </c>
      <c r="W533" s="1">
        <v>221</v>
      </c>
      <c r="X533" s="1">
        <v>1.9557522123893805</v>
      </c>
      <c r="Y533" s="1">
        <v>122</v>
      </c>
      <c r="Z533" s="1">
        <v>221</v>
      </c>
      <c r="AA533" s="1">
        <v>1.8114754098360655</v>
      </c>
      <c r="AB533" s="1">
        <v>125.3817044735013</v>
      </c>
      <c r="AC533" s="1">
        <v>219.49283165025739</v>
      </c>
      <c r="AD533" s="1">
        <v>1.7505969676512567</v>
      </c>
      <c r="AE533" t="s">
        <v>4817</v>
      </c>
      <c r="AF533" t="str">
        <f>IF(X533&lt;$AF$1,"Bajo","Alto")</f>
        <v>Alto</v>
      </c>
      <c r="AG533" t="str">
        <f>LEFT(AE533,1)</f>
        <v>C</v>
      </c>
      <c r="AH533" t="str">
        <f>K533</f>
        <v>M</v>
      </c>
      <c r="AI533" t="str">
        <f>LEFT(AF533,1)</f>
        <v>A</v>
      </c>
      <c r="AJ533" t="str">
        <f>LEFT(M533,1)</f>
        <v>J</v>
      </c>
      <c r="AK533" t="str">
        <f>_xlfn.CONCAT(AG533,AH533,AI533,AJ533)</f>
        <v>CMAJ</v>
      </c>
    </row>
    <row r="534" spans="1:37" ht="15.75" hidden="1" customHeight="1" x14ac:dyDescent="0.2">
      <c r="A534" s="1">
        <v>10121406</v>
      </c>
      <c r="B534" s="1" t="s">
        <v>29</v>
      </c>
      <c r="C534" s="1" t="s">
        <v>30</v>
      </c>
      <c r="D534" s="1" t="s">
        <v>391</v>
      </c>
      <c r="E534" s="1" t="s">
        <v>392</v>
      </c>
      <c r="F534" s="1" t="s">
        <v>88</v>
      </c>
      <c r="G534" s="1" t="s">
        <v>397</v>
      </c>
      <c r="H534" s="1">
        <v>24326</v>
      </c>
      <c r="I534" s="1" t="s">
        <v>398</v>
      </c>
      <c r="J534" s="1">
        <v>2923</v>
      </c>
      <c r="K534" s="1" t="s">
        <v>35</v>
      </c>
      <c r="L534" s="1">
        <v>34</v>
      </c>
      <c r="M534" s="1" t="str">
        <f>IF(L534&lt;=45,"Joven","Mayor")</f>
        <v>Joven</v>
      </c>
      <c r="N534" s="1">
        <v>23</v>
      </c>
      <c r="O534" s="1" t="s">
        <v>36</v>
      </c>
      <c r="P534" s="1">
        <v>0.91200000000000003</v>
      </c>
      <c r="Q534" s="1">
        <v>84.924000000000007</v>
      </c>
      <c r="R534" s="1">
        <v>7.7641252999999999</v>
      </c>
      <c r="S534" s="1">
        <v>-5.8603149999999999</v>
      </c>
      <c r="T534" s="1">
        <v>-5.3295145000000002</v>
      </c>
      <c r="U534" s="1">
        <v>30.555</v>
      </c>
      <c r="V534" s="1">
        <v>88</v>
      </c>
      <c r="W534" s="1">
        <v>172</v>
      </c>
      <c r="X534" s="1">
        <v>1.9545454545454546</v>
      </c>
      <c r="Y534" s="1">
        <v>93</v>
      </c>
      <c r="Z534" s="1">
        <v>172</v>
      </c>
      <c r="AA534" s="1">
        <v>1.8494623655913978</v>
      </c>
      <c r="AB534" s="1">
        <v>96.406182900571821</v>
      </c>
      <c r="AC534" s="1">
        <v>170.69914020109039</v>
      </c>
      <c r="AD534" s="1">
        <v>1.7706244046311879</v>
      </c>
      <c r="AE534" t="s">
        <v>4817</v>
      </c>
      <c r="AF534" t="str">
        <f>IF(X534&lt;$AF$1,"Bajo","Alto")</f>
        <v>Alto</v>
      </c>
      <c r="AG534" t="str">
        <f>LEFT(AE534,1)</f>
        <v>C</v>
      </c>
      <c r="AH534" t="str">
        <f>K534</f>
        <v>M</v>
      </c>
      <c r="AI534" t="str">
        <f>LEFT(AF534,1)</f>
        <v>A</v>
      </c>
      <c r="AJ534" t="str">
        <f>LEFT(M534,1)</f>
        <v>J</v>
      </c>
      <c r="AK534" t="str">
        <f>_xlfn.CONCAT(AG534,AH534,AI534,AJ534)</f>
        <v>CMAJ</v>
      </c>
    </row>
    <row r="535" spans="1:37" ht="15.75" hidden="1" customHeight="1" x14ac:dyDescent="0.2">
      <c r="A535" s="1">
        <v>2711501</v>
      </c>
      <c r="B535" s="1" t="s">
        <v>3409</v>
      </c>
      <c r="C535" s="1" t="s">
        <v>973</v>
      </c>
      <c r="D535" s="1" t="s">
        <v>3448</v>
      </c>
      <c r="E535" s="1" t="s">
        <v>112</v>
      </c>
      <c r="F535" s="1" t="s">
        <v>32</v>
      </c>
      <c r="G535" s="1" t="s">
        <v>3449</v>
      </c>
      <c r="H535" s="1">
        <v>2</v>
      </c>
      <c r="I535" s="1" t="s">
        <v>100</v>
      </c>
      <c r="J535" s="1">
        <v>1</v>
      </c>
      <c r="K535" s="1" t="s">
        <v>35</v>
      </c>
      <c r="L535" s="1">
        <v>47</v>
      </c>
      <c r="M535" s="1" t="str">
        <f>IF(L535&lt;=45,"Joven","Mayor")</f>
        <v>Mayor</v>
      </c>
      <c r="N535" s="1">
        <v>63</v>
      </c>
      <c r="O535" s="1" t="s">
        <v>36</v>
      </c>
      <c r="P535" s="1">
        <v>0.379</v>
      </c>
      <c r="Q535" s="1">
        <v>94.301000000000002</v>
      </c>
      <c r="R535" s="1">
        <v>-0.6455997</v>
      </c>
      <c r="S535" s="1">
        <v>2.1256216000000001</v>
      </c>
      <c r="T535" s="1">
        <v>2.0440942999999998</v>
      </c>
      <c r="U535" s="1">
        <v>0.41399999999999998</v>
      </c>
      <c r="V535" s="1">
        <v>101</v>
      </c>
      <c r="W535" s="1">
        <v>161</v>
      </c>
      <c r="X535" s="1">
        <v>1.5940594059405941</v>
      </c>
      <c r="Y535" s="1">
        <v>105</v>
      </c>
      <c r="Z535" s="1">
        <v>161</v>
      </c>
      <c r="AA535" s="1">
        <v>1.5333333333333334</v>
      </c>
      <c r="AB535" s="1">
        <v>103.5777785261721</v>
      </c>
      <c r="AC535" s="1">
        <v>161.25423739284861</v>
      </c>
      <c r="AD535" s="1">
        <v>1.5568420146421926</v>
      </c>
      <c r="AE535" t="s">
        <v>4816</v>
      </c>
      <c r="AF535" t="str">
        <f>IF(X535&lt;$AF$1,"Bajo","Alto")</f>
        <v>Bajo</v>
      </c>
      <c r="AG535" t="str">
        <f>LEFT(AE535,1)</f>
        <v>D</v>
      </c>
      <c r="AH535" t="str">
        <f>K535</f>
        <v>M</v>
      </c>
      <c r="AI535" t="str">
        <f>LEFT(AF535,1)</f>
        <v>B</v>
      </c>
      <c r="AJ535" t="str">
        <f>LEFT(M535,1)</f>
        <v>M</v>
      </c>
      <c r="AK535" t="str">
        <f>_xlfn.CONCAT(AG535,AH535,AI535,AJ535)</f>
        <v>DMBM</v>
      </c>
    </row>
    <row r="536" spans="1:37" ht="15.75" hidden="1" customHeight="1" x14ac:dyDescent="0.2">
      <c r="A536" s="1">
        <v>1015201</v>
      </c>
      <c r="B536" s="1" t="s">
        <v>29</v>
      </c>
      <c r="C536" s="1" t="s">
        <v>30</v>
      </c>
      <c r="D536" s="1" t="s">
        <v>684</v>
      </c>
      <c r="E536" s="1" t="s">
        <v>685</v>
      </c>
      <c r="F536" s="1" t="s">
        <v>32</v>
      </c>
      <c r="G536" s="1" t="s">
        <v>686</v>
      </c>
      <c r="H536" s="1">
        <v>223</v>
      </c>
      <c r="I536" s="1" t="s">
        <v>108</v>
      </c>
      <c r="J536" s="1">
        <v>3</v>
      </c>
      <c r="K536" s="1" t="s">
        <v>35</v>
      </c>
      <c r="L536" s="1">
        <v>34</v>
      </c>
      <c r="M536" s="1" t="str">
        <f>IF(L536&lt;=45,"Joven","Mayor")</f>
        <v>Joven</v>
      </c>
      <c r="N536" s="1">
        <v>39</v>
      </c>
      <c r="O536" s="1" t="s">
        <v>36</v>
      </c>
      <c r="P536" s="1">
        <v>0.65300000000000002</v>
      </c>
      <c r="Q536" s="1">
        <v>93.492999999999995</v>
      </c>
      <c r="R536" s="1">
        <v>-0.8698169</v>
      </c>
      <c r="S536" s="1">
        <v>4.8380245999999998</v>
      </c>
      <c r="T536" s="1">
        <v>-2.448734</v>
      </c>
      <c r="U536" s="1">
        <v>14.884</v>
      </c>
      <c r="V536" s="1">
        <v>66</v>
      </c>
      <c r="W536" s="1">
        <v>106</v>
      </c>
      <c r="X536" s="1">
        <v>1.606060606060606</v>
      </c>
      <c r="Y536" s="1">
        <v>67</v>
      </c>
      <c r="Z536" s="1">
        <v>106</v>
      </c>
      <c r="AA536" s="1">
        <v>1.5820895522388059</v>
      </c>
      <c r="AB536" s="1">
        <v>67.178770510384993</v>
      </c>
      <c r="AC536" s="1">
        <v>106.0313825432245</v>
      </c>
      <c r="AD536" s="1">
        <v>1.5783465779093617</v>
      </c>
      <c r="AE536" t="s">
        <v>4817</v>
      </c>
      <c r="AF536" t="str">
        <f>IF(X536&lt;$AF$1,"Bajo","Alto")</f>
        <v>Bajo</v>
      </c>
      <c r="AG536" t="str">
        <f>LEFT(AE536,1)</f>
        <v>C</v>
      </c>
      <c r="AH536" t="str">
        <f>K536</f>
        <v>M</v>
      </c>
      <c r="AI536" t="str">
        <f>LEFT(AF536,1)</f>
        <v>B</v>
      </c>
      <c r="AJ536" t="str">
        <f>LEFT(M536,1)</f>
        <v>J</v>
      </c>
      <c r="AK536" t="str">
        <f>_xlfn.CONCAT(AG536,AH536,AI536,AJ536)</f>
        <v>CMBJ</v>
      </c>
    </row>
    <row r="537" spans="1:37" ht="15.75" hidden="1" customHeight="1" x14ac:dyDescent="0.2">
      <c r="A537" s="1">
        <v>10113002</v>
      </c>
      <c r="B537" s="1" t="s">
        <v>29</v>
      </c>
      <c r="C537" s="1" t="s">
        <v>30</v>
      </c>
      <c r="D537" s="1" t="s">
        <v>157</v>
      </c>
      <c r="E537" s="1" t="s">
        <v>158</v>
      </c>
      <c r="F537" s="1" t="s">
        <v>37</v>
      </c>
      <c r="G537" s="1" t="s">
        <v>160</v>
      </c>
      <c r="H537" s="1">
        <v>78</v>
      </c>
      <c r="I537" s="1" t="s">
        <v>161</v>
      </c>
      <c r="J537" s="1">
        <v>494</v>
      </c>
      <c r="K537" s="1" t="s">
        <v>35</v>
      </c>
      <c r="L537" s="1">
        <v>49</v>
      </c>
      <c r="M537" s="1" t="str">
        <f>IF(L537&lt;=45,"Joven","Mayor")</f>
        <v>Mayor</v>
      </c>
      <c r="N537" s="1">
        <v>48</v>
      </c>
      <c r="O537" s="1" t="s">
        <v>36</v>
      </c>
      <c r="P537" s="1">
        <v>0.129</v>
      </c>
      <c r="Q537" s="1">
        <v>92.522000000000006</v>
      </c>
      <c r="R537" s="1">
        <v>1.5609466999999999</v>
      </c>
      <c r="S537" s="1">
        <v>6.9443900000000003</v>
      </c>
      <c r="T537" s="1">
        <v>-2.2834591999999998</v>
      </c>
      <c r="U537" s="1">
        <v>1.966</v>
      </c>
      <c r="V537" s="1">
        <v>94</v>
      </c>
      <c r="W537" s="1">
        <v>148</v>
      </c>
      <c r="X537" s="1">
        <v>1.574468085106383</v>
      </c>
      <c r="Y537" s="1">
        <v>97</v>
      </c>
      <c r="Z537" s="1">
        <v>148</v>
      </c>
      <c r="AA537" s="1">
        <v>1.5257731958762886</v>
      </c>
      <c r="AB537" s="1">
        <v>95.678464891624571</v>
      </c>
      <c r="AC537" s="1">
        <v>147.92232233075771</v>
      </c>
      <c r="AD537" s="1">
        <v>1.5460356988201054</v>
      </c>
      <c r="AE537" t="s">
        <v>4817</v>
      </c>
      <c r="AF537" t="str">
        <f>IF(X537&lt;$AF$1,"Bajo","Alto")</f>
        <v>Bajo</v>
      </c>
      <c r="AG537" t="str">
        <f>LEFT(AE537,1)</f>
        <v>C</v>
      </c>
      <c r="AH537" t="str">
        <f>K537</f>
        <v>M</v>
      </c>
      <c r="AI537" t="str">
        <f>LEFT(AF537,1)</f>
        <v>B</v>
      </c>
      <c r="AJ537" t="str">
        <f>LEFT(M537,1)</f>
        <v>M</v>
      </c>
      <c r="AK537" t="str">
        <f>_xlfn.CONCAT(AG537,AH537,AI537,AJ537)</f>
        <v>CMBM</v>
      </c>
    </row>
    <row r="538" spans="1:37" ht="15.75" hidden="1" customHeight="1" x14ac:dyDescent="0.2">
      <c r="A538" s="1">
        <v>298003</v>
      </c>
      <c r="B538" s="1" t="s">
        <v>3890</v>
      </c>
      <c r="C538" s="1" t="s">
        <v>1695</v>
      </c>
      <c r="D538" s="1" t="s">
        <v>4076</v>
      </c>
      <c r="E538" s="1" t="s">
        <v>744</v>
      </c>
      <c r="F538" s="1" t="s">
        <v>63</v>
      </c>
      <c r="G538" s="1" t="s">
        <v>4079</v>
      </c>
      <c r="H538" s="1">
        <v>1328</v>
      </c>
      <c r="I538" s="1" t="s">
        <v>4080</v>
      </c>
      <c r="J538" s="1">
        <v>3018</v>
      </c>
      <c r="K538" s="1" t="s">
        <v>35</v>
      </c>
      <c r="L538" s="1">
        <v>50</v>
      </c>
      <c r="M538" s="1" t="str">
        <f>IF(L538&lt;=45,"Joven","Mayor")</f>
        <v>Mayor</v>
      </c>
      <c r="N538" s="1">
        <v>55</v>
      </c>
      <c r="O538" s="1" t="s">
        <v>36</v>
      </c>
      <c r="P538" s="1">
        <v>0.317</v>
      </c>
      <c r="Q538" s="1">
        <v>63.37</v>
      </c>
      <c r="R538" s="1">
        <v>13.552864</v>
      </c>
      <c r="S538" s="1">
        <v>5.8584690000000004</v>
      </c>
      <c r="T538" s="1">
        <v>-2.6882999999999999</v>
      </c>
      <c r="U538" s="1">
        <v>1.0289999999999999</v>
      </c>
      <c r="V538" s="1">
        <v>113</v>
      </c>
      <c r="W538" s="1">
        <v>178</v>
      </c>
      <c r="X538" s="1">
        <v>1.5752212389380531</v>
      </c>
      <c r="Y538" s="1">
        <v>118</v>
      </c>
      <c r="Z538" s="1">
        <v>178</v>
      </c>
      <c r="AA538" s="1">
        <v>1.5084745762711864</v>
      </c>
      <c r="AB538" s="1">
        <v>119.7931392545765</v>
      </c>
      <c r="AC538" s="1">
        <v>177.28817907020769</v>
      </c>
      <c r="AD538" s="1">
        <v>1.4799526932293385</v>
      </c>
      <c r="AE538" t="s">
        <v>4817</v>
      </c>
      <c r="AF538" t="str">
        <f>IF(X538&lt;$AF$1,"Bajo","Alto")</f>
        <v>Bajo</v>
      </c>
      <c r="AG538" t="str">
        <f>LEFT(AE538,1)</f>
        <v>C</v>
      </c>
      <c r="AH538" t="str">
        <f>K538</f>
        <v>M</v>
      </c>
      <c r="AI538" t="str">
        <f>LEFT(AF538,1)</f>
        <v>B</v>
      </c>
      <c r="AJ538" t="str">
        <f>LEFT(M538,1)</f>
        <v>M</v>
      </c>
      <c r="AK538" t="str">
        <f>_xlfn.CONCAT(AG538,AH538,AI538,AJ538)</f>
        <v>CMBM</v>
      </c>
    </row>
    <row r="539" spans="1:37" ht="15.75" hidden="1" customHeight="1" x14ac:dyDescent="0.2">
      <c r="A539" s="1">
        <v>211609</v>
      </c>
      <c r="B539" s="1" t="s">
        <v>2816</v>
      </c>
      <c r="C539" s="1" t="s">
        <v>2817</v>
      </c>
      <c r="D539" s="1" t="s">
        <v>2841</v>
      </c>
      <c r="E539" s="1" t="s">
        <v>244</v>
      </c>
      <c r="F539" s="1" t="s">
        <v>189</v>
      </c>
      <c r="G539" s="1" t="s">
        <v>2846</v>
      </c>
      <c r="H539" s="1">
        <v>23186</v>
      </c>
      <c r="I539" s="1" t="s">
        <v>2847</v>
      </c>
      <c r="J539" s="1">
        <v>1460</v>
      </c>
      <c r="K539" s="1" t="s">
        <v>35</v>
      </c>
      <c r="L539" s="1">
        <v>64</v>
      </c>
      <c r="M539" s="1" t="str">
        <f>IF(L539&lt;=45,"Joven","Mayor")</f>
        <v>Mayor</v>
      </c>
      <c r="N539" s="1">
        <v>66</v>
      </c>
      <c r="O539" s="1" t="s">
        <v>36</v>
      </c>
      <c r="P539" s="1">
        <v>0.35599999999999998</v>
      </c>
      <c r="Q539" s="1">
        <v>87.034999999999997</v>
      </c>
      <c r="R539" s="1">
        <v>6.5191153999999996</v>
      </c>
      <c r="S539" s="1">
        <v>-6.7640203999999997</v>
      </c>
      <c r="T539" s="1">
        <v>-2.8638859000000001</v>
      </c>
      <c r="U539" s="1">
        <v>1.1439999999999999</v>
      </c>
      <c r="V539" s="1">
        <v>92</v>
      </c>
      <c r="W539" s="1">
        <v>179</v>
      </c>
      <c r="X539" s="1">
        <v>1.9456521739130435</v>
      </c>
      <c r="Y539" s="1">
        <v>93</v>
      </c>
      <c r="Z539" s="1">
        <v>179</v>
      </c>
      <c r="AA539" s="1">
        <v>1.924731182795699</v>
      </c>
      <c r="AB539" s="1">
        <v>93.683779801756828</v>
      </c>
      <c r="AC539" s="1">
        <v>178.67651074179409</v>
      </c>
      <c r="AD539" s="1">
        <v>1.9072299507971326</v>
      </c>
      <c r="AE539" t="s">
        <v>4817</v>
      </c>
      <c r="AF539" t="str">
        <f>IF(X539&lt;$AF$1,"Bajo","Alto")</f>
        <v>Alto</v>
      </c>
      <c r="AG539" t="str">
        <f>LEFT(AE539,1)</f>
        <v>C</v>
      </c>
      <c r="AH539" t="str">
        <f>K539</f>
        <v>M</v>
      </c>
      <c r="AI539" t="str">
        <f>LEFT(AF539,1)</f>
        <v>A</v>
      </c>
      <c r="AJ539" t="str">
        <f>LEFT(M539,1)</f>
        <v>M</v>
      </c>
      <c r="AK539" t="str">
        <f>_xlfn.CONCAT(AG539,AH539,AI539,AJ539)</f>
        <v>CMAM</v>
      </c>
    </row>
    <row r="540" spans="1:37" ht="15.75" hidden="1" customHeight="1" x14ac:dyDescent="0.2">
      <c r="A540" s="1">
        <v>114302</v>
      </c>
      <c r="B540" s="1" t="s">
        <v>1648</v>
      </c>
      <c r="C540" s="1" t="s">
        <v>51</v>
      </c>
      <c r="D540" s="1" t="s">
        <v>1713</v>
      </c>
      <c r="E540" s="1" t="s">
        <v>665</v>
      </c>
      <c r="F540" s="1" t="s">
        <v>37</v>
      </c>
      <c r="G540" s="1" t="s">
        <v>1714</v>
      </c>
      <c r="H540" s="1">
        <v>4645</v>
      </c>
      <c r="I540" s="1" t="s">
        <v>134</v>
      </c>
      <c r="J540" s="1">
        <v>8</v>
      </c>
      <c r="K540" s="1" t="s">
        <v>35</v>
      </c>
      <c r="L540" s="1">
        <v>38</v>
      </c>
      <c r="M540" s="1" t="str">
        <f>IF(L540&lt;=45,"Joven","Mayor")</f>
        <v>Joven</v>
      </c>
      <c r="N540" s="1">
        <v>41</v>
      </c>
      <c r="O540" s="1" t="s">
        <v>36</v>
      </c>
      <c r="P540" s="1">
        <v>0.62</v>
      </c>
      <c r="Q540" s="1">
        <v>89.197000000000003</v>
      </c>
      <c r="R540" s="1">
        <v>-6.7016233999999999</v>
      </c>
      <c r="S540" s="1">
        <v>-0.44781110000000002</v>
      </c>
      <c r="T540" s="1">
        <v>8.4099160000000008</v>
      </c>
      <c r="U540" s="1">
        <v>3.2170000000000001</v>
      </c>
      <c r="V540" s="1">
        <v>65</v>
      </c>
      <c r="W540" s="1">
        <v>127</v>
      </c>
      <c r="X540" s="1">
        <v>1.9538461538461538</v>
      </c>
      <c r="Y540" s="1">
        <v>75</v>
      </c>
      <c r="Z540" s="1">
        <v>127</v>
      </c>
      <c r="AA540" s="1">
        <v>1.6933333333333334</v>
      </c>
      <c r="AB540" s="1">
        <v>70.390917549281994</v>
      </c>
      <c r="AC540" s="1">
        <v>127.53567865037169</v>
      </c>
      <c r="AD540" s="1">
        <v>1.8118200911514128</v>
      </c>
      <c r="AE540" t="s">
        <v>4817</v>
      </c>
      <c r="AF540" t="str">
        <f>IF(X540&lt;$AF$1,"Bajo","Alto")</f>
        <v>Alto</v>
      </c>
      <c r="AG540" t="str">
        <f>LEFT(AE540,1)</f>
        <v>C</v>
      </c>
      <c r="AH540" t="str">
        <f>K540</f>
        <v>M</v>
      </c>
      <c r="AI540" t="str">
        <f>LEFT(AF540,1)</f>
        <v>A</v>
      </c>
      <c r="AJ540" t="str">
        <f>LEFT(M540,1)</f>
        <v>J</v>
      </c>
      <c r="AK540" t="str">
        <f>_xlfn.CONCAT(AG540,AH540,AI540,AJ540)</f>
        <v>CMAJ</v>
      </c>
    </row>
    <row r="541" spans="1:37" ht="15.75" hidden="1" customHeight="1" x14ac:dyDescent="0.2">
      <c r="A541" s="1">
        <v>1018010</v>
      </c>
      <c r="B541" s="1" t="s">
        <v>29</v>
      </c>
      <c r="C541" s="1" t="s">
        <v>30</v>
      </c>
      <c r="D541" s="1" t="s">
        <v>743</v>
      </c>
      <c r="E541" s="1" t="s">
        <v>744</v>
      </c>
      <c r="F541" s="1" t="s">
        <v>75</v>
      </c>
      <c r="G541" s="1" t="s">
        <v>750</v>
      </c>
      <c r="H541" s="1">
        <v>282</v>
      </c>
      <c r="I541" s="1" t="s">
        <v>93</v>
      </c>
      <c r="J541" s="1">
        <v>9</v>
      </c>
      <c r="K541" s="1" t="s">
        <v>35</v>
      </c>
      <c r="L541" s="1">
        <v>44</v>
      </c>
      <c r="M541" s="1" t="str">
        <f>IF(L541&lt;=45,"Joven","Mayor")</f>
        <v>Joven</v>
      </c>
      <c r="N541" s="1">
        <v>39</v>
      </c>
      <c r="O541" s="1" t="s">
        <v>36</v>
      </c>
      <c r="P541" s="1">
        <v>0.98499999999999999</v>
      </c>
      <c r="Q541" s="1">
        <v>93.328000000000003</v>
      </c>
      <c r="R541" s="1">
        <v>1.9551604</v>
      </c>
      <c r="S541" s="1">
        <v>2.6140995</v>
      </c>
      <c r="T541" s="1">
        <v>-3.1601333999999999</v>
      </c>
      <c r="U541" s="1">
        <v>29.256</v>
      </c>
      <c r="V541" s="1">
        <v>88</v>
      </c>
      <c r="W541" s="1">
        <v>171</v>
      </c>
      <c r="X541" s="1">
        <v>1.9431818181818181</v>
      </c>
      <c r="Y541" s="1">
        <v>89</v>
      </c>
      <c r="Z541" s="1">
        <v>171</v>
      </c>
      <c r="AA541" s="1">
        <v>1.9213483146067416</v>
      </c>
      <c r="AB541" s="1">
        <v>91.069734252964281</v>
      </c>
      <c r="AC541" s="1">
        <v>170.62971757479681</v>
      </c>
      <c r="AD541" s="1">
        <v>1.8736160698661848</v>
      </c>
      <c r="AE541" t="s">
        <v>4815</v>
      </c>
      <c r="AF541" t="str">
        <f>IF(X541&lt;$AF$1,"Bajo","Alto")</f>
        <v>Alto</v>
      </c>
      <c r="AG541" t="str">
        <f>LEFT(AE541,1)</f>
        <v>I</v>
      </c>
      <c r="AH541" t="str">
        <f>K541</f>
        <v>M</v>
      </c>
      <c r="AI541" t="str">
        <f>LEFT(AF541,1)</f>
        <v>A</v>
      </c>
      <c r="AJ541" t="str">
        <f>LEFT(M541,1)</f>
        <v>J</v>
      </c>
      <c r="AK541" t="str">
        <f>_xlfn.CONCAT(AG541,AH541,AI541,AJ541)</f>
        <v>IMAJ</v>
      </c>
    </row>
    <row r="542" spans="1:37" ht="15.75" hidden="1" customHeight="1" x14ac:dyDescent="0.2">
      <c r="A542" s="1">
        <v>1516602</v>
      </c>
      <c r="B542" s="1" t="s">
        <v>2077</v>
      </c>
      <c r="C542" s="1" t="s">
        <v>57</v>
      </c>
      <c r="D542" s="1" t="s">
        <v>2191</v>
      </c>
      <c r="E542" s="1" t="s">
        <v>265</v>
      </c>
      <c r="F542" s="1" t="s">
        <v>37</v>
      </c>
      <c r="G542" s="1" t="s">
        <v>2193</v>
      </c>
      <c r="H542" s="1">
        <v>947</v>
      </c>
      <c r="I542" s="1" t="s">
        <v>65</v>
      </c>
      <c r="J542" s="1">
        <v>2</v>
      </c>
      <c r="K542" s="1" t="s">
        <v>35</v>
      </c>
      <c r="L542" s="1">
        <v>35</v>
      </c>
      <c r="M542" s="1" t="str">
        <f>IF(L542&lt;=45,"Joven","Mayor")</f>
        <v>Joven</v>
      </c>
      <c r="N542" s="1">
        <v>33</v>
      </c>
      <c r="O542" s="1" t="s">
        <v>36</v>
      </c>
      <c r="P542" s="1">
        <v>1.2989999999999999</v>
      </c>
      <c r="Q542" s="1">
        <v>87.161000000000001</v>
      </c>
      <c r="R542" s="1">
        <v>6.8016399999999999</v>
      </c>
      <c r="S542" s="1">
        <v>4.8247365999999996</v>
      </c>
      <c r="T542" s="1">
        <v>-0.22522996000000001</v>
      </c>
      <c r="U542" s="1">
        <v>5.6479999999999997</v>
      </c>
      <c r="V542" s="1">
        <v>99</v>
      </c>
      <c r="W542" s="1">
        <v>159</v>
      </c>
      <c r="X542" s="1">
        <v>1.606060606060606</v>
      </c>
      <c r="Y542" s="1">
        <v>104</v>
      </c>
      <c r="Z542" s="1">
        <v>159</v>
      </c>
      <c r="AA542" s="1">
        <v>1.5288461538461537</v>
      </c>
      <c r="AB542" s="1">
        <v>104.1642982142566</v>
      </c>
      <c r="AC542" s="1">
        <v>158.9751855388354</v>
      </c>
      <c r="AD542" s="1">
        <v>1.5261964825206975</v>
      </c>
      <c r="AE542" t="s">
        <v>4817</v>
      </c>
      <c r="AF542" t="str">
        <f>IF(X542&lt;$AF$1,"Bajo","Alto")</f>
        <v>Bajo</v>
      </c>
      <c r="AG542" t="str">
        <f>LEFT(AE542,1)</f>
        <v>C</v>
      </c>
      <c r="AH542" t="str">
        <f>K542</f>
        <v>M</v>
      </c>
      <c r="AI542" t="str">
        <f>LEFT(AF542,1)</f>
        <v>B</v>
      </c>
      <c r="AJ542" t="str">
        <f>LEFT(M542,1)</f>
        <v>J</v>
      </c>
      <c r="AK542" t="str">
        <f>_xlfn.CONCAT(AG542,AH542,AI542,AJ542)</f>
        <v>CMBJ</v>
      </c>
    </row>
    <row r="543" spans="1:37" ht="15.75" hidden="1" customHeight="1" x14ac:dyDescent="0.2">
      <c r="A543" s="1">
        <v>1513002</v>
      </c>
      <c r="B543" s="1" t="s">
        <v>2077</v>
      </c>
      <c r="C543" s="1" t="s">
        <v>57</v>
      </c>
      <c r="D543" s="1" t="s">
        <v>2138</v>
      </c>
      <c r="E543" s="1" t="s">
        <v>158</v>
      </c>
      <c r="F543" s="1" t="s">
        <v>37</v>
      </c>
      <c r="G543" s="1" t="s">
        <v>2139</v>
      </c>
      <c r="H543" s="1">
        <v>1317</v>
      </c>
      <c r="I543" s="1" t="s">
        <v>2140</v>
      </c>
      <c r="J543" s="1">
        <v>3739</v>
      </c>
      <c r="K543" s="1" t="s">
        <v>35</v>
      </c>
      <c r="L543" s="1">
        <v>29</v>
      </c>
      <c r="M543" s="1" t="str">
        <f>IF(L543&lt;=45,"Joven","Mayor")</f>
        <v>Joven</v>
      </c>
      <c r="N543" s="1">
        <v>26</v>
      </c>
      <c r="O543" s="1" t="s">
        <v>36</v>
      </c>
      <c r="P543" s="1">
        <v>0.45700000000000002</v>
      </c>
      <c r="Q543" s="1">
        <v>94.03</v>
      </c>
      <c r="R543" s="1">
        <v>1.2216288</v>
      </c>
      <c r="S543" s="1">
        <v>-1.9297316</v>
      </c>
      <c r="T543" s="1">
        <v>1.5079268999999999E-2</v>
      </c>
      <c r="U543" s="1">
        <v>2.7290000000000001</v>
      </c>
      <c r="V543" s="1">
        <v>107</v>
      </c>
      <c r="W543" s="1">
        <v>209</v>
      </c>
      <c r="X543" s="1">
        <v>1.9532710280373833</v>
      </c>
      <c r="Y543" s="1">
        <v>109</v>
      </c>
      <c r="Z543" s="1">
        <v>209</v>
      </c>
      <c r="AA543" s="1">
        <v>1.9174311926605505</v>
      </c>
      <c r="AB543" s="1">
        <v>108.9863107147748</v>
      </c>
      <c r="AC543" s="1">
        <v>209.00104549334219</v>
      </c>
      <c r="AD543" s="1">
        <v>1.9176816255420674</v>
      </c>
      <c r="AE543" t="s">
        <v>4817</v>
      </c>
      <c r="AF543" t="str">
        <f>IF(X543&lt;$AF$1,"Bajo","Alto")</f>
        <v>Alto</v>
      </c>
      <c r="AG543" t="str">
        <f>LEFT(AE543,1)</f>
        <v>C</v>
      </c>
      <c r="AH543" t="str">
        <f>K543</f>
        <v>M</v>
      </c>
      <c r="AI543" t="str">
        <f>LEFT(AF543,1)</f>
        <v>A</v>
      </c>
      <c r="AJ543" t="str">
        <f>LEFT(M543,1)</f>
        <v>J</v>
      </c>
      <c r="AK543" t="str">
        <f>_xlfn.CONCAT(AG543,AH543,AI543,AJ543)</f>
        <v>CMAJ</v>
      </c>
    </row>
    <row r="544" spans="1:37" ht="15.75" hidden="1" customHeight="1" x14ac:dyDescent="0.2">
      <c r="A544" s="1">
        <v>156401</v>
      </c>
      <c r="B544" s="1" t="s">
        <v>2077</v>
      </c>
      <c r="C544" s="1" t="s">
        <v>57</v>
      </c>
      <c r="D544" s="1" t="s">
        <v>2493</v>
      </c>
      <c r="E544" s="1" t="s">
        <v>710</v>
      </c>
      <c r="F544" s="1" t="s">
        <v>32</v>
      </c>
      <c r="G544" s="1" t="s">
        <v>2494</v>
      </c>
      <c r="H544" s="1">
        <v>2089</v>
      </c>
      <c r="I544" s="1" t="s">
        <v>39</v>
      </c>
      <c r="J544" s="1">
        <v>11</v>
      </c>
      <c r="K544" s="1" t="s">
        <v>35</v>
      </c>
      <c r="L544" s="1">
        <v>48</v>
      </c>
      <c r="M544" s="1" t="str">
        <f>IF(L544&lt;=45,"Joven","Mayor")</f>
        <v>Mayor</v>
      </c>
      <c r="N544" s="1">
        <v>56</v>
      </c>
      <c r="O544" s="1" t="s">
        <v>36</v>
      </c>
      <c r="P544" s="1">
        <v>0.35799999999999998</v>
      </c>
      <c r="Q544" s="1">
        <v>78.319999999999993</v>
      </c>
      <c r="R544" s="1">
        <v>10.766496</v>
      </c>
      <c r="S544" s="1">
        <v>3.4345374</v>
      </c>
      <c r="T544" s="1">
        <v>-5.7057734</v>
      </c>
      <c r="U544" s="1">
        <v>3.181</v>
      </c>
      <c r="V544" s="1">
        <v>69</v>
      </c>
      <c r="W544" s="1">
        <v>136</v>
      </c>
      <c r="X544" s="1">
        <v>1.9710144927536233</v>
      </c>
      <c r="Y544" s="1">
        <v>70</v>
      </c>
      <c r="Z544" s="1">
        <v>136</v>
      </c>
      <c r="AA544" s="1">
        <v>1.9428571428571428</v>
      </c>
      <c r="AB544" s="1">
        <v>71.939003954165173</v>
      </c>
      <c r="AC544" s="1">
        <v>135.12735571634539</v>
      </c>
      <c r="AD544" s="1">
        <v>1.878360114666582</v>
      </c>
      <c r="AE544" t="s">
        <v>4816</v>
      </c>
      <c r="AF544" t="str">
        <f>IF(X544&lt;$AF$1,"Bajo","Alto")</f>
        <v>Alto</v>
      </c>
      <c r="AG544" t="str">
        <f>LEFT(AE544,1)</f>
        <v>D</v>
      </c>
      <c r="AH544" t="str">
        <f>K544</f>
        <v>M</v>
      </c>
      <c r="AI544" t="str">
        <f>LEFT(AF544,1)</f>
        <v>A</v>
      </c>
      <c r="AJ544" t="str">
        <f>LEFT(M544,1)</f>
        <v>M</v>
      </c>
      <c r="AK544" t="str">
        <f>_xlfn.CONCAT(AG544,AH544,AI544,AJ544)</f>
        <v>DMAM</v>
      </c>
    </row>
    <row r="545" spans="1:37" ht="15.75" hidden="1" customHeight="1" x14ac:dyDescent="0.2">
      <c r="A545" s="1">
        <v>540105</v>
      </c>
      <c r="B545" s="1" t="s">
        <v>4677</v>
      </c>
      <c r="C545" s="1" t="s">
        <v>3148</v>
      </c>
      <c r="D545" s="1" t="s">
        <v>4678</v>
      </c>
      <c r="E545" s="1" t="s">
        <v>32</v>
      </c>
      <c r="F545" s="1" t="s">
        <v>40</v>
      </c>
      <c r="G545" s="1" t="s">
        <v>4682</v>
      </c>
      <c r="H545" s="1">
        <v>3299</v>
      </c>
      <c r="I545" s="1" t="s">
        <v>4683</v>
      </c>
      <c r="J545" s="1">
        <v>2515</v>
      </c>
      <c r="K545" s="1" t="s">
        <v>35</v>
      </c>
      <c r="L545" s="1">
        <v>41</v>
      </c>
      <c r="M545" s="1" t="str">
        <f>IF(L545&lt;=45,"Joven","Mayor")</f>
        <v>Joven</v>
      </c>
      <c r="N545" s="1">
        <v>45</v>
      </c>
      <c r="O545" s="1" t="s">
        <v>36</v>
      </c>
      <c r="P545" s="1">
        <v>0.375</v>
      </c>
      <c r="Q545" s="1">
        <v>93.254000000000005</v>
      </c>
      <c r="R545" s="1">
        <v>1.9521244</v>
      </c>
      <c r="S545" s="1">
        <v>-3.5883335999999999</v>
      </c>
      <c r="T545" s="1">
        <v>-3.1042078000000002</v>
      </c>
      <c r="U545" s="1">
        <v>5.6529999999999996</v>
      </c>
      <c r="V545" s="1">
        <v>84</v>
      </c>
      <c r="W545" s="1">
        <v>164</v>
      </c>
      <c r="X545" s="1">
        <v>1.9523809523809523</v>
      </c>
      <c r="Y545" s="1">
        <v>87</v>
      </c>
      <c r="Z545" s="1">
        <v>164</v>
      </c>
      <c r="AA545" s="1">
        <v>1.8850574712643677</v>
      </c>
      <c r="AB545" s="1">
        <v>85.988680139452072</v>
      </c>
      <c r="AC545" s="1">
        <v>163.92181859433501</v>
      </c>
      <c r="AD545" s="1">
        <v>1.9063185797071769</v>
      </c>
      <c r="AE545" t="s">
        <v>4817</v>
      </c>
      <c r="AF545" t="str">
        <f>IF(X545&lt;$AF$1,"Bajo","Alto")</f>
        <v>Alto</v>
      </c>
      <c r="AG545" t="str">
        <f>LEFT(AE545,1)</f>
        <v>C</v>
      </c>
      <c r="AH545" t="str">
        <f>K545</f>
        <v>M</v>
      </c>
      <c r="AI545" t="str">
        <f>LEFT(AF545,1)</f>
        <v>A</v>
      </c>
      <c r="AJ545" t="str">
        <f>LEFT(M545,1)</f>
        <v>J</v>
      </c>
      <c r="AK545" t="str">
        <f>_xlfn.CONCAT(AG545,AH545,AI545,AJ545)</f>
        <v>CMAJ</v>
      </c>
    </row>
    <row r="546" spans="1:37" ht="15.75" hidden="1" customHeight="1" x14ac:dyDescent="0.2">
      <c r="A546" s="1">
        <v>2711203</v>
      </c>
      <c r="B546" s="1" t="s">
        <v>3409</v>
      </c>
      <c r="C546" s="1" t="s">
        <v>973</v>
      </c>
      <c r="D546" s="1" t="s">
        <v>3443</v>
      </c>
      <c r="E546" s="1" t="s">
        <v>106</v>
      </c>
      <c r="F546" s="1" t="s">
        <v>63</v>
      </c>
      <c r="G546" s="1" t="s">
        <v>3446</v>
      </c>
      <c r="H546" s="1">
        <v>5</v>
      </c>
      <c r="I546" s="1" t="s">
        <v>134</v>
      </c>
      <c r="J546" s="1">
        <v>8</v>
      </c>
      <c r="K546" s="1" t="s">
        <v>35</v>
      </c>
      <c r="L546" s="1">
        <v>53</v>
      </c>
      <c r="M546" s="1" t="str">
        <f>IF(L546&lt;=45,"Joven","Mayor")</f>
        <v>Mayor</v>
      </c>
      <c r="N546" s="1">
        <v>54</v>
      </c>
      <c r="O546" s="1" t="s">
        <v>36</v>
      </c>
      <c r="P546" s="1">
        <v>7.0000000000000001E-3</v>
      </c>
      <c r="Q546" s="1">
        <v>92.290999999999997</v>
      </c>
      <c r="R546" s="1">
        <v>-6.6544820000000005E-2</v>
      </c>
      <c r="S546" s="1">
        <v>9.667192</v>
      </c>
      <c r="T546" s="1">
        <v>-3.4006820000000002</v>
      </c>
      <c r="U546" s="1">
        <v>1.0469999999999999</v>
      </c>
      <c r="V546" s="1">
        <v>130</v>
      </c>
      <c r="W546" s="1">
        <v>205</v>
      </c>
      <c r="X546" s="1">
        <v>1.5769230769230769</v>
      </c>
      <c r="Y546" s="1">
        <v>134</v>
      </c>
      <c r="Z546" s="1">
        <v>205</v>
      </c>
      <c r="AA546" s="1">
        <v>1.5298507462686568</v>
      </c>
      <c r="AB546" s="1">
        <v>137.08586466024531</v>
      </c>
      <c r="AC546" s="1">
        <v>204.28311045914009</v>
      </c>
      <c r="AD546" s="1">
        <v>1.4901836229828433</v>
      </c>
      <c r="AE546" t="s">
        <v>4817</v>
      </c>
      <c r="AF546" t="str">
        <f>IF(X546&lt;$AF$1,"Bajo","Alto")</f>
        <v>Bajo</v>
      </c>
      <c r="AG546" t="str">
        <f>LEFT(AE546,1)</f>
        <v>C</v>
      </c>
      <c r="AH546" t="str">
        <f>K546</f>
        <v>M</v>
      </c>
      <c r="AI546" t="str">
        <f>LEFT(AF546,1)</f>
        <v>B</v>
      </c>
      <c r="AJ546" t="str">
        <f>LEFT(M546,1)</f>
        <v>M</v>
      </c>
      <c r="AK546" t="str">
        <f>_xlfn.CONCAT(AG546,AH546,AI546,AJ546)</f>
        <v>CMBM</v>
      </c>
    </row>
    <row r="547" spans="1:37" ht="15.75" hidden="1" customHeight="1" x14ac:dyDescent="0.2">
      <c r="A547" s="1">
        <v>111003</v>
      </c>
      <c r="B547" s="1" t="s">
        <v>1648</v>
      </c>
      <c r="C547" s="1" t="s">
        <v>51</v>
      </c>
      <c r="D547" s="1" t="s">
        <v>1668</v>
      </c>
      <c r="E547" s="1" t="s">
        <v>75</v>
      </c>
      <c r="F547" s="1" t="s">
        <v>63</v>
      </c>
      <c r="G547" s="1" t="s">
        <v>1671</v>
      </c>
      <c r="H547" s="1">
        <v>4853</v>
      </c>
      <c r="I547" s="1" t="s">
        <v>134</v>
      </c>
      <c r="J547" s="1">
        <v>8</v>
      </c>
      <c r="K547" s="1" t="s">
        <v>35</v>
      </c>
      <c r="L547" s="1">
        <v>41</v>
      </c>
      <c r="M547" s="1" t="str">
        <f>IF(L547&lt;=45,"Joven","Mayor")</f>
        <v>Joven</v>
      </c>
      <c r="N547" s="1">
        <v>45</v>
      </c>
      <c r="O547" s="1" t="s">
        <v>36</v>
      </c>
      <c r="P547" s="1">
        <v>0.39800000000000002</v>
      </c>
      <c r="Q547" s="1">
        <v>94.263999999999996</v>
      </c>
      <c r="R547" s="1">
        <v>0.36889084999999999</v>
      </c>
      <c r="S547" s="1">
        <v>2.9495684999999998</v>
      </c>
      <c r="T547" s="1">
        <v>-2.4890086999999999</v>
      </c>
      <c r="U547" s="1">
        <v>5.4850000000000003</v>
      </c>
      <c r="V547" s="1">
        <v>104</v>
      </c>
      <c r="W547" s="1">
        <v>203</v>
      </c>
      <c r="X547" s="1">
        <v>1.9519230769230769</v>
      </c>
      <c r="Y547" s="1">
        <v>106</v>
      </c>
      <c r="Z547" s="1">
        <v>203</v>
      </c>
      <c r="AA547" s="1">
        <v>1.9150943396226414</v>
      </c>
      <c r="AB547" s="1">
        <v>108.2450941928566</v>
      </c>
      <c r="AC547" s="1">
        <v>202.982194831181</v>
      </c>
      <c r="AD547" s="1">
        <v>1.8752091847186585</v>
      </c>
      <c r="AE547" t="s">
        <v>4817</v>
      </c>
      <c r="AF547" t="str">
        <f>IF(X547&lt;$AF$1,"Bajo","Alto")</f>
        <v>Alto</v>
      </c>
      <c r="AG547" t="str">
        <f>LEFT(AE547,1)</f>
        <v>C</v>
      </c>
      <c r="AH547" t="str">
        <f>K547</f>
        <v>M</v>
      </c>
      <c r="AI547" t="str">
        <f>LEFT(AF547,1)</f>
        <v>A</v>
      </c>
      <c r="AJ547" t="str">
        <f>LEFT(M547,1)</f>
        <v>J</v>
      </c>
      <c r="AK547" t="str">
        <f>_xlfn.CONCAT(AG547,AH547,AI547,AJ547)</f>
        <v>CMAJ</v>
      </c>
    </row>
    <row r="548" spans="1:37" ht="15.75" hidden="1" customHeight="1" x14ac:dyDescent="0.2">
      <c r="A548" s="1">
        <v>10721702</v>
      </c>
      <c r="B548" s="1" t="s">
        <v>1067</v>
      </c>
      <c r="C548" s="1" t="s">
        <v>1068</v>
      </c>
      <c r="D548" s="1" t="s">
        <v>1232</v>
      </c>
      <c r="E548" s="1" t="s">
        <v>404</v>
      </c>
      <c r="F548" s="1" t="s">
        <v>37</v>
      </c>
      <c r="G548" s="1" t="s">
        <v>1234</v>
      </c>
      <c r="H548" s="1">
        <v>31</v>
      </c>
      <c r="I548" s="1" t="s">
        <v>91</v>
      </c>
      <c r="J548" s="1">
        <v>6</v>
      </c>
      <c r="K548" s="1" t="s">
        <v>35</v>
      </c>
      <c r="L548" s="1">
        <v>32</v>
      </c>
      <c r="M548" s="1" t="str">
        <f>IF(L548&lt;=45,"Joven","Mayor")</f>
        <v>Joven</v>
      </c>
      <c r="N548" s="1">
        <v>31</v>
      </c>
      <c r="O548" s="1" t="s">
        <v>36</v>
      </c>
      <c r="P548" s="1">
        <v>15.333</v>
      </c>
      <c r="Q548" s="1">
        <v>79.432000000000002</v>
      </c>
      <c r="R548" s="1">
        <v>4.5791573999999997</v>
      </c>
      <c r="S548" s="1">
        <v>9.2045080000000006</v>
      </c>
      <c r="T548" s="1">
        <v>-3.0991669000000002</v>
      </c>
      <c r="U548" s="1">
        <v>3.05</v>
      </c>
      <c r="V548" s="1">
        <v>94</v>
      </c>
      <c r="W548" s="1">
        <v>151</v>
      </c>
      <c r="X548" s="1">
        <v>1.6063829787234043</v>
      </c>
      <c r="Y548" s="1">
        <v>97</v>
      </c>
      <c r="Z548" s="1">
        <v>151</v>
      </c>
      <c r="AA548" s="1">
        <v>1.5567010309278351</v>
      </c>
      <c r="AB548" s="1">
        <v>96.133221259789707</v>
      </c>
      <c r="AC548" s="1">
        <v>151.1035417017865</v>
      </c>
      <c r="AD548" s="1">
        <v>1.5718139860667459</v>
      </c>
      <c r="AE548" t="s">
        <v>4817</v>
      </c>
      <c r="AF548" t="str">
        <f>IF(X548&lt;$AF$1,"Bajo","Alto")</f>
        <v>Bajo</v>
      </c>
      <c r="AG548" t="str">
        <f>LEFT(AE548,1)</f>
        <v>C</v>
      </c>
      <c r="AH548" t="str">
        <f>K548</f>
        <v>M</v>
      </c>
      <c r="AI548" t="str">
        <f>LEFT(AF548,1)</f>
        <v>B</v>
      </c>
      <c r="AJ548" t="str">
        <f>LEFT(M548,1)</f>
        <v>J</v>
      </c>
      <c r="AK548" t="str">
        <f>_xlfn.CONCAT(AG548,AH548,AI548,AJ548)</f>
        <v>CMBJ</v>
      </c>
    </row>
    <row r="549" spans="1:37" ht="15.75" hidden="1" customHeight="1" x14ac:dyDescent="0.2">
      <c r="A549" s="1">
        <v>250110</v>
      </c>
      <c r="B549" s="1" t="s">
        <v>3169</v>
      </c>
      <c r="C549" s="1" t="s">
        <v>821</v>
      </c>
      <c r="D549" s="1" t="s">
        <v>3170</v>
      </c>
      <c r="E549" s="1" t="s">
        <v>32</v>
      </c>
      <c r="F549" s="1" t="s">
        <v>75</v>
      </c>
      <c r="G549" s="1" t="s">
        <v>3179</v>
      </c>
      <c r="H549" s="1">
        <v>7363</v>
      </c>
      <c r="I549" s="1" t="s">
        <v>3180</v>
      </c>
      <c r="J549" s="1">
        <v>537</v>
      </c>
      <c r="K549" s="1" t="s">
        <v>35</v>
      </c>
      <c r="L549" s="1">
        <v>56</v>
      </c>
      <c r="M549" s="1" t="str">
        <f>IF(L549&lt;=45,"Joven","Mayor")</f>
        <v>Mayor</v>
      </c>
      <c r="N549" s="1">
        <v>57</v>
      </c>
      <c r="O549" s="1" t="s">
        <v>36</v>
      </c>
      <c r="P549" s="1">
        <v>0.34300000000000003</v>
      </c>
      <c r="Q549" s="1">
        <v>61.701999999999998</v>
      </c>
      <c r="R549" s="1">
        <v>14.159929</v>
      </c>
      <c r="S549" s="1">
        <v>3.5256436</v>
      </c>
      <c r="T549" s="1">
        <v>-11.252007499999999</v>
      </c>
      <c r="U549" s="1">
        <v>6.1120000000000001</v>
      </c>
      <c r="V549" s="1">
        <v>91</v>
      </c>
      <c r="W549" s="1">
        <v>177</v>
      </c>
      <c r="X549" s="1">
        <v>1.945054945054945</v>
      </c>
      <c r="Y549" s="1">
        <v>106</v>
      </c>
      <c r="Z549" s="1">
        <v>177</v>
      </c>
      <c r="AA549" s="1">
        <v>1.6698113207547169</v>
      </c>
      <c r="AB549" s="1">
        <v>100.3729455440628</v>
      </c>
      <c r="AC549" s="1">
        <v>176.71977962421579</v>
      </c>
      <c r="AD549" s="1">
        <v>1.7606315991457822</v>
      </c>
      <c r="AE549" t="s">
        <v>4817</v>
      </c>
      <c r="AF549" t="str">
        <f>IF(X549&lt;$AF$1,"Bajo","Alto")</f>
        <v>Alto</v>
      </c>
      <c r="AG549" t="str">
        <f>LEFT(AE549,1)</f>
        <v>C</v>
      </c>
      <c r="AH549" t="str">
        <f>K549</f>
        <v>M</v>
      </c>
      <c r="AI549" t="str">
        <f>LEFT(AF549,1)</f>
        <v>A</v>
      </c>
      <c r="AJ549" t="str">
        <f>LEFT(M549,1)</f>
        <v>M</v>
      </c>
      <c r="AK549" t="str">
        <f>_xlfn.CONCAT(AG549,AH549,AI549,AJ549)</f>
        <v>CMAM</v>
      </c>
    </row>
    <row r="550" spans="1:37" ht="15.75" hidden="1" customHeight="1" x14ac:dyDescent="0.2">
      <c r="A550" s="1">
        <v>10119103</v>
      </c>
      <c r="B550" s="1" t="s">
        <v>29</v>
      </c>
      <c r="C550" s="1" t="s">
        <v>30</v>
      </c>
      <c r="D550" s="1" t="s">
        <v>329</v>
      </c>
      <c r="E550" s="1" t="s">
        <v>330</v>
      </c>
      <c r="F550" s="1" t="s">
        <v>63</v>
      </c>
      <c r="G550" s="1" t="s">
        <v>332</v>
      </c>
      <c r="H550" s="1">
        <v>2013</v>
      </c>
      <c r="I550" s="1" t="s">
        <v>87</v>
      </c>
      <c r="J550" s="1">
        <v>14</v>
      </c>
      <c r="K550" s="1" t="s">
        <v>35</v>
      </c>
      <c r="L550" s="1">
        <v>42</v>
      </c>
      <c r="M550" s="1" t="str">
        <f>IF(L550&lt;=45,"Joven","Mayor")</f>
        <v>Joven</v>
      </c>
      <c r="N550" s="1">
        <v>37</v>
      </c>
      <c r="O550" s="1" t="s">
        <v>36</v>
      </c>
      <c r="P550" s="1">
        <v>1.1220000000000001</v>
      </c>
      <c r="Q550" s="1">
        <v>89.289000000000001</v>
      </c>
      <c r="R550" s="1">
        <v>4.0014424000000002</v>
      </c>
      <c r="S550" s="1">
        <v>8.4639019999999991</v>
      </c>
      <c r="T550" s="1">
        <v>-2.5201788000000001</v>
      </c>
      <c r="U550" s="1">
        <v>3.35</v>
      </c>
      <c r="V550" s="1">
        <v>156</v>
      </c>
      <c r="W550" s="1">
        <v>253</v>
      </c>
      <c r="X550" s="1">
        <v>1.6217948717948718</v>
      </c>
      <c r="Y550" s="1">
        <v>158</v>
      </c>
      <c r="Z550" s="1">
        <v>253</v>
      </c>
      <c r="AA550" s="1">
        <v>1.6012658227848102</v>
      </c>
      <c r="AB550" s="1">
        <v>160.9251685157387</v>
      </c>
      <c r="AC550" s="1">
        <v>252.88721146629041</v>
      </c>
      <c r="AD550" s="1">
        <v>1.5714584225621469</v>
      </c>
      <c r="AE550" t="s">
        <v>4816</v>
      </c>
      <c r="AF550" t="str">
        <f>IF(X550&lt;$AF$1,"Bajo","Alto")</f>
        <v>Bajo</v>
      </c>
      <c r="AG550" t="str">
        <f>LEFT(AE550,1)</f>
        <v>D</v>
      </c>
      <c r="AH550" t="str">
        <f>K550</f>
        <v>M</v>
      </c>
      <c r="AI550" t="str">
        <f>LEFT(AF550,1)</f>
        <v>B</v>
      </c>
      <c r="AJ550" t="str">
        <f>LEFT(M550,1)</f>
        <v>J</v>
      </c>
      <c r="AK550" t="str">
        <f>_xlfn.CONCAT(AG550,AH550,AI550,AJ550)</f>
        <v>DMBJ</v>
      </c>
    </row>
    <row r="551" spans="1:37" ht="15.75" hidden="1" customHeight="1" x14ac:dyDescent="0.2">
      <c r="A551" s="1">
        <v>194302</v>
      </c>
      <c r="B551" s="1" t="s">
        <v>2656</v>
      </c>
      <c r="C551" s="1" t="s">
        <v>323</v>
      </c>
      <c r="D551" s="1" t="s">
        <v>2722</v>
      </c>
      <c r="E551" s="1" t="s">
        <v>665</v>
      </c>
      <c r="F551" s="1" t="s">
        <v>37</v>
      </c>
      <c r="G551" s="1" t="s">
        <v>2724</v>
      </c>
      <c r="H551" s="1">
        <v>23</v>
      </c>
      <c r="I551" s="1" t="s">
        <v>34</v>
      </c>
      <c r="J551" s="1">
        <v>10</v>
      </c>
      <c r="K551" s="1" t="s">
        <v>35</v>
      </c>
      <c r="L551" s="1">
        <v>56</v>
      </c>
      <c r="M551" s="1" t="str">
        <f>IF(L551&lt;=45,"Joven","Mayor")</f>
        <v>Mayor</v>
      </c>
      <c r="N551" s="1">
        <v>62</v>
      </c>
      <c r="O551" s="1" t="s">
        <v>36</v>
      </c>
      <c r="P551" s="1">
        <v>0.35</v>
      </c>
      <c r="Q551" s="1">
        <v>87.474999999999994</v>
      </c>
      <c r="R551" s="1">
        <v>-5.2357693000000003</v>
      </c>
      <c r="S551" s="1">
        <v>9.2500529999999994</v>
      </c>
      <c r="T551" s="1">
        <v>0.38832485999999999</v>
      </c>
      <c r="U551" s="1">
        <v>2.1619999999999999</v>
      </c>
      <c r="V551" s="1">
        <v>107</v>
      </c>
      <c r="W551" s="1">
        <v>171</v>
      </c>
      <c r="X551" s="1">
        <v>1.5981308411214954</v>
      </c>
      <c r="Y551" s="1">
        <v>107</v>
      </c>
      <c r="Z551" s="1">
        <v>171</v>
      </c>
      <c r="AA551" s="1">
        <v>1.5981308411214954</v>
      </c>
      <c r="AB551" s="1">
        <v>107.3228622623205</v>
      </c>
      <c r="AC551" s="1">
        <v>170.9757400733852</v>
      </c>
      <c r="AD551" s="1">
        <v>1.5930970947782139</v>
      </c>
      <c r="AE551" t="s">
        <v>4815</v>
      </c>
      <c r="AF551" t="str">
        <f>IF(X551&lt;$AF$1,"Bajo","Alto")</f>
        <v>Bajo</v>
      </c>
      <c r="AG551" t="str">
        <f>LEFT(AE551,1)</f>
        <v>I</v>
      </c>
      <c r="AH551" t="str">
        <f>K551</f>
        <v>M</v>
      </c>
      <c r="AI551" t="str">
        <f>LEFT(AF551,1)</f>
        <v>B</v>
      </c>
      <c r="AJ551" t="str">
        <f>LEFT(M551,1)</f>
        <v>M</v>
      </c>
      <c r="AK551" t="str">
        <f>_xlfn.CONCAT(AG551,AH551,AI551,AJ551)</f>
        <v>IMBM</v>
      </c>
    </row>
    <row r="552" spans="1:37" ht="15.75" hidden="1" customHeight="1" x14ac:dyDescent="0.2">
      <c r="A552" s="1">
        <v>522001</v>
      </c>
      <c r="B552" s="1" t="s">
        <v>4529</v>
      </c>
      <c r="C552" s="1" t="s">
        <v>685</v>
      </c>
      <c r="D552" s="1" t="s">
        <v>4558</v>
      </c>
      <c r="E552" s="1" t="s">
        <v>1983</v>
      </c>
      <c r="F552" s="1" t="s">
        <v>32</v>
      </c>
      <c r="G552" s="1" t="s">
        <v>4559</v>
      </c>
      <c r="H552" s="1">
        <v>2601</v>
      </c>
      <c r="I552" s="1" t="s">
        <v>39</v>
      </c>
      <c r="J552" s="1">
        <v>11</v>
      </c>
      <c r="K552" s="1" t="s">
        <v>35</v>
      </c>
      <c r="L552" s="1">
        <v>45</v>
      </c>
      <c r="M552" s="1" t="str">
        <f>IF(L552&lt;=45,"Joven","Mayor")</f>
        <v>Joven</v>
      </c>
      <c r="N552" s="1">
        <v>60</v>
      </c>
      <c r="O552" s="1" t="s">
        <v>36</v>
      </c>
      <c r="P552" s="1">
        <v>0.36299999999999999</v>
      </c>
      <c r="Q552" s="1">
        <v>90.552000000000007</v>
      </c>
      <c r="R552" s="1">
        <v>5.6208124000000002</v>
      </c>
      <c r="S552" s="1">
        <v>-1.2594246</v>
      </c>
      <c r="T552" s="1">
        <v>-2.9943314000000001</v>
      </c>
      <c r="U552" s="1">
        <v>1.365</v>
      </c>
      <c r="V552" s="1">
        <v>88</v>
      </c>
      <c r="W552" s="1">
        <v>143</v>
      </c>
      <c r="X552" s="1">
        <v>1.625</v>
      </c>
      <c r="Y552" s="1">
        <v>90</v>
      </c>
      <c r="Z552" s="1">
        <v>143</v>
      </c>
      <c r="AA552" s="1">
        <v>1.5888888888888888</v>
      </c>
      <c r="AB552" s="1">
        <v>90.230526296020798</v>
      </c>
      <c r="AC552" s="1">
        <v>143.01371183352691</v>
      </c>
      <c r="AD552" s="1">
        <v>1.5849814658549084</v>
      </c>
      <c r="AE552" t="s">
        <v>4816</v>
      </c>
      <c r="AF552" t="str">
        <f>IF(X552&lt;$AF$1,"Bajo","Alto")</f>
        <v>Bajo</v>
      </c>
      <c r="AG552" t="str">
        <f>LEFT(AE552,1)</f>
        <v>D</v>
      </c>
      <c r="AH552" t="str">
        <f>K552</f>
        <v>M</v>
      </c>
      <c r="AI552" t="str">
        <f>LEFT(AF552,1)</f>
        <v>B</v>
      </c>
      <c r="AJ552" t="str">
        <f>LEFT(M552,1)</f>
        <v>J</v>
      </c>
      <c r="AK552" t="str">
        <f>_xlfn.CONCAT(AG552,AH552,AI552,AJ552)</f>
        <v>DMBJ</v>
      </c>
    </row>
    <row r="553" spans="1:37" ht="15.75" hidden="1" customHeight="1" x14ac:dyDescent="0.2">
      <c r="A553" s="1">
        <v>2715103</v>
      </c>
      <c r="B553" s="1" t="s">
        <v>3409</v>
      </c>
      <c r="C553" s="1" t="s">
        <v>973</v>
      </c>
      <c r="D553" s="1" t="s">
        <v>3515</v>
      </c>
      <c r="E553" s="1" t="s">
        <v>215</v>
      </c>
      <c r="F553" s="1" t="s">
        <v>63</v>
      </c>
      <c r="G553" s="1" t="s">
        <v>3517</v>
      </c>
      <c r="H553" s="1">
        <v>625</v>
      </c>
      <c r="I553" s="1" t="s">
        <v>3518</v>
      </c>
      <c r="J553" s="1">
        <v>2818</v>
      </c>
      <c r="K553" s="1" t="s">
        <v>35</v>
      </c>
      <c r="L553" s="1">
        <v>51</v>
      </c>
      <c r="M553" s="1" t="str">
        <f>IF(L553&lt;=45,"Joven","Mayor")</f>
        <v>Mayor</v>
      </c>
      <c r="N553" s="1">
        <v>62</v>
      </c>
      <c r="O553" s="1" t="s">
        <v>36</v>
      </c>
      <c r="P553" s="1">
        <v>0.34100000000000003</v>
      </c>
      <c r="Q553" s="1">
        <v>77.17</v>
      </c>
      <c r="R553" s="1">
        <v>10.811966999999999</v>
      </c>
      <c r="S553" s="1">
        <v>-4.9415589999999998</v>
      </c>
      <c r="T553" s="1">
        <v>-7.6038345999999999</v>
      </c>
      <c r="U553" s="1">
        <v>3.16</v>
      </c>
      <c r="V553" s="1">
        <v>107</v>
      </c>
      <c r="W553" s="1">
        <v>208</v>
      </c>
      <c r="X553" s="1">
        <v>1.9439252336448598</v>
      </c>
      <c r="Y553" s="1">
        <v>117</v>
      </c>
      <c r="Z553" s="1">
        <v>208</v>
      </c>
      <c r="AA553" s="1">
        <v>1.7777777777777777</v>
      </c>
      <c r="AB553" s="1">
        <v>113.3368655293621</v>
      </c>
      <c r="AC553" s="1">
        <v>209.47905902144251</v>
      </c>
      <c r="AD553" s="1">
        <v>1.8482870339057764</v>
      </c>
      <c r="AE553" t="s">
        <v>4817</v>
      </c>
      <c r="AF553" t="str">
        <f>IF(X553&lt;$AF$1,"Bajo","Alto")</f>
        <v>Alto</v>
      </c>
      <c r="AG553" t="str">
        <f>LEFT(AE553,1)</f>
        <v>C</v>
      </c>
      <c r="AH553" t="str">
        <f>K553</f>
        <v>M</v>
      </c>
      <c r="AI553" t="str">
        <f>LEFT(AF553,1)</f>
        <v>A</v>
      </c>
      <c r="AJ553" t="str">
        <f>LEFT(M553,1)</f>
        <v>M</v>
      </c>
      <c r="AK553" t="str">
        <f>_xlfn.CONCAT(AG553,AH553,AI553,AJ553)</f>
        <v>CMAM</v>
      </c>
    </row>
    <row r="554" spans="1:37" ht="15.75" hidden="1" customHeight="1" x14ac:dyDescent="0.2">
      <c r="A554" s="1">
        <v>271906</v>
      </c>
      <c r="B554" s="1" t="s">
        <v>3409</v>
      </c>
      <c r="C554" s="1" t="s">
        <v>973</v>
      </c>
      <c r="D554" s="1" t="s">
        <v>3595</v>
      </c>
      <c r="E554" s="1" t="s">
        <v>323</v>
      </c>
      <c r="F554" s="1" t="s">
        <v>88</v>
      </c>
      <c r="G554" s="1" t="s">
        <v>3602</v>
      </c>
      <c r="H554" s="1">
        <v>11850</v>
      </c>
      <c r="I554" s="1" t="s">
        <v>3603</v>
      </c>
      <c r="J554" s="1">
        <v>4503</v>
      </c>
      <c r="K554" s="1" t="s">
        <v>49</v>
      </c>
      <c r="L554" s="1">
        <v>46</v>
      </c>
      <c r="M554" s="1" t="str">
        <f>IF(L554&lt;=45,"Joven","Mayor")</f>
        <v>Mayor</v>
      </c>
      <c r="N554" s="1">
        <v>45</v>
      </c>
      <c r="O554" s="1" t="s">
        <v>50</v>
      </c>
      <c r="P554" s="1">
        <v>1.1779999999999999</v>
      </c>
      <c r="Q554" s="1">
        <v>93.025999999999996</v>
      </c>
      <c r="R554" s="1">
        <v>1.9462008</v>
      </c>
      <c r="S554" s="1">
        <v>3.6589467999999998</v>
      </c>
      <c r="T554" s="1">
        <v>-6.1010045999999996</v>
      </c>
      <c r="U554" s="1">
        <v>26.81</v>
      </c>
      <c r="V554" s="1">
        <v>118</v>
      </c>
      <c r="W554" s="1">
        <v>188</v>
      </c>
      <c r="X554" s="1">
        <v>1.5932203389830508</v>
      </c>
      <c r="Y554" s="1">
        <v>123</v>
      </c>
      <c r="Z554" s="1">
        <v>188</v>
      </c>
      <c r="AA554" s="1">
        <v>1.5284552845528456</v>
      </c>
      <c r="AB554" s="1">
        <v>123.1771403425205</v>
      </c>
      <c r="AC554" s="1">
        <v>188.10427975054699</v>
      </c>
      <c r="AD554" s="1">
        <v>1.5271038053609836</v>
      </c>
      <c r="AE554" t="s">
        <v>4817</v>
      </c>
      <c r="AF554" t="str">
        <f>IF(X554&lt;$AF$1,"Bajo","Alto")</f>
        <v>Bajo</v>
      </c>
      <c r="AG554" t="str">
        <f>LEFT(AE554,1)</f>
        <v>C</v>
      </c>
      <c r="AH554" t="str">
        <f>K554</f>
        <v>F</v>
      </c>
      <c r="AI554" t="str">
        <f>LEFT(AF554,1)</f>
        <v>B</v>
      </c>
      <c r="AJ554" t="str">
        <f>LEFT(M554,1)</f>
        <v>M</v>
      </c>
      <c r="AK554" t="str">
        <f>_xlfn.CONCAT(AG554,AH554,AI554,AJ554)</f>
        <v>CFBM</v>
      </c>
    </row>
    <row r="555" spans="1:37" ht="15.75" hidden="1" customHeight="1" x14ac:dyDescent="0.2">
      <c r="A555" s="1">
        <v>1011603</v>
      </c>
      <c r="B555" s="1" t="s">
        <v>29</v>
      </c>
      <c r="C555" s="1" t="s">
        <v>30</v>
      </c>
      <c r="D555" s="1" t="s">
        <v>243</v>
      </c>
      <c r="E555" s="1" t="s">
        <v>244</v>
      </c>
      <c r="F555" s="1" t="s">
        <v>63</v>
      </c>
      <c r="G555" s="1" t="s">
        <v>248</v>
      </c>
      <c r="H555" s="1">
        <v>2067</v>
      </c>
      <c r="I555" s="1" t="s">
        <v>249</v>
      </c>
      <c r="J555" s="1">
        <v>4566</v>
      </c>
      <c r="K555" s="1" t="s">
        <v>35</v>
      </c>
      <c r="L555" s="1">
        <v>52</v>
      </c>
      <c r="M555" s="1" t="str">
        <f>IF(L555&lt;=45,"Joven","Mayor")</f>
        <v>Mayor</v>
      </c>
      <c r="N555" s="1">
        <v>52</v>
      </c>
      <c r="O555" s="1" t="s">
        <v>36</v>
      </c>
      <c r="P555" s="1">
        <v>0.188</v>
      </c>
      <c r="Q555" s="1">
        <v>87.625</v>
      </c>
      <c r="R555" s="1">
        <v>5.1353264000000003</v>
      </c>
      <c r="S555" s="1">
        <v>9.3424449999999997</v>
      </c>
      <c r="T555" s="1">
        <v>-2.1866956000000002</v>
      </c>
      <c r="U555" s="1">
        <v>1.677</v>
      </c>
      <c r="V555" s="1">
        <v>70</v>
      </c>
      <c r="W555" s="1">
        <v>136</v>
      </c>
      <c r="X555" s="1">
        <v>1.9428571428571428</v>
      </c>
      <c r="Y555" s="1">
        <v>72</v>
      </c>
      <c r="Z555" s="1">
        <v>136</v>
      </c>
      <c r="AA555" s="1">
        <v>1.8888888888888888</v>
      </c>
      <c r="AB555" s="1">
        <v>71.39894563114035</v>
      </c>
      <c r="AC555" s="1">
        <v>135.90096525347329</v>
      </c>
      <c r="AD555" s="1">
        <v>1.9034029711805807</v>
      </c>
      <c r="AE555" t="s">
        <v>4817</v>
      </c>
      <c r="AF555" t="str">
        <f>IF(X555&lt;$AF$1,"Bajo","Alto")</f>
        <v>Alto</v>
      </c>
      <c r="AG555" t="str">
        <f>LEFT(AE555,1)</f>
        <v>C</v>
      </c>
      <c r="AH555" t="str">
        <f>K555</f>
        <v>M</v>
      </c>
      <c r="AI555" t="str">
        <f>LEFT(AF555,1)</f>
        <v>A</v>
      </c>
      <c r="AJ555" t="str">
        <f>LEFT(M555,1)</f>
        <v>M</v>
      </c>
      <c r="AK555" t="str">
        <f>_xlfn.CONCAT(AG555,AH555,AI555,AJ555)</f>
        <v>CMAM</v>
      </c>
    </row>
    <row r="556" spans="1:37" ht="15.75" hidden="1" customHeight="1" x14ac:dyDescent="0.2">
      <c r="A556" s="1">
        <v>130704</v>
      </c>
      <c r="B556" s="1" t="s">
        <v>956</v>
      </c>
      <c r="C556" s="1" t="s">
        <v>163</v>
      </c>
      <c r="D556" s="1" t="s">
        <v>1386</v>
      </c>
      <c r="E556" s="1" t="s">
        <v>43</v>
      </c>
      <c r="F556" s="1" t="s">
        <v>61</v>
      </c>
      <c r="G556" s="1" t="s">
        <v>1962</v>
      </c>
      <c r="H556" s="1">
        <v>1843</v>
      </c>
      <c r="I556" s="1" t="s">
        <v>87</v>
      </c>
      <c r="J556" s="1">
        <v>14</v>
      </c>
      <c r="K556" s="1" t="s">
        <v>35</v>
      </c>
      <c r="L556" s="1">
        <v>34</v>
      </c>
      <c r="M556" s="1" t="str">
        <f>IF(L556&lt;=45,"Joven","Mayor")</f>
        <v>Joven</v>
      </c>
      <c r="N556" s="1">
        <v>42</v>
      </c>
      <c r="O556" s="1" t="s">
        <v>36</v>
      </c>
      <c r="P556" s="1">
        <v>7.8170000000000002</v>
      </c>
      <c r="Q556" s="1">
        <v>91.465000000000003</v>
      </c>
      <c r="R556" s="1">
        <v>-1.9076523000000001</v>
      </c>
      <c r="S556" s="1">
        <v>1.6208969</v>
      </c>
      <c r="T556" s="1">
        <v>0.85467179999999998</v>
      </c>
      <c r="U556" s="1">
        <v>1.7709999999999999</v>
      </c>
      <c r="V556" s="1">
        <v>97</v>
      </c>
      <c r="W556" s="1">
        <v>189</v>
      </c>
      <c r="X556" s="1">
        <v>1.9484536082474226</v>
      </c>
      <c r="Y556" s="1">
        <v>99</v>
      </c>
      <c r="Z556" s="1">
        <v>189</v>
      </c>
      <c r="AA556" s="1">
        <v>1.9090909090909092</v>
      </c>
      <c r="AB556" s="1">
        <v>98.228255388087291</v>
      </c>
      <c r="AC556" s="1">
        <v>189.0386381385988</v>
      </c>
      <c r="AD556" s="1">
        <v>1.924483310751385</v>
      </c>
      <c r="AE556" t="s">
        <v>4816</v>
      </c>
      <c r="AF556" t="str">
        <f>IF(X556&lt;$AF$1,"Bajo","Alto")</f>
        <v>Alto</v>
      </c>
      <c r="AG556" t="str">
        <f>LEFT(AE556,1)</f>
        <v>D</v>
      </c>
      <c r="AH556" t="str">
        <f>K556</f>
        <v>M</v>
      </c>
      <c r="AI556" t="str">
        <f>LEFT(AF556,1)</f>
        <v>A</v>
      </c>
      <c r="AJ556" t="str">
        <f>LEFT(M556,1)</f>
        <v>J</v>
      </c>
      <c r="AK556" t="str">
        <f>_xlfn.CONCAT(AG556,AH556,AI556,AJ556)</f>
        <v>DMAJ</v>
      </c>
    </row>
    <row r="557" spans="1:37" ht="15.75" hidden="1" customHeight="1" x14ac:dyDescent="0.2">
      <c r="A557" s="1">
        <v>1515402</v>
      </c>
      <c r="B557" s="1" t="s">
        <v>2077</v>
      </c>
      <c r="C557" s="1" t="s">
        <v>57</v>
      </c>
      <c r="D557" s="1" t="s">
        <v>2175</v>
      </c>
      <c r="E557" s="1" t="s">
        <v>221</v>
      </c>
      <c r="F557" s="1" t="s">
        <v>37</v>
      </c>
      <c r="G557" s="1" t="s">
        <v>2176</v>
      </c>
      <c r="H557" s="1">
        <v>1279</v>
      </c>
      <c r="I557" s="1" t="s">
        <v>2177</v>
      </c>
      <c r="J557" s="1">
        <v>3173</v>
      </c>
      <c r="K557" s="1" t="s">
        <v>35</v>
      </c>
      <c r="L557" s="1">
        <v>51</v>
      </c>
      <c r="M557" s="1" t="str">
        <f>IF(L557&lt;=45,"Joven","Mayor")</f>
        <v>Mayor</v>
      </c>
      <c r="N557" s="1">
        <v>58</v>
      </c>
      <c r="O557" s="1" t="s">
        <v>36</v>
      </c>
      <c r="P557" s="1">
        <v>0.21299999999999999</v>
      </c>
      <c r="Q557" s="1">
        <v>93.501000000000005</v>
      </c>
      <c r="R557" s="1">
        <v>0.70577970000000001</v>
      </c>
      <c r="S557" s="1">
        <v>5.5047740000000003</v>
      </c>
      <c r="T557" s="1">
        <v>-5.8037415000000001</v>
      </c>
      <c r="U557" s="1">
        <v>14.465999999999999</v>
      </c>
      <c r="V557" s="1">
        <v>100</v>
      </c>
      <c r="W557" s="1">
        <v>194</v>
      </c>
      <c r="X557" s="1">
        <v>1.94</v>
      </c>
      <c r="Y557" s="1">
        <v>111</v>
      </c>
      <c r="Z557" s="1">
        <v>194</v>
      </c>
      <c r="AA557" s="1">
        <v>1.7477477477477477</v>
      </c>
      <c r="AB557" s="1">
        <v>105.880569054041</v>
      </c>
      <c r="AC557" s="1">
        <v>195.02800215387509</v>
      </c>
      <c r="AD557" s="1">
        <v>1.8419621645056856</v>
      </c>
      <c r="AE557" t="s">
        <v>4817</v>
      </c>
      <c r="AF557" t="str">
        <f>IF(X557&lt;$AF$1,"Bajo","Alto")</f>
        <v>Alto</v>
      </c>
      <c r="AG557" t="str">
        <f>LEFT(AE557,1)</f>
        <v>C</v>
      </c>
      <c r="AH557" t="str">
        <f>K557</f>
        <v>M</v>
      </c>
      <c r="AI557" t="str">
        <f>LEFT(AF557,1)</f>
        <v>A</v>
      </c>
      <c r="AJ557" t="str">
        <f>LEFT(M557,1)</f>
        <v>M</v>
      </c>
      <c r="AK557" t="str">
        <f>_xlfn.CONCAT(AG557,AH557,AI557,AJ557)</f>
        <v>CMAM</v>
      </c>
    </row>
    <row r="558" spans="1:37" ht="15.75" hidden="1" customHeight="1" x14ac:dyDescent="0.2">
      <c r="A558" s="1">
        <v>134903</v>
      </c>
      <c r="B558" s="1" t="s">
        <v>956</v>
      </c>
      <c r="C558" s="1" t="s">
        <v>163</v>
      </c>
      <c r="D558" s="1" t="s">
        <v>430</v>
      </c>
      <c r="E558" s="1" t="s">
        <v>673</v>
      </c>
      <c r="F558" s="1" t="s">
        <v>63</v>
      </c>
      <c r="G558" s="1" t="s">
        <v>2053</v>
      </c>
      <c r="H558" s="1">
        <v>2411</v>
      </c>
      <c r="I558" s="1" t="s">
        <v>85</v>
      </c>
      <c r="J558" s="1">
        <v>12</v>
      </c>
      <c r="K558" s="1" t="s">
        <v>49</v>
      </c>
      <c r="L558" s="1">
        <v>30</v>
      </c>
      <c r="M558" s="1" t="str">
        <f>IF(L558&lt;=45,"Joven","Mayor")</f>
        <v>Joven</v>
      </c>
      <c r="N558" s="1">
        <v>41</v>
      </c>
      <c r="O558" s="1" t="s">
        <v>50</v>
      </c>
      <c r="P558" s="1">
        <v>0.34300000000000003</v>
      </c>
      <c r="Q558" s="1">
        <v>93.266999999999996</v>
      </c>
      <c r="R558" s="1">
        <v>-0.12077908</v>
      </c>
      <c r="S558" s="1">
        <v>7.0716640000000002</v>
      </c>
      <c r="T558" s="1">
        <v>-2.1044272999999998</v>
      </c>
      <c r="U558" s="1">
        <v>20.21</v>
      </c>
      <c r="V558" s="1">
        <v>97</v>
      </c>
      <c r="W558" s="1">
        <v>146</v>
      </c>
      <c r="X558" s="1">
        <v>1.5051546391752577</v>
      </c>
      <c r="Y558" s="1">
        <v>100</v>
      </c>
      <c r="Z558" s="1">
        <v>146</v>
      </c>
      <c r="AA558" s="1">
        <v>1.46</v>
      </c>
      <c r="AB558" s="1">
        <v>98.64732346184519</v>
      </c>
      <c r="AC558" s="1">
        <v>146.23202000686391</v>
      </c>
      <c r="AD558" s="1">
        <v>1.4823718969265651</v>
      </c>
      <c r="AE558" t="s">
        <v>4815</v>
      </c>
      <c r="AF558" t="str">
        <f>IF(X558&lt;$AF$1,"Bajo","Alto")</f>
        <v>Bajo</v>
      </c>
      <c r="AG558" t="str">
        <f>LEFT(AE558,1)</f>
        <v>I</v>
      </c>
      <c r="AH558" t="str">
        <f>K558</f>
        <v>F</v>
      </c>
      <c r="AI558" t="str">
        <f>LEFT(AF558,1)</f>
        <v>B</v>
      </c>
      <c r="AJ558" t="str">
        <f>LEFT(M558,1)</f>
        <v>J</v>
      </c>
      <c r="AK558" t="str">
        <f>_xlfn.CONCAT(AG558,AH558,AI558,AJ558)</f>
        <v>IFBJ</v>
      </c>
    </row>
    <row r="559" spans="1:37" ht="15.75" hidden="1" customHeight="1" x14ac:dyDescent="0.2">
      <c r="A559" s="1">
        <v>296404</v>
      </c>
      <c r="B559" s="1" t="s">
        <v>3890</v>
      </c>
      <c r="C559" s="1" t="s">
        <v>1695</v>
      </c>
      <c r="D559" s="1" t="s">
        <v>4047</v>
      </c>
      <c r="E559" s="1" t="s">
        <v>710</v>
      </c>
      <c r="F559" s="1" t="s">
        <v>61</v>
      </c>
      <c r="G559" s="1" t="s">
        <v>4048</v>
      </c>
      <c r="H559" s="1">
        <v>4302</v>
      </c>
      <c r="I559" s="1" t="s">
        <v>108</v>
      </c>
      <c r="J559" s="1">
        <v>3</v>
      </c>
      <c r="K559" s="1" t="s">
        <v>35</v>
      </c>
      <c r="L559" s="1">
        <v>33</v>
      </c>
      <c r="M559" s="1" t="str">
        <f>IF(L559&lt;=45,"Joven","Mayor")</f>
        <v>Joven</v>
      </c>
      <c r="N559" s="1">
        <v>49</v>
      </c>
      <c r="O559" s="1" t="s">
        <v>50</v>
      </c>
      <c r="P559" s="1">
        <v>0.28399999999999997</v>
      </c>
      <c r="Q559" s="1">
        <v>83.072999999999993</v>
      </c>
      <c r="R559" s="1">
        <v>9.7164649999999995</v>
      </c>
      <c r="S559" s="1">
        <v>-0.51731510000000003</v>
      </c>
      <c r="T559" s="1">
        <v>-8.3276959999999995</v>
      </c>
      <c r="U559" s="1">
        <v>8.0640000000000001</v>
      </c>
      <c r="V559" s="1">
        <v>83</v>
      </c>
      <c r="W559" s="1">
        <v>162</v>
      </c>
      <c r="X559" s="1">
        <v>1.9518072289156627</v>
      </c>
      <c r="Y559" s="1">
        <v>90</v>
      </c>
      <c r="Z559" s="1">
        <v>162</v>
      </c>
      <c r="AA559" s="1">
        <v>1.8</v>
      </c>
      <c r="AB559" s="1">
        <v>89.22173003560215</v>
      </c>
      <c r="AC559" s="1">
        <v>161.74019984405999</v>
      </c>
      <c r="AD559" s="1">
        <v>1.812789325868494</v>
      </c>
      <c r="AE559" t="s">
        <v>4817</v>
      </c>
      <c r="AF559" t="str">
        <f>IF(X559&lt;$AF$1,"Bajo","Alto")</f>
        <v>Alto</v>
      </c>
      <c r="AG559" t="str">
        <f>LEFT(AE559,1)</f>
        <v>C</v>
      </c>
      <c r="AH559" t="str">
        <f>K559</f>
        <v>M</v>
      </c>
      <c r="AI559" t="str">
        <f>LEFT(AF559,1)</f>
        <v>A</v>
      </c>
      <c r="AJ559" t="str">
        <f>LEFT(M559,1)</f>
        <v>J</v>
      </c>
      <c r="AK559" t="str">
        <f>_xlfn.CONCAT(AG559,AH559,AI559,AJ559)</f>
        <v>CMAJ</v>
      </c>
    </row>
    <row r="560" spans="1:37" ht="15.75" hidden="1" customHeight="1" x14ac:dyDescent="0.2">
      <c r="A560" s="1">
        <v>112901</v>
      </c>
      <c r="B560" s="1" t="s">
        <v>1648</v>
      </c>
      <c r="C560" s="1" t="s">
        <v>51</v>
      </c>
      <c r="D560" s="1" t="s">
        <v>1694</v>
      </c>
      <c r="E560" s="1" t="s">
        <v>1695</v>
      </c>
      <c r="F560" s="1" t="s">
        <v>32</v>
      </c>
      <c r="G560" s="1" t="s">
        <v>1696</v>
      </c>
      <c r="H560" s="1">
        <v>5360</v>
      </c>
      <c r="I560" s="1" t="s">
        <v>100</v>
      </c>
      <c r="J560" s="1">
        <v>1</v>
      </c>
      <c r="K560" s="1" t="s">
        <v>35</v>
      </c>
      <c r="L560" s="1">
        <v>46</v>
      </c>
      <c r="M560" s="1" t="str">
        <f>IF(L560&lt;=45,"Joven","Mayor")</f>
        <v>Mayor</v>
      </c>
      <c r="N560" s="1">
        <v>46</v>
      </c>
      <c r="O560" s="1" t="s">
        <v>36</v>
      </c>
      <c r="P560" s="1">
        <v>0.36499999999999999</v>
      </c>
      <c r="Q560" s="1">
        <v>92.084000000000003</v>
      </c>
      <c r="R560" s="1">
        <v>3.7266083000000001</v>
      </c>
      <c r="S560" s="1">
        <v>2.9407527</v>
      </c>
      <c r="T560" s="1">
        <v>-0.2472347</v>
      </c>
      <c r="U560" s="1">
        <v>10.345000000000001</v>
      </c>
      <c r="V560" s="1">
        <v>128</v>
      </c>
      <c r="W560" s="1">
        <v>202</v>
      </c>
      <c r="X560" s="1">
        <v>1.578125</v>
      </c>
      <c r="Y560" s="1">
        <v>133</v>
      </c>
      <c r="Z560" s="1">
        <v>202</v>
      </c>
      <c r="AA560" s="1">
        <v>1.518796992481203</v>
      </c>
      <c r="AB560" s="1">
        <v>133.2231441890531</v>
      </c>
      <c r="AC560" s="1">
        <v>201.97654417854889</v>
      </c>
      <c r="AD560" s="1">
        <v>1.5160769955401281</v>
      </c>
      <c r="AE560" t="s">
        <v>4817</v>
      </c>
      <c r="AF560" t="str">
        <f>IF(X560&lt;$AF$1,"Bajo","Alto")</f>
        <v>Bajo</v>
      </c>
      <c r="AG560" t="str">
        <f>LEFT(AE560,1)</f>
        <v>C</v>
      </c>
      <c r="AH560" t="str">
        <f>K560</f>
        <v>M</v>
      </c>
      <c r="AI560" t="str">
        <f>LEFT(AF560,1)</f>
        <v>B</v>
      </c>
      <c r="AJ560" t="str">
        <f>LEFT(M560,1)</f>
        <v>M</v>
      </c>
      <c r="AK560" t="str">
        <f>_xlfn.CONCAT(AG560,AH560,AI560,AJ560)</f>
        <v>CMBM</v>
      </c>
    </row>
    <row r="561" spans="1:37" ht="15.75" hidden="1" customHeight="1" x14ac:dyDescent="0.2">
      <c r="A561" s="1">
        <v>277601</v>
      </c>
      <c r="B561" s="1" t="s">
        <v>3409</v>
      </c>
      <c r="C561" s="1" t="s">
        <v>973</v>
      </c>
      <c r="D561" s="1" t="s">
        <v>3726</v>
      </c>
      <c r="E561" s="1" t="s">
        <v>727</v>
      </c>
      <c r="F561" s="1" t="s">
        <v>32</v>
      </c>
      <c r="G561" s="1" t="s">
        <v>3727</v>
      </c>
      <c r="H561" s="1">
        <v>1092</v>
      </c>
      <c r="I561" s="1" t="s">
        <v>3728</v>
      </c>
      <c r="J561" s="1">
        <v>2165</v>
      </c>
      <c r="K561" s="1" t="s">
        <v>35</v>
      </c>
      <c r="L561" s="1">
        <v>35</v>
      </c>
      <c r="M561" s="1" t="str">
        <f>IF(L561&lt;=45,"Joven","Mayor")</f>
        <v>Joven</v>
      </c>
      <c r="N561" s="1">
        <v>43</v>
      </c>
      <c r="O561" s="1" t="s">
        <v>36</v>
      </c>
      <c r="P561" s="1">
        <v>2.919</v>
      </c>
      <c r="Q561" s="1">
        <v>89.685000000000002</v>
      </c>
      <c r="R561" s="1">
        <v>4.9991994000000002</v>
      </c>
      <c r="S561" s="1">
        <v>3.5395720000000002</v>
      </c>
      <c r="T561" s="1">
        <v>-2.8637214000000002</v>
      </c>
      <c r="U561" s="1">
        <v>7.4089999999999998</v>
      </c>
      <c r="V561" s="1">
        <v>82</v>
      </c>
      <c r="W561" s="1">
        <v>160</v>
      </c>
      <c r="X561" s="1">
        <v>1.9512195121951219</v>
      </c>
      <c r="Y561" s="1">
        <v>86</v>
      </c>
      <c r="Z561" s="1">
        <v>160</v>
      </c>
      <c r="AA561" s="1">
        <v>1.8604651162790697</v>
      </c>
      <c r="AB561" s="1">
        <v>87.691182620494374</v>
      </c>
      <c r="AC561" s="1">
        <v>159.45046671617001</v>
      </c>
      <c r="AD561" s="1">
        <v>1.8183181244827313</v>
      </c>
      <c r="AE561" t="s">
        <v>4817</v>
      </c>
      <c r="AF561" t="str">
        <f>IF(X561&lt;$AF$1,"Bajo","Alto")</f>
        <v>Alto</v>
      </c>
      <c r="AG561" t="str">
        <f>LEFT(AE561,1)</f>
        <v>C</v>
      </c>
      <c r="AH561" t="str">
        <f>K561</f>
        <v>M</v>
      </c>
      <c r="AI561" t="str">
        <f>LEFT(AF561,1)</f>
        <v>A</v>
      </c>
      <c r="AJ561" t="str">
        <f>LEFT(M561,1)</f>
        <v>J</v>
      </c>
      <c r="AK561" t="str">
        <f>_xlfn.CONCAT(AG561,AH561,AI561,AJ561)</f>
        <v>CMAJ</v>
      </c>
    </row>
    <row r="562" spans="1:37" ht="15.75" hidden="1" customHeight="1" x14ac:dyDescent="0.2">
      <c r="A562" s="1">
        <v>1032201</v>
      </c>
      <c r="B562" s="1" t="s">
        <v>783</v>
      </c>
      <c r="C562" s="1" t="s">
        <v>81</v>
      </c>
      <c r="D562" s="1" t="s">
        <v>816</v>
      </c>
      <c r="E562" s="1" t="s">
        <v>418</v>
      </c>
      <c r="F562" s="1" t="s">
        <v>32</v>
      </c>
      <c r="G562" s="1" t="s">
        <v>817</v>
      </c>
      <c r="H562" s="1">
        <v>10307</v>
      </c>
      <c r="I562" s="1" t="s">
        <v>100</v>
      </c>
      <c r="J562" s="1">
        <v>1</v>
      </c>
      <c r="K562" s="1" t="s">
        <v>49</v>
      </c>
      <c r="L562" s="1">
        <v>45</v>
      </c>
      <c r="M562" s="1" t="str">
        <f>IF(L562&lt;=45,"Joven","Mayor")</f>
        <v>Joven</v>
      </c>
      <c r="N562" s="1">
        <v>41</v>
      </c>
      <c r="O562" s="1" t="s">
        <v>50</v>
      </c>
      <c r="P562" s="1">
        <v>1.1559999999999999</v>
      </c>
      <c r="Q562" s="1">
        <v>88.206999999999994</v>
      </c>
      <c r="R562" s="1">
        <v>-4.7426605000000004</v>
      </c>
      <c r="S562" s="1">
        <v>8.6931899999999995</v>
      </c>
      <c r="T562" s="1">
        <v>-1.9330130000000001</v>
      </c>
      <c r="U562" s="1">
        <v>18.084</v>
      </c>
      <c r="V562" s="1">
        <v>90</v>
      </c>
      <c r="W562" s="1">
        <v>146</v>
      </c>
      <c r="X562" s="1">
        <v>1.6222222222222222</v>
      </c>
      <c r="Y562" s="1">
        <v>91</v>
      </c>
      <c r="Z562" s="1">
        <v>146</v>
      </c>
      <c r="AA562" s="1">
        <v>1.6043956043956045</v>
      </c>
      <c r="AB562" s="1">
        <v>92.29745779677728</v>
      </c>
      <c r="AC562" s="1">
        <v>145.98438027291829</v>
      </c>
      <c r="AD562" s="1">
        <v>1.5816728191403726</v>
      </c>
      <c r="AE562" t="s">
        <v>4817</v>
      </c>
      <c r="AF562" t="str">
        <f>IF(X562&lt;$AF$1,"Bajo","Alto")</f>
        <v>Bajo</v>
      </c>
      <c r="AG562" t="str">
        <f>LEFT(AE562,1)</f>
        <v>C</v>
      </c>
      <c r="AH562" t="str">
        <f>K562</f>
        <v>F</v>
      </c>
      <c r="AI562" t="str">
        <f>LEFT(AF562,1)</f>
        <v>B</v>
      </c>
      <c r="AJ562" t="str">
        <f>LEFT(M562,1)</f>
        <v>J</v>
      </c>
      <c r="AK562" t="str">
        <f>_xlfn.CONCAT(AG562,AH562,AI562,AJ562)</f>
        <v>CFBJ</v>
      </c>
    </row>
    <row r="563" spans="1:37" ht="15.75" hidden="1" customHeight="1" x14ac:dyDescent="0.2">
      <c r="A563" s="1">
        <v>10127703</v>
      </c>
      <c r="B563" s="1" t="s">
        <v>29</v>
      </c>
      <c r="C563" s="1" t="s">
        <v>30</v>
      </c>
      <c r="D563" s="1" t="s">
        <v>549</v>
      </c>
      <c r="E563" s="1" t="s">
        <v>550</v>
      </c>
      <c r="F563" s="1" t="s">
        <v>63</v>
      </c>
      <c r="G563" s="1" t="s">
        <v>554</v>
      </c>
      <c r="H563" s="1">
        <v>23</v>
      </c>
      <c r="I563" s="1" t="s">
        <v>93</v>
      </c>
      <c r="J563" s="1">
        <v>9</v>
      </c>
      <c r="K563" s="1" t="s">
        <v>35</v>
      </c>
      <c r="L563" s="1">
        <v>54</v>
      </c>
      <c r="M563" s="1" t="str">
        <f>IF(L563&lt;=45,"Joven","Mayor")</f>
        <v>Mayor</v>
      </c>
      <c r="N563" s="1">
        <v>53</v>
      </c>
      <c r="O563" s="1" t="s">
        <v>36</v>
      </c>
      <c r="P563" s="1">
        <v>0.33800000000000002</v>
      </c>
      <c r="Q563" s="1">
        <v>84.515000000000001</v>
      </c>
      <c r="R563" s="1">
        <v>9.1555160000000004</v>
      </c>
      <c r="S563" s="1">
        <v>-0.51040980000000002</v>
      </c>
      <c r="T563" s="1">
        <v>1.8833789999999999</v>
      </c>
      <c r="U563" s="1">
        <v>0.52100000000000002</v>
      </c>
      <c r="V563" s="1">
        <v>72</v>
      </c>
      <c r="W563" s="1">
        <v>137</v>
      </c>
      <c r="X563" s="1">
        <v>1.9027777777777777</v>
      </c>
      <c r="Y563" s="1">
        <v>75</v>
      </c>
      <c r="Z563" s="1">
        <v>137</v>
      </c>
      <c r="AA563" s="1">
        <v>1.8266666666666667</v>
      </c>
      <c r="AB563" s="1">
        <v>73.874931298240199</v>
      </c>
      <c r="AC563" s="1">
        <v>137.05745247331649</v>
      </c>
      <c r="AD563" s="1">
        <v>1.8552633493492181</v>
      </c>
      <c r="AE563" t="s">
        <v>4815</v>
      </c>
      <c r="AF563" t="str">
        <f>IF(X563&lt;$AF$1,"Bajo","Alto")</f>
        <v>Alto</v>
      </c>
      <c r="AG563" t="str">
        <f>LEFT(AE563,1)</f>
        <v>I</v>
      </c>
      <c r="AH563" t="str">
        <f>K563</f>
        <v>M</v>
      </c>
      <c r="AI563" t="str">
        <f>LEFT(AF563,1)</f>
        <v>A</v>
      </c>
      <c r="AJ563" t="str">
        <f>LEFT(M563,1)</f>
        <v>M</v>
      </c>
      <c r="AK563" t="str">
        <f>_xlfn.CONCAT(AG563,AH563,AI563,AJ563)</f>
        <v>IMAM</v>
      </c>
    </row>
    <row r="564" spans="1:37" ht="15.75" hidden="1" customHeight="1" x14ac:dyDescent="0.2">
      <c r="A564" s="1">
        <v>1097802</v>
      </c>
      <c r="B564" s="1" t="s">
        <v>719</v>
      </c>
      <c r="C564" s="1" t="s">
        <v>98</v>
      </c>
      <c r="D564" s="1" t="s">
        <v>1633</v>
      </c>
      <c r="E564" s="1" t="s">
        <v>732</v>
      </c>
      <c r="F564" s="1" t="s">
        <v>37</v>
      </c>
      <c r="G564" s="1" t="s">
        <v>1635</v>
      </c>
      <c r="H564" s="1">
        <v>877</v>
      </c>
      <c r="I564" s="1" t="s">
        <v>42</v>
      </c>
      <c r="J564" s="1">
        <v>15</v>
      </c>
      <c r="K564" s="1" t="s">
        <v>49</v>
      </c>
      <c r="L564" s="1">
        <v>46</v>
      </c>
      <c r="M564" s="1" t="str">
        <f>IF(L564&lt;=45,"Joven","Mayor")</f>
        <v>Mayor</v>
      </c>
      <c r="N564" s="1">
        <v>48</v>
      </c>
      <c r="O564" s="1" t="s">
        <v>50</v>
      </c>
      <c r="P564" s="1">
        <v>0.36299999999999999</v>
      </c>
      <c r="Q564" s="1">
        <v>94.113</v>
      </c>
      <c r="R564" s="1">
        <v>-0.97299199999999997</v>
      </c>
      <c r="S564" s="1">
        <v>2.2810698</v>
      </c>
      <c r="T564" s="1">
        <v>-0.86710569999999998</v>
      </c>
      <c r="U564" s="1">
        <v>57.225000000000001</v>
      </c>
      <c r="V564" s="1">
        <v>84</v>
      </c>
      <c r="W564" s="1">
        <v>134</v>
      </c>
      <c r="X564" s="1">
        <v>1.5952380952380953</v>
      </c>
      <c r="Y564" s="1">
        <v>86</v>
      </c>
      <c r="Z564" s="1">
        <v>134</v>
      </c>
      <c r="AA564" s="1">
        <v>1.558139534883721</v>
      </c>
      <c r="AB564" s="1">
        <v>86.534949534528778</v>
      </c>
      <c r="AC564" s="1">
        <v>133.9543885116959</v>
      </c>
      <c r="AD564" s="1">
        <v>1.5479802002801888</v>
      </c>
      <c r="AE564" t="s">
        <v>4817</v>
      </c>
      <c r="AF564" t="str">
        <f>IF(X564&lt;$AF$1,"Bajo","Alto")</f>
        <v>Bajo</v>
      </c>
      <c r="AG564" t="str">
        <f>LEFT(AE564,1)</f>
        <v>C</v>
      </c>
      <c r="AH564" t="str">
        <f>K564</f>
        <v>F</v>
      </c>
      <c r="AI564" t="str">
        <f>LEFT(AF564,1)</f>
        <v>B</v>
      </c>
      <c r="AJ564" t="str">
        <f>LEFT(M564,1)</f>
        <v>M</v>
      </c>
      <c r="AK564" t="str">
        <f>_xlfn.CONCAT(AG564,AH564,AI564,AJ564)</f>
        <v>CFBM</v>
      </c>
    </row>
    <row r="565" spans="1:37" ht="15.75" hidden="1" customHeight="1" x14ac:dyDescent="0.2">
      <c r="A565" s="1">
        <v>522008</v>
      </c>
      <c r="B565" s="1" t="s">
        <v>4529</v>
      </c>
      <c r="C565" s="1" t="s">
        <v>685</v>
      </c>
      <c r="D565" s="1" t="s">
        <v>4558</v>
      </c>
      <c r="E565" s="1" t="s">
        <v>1983</v>
      </c>
      <c r="F565" s="1" t="s">
        <v>46</v>
      </c>
      <c r="G565" s="1" t="s">
        <v>4565</v>
      </c>
      <c r="H565" s="1">
        <v>2745</v>
      </c>
      <c r="I565" s="1" t="s">
        <v>4566</v>
      </c>
      <c r="J565" s="1">
        <v>3036</v>
      </c>
      <c r="K565" s="1" t="s">
        <v>35</v>
      </c>
      <c r="L565" s="1">
        <v>48</v>
      </c>
      <c r="M565" s="1" t="str">
        <f>IF(L565&lt;=45,"Joven","Mayor")</f>
        <v>Mayor</v>
      </c>
      <c r="N565" s="1">
        <v>59</v>
      </c>
      <c r="O565" s="1" t="s">
        <v>36</v>
      </c>
      <c r="P565" s="1">
        <v>0.35699999999999998</v>
      </c>
      <c r="Q565" s="1">
        <v>71.099000000000004</v>
      </c>
      <c r="R565" s="1">
        <v>12.567507000000001</v>
      </c>
      <c r="S565" s="1">
        <v>2.8573750000000002</v>
      </c>
      <c r="T565" s="1">
        <v>-10.958354</v>
      </c>
      <c r="U565" s="1">
        <v>10.922000000000001</v>
      </c>
      <c r="V565" s="1">
        <v>100</v>
      </c>
      <c r="W565" s="1">
        <v>194</v>
      </c>
      <c r="X565" s="1">
        <v>1.94</v>
      </c>
      <c r="Y565" s="1">
        <v>111</v>
      </c>
      <c r="Z565" s="1">
        <v>194</v>
      </c>
      <c r="AA565" s="1">
        <v>1.7477477477477477</v>
      </c>
      <c r="AB565" s="1">
        <v>108.2516198546973</v>
      </c>
      <c r="AC565" s="1">
        <v>193.12386556603499</v>
      </c>
      <c r="AD565" s="1">
        <v>1.7840274891522085</v>
      </c>
      <c r="AE565" t="s">
        <v>4817</v>
      </c>
      <c r="AF565" t="str">
        <f>IF(X565&lt;$AF$1,"Bajo","Alto")</f>
        <v>Alto</v>
      </c>
      <c r="AG565" t="str">
        <f>LEFT(AE565,1)</f>
        <v>C</v>
      </c>
      <c r="AH565" t="str">
        <f>K565</f>
        <v>M</v>
      </c>
      <c r="AI565" t="str">
        <f>LEFT(AF565,1)</f>
        <v>A</v>
      </c>
      <c r="AJ565" t="str">
        <f>LEFT(M565,1)</f>
        <v>M</v>
      </c>
      <c r="AK565" t="str">
        <f>_xlfn.CONCAT(AG565,AH565,AI565,AJ565)</f>
        <v>CMAM</v>
      </c>
    </row>
    <row r="566" spans="1:37" ht="15.75" hidden="1" customHeight="1" x14ac:dyDescent="0.2">
      <c r="A566" s="1">
        <v>10728103</v>
      </c>
      <c r="B566" s="1" t="s">
        <v>1067</v>
      </c>
      <c r="C566" s="1" t="s">
        <v>1068</v>
      </c>
      <c r="D566" s="1" t="s">
        <v>1339</v>
      </c>
      <c r="E566" s="1" t="s">
        <v>1340</v>
      </c>
      <c r="F566" s="1" t="s">
        <v>63</v>
      </c>
      <c r="G566" s="1" t="s">
        <v>1342</v>
      </c>
      <c r="H566" s="1">
        <v>952</v>
      </c>
      <c r="I566" s="1" t="s">
        <v>1343</v>
      </c>
      <c r="J566" s="1">
        <v>2637</v>
      </c>
      <c r="K566" s="1" t="s">
        <v>35</v>
      </c>
      <c r="L566" s="1">
        <v>41</v>
      </c>
      <c r="M566" s="1" t="str">
        <f>IF(L566&lt;=45,"Joven","Mayor")</f>
        <v>Joven</v>
      </c>
      <c r="N566" s="1">
        <v>52</v>
      </c>
      <c r="O566" s="1" t="s">
        <v>36</v>
      </c>
      <c r="P566" s="1">
        <v>0.33800000000000002</v>
      </c>
      <c r="Q566" s="1">
        <v>60.963000000000001</v>
      </c>
      <c r="R566" s="1">
        <v>13.983271</v>
      </c>
      <c r="S566" s="1">
        <v>-5.6398052999999999</v>
      </c>
      <c r="T566" s="1">
        <v>-10.850197</v>
      </c>
      <c r="U566" s="1">
        <v>7.0419999999999998</v>
      </c>
      <c r="V566" s="1">
        <v>80</v>
      </c>
      <c r="W566" s="1">
        <v>156</v>
      </c>
      <c r="X566" s="1">
        <v>1.95</v>
      </c>
      <c r="Y566" s="1">
        <v>89</v>
      </c>
      <c r="Z566" s="1">
        <v>156</v>
      </c>
      <c r="AA566" s="1">
        <v>1.752808988764045</v>
      </c>
      <c r="AB566" s="1">
        <v>87.417182559036974</v>
      </c>
      <c r="AC566" s="1">
        <v>156.41125358247839</v>
      </c>
      <c r="AD566" s="1">
        <v>1.7892506828030799</v>
      </c>
      <c r="AE566" t="s">
        <v>4817</v>
      </c>
      <c r="AF566" t="str">
        <f>IF(X566&lt;$AF$1,"Bajo","Alto")</f>
        <v>Alto</v>
      </c>
      <c r="AG566" t="str">
        <f>LEFT(AE566,1)</f>
        <v>C</v>
      </c>
      <c r="AH566" t="str">
        <f>K566</f>
        <v>M</v>
      </c>
      <c r="AI566" t="str">
        <f>LEFT(AF566,1)</f>
        <v>A</v>
      </c>
      <c r="AJ566" t="str">
        <f>LEFT(M566,1)</f>
        <v>J</v>
      </c>
      <c r="AK566" t="str">
        <f>_xlfn.CONCAT(AG566,AH566,AI566,AJ566)</f>
        <v>CMAJ</v>
      </c>
    </row>
    <row r="567" spans="1:37" ht="15.75" hidden="1" customHeight="1" x14ac:dyDescent="0.2">
      <c r="A567" s="1">
        <v>214202</v>
      </c>
      <c r="B567" s="1" t="s">
        <v>2816</v>
      </c>
      <c r="C567" s="1" t="s">
        <v>2817</v>
      </c>
      <c r="D567" s="1" t="s">
        <v>2871</v>
      </c>
      <c r="E567" s="1" t="s">
        <v>2872</v>
      </c>
      <c r="F567" s="1" t="s">
        <v>37</v>
      </c>
      <c r="G567" s="1" t="s">
        <v>2873</v>
      </c>
      <c r="H567" s="1">
        <v>258</v>
      </c>
      <c r="I567" s="1" t="s">
        <v>45</v>
      </c>
      <c r="J567" s="1">
        <v>17</v>
      </c>
      <c r="K567" s="1" t="s">
        <v>35</v>
      </c>
      <c r="L567" s="1">
        <v>48</v>
      </c>
      <c r="M567" s="1" t="str">
        <f>IF(L567&lt;=45,"Joven","Mayor")</f>
        <v>Mayor</v>
      </c>
      <c r="N567" s="1">
        <v>56</v>
      </c>
      <c r="O567" s="1" t="s">
        <v>36</v>
      </c>
      <c r="P567" s="1">
        <v>0.255</v>
      </c>
      <c r="Q567" s="1">
        <v>93.364000000000004</v>
      </c>
      <c r="R567" s="1">
        <v>1.9412780000000001</v>
      </c>
      <c r="S567" s="1">
        <v>-3.2967854000000001</v>
      </c>
      <c r="T567" s="1">
        <v>-5.0001160000000002</v>
      </c>
      <c r="U567" s="1">
        <v>8.7140000000000004</v>
      </c>
      <c r="V567" s="1">
        <v>99</v>
      </c>
      <c r="W567" s="1">
        <v>192</v>
      </c>
      <c r="X567" s="1">
        <v>1.9393939393939394</v>
      </c>
      <c r="Y567" s="1">
        <v>99</v>
      </c>
      <c r="Z567" s="1">
        <v>192</v>
      </c>
      <c r="AA567" s="1">
        <v>1.9393939393939394</v>
      </c>
      <c r="AB567" s="1">
        <v>103.0683033828288</v>
      </c>
      <c r="AC567" s="1">
        <v>191.4436636733171</v>
      </c>
      <c r="AD567" s="1">
        <v>1.8574446012003691</v>
      </c>
      <c r="AE567" t="s">
        <v>4817</v>
      </c>
      <c r="AF567" t="str">
        <f>IF(X567&lt;$AF$1,"Bajo","Alto")</f>
        <v>Alto</v>
      </c>
      <c r="AG567" t="str">
        <f>LEFT(AE567,1)</f>
        <v>C</v>
      </c>
      <c r="AH567" t="str">
        <f>K567</f>
        <v>M</v>
      </c>
      <c r="AI567" t="str">
        <f>LEFT(AF567,1)</f>
        <v>A</v>
      </c>
      <c r="AJ567" t="str">
        <f>LEFT(M567,1)</f>
        <v>M</v>
      </c>
      <c r="AK567" t="str">
        <f>_xlfn.CONCAT(AG567,AH567,AI567,AJ567)</f>
        <v>CMAM</v>
      </c>
    </row>
    <row r="568" spans="1:37" ht="15.75" hidden="1" customHeight="1" x14ac:dyDescent="0.2">
      <c r="A568" s="1">
        <v>4681501</v>
      </c>
      <c r="B568" s="1" t="s">
        <v>4382</v>
      </c>
      <c r="C568" s="1" t="s">
        <v>669</v>
      </c>
      <c r="D568" s="1" t="s">
        <v>4436</v>
      </c>
      <c r="E568" s="1" t="s">
        <v>4437</v>
      </c>
      <c r="F568" s="1" t="s">
        <v>32</v>
      </c>
      <c r="G568" s="1" t="s">
        <v>4438</v>
      </c>
      <c r="H568" s="1">
        <v>560</v>
      </c>
      <c r="I568" s="1" t="s">
        <v>100</v>
      </c>
      <c r="J568" s="1">
        <v>1</v>
      </c>
      <c r="K568" s="1" t="s">
        <v>35</v>
      </c>
      <c r="L568" s="1">
        <v>46</v>
      </c>
      <c r="M568" s="1" t="str">
        <f>IF(L568&lt;=45,"Joven","Mayor")</f>
        <v>Mayor</v>
      </c>
      <c r="N568" s="1">
        <v>42</v>
      </c>
      <c r="O568" s="1" t="s">
        <v>36</v>
      </c>
      <c r="P568" s="1">
        <v>0.31900000000000001</v>
      </c>
      <c r="Q568" s="1">
        <v>91.792000000000002</v>
      </c>
      <c r="R568" s="1">
        <v>2.8019713999999998</v>
      </c>
      <c r="S568" s="1">
        <v>6.2908882999999998</v>
      </c>
      <c r="T568" s="1">
        <v>-5.2485265999999999</v>
      </c>
      <c r="U568" s="1">
        <v>16.451000000000001</v>
      </c>
      <c r="V568" s="1">
        <v>64</v>
      </c>
      <c r="W568" s="1">
        <v>101</v>
      </c>
      <c r="X568" s="1">
        <v>1.578125</v>
      </c>
      <c r="Y568" s="1">
        <v>65</v>
      </c>
      <c r="Z568" s="1">
        <v>101</v>
      </c>
      <c r="AA568" s="1">
        <v>1.5538461538461539</v>
      </c>
      <c r="AB568" s="1">
        <v>67.0143734884482</v>
      </c>
      <c r="AC568" s="1">
        <v>100.57653530745711</v>
      </c>
      <c r="AD568" s="1">
        <v>1.5008203475153623</v>
      </c>
      <c r="AE568" t="s">
        <v>4817</v>
      </c>
      <c r="AF568" t="str">
        <f>IF(X568&lt;$AF$1,"Bajo","Alto")</f>
        <v>Bajo</v>
      </c>
      <c r="AG568" t="str">
        <f>LEFT(AE568,1)</f>
        <v>C</v>
      </c>
      <c r="AH568" t="str">
        <f>K568</f>
        <v>M</v>
      </c>
      <c r="AI568" t="str">
        <f>LEFT(AF568,1)</f>
        <v>B</v>
      </c>
      <c r="AJ568" t="str">
        <f>LEFT(M568,1)</f>
        <v>M</v>
      </c>
      <c r="AK568" t="str">
        <f>_xlfn.CONCAT(AG568,AH568,AI568,AJ568)</f>
        <v>CMBM</v>
      </c>
    </row>
    <row r="569" spans="1:37" ht="15.75" hidden="1" customHeight="1" x14ac:dyDescent="0.2">
      <c r="A569" s="1">
        <v>1525902</v>
      </c>
      <c r="B569" s="1" t="s">
        <v>2077</v>
      </c>
      <c r="C569" s="1" t="s">
        <v>57</v>
      </c>
      <c r="D569" s="1" t="s">
        <v>2314</v>
      </c>
      <c r="E569" s="1" t="s">
        <v>517</v>
      </c>
      <c r="F569" s="1" t="s">
        <v>37</v>
      </c>
      <c r="G569" s="1" t="s">
        <v>2315</v>
      </c>
      <c r="H569" s="1">
        <v>77</v>
      </c>
      <c r="I569" s="1" t="s">
        <v>42</v>
      </c>
      <c r="J569" s="1">
        <v>15</v>
      </c>
      <c r="K569" s="1" t="s">
        <v>35</v>
      </c>
      <c r="L569" s="1">
        <v>46</v>
      </c>
      <c r="M569" s="1" t="str">
        <f>IF(L569&lt;=45,"Joven","Mayor")</f>
        <v>Mayor</v>
      </c>
      <c r="N569" s="1">
        <v>58</v>
      </c>
      <c r="O569" s="1" t="s">
        <v>50</v>
      </c>
      <c r="P569" s="1">
        <v>0.23599999999999999</v>
      </c>
      <c r="Q569" s="1">
        <v>92.596000000000004</v>
      </c>
      <c r="R569" s="1">
        <v>2.2861246999999998</v>
      </c>
      <c r="S569" s="1">
        <v>5.2186737000000001</v>
      </c>
      <c r="T569" s="1">
        <v>0.36181154999999998</v>
      </c>
      <c r="U569" s="1">
        <v>34.158999999999999</v>
      </c>
      <c r="V569" s="1">
        <v>82</v>
      </c>
      <c r="W569" s="1">
        <v>159</v>
      </c>
      <c r="X569" s="1">
        <v>1.9390243902439024</v>
      </c>
      <c r="Y569" s="1">
        <v>86</v>
      </c>
      <c r="Z569" s="1">
        <v>159</v>
      </c>
      <c r="AA569" s="1">
        <v>1.8488372093023255</v>
      </c>
      <c r="AB569" s="1">
        <v>85.770953915494601</v>
      </c>
      <c r="AC569" s="1">
        <v>159.0284036143826</v>
      </c>
      <c r="AD569" s="1">
        <v>1.8541055725119313</v>
      </c>
      <c r="AE569" t="s">
        <v>4817</v>
      </c>
      <c r="AF569" t="str">
        <f>IF(X569&lt;$AF$1,"Bajo","Alto")</f>
        <v>Alto</v>
      </c>
      <c r="AG569" t="str">
        <f>LEFT(AE569,1)</f>
        <v>C</v>
      </c>
      <c r="AH569" t="str">
        <f>K569</f>
        <v>M</v>
      </c>
      <c r="AI569" t="str">
        <f>LEFT(AF569,1)</f>
        <v>A</v>
      </c>
      <c r="AJ569" t="str">
        <f>LEFT(M569,1)</f>
        <v>M</v>
      </c>
      <c r="AK569" t="str">
        <f>_xlfn.CONCAT(AG569,AH569,AI569,AJ569)</f>
        <v>CMAM</v>
      </c>
    </row>
    <row r="570" spans="1:37" ht="15.75" hidden="1" customHeight="1" x14ac:dyDescent="0.2">
      <c r="A570" s="1">
        <v>1215010</v>
      </c>
      <c r="B570" s="1" t="s">
        <v>1798</v>
      </c>
      <c r="C570" s="1" t="s">
        <v>54</v>
      </c>
      <c r="D570" s="1" t="s">
        <v>1799</v>
      </c>
      <c r="E570" s="1" t="s">
        <v>205</v>
      </c>
      <c r="F570" s="1" t="s">
        <v>75</v>
      </c>
      <c r="G570" s="1" t="s">
        <v>1803</v>
      </c>
      <c r="H570" s="1">
        <v>6321</v>
      </c>
      <c r="I570" s="1" t="s">
        <v>1804</v>
      </c>
      <c r="J570" s="1">
        <v>5011</v>
      </c>
      <c r="K570" s="1" t="s">
        <v>35</v>
      </c>
      <c r="L570" s="1">
        <v>40</v>
      </c>
      <c r="M570" s="1" t="str">
        <f>IF(L570&lt;=45,"Joven","Mayor")</f>
        <v>Joven</v>
      </c>
      <c r="N570" s="1">
        <v>48</v>
      </c>
      <c r="O570" s="1" t="s">
        <v>36</v>
      </c>
      <c r="P570" s="1">
        <v>0.106</v>
      </c>
      <c r="Q570" s="1">
        <v>92.662999999999997</v>
      </c>
      <c r="R570" s="1">
        <v>0.65771389999999996</v>
      </c>
      <c r="S570" s="1">
        <v>8.0355329999999991</v>
      </c>
      <c r="T570" s="1">
        <v>-4.3418403000000003</v>
      </c>
      <c r="U570" s="1">
        <v>18.382000000000001</v>
      </c>
      <c r="V570" s="1">
        <v>60</v>
      </c>
      <c r="W570" s="1">
        <v>117</v>
      </c>
      <c r="X570" s="1">
        <v>1.95</v>
      </c>
      <c r="Y570" s="1">
        <v>64</v>
      </c>
      <c r="Z570" s="1">
        <v>117</v>
      </c>
      <c r="AA570" s="1">
        <v>1.828125</v>
      </c>
      <c r="AB570" s="1">
        <v>62.401841536440088</v>
      </c>
      <c r="AC570" s="1">
        <v>117.1941716952565</v>
      </c>
      <c r="AD570" s="1">
        <v>1.8780563010599609</v>
      </c>
      <c r="AE570" t="s">
        <v>4817</v>
      </c>
      <c r="AF570" t="str">
        <f>IF(X570&lt;$AF$1,"Bajo","Alto")</f>
        <v>Alto</v>
      </c>
      <c r="AG570" t="str">
        <f>LEFT(AE570,1)</f>
        <v>C</v>
      </c>
      <c r="AH570" t="str">
        <f>K570</f>
        <v>M</v>
      </c>
      <c r="AI570" t="str">
        <f>LEFT(AF570,1)</f>
        <v>A</v>
      </c>
      <c r="AJ570" t="str">
        <f>LEFT(M570,1)</f>
        <v>J</v>
      </c>
      <c r="AK570" t="str">
        <f>_xlfn.CONCAT(AG570,AH570,AI570,AJ570)</f>
        <v>CMAJ</v>
      </c>
    </row>
    <row r="571" spans="1:37" ht="15.75" hidden="1" customHeight="1" x14ac:dyDescent="0.2">
      <c r="A571" s="1">
        <v>234901</v>
      </c>
      <c r="B571" s="1" t="s">
        <v>319</v>
      </c>
      <c r="C571" s="1" t="s">
        <v>1989</v>
      </c>
      <c r="D571" s="1" t="s">
        <v>3049</v>
      </c>
      <c r="E571" s="1" t="s">
        <v>673</v>
      </c>
      <c r="F571" s="1" t="s">
        <v>32</v>
      </c>
      <c r="G571" s="1" t="s">
        <v>3050</v>
      </c>
      <c r="H571" s="1">
        <v>1350</v>
      </c>
      <c r="I571" s="1" t="s">
        <v>65</v>
      </c>
      <c r="J571" s="1">
        <v>2</v>
      </c>
      <c r="K571" s="1" t="s">
        <v>35</v>
      </c>
      <c r="L571" s="1">
        <v>65</v>
      </c>
      <c r="M571" s="1" t="str">
        <f>IF(L571&lt;=45,"Joven","Mayor")</f>
        <v>Mayor</v>
      </c>
      <c r="N571" s="1">
        <v>64</v>
      </c>
      <c r="O571" s="1" t="s">
        <v>36</v>
      </c>
      <c r="P571" s="1">
        <v>0.08</v>
      </c>
      <c r="Q571" s="1">
        <v>94.055000000000007</v>
      </c>
      <c r="R571" s="1">
        <v>-1.5416898000000001</v>
      </c>
      <c r="S571" s="1">
        <v>1.3376857</v>
      </c>
      <c r="T571" s="1">
        <v>0.34754968000000003</v>
      </c>
      <c r="U571" s="1">
        <v>2.4569999999999999</v>
      </c>
      <c r="V571" s="1">
        <v>235</v>
      </c>
      <c r="W571" s="1">
        <v>371</v>
      </c>
      <c r="X571" s="1">
        <v>1.5787234042553191</v>
      </c>
      <c r="Y571" s="1">
        <v>235</v>
      </c>
      <c r="Z571" s="1">
        <v>371</v>
      </c>
      <c r="AA571" s="1">
        <v>1.5787234042553191</v>
      </c>
      <c r="AB571" s="1">
        <v>235.5961956577037</v>
      </c>
      <c r="AC571" s="1">
        <v>370.98710870389408</v>
      </c>
      <c r="AD571" s="1">
        <v>1.5746735963550915</v>
      </c>
      <c r="AE571" t="s">
        <v>4817</v>
      </c>
      <c r="AF571" t="str">
        <f>IF(X571&lt;$AF$1,"Bajo","Alto")</f>
        <v>Bajo</v>
      </c>
      <c r="AG571" t="str">
        <f>LEFT(AE571,1)</f>
        <v>C</v>
      </c>
      <c r="AH571" t="str">
        <f>K571</f>
        <v>M</v>
      </c>
      <c r="AI571" t="str">
        <f>LEFT(AF571,1)</f>
        <v>B</v>
      </c>
      <c r="AJ571" t="str">
        <f>LEFT(M571,1)</f>
        <v>M</v>
      </c>
      <c r="AK571" t="str">
        <f>_xlfn.CONCAT(AG571,AH571,AI571,AJ571)</f>
        <v>CMBM</v>
      </c>
    </row>
    <row r="572" spans="1:37" ht="15.75" hidden="1" customHeight="1" x14ac:dyDescent="0.2">
      <c r="A572" s="1">
        <v>642601</v>
      </c>
      <c r="B572" s="1" t="s">
        <v>4718</v>
      </c>
      <c r="C572" s="1" t="s">
        <v>710</v>
      </c>
      <c r="D572" s="1" t="s">
        <v>4767</v>
      </c>
      <c r="E572" s="1" t="s">
        <v>968</v>
      </c>
      <c r="F572" s="1" t="s">
        <v>32</v>
      </c>
      <c r="G572" s="1" t="s">
        <v>4768</v>
      </c>
      <c r="H572" s="1">
        <v>140</v>
      </c>
      <c r="I572" s="1" t="s">
        <v>85</v>
      </c>
      <c r="J572" s="1">
        <v>12</v>
      </c>
      <c r="K572" s="1" t="s">
        <v>35</v>
      </c>
      <c r="L572" s="1">
        <v>35</v>
      </c>
      <c r="M572" s="1" t="str">
        <f>IF(L572&lt;=45,"Joven","Mayor")</f>
        <v>Joven</v>
      </c>
      <c r="N572" s="1">
        <v>45</v>
      </c>
      <c r="O572" s="1" t="s">
        <v>36</v>
      </c>
      <c r="P572" s="1">
        <v>0.61599999999999999</v>
      </c>
      <c r="Q572" s="1">
        <v>90.174999999999997</v>
      </c>
      <c r="R572" s="1">
        <v>-5.4884519999999997</v>
      </c>
      <c r="S572" s="1">
        <v>2.8203592</v>
      </c>
      <c r="T572" s="1">
        <v>8.865354</v>
      </c>
      <c r="U572" s="1">
        <v>14.026</v>
      </c>
      <c r="V572" s="1">
        <v>92</v>
      </c>
      <c r="W572" s="1">
        <v>177</v>
      </c>
      <c r="X572" s="1">
        <v>1.923913043478261</v>
      </c>
      <c r="Y572" s="1">
        <v>103</v>
      </c>
      <c r="Z572" s="1">
        <v>177</v>
      </c>
      <c r="AA572" s="1">
        <v>1.7184466019417475</v>
      </c>
      <c r="AB572" s="1">
        <v>98.760658296090696</v>
      </c>
      <c r="AC572" s="1">
        <v>177.19711713131801</v>
      </c>
      <c r="AD572" s="1">
        <v>1.7942075335309111</v>
      </c>
      <c r="AE572" t="s">
        <v>4815</v>
      </c>
      <c r="AF572" t="str">
        <f>IF(X572&lt;$AF$1,"Bajo","Alto")</f>
        <v>Alto</v>
      </c>
      <c r="AG572" t="str">
        <f>LEFT(AE572,1)</f>
        <v>I</v>
      </c>
      <c r="AH572" t="str">
        <f>K572</f>
        <v>M</v>
      </c>
      <c r="AI572" t="str">
        <f>LEFT(AF572,1)</f>
        <v>A</v>
      </c>
      <c r="AJ572" t="str">
        <f>LEFT(M572,1)</f>
        <v>J</v>
      </c>
      <c r="AK572" t="str">
        <f>_xlfn.CONCAT(AG572,AH572,AI572,AJ572)</f>
        <v>IMAJ</v>
      </c>
    </row>
    <row r="573" spans="1:37" ht="15.75" hidden="1" customHeight="1" x14ac:dyDescent="0.2">
      <c r="A573" s="1">
        <v>253704</v>
      </c>
      <c r="B573" s="1" t="s">
        <v>3169</v>
      </c>
      <c r="C573" s="1" t="s">
        <v>821</v>
      </c>
      <c r="D573" s="1" t="s">
        <v>2584</v>
      </c>
      <c r="E573" s="1" t="s">
        <v>647</v>
      </c>
      <c r="F573" s="1" t="s">
        <v>61</v>
      </c>
      <c r="G573" s="1" t="s">
        <v>3242</v>
      </c>
      <c r="H573" s="1">
        <v>4043</v>
      </c>
      <c r="I573" s="1" t="s">
        <v>3243</v>
      </c>
      <c r="J573" s="1">
        <v>4098</v>
      </c>
      <c r="K573" s="1" t="s">
        <v>35</v>
      </c>
      <c r="L573" s="1">
        <v>36</v>
      </c>
      <c r="M573" s="1" t="str">
        <f>IF(L573&lt;=45,"Joven","Mayor")</f>
        <v>Joven</v>
      </c>
      <c r="N573" s="1">
        <v>39</v>
      </c>
      <c r="O573" s="1" t="s">
        <v>36</v>
      </c>
      <c r="P573" s="1">
        <v>0.26400000000000001</v>
      </c>
      <c r="Q573" s="1">
        <v>87.275999999999996</v>
      </c>
      <c r="R573" s="1">
        <v>-7.1632040000000003</v>
      </c>
      <c r="S573" s="1">
        <v>4.1829466999999996</v>
      </c>
      <c r="T573" s="1">
        <v>16.643190000000001</v>
      </c>
      <c r="U573" s="1">
        <v>1.3620000000000001</v>
      </c>
      <c r="V573" s="1">
        <v>100</v>
      </c>
      <c r="W573" s="1">
        <v>195</v>
      </c>
      <c r="X573" s="1">
        <v>1.95</v>
      </c>
      <c r="Y573" s="1">
        <v>124</v>
      </c>
      <c r="Z573" s="1">
        <v>195</v>
      </c>
      <c r="AA573" s="1">
        <v>1.5725806451612903</v>
      </c>
      <c r="AB573" s="1">
        <v>115.8594422097124</v>
      </c>
      <c r="AC573" s="1">
        <v>198.5736926450995</v>
      </c>
      <c r="AD573" s="1">
        <v>1.7139189422789507</v>
      </c>
      <c r="AE573" t="s">
        <v>4817</v>
      </c>
      <c r="AF573" t="str">
        <f>IF(X573&lt;$AF$1,"Bajo","Alto")</f>
        <v>Alto</v>
      </c>
      <c r="AG573" t="str">
        <f>LEFT(AE573,1)</f>
        <v>C</v>
      </c>
      <c r="AH573" t="str">
        <f>K573</f>
        <v>M</v>
      </c>
      <c r="AI573" t="str">
        <f>LEFT(AF573,1)</f>
        <v>A</v>
      </c>
      <c r="AJ573" t="str">
        <f>LEFT(M573,1)</f>
        <v>J</v>
      </c>
      <c r="AK573" t="str">
        <f>_xlfn.CONCAT(AG573,AH573,AI573,AJ573)</f>
        <v>CMAJ</v>
      </c>
    </row>
    <row r="574" spans="1:37" ht="15.75" hidden="1" customHeight="1" x14ac:dyDescent="0.2">
      <c r="A574" s="1">
        <v>1056305</v>
      </c>
      <c r="B574" s="1" t="s">
        <v>694</v>
      </c>
      <c r="C574" s="1" t="s">
        <v>879</v>
      </c>
      <c r="D574" s="1" t="s">
        <v>1009</v>
      </c>
      <c r="E574" s="1" t="s">
        <v>1010</v>
      </c>
      <c r="F574" s="1" t="s">
        <v>40</v>
      </c>
      <c r="G574" s="1" t="s">
        <v>1012</v>
      </c>
      <c r="H574" s="1">
        <v>249</v>
      </c>
      <c r="I574" s="1" t="s">
        <v>48</v>
      </c>
      <c r="J574" s="1">
        <v>4</v>
      </c>
      <c r="K574" s="1" t="s">
        <v>35</v>
      </c>
      <c r="L574" s="1">
        <v>30</v>
      </c>
      <c r="M574" s="1" t="str">
        <f>IF(L574&lt;=45,"Joven","Mayor")</f>
        <v>Joven</v>
      </c>
      <c r="N574" s="1">
        <v>42</v>
      </c>
      <c r="O574" s="1" t="s">
        <v>36</v>
      </c>
      <c r="P574" s="1">
        <v>0.40400000000000003</v>
      </c>
      <c r="Q574" s="1">
        <v>91.956999999999994</v>
      </c>
      <c r="R574" s="1">
        <v>3.8438308000000001</v>
      </c>
      <c r="S574" s="1">
        <v>2.9782552999999998</v>
      </c>
      <c r="T574" s="1">
        <v>-2.0143392000000002</v>
      </c>
      <c r="U574" s="1">
        <v>1.7330000000000001</v>
      </c>
      <c r="V574" s="1">
        <v>99</v>
      </c>
      <c r="W574" s="1">
        <v>193</v>
      </c>
      <c r="X574" s="1">
        <v>1.9494949494949494</v>
      </c>
      <c r="Y574" s="1">
        <v>105</v>
      </c>
      <c r="Z574" s="1">
        <v>193</v>
      </c>
      <c r="AA574" s="1">
        <v>1.838095238095238</v>
      </c>
      <c r="AB574" s="1">
        <v>106.7277465429042</v>
      </c>
      <c r="AC574" s="1">
        <v>192.77528905198639</v>
      </c>
      <c r="AD574" s="1">
        <v>1.8062340421896883</v>
      </c>
      <c r="AE574" t="s">
        <v>4817</v>
      </c>
      <c r="AF574" t="str">
        <f>IF(X574&lt;$AF$1,"Bajo","Alto")</f>
        <v>Alto</v>
      </c>
      <c r="AG574" t="str">
        <f>LEFT(AE574,1)</f>
        <v>C</v>
      </c>
      <c r="AH574" t="str">
        <f>K574</f>
        <v>M</v>
      </c>
      <c r="AI574" t="str">
        <f>LEFT(AF574,1)</f>
        <v>A</v>
      </c>
      <c r="AJ574" t="str">
        <f>LEFT(M574,1)</f>
        <v>J</v>
      </c>
      <c r="AK574" t="str">
        <f>_xlfn.CONCAT(AG574,AH574,AI574,AJ574)</f>
        <v>CMAJ</v>
      </c>
    </row>
    <row r="575" spans="1:37" ht="15.75" hidden="1" customHeight="1" x14ac:dyDescent="0.2">
      <c r="A575" s="1">
        <v>256402</v>
      </c>
      <c r="B575" s="1" t="s">
        <v>3169</v>
      </c>
      <c r="C575" s="1" t="s">
        <v>821</v>
      </c>
      <c r="D575" s="1" t="s">
        <v>3295</v>
      </c>
      <c r="E575" s="1" t="s">
        <v>710</v>
      </c>
      <c r="F575" s="1" t="s">
        <v>37</v>
      </c>
      <c r="G575" s="1" t="s">
        <v>3296</v>
      </c>
      <c r="H575" s="1">
        <v>16760</v>
      </c>
      <c r="I575" s="1" t="s">
        <v>42</v>
      </c>
      <c r="J575" s="1">
        <v>15</v>
      </c>
      <c r="K575" s="1" t="s">
        <v>35</v>
      </c>
      <c r="L575" s="1">
        <v>68</v>
      </c>
      <c r="M575" s="1" t="str">
        <f>IF(L575&lt;=45,"Joven","Mayor")</f>
        <v>Mayor</v>
      </c>
      <c r="N575" s="1">
        <v>73</v>
      </c>
      <c r="O575" s="1" t="s">
        <v>36</v>
      </c>
      <c r="P575" s="1">
        <v>6.6000000000000003E-2</v>
      </c>
      <c r="Q575" s="1">
        <v>87.948999999999998</v>
      </c>
      <c r="R575" s="1">
        <v>-7.0448370000000002</v>
      </c>
      <c r="S575" s="1">
        <v>3.2734616000000001</v>
      </c>
      <c r="T575" s="1">
        <v>5.318092</v>
      </c>
      <c r="U575" s="1">
        <v>2.2170000000000001</v>
      </c>
      <c r="V575" s="1">
        <v>119</v>
      </c>
      <c r="W575" s="1">
        <v>188</v>
      </c>
      <c r="X575" s="1">
        <v>1.5798319327731092</v>
      </c>
      <c r="Y575" s="1">
        <v>126</v>
      </c>
      <c r="Z575" s="1">
        <v>188</v>
      </c>
      <c r="AA575" s="1">
        <v>1.4920634920634921</v>
      </c>
      <c r="AB575" s="1">
        <v>130.4626205067118</v>
      </c>
      <c r="AC575" s="1">
        <v>186.7273254669108</v>
      </c>
      <c r="AD575" s="1">
        <v>1.4312706945611628</v>
      </c>
      <c r="AE575" t="s">
        <v>4817</v>
      </c>
      <c r="AF575" t="str">
        <f>IF(X575&lt;$AF$1,"Bajo","Alto")</f>
        <v>Bajo</v>
      </c>
      <c r="AG575" t="str">
        <f>LEFT(AE575,1)</f>
        <v>C</v>
      </c>
      <c r="AH575" t="str">
        <f>K575</f>
        <v>M</v>
      </c>
      <c r="AI575" t="str">
        <f>LEFT(AF575,1)</f>
        <v>B</v>
      </c>
      <c r="AJ575" t="str">
        <f>LEFT(M575,1)</f>
        <v>M</v>
      </c>
      <c r="AK575" t="str">
        <f>_xlfn.CONCAT(AG575,AH575,AI575,AJ575)</f>
        <v>CMBM</v>
      </c>
    </row>
    <row r="576" spans="1:37" ht="15.75" hidden="1" customHeight="1" x14ac:dyDescent="0.2">
      <c r="A576" s="1">
        <v>298805</v>
      </c>
      <c r="B576" s="1" t="s">
        <v>3890</v>
      </c>
      <c r="C576" s="1" t="s">
        <v>1695</v>
      </c>
      <c r="D576" s="1" t="s">
        <v>4095</v>
      </c>
      <c r="E576" s="1" t="s">
        <v>763</v>
      </c>
      <c r="F576" s="1" t="s">
        <v>40</v>
      </c>
      <c r="G576" s="1" t="s">
        <v>4098</v>
      </c>
      <c r="H576" s="1">
        <v>88</v>
      </c>
      <c r="I576" s="1" t="s">
        <v>134</v>
      </c>
      <c r="J576" s="1">
        <v>8</v>
      </c>
      <c r="K576" s="1" t="s">
        <v>35</v>
      </c>
      <c r="L576" s="1">
        <v>60</v>
      </c>
      <c r="M576" s="1" t="str">
        <f>IF(L576&lt;=45,"Joven","Mayor")</f>
        <v>Mayor</v>
      </c>
      <c r="N576" s="1">
        <v>69</v>
      </c>
      <c r="O576" s="1" t="s">
        <v>36</v>
      </c>
      <c r="P576" s="1">
        <v>0.34699999999999998</v>
      </c>
      <c r="Q576" s="1">
        <v>88.41</v>
      </c>
      <c r="R576" s="1">
        <v>6.1994596</v>
      </c>
      <c r="S576" s="1">
        <v>5.1130829999999996</v>
      </c>
      <c r="T576" s="1">
        <v>-2.0393053999999999</v>
      </c>
      <c r="U576" s="1">
        <v>0.33</v>
      </c>
      <c r="V576" s="1">
        <v>119</v>
      </c>
      <c r="W576" s="1">
        <v>188</v>
      </c>
      <c r="X576" s="1">
        <v>1.5798319327731092</v>
      </c>
      <c r="Y576" s="1">
        <v>123</v>
      </c>
      <c r="Z576" s="1">
        <v>188</v>
      </c>
      <c r="AA576" s="1">
        <v>1.5284552845528456</v>
      </c>
      <c r="AB576" s="1">
        <v>121.4631097655033</v>
      </c>
      <c r="AC576" s="1">
        <v>188.02327061148071</v>
      </c>
      <c r="AD576" s="1">
        <v>1.5479866354029503</v>
      </c>
      <c r="AE576" t="s">
        <v>4817</v>
      </c>
      <c r="AF576" t="str">
        <f>IF(X576&lt;$AF$1,"Bajo","Alto")</f>
        <v>Bajo</v>
      </c>
      <c r="AG576" t="str">
        <f>LEFT(AE576,1)</f>
        <v>C</v>
      </c>
      <c r="AH576" t="str">
        <f>K576</f>
        <v>M</v>
      </c>
      <c r="AI576" t="str">
        <f>LEFT(AF576,1)</f>
        <v>B</v>
      </c>
      <c r="AJ576" t="str">
        <f>LEFT(M576,1)</f>
        <v>M</v>
      </c>
      <c r="AK576" t="str">
        <f>_xlfn.CONCAT(AG576,AH576,AI576,AJ576)</f>
        <v>CMBM</v>
      </c>
    </row>
    <row r="577" spans="1:37" ht="15.75" hidden="1" customHeight="1" x14ac:dyDescent="0.2">
      <c r="A577" s="1">
        <v>194406</v>
      </c>
      <c r="B577" s="1" t="s">
        <v>2656</v>
      </c>
      <c r="C577" s="1" t="s">
        <v>323</v>
      </c>
      <c r="D577" s="1" t="s">
        <v>2726</v>
      </c>
      <c r="E577" s="1" t="s">
        <v>995</v>
      </c>
      <c r="F577" s="1" t="s">
        <v>88</v>
      </c>
      <c r="G577" s="1" t="s">
        <v>2728</v>
      </c>
      <c r="H577" s="1">
        <v>4005</v>
      </c>
      <c r="I577" s="1" t="s">
        <v>2729</v>
      </c>
      <c r="J577" s="1">
        <v>808</v>
      </c>
      <c r="K577" s="1" t="s">
        <v>35</v>
      </c>
      <c r="L577" s="1">
        <v>45</v>
      </c>
      <c r="M577" s="1" t="str">
        <f>IF(L577&lt;=45,"Joven","Mayor")</f>
        <v>Joven</v>
      </c>
      <c r="N577" s="1">
        <v>36</v>
      </c>
      <c r="O577" s="1" t="s">
        <v>36</v>
      </c>
      <c r="P577" s="1">
        <v>0.38900000000000001</v>
      </c>
      <c r="Q577" s="1">
        <v>93.304000000000002</v>
      </c>
      <c r="R577" s="1">
        <v>-0.80793360000000003</v>
      </c>
      <c r="S577" s="1">
        <v>5.819089</v>
      </c>
      <c r="T577" s="1">
        <v>-0.15185444000000001</v>
      </c>
      <c r="U577" s="1">
        <v>22.882000000000001</v>
      </c>
      <c r="V577" s="1">
        <v>84</v>
      </c>
      <c r="W577" s="1">
        <v>135</v>
      </c>
      <c r="X577" s="1">
        <v>1.6071428571428572</v>
      </c>
      <c r="Y577" s="1">
        <v>85</v>
      </c>
      <c r="Z577" s="1">
        <v>135</v>
      </c>
      <c r="AA577" s="1">
        <v>1.588235294117647</v>
      </c>
      <c r="AB577" s="1">
        <v>85.103065380335238</v>
      </c>
      <c r="AC577" s="1">
        <v>135.00482656646</v>
      </c>
      <c r="AD577" s="1">
        <v>1.5863685516274666</v>
      </c>
      <c r="AE577" t="s">
        <v>4817</v>
      </c>
      <c r="AF577" t="str">
        <f>IF(X577&lt;$AF$1,"Bajo","Alto")</f>
        <v>Bajo</v>
      </c>
      <c r="AG577" t="str">
        <f>LEFT(AE577,1)</f>
        <v>C</v>
      </c>
      <c r="AH577" t="str">
        <f>K577</f>
        <v>M</v>
      </c>
      <c r="AI577" t="str">
        <f>LEFT(AF577,1)</f>
        <v>B</v>
      </c>
      <c r="AJ577" t="str">
        <f>LEFT(M577,1)</f>
        <v>J</v>
      </c>
      <c r="AK577" t="str">
        <f>_xlfn.CONCAT(AG577,AH577,AI577,AJ577)</f>
        <v>CMBJ</v>
      </c>
    </row>
    <row r="578" spans="1:37" ht="15.75" hidden="1" customHeight="1" x14ac:dyDescent="0.2">
      <c r="A578" s="1">
        <v>298804</v>
      </c>
      <c r="B578" s="1" t="s">
        <v>3890</v>
      </c>
      <c r="C578" s="1" t="s">
        <v>1695</v>
      </c>
      <c r="D578" s="1" t="s">
        <v>4095</v>
      </c>
      <c r="E578" s="1" t="s">
        <v>763</v>
      </c>
      <c r="F578" s="1" t="s">
        <v>61</v>
      </c>
      <c r="G578" s="1" t="s">
        <v>4097</v>
      </c>
      <c r="H578" s="1">
        <v>1746</v>
      </c>
      <c r="I578" s="1" t="s">
        <v>91</v>
      </c>
      <c r="J578" s="1">
        <v>6</v>
      </c>
      <c r="K578" s="1" t="s">
        <v>35</v>
      </c>
      <c r="L578" s="1">
        <v>39</v>
      </c>
      <c r="M578" s="1" t="str">
        <f>IF(L578&lt;=45,"Joven","Mayor")</f>
        <v>Joven</v>
      </c>
      <c r="N578" s="1">
        <v>41</v>
      </c>
      <c r="O578" s="1" t="s">
        <v>36</v>
      </c>
      <c r="P578" s="1">
        <v>0.35399999999999998</v>
      </c>
      <c r="Q578" s="1">
        <v>92.697999999999993</v>
      </c>
      <c r="R578" s="1">
        <v>3.1403645999999998</v>
      </c>
      <c r="S578" s="1">
        <v>-2.4590413999999998</v>
      </c>
      <c r="T578" s="1">
        <v>-1.7396180999999999</v>
      </c>
      <c r="U578" s="1">
        <v>9.3640000000000008</v>
      </c>
      <c r="V578" s="1">
        <v>79</v>
      </c>
      <c r="W578" s="1">
        <v>127</v>
      </c>
      <c r="X578" s="1">
        <v>1.6075949367088607</v>
      </c>
      <c r="Y578" s="1">
        <v>81</v>
      </c>
      <c r="Z578" s="1">
        <v>127</v>
      </c>
      <c r="AA578" s="1">
        <v>1.5679012345679013</v>
      </c>
      <c r="AB578" s="1">
        <v>82.05553410425523</v>
      </c>
      <c r="AC578" s="1">
        <v>127.00218150814911</v>
      </c>
      <c r="AD578" s="1">
        <v>1.547758879331492</v>
      </c>
      <c r="AE578" t="s">
        <v>4817</v>
      </c>
      <c r="AF578" t="str">
        <f>IF(X578&lt;$AF$1,"Bajo","Alto")</f>
        <v>Bajo</v>
      </c>
      <c r="AG578" t="str">
        <f>LEFT(AE578,1)</f>
        <v>C</v>
      </c>
      <c r="AH578" t="str">
        <f>K578</f>
        <v>M</v>
      </c>
      <c r="AI578" t="str">
        <f>LEFT(AF578,1)</f>
        <v>B</v>
      </c>
      <c r="AJ578" t="str">
        <f>LEFT(M578,1)</f>
        <v>J</v>
      </c>
      <c r="AK578" t="str">
        <f>_xlfn.CONCAT(AG578,AH578,AI578,AJ578)</f>
        <v>CMBJ</v>
      </c>
    </row>
    <row r="579" spans="1:37" ht="15.75" hidden="1" customHeight="1" x14ac:dyDescent="0.2">
      <c r="A579" s="1">
        <v>10116006</v>
      </c>
      <c r="B579" s="1" t="s">
        <v>29</v>
      </c>
      <c r="C579" s="1" t="s">
        <v>30</v>
      </c>
      <c r="D579" s="1" t="s">
        <v>233</v>
      </c>
      <c r="E579" s="1" t="s">
        <v>234</v>
      </c>
      <c r="F579" s="1" t="s">
        <v>88</v>
      </c>
      <c r="G579" s="1" t="s">
        <v>241</v>
      </c>
      <c r="H579" s="1">
        <v>1805</v>
      </c>
      <c r="I579" s="1" t="s">
        <v>242</v>
      </c>
      <c r="J579" s="1">
        <v>4145</v>
      </c>
      <c r="K579" s="1" t="s">
        <v>35</v>
      </c>
      <c r="L579" s="1">
        <v>43</v>
      </c>
      <c r="M579" s="1" t="str">
        <f>IF(L579&lt;=45,"Joven","Mayor")</f>
        <v>Joven</v>
      </c>
      <c r="N579" s="1">
        <v>42</v>
      </c>
      <c r="O579" s="1" t="s">
        <v>36</v>
      </c>
      <c r="P579" s="1">
        <v>0.35699999999999998</v>
      </c>
      <c r="Q579" s="1">
        <v>90.340999999999994</v>
      </c>
      <c r="R579" s="1">
        <v>2.4437954</v>
      </c>
      <c r="S579" s="1">
        <v>9.8535819999999994</v>
      </c>
      <c r="T579" s="1">
        <v>0.23022097</v>
      </c>
      <c r="U579" s="1">
        <v>5.4279999999999999</v>
      </c>
      <c r="V579" s="1">
        <v>105</v>
      </c>
      <c r="W579" s="1">
        <v>167</v>
      </c>
      <c r="X579" s="1">
        <v>1.5904761904761904</v>
      </c>
      <c r="Y579" s="1">
        <v>108</v>
      </c>
      <c r="Z579" s="1">
        <v>167</v>
      </c>
      <c r="AA579" s="1">
        <v>1.5462962962962963</v>
      </c>
      <c r="AB579" s="1">
        <v>108.1879790049416</v>
      </c>
      <c r="AC579" s="1">
        <v>166.9865975649445</v>
      </c>
      <c r="AD579" s="1">
        <v>1.5434856913014081</v>
      </c>
      <c r="AE579" t="s">
        <v>4815</v>
      </c>
      <c r="AF579" t="str">
        <f>IF(X579&lt;$AF$1,"Bajo","Alto")</f>
        <v>Bajo</v>
      </c>
      <c r="AG579" t="str">
        <f>LEFT(AE579,1)</f>
        <v>I</v>
      </c>
      <c r="AH579" t="str">
        <f>K579</f>
        <v>M</v>
      </c>
      <c r="AI579" t="str">
        <f>LEFT(AF579,1)</f>
        <v>B</v>
      </c>
      <c r="AJ579" t="str">
        <f>LEFT(M579,1)</f>
        <v>J</v>
      </c>
      <c r="AK579" t="str">
        <f>_xlfn.CONCAT(AG579,AH579,AI579,AJ579)</f>
        <v>IMBJ</v>
      </c>
    </row>
    <row r="580" spans="1:37" ht="15.75" hidden="1" customHeight="1" x14ac:dyDescent="0.2">
      <c r="A580" s="1">
        <v>524905</v>
      </c>
      <c r="B580" s="1" t="s">
        <v>4529</v>
      </c>
      <c r="C580" s="1" t="s">
        <v>685</v>
      </c>
      <c r="D580" s="1" t="s">
        <v>4341</v>
      </c>
      <c r="E580" s="1" t="s">
        <v>673</v>
      </c>
      <c r="F580" s="1" t="s">
        <v>40</v>
      </c>
      <c r="G580" s="1" t="s">
        <v>4644</v>
      </c>
      <c r="H580" s="1">
        <v>5</v>
      </c>
      <c r="I580" s="1" t="s">
        <v>294</v>
      </c>
      <c r="J580" s="1">
        <v>16</v>
      </c>
      <c r="K580" s="1" t="s">
        <v>35</v>
      </c>
      <c r="L580" s="1">
        <v>28</v>
      </c>
      <c r="M580" s="1" t="str">
        <f>IF(L580&lt;=45,"Joven","Mayor")</f>
        <v>Joven</v>
      </c>
      <c r="N580" s="1">
        <v>32</v>
      </c>
      <c r="O580" s="1" t="s">
        <v>36</v>
      </c>
      <c r="P580" s="1">
        <v>0.26900000000000002</v>
      </c>
      <c r="Q580" s="1">
        <v>94.191000000000003</v>
      </c>
      <c r="R580" s="1">
        <v>0.39054936000000001</v>
      </c>
      <c r="S580" s="1">
        <v>-3.3819382</v>
      </c>
      <c r="T580" s="1">
        <v>-1.5896595</v>
      </c>
      <c r="U580" s="1">
        <v>16.521999999999998</v>
      </c>
      <c r="V580" s="1">
        <v>97</v>
      </c>
      <c r="W580" s="1">
        <v>156</v>
      </c>
      <c r="X580" s="1">
        <v>1.6082474226804124</v>
      </c>
      <c r="Y580" s="1">
        <v>98</v>
      </c>
      <c r="Z580" s="1">
        <v>156</v>
      </c>
      <c r="AA580" s="1">
        <v>1.5918367346938775</v>
      </c>
      <c r="AB580" s="1">
        <v>99.238380229852737</v>
      </c>
      <c r="AC580" s="1">
        <v>155.88447905294609</v>
      </c>
      <c r="AD580" s="1">
        <v>1.5708083776850397</v>
      </c>
      <c r="AE580" t="s">
        <v>4817</v>
      </c>
      <c r="AF580" t="str">
        <f>IF(X580&lt;$AF$1,"Bajo","Alto")</f>
        <v>Bajo</v>
      </c>
      <c r="AG580" t="str">
        <f>LEFT(AE580,1)</f>
        <v>C</v>
      </c>
      <c r="AH580" t="str">
        <f>K580</f>
        <v>M</v>
      </c>
      <c r="AI580" t="str">
        <f>LEFT(AF580,1)</f>
        <v>B</v>
      </c>
      <c r="AJ580" t="str">
        <f>LEFT(M580,1)</f>
        <v>J</v>
      </c>
      <c r="AK580" t="str">
        <f>_xlfn.CONCAT(AG580,AH580,AI580,AJ580)</f>
        <v>CMBJ</v>
      </c>
    </row>
    <row r="581" spans="1:37" ht="15.75" hidden="1" customHeight="1" x14ac:dyDescent="0.2">
      <c r="A581" s="1">
        <v>2910501</v>
      </c>
      <c r="B581" s="1" t="s">
        <v>3890</v>
      </c>
      <c r="C581" s="1" t="s">
        <v>1695</v>
      </c>
      <c r="D581" s="1" t="s">
        <v>3931</v>
      </c>
      <c r="E581" s="1" t="s">
        <v>879</v>
      </c>
      <c r="F581" s="1" t="s">
        <v>32</v>
      </c>
      <c r="G581" s="1" t="s">
        <v>3932</v>
      </c>
      <c r="H581" s="1">
        <v>1147</v>
      </c>
      <c r="I581" s="1" t="s">
        <v>42</v>
      </c>
      <c r="J581" s="1">
        <v>15</v>
      </c>
      <c r="K581" s="1" t="s">
        <v>35</v>
      </c>
      <c r="L581" s="1">
        <v>66</v>
      </c>
      <c r="M581" s="1" t="str">
        <f>IF(L581&lt;=45,"Joven","Mayor")</f>
        <v>Mayor</v>
      </c>
      <c r="N581" s="1">
        <v>76</v>
      </c>
      <c r="O581" s="1" t="s">
        <v>36</v>
      </c>
      <c r="P581" s="1">
        <v>0.249</v>
      </c>
      <c r="Q581" s="1">
        <v>92.486999999999995</v>
      </c>
      <c r="R581" s="1">
        <v>-4.0504955999999996</v>
      </c>
      <c r="S581" s="1">
        <v>-7.0988714999999994E-2</v>
      </c>
      <c r="T581" s="1">
        <v>7.8221601999999999</v>
      </c>
      <c r="U581" s="1">
        <v>1.712</v>
      </c>
      <c r="V581" s="1">
        <v>86</v>
      </c>
      <c r="W581" s="1">
        <v>136</v>
      </c>
      <c r="X581" s="1">
        <v>1.5813953488372092</v>
      </c>
      <c r="Y581" s="1">
        <v>94</v>
      </c>
      <c r="Z581" s="1">
        <v>136</v>
      </c>
      <c r="AA581" s="1">
        <v>1.446808510638298</v>
      </c>
      <c r="AB581" s="1">
        <v>90.371546311405154</v>
      </c>
      <c r="AC581" s="1">
        <v>135.95944628857981</v>
      </c>
      <c r="AD581" s="1">
        <v>1.5044497061064599</v>
      </c>
      <c r="AE581" t="s">
        <v>4817</v>
      </c>
      <c r="AF581" t="str">
        <f>IF(X581&lt;$AF$1,"Bajo","Alto")</f>
        <v>Bajo</v>
      </c>
      <c r="AG581" t="str">
        <f>LEFT(AE581,1)</f>
        <v>C</v>
      </c>
      <c r="AH581" t="str">
        <f>K581</f>
        <v>M</v>
      </c>
      <c r="AI581" t="str">
        <f>LEFT(AF581,1)</f>
        <v>B</v>
      </c>
      <c r="AJ581" t="str">
        <f>LEFT(M581,1)</f>
        <v>M</v>
      </c>
      <c r="AK581" t="str">
        <f>_xlfn.CONCAT(AG581,AH581,AI581,AJ581)</f>
        <v>CMBM</v>
      </c>
    </row>
    <row r="582" spans="1:37" ht="15.75" hidden="1" customHeight="1" x14ac:dyDescent="0.2">
      <c r="A582" s="1">
        <v>171606</v>
      </c>
      <c r="B582" s="1" t="s">
        <v>2551</v>
      </c>
      <c r="C582" s="1" t="s">
        <v>2552</v>
      </c>
      <c r="D582" s="1" t="s">
        <v>2584</v>
      </c>
      <c r="E582" s="1" t="s">
        <v>244</v>
      </c>
      <c r="F582" s="1" t="s">
        <v>88</v>
      </c>
      <c r="G582" s="1" t="s">
        <v>2588</v>
      </c>
      <c r="H582" s="1">
        <v>1320</v>
      </c>
      <c r="I582" s="1" t="s">
        <v>2589</v>
      </c>
      <c r="J582" s="1">
        <v>2340</v>
      </c>
      <c r="K582" s="1" t="s">
        <v>35</v>
      </c>
      <c r="L582" s="1">
        <v>49</v>
      </c>
      <c r="M582" s="1" t="str">
        <f>IF(L582&lt;=45,"Joven","Mayor")</f>
        <v>Mayor</v>
      </c>
      <c r="N582" s="1">
        <v>44</v>
      </c>
      <c r="O582" s="1" t="s">
        <v>36</v>
      </c>
      <c r="P582" s="1">
        <v>0.34399999999999997</v>
      </c>
      <c r="Q582" s="1">
        <v>91.784000000000006</v>
      </c>
      <c r="R582" s="1">
        <v>-3.8390640999999999</v>
      </c>
      <c r="S582" s="1">
        <v>3.6528955000000001</v>
      </c>
      <c r="T582" s="1">
        <v>3.5912885999999999</v>
      </c>
      <c r="U582" s="1">
        <v>79.206999999999994</v>
      </c>
      <c r="V582" s="1">
        <v>108</v>
      </c>
      <c r="W582" s="1">
        <v>171</v>
      </c>
      <c r="X582" s="1">
        <v>1.5833333333333333</v>
      </c>
      <c r="Y582" s="1">
        <v>115</v>
      </c>
      <c r="Z582" s="1">
        <v>171</v>
      </c>
      <c r="AA582" s="1">
        <v>1.4869565217391305</v>
      </c>
      <c r="AB582" s="1">
        <v>112.08070295146629</v>
      </c>
      <c r="AC582" s="1">
        <v>171.10267253084109</v>
      </c>
      <c r="AD582" s="1">
        <v>1.5266024215152609</v>
      </c>
      <c r="AE582" t="s">
        <v>4817</v>
      </c>
      <c r="AF582" t="str">
        <f>IF(X582&lt;$AF$1,"Bajo","Alto")</f>
        <v>Bajo</v>
      </c>
      <c r="AG582" t="str">
        <f>LEFT(AE582,1)</f>
        <v>C</v>
      </c>
      <c r="AH582" t="str">
        <f>K582</f>
        <v>M</v>
      </c>
      <c r="AI582" t="str">
        <f>LEFT(AF582,1)</f>
        <v>B</v>
      </c>
      <c r="AJ582" t="str">
        <f>LEFT(M582,1)</f>
        <v>M</v>
      </c>
      <c r="AK582" t="str">
        <f>_xlfn.CONCAT(AG582,AH582,AI582,AJ582)</f>
        <v>CMBM</v>
      </c>
    </row>
    <row r="583" spans="1:37" ht="15.75" hidden="1" customHeight="1" x14ac:dyDescent="0.2">
      <c r="A583" s="1">
        <v>10722302</v>
      </c>
      <c r="B583" s="1" t="s">
        <v>1067</v>
      </c>
      <c r="C583" s="1" t="s">
        <v>1068</v>
      </c>
      <c r="D583" s="1" t="s">
        <v>1243</v>
      </c>
      <c r="E583" s="1" t="s">
        <v>423</v>
      </c>
      <c r="F583" s="1" t="s">
        <v>37</v>
      </c>
      <c r="G583" s="1" t="s">
        <v>1244</v>
      </c>
      <c r="H583" s="1">
        <v>891</v>
      </c>
      <c r="I583" s="1" t="s">
        <v>1087</v>
      </c>
      <c r="J583" s="1">
        <v>3249</v>
      </c>
      <c r="K583" s="1" t="s">
        <v>35</v>
      </c>
      <c r="L583" s="1">
        <v>36</v>
      </c>
      <c r="M583" s="1" t="str">
        <f>IF(L583&lt;=45,"Joven","Mayor")</f>
        <v>Joven</v>
      </c>
      <c r="N583" s="1">
        <v>48</v>
      </c>
      <c r="O583" s="1" t="s">
        <v>36</v>
      </c>
      <c r="P583" s="1">
        <v>0.27900000000000003</v>
      </c>
      <c r="Q583" s="1">
        <v>89.14</v>
      </c>
      <c r="R583" s="1">
        <v>3.6612331999999999</v>
      </c>
      <c r="S583" s="1">
        <v>9.8390520000000006</v>
      </c>
      <c r="T583" s="1">
        <v>9.2048749999999999E-2</v>
      </c>
      <c r="U583" s="1">
        <v>5.9820000000000002</v>
      </c>
      <c r="V583" s="1">
        <v>92</v>
      </c>
      <c r="W583" s="1">
        <v>148</v>
      </c>
      <c r="X583" s="1">
        <v>1.6086956521739131</v>
      </c>
      <c r="Y583" s="1">
        <v>93</v>
      </c>
      <c r="Z583" s="1">
        <v>148</v>
      </c>
      <c r="AA583" s="1">
        <v>1.5913978494623655</v>
      </c>
      <c r="AB583" s="1">
        <v>92.946863731560143</v>
      </c>
      <c r="AC583" s="1">
        <v>148.0094483233452</v>
      </c>
      <c r="AD583" s="1">
        <v>1.5924092796806066</v>
      </c>
      <c r="AE583" t="s">
        <v>4817</v>
      </c>
      <c r="AF583" t="str">
        <f>IF(X583&lt;$AF$1,"Bajo","Alto")</f>
        <v>Bajo</v>
      </c>
      <c r="AG583" t="str">
        <f>LEFT(AE583,1)</f>
        <v>C</v>
      </c>
      <c r="AH583" t="str">
        <f>K583</f>
        <v>M</v>
      </c>
      <c r="AI583" t="str">
        <f>LEFT(AF583,1)</f>
        <v>B</v>
      </c>
      <c r="AJ583" t="str">
        <f>LEFT(M583,1)</f>
        <v>J</v>
      </c>
      <c r="AK583" t="str">
        <f>_xlfn.CONCAT(AG583,AH583,AI583,AJ583)</f>
        <v>CMBJ</v>
      </c>
    </row>
    <row r="584" spans="1:37" ht="15.75" hidden="1" customHeight="1" x14ac:dyDescent="0.2">
      <c r="A584" s="1">
        <v>1051303</v>
      </c>
      <c r="B584" s="1" t="s">
        <v>694</v>
      </c>
      <c r="C584" s="1" t="s">
        <v>879</v>
      </c>
      <c r="D584" s="1" t="s">
        <v>935</v>
      </c>
      <c r="E584" s="1" t="s">
        <v>163</v>
      </c>
      <c r="F584" s="1" t="s">
        <v>63</v>
      </c>
      <c r="G584" s="1" t="s">
        <v>938</v>
      </c>
      <c r="H584" s="1">
        <v>31</v>
      </c>
      <c r="I584" s="1" t="s">
        <v>85</v>
      </c>
      <c r="J584" s="1">
        <v>12</v>
      </c>
      <c r="K584" s="1" t="s">
        <v>35</v>
      </c>
      <c r="L584" s="1">
        <v>54</v>
      </c>
      <c r="M584" s="1" t="str">
        <f>IF(L584&lt;=45,"Joven","Mayor")</f>
        <v>Mayor</v>
      </c>
      <c r="N584" s="1">
        <v>49</v>
      </c>
      <c r="O584" s="1" t="s">
        <v>36</v>
      </c>
      <c r="P584" s="1">
        <v>0.46</v>
      </c>
      <c r="Q584" s="1">
        <v>91.902000000000001</v>
      </c>
      <c r="R584" s="1">
        <v>3.8638262999999999</v>
      </c>
      <c r="S584" s="1">
        <v>-3.0507184999999999</v>
      </c>
      <c r="T584" s="1">
        <v>3.0203859999999998</v>
      </c>
      <c r="U584" s="1">
        <v>0.67200000000000004</v>
      </c>
      <c r="V584" s="1">
        <v>80</v>
      </c>
      <c r="W584" s="1">
        <v>152</v>
      </c>
      <c r="X584" s="1">
        <v>1.9</v>
      </c>
      <c r="Y584" s="1">
        <v>84</v>
      </c>
      <c r="Z584" s="1">
        <v>152</v>
      </c>
      <c r="AA584" s="1">
        <v>1.8095238095238095</v>
      </c>
      <c r="AB584" s="1">
        <v>82.101901282441759</v>
      </c>
      <c r="AC584" s="1">
        <v>152.5265269937772</v>
      </c>
      <c r="AD584" s="1">
        <v>1.85777094819114</v>
      </c>
      <c r="AE584" t="s">
        <v>4815</v>
      </c>
      <c r="AF584" t="str">
        <f>IF(X584&lt;$AF$1,"Bajo","Alto")</f>
        <v>Alto</v>
      </c>
      <c r="AG584" t="str">
        <f>LEFT(AE584,1)</f>
        <v>I</v>
      </c>
      <c r="AH584" t="str">
        <f>K584</f>
        <v>M</v>
      </c>
      <c r="AI584" t="str">
        <f>LEFT(AF584,1)</f>
        <v>A</v>
      </c>
      <c r="AJ584" t="str">
        <f>LEFT(M584,1)</f>
        <v>M</v>
      </c>
      <c r="AK584" t="str">
        <f>_xlfn.CONCAT(AG584,AH584,AI584,AJ584)</f>
        <v>IMAM</v>
      </c>
    </row>
    <row r="585" spans="1:37" ht="15.75" hidden="1" customHeight="1" x14ac:dyDescent="0.2">
      <c r="A585" s="1">
        <v>130401</v>
      </c>
      <c r="B585" s="1" t="s">
        <v>956</v>
      </c>
      <c r="C585" s="1" t="s">
        <v>163</v>
      </c>
      <c r="D585" s="1" t="s">
        <v>1954</v>
      </c>
      <c r="E585" s="1" t="s">
        <v>61</v>
      </c>
      <c r="F585" s="1" t="s">
        <v>32</v>
      </c>
      <c r="G585" s="1" t="s">
        <v>1955</v>
      </c>
      <c r="H585" s="1">
        <v>12079</v>
      </c>
      <c r="I585" s="1" t="s">
        <v>100</v>
      </c>
      <c r="J585" s="1">
        <v>1</v>
      </c>
      <c r="K585" s="1" t="s">
        <v>35</v>
      </c>
      <c r="L585" s="1">
        <v>36</v>
      </c>
      <c r="M585" s="1" t="str">
        <f>IF(L585&lt;=45,"Joven","Mayor")</f>
        <v>Joven</v>
      </c>
      <c r="N585" s="1">
        <v>38</v>
      </c>
      <c r="O585" s="1" t="s">
        <v>36</v>
      </c>
      <c r="P585" s="1">
        <v>0.26300000000000001</v>
      </c>
      <c r="Q585" s="1">
        <v>91.113</v>
      </c>
      <c r="R585" s="1">
        <v>4.4542549999999999</v>
      </c>
      <c r="S585" s="1">
        <v>3.9448165999999998</v>
      </c>
      <c r="T585" s="1">
        <v>-2.1577641999999999</v>
      </c>
      <c r="U585" s="1">
        <v>12.143000000000001</v>
      </c>
      <c r="V585" s="1">
        <v>105</v>
      </c>
      <c r="W585" s="1">
        <v>169</v>
      </c>
      <c r="X585" s="1">
        <v>1.6095238095238096</v>
      </c>
      <c r="Y585" s="1">
        <v>108</v>
      </c>
      <c r="Z585" s="1">
        <v>169</v>
      </c>
      <c r="AA585" s="1">
        <v>1.5648148148148149</v>
      </c>
      <c r="AB585" s="1">
        <v>109.5424229006385</v>
      </c>
      <c r="AC585" s="1">
        <v>168.5789597978933</v>
      </c>
      <c r="AD585" s="1">
        <v>1.5389376584339791</v>
      </c>
      <c r="AE585" t="s">
        <v>4817</v>
      </c>
      <c r="AF585" t="str">
        <f>IF(X585&lt;$AF$1,"Bajo","Alto")</f>
        <v>Bajo</v>
      </c>
      <c r="AG585" t="str">
        <f>LEFT(AE585,1)</f>
        <v>C</v>
      </c>
      <c r="AH585" t="str">
        <f>K585</f>
        <v>M</v>
      </c>
      <c r="AI585" t="str">
        <f>LEFT(AF585,1)</f>
        <v>B</v>
      </c>
      <c r="AJ585" t="str">
        <f>LEFT(M585,1)</f>
        <v>J</v>
      </c>
      <c r="AK585" t="str">
        <f>_xlfn.CONCAT(AG585,AH585,AI585,AJ585)</f>
        <v>CMBJ</v>
      </c>
    </row>
    <row r="586" spans="1:37" ht="15.75" hidden="1" customHeight="1" x14ac:dyDescent="0.2">
      <c r="A586" s="1">
        <v>10110904</v>
      </c>
      <c r="B586" s="1" t="s">
        <v>29</v>
      </c>
      <c r="C586" s="1" t="s">
        <v>30</v>
      </c>
      <c r="D586" s="1" t="s">
        <v>97</v>
      </c>
      <c r="E586" s="1" t="s">
        <v>98</v>
      </c>
      <c r="F586" s="1" t="s">
        <v>61</v>
      </c>
      <c r="G586" s="1" t="s">
        <v>101</v>
      </c>
      <c r="H586" s="1">
        <v>4456</v>
      </c>
      <c r="I586" s="1" t="s">
        <v>102</v>
      </c>
      <c r="J586" s="1">
        <v>447</v>
      </c>
      <c r="K586" s="1" t="s">
        <v>35</v>
      </c>
      <c r="L586" s="1">
        <v>57</v>
      </c>
      <c r="M586" s="1" t="str">
        <f>IF(L586&lt;=45,"Joven","Mayor")</f>
        <v>Mayor</v>
      </c>
      <c r="N586" s="1">
        <v>53</v>
      </c>
      <c r="O586" s="1" t="s">
        <v>36</v>
      </c>
      <c r="P586" s="1">
        <v>0.32</v>
      </c>
      <c r="Q586" s="1">
        <v>91.096000000000004</v>
      </c>
      <c r="R586" s="1">
        <v>0.63245580000000001</v>
      </c>
      <c r="S586" s="1">
        <v>10.980252999999999</v>
      </c>
      <c r="T586" s="1">
        <v>5.2592071999999996</v>
      </c>
      <c r="U586" s="1">
        <v>3.036</v>
      </c>
      <c r="V586" s="1">
        <v>98</v>
      </c>
      <c r="W586" s="1">
        <v>190</v>
      </c>
      <c r="X586" s="1">
        <v>1.9387755102040816</v>
      </c>
      <c r="Y586" s="1">
        <v>106</v>
      </c>
      <c r="Z586" s="1">
        <v>190</v>
      </c>
      <c r="AA586" s="1">
        <v>1.7924528301886793</v>
      </c>
      <c r="AB586" s="1">
        <v>102.3538459000365</v>
      </c>
      <c r="AC586" s="1">
        <v>190.20841808004431</v>
      </c>
      <c r="AD586" s="1">
        <v>1.8583416813258844</v>
      </c>
      <c r="AE586" t="s">
        <v>4817</v>
      </c>
      <c r="AF586" t="str">
        <f>IF(X586&lt;$AF$1,"Bajo","Alto")</f>
        <v>Alto</v>
      </c>
      <c r="AG586" t="str">
        <f>LEFT(AE586,1)</f>
        <v>C</v>
      </c>
      <c r="AH586" t="str">
        <f>K586</f>
        <v>M</v>
      </c>
      <c r="AI586" t="str">
        <f>LEFT(AF586,1)</f>
        <v>A</v>
      </c>
      <c r="AJ586" t="str">
        <f>LEFT(M586,1)</f>
        <v>M</v>
      </c>
      <c r="AK586" t="str">
        <f>_xlfn.CONCAT(AG586,AH586,AI586,AJ586)</f>
        <v>CMAM</v>
      </c>
    </row>
    <row r="587" spans="1:37" ht="15.75" hidden="1" customHeight="1" x14ac:dyDescent="0.2">
      <c r="A587" s="1">
        <v>2713006</v>
      </c>
      <c r="B587" s="1" t="s">
        <v>3409</v>
      </c>
      <c r="C587" s="1" t="s">
        <v>973</v>
      </c>
      <c r="D587" s="1" t="s">
        <v>3476</v>
      </c>
      <c r="E587" s="1" t="s">
        <v>158</v>
      </c>
      <c r="F587" s="1" t="s">
        <v>88</v>
      </c>
      <c r="G587" s="1" t="s">
        <v>3481</v>
      </c>
      <c r="H587" s="1">
        <v>5421</v>
      </c>
      <c r="I587" s="1" t="s">
        <v>3482</v>
      </c>
      <c r="J587" s="1">
        <v>4142</v>
      </c>
      <c r="K587" s="1" t="s">
        <v>35</v>
      </c>
      <c r="L587" s="1">
        <v>51</v>
      </c>
      <c r="M587" s="1" t="str">
        <f>IF(L587&lt;=45,"Joven","Mayor")</f>
        <v>Mayor</v>
      </c>
      <c r="N587" s="1">
        <v>62</v>
      </c>
      <c r="O587" s="1" t="s">
        <v>36</v>
      </c>
      <c r="P587" s="1">
        <v>0.55000000000000004</v>
      </c>
      <c r="Q587" s="1">
        <v>92.635999999999996</v>
      </c>
      <c r="R587" s="1">
        <v>2.1764294999999998</v>
      </c>
      <c r="S587" s="1">
        <v>5.0622199999999999</v>
      </c>
      <c r="T587" s="1">
        <v>-3.5346677</v>
      </c>
      <c r="U587" s="1">
        <v>6.7590000000000003</v>
      </c>
      <c r="V587" s="1">
        <v>81</v>
      </c>
      <c r="W587" s="1">
        <v>157</v>
      </c>
      <c r="X587" s="1">
        <v>1.9382716049382716</v>
      </c>
      <c r="Y587" s="1">
        <v>87</v>
      </c>
      <c r="Z587" s="1">
        <v>157</v>
      </c>
      <c r="AA587" s="1">
        <v>1.8045977011494252</v>
      </c>
      <c r="AB587" s="1">
        <v>84.676661645054537</v>
      </c>
      <c r="AC587" s="1">
        <v>157.441164926754</v>
      </c>
      <c r="AD587" s="1">
        <v>1.8593218233698423</v>
      </c>
      <c r="AE587" t="s">
        <v>4817</v>
      </c>
      <c r="AF587" t="str">
        <f>IF(X587&lt;$AF$1,"Bajo","Alto")</f>
        <v>Alto</v>
      </c>
      <c r="AG587" t="str">
        <f>LEFT(AE587,1)</f>
        <v>C</v>
      </c>
      <c r="AH587" t="str">
        <f>K587</f>
        <v>M</v>
      </c>
      <c r="AI587" t="str">
        <f>LEFT(AF587,1)</f>
        <v>A</v>
      </c>
      <c r="AJ587" t="str">
        <f>LEFT(M587,1)</f>
        <v>M</v>
      </c>
      <c r="AK587" t="str">
        <f>_xlfn.CONCAT(AG587,AH587,AI587,AJ587)</f>
        <v>CMAM</v>
      </c>
    </row>
    <row r="588" spans="1:37" ht="15.75" hidden="1" customHeight="1" x14ac:dyDescent="0.2">
      <c r="A588" s="1">
        <v>213103</v>
      </c>
      <c r="B588" s="1" t="s">
        <v>2816</v>
      </c>
      <c r="C588" s="1" t="s">
        <v>2817</v>
      </c>
      <c r="D588" s="1" t="s">
        <v>2864</v>
      </c>
      <c r="E588" s="1" t="s">
        <v>628</v>
      </c>
      <c r="F588" s="1" t="s">
        <v>63</v>
      </c>
      <c r="G588" s="1" t="s">
        <v>2865</v>
      </c>
      <c r="H588" s="1">
        <v>152</v>
      </c>
      <c r="I588" s="1" t="s">
        <v>552</v>
      </c>
      <c r="J588" s="1">
        <v>13</v>
      </c>
      <c r="K588" s="1" t="s">
        <v>35</v>
      </c>
      <c r="L588" s="1">
        <v>30</v>
      </c>
      <c r="M588" s="1" t="str">
        <f>IF(L588&lt;=45,"Joven","Mayor")</f>
        <v>Joven</v>
      </c>
      <c r="N588" s="1">
        <v>40</v>
      </c>
      <c r="O588" s="1" t="s">
        <v>36</v>
      </c>
      <c r="P588" s="1">
        <v>0.38900000000000001</v>
      </c>
      <c r="Q588" s="1">
        <v>88.918999999999997</v>
      </c>
      <c r="R588" s="1">
        <v>3.6467890000000001</v>
      </c>
      <c r="S588" s="1">
        <v>10.124057000000001</v>
      </c>
      <c r="T588" s="1">
        <v>-3.7338559999999998</v>
      </c>
      <c r="U588" s="1">
        <v>50.625999999999998</v>
      </c>
      <c r="V588" s="1">
        <v>66</v>
      </c>
      <c r="W588" s="1">
        <v>105</v>
      </c>
      <c r="X588" s="1">
        <v>1.5909090909090908</v>
      </c>
      <c r="Y588" s="1">
        <v>66</v>
      </c>
      <c r="Z588" s="1">
        <v>105</v>
      </c>
      <c r="AA588" s="1">
        <v>1.5909090909090908</v>
      </c>
      <c r="AB588" s="1">
        <v>67.618195619236303</v>
      </c>
      <c r="AC588" s="1">
        <v>104.7119957962923</v>
      </c>
      <c r="AD588" s="1">
        <v>1.5485771963797181</v>
      </c>
      <c r="AE588" t="s">
        <v>4815</v>
      </c>
      <c r="AF588" t="str">
        <f>IF(X588&lt;$AF$1,"Bajo","Alto")</f>
        <v>Bajo</v>
      </c>
      <c r="AG588" t="str">
        <f>LEFT(AE588,1)</f>
        <v>I</v>
      </c>
      <c r="AH588" t="str">
        <f>K588</f>
        <v>M</v>
      </c>
      <c r="AI588" t="str">
        <f>LEFT(AF588,1)</f>
        <v>B</v>
      </c>
      <c r="AJ588" t="str">
        <f>LEFT(M588,1)</f>
        <v>J</v>
      </c>
      <c r="AK588" t="str">
        <f>_xlfn.CONCAT(AG588,AH588,AI588,AJ588)</f>
        <v>IMBJ</v>
      </c>
    </row>
    <row r="589" spans="1:37" ht="15.75" hidden="1" customHeight="1" x14ac:dyDescent="0.2">
      <c r="A589" s="1">
        <v>641806</v>
      </c>
      <c r="B589" s="1" t="s">
        <v>4718</v>
      </c>
      <c r="C589" s="1" t="s">
        <v>710</v>
      </c>
      <c r="D589" s="1" t="s">
        <v>3592</v>
      </c>
      <c r="E589" s="1" t="s">
        <v>959</v>
      </c>
      <c r="F589" s="1" t="s">
        <v>88</v>
      </c>
      <c r="G589" s="1" t="s">
        <v>4752</v>
      </c>
      <c r="H589" s="1">
        <v>1521</v>
      </c>
      <c r="I589" s="1" t="s">
        <v>4753</v>
      </c>
      <c r="J589" s="1">
        <v>2353</v>
      </c>
      <c r="K589" s="1" t="s">
        <v>35</v>
      </c>
      <c r="L589" s="1">
        <v>38</v>
      </c>
      <c r="M589" s="1" t="str">
        <f>IF(L589&lt;=45,"Joven","Mayor")</f>
        <v>Joven</v>
      </c>
      <c r="N589" s="1">
        <v>40</v>
      </c>
      <c r="O589" s="1" t="s">
        <v>36</v>
      </c>
      <c r="P589" s="1">
        <v>0.34799999999999998</v>
      </c>
      <c r="Q589" s="1">
        <v>90.71</v>
      </c>
      <c r="R589" s="1">
        <v>4.3472470000000003</v>
      </c>
      <c r="S589" s="1">
        <v>5.2987685000000004</v>
      </c>
      <c r="T589" s="1">
        <v>-4.2923675000000001</v>
      </c>
      <c r="U589" s="1">
        <v>3.0880000000000001</v>
      </c>
      <c r="V589" s="1">
        <v>121</v>
      </c>
      <c r="W589" s="1">
        <v>195</v>
      </c>
      <c r="X589" s="1">
        <v>1.6115702479338843</v>
      </c>
      <c r="Y589" s="1">
        <v>125</v>
      </c>
      <c r="Z589" s="1">
        <v>195</v>
      </c>
      <c r="AA589" s="1">
        <v>1.56</v>
      </c>
      <c r="AB589" s="1">
        <v>124.62744075496769</v>
      </c>
      <c r="AC589" s="1">
        <v>194.5278928775879</v>
      </c>
      <c r="AD589" s="1">
        <v>1.5608752911812798</v>
      </c>
      <c r="AE589" t="s">
        <v>4817</v>
      </c>
      <c r="AF589" t="str">
        <f>IF(X589&lt;$AF$1,"Bajo","Alto")</f>
        <v>Bajo</v>
      </c>
      <c r="AG589" t="str">
        <f>LEFT(AE589,1)</f>
        <v>C</v>
      </c>
      <c r="AH589" t="str">
        <f>K589</f>
        <v>M</v>
      </c>
      <c r="AI589" t="str">
        <f>LEFT(AF589,1)</f>
        <v>B</v>
      </c>
      <c r="AJ589" t="str">
        <f>LEFT(M589,1)</f>
        <v>J</v>
      </c>
      <c r="AK589" t="str">
        <f>_xlfn.CONCAT(AG589,AH589,AI589,AJ589)</f>
        <v>CMBJ</v>
      </c>
    </row>
    <row r="590" spans="1:37" ht="15.75" hidden="1" customHeight="1" x14ac:dyDescent="0.2">
      <c r="A590" s="1">
        <v>277102</v>
      </c>
      <c r="B590" s="1" t="s">
        <v>3409</v>
      </c>
      <c r="C590" s="1" t="s">
        <v>973</v>
      </c>
      <c r="D590" s="1" t="s">
        <v>2584</v>
      </c>
      <c r="E590" s="1" t="s">
        <v>3709</v>
      </c>
      <c r="F590" s="1" t="s">
        <v>37</v>
      </c>
      <c r="G590" s="1" t="s">
        <v>3711</v>
      </c>
      <c r="H590" s="1">
        <v>485</v>
      </c>
      <c r="I590" s="1" t="s">
        <v>42</v>
      </c>
      <c r="J590" s="1">
        <v>15</v>
      </c>
      <c r="K590" s="1" t="s">
        <v>35</v>
      </c>
      <c r="L590" s="1">
        <v>60</v>
      </c>
      <c r="M590" s="1" t="str">
        <f>IF(L590&lt;=45,"Joven","Mayor")</f>
        <v>Mayor</v>
      </c>
      <c r="N590" s="1">
        <v>75</v>
      </c>
      <c r="O590" s="1" t="s">
        <v>36</v>
      </c>
      <c r="P590" s="1">
        <v>0.154</v>
      </c>
      <c r="Q590" s="1">
        <v>76.873999999999995</v>
      </c>
      <c r="R590" s="1">
        <v>-11.015264</v>
      </c>
      <c r="S590" s="1">
        <v>-4.4556079999999998</v>
      </c>
      <c r="T590" s="1">
        <v>-0.61351012999999999</v>
      </c>
      <c r="U590" s="1">
        <v>0.29499999999999998</v>
      </c>
      <c r="V590" s="1">
        <v>120</v>
      </c>
      <c r="W590" s="1">
        <v>190</v>
      </c>
      <c r="X590" s="1">
        <v>1.5833333333333333</v>
      </c>
      <c r="Y590" s="1">
        <v>121</v>
      </c>
      <c r="Z590" s="1">
        <v>190</v>
      </c>
      <c r="AA590" s="1">
        <v>1.5702479338842976</v>
      </c>
      <c r="AB590" s="1">
        <v>121.5819795484952</v>
      </c>
      <c r="AC590" s="1">
        <v>190.11759855408039</v>
      </c>
      <c r="AD590" s="1">
        <v>1.563698824941804</v>
      </c>
      <c r="AE590" t="s">
        <v>4817</v>
      </c>
      <c r="AF590" t="str">
        <f>IF(X590&lt;$AF$1,"Bajo","Alto")</f>
        <v>Bajo</v>
      </c>
      <c r="AG590" t="str">
        <f>LEFT(AE590,1)</f>
        <v>C</v>
      </c>
      <c r="AH590" t="str">
        <f>K590</f>
        <v>M</v>
      </c>
      <c r="AI590" t="str">
        <f>LEFT(AF590,1)</f>
        <v>B</v>
      </c>
      <c r="AJ590" t="str">
        <f>LEFT(M590,1)</f>
        <v>M</v>
      </c>
      <c r="AK590" t="str">
        <f>_xlfn.CONCAT(AG590,AH590,AI590,AJ590)</f>
        <v>CMBM</v>
      </c>
    </row>
    <row r="591" spans="1:37" ht="15.75" hidden="1" customHeight="1" x14ac:dyDescent="0.2">
      <c r="A591" s="1">
        <v>236402</v>
      </c>
      <c r="B591" s="1" t="s">
        <v>319</v>
      </c>
      <c r="C591" s="1" t="s">
        <v>1989</v>
      </c>
      <c r="D591" s="1" t="s">
        <v>3060</v>
      </c>
      <c r="E591" s="1" t="s">
        <v>710</v>
      </c>
      <c r="F591" s="1" t="s">
        <v>37</v>
      </c>
      <c r="G591" s="1" t="s">
        <v>3061</v>
      </c>
      <c r="H591" s="1">
        <v>2857</v>
      </c>
      <c r="I591" s="1" t="s">
        <v>3062</v>
      </c>
      <c r="J591" s="1">
        <v>2765</v>
      </c>
      <c r="K591" s="1" t="s">
        <v>49</v>
      </c>
      <c r="L591" s="1">
        <v>43</v>
      </c>
      <c r="M591" s="1" t="str">
        <f>IF(L591&lt;=45,"Joven","Mayor")</f>
        <v>Joven</v>
      </c>
      <c r="N591" s="1">
        <v>52</v>
      </c>
      <c r="O591" s="1" t="s">
        <v>50</v>
      </c>
      <c r="P591" s="1">
        <v>0.38600000000000001</v>
      </c>
      <c r="Q591" s="1">
        <v>89.927999999999997</v>
      </c>
      <c r="R591" s="1">
        <v>-5.6409855000000002</v>
      </c>
      <c r="S591" s="1">
        <v>3.2308184999999998</v>
      </c>
      <c r="T591" s="1">
        <v>9.1967639999999999</v>
      </c>
      <c r="U591" s="1">
        <v>3.3420000000000001</v>
      </c>
      <c r="V591" s="1">
        <v>101</v>
      </c>
      <c r="W591" s="1">
        <v>164</v>
      </c>
      <c r="X591" s="1">
        <v>1.6237623762376239</v>
      </c>
      <c r="Y591" s="1">
        <v>115</v>
      </c>
      <c r="Z591" s="1">
        <v>164</v>
      </c>
      <c r="AA591" s="1">
        <v>1.4260869565217391</v>
      </c>
      <c r="AB591" s="1">
        <v>108.0125972596841</v>
      </c>
      <c r="AC591" s="1">
        <v>166.0472894313007</v>
      </c>
      <c r="AD591" s="1">
        <v>1.5372955899957621</v>
      </c>
      <c r="AE591" t="s">
        <v>4817</v>
      </c>
      <c r="AF591" t="str">
        <f>IF(X591&lt;$AF$1,"Bajo","Alto")</f>
        <v>Bajo</v>
      </c>
      <c r="AG591" t="str">
        <f>LEFT(AE591,1)</f>
        <v>C</v>
      </c>
      <c r="AH591" t="str">
        <f>K591</f>
        <v>F</v>
      </c>
      <c r="AI591" t="str">
        <f>LEFT(AF591,1)</f>
        <v>B</v>
      </c>
      <c r="AJ591" t="str">
        <f>LEFT(M591,1)</f>
        <v>J</v>
      </c>
      <c r="AK591" t="str">
        <f>_xlfn.CONCAT(AG591,AH591,AI591,AJ591)</f>
        <v>CFBJ</v>
      </c>
    </row>
    <row r="592" spans="1:37" ht="15.75" hidden="1" customHeight="1" x14ac:dyDescent="0.2">
      <c r="A592" s="1">
        <v>292506</v>
      </c>
      <c r="B592" s="1" t="s">
        <v>3890</v>
      </c>
      <c r="C592" s="1" t="s">
        <v>1695</v>
      </c>
      <c r="D592" s="1" t="s">
        <v>3979</v>
      </c>
      <c r="E592" s="1" t="s">
        <v>821</v>
      </c>
      <c r="F592" s="1" t="s">
        <v>88</v>
      </c>
      <c r="G592" s="1" t="s">
        <v>3983</v>
      </c>
      <c r="H592" s="1">
        <v>3668</v>
      </c>
      <c r="I592" s="1" t="s">
        <v>134</v>
      </c>
      <c r="J592" s="1">
        <v>8</v>
      </c>
      <c r="K592" s="1" t="s">
        <v>35</v>
      </c>
      <c r="L592" s="1">
        <v>62</v>
      </c>
      <c r="M592" s="1" t="str">
        <f>IF(L592&lt;=45,"Joven","Mayor")</f>
        <v>Mayor</v>
      </c>
      <c r="N592" s="1">
        <v>63</v>
      </c>
      <c r="O592" s="1" t="s">
        <v>36</v>
      </c>
      <c r="P592" s="1">
        <v>0.38800000000000001</v>
      </c>
      <c r="Q592" s="1">
        <v>92.879000000000005</v>
      </c>
      <c r="R592" s="1">
        <v>-0.16175254</v>
      </c>
      <c r="S592" s="1">
        <v>-8.0061199999999992</v>
      </c>
      <c r="T592" s="1">
        <v>0.71937704000000002</v>
      </c>
      <c r="U592" s="1">
        <v>1.4610000000000001</v>
      </c>
      <c r="V592" s="1">
        <v>80</v>
      </c>
      <c r="W592" s="1">
        <v>155</v>
      </c>
      <c r="X592" s="1">
        <v>1.9375</v>
      </c>
      <c r="Y592" s="1">
        <v>83</v>
      </c>
      <c r="Z592" s="1">
        <v>155</v>
      </c>
      <c r="AA592" s="1">
        <v>1.8674698795180722</v>
      </c>
      <c r="AB592" s="1">
        <v>82.516361618594829</v>
      </c>
      <c r="AC592" s="1">
        <v>155.0380036917395</v>
      </c>
      <c r="AD592" s="1">
        <v>1.8788759059488407</v>
      </c>
      <c r="AE592" t="s">
        <v>4817</v>
      </c>
      <c r="AF592" t="str">
        <f>IF(X592&lt;$AF$1,"Bajo","Alto")</f>
        <v>Alto</v>
      </c>
      <c r="AG592" t="str">
        <f>LEFT(AE592,1)</f>
        <v>C</v>
      </c>
      <c r="AH592" t="str">
        <f>K592</f>
        <v>M</v>
      </c>
      <c r="AI592" t="str">
        <f>LEFT(AF592,1)</f>
        <v>A</v>
      </c>
      <c r="AJ592" t="str">
        <f>LEFT(M592,1)</f>
        <v>M</v>
      </c>
      <c r="AK592" t="str">
        <f>_xlfn.CONCAT(AG592,AH592,AI592,AJ592)</f>
        <v>CMAM</v>
      </c>
    </row>
    <row r="593" spans="1:37" ht="15.75" hidden="1" customHeight="1" x14ac:dyDescent="0.2">
      <c r="A593" s="1">
        <v>1093405</v>
      </c>
      <c r="B593" s="1" t="s">
        <v>719</v>
      </c>
      <c r="C593" s="1" t="s">
        <v>98</v>
      </c>
      <c r="D593" s="1" t="s">
        <v>1597</v>
      </c>
      <c r="E593" s="1" t="s">
        <v>634</v>
      </c>
      <c r="F593" s="1" t="s">
        <v>40</v>
      </c>
      <c r="G593" s="1" t="s">
        <v>1599</v>
      </c>
      <c r="H593" s="1">
        <v>5695</v>
      </c>
      <c r="I593" s="1" t="s">
        <v>134</v>
      </c>
      <c r="J593" s="1">
        <v>8</v>
      </c>
      <c r="K593" s="1" t="s">
        <v>35</v>
      </c>
      <c r="L593" s="1">
        <v>43</v>
      </c>
      <c r="M593" s="1" t="str">
        <f>IF(L593&lt;=45,"Joven","Mayor")</f>
        <v>Joven</v>
      </c>
      <c r="N593" s="1">
        <v>49</v>
      </c>
      <c r="O593" s="1" t="s">
        <v>36</v>
      </c>
      <c r="P593" s="1">
        <v>0.36099999999999999</v>
      </c>
      <c r="Q593" s="1">
        <v>79.905000000000001</v>
      </c>
      <c r="R593" s="1">
        <v>10.391223999999999</v>
      </c>
      <c r="S593" s="1">
        <v>2.9114214999999999</v>
      </c>
      <c r="T593" s="1">
        <v>-4.7028046000000003</v>
      </c>
      <c r="U593" s="1">
        <v>9.4009999999999998</v>
      </c>
      <c r="V593" s="1">
        <v>99</v>
      </c>
      <c r="W593" s="1">
        <v>193</v>
      </c>
      <c r="X593" s="1">
        <v>1.9494949494949494</v>
      </c>
      <c r="Y593" s="1">
        <v>106</v>
      </c>
      <c r="Z593" s="1">
        <v>193</v>
      </c>
      <c r="AA593" s="1">
        <v>1.820754716981132</v>
      </c>
      <c r="AB593" s="1">
        <v>103.42196712208511</v>
      </c>
      <c r="AC593" s="1">
        <v>193.170114265889</v>
      </c>
      <c r="AD593" s="1">
        <v>1.8677861158631814</v>
      </c>
      <c r="AE593" t="s">
        <v>4817</v>
      </c>
      <c r="AF593" t="str">
        <f>IF(X593&lt;$AF$1,"Bajo","Alto")</f>
        <v>Alto</v>
      </c>
      <c r="AG593" t="str">
        <f>LEFT(AE593,1)</f>
        <v>C</v>
      </c>
      <c r="AH593" t="str">
        <f>K593</f>
        <v>M</v>
      </c>
      <c r="AI593" t="str">
        <f>LEFT(AF593,1)</f>
        <v>A</v>
      </c>
      <c r="AJ593" t="str">
        <f>LEFT(M593,1)</f>
        <v>J</v>
      </c>
      <c r="AK593" t="str">
        <f>_xlfn.CONCAT(AG593,AH593,AI593,AJ593)</f>
        <v>CMAJ</v>
      </c>
    </row>
    <row r="594" spans="1:37" ht="15.75" hidden="1" customHeight="1" x14ac:dyDescent="0.2">
      <c r="A594" s="1">
        <v>10712703</v>
      </c>
      <c r="B594" s="1" t="s">
        <v>1067</v>
      </c>
      <c r="C594" s="1" t="s">
        <v>1068</v>
      </c>
      <c r="D594" s="1" t="s">
        <v>1119</v>
      </c>
      <c r="E594" s="1" t="s">
        <v>153</v>
      </c>
      <c r="F594" s="1" t="s">
        <v>63</v>
      </c>
      <c r="G594" s="1" t="s">
        <v>1122</v>
      </c>
      <c r="H594" s="1">
        <v>1017</v>
      </c>
      <c r="I594" s="1" t="s">
        <v>1123</v>
      </c>
      <c r="J594" s="1">
        <v>3201</v>
      </c>
      <c r="K594" s="1" t="s">
        <v>49</v>
      </c>
      <c r="L594" s="1">
        <v>36</v>
      </c>
      <c r="M594" s="1" t="str">
        <f>IF(L594&lt;=45,"Joven","Mayor")</f>
        <v>Joven</v>
      </c>
      <c r="N594" s="1">
        <v>33</v>
      </c>
      <c r="O594" s="1" t="s">
        <v>50</v>
      </c>
      <c r="P594" s="1">
        <v>9.6509999999999998</v>
      </c>
      <c r="Q594" s="1">
        <v>90.686000000000007</v>
      </c>
      <c r="R594" s="1">
        <v>0.41792390000000001</v>
      </c>
      <c r="S594" s="1">
        <v>5.2718996999999996</v>
      </c>
      <c r="T594" s="1">
        <v>3.8778472000000002</v>
      </c>
      <c r="U594" s="1">
        <v>45.247999999999998</v>
      </c>
      <c r="V594" s="1">
        <v>96</v>
      </c>
      <c r="W594" s="1">
        <v>156</v>
      </c>
      <c r="X594" s="1">
        <v>1.625</v>
      </c>
      <c r="Y594" s="1">
        <v>102</v>
      </c>
      <c r="Z594" s="1">
        <v>156</v>
      </c>
      <c r="AA594" s="1">
        <v>1.5294117647058822</v>
      </c>
      <c r="AB594" s="1">
        <v>98.993659960734021</v>
      </c>
      <c r="AC594" s="1">
        <v>156.04861550683239</v>
      </c>
      <c r="AD594" s="1">
        <v>1.5763495921731685</v>
      </c>
      <c r="AE594" t="s">
        <v>4817</v>
      </c>
      <c r="AF594" t="str">
        <f>IF(X594&lt;$AF$1,"Bajo","Alto")</f>
        <v>Bajo</v>
      </c>
      <c r="AG594" t="str">
        <f>LEFT(AE594,1)</f>
        <v>C</v>
      </c>
      <c r="AH594" t="str">
        <f>K594</f>
        <v>F</v>
      </c>
      <c r="AI594" t="str">
        <f>LEFT(AF594,1)</f>
        <v>B</v>
      </c>
      <c r="AJ594" t="str">
        <f>LEFT(M594,1)</f>
        <v>J</v>
      </c>
      <c r="AK594" t="str">
        <f>_xlfn.CONCAT(AG594,AH594,AI594,AJ594)</f>
        <v>CFBJ</v>
      </c>
    </row>
    <row r="595" spans="1:37" ht="15.75" hidden="1" customHeight="1" x14ac:dyDescent="0.2">
      <c r="A595" s="1">
        <v>194702</v>
      </c>
      <c r="B595" s="1" t="s">
        <v>2656</v>
      </c>
      <c r="C595" s="1" t="s">
        <v>323</v>
      </c>
      <c r="D595" s="1" t="s">
        <v>2734</v>
      </c>
      <c r="E595" s="1" t="s">
        <v>857</v>
      </c>
      <c r="F595" s="1" t="s">
        <v>37</v>
      </c>
      <c r="G595" s="1" t="s">
        <v>2735</v>
      </c>
      <c r="H595" s="1">
        <v>3879</v>
      </c>
      <c r="I595" s="1" t="s">
        <v>65</v>
      </c>
      <c r="J595" s="1">
        <v>2</v>
      </c>
      <c r="K595" s="1" t="s">
        <v>35</v>
      </c>
      <c r="L595" s="1">
        <v>48</v>
      </c>
      <c r="M595" s="1" t="str">
        <f>IF(L595&lt;=45,"Joven","Mayor")</f>
        <v>Mayor</v>
      </c>
      <c r="N595" s="1">
        <v>39</v>
      </c>
      <c r="O595" s="1" t="s">
        <v>36</v>
      </c>
      <c r="P595" s="1">
        <v>0.36799999999999999</v>
      </c>
      <c r="Q595" s="1">
        <v>92.632000000000005</v>
      </c>
      <c r="R595" s="1">
        <v>-3.6557639000000002</v>
      </c>
      <c r="S595" s="1">
        <v>-0.87732834000000004</v>
      </c>
      <c r="T595" s="1">
        <v>3.7356050000000001</v>
      </c>
      <c r="U595" s="1">
        <v>3.79</v>
      </c>
      <c r="V595" s="1">
        <v>79</v>
      </c>
      <c r="W595" s="1">
        <v>153</v>
      </c>
      <c r="X595" s="1">
        <v>1.9367088607594938</v>
      </c>
      <c r="Y595" s="1">
        <v>85</v>
      </c>
      <c r="Z595" s="1">
        <v>153</v>
      </c>
      <c r="AA595" s="1">
        <v>1.8</v>
      </c>
      <c r="AB595" s="1">
        <v>82.408762786091529</v>
      </c>
      <c r="AC595" s="1">
        <v>153.13099149107981</v>
      </c>
      <c r="AD595" s="1">
        <v>1.858188210986276</v>
      </c>
      <c r="AE595" t="s">
        <v>4817</v>
      </c>
      <c r="AF595" t="str">
        <f>IF(X595&lt;$AF$1,"Bajo","Alto")</f>
        <v>Alto</v>
      </c>
      <c r="AG595" t="str">
        <f>LEFT(AE595,1)</f>
        <v>C</v>
      </c>
      <c r="AH595" t="str">
        <f>K595</f>
        <v>M</v>
      </c>
      <c r="AI595" t="str">
        <f>LEFT(AF595,1)</f>
        <v>A</v>
      </c>
      <c r="AJ595" t="str">
        <f>LEFT(M595,1)</f>
        <v>M</v>
      </c>
      <c r="AK595" t="str">
        <f>_xlfn.CONCAT(AG595,AH595,AI595,AJ595)</f>
        <v>CMAM</v>
      </c>
    </row>
    <row r="596" spans="1:37" ht="15.75" hidden="1" customHeight="1" x14ac:dyDescent="0.2">
      <c r="A596" s="1">
        <v>319402</v>
      </c>
      <c r="B596" s="1" t="s">
        <v>4122</v>
      </c>
      <c r="C596" s="1" t="s">
        <v>628</v>
      </c>
      <c r="D596" s="1" t="s">
        <v>464</v>
      </c>
      <c r="E596" s="1" t="s">
        <v>775</v>
      </c>
      <c r="F596" s="1" t="s">
        <v>37</v>
      </c>
      <c r="G596" s="1" t="s">
        <v>4280</v>
      </c>
      <c r="H596" s="1">
        <v>5049</v>
      </c>
      <c r="I596" s="1" t="s">
        <v>65</v>
      </c>
      <c r="J596" s="1">
        <v>2</v>
      </c>
      <c r="K596" s="1" t="s">
        <v>35</v>
      </c>
      <c r="L596" s="1">
        <v>55</v>
      </c>
      <c r="M596" s="1" t="str">
        <f>IF(L596&lt;=45,"Joven","Mayor")</f>
        <v>Mayor</v>
      </c>
      <c r="N596" s="1">
        <v>51</v>
      </c>
      <c r="O596" s="1" t="s">
        <v>36</v>
      </c>
      <c r="P596" s="1">
        <v>0.45800000000000002</v>
      </c>
      <c r="Q596" s="1">
        <v>92.480999999999995</v>
      </c>
      <c r="R596" s="1">
        <v>2.6138031000000002</v>
      </c>
      <c r="S596" s="1">
        <v>4.6173650000000004</v>
      </c>
      <c r="T596" s="1">
        <v>-1.7646892000000001</v>
      </c>
      <c r="U596" s="1">
        <v>2.9729999999999999</v>
      </c>
      <c r="V596" s="1">
        <v>96</v>
      </c>
      <c r="W596" s="1">
        <v>152</v>
      </c>
      <c r="X596" s="1">
        <v>1.5833333333333333</v>
      </c>
      <c r="Y596" s="1">
        <v>96</v>
      </c>
      <c r="Z596" s="1">
        <v>152</v>
      </c>
      <c r="AA596" s="1">
        <v>1.5833333333333333</v>
      </c>
      <c r="AB596" s="1">
        <v>97.124671119475124</v>
      </c>
      <c r="AC596" s="1">
        <v>151.958705526843</v>
      </c>
      <c r="AD596" s="1">
        <v>1.564573694565363</v>
      </c>
      <c r="AE596" t="s">
        <v>4817</v>
      </c>
      <c r="AF596" t="str">
        <f>IF(X596&lt;$AF$1,"Bajo","Alto")</f>
        <v>Bajo</v>
      </c>
      <c r="AG596" t="str">
        <f>LEFT(AE596,1)</f>
        <v>C</v>
      </c>
      <c r="AH596" t="str">
        <f>K596</f>
        <v>M</v>
      </c>
      <c r="AI596" t="str">
        <f>LEFT(AF596,1)</f>
        <v>B</v>
      </c>
      <c r="AJ596" t="str">
        <f>LEFT(M596,1)</f>
        <v>M</v>
      </c>
      <c r="AK596" t="str">
        <f>_xlfn.CONCAT(AG596,AH596,AI596,AJ596)</f>
        <v>CMBM</v>
      </c>
    </row>
    <row r="597" spans="1:37" ht="15.75" hidden="1" customHeight="1" x14ac:dyDescent="0.2">
      <c r="A597" s="1">
        <v>298501</v>
      </c>
      <c r="B597" s="1" t="s">
        <v>3890</v>
      </c>
      <c r="C597" s="1" t="s">
        <v>1695</v>
      </c>
      <c r="D597" s="1" t="s">
        <v>4086</v>
      </c>
      <c r="E597" s="1" t="s">
        <v>755</v>
      </c>
      <c r="F597" s="1" t="s">
        <v>32</v>
      </c>
      <c r="G597" s="1" t="s">
        <v>4087</v>
      </c>
      <c r="H597" s="1">
        <v>642</v>
      </c>
      <c r="I597" s="1" t="s">
        <v>100</v>
      </c>
      <c r="J597" s="1">
        <v>1</v>
      </c>
      <c r="K597" s="1" t="s">
        <v>35</v>
      </c>
      <c r="L597" s="1">
        <v>39</v>
      </c>
      <c r="M597" s="1" t="str">
        <f>IF(L597&lt;=45,"Joven","Mayor")</f>
        <v>Joven</v>
      </c>
      <c r="N597" s="1">
        <v>42</v>
      </c>
      <c r="O597" s="1" t="s">
        <v>50</v>
      </c>
      <c r="P597" s="1">
        <v>0.35</v>
      </c>
      <c r="Q597" s="1">
        <v>83.293999999999997</v>
      </c>
      <c r="R597" s="1">
        <v>8.7470540000000003</v>
      </c>
      <c r="S597" s="1">
        <v>-5.2584624</v>
      </c>
      <c r="T597" s="1">
        <v>-5.7133919999999998</v>
      </c>
      <c r="U597" s="1">
        <v>51.393999999999998</v>
      </c>
      <c r="V597" s="1">
        <v>103</v>
      </c>
      <c r="W597" s="1">
        <v>166</v>
      </c>
      <c r="X597" s="1">
        <v>1.6116504854368932</v>
      </c>
      <c r="Y597" s="1">
        <v>104</v>
      </c>
      <c r="Z597" s="1">
        <v>166</v>
      </c>
      <c r="AA597" s="1">
        <v>1.5961538461538463</v>
      </c>
      <c r="AB597" s="1">
        <v>107.06773680645961</v>
      </c>
      <c r="AC597" s="1">
        <v>165.17536650264671</v>
      </c>
      <c r="AD597" s="1">
        <v>1.5427183895856977</v>
      </c>
      <c r="AE597" t="s">
        <v>4817</v>
      </c>
      <c r="AF597" t="str">
        <f>IF(X597&lt;$AF$1,"Bajo","Alto")</f>
        <v>Bajo</v>
      </c>
      <c r="AG597" t="str">
        <f>LEFT(AE597,1)</f>
        <v>C</v>
      </c>
      <c r="AH597" t="str">
        <f>K597</f>
        <v>M</v>
      </c>
      <c r="AI597" t="str">
        <f>LEFT(AF597,1)</f>
        <v>B</v>
      </c>
      <c r="AJ597" t="str">
        <f>LEFT(M597,1)</f>
        <v>J</v>
      </c>
      <c r="AK597" t="str">
        <f>_xlfn.CONCAT(AG597,AH597,AI597,AJ597)</f>
        <v>CMBJ</v>
      </c>
    </row>
    <row r="598" spans="1:37" ht="15.75" hidden="1" customHeight="1" x14ac:dyDescent="0.2">
      <c r="A598" s="1">
        <v>1076403</v>
      </c>
      <c r="B598" s="1" t="s">
        <v>1067</v>
      </c>
      <c r="C598" s="1" t="s">
        <v>1068</v>
      </c>
      <c r="D598" s="1" t="s">
        <v>1463</v>
      </c>
      <c r="E598" s="1" t="s">
        <v>710</v>
      </c>
      <c r="F598" s="1" t="s">
        <v>63</v>
      </c>
      <c r="G598" s="1" t="s">
        <v>1466</v>
      </c>
      <c r="H598" s="1">
        <v>660</v>
      </c>
      <c r="I598" s="1" t="s">
        <v>134</v>
      </c>
      <c r="J598" s="1">
        <v>8</v>
      </c>
      <c r="K598" s="1" t="s">
        <v>35</v>
      </c>
      <c r="L598" s="1">
        <v>45</v>
      </c>
      <c r="M598" s="1" t="str">
        <f>IF(L598&lt;=45,"Joven","Mayor")</f>
        <v>Joven</v>
      </c>
      <c r="N598" s="1">
        <v>52</v>
      </c>
      <c r="O598" s="1" t="s">
        <v>36</v>
      </c>
      <c r="P598" s="1">
        <v>0.35399999999999998</v>
      </c>
      <c r="Q598" s="1">
        <v>87.921999999999997</v>
      </c>
      <c r="R598" s="1">
        <v>6.5938581999999997</v>
      </c>
      <c r="S598" s="1">
        <v>4.815442</v>
      </c>
      <c r="T598" s="1">
        <v>-1.9766520000000001</v>
      </c>
      <c r="U598" s="1">
        <v>3.2810000000000001</v>
      </c>
      <c r="V598" s="1">
        <v>93</v>
      </c>
      <c r="W598" s="1">
        <v>150</v>
      </c>
      <c r="X598" s="1">
        <v>1.6129032258064515</v>
      </c>
      <c r="Y598" s="1">
        <v>96</v>
      </c>
      <c r="Z598" s="1">
        <v>150</v>
      </c>
      <c r="AA598" s="1">
        <v>1.5625</v>
      </c>
      <c r="AB598" s="1">
        <v>97.150105184821314</v>
      </c>
      <c r="AC598" s="1">
        <v>149.73828362228639</v>
      </c>
      <c r="AD598" s="1">
        <v>1.5413085074629587</v>
      </c>
      <c r="AE598" t="s">
        <v>4817</v>
      </c>
      <c r="AF598" t="str">
        <f>IF(X598&lt;$AF$1,"Bajo","Alto")</f>
        <v>Bajo</v>
      </c>
      <c r="AG598" t="str">
        <f>LEFT(AE598,1)</f>
        <v>C</v>
      </c>
      <c r="AH598" t="str">
        <f>K598</f>
        <v>M</v>
      </c>
      <c r="AI598" t="str">
        <f>LEFT(AF598,1)</f>
        <v>B</v>
      </c>
      <c r="AJ598" t="str">
        <f>LEFT(M598,1)</f>
        <v>J</v>
      </c>
      <c r="AK598" t="str">
        <f>_xlfn.CONCAT(AG598,AH598,AI598,AJ598)</f>
        <v>CMBJ</v>
      </c>
    </row>
    <row r="599" spans="1:37" ht="15.75" hidden="1" customHeight="1" x14ac:dyDescent="0.2">
      <c r="A599" s="1">
        <v>10731604</v>
      </c>
      <c r="B599" s="1" t="s">
        <v>1067</v>
      </c>
      <c r="C599" s="1" t="s">
        <v>1068</v>
      </c>
      <c r="D599" s="1" t="s">
        <v>1394</v>
      </c>
      <c r="E599" s="1" t="s">
        <v>1395</v>
      </c>
      <c r="F599" s="1" t="s">
        <v>61</v>
      </c>
      <c r="G599" s="1" t="s">
        <v>1398</v>
      </c>
      <c r="H599" s="1">
        <v>1407</v>
      </c>
      <c r="I599" s="1" t="s">
        <v>1035</v>
      </c>
      <c r="J599" s="1">
        <v>3586</v>
      </c>
      <c r="K599" s="1" t="s">
        <v>35</v>
      </c>
      <c r="L599" s="1">
        <v>31</v>
      </c>
      <c r="M599" s="1" t="str">
        <f>IF(L599&lt;=45,"Joven","Mayor")</f>
        <v>Joven</v>
      </c>
      <c r="N599" s="1">
        <v>31</v>
      </c>
      <c r="O599" s="1" t="s">
        <v>36</v>
      </c>
      <c r="P599" s="1">
        <v>0.38500000000000001</v>
      </c>
      <c r="Q599" s="1">
        <v>92.921999999999997</v>
      </c>
      <c r="R599" s="1">
        <v>3.2988088000000002</v>
      </c>
      <c r="S599" s="1">
        <v>0.82721615000000004</v>
      </c>
      <c r="T599" s="1">
        <v>-5.2919530000000004</v>
      </c>
      <c r="U599" s="1">
        <v>7.8369999999999997</v>
      </c>
      <c r="V599" s="1">
        <v>75</v>
      </c>
      <c r="W599" s="1">
        <v>121</v>
      </c>
      <c r="X599" s="1">
        <v>1.6133333333333333</v>
      </c>
      <c r="Y599" s="1">
        <v>79</v>
      </c>
      <c r="Z599" s="1">
        <v>121</v>
      </c>
      <c r="AA599" s="1">
        <v>1.5316455696202531</v>
      </c>
      <c r="AB599" s="1">
        <v>78.185092745767633</v>
      </c>
      <c r="AC599" s="1">
        <v>121.4987951856556</v>
      </c>
      <c r="AD599" s="1">
        <v>1.5539892698053064</v>
      </c>
      <c r="AE599" t="s">
        <v>4817</v>
      </c>
      <c r="AF599" t="str">
        <f>IF(X599&lt;$AF$1,"Bajo","Alto")</f>
        <v>Bajo</v>
      </c>
      <c r="AG599" t="str">
        <f>LEFT(AE599,1)</f>
        <v>C</v>
      </c>
      <c r="AH599" t="str">
        <f>K599</f>
        <v>M</v>
      </c>
      <c r="AI599" t="str">
        <f>LEFT(AF599,1)</f>
        <v>B</v>
      </c>
      <c r="AJ599" t="str">
        <f>LEFT(M599,1)</f>
        <v>J</v>
      </c>
      <c r="AK599" t="str">
        <f>_xlfn.CONCAT(AG599,AH599,AI599,AJ599)</f>
        <v>CMBJ</v>
      </c>
    </row>
    <row r="600" spans="1:37" ht="15.75" hidden="1" customHeight="1" x14ac:dyDescent="0.2">
      <c r="A600" s="1">
        <v>10724802</v>
      </c>
      <c r="B600" s="1" t="s">
        <v>1067</v>
      </c>
      <c r="C600" s="1" t="s">
        <v>1068</v>
      </c>
      <c r="D600" s="1" t="s">
        <v>1274</v>
      </c>
      <c r="E600" s="1" t="s">
        <v>1275</v>
      </c>
      <c r="F600" s="1" t="s">
        <v>37</v>
      </c>
      <c r="G600" s="1" t="s">
        <v>1277</v>
      </c>
      <c r="H600" s="1">
        <v>53</v>
      </c>
      <c r="I600" s="1" t="s">
        <v>39</v>
      </c>
      <c r="J600" s="1">
        <v>11</v>
      </c>
      <c r="K600" s="1" t="s">
        <v>35</v>
      </c>
      <c r="L600" s="1">
        <v>29</v>
      </c>
      <c r="M600" s="1" t="str">
        <f>IF(L600&lt;=45,"Joven","Mayor")</f>
        <v>Joven</v>
      </c>
      <c r="N600" s="1">
        <v>37</v>
      </c>
      <c r="O600" s="1" t="s">
        <v>36</v>
      </c>
      <c r="P600" s="1">
        <v>0.376</v>
      </c>
      <c r="Q600" s="1">
        <v>88.965000000000003</v>
      </c>
      <c r="R600" s="1">
        <v>4.596247</v>
      </c>
      <c r="S600" s="1">
        <v>8.2835699999999992</v>
      </c>
      <c r="T600" s="1">
        <v>-1.8233478999999999</v>
      </c>
      <c r="U600" s="1">
        <v>3.246</v>
      </c>
      <c r="V600" s="1">
        <v>127</v>
      </c>
      <c r="W600" s="1">
        <v>207</v>
      </c>
      <c r="X600" s="1">
        <v>1.6299212598425197</v>
      </c>
      <c r="Y600" s="1">
        <v>131</v>
      </c>
      <c r="Z600" s="1">
        <v>207</v>
      </c>
      <c r="AA600" s="1">
        <v>1.5801526717557253</v>
      </c>
      <c r="AB600" s="1">
        <v>132.58821052307579</v>
      </c>
      <c r="AC600" s="1">
        <v>206.5770107252265</v>
      </c>
      <c r="AD600" s="1">
        <v>1.5580345334645995</v>
      </c>
      <c r="AE600" t="s">
        <v>4816</v>
      </c>
      <c r="AF600" t="str">
        <f>IF(X600&lt;$AF$1,"Bajo","Alto")</f>
        <v>Bajo</v>
      </c>
      <c r="AG600" t="str">
        <f>LEFT(AE600,1)</f>
        <v>D</v>
      </c>
      <c r="AH600" t="str">
        <f>K600</f>
        <v>M</v>
      </c>
      <c r="AI600" t="str">
        <f>LEFT(AF600,1)</f>
        <v>B</v>
      </c>
      <c r="AJ600" t="str">
        <f>LEFT(M600,1)</f>
        <v>J</v>
      </c>
      <c r="AK600" t="str">
        <f>_xlfn.CONCAT(AG600,AH600,AI600,AJ600)</f>
        <v>DMBJ</v>
      </c>
    </row>
    <row r="601" spans="1:37" ht="15.75" hidden="1" customHeight="1" x14ac:dyDescent="0.2">
      <c r="A601" s="1">
        <v>297304</v>
      </c>
      <c r="B601" s="1" t="s">
        <v>3890</v>
      </c>
      <c r="C601" s="1" t="s">
        <v>1695</v>
      </c>
      <c r="D601" s="1" t="s">
        <v>4055</v>
      </c>
      <c r="E601" s="1" t="s">
        <v>1021</v>
      </c>
      <c r="F601" s="1" t="s">
        <v>61</v>
      </c>
      <c r="G601" s="1" t="s">
        <v>4059</v>
      </c>
      <c r="H601" s="1">
        <v>5824</v>
      </c>
      <c r="I601" s="1" t="s">
        <v>65</v>
      </c>
      <c r="J601" s="1">
        <v>2</v>
      </c>
      <c r="K601" s="1" t="s">
        <v>35</v>
      </c>
      <c r="L601" s="1">
        <v>41</v>
      </c>
      <c r="M601" s="1" t="str">
        <f>IF(L601&lt;=45,"Joven","Mayor")</f>
        <v>Joven</v>
      </c>
      <c r="N601" s="1">
        <v>41</v>
      </c>
      <c r="O601" s="1" t="s">
        <v>36</v>
      </c>
      <c r="P601" s="1">
        <v>0.32700000000000001</v>
      </c>
      <c r="Q601" s="1">
        <v>92.662000000000006</v>
      </c>
      <c r="R601" s="1">
        <v>2.2061033000000001</v>
      </c>
      <c r="S601" s="1">
        <v>-5.1104539999999998</v>
      </c>
      <c r="T601" s="1">
        <v>4.0857549999999999E-2</v>
      </c>
      <c r="U601" s="1">
        <v>33.792999999999999</v>
      </c>
      <c r="V601" s="1">
        <v>119</v>
      </c>
      <c r="W601" s="1">
        <v>192</v>
      </c>
      <c r="X601" s="1">
        <v>1.6134453781512605</v>
      </c>
      <c r="Y601" s="1">
        <v>119</v>
      </c>
      <c r="Z601" s="1">
        <v>192</v>
      </c>
      <c r="AA601" s="1">
        <v>1.6134453781512605</v>
      </c>
      <c r="AB601" s="1">
        <v>119.0313460869647</v>
      </c>
      <c r="AC601" s="1">
        <v>191.99781188692171</v>
      </c>
      <c r="AD601" s="1">
        <v>1.6130021057364794</v>
      </c>
      <c r="AE601" t="s">
        <v>4817</v>
      </c>
      <c r="AF601" t="str">
        <f>IF(X601&lt;$AF$1,"Bajo","Alto")</f>
        <v>Bajo</v>
      </c>
      <c r="AG601" t="str">
        <f>LEFT(AE601,1)</f>
        <v>C</v>
      </c>
      <c r="AH601" t="str">
        <f>K601</f>
        <v>M</v>
      </c>
      <c r="AI601" t="str">
        <f>LEFT(AF601,1)</f>
        <v>B</v>
      </c>
      <c r="AJ601" t="str">
        <f>LEFT(M601,1)</f>
        <v>J</v>
      </c>
      <c r="AK601" t="str">
        <f>_xlfn.CONCAT(AG601,AH601,AI601,AJ601)</f>
        <v>CMBJ</v>
      </c>
    </row>
    <row r="602" spans="1:37" ht="15.75" hidden="1" customHeight="1" x14ac:dyDescent="0.2">
      <c r="A602" s="1">
        <v>1510901</v>
      </c>
      <c r="B602" s="1" t="s">
        <v>2077</v>
      </c>
      <c r="C602" s="1" t="s">
        <v>57</v>
      </c>
      <c r="D602" s="1" t="s">
        <v>2110</v>
      </c>
      <c r="E602" s="1" t="s">
        <v>98</v>
      </c>
      <c r="F602" s="1" t="s">
        <v>32</v>
      </c>
      <c r="G602" s="1" t="s">
        <v>2111</v>
      </c>
      <c r="H602" s="1">
        <v>2870</v>
      </c>
      <c r="I602" s="1" t="s">
        <v>100</v>
      </c>
      <c r="J602" s="1">
        <v>1</v>
      </c>
      <c r="K602" s="1" t="s">
        <v>35</v>
      </c>
      <c r="L602" s="1">
        <v>46</v>
      </c>
      <c r="M602" s="1" t="str">
        <f>IF(L602&lt;=45,"Joven","Mayor")</f>
        <v>Mayor</v>
      </c>
      <c r="N602" s="1">
        <v>42</v>
      </c>
      <c r="O602" s="1" t="s">
        <v>36</v>
      </c>
      <c r="P602" s="1">
        <v>0.32300000000000001</v>
      </c>
      <c r="Q602" s="1">
        <v>8.4659999999999993</v>
      </c>
      <c r="R602" s="1">
        <v>21.970098</v>
      </c>
      <c r="S602" s="1">
        <v>-4.602633</v>
      </c>
      <c r="T602" s="1">
        <v>0.72572890000000001</v>
      </c>
      <c r="U602" s="1">
        <v>2.6850000000000001</v>
      </c>
      <c r="V602" s="1">
        <v>110</v>
      </c>
      <c r="W602" s="1">
        <v>213</v>
      </c>
      <c r="X602" s="1">
        <v>1.9363636363636363</v>
      </c>
      <c r="Y602" s="1">
        <v>121</v>
      </c>
      <c r="Z602" s="1">
        <v>213</v>
      </c>
      <c r="AA602" s="1">
        <v>1.7603305785123966</v>
      </c>
      <c r="AB602" s="1">
        <v>120.5596490295911</v>
      </c>
      <c r="AC602" s="1">
        <v>213.41355840894039</v>
      </c>
      <c r="AD602" s="1">
        <v>1.7701906079417875</v>
      </c>
      <c r="AE602" t="s">
        <v>4817</v>
      </c>
      <c r="AF602" t="str">
        <f>IF(X602&lt;$AF$1,"Bajo","Alto")</f>
        <v>Alto</v>
      </c>
      <c r="AG602" t="str">
        <f>LEFT(AE602,1)</f>
        <v>C</v>
      </c>
      <c r="AH602" t="str">
        <f>K602</f>
        <v>M</v>
      </c>
      <c r="AI602" t="str">
        <f>LEFT(AF602,1)</f>
        <v>A</v>
      </c>
      <c r="AJ602" t="str">
        <f>LEFT(M602,1)</f>
        <v>M</v>
      </c>
      <c r="AK602" t="str">
        <f>_xlfn.CONCAT(AG602,AH602,AI602,AJ602)</f>
        <v>CMAM</v>
      </c>
    </row>
    <row r="603" spans="1:37" ht="15.75" hidden="1" customHeight="1" x14ac:dyDescent="0.2">
      <c r="A603" s="1">
        <v>720203</v>
      </c>
      <c r="B603" s="1" t="s">
        <v>4798</v>
      </c>
      <c r="C603" s="1" t="s">
        <v>1016</v>
      </c>
      <c r="D603" s="1" t="s">
        <v>4804</v>
      </c>
      <c r="E603" s="1" t="s">
        <v>37</v>
      </c>
      <c r="F603" s="1" t="s">
        <v>63</v>
      </c>
      <c r="G603" s="1" t="s">
        <v>4806</v>
      </c>
      <c r="H603" s="1">
        <v>872</v>
      </c>
      <c r="I603" s="1" t="s">
        <v>4807</v>
      </c>
      <c r="J603" s="1">
        <v>3202</v>
      </c>
      <c r="K603" s="1" t="s">
        <v>35</v>
      </c>
      <c r="L603" s="1">
        <v>40</v>
      </c>
      <c r="M603" s="1" t="str">
        <f>IF(L603&lt;=45,"Joven","Mayor")</f>
        <v>Joven</v>
      </c>
      <c r="N603" s="1">
        <v>47</v>
      </c>
      <c r="O603" s="1" t="s">
        <v>36</v>
      </c>
      <c r="P603" s="1">
        <v>0.35799999999999998</v>
      </c>
      <c r="Q603" s="1">
        <v>94.605000000000004</v>
      </c>
      <c r="R603" s="1">
        <v>-1.4624287999999999E-2</v>
      </c>
      <c r="S603" s="1">
        <v>2.0429564</v>
      </c>
      <c r="T603" s="1">
        <v>-7.0455585000000003</v>
      </c>
      <c r="U603" s="1">
        <v>35.987000000000002</v>
      </c>
      <c r="V603" s="1">
        <v>99</v>
      </c>
      <c r="W603" s="1">
        <v>193</v>
      </c>
      <c r="X603" s="1">
        <v>1.9494949494949494</v>
      </c>
      <c r="Y603" s="1">
        <v>108</v>
      </c>
      <c r="Z603" s="1">
        <v>193</v>
      </c>
      <c r="AA603" s="1">
        <v>1.787037037037037</v>
      </c>
      <c r="AB603" s="1">
        <v>105.4892973638421</v>
      </c>
      <c r="AC603" s="1">
        <v>193.62783916141279</v>
      </c>
      <c r="AD603" s="1">
        <v>1.8355211760826591</v>
      </c>
      <c r="AE603" t="s">
        <v>4817</v>
      </c>
      <c r="AF603" t="str">
        <f>IF(X603&lt;$AF$1,"Bajo","Alto")</f>
        <v>Alto</v>
      </c>
      <c r="AG603" t="str">
        <f>LEFT(AE603,1)</f>
        <v>C</v>
      </c>
      <c r="AH603" t="str">
        <f>K603</f>
        <v>M</v>
      </c>
      <c r="AI603" t="str">
        <f>LEFT(AF603,1)</f>
        <v>A</v>
      </c>
      <c r="AJ603" t="str">
        <f>LEFT(M603,1)</f>
        <v>J</v>
      </c>
      <c r="AK603" t="str">
        <f>_xlfn.CONCAT(AG603,AH603,AI603,AJ603)</f>
        <v>CMAJ</v>
      </c>
    </row>
    <row r="604" spans="1:37" ht="15.75" hidden="1" customHeight="1" x14ac:dyDescent="0.2">
      <c r="A604" s="1">
        <v>172707</v>
      </c>
      <c r="B604" s="1" t="s">
        <v>2551</v>
      </c>
      <c r="C604" s="1" t="s">
        <v>2552</v>
      </c>
      <c r="D604" s="1" t="s">
        <v>2610</v>
      </c>
      <c r="E604" s="1" t="s">
        <v>973</v>
      </c>
      <c r="F604" s="1" t="s">
        <v>43</v>
      </c>
      <c r="G604" s="1" t="s">
        <v>2611</v>
      </c>
      <c r="H604" s="1">
        <v>782</v>
      </c>
      <c r="I604" s="1" t="s">
        <v>73</v>
      </c>
      <c r="J604" s="1">
        <v>5</v>
      </c>
      <c r="K604" s="1" t="s">
        <v>49</v>
      </c>
      <c r="L604" s="1">
        <v>40</v>
      </c>
      <c r="M604" s="1" t="str">
        <f>IF(L604&lt;=45,"Joven","Mayor")</f>
        <v>Joven</v>
      </c>
      <c r="N604" s="1">
        <v>40</v>
      </c>
      <c r="O604" s="1" t="s">
        <v>50</v>
      </c>
      <c r="P604" s="1">
        <v>0.17399999999999999</v>
      </c>
      <c r="Q604" s="1">
        <v>44.960999999999999</v>
      </c>
      <c r="R604" s="1">
        <v>16.690253999999999</v>
      </c>
      <c r="S604" s="1">
        <v>1.6041639000000001</v>
      </c>
      <c r="T604" s="1">
        <v>-17.309225000000001</v>
      </c>
      <c r="U604" s="1">
        <v>4.1829999999999998</v>
      </c>
      <c r="V604" s="1">
        <v>76</v>
      </c>
      <c r="W604" s="1">
        <v>149</v>
      </c>
      <c r="X604" s="1">
        <v>1.9605263157894737</v>
      </c>
      <c r="Y604" s="1">
        <v>95</v>
      </c>
      <c r="Z604" s="1">
        <v>149</v>
      </c>
      <c r="AA604" s="1">
        <v>1.5684210526315789</v>
      </c>
      <c r="AB604" s="1">
        <v>87.434610644822669</v>
      </c>
      <c r="AC604" s="1">
        <v>150.58302386769671</v>
      </c>
      <c r="AD604" s="1">
        <v>1.7222358829891271</v>
      </c>
      <c r="AE604" t="s">
        <v>4817</v>
      </c>
      <c r="AF604" t="str">
        <f>IF(X604&lt;$AF$1,"Bajo","Alto")</f>
        <v>Alto</v>
      </c>
      <c r="AG604" t="str">
        <f>LEFT(AE604,1)</f>
        <v>C</v>
      </c>
      <c r="AH604" t="str">
        <f>K604</f>
        <v>F</v>
      </c>
      <c r="AI604" t="str">
        <f>LEFT(AF604,1)</f>
        <v>A</v>
      </c>
      <c r="AJ604" t="str">
        <f>LEFT(M604,1)</f>
        <v>J</v>
      </c>
      <c r="AK604" t="str">
        <f>_xlfn.CONCAT(AG604,AH604,AI604,AJ604)</f>
        <v>CFAJ</v>
      </c>
    </row>
    <row r="605" spans="1:37" ht="15.75" hidden="1" customHeight="1" x14ac:dyDescent="0.2">
      <c r="A605" s="1">
        <v>10122902</v>
      </c>
      <c r="B605" s="1" t="s">
        <v>29</v>
      </c>
      <c r="C605" s="1" t="s">
        <v>30</v>
      </c>
      <c r="D605" s="1" t="s">
        <v>442</v>
      </c>
      <c r="E605" s="1" t="s">
        <v>443</v>
      </c>
      <c r="F605" s="1" t="s">
        <v>37</v>
      </c>
      <c r="G605" s="1" t="s">
        <v>445</v>
      </c>
      <c r="H605" s="1">
        <v>3981</v>
      </c>
      <c r="I605" s="1" t="s">
        <v>446</v>
      </c>
      <c r="J605" s="1">
        <v>3044</v>
      </c>
      <c r="K605" s="1" t="s">
        <v>35</v>
      </c>
      <c r="L605" s="1">
        <v>42</v>
      </c>
      <c r="M605" s="1" t="str">
        <f>IF(L605&lt;=45,"Joven","Mayor")</f>
        <v>Joven</v>
      </c>
      <c r="N605" s="1">
        <v>44</v>
      </c>
      <c r="O605" s="1" t="s">
        <v>36</v>
      </c>
      <c r="P605" s="1">
        <v>0.19800000000000001</v>
      </c>
      <c r="Q605" s="1">
        <v>83.984999999999999</v>
      </c>
      <c r="R605" s="1">
        <v>-8.5812059999999999</v>
      </c>
      <c r="S605" s="1">
        <v>4.9116206</v>
      </c>
      <c r="T605" s="1">
        <v>-4.1427773999999999</v>
      </c>
      <c r="U605" s="1">
        <v>33.151000000000003</v>
      </c>
      <c r="V605" s="1">
        <v>70</v>
      </c>
      <c r="W605" s="1">
        <v>113</v>
      </c>
      <c r="X605" s="1">
        <v>1.6142857142857143</v>
      </c>
      <c r="Y605" s="1">
        <v>70</v>
      </c>
      <c r="Z605" s="1">
        <v>113</v>
      </c>
      <c r="AA605" s="1">
        <v>1.6142857142857143</v>
      </c>
      <c r="AB605" s="1">
        <v>72.12884655653852</v>
      </c>
      <c r="AC605" s="1">
        <v>112.7769871867381</v>
      </c>
      <c r="AD605" s="1">
        <v>1.563549017775258</v>
      </c>
      <c r="AE605" t="s">
        <v>4817</v>
      </c>
      <c r="AF605" t="str">
        <f>IF(X605&lt;$AF$1,"Bajo","Alto")</f>
        <v>Bajo</v>
      </c>
      <c r="AG605" t="str">
        <f>LEFT(AE605,1)</f>
        <v>C</v>
      </c>
      <c r="AH605" t="str">
        <f>K605</f>
        <v>M</v>
      </c>
      <c r="AI605" t="str">
        <f>LEFT(AF605,1)</f>
        <v>B</v>
      </c>
      <c r="AJ605" t="str">
        <f>LEFT(M605,1)</f>
        <v>J</v>
      </c>
      <c r="AK605" t="str">
        <f>_xlfn.CONCAT(AG605,AH605,AI605,AJ605)</f>
        <v>CMBJ</v>
      </c>
    </row>
    <row r="606" spans="1:37" ht="15.75" hidden="1" customHeight="1" x14ac:dyDescent="0.2">
      <c r="A606" s="1">
        <v>194303</v>
      </c>
      <c r="B606" s="1" t="s">
        <v>2656</v>
      </c>
      <c r="C606" s="1" t="s">
        <v>323</v>
      </c>
      <c r="D606" s="1" t="s">
        <v>2722</v>
      </c>
      <c r="E606" s="1" t="s">
        <v>665</v>
      </c>
      <c r="F606" s="1" t="s">
        <v>63</v>
      </c>
      <c r="G606" s="1" t="s">
        <v>2725</v>
      </c>
      <c r="H606" s="1">
        <v>1395</v>
      </c>
      <c r="I606" s="1" t="s">
        <v>39</v>
      </c>
      <c r="J606" s="1">
        <v>11</v>
      </c>
      <c r="K606" s="1" t="s">
        <v>35</v>
      </c>
      <c r="L606" s="1">
        <v>39</v>
      </c>
      <c r="M606" s="1" t="str">
        <f>IF(L606&lt;=45,"Joven","Mayor")</f>
        <v>Joven</v>
      </c>
      <c r="N606" s="1">
        <v>31</v>
      </c>
      <c r="O606" s="1" t="s">
        <v>36</v>
      </c>
      <c r="P606" s="1">
        <v>0.312</v>
      </c>
      <c r="Q606" s="1">
        <v>89.29</v>
      </c>
      <c r="R606" s="1">
        <v>5.0469746999999998</v>
      </c>
      <c r="S606" s="1">
        <v>6.6761955999999998</v>
      </c>
      <c r="T606" s="1">
        <v>-3.7326704999999998</v>
      </c>
      <c r="U606" s="1">
        <v>3.145</v>
      </c>
      <c r="V606" s="1">
        <v>103</v>
      </c>
      <c r="W606" s="1">
        <v>168</v>
      </c>
      <c r="X606" s="1">
        <v>1.6310679611650485</v>
      </c>
      <c r="Y606" s="1">
        <v>104</v>
      </c>
      <c r="Z606" s="1">
        <v>168</v>
      </c>
      <c r="AA606" s="1">
        <v>1.6153846153846154</v>
      </c>
      <c r="AB606" s="1">
        <v>105.71106116432679</v>
      </c>
      <c r="AC606" s="1">
        <v>167.8389186998547</v>
      </c>
      <c r="AD606" s="1">
        <v>1.5877138764026857</v>
      </c>
      <c r="AE606" t="s">
        <v>4816</v>
      </c>
      <c r="AF606" t="str">
        <f>IF(X606&lt;$AF$1,"Bajo","Alto")</f>
        <v>Bajo</v>
      </c>
      <c r="AG606" t="str">
        <f>LEFT(AE606,1)</f>
        <v>D</v>
      </c>
      <c r="AH606" t="str">
        <f>K606</f>
        <v>M</v>
      </c>
      <c r="AI606" t="str">
        <f>LEFT(AF606,1)</f>
        <v>B</v>
      </c>
      <c r="AJ606" t="str">
        <f>LEFT(M606,1)</f>
        <v>J</v>
      </c>
      <c r="AK606" t="str">
        <f>_xlfn.CONCAT(AG606,AH606,AI606,AJ606)</f>
        <v>DMBJ</v>
      </c>
    </row>
    <row r="607" spans="1:37" ht="15.75" hidden="1" customHeight="1" x14ac:dyDescent="0.2">
      <c r="A607" s="1">
        <v>2716301</v>
      </c>
      <c r="B607" s="1" t="s">
        <v>3409</v>
      </c>
      <c r="C607" s="1" t="s">
        <v>973</v>
      </c>
      <c r="D607" s="1" t="s">
        <v>3535</v>
      </c>
      <c r="E607" s="1" t="s">
        <v>251</v>
      </c>
      <c r="F607" s="1" t="s">
        <v>32</v>
      </c>
      <c r="G607" s="1" t="s">
        <v>3536</v>
      </c>
      <c r="H607" s="1">
        <v>1269</v>
      </c>
      <c r="I607" s="1" t="s">
        <v>3537</v>
      </c>
      <c r="J607" s="1">
        <v>2519</v>
      </c>
      <c r="K607" s="1" t="s">
        <v>35</v>
      </c>
      <c r="L607" s="1">
        <v>73</v>
      </c>
      <c r="M607" s="1" t="str">
        <f>IF(L607&lt;=45,"Joven","Mayor")</f>
        <v>Mayor</v>
      </c>
      <c r="N607" s="1">
        <v>65</v>
      </c>
      <c r="O607" s="1" t="s">
        <v>36</v>
      </c>
      <c r="P607" s="1">
        <v>0.59699999999999998</v>
      </c>
      <c r="Q607" s="1">
        <v>93.215999999999994</v>
      </c>
      <c r="R607" s="1">
        <v>0.57557833000000003</v>
      </c>
      <c r="S607" s="1">
        <v>-6.3224299999999998</v>
      </c>
      <c r="T607" s="1">
        <v>-1.1428049</v>
      </c>
      <c r="U607" s="1">
        <v>3.206</v>
      </c>
      <c r="V607" s="1">
        <v>113</v>
      </c>
      <c r="W607" s="1">
        <v>179</v>
      </c>
      <c r="X607" s="1">
        <v>1.584070796460177</v>
      </c>
      <c r="Y607" s="1">
        <v>116</v>
      </c>
      <c r="Z607" s="1">
        <v>179</v>
      </c>
      <c r="AA607" s="1">
        <v>1.5431034482758621</v>
      </c>
      <c r="AB607" s="1">
        <v>115.1392623500838</v>
      </c>
      <c r="AC607" s="1">
        <v>179.123950367079</v>
      </c>
      <c r="AD607" s="1">
        <v>1.555715632626238</v>
      </c>
      <c r="AE607" t="s">
        <v>4817</v>
      </c>
      <c r="AF607" t="str">
        <f>IF(X607&lt;$AF$1,"Bajo","Alto")</f>
        <v>Bajo</v>
      </c>
      <c r="AG607" t="str">
        <f>LEFT(AE607,1)</f>
        <v>C</v>
      </c>
      <c r="AH607" t="str">
        <f>K607</f>
        <v>M</v>
      </c>
      <c r="AI607" t="str">
        <f>LEFT(AF607,1)</f>
        <v>B</v>
      </c>
      <c r="AJ607" t="str">
        <f>LEFT(M607,1)</f>
        <v>M</v>
      </c>
      <c r="AK607" t="str">
        <f>_xlfn.CONCAT(AG607,AH607,AI607,AJ607)</f>
        <v>CMBM</v>
      </c>
    </row>
    <row r="608" spans="1:37" ht="15.75" hidden="1" customHeight="1" x14ac:dyDescent="0.2">
      <c r="A608" s="1">
        <v>214203</v>
      </c>
      <c r="B608" s="1" t="s">
        <v>2816</v>
      </c>
      <c r="C608" s="1" t="s">
        <v>2817</v>
      </c>
      <c r="D608" s="1" t="s">
        <v>2871</v>
      </c>
      <c r="E608" s="1" t="s">
        <v>2872</v>
      </c>
      <c r="F608" s="1" t="s">
        <v>63</v>
      </c>
      <c r="G608" s="1" t="s">
        <v>2874</v>
      </c>
      <c r="H608" s="1">
        <v>2790</v>
      </c>
      <c r="I608" s="1" t="s">
        <v>65</v>
      </c>
      <c r="J608" s="1">
        <v>2</v>
      </c>
      <c r="K608" s="1" t="s">
        <v>49</v>
      </c>
      <c r="L608" s="1">
        <v>47</v>
      </c>
      <c r="M608" s="1" t="str">
        <f>IF(L608&lt;=45,"Joven","Mayor")</f>
        <v>Mayor</v>
      </c>
      <c r="N608" s="1">
        <v>56</v>
      </c>
      <c r="O608" s="1" t="s">
        <v>50</v>
      </c>
      <c r="P608" s="1">
        <v>0.71099999999999997</v>
      </c>
      <c r="Q608" s="1">
        <v>77.638000000000005</v>
      </c>
      <c r="R608" s="1">
        <v>-10.122374000000001</v>
      </c>
      <c r="S608" s="1">
        <v>7.1381835999999996</v>
      </c>
      <c r="T608" s="1">
        <v>8.1994039999999995</v>
      </c>
      <c r="U608" s="1">
        <v>3.9329999999999998</v>
      </c>
      <c r="V608" s="1">
        <v>77</v>
      </c>
      <c r="W608" s="1">
        <v>151</v>
      </c>
      <c r="X608" s="1">
        <v>1.9610389610389611</v>
      </c>
      <c r="Y608" s="1">
        <v>86</v>
      </c>
      <c r="Z608" s="1">
        <v>151</v>
      </c>
      <c r="AA608" s="1">
        <v>1.7558139534883721</v>
      </c>
      <c r="AB608" s="1">
        <v>80.919299066971462</v>
      </c>
      <c r="AC608" s="1">
        <v>149.4564348900376</v>
      </c>
      <c r="AD608" s="1">
        <v>1.8469813334188987</v>
      </c>
      <c r="AE608" t="s">
        <v>4817</v>
      </c>
      <c r="AF608" t="str">
        <f>IF(X608&lt;$AF$1,"Bajo","Alto")</f>
        <v>Alto</v>
      </c>
      <c r="AG608" t="str">
        <f>LEFT(AE608,1)</f>
        <v>C</v>
      </c>
      <c r="AH608" t="str">
        <f>K608</f>
        <v>F</v>
      </c>
      <c r="AI608" t="str">
        <f>LEFT(AF608,1)</f>
        <v>A</v>
      </c>
      <c r="AJ608" t="str">
        <f>LEFT(M608,1)</f>
        <v>M</v>
      </c>
      <c r="AK608" t="str">
        <f>_xlfn.CONCAT(AG608,AH608,AI608,AJ608)</f>
        <v>CFAM</v>
      </c>
    </row>
    <row r="609" spans="1:37" ht="15.75" hidden="1" customHeight="1" x14ac:dyDescent="0.2">
      <c r="A609" s="1">
        <v>274506</v>
      </c>
      <c r="B609" s="1" t="s">
        <v>3409</v>
      </c>
      <c r="C609" s="1" t="s">
        <v>973</v>
      </c>
      <c r="D609" s="1" t="s">
        <v>3681</v>
      </c>
      <c r="E609" s="1" t="s">
        <v>3682</v>
      </c>
      <c r="F609" s="1" t="s">
        <v>88</v>
      </c>
      <c r="G609" s="1" t="s">
        <v>3685</v>
      </c>
      <c r="H609" s="1">
        <v>332</v>
      </c>
      <c r="I609" s="1" t="s">
        <v>134</v>
      </c>
      <c r="J609" s="1">
        <v>8</v>
      </c>
      <c r="K609" s="1" t="s">
        <v>35</v>
      </c>
      <c r="L609" s="1">
        <v>42</v>
      </c>
      <c r="M609" s="1" t="str">
        <f>IF(L609&lt;=45,"Joven","Mayor")</f>
        <v>Joven</v>
      </c>
      <c r="N609" s="1">
        <v>44</v>
      </c>
      <c r="O609" s="1" t="s">
        <v>36</v>
      </c>
      <c r="P609" s="1">
        <v>0.373</v>
      </c>
      <c r="Q609" s="1">
        <v>90.120999999999995</v>
      </c>
      <c r="R609" s="1">
        <v>5.4388529999999999</v>
      </c>
      <c r="S609" s="1">
        <v>3.4305089</v>
      </c>
      <c r="T609" s="1">
        <v>1.6413453</v>
      </c>
      <c r="U609" s="1">
        <v>4.9790000000000001</v>
      </c>
      <c r="V609" s="1">
        <v>83</v>
      </c>
      <c r="W609" s="1">
        <v>134</v>
      </c>
      <c r="X609" s="1">
        <v>1.6144578313253013</v>
      </c>
      <c r="Y609" s="1">
        <v>89</v>
      </c>
      <c r="Z609" s="1">
        <v>134</v>
      </c>
      <c r="AA609" s="1">
        <v>1.5056179775280898</v>
      </c>
      <c r="AB609" s="1">
        <v>87.989623155607433</v>
      </c>
      <c r="AC609" s="1">
        <v>134.17416432450909</v>
      </c>
      <c r="AD609" s="1">
        <v>1.5248862253589319</v>
      </c>
      <c r="AE609" t="s">
        <v>4817</v>
      </c>
      <c r="AF609" t="str">
        <f>IF(X609&lt;$AF$1,"Bajo","Alto")</f>
        <v>Bajo</v>
      </c>
      <c r="AG609" t="str">
        <f>LEFT(AE609,1)</f>
        <v>C</v>
      </c>
      <c r="AH609" t="str">
        <f>K609</f>
        <v>M</v>
      </c>
      <c r="AI609" t="str">
        <f>LEFT(AF609,1)</f>
        <v>B</v>
      </c>
      <c r="AJ609" t="str">
        <f>LEFT(M609,1)</f>
        <v>J</v>
      </c>
      <c r="AK609" t="str">
        <f>_xlfn.CONCAT(AG609,AH609,AI609,AJ609)</f>
        <v>CMBJ</v>
      </c>
    </row>
    <row r="610" spans="1:37" ht="15.75" hidden="1" customHeight="1" x14ac:dyDescent="0.2">
      <c r="A610" s="1">
        <v>1098501</v>
      </c>
      <c r="B610" s="1" t="s">
        <v>719</v>
      </c>
      <c r="C610" s="1" t="s">
        <v>98</v>
      </c>
      <c r="D610" s="1" t="s">
        <v>1643</v>
      </c>
      <c r="E610" s="1" t="s">
        <v>755</v>
      </c>
      <c r="F610" s="1" t="s">
        <v>32</v>
      </c>
      <c r="G610" s="1" t="s">
        <v>1644</v>
      </c>
      <c r="H610" s="1">
        <v>3765</v>
      </c>
      <c r="I610" s="1" t="s">
        <v>39</v>
      </c>
      <c r="J610" s="1">
        <v>11</v>
      </c>
      <c r="K610" s="1" t="s">
        <v>35</v>
      </c>
      <c r="L610" s="1">
        <v>32</v>
      </c>
      <c r="M610" s="1" t="str">
        <f>IF(L610&lt;=45,"Joven","Mayor")</f>
        <v>Joven</v>
      </c>
      <c r="N610" s="1">
        <v>46</v>
      </c>
      <c r="O610" s="1" t="s">
        <v>36</v>
      </c>
      <c r="P610" s="1">
        <v>0.35</v>
      </c>
      <c r="Q610" s="1">
        <v>90.712999999999994</v>
      </c>
      <c r="R610" s="1">
        <v>5.2259783999999998</v>
      </c>
      <c r="S610" s="1">
        <v>2.4031745999999998</v>
      </c>
      <c r="T610" s="1">
        <v>2.7358224</v>
      </c>
      <c r="U610" s="1">
        <v>0.54100000000000004</v>
      </c>
      <c r="V610" s="1">
        <v>91</v>
      </c>
      <c r="W610" s="1">
        <v>175</v>
      </c>
      <c r="X610" s="1">
        <v>1.9230769230769231</v>
      </c>
      <c r="Y610" s="1">
        <v>99</v>
      </c>
      <c r="Z610" s="1">
        <v>175</v>
      </c>
      <c r="AA610" s="1">
        <v>1.7676767676767677</v>
      </c>
      <c r="AB610" s="1">
        <v>96.548345216655662</v>
      </c>
      <c r="AC610" s="1">
        <v>175.3255805094459</v>
      </c>
      <c r="AD610" s="1">
        <v>1.8159356342774511</v>
      </c>
      <c r="AE610" t="s">
        <v>4816</v>
      </c>
      <c r="AF610" t="str">
        <f>IF(X610&lt;$AF$1,"Bajo","Alto")</f>
        <v>Alto</v>
      </c>
      <c r="AG610" t="str">
        <f>LEFT(AE610,1)</f>
        <v>D</v>
      </c>
      <c r="AH610" t="str">
        <f>K610</f>
        <v>M</v>
      </c>
      <c r="AI610" t="str">
        <f>LEFT(AF610,1)</f>
        <v>A</v>
      </c>
      <c r="AJ610" t="str">
        <f>LEFT(M610,1)</f>
        <v>J</v>
      </c>
      <c r="AK610" t="str">
        <f>_xlfn.CONCAT(AG610,AH610,AI610,AJ610)</f>
        <v>DMAJ</v>
      </c>
    </row>
    <row r="611" spans="1:37" ht="15.75" hidden="1" customHeight="1" x14ac:dyDescent="0.2">
      <c r="A611" s="1">
        <v>1531602</v>
      </c>
      <c r="B611" s="1" t="s">
        <v>2077</v>
      </c>
      <c r="C611" s="1" t="s">
        <v>57</v>
      </c>
      <c r="D611" s="1" t="s">
        <v>2399</v>
      </c>
      <c r="E611" s="1" t="s">
        <v>1395</v>
      </c>
      <c r="F611" s="1" t="s">
        <v>37</v>
      </c>
      <c r="G611" s="1" t="s">
        <v>2400</v>
      </c>
      <c r="H611" s="1">
        <v>1360</v>
      </c>
      <c r="I611" s="1" t="s">
        <v>65</v>
      </c>
      <c r="J611" s="1">
        <v>2</v>
      </c>
      <c r="K611" s="1" t="s">
        <v>35</v>
      </c>
      <c r="L611" s="1">
        <v>59</v>
      </c>
      <c r="M611" s="1" t="str">
        <f>IF(L611&lt;=45,"Joven","Mayor")</f>
        <v>Mayor</v>
      </c>
      <c r="N611" s="1">
        <v>57</v>
      </c>
      <c r="O611" s="1" t="s">
        <v>36</v>
      </c>
      <c r="P611" s="1">
        <v>0.13700000000000001</v>
      </c>
      <c r="Q611" s="1">
        <v>91.326999999999998</v>
      </c>
      <c r="R611" s="1">
        <v>4.9586363000000002</v>
      </c>
      <c r="S611" s="1">
        <v>1.4997857000000001</v>
      </c>
      <c r="T611" s="1">
        <v>-3.3782930000000002</v>
      </c>
      <c r="U611" s="1">
        <v>0.85</v>
      </c>
      <c r="V611" s="1">
        <v>111</v>
      </c>
      <c r="W611" s="1">
        <v>176</v>
      </c>
      <c r="X611" s="1">
        <v>1.5855855855855856</v>
      </c>
      <c r="Y611" s="1">
        <v>111</v>
      </c>
      <c r="Z611" s="1">
        <v>176</v>
      </c>
      <c r="AA611" s="1">
        <v>1.5855855855855856</v>
      </c>
      <c r="AB611" s="1">
        <v>113.5178031444632</v>
      </c>
      <c r="AC611" s="1">
        <v>175.75307977994319</v>
      </c>
      <c r="AD611" s="1">
        <v>1.5482424334470175</v>
      </c>
      <c r="AE611" t="s">
        <v>4817</v>
      </c>
      <c r="AF611" t="str">
        <f>IF(X611&lt;$AF$1,"Bajo","Alto")</f>
        <v>Bajo</v>
      </c>
      <c r="AG611" t="str">
        <f>LEFT(AE611,1)</f>
        <v>C</v>
      </c>
      <c r="AH611" t="str">
        <f>K611</f>
        <v>M</v>
      </c>
      <c r="AI611" t="str">
        <f>LEFT(AF611,1)</f>
        <v>B</v>
      </c>
      <c r="AJ611" t="str">
        <f>LEFT(M611,1)</f>
        <v>M</v>
      </c>
      <c r="AK611" t="str">
        <f>_xlfn.CONCAT(AG611,AH611,AI611,AJ611)</f>
        <v>CMBM</v>
      </c>
    </row>
    <row r="612" spans="1:37" ht="15.75" hidden="1" customHeight="1" x14ac:dyDescent="0.2">
      <c r="A612" s="1">
        <v>232802</v>
      </c>
      <c r="B612" s="1" t="s">
        <v>319</v>
      </c>
      <c r="C612" s="1" t="s">
        <v>1989</v>
      </c>
      <c r="D612" s="1" t="s">
        <v>3010</v>
      </c>
      <c r="E612" s="1" t="s">
        <v>561</v>
      </c>
      <c r="F612" s="1" t="s">
        <v>37</v>
      </c>
      <c r="G612" s="1" t="s">
        <v>3012</v>
      </c>
      <c r="H612" s="1">
        <v>219</v>
      </c>
      <c r="I612" s="1" t="s">
        <v>65</v>
      </c>
      <c r="J612" s="1">
        <v>2</v>
      </c>
      <c r="K612" s="1" t="s">
        <v>49</v>
      </c>
      <c r="L612" s="1">
        <v>46</v>
      </c>
      <c r="M612" s="1" t="str">
        <f>IF(L612&lt;=45,"Joven","Mayor")</f>
        <v>Mayor</v>
      </c>
      <c r="N612" s="1">
        <v>55</v>
      </c>
      <c r="O612" s="1" t="s">
        <v>50</v>
      </c>
      <c r="P612" s="1">
        <v>1.0640000000000001</v>
      </c>
      <c r="Q612" s="1">
        <v>92.427999999999997</v>
      </c>
      <c r="R612" s="1">
        <v>2.9213325999999999</v>
      </c>
      <c r="S612" s="1">
        <v>3.3856307999999999</v>
      </c>
      <c r="T612" s="1">
        <v>-3.8390686999999999</v>
      </c>
      <c r="U612" s="1">
        <v>22.216999999999999</v>
      </c>
      <c r="V612" s="1">
        <v>77</v>
      </c>
      <c r="W612" s="1">
        <v>123</v>
      </c>
      <c r="X612" s="1">
        <v>1.5974025974025974</v>
      </c>
      <c r="Y612" s="1">
        <v>77</v>
      </c>
      <c r="Z612" s="1">
        <v>123</v>
      </c>
      <c r="AA612" s="1">
        <v>1.5974025974025974</v>
      </c>
      <c r="AB612" s="1">
        <v>78.969751939385333</v>
      </c>
      <c r="AC612" s="1">
        <v>122.8579021414794</v>
      </c>
      <c r="AD612" s="1">
        <v>1.5557589978980966</v>
      </c>
      <c r="AE612" t="s">
        <v>4817</v>
      </c>
      <c r="AF612" t="str">
        <f>IF(X612&lt;$AF$1,"Bajo","Alto")</f>
        <v>Bajo</v>
      </c>
      <c r="AG612" t="str">
        <f>LEFT(AE612,1)</f>
        <v>C</v>
      </c>
      <c r="AH612" t="str">
        <f>K612</f>
        <v>F</v>
      </c>
      <c r="AI612" t="str">
        <f>LEFT(AF612,1)</f>
        <v>B</v>
      </c>
      <c r="AJ612" t="str">
        <f>LEFT(M612,1)</f>
        <v>M</v>
      </c>
      <c r="AK612" t="str">
        <f>_xlfn.CONCAT(AG612,AH612,AI612,AJ612)</f>
        <v>CFBM</v>
      </c>
    </row>
    <row r="613" spans="1:37" ht="15.75" hidden="1" customHeight="1" x14ac:dyDescent="0.2">
      <c r="A613" s="1">
        <v>195801</v>
      </c>
      <c r="B613" s="1" t="s">
        <v>2656</v>
      </c>
      <c r="C613" s="1" t="s">
        <v>323</v>
      </c>
      <c r="D613" s="1" t="s">
        <v>2756</v>
      </c>
      <c r="E613" s="1" t="s">
        <v>695</v>
      </c>
      <c r="F613" s="1" t="s">
        <v>32</v>
      </c>
      <c r="G613" s="1" t="s">
        <v>2757</v>
      </c>
      <c r="H613" s="1">
        <v>1936</v>
      </c>
      <c r="I613" s="1" t="s">
        <v>100</v>
      </c>
      <c r="J613" s="1">
        <v>1</v>
      </c>
      <c r="K613" s="1" t="s">
        <v>35</v>
      </c>
      <c r="L613" s="1">
        <v>55</v>
      </c>
      <c r="M613" s="1" t="str">
        <f>IF(L613&lt;=45,"Joven","Mayor")</f>
        <v>Mayor</v>
      </c>
      <c r="N613" s="1">
        <v>59</v>
      </c>
      <c r="O613" s="1" t="s">
        <v>36</v>
      </c>
      <c r="P613" s="1">
        <v>0.13300000000000001</v>
      </c>
      <c r="Q613" s="1">
        <v>94.27</v>
      </c>
      <c r="R613" s="1">
        <v>1.2908263</v>
      </c>
      <c r="S613" s="1">
        <v>-0.79060719999999995</v>
      </c>
      <c r="T613" s="1">
        <v>-0.87410814000000003</v>
      </c>
      <c r="U613" s="1">
        <v>2.2189999999999999</v>
      </c>
      <c r="V613" s="1">
        <v>97</v>
      </c>
      <c r="W613" s="1">
        <v>154</v>
      </c>
      <c r="X613" s="1">
        <v>1.5876288659793814</v>
      </c>
      <c r="Y613" s="1">
        <v>99</v>
      </c>
      <c r="Z613" s="1">
        <v>154</v>
      </c>
      <c r="AA613" s="1">
        <v>1.5555555555555556</v>
      </c>
      <c r="AB613" s="1">
        <v>98.347749343965688</v>
      </c>
      <c r="AC613" s="1">
        <v>154.04310068153379</v>
      </c>
      <c r="AD613" s="1">
        <v>1.5663103803502076</v>
      </c>
      <c r="AE613" t="s">
        <v>4817</v>
      </c>
      <c r="AF613" t="str">
        <f>IF(X613&lt;$AF$1,"Bajo","Alto")</f>
        <v>Bajo</v>
      </c>
      <c r="AG613" t="str">
        <f>LEFT(AE613,1)</f>
        <v>C</v>
      </c>
      <c r="AH613" t="str">
        <f>K613</f>
        <v>M</v>
      </c>
      <c r="AI613" t="str">
        <f>LEFT(AF613,1)</f>
        <v>B</v>
      </c>
      <c r="AJ613" t="str">
        <f>LEFT(M613,1)</f>
        <v>M</v>
      </c>
      <c r="AK613" t="str">
        <f>_xlfn.CONCAT(AG613,AH613,AI613,AJ613)</f>
        <v>CMBM</v>
      </c>
    </row>
    <row r="614" spans="1:37" ht="15.75" hidden="1" customHeight="1" x14ac:dyDescent="0.2">
      <c r="A614" s="1">
        <v>10111701</v>
      </c>
      <c r="B614" s="1" t="s">
        <v>29</v>
      </c>
      <c r="C614" s="1" t="s">
        <v>30</v>
      </c>
      <c r="D614" s="1" t="s">
        <v>119</v>
      </c>
      <c r="E614" s="1" t="s">
        <v>120</v>
      </c>
      <c r="F614" s="1" t="s">
        <v>32</v>
      </c>
      <c r="G614" s="1" t="s">
        <v>121</v>
      </c>
      <c r="H614" s="1">
        <v>3501</v>
      </c>
      <c r="I614" s="1" t="s">
        <v>100</v>
      </c>
      <c r="J614" s="1">
        <v>1</v>
      </c>
      <c r="K614" s="1" t="s">
        <v>35</v>
      </c>
      <c r="L614" s="1">
        <v>36</v>
      </c>
      <c r="M614" s="1" t="str">
        <f>IF(L614&lt;=45,"Joven","Mayor")</f>
        <v>Joven</v>
      </c>
      <c r="N614" s="1">
        <v>45</v>
      </c>
      <c r="O614" s="1" t="s">
        <v>36</v>
      </c>
      <c r="P614" s="1">
        <v>4.5999999999999999E-2</v>
      </c>
      <c r="Q614" s="1">
        <v>38.656999999999996</v>
      </c>
      <c r="R614" s="1">
        <v>17.457495000000002</v>
      </c>
      <c r="S614" s="1">
        <v>2.0023689999999998</v>
      </c>
      <c r="T614" s="1">
        <v>-1.7574521000000001</v>
      </c>
      <c r="U614" s="1">
        <v>11.887</v>
      </c>
      <c r="V614" s="1">
        <v>79</v>
      </c>
      <c r="W614" s="1">
        <v>154</v>
      </c>
      <c r="X614" s="1">
        <v>1.9493670886075949</v>
      </c>
      <c r="Y614" s="1">
        <v>80</v>
      </c>
      <c r="Z614" s="1">
        <v>154</v>
      </c>
      <c r="AA614" s="1">
        <v>1.925</v>
      </c>
      <c r="AB614" s="1">
        <v>79.852226187158521</v>
      </c>
      <c r="AC614" s="1">
        <v>153.6208748466706</v>
      </c>
      <c r="AD614" s="1">
        <v>1.9238145532300166</v>
      </c>
      <c r="AE614" t="s">
        <v>4817</v>
      </c>
      <c r="AF614" t="str">
        <f>IF(X614&lt;$AF$1,"Bajo","Alto")</f>
        <v>Alto</v>
      </c>
      <c r="AG614" t="str">
        <f>LEFT(AE614,1)</f>
        <v>C</v>
      </c>
      <c r="AH614" t="str">
        <f>K614</f>
        <v>M</v>
      </c>
      <c r="AI614" t="str">
        <f>LEFT(AF614,1)</f>
        <v>A</v>
      </c>
      <c r="AJ614" t="str">
        <f>LEFT(M614,1)</f>
        <v>J</v>
      </c>
      <c r="AK614" t="str">
        <f>_xlfn.CONCAT(AG614,AH614,AI614,AJ614)</f>
        <v>CMAJ</v>
      </c>
    </row>
    <row r="615" spans="1:37" ht="15.75" hidden="1" customHeight="1" x14ac:dyDescent="0.2">
      <c r="A615" s="1">
        <v>1013501</v>
      </c>
      <c r="B615" s="1" t="s">
        <v>29</v>
      </c>
      <c r="C615" s="1" t="s">
        <v>30</v>
      </c>
      <c r="D615" s="1" t="s">
        <v>639</v>
      </c>
      <c r="E615" s="1" t="s">
        <v>640</v>
      </c>
      <c r="F615" s="1" t="s">
        <v>32</v>
      </c>
      <c r="G615" s="1" t="s">
        <v>641</v>
      </c>
      <c r="H615" s="1">
        <v>4266</v>
      </c>
      <c r="I615" s="1" t="s">
        <v>34</v>
      </c>
      <c r="J615" s="1">
        <v>10</v>
      </c>
      <c r="K615" s="1" t="s">
        <v>35</v>
      </c>
      <c r="L615" s="1">
        <v>60</v>
      </c>
      <c r="M615" s="1" t="str">
        <f>IF(L615&lt;=45,"Joven","Mayor")</f>
        <v>Mayor</v>
      </c>
      <c r="N615" s="1">
        <v>61</v>
      </c>
      <c r="O615" s="1" t="s">
        <v>36</v>
      </c>
      <c r="P615" s="1">
        <v>0.68</v>
      </c>
      <c r="Q615" s="1">
        <v>89.775999999999996</v>
      </c>
      <c r="R615" s="1">
        <v>-6.0703125</v>
      </c>
      <c r="S615" s="1">
        <v>1.5555371</v>
      </c>
      <c r="T615" s="1">
        <v>15.992383999999999</v>
      </c>
      <c r="U615" s="1">
        <v>2.6749999999999998</v>
      </c>
      <c r="V615" s="1">
        <v>107</v>
      </c>
      <c r="W615" s="1">
        <v>203</v>
      </c>
      <c r="X615" s="1">
        <v>1.8971962616822431</v>
      </c>
      <c r="Y615" s="1">
        <v>127</v>
      </c>
      <c r="Z615" s="1">
        <v>203</v>
      </c>
      <c r="AA615" s="1">
        <v>1.5984251968503937</v>
      </c>
      <c r="AB615" s="1">
        <v>121.59357224757311</v>
      </c>
      <c r="AC615" s="1">
        <v>202.85782844169989</v>
      </c>
      <c r="AD615" s="1">
        <v>1.6683269081746115</v>
      </c>
      <c r="AE615" t="s">
        <v>4815</v>
      </c>
      <c r="AF615" t="str">
        <f>IF(X615&lt;$AF$1,"Bajo","Alto")</f>
        <v>Alto</v>
      </c>
      <c r="AG615" t="str">
        <f>LEFT(AE615,1)</f>
        <v>I</v>
      </c>
      <c r="AH615" t="str">
        <f>K615</f>
        <v>M</v>
      </c>
      <c r="AI615" t="str">
        <f>LEFT(AF615,1)</f>
        <v>A</v>
      </c>
      <c r="AJ615" t="str">
        <f>LEFT(M615,1)</f>
        <v>M</v>
      </c>
      <c r="AK615" t="str">
        <f>_xlfn.CONCAT(AG615,AH615,AI615,AJ615)</f>
        <v>IMAM</v>
      </c>
    </row>
    <row r="616" spans="1:37" ht="15.75" hidden="1" customHeight="1" x14ac:dyDescent="0.2">
      <c r="A616" s="1">
        <v>2912705</v>
      </c>
      <c r="B616" s="1" t="s">
        <v>3890</v>
      </c>
      <c r="C616" s="1" t="s">
        <v>1695</v>
      </c>
      <c r="D616" s="1" t="s">
        <v>3959</v>
      </c>
      <c r="E616" s="1" t="s">
        <v>153</v>
      </c>
      <c r="F616" s="1" t="s">
        <v>40</v>
      </c>
      <c r="G616" s="1" t="s">
        <v>3964</v>
      </c>
      <c r="H616" s="1">
        <v>108</v>
      </c>
      <c r="I616" s="1" t="s">
        <v>108</v>
      </c>
      <c r="J616" s="1">
        <v>3</v>
      </c>
      <c r="K616" s="1" t="s">
        <v>49</v>
      </c>
      <c r="L616" s="1">
        <v>61</v>
      </c>
      <c r="M616" s="1" t="str">
        <f>IF(L616&lt;=45,"Joven","Mayor")</f>
        <v>Mayor</v>
      </c>
      <c r="N616" s="1">
        <v>59</v>
      </c>
      <c r="O616" s="1" t="s">
        <v>50</v>
      </c>
      <c r="P616" s="1">
        <v>0.215</v>
      </c>
      <c r="Q616" s="1">
        <v>91.046999999999997</v>
      </c>
      <c r="R616" s="1">
        <v>3.9624312000000002</v>
      </c>
      <c r="S616" s="1">
        <v>5.5705314000000001</v>
      </c>
      <c r="T616" s="1">
        <v>-1.4469198000000001</v>
      </c>
      <c r="U616" s="1">
        <v>2.4359999999999999</v>
      </c>
      <c r="V616" s="1">
        <v>82</v>
      </c>
      <c r="W616" s="1">
        <v>131</v>
      </c>
      <c r="X616" s="1">
        <v>1.5975609756097562</v>
      </c>
      <c r="Y616" s="1">
        <v>83</v>
      </c>
      <c r="Z616" s="1">
        <v>131</v>
      </c>
      <c r="AA616" s="1">
        <v>1.5783132530120483</v>
      </c>
      <c r="AB616" s="1">
        <v>83.832063430696962</v>
      </c>
      <c r="AC616" s="1">
        <v>130.93297941979199</v>
      </c>
      <c r="AD616" s="1">
        <v>1.5618484630052418</v>
      </c>
      <c r="AE616" t="s">
        <v>4817</v>
      </c>
      <c r="AF616" t="str">
        <f>IF(X616&lt;$AF$1,"Bajo","Alto")</f>
        <v>Bajo</v>
      </c>
      <c r="AG616" t="str">
        <f>LEFT(AE616,1)</f>
        <v>C</v>
      </c>
      <c r="AH616" t="str">
        <f>K616</f>
        <v>F</v>
      </c>
      <c r="AI616" t="str">
        <f>LEFT(AF616,1)</f>
        <v>B</v>
      </c>
      <c r="AJ616" t="str">
        <f>LEFT(M616,1)</f>
        <v>M</v>
      </c>
      <c r="AK616" t="str">
        <f>_xlfn.CONCAT(AG616,AH616,AI616,AJ616)</f>
        <v>CFBM</v>
      </c>
    </row>
    <row r="617" spans="1:37" ht="15.75" hidden="1" customHeight="1" x14ac:dyDescent="0.2">
      <c r="A617" s="1">
        <v>238502</v>
      </c>
      <c r="B617" s="1" t="s">
        <v>319</v>
      </c>
      <c r="C617" s="1" t="s">
        <v>1989</v>
      </c>
      <c r="D617" s="1" t="s">
        <v>3092</v>
      </c>
      <c r="E617" s="1" t="s">
        <v>755</v>
      </c>
      <c r="F617" s="1" t="s">
        <v>37</v>
      </c>
      <c r="G617" s="1" t="s">
        <v>3094</v>
      </c>
      <c r="H617" s="1">
        <v>73</v>
      </c>
      <c r="I617" s="1" t="s">
        <v>48</v>
      </c>
      <c r="J617" s="1">
        <v>4</v>
      </c>
      <c r="K617" s="1" t="s">
        <v>35</v>
      </c>
      <c r="L617" s="1">
        <v>37</v>
      </c>
      <c r="M617" s="1" t="str">
        <f>IF(L617&lt;=45,"Joven","Mayor")</f>
        <v>Joven</v>
      </c>
      <c r="N617" s="1">
        <v>33</v>
      </c>
      <c r="O617" s="1" t="s">
        <v>36</v>
      </c>
      <c r="P617" s="1">
        <v>0.30199999999999999</v>
      </c>
      <c r="Q617" s="1">
        <v>66.236000000000004</v>
      </c>
      <c r="R617" s="1">
        <v>13.0565605</v>
      </c>
      <c r="S617" s="1">
        <v>5.8176465000000004</v>
      </c>
      <c r="T617" s="1">
        <v>-1.2876137000000001</v>
      </c>
      <c r="U617" s="1">
        <v>79.320999999999998</v>
      </c>
      <c r="V617" s="1">
        <v>109</v>
      </c>
      <c r="W617" s="1">
        <v>176</v>
      </c>
      <c r="X617" s="1">
        <v>1.6146788990825689</v>
      </c>
      <c r="Y617" s="1">
        <v>111</v>
      </c>
      <c r="Z617" s="1">
        <v>176</v>
      </c>
      <c r="AA617" s="1">
        <v>1.5855855855855856</v>
      </c>
      <c r="AB617" s="1">
        <v>111.8932909366272</v>
      </c>
      <c r="AC617" s="1">
        <v>175.75331747373869</v>
      </c>
      <c r="AD617" s="1">
        <v>1.5707225697140303</v>
      </c>
      <c r="AE617" t="s">
        <v>4817</v>
      </c>
      <c r="AF617" t="str">
        <f>IF(X617&lt;$AF$1,"Bajo","Alto")</f>
        <v>Bajo</v>
      </c>
      <c r="AG617" t="str">
        <f>LEFT(AE617,1)</f>
        <v>C</v>
      </c>
      <c r="AH617" t="str">
        <f>K617</f>
        <v>M</v>
      </c>
      <c r="AI617" t="str">
        <f>LEFT(AF617,1)</f>
        <v>B</v>
      </c>
      <c r="AJ617" t="str">
        <f>LEFT(M617,1)</f>
        <v>J</v>
      </c>
      <c r="AK617" t="str">
        <f>_xlfn.CONCAT(AG617,AH617,AI617,AJ617)</f>
        <v>CMBJ</v>
      </c>
    </row>
    <row r="618" spans="1:37" ht="15.75" hidden="1" customHeight="1" x14ac:dyDescent="0.2">
      <c r="A618" s="1">
        <v>1095205</v>
      </c>
      <c r="B618" s="1" t="s">
        <v>719</v>
      </c>
      <c r="C618" s="1" t="s">
        <v>98</v>
      </c>
      <c r="D618" s="1" t="s">
        <v>1615</v>
      </c>
      <c r="E618" s="1" t="s">
        <v>685</v>
      </c>
      <c r="F618" s="1" t="s">
        <v>40</v>
      </c>
      <c r="G618" s="1" t="s">
        <v>1619</v>
      </c>
      <c r="H618" s="1">
        <v>15</v>
      </c>
      <c r="I618" s="1" t="s">
        <v>1620</v>
      </c>
      <c r="J618" s="1">
        <v>4234</v>
      </c>
      <c r="K618" s="1" t="s">
        <v>35</v>
      </c>
      <c r="L618" s="1">
        <v>47</v>
      </c>
      <c r="M618" s="1" t="str">
        <f>IF(L618&lt;=45,"Joven","Mayor")</f>
        <v>Mayor</v>
      </c>
      <c r="N618" s="1">
        <v>49</v>
      </c>
      <c r="O618" s="1" t="s">
        <v>36</v>
      </c>
      <c r="P618" s="1">
        <v>0.432</v>
      </c>
      <c r="Q618" s="1">
        <v>83.207999999999998</v>
      </c>
      <c r="R618" s="1">
        <v>7.1222469999999998</v>
      </c>
      <c r="S618" s="1">
        <v>10.237985999999999</v>
      </c>
      <c r="T618" s="1">
        <v>-2.2973409</v>
      </c>
      <c r="U618" s="1">
        <v>3.88</v>
      </c>
      <c r="V618" s="1">
        <v>95</v>
      </c>
      <c r="W618" s="1">
        <v>151</v>
      </c>
      <c r="X618" s="1">
        <v>1.5894736842105264</v>
      </c>
      <c r="Y618" s="1">
        <v>96</v>
      </c>
      <c r="Z618" s="1">
        <v>151</v>
      </c>
      <c r="AA618" s="1">
        <v>1.5729166666666667</v>
      </c>
      <c r="AB618" s="1">
        <v>97.566342842382255</v>
      </c>
      <c r="AC618" s="1">
        <v>150.79846390043261</v>
      </c>
      <c r="AD618" s="1">
        <v>1.5455992251759039</v>
      </c>
      <c r="AE618" t="s">
        <v>4817</v>
      </c>
      <c r="AF618" t="str">
        <f>IF(X618&lt;$AF$1,"Bajo","Alto")</f>
        <v>Bajo</v>
      </c>
      <c r="AG618" t="str">
        <f>LEFT(AE618,1)</f>
        <v>C</v>
      </c>
      <c r="AH618" t="str">
        <f>K618</f>
        <v>M</v>
      </c>
      <c r="AI618" t="str">
        <f>LEFT(AF618,1)</f>
        <v>B</v>
      </c>
      <c r="AJ618" t="str">
        <f>LEFT(M618,1)</f>
        <v>M</v>
      </c>
      <c r="AK618" t="str">
        <f>_xlfn.CONCAT(AG618,AH618,AI618,AJ618)</f>
        <v>CMBM</v>
      </c>
    </row>
    <row r="619" spans="1:37" ht="15.75" hidden="1" customHeight="1" x14ac:dyDescent="0.2">
      <c r="A619" s="1">
        <v>1033706</v>
      </c>
      <c r="B619" s="1" t="s">
        <v>783</v>
      </c>
      <c r="C619" s="1" t="s">
        <v>81</v>
      </c>
      <c r="D619" s="1" t="s">
        <v>835</v>
      </c>
      <c r="E619" s="1" t="s">
        <v>647</v>
      </c>
      <c r="F619" s="1" t="s">
        <v>88</v>
      </c>
      <c r="G619" s="1" t="s">
        <v>837</v>
      </c>
      <c r="H619" s="1">
        <v>8555</v>
      </c>
      <c r="I619" s="1" t="s">
        <v>108</v>
      </c>
      <c r="J619" s="1">
        <v>3</v>
      </c>
      <c r="K619" s="1" t="s">
        <v>35</v>
      </c>
      <c r="L619" s="1">
        <v>42</v>
      </c>
      <c r="M619" s="1" t="str">
        <f>IF(L619&lt;=45,"Joven","Mayor")</f>
        <v>Joven</v>
      </c>
      <c r="N619" s="1">
        <v>47</v>
      </c>
      <c r="O619" s="1" t="s">
        <v>36</v>
      </c>
      <c r="P619" s="1">
        <v>0.16600000000000001</v>
      </c>
      <c r="Q619" s="1">
        <v>88.022999999999996</v>
      </c>
      <c r="R619" s="1">
        <v>7.2819066000000001</v>
      </c>
      <c r="S619" s="1">
        <v>-1.8459302</v>
      </c>
      <c r="T619" s="1">
        <v>-2.5484822</v>
      </c>
      <c r="U619" s="1">
        <v>5.9889999999999999</v>
      </c>
      <c r="V619" s="1">
        <v>79</v>
      </c>
      <c r="W619" s="1">
        <v>154</v>
      </c>
      <c r="X619" s="1">
        <v>1.9493670886075949</v>
      </c>
      <c r="Y619" s="1">
        <v>83</v>
      </c>
      <c r="Z619" s="1">
        <v>154</v>
      </c>
      <c r="AA619" s="1">
        <v>1.8554216867469879</v>
      </c>
      <c r="AB619" s="1">
        <v>84.474175119740494</v>
      </c>
      <c r="AC619" s="1">
        <v>153.4919690443667</v>
      </c>
      <c r="AD619" s="1">
        <v>1.8170283264298803</v>
      </c>
      <c r="AE619" t="s">
        <v>4817</v>
      </c>
      <c r="AF619" t="str">
        <f>IF(X619&lt;$AF$1,"Bajo","Alto")</f>
        <v>Alto</v>
      </c>
      <c r="AG619" t="str">
        <f>LEFT(AE619,1)</f>
        <v>C</v>
      </c>
      <c r="AH619" t="str">
        <f>K619</f>
        <v>M</v>
      </c>
      <c r="AI619" t="str">
        <f>LEFT(AF619,1)</f>
        <v>A</v>
      </c>
      <c r="AJ619" t="str">
        <f>LEFT(M619,1)</f>
        <v>J</v>
      </c>
      <c r="AK619" t="str">
        <f>_xlfn.CONCAT(AG619,AH619,AI619,AJ619)</f>
        <v>CMAJ</v>
      </c>
    </row>
    <row r="620" spans="1:37" ht="15.75" hidden="1" customHeight="1" x14ac:dyDescent="0.2">
      <c r="A620" s="1">
        <v>10721402</v>
      </c>
      <c r="B620" s="1" t="s">
        <v>1067</v>
      </c>
      <c r="C620" s="1" t="s">
        <v>1068</v>
      </c>
      <c r="D620" s="1" t="s">
        <v>1218</v>
      </c>
      <c r="E620" s="1" t="s">
        <v>392</v>
      </c>
      <c r="F620" s="1" t="s">
        <v>37</v>
      </c>
      <c r="G620" s="1" t="s">
        <v>1220</v>
      </c>
      <c r="H620" s="1">
        <v>102</v>
      </c>
      <c r="I620" s="1" t="s">
        <v>85</v>
      </c>
      <c r="J620" s="1">
        <v>12</v>
      </c>
      <c r="K620" s="1" t="s">
        <v>35</v>
      </c>
      <c r="L620" s="1">
        <v>40</v>
      </c>
      <c r="M620" s="1" t="str">
        <f>IF(L620&lt;=45,"Joven","Mayor")</f>
        <v>Joven</v>
      </c>
      <c r="N620" s="1">
        <v>42</v>
      </c>
      <c r="O620" s="1" t="s">
        <v>36</v>
      </c>
      <c r="P620" s="1">
        <v>1.07</v>
      </c>
      <c r="Q620" s="1">
        <v>91.966999999999999</v>
      </c>
      <c r="R620" s="1">
        <v>2.5238377999999999</v>
      </c>
      <c r="S620" s="1">
        <v>-5.8153129999999997</v>
      </c>
      <c r="T620" s="1">
        <v>-3.4418251999999998</v>
      </c>
      <c r="U620" s="1">
        <v>1.2410000000000001</v>
      </c>
      <c r="V620" s="1">
        <v>85</v>
      </c>
      <c r="W620" s="1">
        <v>163</v>
      </c>
      <c r="X620" s="1">
        <v>1.9176470588235295</v>
      </c>
      <c r="Y620" s="1">
        <v>90</v>
      </c>
      <c r="Z620" s="1">
        <v>163</v>
      </c>
      <c r="AA620" s="1">
        <v>1.8111111111111111</v>
      </c>
      <c r="AB620" s="1">
        <v>87.608295640816777</v>
      </c>
      <c r="AC620" s="1">
        <v>163.1262372765095</v>
      </c>
      <c r="AD620" s="1">
        <v>1.8619953291330651</v>
      </c>
      <c r="AE620" t="s">
        <v>4815</v>
      </c>
      <c r="AF620" t="str">
        <f>IF(X620&lt;$AF$1,"Bajo","Alto")</f>
        <v>Alto</v>
      </c>
      <c r="AG620" t="str">
        <f>LEFT(AE620,1)</f>
        <v>I</v>
      </c>
      <c r="AH620" t="str">
        <f>K620</f>
        <v>M</v>
      </c>
      <c r="AI620" t="str">
        <f>LEFT(AF620,1)</f>
        <v>A</v>
      </c>
      <c r="AJ620" t="str">
        <f>LEFT(M620,1)</f>
        <v>J</v>
      </c>
      <c r="AK620" t="str">
        <f>_xlfn.CONCAT(AG620,AH620,AI620,AJ620)</f>
        <v>IMAJ</v>
      </c>
    </row>
    <row r="621" spans="1:37" ht="15.75" hidden="1" customHeight="1" x14ac:dyDescent="0.2">
      <c r="A621" s="1">
        <v>2818003</v>
      </c>
      <c r="B621" s="1" t="s">
        <v>1775</v>
      </c>
      <c r="C621" s="1" t="s">
        <v>561</v>
      </c>
      <c r="D621" s="1" t="s">
        <v>3792</v>
      </c>
      <c r="E621" s="1" t="s">
        <v>1809</v>
      </c>
      <c r="F621" s="1" t="s">
        <v>63</v>
      </c>
      <c r="G621" s="1" t="s">
        <v>3793</v>
      </c>
      <c r="H621" s="1">
        <v>8427</v>
      </c>
      <c r="I621" s="1" t="s">
        <v>85</v>
      </c>
      <c r="J621" s="1">
        <v>12</v>
      </c>
      <c r="K621" s="1" t="s">
        <v>35</v>
      </c>
      <c r="L621" s="1">
        <v>57</v>
      </c>
      <c r="M621" s="1" t="str">
        <f>IF(L621&lt;=45,"Joven","Mayor")</f>
        <v>Mayor</v>
      </c>
      <c r="N621" s="1">
        <v>57</v>
      </c>
      <c r="O621" s="1" t="s">
        <v>36</v>
      </c>
      <c r="P621" s="1">
        <v>0.123</v>
      </c>
      <c r="Q621" s="1">
        <v>80.834000000000003</v>
      </c>
      <c r="R621" s="1">
        <v>-9.5439959999999999</v>
      </c>
      <c r="S621" s="1">
        <v>-5.8819784999999998</v>
      </c>
      <c r="T621" s="1">
        <v>13.137224</v>
      </c>
      <c r="U621" s="1">
        <v>9.9659999999999993</v>
      </c>
      <c r="V621" s="1">
        <v>112</v>
      </c>
      <c r="W621" s="1">
        <v>212</v>
      </c>
      <c r="X621" s="1">
        <v>1.8928571428571428</v>
      </c>
      <c r="Y621" s="1">
        <v>129</v>
      </c>
      <c r="Z621" s="1">
        <v>212</v>
      </c>
      <c r="AA621" s="1">
        <v>1.6434108527131783</v>
      </c>
      <c r="AB621" s="1">
        <v>123.84225537160211</v>
      </c>
      <c r="AC621" s="1">
        <v>210.99732492089291</v>
      </c>
      <c r="AD621" s="1">
        <v>1.7037587395979876</v>
      </c>
      <c r="AE621" t="s">
        <v>4815</v>
      </c>
      <c r="AF621" t="str">
        <f>IF(X621&lt;$AF$1,"Bajo","Alto")</f>
        <v>Alto</v>
      </c>
      <c r="AG621" t="str">
        <f>LEFT(AE621,1)</f>
        <v>I</v>
      </c>
      <c r="AH621" t="str">
        <f>K621</f>
        <v>M</v>
      </c>
      <c r="AI621" t="str">
        <f>LEFT(AF621,1)</f>
        <v>A</v>
      </c>
      <c r="AJ621" t="str">
        <f>LEFT(M621,1)</f>
        <v>M</v>
      </c>
      <c r="AK621" t="str">
        <f>_xlfn.CONCAT(AG621,AH621,AI621,AJ621)</f>
        <v>IMAM</v>
      </c>
    </row>
    <row r="622" spans="1:37" ht="15.75" hidden="1" customHeight="1" x14ac:dyDescent="0.2">
      <c r="A622" s="1">
        <v>1058206</v>
      </c>
      <c r="B622" s="1" t="s">
        <v>694</v>
      </c>
      <c r="C622" s="1" t="s">
        <v>879</v>
      </c>
      <c r="D622" s="1" t="s">
        <v>1041</v>
      </c>
      <c r="E622" s="1" t="s">
        <v>752</v>
      </c>
      <c r="F622" s="1" t="s">
        <v>88</v>
      </c>
      <c r="G622" s="1" t="s">
        <v>1044</v>
      </c>
      <c r="H622" s="1">
        <v>2818</v>
      </c>
      <c r="I622" s="1" t="s">
        <v>1045</v>
      </c>
      <c r="J622" s="1">
        <v>2533</v>
      </c>
      <c r="K622" s="1" t="s">
        <v>35</v>
      </c>
      <c r="L622" s="1">
        <v>51</v>
      </c>
      <c r="M622" s="1" t="str">
        <f>IF(L622&lt;=45,"Joven","Mayor")</f>
        <v>Mayor</v>
      </c>
      <c r="N622" s="1">
        <v>58</v>
      </c>
      <c r="O622" s="1" t="s">
        <v>36</v>
      </c>
      <c r="P622" s="1">
        <v>3.3000000000000002E-2</v>
      </c>
      <c r="Q622" s="1">
        <v>92.623000000000005</v>
      </c>
      <c r="R622" s="1">
        <v>3.0842938000000002</v>
      </c>
      <c r="S622" s="1">
        <v>3.2777921999999999</v>
      </c>
      <c r="T622" s="1">
        <v>-2.5949702000000001</v>
      </c>
      <c r="U622" s="1">
        <v>0.92400000000000004</v>
      </c>
      <c r="V622" s="1">
        <v>78</v>
      </c>
      <c r="W622" s="1">
        <v>151</v>
      </c>
      <c r="X622" s="1">
        <v>1.9358974358974359</v>
      </c>
      <c r="Y622" s="1">
        <v>83</v>
      </c>
      <c r="Z622" s="1">
        <v>151</v>
      </c>
      <c r="AA622" s="1">
        <v>1.8192771084337349</v>
      </c>
      <c r="AB622" s="1">
        <v>81.420802872933791</v>
      </c>
      <c r="AC622" s="1">
        <v>151.16208382087049</v>
      </c>
      <c r="AD622" s="1">
        <v>1.8565535893422191</v>
      </c>
      <c r="AE622" t="s">
        <v>4817</v>
      </c>
      <c r="AF622" t="str">
        <f>IF(X622&lt;$AF$1,"Bajo","Alto")</f>
        <v>Alto</v>
      </c>
      <c r="AG622" t="str">
        <f>LEFT(AE622,1)</f>
        <v>C</v>
      </c>
      <c r="AH622" t="str">
        <f>K622</f>
        <v>M</v>
      </c>
      <c r="AI622" t="str">
        <f>LEFT(AF622,1)</f>
        <v>A</v>
      </c>
      <c r="AJ622" t="str">
        <f>LEFT(M622,1)</f>
        <v>M</v>
      </c>
      <c r="AK622" t="str">
        <f>_xlfn.CONCAT(AG622,AH622,AI622,AJ622)</f>
        <v>CMAM</v>
      </c>
    </row>
    <row r="623" spans="1:37" ht="15.75" hidden="1" customHeight="1" x14ac:dyDescent="0.2">
      <c r="A623" s="1">
        <v>271303</v>
      </c>
      <c r="B623" s="1" t="s">
        <v>3409</v>
      </c>
      <c r="C623" s="1" t="s">
        <v>973</v>
      </c>
      <c r="D623" s="1" t="s">
        <v>664</v>
      </c>
      <c r="E623" s="1" t="s">
        <v>163</v>
      </c>
      <c r="F623" s="1" t="s">
        <v>63</v>
      </c>
      <c r="G623" s="1" t="s">
        <v>3486</v>
      </c>
      <c r="H623" s="1">
        <v>4798</v>
      </c>
      <c r="I623" s="1" t="s">
        <v>3487</v>
      </c>
      <c r="J623" s="1">
        <v>2649</v>
      </c>
      <c r="K623" s="1" t="s">
        <v>35</v>
      </c>
      <c r="L623" s="1">
        <v>44</v>
      </c>
      <c r="M623" s="1" t="str">
        <f>IF(L623&lt;=45,"Joven","Mayor")</f>
        <v>Joven</v>
      </c>
      <c r="N623" s="1">
        <v>42</v>
      </c>
      <c r="O623" s="1" t="s">
        <v>36</v>
      </c>
      <c r="P623" s="1">
        <v>0.35299999999999998</v>
      </c>
      <c r="Q623" s="1">
        <v>86.346000000000004</v>
      </c>
      <c r="R623" s="1">
        <v>6.9509715999999999</v>
      </c>
      <c r="S623" s="1">
        <v>6.6322665000000001</v>
      </c>
      <c r="T623" s="1">
        <v>-7.5462403</v>
      </c>
      <c r="U623" s="1">
        <v>13.311</v>
      </c>
      <c r="V623" s="1">
        <v>98</v>
      </c>
      <c r="W623" s="1">
        <v>191</v>
      </c>
      <c r="X623" s="1">
        <v>1.9489795918367347</v>
      </c>
      <c r="Y623" s="1">
        <v>107</v>
      </c>
      <c r="Z623" s="1">
        <v>191</v>
      </c>
      <c r="AA623" s="1">
        <v>1.7850467289719627</v>
      </c>
      <c r="AB623" s="1">
        <v>104.5055136782005</v>
      </c>
      <c r="AC623" s="1">
        <v>191.31568116668359</v>
      </c>
      <c r="AD623" s="1">
        <v>1.8306754776192387</v>
      </c>
      <c r="AE623" t="s">
        <v>4817</v>
      </c>
      <c r="AF623" t="str">
        <f>IF(X623&lt;$AF$1,"Bajo","Alto")</f>
        <v>Alto</v>
      </c>
      <c r="AG623" t="str">
        <f>LEFT(AE623,1)</f>
        <v>C</v>
      </c>
      <c r="AH623" t="str">
        <f>K623</f>
        <v>M</v>
      </c>
      <c r="AI623" t="str">
        <f>LEFT(AF623,1)</f>
        <v>A</v>
      </c>
      <c r="AJ623" t="str">
        <f>LEFT(M623,1)</f>
        <v>J</v>
      </c>
      <c r="AK623" t="str">
        <f>_xlfn.CONCAT(AG623,AH623,AI623,AJ623)</f>
        <v>CMAJ</v>
      </c>
    </row>
    <row r="624" spans="1:37" ht="15.75" hidden="1" customHeight="1" x14ac:dyDescent="0.2">
      <c r="A624" s="1">
        <v>297301</v>
      </c>
      <c r="B624" s="1" t="s">
        <v>3890</v>
      </c>
      <c r="C624" s="1" t="s">
        <v>1695</v>
      </c>
      <c r="D624" s="1" t="s">
        <v>4055</v>
      </c>
      <c r="E624" s="1" t="s">
        <v>1021</v>
      </c>
      <c r="F624" s="1" t="s">
        <v>32</v>
      </c>
      <c r="G624" s="1" t="s">
        <v>4056</v>
      </c>
      <c r="H624" s="1">
        <v>148</v>
      </c>
      <c r="I624" s="1" t="s">
        <v>100</v>
      </c>
      <c r="J624" s="1">
        <v>1</v>
      </c>
      <c r="K624" s="1" t="s">
        <v>35</v>
      </c>
      <c r="L624" s="1">
        <v>40</v>
      </c>
      <c r="M624" s="1" t="str">
        <f>IF(L624&lt;=45,"Joven","Mayor")</f>
        <v>Joven</v>
      </c>
      <c r="N624" s="1">
        <v>42</v>
      </c>
      <c r="O624" s="1" t="s">
        <v>36</v>
      </c>
      <c r="P624" s="1">
        <v>0.10299999999999999</v>
      </c>
      <c r="Q624" s="1">
        <v>69.980999999999995</v>
      </c>
      <c r="R624" s="1">
        <v>11.864490999999999</v>
      </c>
      <c r="S624" s="1">
        <v>8.1847840000000005</v>
      </c>
      <c r="T624" s="1">
        <v>-2.8077865000000002</v>
      </c>
      <c r="U624" s="1">
        <v>1.649</v>
      </c>
      <c r="V624" s="1">
        <v>107</v>
      </c>
      <c r="W624" s="1">
        <v>173</v>
      </c>
      <c r="X624" s="1">
        <v>1.6168224299065421</v>
      </c>
      <c r="Y624" s="1">
        <v>108</v>
      </c>
      <c r="Z624" s="1">
        <v>173</v>
      </c>
      <c r="AA624" s="1">
        <v>1.6018518518518519</v>
      </c>
      <c r="AB624" s="1">
        <v>110.0746926807949</v>
      </c>
      <c r="AC624" s="1">
        <v>172.59636964297579</v>
      </c>
      <c r="AD624" s="1">
        <v>1.5679932002489185</v>
      </c>
      <c r="AE624" t="s">
        <v>4817</v>
      </c>
      <c r="AF624" t="str">
        <f>IF(X624&lt;$AF$1,"Bajo","Alto")</f>
        <v>Bajo</v>
      </c>
      <c r="AG624" t="str">
        <f>LEFT(AE624,1)</f>
        <v>C</v>
      </c>
      <c r="AH624" t="str">
        <f>K624</f>
        <v>M</v>
      </c>
      <c r="AI624" t="str">
        <f>LEFT(AF624,1)</f>
        <v>B</v>
      </c>
      <c r="AJ624" t="str">
        <f>LEFT(M624,1)</f>
        <v>J</v>
      </c>
      <c r="AK624" t="str">
        <f>_xlfn.CONCAT(AG624,AH624,AI624,AJ624)</f>
        <v>CMBJ</v>
      </c>
    </row>
    <row r="625" spans="1:37" ht="15.75" hidden="1" customHeight="1" x14ac:dyDescent="0.2">
      <c r="A625" s="1">
        <v>442203</v>
      </c>
      <c r="B625" s="1" t="s">
        <v>4314</v>
      </c>
      <c r="C625" s="1" t="s">
        <v>995</v>
      </c>
      <c r="D625" s="1" t="s">
        <v>4363</v>
      </c>
      <c r="E625" s="1" t="s">
        <v>418</v>
      </c>
      <c r="F625" s="1" t="s">
        <v>63</v>
      </c>
      <c r="G625" s="1" t="s">
        <v>4366</v>
      </c>
      <c r="H625" s="1">
        <v>1959</v>
      </c>
      <c r="I625" s="1" t="s">
        <v>4367</v>
      </c>
      <c r="J625" s="1">
        <v>2909</v>
      </c>
      <c r="K625" s="1" t="s">
        <v>35</v>
      </c>
      <c r="L625" s="1">
        <v>34</v>
      </c>
      <c r="M625" s="1" t="str">
        <f>IF(L625&lt;=45,"Joven","Mayor")</f>
        <v>Joven</v>
      </c>
      <c r="N625" s="1">
        <v>45</v>
      </c>
      <c r="O625" s="1" t="s">
        <v>36</v>
      </c>
      <c r="P625" s="1">
        <v>0.63400000000000001</v>
      </c>
      <c r="Q625" s="1">
        <v>94.314999999999998</v>
      </c>
      <c r="R625" s="1">
        <v>0.44629819999999998</v>
      </c>
      <c r="S625" s="1">
        <v>-2.2445257000000001</v>
      </c>
      <c r="T625" s="1">
        <v>2.9923185999999999</v>
      </c>
      <c r="U625" s="1">
        <v>2.21</v>
      </c>
      <c r="V625" s="1">
        <v>78</v>
      </c>
      <c r="W625" s="1">
        <v>152</v>
      </c>
      <c r="X625" s="1">
        <v>1.9487179487179487</v>
      </c>
      <c r="Y625" s="1">
        <v>79</v>
      </c>
      <c r="Z625" s="1">
        <v>152</v>
      </c>
      <c r="AA625" s="1">
        <v>1.9240506329113924</v>
      </c>
      <c r="AB625" s="1">
        <v>80.980369788154576</v>
      </c>
      <c r="AC625" s="1">
        <v>151.94936064149491</v>
      </c>
      <c r="AD625" s="1">
        <v>1.876372768351094</v>
      </c>
      <c r="AE625" t="s">
        <v>4817</v>
      </c>
      <c r="AF625" t="str">
        <f>IF(X625&lt;$AF$1,"Bajo","Alto")</f>
        <v>Alto</v>
      </c>
      <c r="AG625" t="str">
        <f>LEFT(AE625,1)</f>
        <v>C</v>
      </c>
      <c r="AH625" t="str">
        <f>K625</f>
        <v>M</v>
      </c>
      <c r="AI625" t="str">
        <f>LEFT(AF625,1)</f>
        <v>A</v>
      </c>
      <c r="AJ625" t="str">
        <f>LEFT(M625,1)</f>
        <v>J</v>
      </c>
      <c r="AK625" t="str">
        <f>_xlfn.CONCAT(AG625,AH625,AI625,AJ625)</f>
        <v>CMAJ</v>
      </c>
    </row>
    <row r="626" spans="1:37" ht="15.75" hidden="1" customHeight="1" x14ac:dyDescent="0.2">
      <c r="A626" s="1">
        <v>10123001</v>
      </c>
      <c r="B626" s="1" t="s">
        <v>29</v>
      </c>
      <c r="C626" s="1" t="s">
        <v>30</v>
      </c>
      <c r="D626" s="1" t="s">
        <v>449</v>
      </c>
      <c r="E626" s="1" t="s">
        <v>450</v>
      </c>
      <c r="F626" s="1" t="s">
        <v>32</v>
      </c>
      <c r="G626" s="1" t="s">
        <v>451</v>
      </c>
      <c r="H626" s="1">
        <v>1446</v>
      </c>
      <c r="I626" s="1" t="s">
        <v>452</v>
      </c>
      <c r="J626" s="1">
        <v>433</v>
      </c>
      <c r="K626" s="1" t="s">
        <v>35</v>
      </c>
      <c r="L626" s="1">
        <v>38</v>
      </c>
      <c r="M626" s="1" t="str">
        <f>IF(L626&lt;=45,"Joven","Mayor")</f>
        <v>Joven</v>
      </c>
      <c r="N626" s="1">
        <v>29</v>
      </c>
      <c r="O626" s="1" t="s">
        <v>36</v>
      </c>
      <c r="P626" s="1">
        <v>0.36899999999999999</v>
      </c>
      <c r="Q626" s="1">
        <v>85.826999999999998</v>
      </c>
      <c r="R626" s="1">
        <v>7.5096835999999998</v>
      </c>
      <c r="S626" s="1">
        <v>5.6634406999999998</v>
      </c>
      <c r="T626" s="1">
        <v>-2.0767820000000001</v>
      </c>
      <c r="U626" s="1">
        <v>13.063000000000001</v>
      </c>
      <c r="V626" s="1">
        <v>102</v>
      </c>
      <c r="W626" s="1">
        <v>165</v>
      </c>
      <c r="X626" s="1">
        <v>1.6176470588235294</v>
      </c>
      <c r="Y626" s="1">
        <v>103</v>
      </c>
      <c r="Z626" s="1">
        <v>165</v>
      </c>
      <c r="AA626" s="1">
        <v>1.6019417475728155</v>
      </c>
      <c r="AB626" s="1">
        <v>103.52750729153099</v>
      </c>
      <c r="AC626" s="1">
        <v>164.85538279748059</v>
      </c>
      <c r="AD626" s="1">
        <v>1.5923824219320935</v>
      </c>
      <c r="AE626" t="s">
        <v>4817</v>
      </c>
      <c r="AF626" t="str">
        <f>IF(X626&lt;$AF$1,"Bajo","Alto")</f>
        <v>Bajo</v>
      </c>
      <c r="AG626" t="str">
        <f>LEFT(AE626,1)</f>
        <v>C</v>
      </c>
      <c r="AH626" t="str">
        <f>K626</f>
        <v>M</v>
      </c>
      <c r="AI626" t="str">
        <f>LEFT(AF626,1)</f>
        <v>B</v>
      </c>
      <c r="AJ626" t="str">
        <f>LEFT(M626,1)</f>
        <v>J</v>
      </c>
      <c r="AK626" t="str">
        <f>_xlfn.CONCAT(AG626,AH626,AI626,AJ626)</f>
        <v>CMBJ</v>
      </c>
    </row>
    <row r="627" spans="1:37" ht="15.75" hidden="1" customHeight="1" x14ac:dyDescent="0.2">
      <c r="A627" s="1">
        <v>10115006</v>
      </c>
      <c r="B627" s="1" t="s">
        <v>29</v>
      </c>
      <c r="C627" s="1" t="s">
        <v>30</v>
      </c>
      <c r="D627" s="1" t="s">
        <v>204</v>
      </c>
      <c r="E627" s="1" t="s">
        <v>205</v>
      </c>
      <c r="F627" s="1" t="s">
        <v>88</v>
      </c>
      <c r="G627" s="1" t="s">
        <v>211</v>
      </c>
      <c r="H627" s="1">
        <v>990</v>
      </c>
      <c r="I627" s="1" t="s">
        <v>134</v>
      </c>
      <c r="J627" s="1">
        <v>8</v>
      </c>
      <c r="K627" s="1" t="s">
        <v>49</v>
      </c>
      <c r="L627" s="1">
        <v>48</v>
      </c>
      <c r="M627" s="1" t="str">
        <f>IF(L627&lt;=45,"Joven","Mayor")</f>
        <v>Mayor</v>
      </c>
      <c r="N627" s="1">
        <v>61</v>
      </c>
      <c r="O627" s="1" t="s">
        <v>50</v>
      </c>
      <c r="P627" s="1">
        <v>0.373</v>
      </c>
      <c r="Q627" s="1">
        <v>93.649000000000001</v>
      </c>
      <c r="R627" s="1">
        <v>0.93249154000000001</v>
      </c>
      <c r="S627" s="1">
        <v>4.3935579999999996</v>
      </c>
      <c r="T627" s="1">
        <v>1.6020540999999999</v>
      </c>
      <c r="U627" s="1">
        <v>67.867999999999995</v>
      </c>
      <c r="V627" s="1">
        <v>103</v>
      </c>
      <c r="W627" s="1">
        <v>165</v>
      </c>
      <c r="X627" s="1">
        <v>1.6019417475728155</v>
      </c>
      <c r="Y627" s="1">
        <v>107</v>
      </c>
      <c r="Z627" s="1">
        <v>165</v>
      </c>
      <c r="AA627" s="1">
        <v>1.5420560747663552</v>
      </c>
      <c r="AB627" s="1">
        <v>105.8957910617862</v>
      </c>
      <c r="AC627" s="1">
        <v>165.07529108614841</v>
      </c>
      <c r="AD627" s="1">
        <v>1.5588465738910549</v>
      </c>
      <c r="AE627" t="s">
        <v>4817</v>
      </c>
      <c r="AF627" t="str">
        <f>IF(X627&lt;$AF$1,"Bajo","Alto")</f>
        <v>Bajo</v>
      </c>
      <c r="AG627" t="str">
        <f>LEFT(AE627,1)</f>
        <v>C</v>
      </c>
      <c r="AH627" t="str">
        <f>K627</f>
        <v>F</v>
      </c>
      <c r="AI627" t="str">
        <f>LEFT(AF627,1)</f>
        <v>B</v>
      </c>
      <c r="AJ627" t="str">
        <f>LEFT(M627,1)</f>
        <v>M</v>
      </c>
      <c r="AK627" t="str">
        <f>_xlfn.CONCAT(AG627,AH627,AI627,AJ627)</f>
        <v>CFBM</v>
      </c>
    </row>
    <row r="628" spans="1:37" ht="15.75" hidden="1" customHeight="1" x14ac:dyDescent="0.2">
      <c r="A628" s="1">
        <v>2910901</v>
      </c>
      <c r="B628" s="1" t="s">
        <v>3890</v>
      </c>
      <c r="C628" s="1" t="s">
        <v>1695</v>
      </c>
      <c r="D628" s="1" t="s">
        <v>460</v>
      </c>
      <c r="E628" s="1" t="s">
        <v>98</v>
      </c>
      <c r="F628" s="1" t="s">
        <v>32</v>
      </c>
      <c r="G628" s="1" t="s">
        <v>3936</v>
      </c>
      <c r="H628" s="1">
        <v>3519</v>
      </c>
      <c r="I628" s="1" t="s">
        <v>100</v>
      </c>
      <c r="J628" s="1">
        <v>1</v>
      </c>
      <c r="K628" s="1" t="s">
        <v>35</v>
      </c>
      <c r="L628" s="1">
        <v>43</v>
      </c>
      <c r="M628" s="1" t="str">
        <f>IF(L628&lt;=45,"Joven","Mayor")</f>
        <v>Joven</v>
      </c>
      <c r="N628" s="1">
        <v>57</v>
      </c>
      <c r="O628" s="1" t="s">
        <v>36</v>
      </c>
      <c r="P628" s="1">
        <v>0.3</v>
      </c>
      <c r="Q628" s="1">
        <v>91.936999999999998</v>
      </c>
      <c r="R628" s="1">
        <v>-4.2492314000000002E-3</v>
      </c>
      <c r="S628" s="1">
        <v>10.24615</v>
      </c>
      <c r="T628" s="1">
        <v>0.36552793</v>
      </c>
      <c r="U628" s="1">
        <v>5.3769999999999998</v>
      </c>
      <c r="V628" s="1">
        <v>94</v>
      </c>
      <c r="W628" s="1">
        <v>183</v>
      </c>
      <c r="X628" s="1">
        <v>1.946808510638298</v>
      </c>
      <c r="Y628" s="1">
        <v>94</v>
      </c>
      <c r="Z628" s="1">
        <v>183</v>
      </c>
      <c r="AA628" s="1">
        <v>1.946808510638298</v>
      </c>
      <c r="AB628" s="1">
        <v>94.304308985387252</v>
      </c>
      <c r="AC628" s="1">
        <v>182.97713708227869</v>
      </c>
      <c r="AD628" s="1">
        <v>1.940283949385935</v>
      </c>
      <c r="AE628" t="s">
        <v>4817</v>
      </c>
      <c r="AF628" t="str">
        <f>IF(X628&lt;$AF$1,"Bajo","Alto")</f>
        <v>Alto</v>
      </c>
      <c r="AG628" t="str">
        <f>LEFT(AE628,1)</f>
        <v>C</v>
      </c>
      <c r="AH628" t="str">
        <f>K628</f>
        <v>M</v>
      </c>
      <c r="AI628" t="str">
        <f>LEFT(AF628,1)</f>
        <v>A</v>
      </c>
      <c r="AJ628" t="str">
        <f>LEFT(M628,1)</f>
        <v>J</v>
      </c>
      <c r="AK628" t="str">
        <f>_xlfn.CONCAT(AG628,AH628,AI628,AJ628)</f>
        <v>CMAJ</v>
      </c>
    </row>
    <row r="629" spans="1:37" ht="15.75" hidden="1" customHeight="1" x14ac:dyDescent="0.2">
      <c r="A629" s="1">
        <v>298903</v>
      </c>
      <c r="B629" s="1" t="s">
        <v>3890</v>
      </c>
      <c r="C629" s="1" t="s">
        <v>1695</v>
      </c>
      <c r="D629" s="1" t="s">
        <v>4099</v>
      </c>
      <c r="E629" s="1" t="s">
        <v>4100</v>
      </c>
      <c r="F629" s="1" t="s">
        <v>63</v>
      </c>
      <c r="G629" s="1" t="s">
        <v>4103</v>
      </c>
      <c r="H629" s="1">
        <v>4252</v>
      </c>
      <c r="I629" s="1" t="s">
        <v>42</v>
      </c>
      <c r="J629" s="1">
        <v>15</v>
      </c>
      <c r="K629" s="1" t="s">
        <v>35</v>
      </c>
      <c r="L629" s="1">
        <v>37</v>
      </c>
      <c r="M629" s="1" t="str">
        <f>IF(L629&lt;=45,"Joven","Mayor")</f>
        <v>Joven</v>
      </c>
      <c r="N629" s="1">
        <v>33</v>
      </c>
      <c r="O629" s="1" t="s">
        <v>36</v>
      </c>
      <c r="P629" s="1">
        <v>0.35199999999999998</v>
      </c>
      <c r="Q629" s="1">
        <v>94.043999999999997</v>
      </c>
      <c r="R629" s="1">
        <v>1.0548202</v>
      </c>
      <c r="S629" s="1">
        <v>-2.4268649999999998</v>
      </c>
      <c r="T629" s="1">
        <v>-4.1321415999999997</v>
      </c>
      <c r="U629" s="1">
        <v>7.1479999999999997</v>
      </c>
      <c r="V629" s="1">
        <v>73</v>
      </c>
      <c r="W629" s="1">
        <v>142</v>
      </c>
      <c r="X629" s="1">
        <v>1.9452054794520548</v>
      </c>
      <c r="Y629" s="1">
        <v>76</v>
      </c>
      <c r="Z629" s="1">
        <v>142</v>
      </c>
      <c r="AA629" s="1">
        <v>1.868421052631579</v>
      </c>
      <c r="AB629" s="1">
        <v>75.404288852676018</v>
      </c>
      <c r="AC629" s="1">
        <v>141.91910139356199</v>
      </c>
      <c r="AD629" s="1">
        <v>1.8821091419725713</v>
      </c>
      <c r="AE629" t="s">
        <v>4817</v>
      </c>
      <c r="AF629" t="str">
        <f>IF(X629&lt;$AF$1,"Bajo","Alto")</f>
        <v>Alto</v>
      </c>
      <c r="AG629" t="str">
        <f>LEFT(AE629,1)</f>
        <v>C</v>
      </c>
      <c r="AH629" t="str">
        <f>K629</f>
        <v>M</v>
      </c>
      <c r="AI629" t="str">
        <f>LEFT(AF629,1)</f>
        <v>A</v>
      </c>
      <c r="AJ629" t="str">
        <f>LEFT(M629,1)</f>
        <v>J</v>
      </c>
      <c r="AK629" t="str">
        <f>_xlfn.CONCAT(AG629,AH629,AI629,AJ629)</f>
        <v>CMAJ</v>
      </c>
    </row>
    <row r="630" spans="1:37" ht="15.75" hidden="1" customHeight="1" x14ac:dyDescent="0.2">
      <c r="A630" s="1">
        <v>312802</v>
      </c>
      <c r="B630" s="1" t="s">
        <v>4122</v>
      </c>
      <c r="C630" s="1" t="s">
        <v>628</v>
      </c>
      <c r="D630" s="1" t="s">
        <v>4196</v>
      </c>
      <c r="E630" s="1" t="s">
        <v>561</v>
      </c>
      <c r="F630" s="1" t="s">
        <v>37</v>
      </c>
      <c r="G630" s="1" t="s">
        <v>4198</v>
      </c>
      <c r="H630" s="1">
        <v>8938</v>
      </c>
      <c r="I630" s="1" t="s">
        <v>65</v>
      </c>
      <c r="J630" s="1">
        <v>2</v>
      </c>
      <c r="K630" s="1" t="s">
        <v>35</v>
      </c>
      <c r="L630" s="1">
        <v>58</v>
      </c>
      <c r="M630" s="1" t="str">
        <f>IF(L630&lt;=45,"Joven","Mayor")</f>
        <v>Mayor</v>
      </c>
      <c r="N630" s="1">
        <v>59</v>
      </c>
      <c r="O630" s="1" t="s">
        <v>36</v>
      </c>
      <c r="P630" s="1">
        <v>0.47899999999999998</v>
      </c>
      <c r="Q630" s="1">
        <v>90.733999999999995</v>
      </c>
      <c r="R630" s="1">
        <v>-5.4098945000000001</v>
      </c>
      <c r="S630" s="1">
        <v>1.3877193999999999</v>
      </c>
      <c r="T630" s="1">
        <v>6.8671329999999999</v>
      </c>
      <c r="U630" s="1">
        <v>1.8480000000000001</v>
      </c>
      <c r="V630" s="1">
        <v>77</v>
      </c>
      <c r="W630" s="1">
        <v>149</v>
      </c>
      <c r="X630" s="1">
        <v>1.9350649350649352</v>
      </c>
      <c r="Y630" s="1">
        <v>87</v>
      </c>
      <c r="Z630" s="1">
        <v>149</v>
      </c>
      <c r="AA630" s="1">
        <v>1.7126436781609196</v>
      </c>
      <c r="AB630" s="1">
        <v>82.43014803934102</v>
      </c>
      <c r="AC630" s="1">
        <v>149.963732660191</v>
      </c>
      <c r="AD630" s="1">
        <v>1.819282583219656</v>
      </c>
      <c r="AE630" t="s">
        <v>4817</v>
      </c>
      <c r="AF630" t="str">
        <f>IF(X630&lt;$AF$1,"Bajo","Alto")</f>
        <v>Alto</v>
      </c>
      <c r="AG630" t="str">
        <f>LEFT(AE630,1)</f>
        <v>C</v>
      </c>
      <c r="AH630" t="str">
        <f>K630</f>
        <v>M</v>
      </c>
      <c r="AI630" t="str">
        <f>LEFT(AF630,1)</f>
        <v>A</v>
      </c>
      <c r="AJ630" t="str">
        <f>LEFT(M630,1)</f>
        <v>M</v>
      </c>
      <c r="AK630" t="str">
        <f>_xlfn.CONCAT(AG630,AH630,AI630,AJ630)</f>
        <v>CMAM</v>
      </c>
    </row>
    <row r="631" spans="1:37" ht="15.75" hidden="1" customHeight="1" x14ac:dyDescent="0.2">
      <c r="A631" s="1">
        <v>1241508</v>
      </c>
      <c r="B631" s="1" t="s">
        <v>1798</v>
      </c>
      <c r="C631" s="1" t="s">
        <v>54</v>
      </c>
      <c r="D631" s="1" t="s">
        <v>1844</v>
      </c>
      <c r="E631" s="1" t="s">
        <v>1845</v>
      </c>
      <c r="F631" s="1" t="s">
        <v>46</v>
      </c>
      <c r="G631" s="1" t="s">
        <v>1851</v>
      </c>
      <c r="H631" s="1">
        <v>2148</v>
      </c>
      <c r="I631" s="1" t="s">
        <v>65</v>
      </c>
      <c r="J631" s="1">
        <v>2</v>
      </c>
      <c r="K631" s="1" t="s">
        <v>35</v>
      </c>
      <c r="L631" s="1">
        <v>50</v>
      </c>
      <c r="M631" s="1" t="str">
        <f>IF(L631&lt;=45,"Joven","Mayor")</f>
        <v>Mayor</v>
      </c>
      <c r="N631" s="1">
        <v>70</v>
      </c>
      <c r="O631" s="1" t="s">
        <v>36</v>
      </c>
      <c r="P631" s="1">
        <v>0.76700000000000002</v>
      </c>
      <c r="Q631" s="1">
        <v>93.063000000000002</v>
      </c>
      <c r="R631" s="1">
        <v>-0.47108325000000001</v>
      </c>
      <c r="S631" s="1">
        <v>6.8026140000000002</v>
      </c>
      <c r="T631" s="1">
        <v>1.1337516999999999</v>
      </c>
      <c r="U631" s="1">
        <v>20.015000000000001</v>
      </c>
      <c r="V631" s="1">
        <v>100</v>
      </c>
      <c r="W631" s="1">
        <v>159</v>
      </c>
      <c r="X631" s="1">
        <v>1.59</v>
      </c>
      <c r="Y631" s="1">
        <v>101</v>
      </c>
      <c r="Z631" s="1">
        <v>159</v>
      </c>
      <c r="AA631" s="1">
        <v>1.5742574257425743</v>
      </c>
      <c r="AB631" s="1">
        <v>100.930170605965</v>
      </c>
      <c r="AC631" s="1">
        <v>159.04801818138961</v>
      </c>
      <c r="AD631" s="1">
        <v>1.5758223455533307</v>
      </c>
      <c r="AE631" t="s">
        <v>4817</v>
      </c>
      <c r="AF631" t="str">
        <f>IF(X631&lt;$AF$1,"Bajo","Alto")</f>
        <v>Bajo</v>
      </c>
      <c r="AG631" t="str">
        <f>LEFT(AE631,1)</f>
        <v>C</v>
      </c>
      <c r="AH631" t="str">
        <f>K631</f>
        <v>M</v>
      </c>
      <c r="AI631" t="str">
        <f>LEFT(AF631,1)</f>
        <v>B</v>
      </c>
      <c r="AJ631" t="str">
        <f>LEFT(M631,1)</f>
        <v>M</v>
      </c>
      <c r="AK631" t="str">
        <f>_xlfn.CONCAT(AG631,AH631,AI631,AJ631)</f>
        <v>CMBM</v>
      </c>
    </row>
    <row r="632" spans="1:37" ht="15.75" hidden="1" customHeight="1" x14ac:dyDescent="0.2">
      <c r="A632" s="1">
        <v>10128603</v>
      </c>
      <c r="B632" s="1" t="s">
        <v>29</v>
      </c>
      <c r="C632" s="1" t="s">
        <v>30</v>
      </c>
      <c r="D632" s="1" t="s">
        <v>575</v>
      </c>
      <c r="E632" s="1" t="s">
        <v>576</v>
      </c>
      <c r="F632" s="1" t="s">
        <v>63</v>
      </c>
      <c r="G632" s="1" t="s">
        <v>578</v>
      </c>
      <c r="H632" s="1">
        <v>1896</v>
      </c>
      <c r="I632" s="1" t="s">
        <v>108</v>
      </c>
      <c r="J632" s="1">
        <v>3</v>
      </c>
      <c r="K632" s="1" t="s">
        <v>35</v>
      </c>
      <c r="L632" s="1">
        <v>27</v>
      </c>
      <c r="M632" s="1" t="str">
        <f>IF(L632&lt;=45,"Joven","Mayor")</f>
        <v>Joven</v>
      </c>
      <c r="N632" s="1">
        <v>24</v>
      </c>
      <c r="O632" s="1" t="s">
        <v>36</v>
      </c>
      <c r="P632" s="1">
        <v>0.97199999999999998</v>
      </c>
      <c r="Q632" s="1">
        <v>91.501000000000005</v>
      </c>
      <c r="R632" s="1">
        <v>-4.4273787000000002</v>
      </c>
      <c r="S632" s="1">
        <v>1.9432707</v>
      </c>
      <c r="T632" s="1">
        <v>3.8290156999999998</v>
      </c>
      <c r="U632" s="1">
        <v>69.596999999999994</v>
      </c>
      <c r="V632" s="1">
        <v>102</v>
      </c>
      <c r="W632" s="1">
        <v>165</v>
      </c>
      <c r="X632" s="1">
        <v>1.6176470588235294</v>
      </c>
      <c r="Y632" s="1">
        <v>107</v>
      </c>
      <c r="Z632" s="1">
        <v>165</v>
      </c>
      <c r="AA632" s="1">
        <v>1.5420560747663552</v>
      </c>
      <c r="AB632" s="1">
        <v>104.7105980628783</v>
      </c>
      <c r="AC632" s="1">
        <v>165.09913774768171</v>
      </c>
      <c r="AD632" s="1">
        <v>1.5767185060727122</v>
      </c>
      <c r="AE632" t="s">
        <v>4817</v>
      </c>
      <c r="AF632" t="str">
        <f>IF(X632&lt;$AF$1,"Bajo","Alto")</f>
        <v>Bajo</v>
      </c>
      <c r="AG632" t="str">
        <f>LEFT(AE632,1)</f>
        <v>C</v>
      </c>
      <c r="AH632" t="str">
        <f>K632</f>
        <v>M</v>
      </c>
      <c r="AI632" t="str">
        <f>LEFT(AF632,1)</f>
        <v>B</v>
      </c>
      <c r="AJ632" t="str">
        <f>LEFT(M632,1)</f>
        <v>J</v>
      </c>
      <c r="AK632" t="str">
        <f>_xlfn.CONCAT(AG632,AH632,AI632,AJ632)</f>
        <v>CMBJ</v>
      </c>
    </row>
    <row r="633" spans="1:37" ht="15.75" hidden="1" customHeight="1" x14ac:dyDescent="0.2">
      <c r="A633" s="1">
        <v>256407</v>
      </c>
      <c r="B633" s="1" t="s">
        <v>3169</v>
      </c>
      <c r="C633" s="1" t="s">
        <v>821</v>
      </c>
      <c r="D633" s="1" t="s">
        <v>3295</v>
      </c>
      <c r="E633" s="1" t="s">
        <v>710</v>
      </c>
      <c r="F633" s="1" t="s">
        <v>43</v>
      </c>
      <c r="G633" s="1" t="s">
        <v>3297</v>
      </c>
      <c r="H633" s="1">
        <v>1797</v>
      </c>
      <c r="I633" s="1" t="s">
        <v>3298</v>
      </c>
      <c r="J633" s="1">
        <v>3916</v>
      </c>
      <c r="K633" s="1" t="s">
        <v>35</v>
      </c>
      <c r="L633" s="1">
        <v>35</v>
      </c>
      <c r="M633" s="1" t="str">
        <f>IF(L633&lt;=45,"Joven","Mayor")</f>
        <v>Joven</v>
      </c>
      <c r="N633" s="1">
        <v>42</v>
      </c>
      <c r="O633" s="1" t="s">
        <v>36</v>
      </c>
      <c r="P633" s="1">
        <v>0.35899999999999999</v>
      </c>
      <c r="Q633" s="1">
        <v>90.081000000000003</v>
      </c>
      <c r="R633" s="1">
        <v>5.2730885000000001</v>
      </c>
      <c r="S633" s="1">
        <v>4.1384030000000003</v>
      </c>
      <c r="T633" s="1">
        <v>-6.6451380000000002</v>
      </c>
      <c r="U633" s="1">
        <v>54.854999999999997</v>
      </c>
      <c r="V633" s="1">
        <v>102</v>
      </c>
      <c r="W633" s="1">
        <v>165</v>
      </c>
      <c r="X633" s="1">
        <v>1.6176470588235294</v>
      </c>
      <c r="Y633" s="1">
        <v>103</v>
      </c>
      <c r="Z633" s="1">
        <v>165</v>
      </c>
      <c r="AA633" s="1">
        <v>1.6019417475728155</v>
      </c>
      <c r="AB633" s="1">
        <v>106.1749821471803</v>
      </c>
      <c r="AC633" s="1">
        <v>164.35439380134309</v>
      </c>
      <c r="AD633" s="1">
        <v>1.5479578190417229</v>
      </c>
      <c r="AE633" t="s">
        <v>4817</v>
      </c>
      <c r="AF633" t="str">
        <f>IF(X633&lt;$AF$1,"Bajo","Alto")</f>
        <v>Bajo</v>
      </c>
      <c r="AG633" t="str">
        <f>LEFT(AE633,1)</f>
        <v>C</v>
      </c>
      <c r="AH633" t="str">
        <f>K633</f>
        <v>M</v>
      </c>
      <c r="AI633" t="str">
        <f>LEFT(AF633,1)</f>
        <v>B</v>
      </c>
      <c r="AJ633" t="str">
        <f>LEFT(M633,1)</f>
        <v>J</v>
      </c>
      <c r="AK633" t="str">
        <f>_xlfn.CONCAT(AG633,AH633,AI633,AJ633)</f>
        <v>CMBJ</v>
      </c>
    </row>
    <row r="634" spans="1:37" ht="15.75" hidden="1" customHeight="1" x14ac:dyDescent="0.2">
      <c r="A634" s="1">
        <v>1510002</v>
      </c>
      <c r="B634" s="1" t="s">
        <v>2077</v>
      </c>
      <c r="C634" s="1" t="s">
        <v>57</v>
      </c>
      <c r="D634" s="1" t="s">
        <v>2090</v>
      </c>
      <c r="E634" s="1" t="s">
        <v>70</v>
      </c>
      <c r="F634" s="1" t="s">
        <v>37</v>
      </c>
      <c r="G634" s="1" t="s">
        <v>2093</v>
      </c>
      <c r="H634" s="1">
        <v>2011</v>
      </c>
      <c r="I634" s="1" t="s">
        <v>2094</v>
      </c>
      <c r="J634" s="1">
        <v>2674</v>
      </c>
      <c r="K634" s="1" t="s">
        <v>35</v>
      </c>
      <c r="L634" s="1">
        <v>55</v>
      </c>
      <c r="M634" s="1" t="str">
        <f>IF(L634&lt;=45,"Joven","Mayor")</f>
        <v>Mayor</v>
      </c>
      <c r="N634" s="1">
        <v>58</v>
      </c>
      <c r="O634" s="1" t="s">
        <v>36</v>
      </c>
      <c r="P634" s="1">
        <v>8.6999999999999994E-2</v>
      </c>
      <c r="Q634" s="1">
        <v>88.325999999999993</v>
      </c>
      <c r="R634" s="1">
        <v>7.0797056999999999</v>
      </c>
      <c r="S634" s="1">
        <v>2.0553113999999999</v>
      </c>
      <c r="T634" s="1">
        <v>-5.2436594999999997</v>
      </c>
      <c r="U634" s="1">
        <v>5.2530000000000001</v>
      </c>
      <c r="V634" s="1">
        <v>100</v>
      </c>
      <c r="W634" s="1">
        <v>159</v>
      </c>
      <c r="X634" s="1">
        <v>1.59</v>
      </c>
      <c r="Y634" s="1">
        <v>104</v>
      </c>
      <c r="Z634" s="1">
        <v>159</v>
      </c>
      <c r="AA634" s="1">
        <v>1.5288461538461537</v>
      </c>
      <c r="AB634" s="1">
        <v>103.87690145620449</v>
      </c>
      <c r="AC634" s="1">
        <v>158.8829410366516</v>
      </c>
      <c r="AD634" s="1">
        <v>1.5295310007262604</v>
      </c>
      <c r="AE634" t="s">
        <v>4817</v>
      </c>
      <c r="AF634" t="str">
        <f>IF(X634&lt;$AF$1,"Bajo","Alto")</f>
        <v>Bajo</v>
      </c>
      <c r="AG634" t="str">
        <f>LEFT(AE634,1)</f>
        <v>C</v>
      </c>
      <c r="AH634" t="str">
        <f>K634</f>
        <v>M</v>
      </c>
      <c r="AI634" t="str">
        <f>LEFT(AF634,1)</f>
        <v>B</v>
      </c>
      <c r="AJ634" t="str">
        <f>LEFT(M634,1)</f>
        <v>M</v>
      </c>
      <c r="AK634" t="str">
        <f>_xlfn.CONCAT(AG634,AH634,AI634,AJ634)</f>
        <v>CMBM</v>
      </c>
    </row>
    <row r="635" spans="1:37" ht="15.75" hidden="1" customHeight="1" x14ac:dyDescent="0.2">
      <c r="A635" s="1">
        <v>1035806</v>
      </c>
      <c r="B635" s="1" t="s">
        <v>783</v>
      </c>
      <c r="C635" s="1" t="s">
        <v>81</v>
      </c>
      <c r="D635" s="1" t="s">
        <v>871</v>
      </c>
      <c r="E635" s="1" t="s">
        <v>695</v>
      </c>
      <c r="F635" s="1" t="s">
        <v>88</v>
      </c>
      <c r="G635" s="1" t="s">
        <v>873</v>
      </c>
      <c r="H635" s="1">
        <v>1043</v>
      </c>
      <c r="I635" s="1" t="s">
        <v>874</v>
      </c>
      <c r="J635" s="1">
        <v>4276</v>
      </c>
      <c r="K635" s="1" t="s">
        <v>35</v>
      </c>
      <c r="L635" s="1">
        <v>42</v>
      </c>
      <c r="M635" s="1" t="str">
        <f>IF(L635&lt;=45,"Joven","Mayor")</f>
        <v>Joven</v>
      </c>
      <c r="N635" s="1">
        <v>39</v>
      </c>
      <c r="O635" s="1" t="s">
        <v>36</v>
      </c>
      <c r="P635" s="1">
        <v>0.374</v>
      </c>
      <c r="Q635" s="1">
        <v>94.293999999999997</v>
      </c>
      <c r="R635" s="1">
        <v>5.9525099999999997E-2</v>
      </c>
      <c r="S635" s="1">
        <v>3.4945580000000001</v>
      </c>
      <c r="T635" s="1">
        <v>-2.5424025000000001</v>
      </c>
      <c r="U635" s="1">
        <v>8.7940000000000005</v>
      </c>
      <c r="V635" s="1">
        <v>89</v>
      </c>
      <c r="W635" s="1">
        <v>144</v>
      </c>
      <c r="X635" s="1">
        <v>1.6179775280898876</v>
      </c>
      <c r="Y635" s="1">
        <v>90</v>
      </c>
      <c r="Z635" s="1">
        <v>144</v>
      </c>
      <c r="AA635" s="1">
        <v>1.6</v>
      </c>
      <c r="AB635" s="1">
        <v>91.774476857364789</v>
      </c>
      <c r="AC635" s="1">
        <v>144.0800497037549</v>
      </c>
      <c r="AD635" s="1">
        <v>1.5699359412059961</v>
      </c>
      <c r="AE635" t="s">
        <v>4817</v>
      </c>
      <c r="AF635" t="str">
        <f>IF(X635&lt;$AF$1,"Bajo","Alto")</f>
        <v>Bajo</v>
      </c>
      <c r="AG635" t="str">
        <f>LEFT(AE635,1)</f>
        <v>C</v>
      </c>
      <c r="AH635" t="str">
        <f>K635</f>
        <v>M</v>
      </c>
      <c r="AI635" t="str">
        <f>LEFT(AF635,1)</f>
        <v>B</v>
      </c>
      <c r="AJ635" t="str">
        <f>LEFT(M635,1)</f>
        <v>J</v>
      </c>
      <c r="AK635" t="str">
        <f>_xlfn.CONCAT(AG635,AH635,AI635,AJ635)</f>
        <v>CMBJ</v>
      </c>
    </row>
    <row r="636" spans="1:37" ht="15.75" hidden="1" customHeight="1" x14ac:dyDescent="0.2">
      <c r="A636" s="1">
        <v>291002</v>
      </c>
      <c r="B636" s="1" t="s">
        <v>3890</v>
      </c>
      <c r="C636" s="1" t="s">
        <v>1695</v>
      </c>
      <c r="D636" s="1" t="s">
        <v>3918</v>
      </c>
      <c r="E636" s="1" t="s">
        <v>75</v>
      </c>
      <c r="F636" s="1" t="s">
        <v>37</v>
      </c>
      <c r="G636" s="1" t="s">
        <v>3920</v>
      </c>
      <c r="H636" s="1">
        <v>2099</v>
      </c>
      <c r="I636" s="1" t="s">
        <v>39</v>
      </c>
      <c r="J636" s="1">
        <v>11</v>
      </c>
      <c r="K636" s="1" t="s">
        <v>35</v>
      </c>
      <c r="L636" s="1">
        <v>53</v>
      </c>
      <c r="M636" s="1" t="str">
        <f>IF(L636&lt;=45,"Joven","Mayor")</f>
        <v>Mayor</v>
      </c>
      <c r="N636" s="1">
        <v>64</v>
      </c>
      <c r="O636" s="1" t="s">
        <v>36</v>
      </c>
      <c r="P636" s="1">
        <v>0.35199999999999998</v>
      </c>
      <c r="Q636" s="1">
        <v>90.426000000000002</v>
      </c>
      <c r="R636" s="1">
        <v>-5.7286352999999997</v>
      </c>
      <c r="S636" s="1">
        <v>-1.2435</v>
      </c>
      <c r="T636" s="1">
        <v>3.711525</v>
      </c>
      <c r="U636" s="1">
        <v>27.934999999999999</v>
      </c>
      <c r="V636" s="1">
        <v>83</v>
      </c>
      <c r="W636" s="1">
        <v>163</v>
      </c>
      <c r="X636" s="1">
        <v>1.963855421686747</v>
      </c>
      <c r="Y636" s="1">
        <v>88</v>
      </c>
      <c r="Z636" s="1">
        <v>163</v>
      </c>
      <c r="AA636" s="1">
        <v>1.8522727272727273</v>
      </c>
      <c r="AB636" s="1">
        <v>85.544704797913482</v>
      </c>
      <c r="AC636" s="1">
        <v>162.9170587937879</v>
      </c>
      <c r="AD636" s="1">
        <v>1.9044669004195525</v>
      </c>
      <c r="AE636" t="s">
        <v>4816</v>
      </c>
      <c r="AF636" t="str">
        <f>IF(X636&lt;$AF$1,"Bajo","Alto")</f>
        <v>Alto</v>
      </c>
      <c r="AG636" t="str">
        <f>LEFT(AE636,1)</f>
        <v>D</v>
      </c>
      <c r="AH636" t="str">
        <f>K636</f>
        <v>M</v>
      </c>
      <c r="AI636" t="str">
        <f>LEFT(AF636,1)</f>
        <v>A</v>
      </c>
      <c r="AJ636" t="str">
        <f>LEFT(M636,1)</f>
        <v>M</v>
      </c>
      <c r="AK636" t="str">
        <f>_xlfn.CONCAT(AG636,AH636,AI636,AJ636)</f>
        <v>DMAM</v>
      </c>
    </row>
    <row r="637" spans="1:37" ht="15.75" hidden="1" customHeight="1" x14ac:dyDescent="0.2">
      <c r="A637" s="1">
        <v>2812002</v>
      </c>
      <c r="B637" s="1" t="s">
        <v>1775</v>
      </c>
      <c r="C637" s="1" t="s">
        <v>561</v>
      </c>
      <c r="D637" s="1" t="s">
        <v>3783</v>
      </c>
      <c r="E637" s="1" t="s">
        <v>1564</v>
      </c>
      <c r="F637" s="1" t="s">
        <v>37</v>
      </c>
      <c r="G637" s="1" t="s">
        <v>3784</v>
      </c>
      <c r="H637" s="1">
        <v>3499</v>
      </c>
      <c r="I637" s="1" t="s">
        <v>85</v>
      </c>
      <c r="J637" s="1">
        <v>12</v>
      </c>
      <c r="K637" s="1" t="s">
        <v>35</v>
      </c>
      <c r="L637" s="1">
        <v>51</v>
      </c>
      <c r="M637" s="1" t="str">
        <f>IF(L637&lt;=45,"Joven","Mayor")</f>
        <v>Mayor</v>
      </c>
      <c r="N637" s="1">
        <v>61</v>
      </c>
      <c r="O637" s="1" t="s">
        <v>36</v>
      </c>
      <c r="P637" s="1">
        <v>1.1659999999999999</v>
      </c>
      <c r="Q637" s="1">
        <v>91.634</v>
      </c>
      <c r="R637" s="1">
        <v>-4.1610820000000004</v>
      </c>
      <c r="S637" s="1">
        <v>2.2036948000000001</v>
      </c>
      <c r="T637" s="1">
        <v>1.76197</v>
      </c>
      <c r="U637" s="1">
        <v>7.1379999999999999</v>
      </c>
      <c r="V637" s="1">
        <v>110</v>
      </c>
      <c r="W637" s="1">
        <v>176</v>
      </c>
      <c r="X637" s="1">
        <v>1.6</v>
      </c>
      <c r="Y637" s="1">
        <v>111</v>
      </c>
      <c r="Z637" s="1">
        <v>176</v>
      </c>
      <c r="AA637" s="1">
        <v>1.5855855855855856</v>
      </c>
      <c r="AB637" s="1">
        <v>111.17788403521691</v>
      </c>
      <c r="AC637" s="1">
        <v>175.82454327847381</v>
      </c>
      <c r="AD637" s="1">
        <v>1.5814704948223275</v>
      </c>
      <c r="AE637" t="s">
        <v>4815</v>
      </c>
      <c r="AF637" t="str">
        <f>IF(X637&lt;$AF$1,"Bajo","Alto")</f>
        <v>Bajo</v>
      </c>
      <c r="AG637" t="str">
        <f>LEFT(AE637,1)</f>
        <v>I</v>
      </c>
      <c r="AH637" t="str">
        <f>K637</f>
        <v>M</v>
      </c>
      <c r="AI637" t="str">
        <f>LEFT(AF637,1)</f>
        <v>B</v>
      </c>
      <c r="AJ637" t="str">
        <f>LEFT(M637,1)</f>
        <v>M</v>
      </c>
      <c r="AK637" t="str">
        <f>_xlfn.CONCAT(AG637,AH637,AI637,AJ637)</f>
        <v>IMBM</v>
      </c>
    </row>
    <row r="638" spans="1:37" ht="15.75" hidden="1" customHeight="1" x14ac:dyDescent="0.2">
      <c r="A638" s="1">
        <v>295809</v>
      </c>
      <c r="B638" s="1" t="s">
        <v>3890</v>
      </c>
      <c r="C638" s="1" t="s">
        <v>1695</v>
      </c>
      <c r="D638" s="1" t="s">
        <v>4035</v>
      </c>
      <c r="E638" s="1" t="s">
        <v>695</v>
      </c>
      <c r="F638" s="1" t="s">
        <v>189</v>
      </c>
      <c r="G638" s="1" t="s">
        <v>4044</v>
      </c>
      <c r="H638" s="1">
        <v>77</v>
      </c>
      <c r="I638" s="1" t="s">
        <v>93</v>
      </c>
      <c r="J638" s="1">
        <v>9</v>
      </c>
      <c r="K638" s="1" t="s">
        <v>35</v>
      </c>
      <c r="L638" s="1">
        <v>66</v>
      </c>
      <c r="M638" s="1" t="str">
        <f>IF(L638&lt;=45,"Joven","Mayor")</f>
        <v>Mayor</v>
      </c>
      <c r="N638" s="1">
        <v>61</v>
      </c>
      <c r="O638" s="1" t="s">
        <v>36</v>
      </c>
      <c r="P638" s="1">
        <v>2.823</v>
      </c>
      <c r="Q638" s="1">
        <v>92.242999999999995</v>
      </c>
      <c r="R638" s="1">
        <v>1.3953247</v>
      </c>
      <c r="S638" s="1">
        <v>5.8529049999999998</v>
      </c>
      <c r="T638" s="1">
        <v>-4.5777283000000004</v>
      </c>
      <c r="U638" s="1">
        <v>1.141</v>
      </c>
      <c r="V638" s="1">
        <v>95</v>
      </c>
      <c r="W638" s="1">
        <v>152</v>
      </c>
      <c r="X638" s="1">
        <v>1.6</v>
      </c>
      <c r="Y638" s="1">
        <v>97</v>
      </c>
      <c r="Z638" s="1">
        <v>152</v>
      </c>
      <c r="AA638" s="1">
        <v>1.5670103092783505</v>
      </c>
      <c r="AB638" s="1">
        <v>98.52789775750216</v>
      </c>
      <c r="AC638" s="1">
        <v>152.15360824737351</v>
      </c>
      <c r="AD638" s="1">
        <v>1.5442693055509567</v>
      </c>
      <c r="AE638" t="s">
        <v>4815</v>
      </c>
      <c r="AF638" t="str">
        <f>IF(X638&lt;$AF$1,"Bajo","Alto")</f>
        <v>Bajo</v>
      </c>
      <c r="AG638" t="str">
        <f>LEFT(AE638,1)</f>
        <v>I</v>
      </c>
      <c r="AH638" t="str">
        <f>K638</f>
        <v>M</v>
      </c>
      <c r="AI638" t="str">
        <f>LEFT(AF638,1)</f>
        <v>B</v>
      </c>
      <c r="AJ638" t="str">
        <f>LEFT(M638,1)</f>
        <v>M</v>
      </c>
      <c r="AK638" t="str">
        <f>_xlfn.CONCAT(AG638,AH638,AI638,AJ638)</f>
        <v>IMBM</v>
      </c>
    </row>
    <row r="639" spans="1:37" ht="15.75" hidden="1" customHeight="1" x14ac:dyDescent="0.2">
      <c r="A639" s="1">
        <v>1076708</v>
      </c>
      <c r="B639" s="1" t="s">
        <v>1067</v>
      </c>
      <c r="C639" s="1" t="s">
        <v>1068</v>
      </c>
      <c r="D639" s="1" t="s">
        <v>1467</v>
      </c>
      <c r="E639" s="1" t="s">
        <v>715</v>
      </c>
      <c r="F639" s="1" t="s">
        <v>46</v>
      </c>
      <c r="G639" s="1" t="s">
        <v>1476</v>
      </c>
      <c r="H639" s="1">
        <v>11749</v>
      </c>
      <c r="I639" s="1" t="s">
        <v>1477</v>
      </c>
      <c r="J639" s="1">
        <v>3212</v>
      </c>
      <c r="K639" s="1" t="s">
        <v>35</v>
      </c>
      <c r="L639" s="1">
        <v>38</v>
      </c>
      <c r="M639" s="1" t="str">
        <f>IF(L639&lt;=45,"Joven","Mayor")</f>
        <v>Joven</v>
      </c>
      <c r="N639" s="1">
        <v>43</v>
      </c>
      <c r="O639" s="1" t="s">
        <v>36</v>
      </c>
      <c r="P639" s="1">
        <v>0.1</v>
      </c>
      <c r="Q639" s="1">
        <v>91.724999999999994</v>
      </c>
      <c r="R639" s="1">
        <v>4.1395283000000003</v>
      </c>
      <c r="S639" s="1">
        <v>-3.1527134999999999</v>
      </c>
      <c r="T639" s="1">
        <v>2.5638359999999998</v>
      </c>
      <c r="U639" s="1">
        <v>17.774999999999999</v>
      </c>
      <c r="V639" s="1">
        <v>71</v>
      </c>
      <c r="W639" s="1">
        <v>138</v>
      </c>
      <c r="X639" s="1">
        <v>1.943661971830986</v>
      </c>
      <c r="Y639" s="1">
        <v>74</v>
      </c>
      <c r="Z639" s="1">
        <v>138</v>
      </c>
      <c r="AA639" s="1">
        <v>1.8648648648648649</v>
      </c>
      <c r="AB639" s="1">
        <v>72.539297345276736</v>
      </c>
      <c r="AC639" s="1">
        <v>137.99605976490469</v>
      </c>
      <c r="AD639" s="1">
        <v>1.9023627856231233</v>
      </c>
      <c r="AE639" t="s">
        <v>4817</v>
      </c>
      <c r="AF639" t="str">
        <f>IF(X639&lt;$AF$1,"Bajo","Alto")</f>
        <v>Alto</v>
      </c>
      <c r="AG639" t="str">
        <f>LEFT(AE639,1)</f>
        <v>C</v>
      </c>
      <c r="AH639" t="str">
        <f>K639</f>
        <v>M</v>
      </c>
      <c r="AI639" t="str">
        <f>LEFT(AF639,1)</f>
        <v>A</v>
      </c>
      <c r="AJ639" t="str">
        <f>LEFT(M639,1)</f>
        <v>J</v>
      </c>
      <c r="AK639" t="str">
        <f>_xlfn.CONCAT(AG639,AH639,AI639,AJ639)</f>
        <v>CMAJ</v>
      </c>
    </row>
    <row r="640" spans="1:37" ht="15.75" hidden="1" customHeight="1" x14ac:dyDescent="0.2">
      <c r="A640" s="1">
        <v>641305</v>
      </c>
      <c r="B640" s="1" t="s">
        <v>4718</v>
      </c>
      <c r="C640" s="1" t="s">
        <v>710</v>
      </c>
      <c r="D640" s="1" t="s">
        <v>438</v>
      </c>
      <c r="E640" s="1" t="s">
        <v>163</v>
      </c>
      <c r="F640" s="1" t="s">
        <v>40</v>
      </c>
      <c r="G640" s="1" t="s">
        <v>4745</v>
      </c>
      <c r="H640" s="1">
        <v>1972</v>
      </c>
      <c r="I640" s="1" t="s">
        <v>1426</v>
      </c>
      <c r="J640" s="1">
        <v>2159</v>
      </c>
      <c r="K640" s="1" t="s">
        <v>49</v>
      </c>
      <c r="L640" s="1">
        <v>38</v>
      </c>
      <c r="M640" s="1" t="str">
        <f>IF(L640&lt;=45,"Joven","Mayor")</f>
        <v>Joven</v>
      </c>
      <c r="N640" s="1">
        <v>25</v>
      </c>
      <c r="O640" s="1" t="s">
        <v>50</v>
      </c>
      <c r="P640" s="1">
        <v>0.84299999999999997</v>
      </c>
      <c r="Q640" s="1">
        <v>90.588999999999999</v>
      </c>
      <c r="R640" s="1">
        <v>4.4271625999999999</v>
      </c>
      <c r="S640" s="1">
        <v>4.9496416999999999</v>
      </c>
      <c r="T640" s="1">
        <v>-3.7431011000000001</v>
      </c>
      <c r="U640" s="1">
        <v>74.680000000000007</v>
      </c>
      <c r="V640" s="1">
        <v>64</v>
      </c>
      <c r="W640" s="1">
        <v>104</v>
      </c>
      <c r="X640" s="1">
        <v>1.625</v>
      </c>
      <c r="Y640" s="1">
        <v>64</v>
      </c>
      <c r="Z640" s="1">
        <v>104</v>
      </c>
      <c r="AA640" s="1">
        <v>1.625</v>
      </c>
      <c r="AB640" s="1">
        <v>65.56083205938603</v>
      </c>
      <c r="AC640" s="1">
        <v>103.7781462742937</v>
      </c>
      <c r="AD640" s="1">
        <v>1.5829290601481358</v>
      </c>
      <c r="AE640" t="s">
        <v>4817</v>
      </c>
      <c r="AF640" t="str">
        <f>IF(X640&lt;$AF$1,"Bajo","Alto")</f>
        <v>Bajo</v>
      </c>
      <c r="AG640" t="str">
        <f>LEFT(AE640,1)</f>
        <v>C</v>
      </c>
      <c r="AH640" t="str">
        <f>K640</f>
        <v>F</v>
      </c>
      <c r="AI640" t="str">
        <f>LEFT(AF640,1)</f>
        <v>B</v>
      </c>
      <c r="AJ640" t="str">
        <f>LEFT(M640,1)</f>
        <v>J</v>
      </c>
      <c r="AK640" t="str">
        <f>_xlfn.CONCAT(AG640,AH640,AI640,AJ640)</f>
        <v>CFBJ</v>
      </c>
    </row>
    <row r="641" spans="1:37" ht="15.75" hidden="1" customHeight="1" x14ac:dyDescent="0.2">
      <c r="A641" s="1">
        <v>2822002</v>
      </c>
      <c r="B641" s="1" t="s">
        <v>1775</v>
      </c>
      <c r="C641" s="1" t="s">
        <v>561</v>
      </c>
      <c r="D641" s="1" t="s">
        <v>3817</v>
      </c>
      <c r="E641" s="1" t="s">
        <v>414</v>
      </c>
      <c r="F641" s="1" t="s">
        <v>37</v>
      </c>
      <c r="G641" s="1" t="s">
        <v>3818</v>
      </c>
      <c r="H641" s="1">
        <v>7309</v>
      </c>
      <c r="I641" s="1" t="s">
        <v>294</v>
      </c>
      <c r="J641" s="1">
        <v>16</v>
      </c>
      <c r="K641" s="1" t="s">
        <v>35</v>
      </c>
      <c r="L641" s="1">
        <v>44</v>
      </c>
      <c r="M641" s="1" t="str">
        <f>IF(L641&lt;=45,"Joven","Mayor")</f>
        <v>Joven</v>
      </c>
      <c r="N641" s="1">
        <v>54</v>
      </c>
      <c r="O641" s="1" t="s">
        <v>36</v>
      </c>
      <c r="P641" s="1">
        <v>4.2999999999999997E-2</v>
      </c>
      <c r="Q641" s="1">
        <v>87.923000000000002</v>
      </c>
      <c r="R641" s="1">
        <v>6.0666679999999999</v>
      </c>
      <c r="S641" s="1">
        <v>6.7334733</v>
      </c>
      <c r="T641" s="1">
        <v>-4.3789049999999996</v>
      </c>
      <c r="U641" s="1">
        <v>0.84599999999999997</v>
      </c>
      <c r="V641" s="1">
        <v>89</v>
      </c>
      <c r="W641" s="1">
        <v>144</v>
      </c>
      <c r="X641" s="1">
        <v>1.6179775280898876</v>
      </c>
      <c r="Y641" s="1">
        <v>89</v>
      </c>
      <c r="Z641" s="1">
        <v>144</v>
      </c>
      <c r="AA641" s="1">
        <v>1.6179775280898876</v>
      </c>
      <c r="AB641" s="1">
        <v>91.25981656300155</v>
      </c>
      <c r="AC641" s="1">
        <v>143.57965404185461</v>
      </c>
      <c r="AD641" s="1">
        <v>1.5733064063605022</v>
      </c>
      <c r="AE641" t="s">
        <v>4817</v>
      </c>
      <c r="AF641" t="str">
        <f>IF(X641&lt;$AF$1,"Bajo","Alto")</f>
        <v>Bajo</v>
      </c>
      <c r="AG641" t="str">
        <f>LEFT(AE641,1)</f>
        <v>C</v>
      </c>
      <c r="AH641" t="str">
        <f>K641</f>
        <v>M</v>
      </c>
      <c r="AI641" t="str">
        <f>LEFT(AF641,1)</f>
        <v>B</v>
      </c>
      <c r="AJ641" t="str">
        <f>LEFT(M641,1)</f>
        <v>J</v>
      </c>
      <c r="AK641" t="str">
        <f>_xlfn.CONCAT(AG641,AH641,AI641,AJ641)</f>
        <v>CMBJ</v>
      </c>
    </row>
    <row r="642" spans="1:37" ht="15.75" hidden="1" customHeight="1" x14ac:dyDescent="0.2">
      <c r="A642" s="1">
        <v>1078803</v>
      </c>
      <c r="B642" s="1" t="s">
        <v>1067</v>
      </c>
      <c r="C642" s="1" t="s">
        <v>1068</v>
      </c>
      <c r="D642" s="1" t="s">
        <v>1511</v>
      </c>
      <c r="E642" s="1" t="s">
        <v>763</v>
      </c>
      <c r="F642" s="1" t="s">
        <v>63</v>
      </c>
      <c r="G642" s="1" t="s">
        <v>1513</v>
      </c>
      <c r="H642" s="1">
        <v>130</v>
      </c>
      <c r="I642" s="1" t="s">
        <v>108</v>
      </c>
      <c r="J642" s="1">
        <v>3</v>
      </c>
      <c r="K642" s="1" t="s">
        <v>35</v>
      </c>
      <c r="L642" s="1">
        <v>28</v>
      </c>
      <c r="M642" s="1" t="str">
        <f>IF(L642&lt;=45,"Joven","Mayor")</f>
        <v>Joven</v>
      </c>
      <c r="N642" s="1">
        <v>34</v>
      </c>
      <c r="O642" s="1" t="s">
        <v>36</v>
      </c>
      <c r="P642" s="1">
        <v>0.22900000000000001</v>
      </c>
      <c r="Q642" s="1">
        <v>90.766000000000005</v>
      </c>
      <c r="R642" s="1">
        <v>2.2638695000000002</v>
      </c>
      <c r="S642" s="1">
        <v>9.478491</v>
      </c>
      <c r="T642" s="1">
        <v>-6.4564833999999998</v>
      </c>
      <c r="U642" s="1">
        <v>53.463999999999999</v>
      </c>
      <c r="V642" s="1">
        <v>71</v>
      </c>
      <c r="W642" s="1">
        <v>138</v>
      </c>
      <c r="X642" s="1">
        <v>1.943661971830986</v>
      </c>
      <c r="Y642" s="1">
        <v>74</v>
      </c>
      <c r="Z642" s="1">
        <v>138</v>
      </c>
      <c r="AA642" s="1">
        <v>1.8648648648648649</v>
      </c>
      <c r="AB642" s="1">
        <v>74.935179559642165</v>
      </c>
      <c r="AC642" s="1">
        <v>137.79943293430281</v>
      </c>
      <c r="AD642" s="1">
        <v>1.8389150962749869</v>
      </c>
      <c r="AE642" t="s">
        <v>4817</v>
      </c>
      <c r="AF642" t="str">
        <f>IF(X642&lt;$AF$1,"Bajo","Alto")</f>
        <v>Alto</v>
      </c>
      <c r="AG642" t="str">
        <f>LEFT(AE642,1)</f>
        <v>C</v>
      </c>
      <c r="AH642" t="str">
        <f>K642</f>
        <v>M</v>
      </c>
      <c r="AI642" t="str">
        <f>LEFT(AF642,1)</f>
        <v>A</v>
      </c>
      <c r="AJ642" t="str">
        <f>LEFT(M642,1)</f>
        <v>J</v>
      </c>
      <c r="AK642" t="str">
        <f>_xlfn.CONCAT(AG642,AH642,AI642,AJ642)</f>
        <v>CMAJ</v>
      </c>
    </row>
    <row r="643" spans="1:37" ht="15.75" hidden="1" customHeight="1" x14ac:dyDescent="0.2">
      <c r="A643" s="1">
        <v>1522001</v>
      </c>
      <c r="B643" s="1" t="s">
        <v>2077</v>
      </c>
      <c r="C643" s="1" t="s">
        <v>57</v>
      </c>
      <c r="D643" s="1" t="s">
        <v>2256</v>
      </c>
      <c r="E643" s="1" t="s">
        <v>414</v>
      </c>
      <c r="F643" s="1" t="s">
        <v>32</v>
      </c>
      <c r="G643" s="1" t="s">
        <v>2257</v>
      </c>
      <c r="H643" s="1">
        <v>3246</v>
      </c>
      <c r="I643" s="1" t="s">
        <v>2258</v>
      </c>
      <c r="J643" s="1">
        <v>2817</v>
      </c>
      <c r="K643" s="1" t="s">
        <v>35</v>
      </c>
      <c r="L643" s="1">
        <v>59</v>
      </c>
      <c r="M643" s="1" t="str">
        <f>IF(L643&lt;=45,"Joven","Mayor")</f>
        <v>Mayor</v>
      </c>
      <c r="N643" s="1">
        <v>65</v>
      </c>
      <c r="O643" s="1" t="s">
        <v>36</v>
      </c>
      <c r="P643" s="1">
        <v>0.13200000000000001</v>
      </c>
      <c r="Q643" s="1">
        <v>85.384</v>
      </c>
      <c r="R643" s="1">
        <v>8.2922530000000005</v>
      </c>
      <c r="S643" s="1">
        <v>3.5581640999999999</v>
      </c>
      <c r="T643" s="1">
        <v>-4.1230145</v>
      </c>
      <c r="U643" s="1">
        <v>17.722000000000001</v>
      </c>
      <c r="V643" s="1">
        <v>103</v>
      </c>
      <c r="W643" s="1">
        <v>164</v>
      </c>
      <c r="X643" s="1">
        <v>1.5922330097087378</v>
      </c>
      <c r="Y643" s="1">
        <v>103</v>
      </c>
      <c r="Z643" s="1">
        <v>164</v>
      </c>
      <c r="AA643" s="1">
        <v>1.5922330097087378</v>
      </c>
      <c r="AB643" s="1">
        <v>106.1126444965869</v>
      </c>
      <c r="AC643" s="1">
        <v>163.86315764452459</v>
      </c>
      <c r="AD643" s="1">
        <v>1.5442378089992399</v>
      </c>
      <c r="AE643" t="s">
        <v>4817</v>
      </c>
      <c r="AF643" t="str">
        <f>IF(X643&lt;$AF$1,"Bajo","Alto")</f>
        <v>Bajo</v>
      </c>
      <c r="AG643" t="str">
        <f>LEFT(AE643,1)</f>
        <v>C</v>
      </c>
      <c r="AH643" t="str">
        <f>K643</f>
        <v>M</v>
      </c>
      <c r="AI643" t="str">
        <f>LEFT(AF643,1)</f>
        <v>B</v>
      </c>
      <c r="AJ643" t="str">
        <f>LEFT(M643,1)</f>
        <v>M</v>
      </c>
      <c r="AK643" t="str">
        <f>_xlfn.CONCAT(AG643,AH643,AI643,AJ643)</f>
        <v>CMBM</v>
      </c>
    </row>
    <row r="644" spans="1:37" ht="15.75" hidden="1" customHeight="1" x14ac:dyDescent="0.2">
      <c r="A644" s="1">
        <v>2311801</v>
      </c>
      <c r="B644" s="1" t="s">
        <v>319</v>
      </c>
      <c r="C644" s="1" t="s">
        <v>1989</v>
      </c>
      <c r="D644" s="1" t="s">
        <v>2946</v>
      </c>
      <c r="E644" s="1" t="s">
        <v>129</v>
      </c>
      <c r="F644" s="1" t="s">
        <v>32</v>
      </c>
      <c r="G644" s="1" t="s">
        <v>2947</v>
      </c>
      <c r="H644" s="1">
        <v>130</v>
      </c>
      <c r="I644" s="1" t="s">
        <v>39</v>
      </c>
      <c r="J644" s="1">
        <v>11</v>
      </c>
      <c r="K644" s="1" t="s">
        <v>35</v>
      </c>
      <c r="L644" s="1">
        <v>63</v>
      </c>
      <c r="M644" s="1" t="str">
        <f>IF(L644&lt;=45,"Joven","Mayor")</f>
        <v>Mayor</v>
      </c>
      <c r="N644" s="1">
        <v>67</v>
      </c>
      <c r="O644" s="1" t="s">
        <v>36</v>
      </c>
      <c r="P644" s="1">
        <v>0.377</v>
      </c>
      <c r="Q644" s="1">
        <v>90.974000000000004</v>
      </c>
      <c r="R644" s="1">
        <v>3.7718766000000001</v>
      </c>
      <c r="S644" s="1">
        <v>6.0916022999999999</v>
      </c>
      <c r="T644" s="1">
        <v>-2.8188019</v>
      </c>
      <c r="U644" s="1">
        <v>4.46</v>
      </c>
      <c r="V644" s="1">
        <v>122</v>
      </c>
      <c r="W644" s="1">
        <v>195</v>
      </c>
      <c r="X644" s="1">
        <v>1.598360655737705</v>
      </c>
      <c r="Y644" s="1">
        <v>122</v>
      </c>
      <c r="Z644" s="1">
        <v>195</v>
      </c>
      <c r="AA644" s="1">
        <v>1.598360655737705</v>
      </c>
      <c r="AB644" s="1">
        <v>124.26208549015909</v>
      </c>
      <c r="AC644" s="1">
        <v>194.8132379169206</v>
      </c>
      <c r="AD644" s="1">
        <v>1.5677608914132444</v>
      </c>
      <c r="AE644" t="s">
        <v>4816</v>
      </c>
      <c r="AF644" t="str">
        <f>IF(X644&lt;$AF$1,"Bajo","Alto")</f>
        <v>Bajo</v>
      </c>
      <c r="AG644" t="str">
        <f>LEFT(AE644,1)</f>
        <v>D</v>
      </c>
      <c r="AH644" t="str">
        <f>K644</f>
        <v>M</v>
      </c>
      <c r="AI644" t="str">
        <f>LEFT(AF644,1)</f>
        <v>B</v>
      </c>
      <c r="AJ644" t="str">
        <f>LEFT(M644,1)</f>
        <v>M</v>
      </c>
      <c r="AK644" t="str">
        <f>_xlfn.CONCAT(AG644,AH644,AI644,AJ644)</f>
        <v>DMBM</v>
      </c>
    </row>
    <row r="645" spans="1:37" ht="15.75" hidden="1" customHeight="1" x14ac:dyDescent="0.2">
      <c r="A645" s="1">
        <v>242902</v>
      </c>
      <c r="B645" s="1" t="s">
        <v>1548</v>
      </c>
      <c r="C645" s="1" t="s">
        <v>1993</v>
      </c>
      <c r="D645" s="1" t="s">
        <v>3140</v>
      </c>
      <c r="E645" s="1" t="s">
        <v>1695</v>
      </c>
      <c r="F645" s="1" t="s">
        <v>37</v>
      </c>
      <c r="G645" s="1" t="s">
        <v>3142</v>
      </c>
      <c r="H645" s="1">
        <v>3390</v>
      </c>
      <c r="I645" s="1" t="s">
        <v>85</v>
      </c>
      <c r="J645" s="1">
        <v>12</v>
      </c>
      <c r="K645" s="1" t="s">
        <v>35</v>
      </c>
      <c r="L645" s="1">
        <v>35</v>
      </c>
      <c r="M645" s="1" t="str">
        <f>IF(L645&lt;=45,"Joven","Mayor")</f>
        <v>Joven</v>
      </c>
      <c r="N645" s="1">
        <v>24</v>
      </c>
      <c r="O645" s="1" t="s">
        <v>36</v>
      </c>
      <c r="P645" s="1">
        <v>0.35599999999999998</v>
      </c>
      <c r="Q645" s="1">
        <v>93.212999999999994</v>
      </c>
      <c r="R645" s="1">
        <v>-2.8487982999999999</v>
      </c>
      <c r="S645" s="1">
        <v>1.0850241</v>
      </c>
      <c r="T645" s="1">
        <v>2.9084766000000002</v>
      </c>
      <c r="U645" s="1">
        <v>44.267000000000003</v>
      </c>
      <c r="V645" s="1">
        <v>48</v>
      </c>
      <c r="W645" s="1">
        <v>92</v>
      </c>
      <c r="X645" s="1">
        <v>1.9166666666666667</v>
      </c>
      <c r="Y645" s="1">
        <v>51</v>
      </c>
      <c r="Z645" s="1">
        <v>92</v>
      </c>
      <c r="AA645" s="1">
        <v>1.803921568627451</v>
      </c>
      <c r="AB645" s="1">
        <v>49.513565476607027</v>
      </c>
      <c r="AC645" s="1">
        <v>91.780009850618171</v>
      </c>
      <c r="AD645" s="1">
        <v>1.8536336247887495</v>
      </c>
      <c r="AE645" t="s">
        <v>4815</v>
      </c>
      <c r="AF645" t="str">
        <f>IF(X645&lt;$AF$1,"Bajo","Alto")</f>
        <v>Alto</v>
      </c>
      <c r="AG645" t="str">
        <f>LEFT(AE645,1)</f>
        <v>I</v>
      </c>
      <c r="AH645" t="str">
        <f>K645</f>
        <v>M</v>
      </c>
      <c r="AI645" t="str">
        <f>LEFT(AF645,1)</f>
        <v>A</v>
      </c>
      <c r="AJ645" t="str">
        <f>LEFT(M645,1)</f>
        <v>J</v>
      </c>
      <c r="AK645" t="str">
        <f>_xlfn.CONCAT(AG645,AH645,AI645,AJ645)</f>
        <v>IMAJ</v>
      </c>
    </row>
    <row r="646" spans="1:37" ht="15.75" hidden="1" customHeight="1" x14ac:dyDescent="0.2">
      <c r="A646" s="1">
        <v>10112705</v>
      </c>
      <c r="B646" s="1" t="s">
        <v>29</v>
      </c>
      <c r="C646" s="1" t="s">
        <v>30</v>
      </c>
      <c r="D646" s="1" t="s">
        <v>152</v>
      </c>
      <c r="E646" s="1" t="s">
        <v>153</v>
      </c>
      <c r="F646" s="1" t="s">
        <v>40</v>
      </c>
      <c r="G646" s="1" t="s">
        <v>155</v>
      </c>
      <c r="H646" s="1">
        <v>4038</v>
      </c>
      <c r="I646" s="1" t="s">
        <v>156</v>
      </c>
      <c r="J646" s="1">
        <v>3063</v>
      </c>
      <c r="K646" s="1" t="s">
        <v>49</v>
      </c>
      <c r="L646" s="1">
        <v>36</v>
      </c>
      <c r="M646" s="1" t="str">
        <f>IF(L646&lt;=45,"Joven","Mayor")</f>
        <v>Joven</v>
      </c>
      <c r="N646" s="1">
        <v>27</v>
      </c>
      <c r="O646" s="1" t="s">
        <v>50</v>
      </c>
      <c r="P646" s="1">
        <v>0.33900000000000002</v>
      </c>
      <c r="Q646" s="1">
        <v>91.134</v>
      </c>
      <c r="R646" s="1">
        <v>-2.5614523999999999</v>
      </c>
      <c r="S646" s="1">
        <v>8.2374600000000004</v>
      </c>
      <c r="T646" s="1">
        <v>1.4001319999999999</v>
      </c>
      <c r="U646" s="1">
        <v>5.1230000000000002</v>
      </c>
      <c r="V646" s="1">
        <v>79</v>
      </c>
      <c r="W646" s="1">
        <v>129</v>
      </c>
      <c r="X646" s="1">
        <v>1.6329113924050633</v>
      </c>
      <c r="Y646" s="1">
        <v>81</v>
      </c>
      <c r="Z646" s="1">
        <v>129</v>
      </c>
      <c r="AA646" s="1">
        <v>1.5925925925925926</v>
      </c>
      <c r="AB646" s="1">
        <v>80.169478229874358</v>
      </c>
      <c r="AC646" s="1">
        <v>129.03478836421621</v>
      </c>
      <c r="AD646" s="1">
        <v>1.6095251112178586</v>
      </c>
      <c r="AE646" t="s">
        <v>4817</v>
      </c>
      <c r="AF646" t="str">
        <f>IF(X646&lt;$AF$1,"Bajo","Alto")</f>
        <v>Bajo</v>
      </c>
      <c r="AG646" t="str">
        <f>LEFT(AE646,1)</f>
        <v>C</v>
      </c>
      <c r="AH646" t="str">
        <f>K646</f>
        <v>F</v>
      </c>
      <c r="AI646" t="str">
        <f>LEFT(AF646,1)</f>
        <v>B</v>
      </c>
      <c r="AJ646" t="str">
        <f>LEFT(M646,1)</f>
        <v>J</v>
      </c>
      <c r="AK646" t="str">
        <f>_xlfn.CONCAT(AG646,AH646,AI646,AJ646)</f>
        <v>CFBJ</v>
      </c>
    </row>
    <row r="647" spans="1:37" ht="15.75" hidden="1" customHeight="1" x14ac:dyDescent="0.2">
      <c r="A647" s="1">
        <v>1031306</v>
      </c>
      <c r="B647" s="1" t="s">
        <v>783</v>
      </c>
      <c r="C647" s="1" t="s">
        <v>81</v>
      </c>
      <c r="D647" s="1" t="s">
        <v>805</v>
      </c>
      <c r="E647" s="1" t="s">
        <v>163</v>
      </c>
      <c r="F647" s="1" t="s">
        <v>88</v>
      </c>
      <c r="G647" s="1" t="s">
        <v>807</v>
      </c>
      <c r="H647" s="1">
        <v>437</v>
      </c>
      <c r="I647" s="1" t="s">
        <v>48</v>
      </c>
      <c r="J647" s="1">
        <v>4</v>
      </c>
      <c r="K647" s="1" t="s">
        <v>35</v>
      </c>
      <c r="L647" s="1">
        <v>40</v>
      </c>
      <c r="M647" s="1" t="str">
        <f>IF(L647&lt;=45,"Joven","Mayor")</f>
        <v>Joven</v>
      </c>
      <c r="N647" s="1">
        <v>44</v>
      </c>
      <c r="O647" s="1" t="s">
        <v>36</v>
      </c>
      <c r="P647" s="1">
        <v>0.371</v>
      </c>
      <c r="Q647" s="1">
        <v>94.070999999999998</v>
      </c>
      <c r="R647" s="1">
        <v>1.654908</v>
      </c>
      <c r="S647" s="1">
        <v>-0.47633138000000003</v>
      </c>
      <c r="T647" s="1">
        <v>-5.3581649999999996</v>
      </c>
      <c r="U647" s="1">
        <v>1.954</v>
      </c>
      <c r="V647" s="1">
        <v>92</v>
      </c>
      <c r="W647" s="1">
        <v>149</v>
      </c>
      <c r="X647" s="1">
        <v>1.6195652173913044</v>
      </c>
      <c r="Y647" s="1">
        <v>95</v>
      </c>
      <c r="Z647" s="1">
        <v>149</v>
      </c>
      <c r="AA647" s="1">
        <v>1.5684210526315789</v>
      </c>
      <c r="AB647" s="1">
        <v>95.986922417126152</v>
      </c>
      <c r="AC647" s="1">
        <v>148.90921978821831</v>
      </c>
      <c r="AD647" s="1">
        <v>1.5513490383732698</v>
      </c>
      <c r="AE647" t="s">
        <v>4817</v>
      </c>
      <c r="AF647" t="str">
        <f>IF(X647&lt;$AF$1,"Bajo","Alto")</f>
        <v>Bajo</v>
      </c>
      <c r="AG647" t="str">
        <f>LEFT(AE647,1)</f>
        <v>C</v>
      </c>
      <c r="AH647" t="str">
        <f>K647</f>
        <v>M</v>
      </c>
      <c r="AI647" t="str">
        <f>LEFT(AF647,1)</f>
        <v>B</v>
      </c>
      <c r="AJ647" t="str">
        <f>LEFT(M647,1)</f>
        <v>J</v>
      </c>
      <c r="AK647" t="str">
        <f>_xlfn.CONCAT(AG647,AH647,AI647,AJ647)</f>
        <v>CMBJ</v>
      </c>
    </row>
    <row r="648" spans="1:37" ht="15.75" hidden="1" customHeight="1" x14ac:dyDescent="0.2">
      <c r="A648" s="1">
        <v>524003</v>
      </c>
      <c r="B648" s="1" t="s">
        <v>4529</v>
      </c>
      <c r="C648" s="1" t="s">
        <v>685</v>
      </c>
      <c r="D648" s="1" t="s">
        <v>2867</v>
      </c>
      <c r="E648" s="1" t="s">
        <v>657</v>
      </c>
      <c r="F648" s="1" t="s">
        <v>63</v>
      </c>
      <c r="G648" s="1" t="s">
        <v>4599</v>
      </c>
      <c r="H648" s="1">
        <v>4242</v>
      </c>
      <c r="I648" s="1" t="s">
        <v>4600</v>
      </c>
      <c r="J648" s="1">
        <v>2548</v>
      </c>
      <c r="K648" s="1" t="s">
        <v>35</v>
      </c>
      <c r="L648" s="1">
        <v>48</v>
      </c>
      <c r="M648" s="1" t="str">
        <f>IF(L648&lt;=45,"Joven","Mayor")</f>
        <v>Mayor</v>
      </c>
      <c r="N648" s="1">
        <v>47</v>
      </c>
      <c r="O648" s="1" t="s">
        <v>36</v>
      </c>
      <c r="P648" s="1">
        <v>1.3680000000000001</v>
      </c>
      <c r="Q648" s="1">
        <v>89.608000000000004</v>
      </c>
      <c r="R648" s="1">
        <v>-5.931508</v>
      </c>
      <c r="S648" s="1">
        <v>-1.8965205999999999</v>
      </c>
      <c r="T648" s="1">
        <v>11.659539000000001</v>
      </c>
      <c r="U648" s="1">
        <v>3.1629999999999998</v>
      </c>
      <c r="V648" s="1">
        <v>91</v>
      </c>
      <c r="W648" s="1">
        <v>176</v>
      </c>
      <c r="X648" s="1">
        <v>1.9340659340659341</v>
      </c>
      <c r="Y648" s="1">
        <v>97</v>
      </c>
      <c r="Z648" s="1">
        <v>176</v>
      </c>
      <c r="AA648" s="1">
        <v>1.8144329896907216</v>
      </c>
      <c r="AB648" s="1">
        <v>99.024976336767395</v>
      </c>
      <c r="AC648" s="1">
        <v>173.98514149050291</v>
      </c>
      <c r="AD648" s="1">
        <v>1.7569824091531061</v>
      </c>
      <c r="AE648" t="s">
        <v>4817</v>
      </c>
      <c r="AF648" t="str">
        <f>IF(X648&lt;$AF$1,"Bajo","Alto")</f>
        <v>Alto</v>
      </c>
      <c r="AG648" t="str">
        <f>LEFT(AE648,1)</f>
        <v>C</v>
      </c>
      <c r="AH648" t="str">
        <f>K648</f>
        <v>M</v>
      </c>
      <c r="AI648" t="str">
        <f>LEFT(AF648,1)</f>
        <v>A</v>
      </c>
      <c r="AJ648" t="str">
        <f>LEFT(M648,1)</f>
        <v>M</v>
      </c>
      <c r="AK648" t="str">
        <f>_xlfn.CONCAT(AG648,AH648,AI648,AJ648)</f>
        <v>CMAM</v>
      </c>
    </row>
    <row r="649" spans="1:37" ht="15.75" hidden="1" customHeight="1" x14ac:dyDescent="0.2">
      <c r="A649" s="1">
        <v>641606</v>
      </c>
      <c r="B649" s="1" t="s">
        <v>4718</v>
      </c>
      <c r="C649" s="1" t="s">
        <v>710</v>
      </c>
      <c r="D649" s="1" t="s">
        <v>3331</v>
      </c>
      <c r="E649" s="1" t="s">
        <v>244</v>
      </c>
      <c r="F649" s="1" t="s">
        <v>88</v>
      </c>
      <c r="G649" s="1" t="s">
        <v>4749</v>
      </c>
      <c r="H649" s="1">
        <v>1156</v>
      </c>
      <c r="I649" s="1" t="s">
        <v>4750</v>
      </c>
      <c r="J649" s="1">
        <v>2351</v>
      </c>
      <c r="K649" s="1" t="s">
        <v>35</v>
      </c>
      <c r="L649" s="1">
        <v>68</v>
      </c>
      <c r="M649" s="1" t="str">
        <f>IF(L649&lt;=45,"Joven","Mayor")</f>
        <v>Mayor</v>
      </c>
      <c r="N649" s="1">
        <v>74</v>
      </c>
      <c r="O649" s="1" t="s">
        <v>36</v>
      </c>
      <c r="P649" s="1">
        <v>0.59199999999999997</v>
      </c>
      <c r="Q649" s="1">
        <v>90.031000000000006</v>
      </c>
      <c r="R649" s="1">
        <v>5.4559993999999996</v>
      </c>
      <c r="S649" s="1">
        <v>-3.4038553</v>
      </c>
      <c r="T649" s="1">
        <v>-6.8070490000000001</v>
      </c>
      <c r="U649" s="1">
        <v>1.64</v>
      </c>
      <c r="V649" s="1">
        <v>91</v>
      </c>
      <c r="W649" s="1">
        <v>176</v>
      </c>
      <c r="X649" s="1">
        <v>1.9340659340659341</v>
      </c>
      <c r="Y649" s="1">
        <v>97</v>
      </c>
      <c r="Z649" s="1">
        <v>176</v>
      </c>
      <c r="AA649" s="1">
        <v>1.8144329896907216</v>
      </c>
      <c r="AB649" s="1">
        <v>96.521893725601331</v>
      </c>
      <c r="AC649" s="1">
        <v>176.18167786889899</v>
      </c>
      <c r="AD649" s="1">
        <v>1.8253027480973345</v>
      </c>
      <c r="AE649" t="s">
        <v>4817</v>
      </c>
      <c r="AF649" t="str">
        <f>IF(X649&lt;$AF$1,"Bajo","Alto")</f>
        <v>Alto</v>
      </c>
      <c r="AG649" t="str">
        <f>LEFT(AE649,1)</f>
        <v>C</v>
      </c>
      <c r="AH649" t="str">
        <f>K649</f>
        <v>M</v>
      </c>
      <c r="AI649" t="str">
        <f>LEFT(AF649,1)</f>
        <v>A</v>
      </c>
      <c r="AJ649" t="str">
        <f>LEFT(M649,1)</f>
        <v>M</v>
      </c>
      <c r="AK649" t="str">
        <f>_xlfn.CONCAT(AG649,AH649,AI649,AJ649)</f>
        <v>CMAM</v>
      </c>
    </row>
    <row r="650" spans="1:37" ht="15.75" hidden="1" customHeight="1" x14ac:dyDescent="0.2">
      <c r="A650" s="1">
        <v>1015205</v>
      </c>
      <c r="B650" s="1" t="s">
        <v>29</v>
      </c>
      <c r="C650" s="1" t="s">
        <v>30</v>
      </c>
      <c r="D650" s="1" t="s">
        <v>684</v>
      </c>
      <c r="E650" s="1" t="s">
        <v>685</v>
      </c>
      <c r="F650" s="1" t="s">
        <v>40</v>
      </c>
      <c r="G650" s="1" t="s">
        <v>687</v>
      </c>
      <c r="H650" s="1">
        <v>613</v>
      </c>
      <c r="I650" s="1" t="s">
        <v>688</v>
      </c>
      <c r="J650" s="1">
        <v>4318</v>
      </c>
      <c r="K650" s="1" t="s">
        <v>49</v>
      </c>
      <c r="L650" s="1">
        <v>29</v>
      </c>
      <c r="M650" s="1" t="str">
        <f>IF(L650&lt;=45,"Joven","Mayor")</f>
        <v>Joven</v>
      </c>
      <c r="N650" s="1">
        <v>31</v>
      </c>
      <c r="O650" s="1" t="s">
        <v>50</v>
      </c>
      <c r="P650" s="1">
        <v>0.35699999999999998</v>
      </c>
      <c r="Q650" s="1">
        <v>80.244</v>
      </c>
      <c r="R650" s="1">
        <v>8.7768660000000001</v>
      </c>
      <c r="S650" s="1">
        <v>9.0947320000000005</v>
      </c>
      <c r="T650" s="1">
        <v>-2.8983821999999999</v>
      </c>
      <c r="U650" s="1">
        <v>14.518000000000001</v>
      </c>
      <c r="V650" s="1">
        <v>85</v>
      </c>
      <c r="W650" s="1">
        <v>139</v>
      </c>
      <c r="X650" s="1">
        <v>1.6352941176470588</v>
      </c>
      <c r="Y650" s="1">
        <v>90</v>
      </c>
      <c r="Z650" s="1">
        <v>139</v>
      </c>
      <c r="AA650" s="1">
        <v>1.5444444444444445</v>
      </c>
      <c r="AB650" s="1">
        <v>88.013975288897882</v>
      </c>
      <c r="AC650" s="1">
        <v>138.77162441991049</v>
      </c>
      <c r="AD650" s="1">
        <v>1.5766998816313573</v>
      </c>
      <c r="AE650" t="s">
        <v>4817</v>
      </c>
      <c r="AF650" t="str">
        <f>IF(X650&lt;$AF$1,"Bajo","Alto")</f>
        <v>Bajo</v>
      </c>
      <c r="AG650" t="str">
        <f>LEFT(AE650,1)</f>
        <v>C</v>
      </c>
      <c r="AH650" t="str">
        <f>K650</f>
        <v>F</v>
      </c>
      <c r="AI650" t="str">
        <f>LEFT(AF650,1)</f>
        <v>B</v>
      </c>
      <c r="AJ650" t="str">
        <f>LEFT(M650,1)</f>
        <v>J</v>
      </c>
      <c r="AK650" t="str">
        <f>_xlfn.CONCAT(AG650,AH650,AI650,AJ650)</f>
        <v>CFBJ</v>
      </c>
    </row>
    <row r="651" spans="1:37" ht="15.75" hidden="1" customHeight="1" x14ac:dyDescent="0.2">
      <c r="A651" s="1">
        <v>10714203</v>
      </c>
      <c r="B651" s="1" t="s">
        <v>1067</v>
      </c>
      <c r="C651" s="1" t="s">
        <v>1068</v>
      </c>
      <c r="D651" s="1" t="s">
        <v>1138</v>
      </c>
      <c r="E651" s="1" t="s">
        <v>181</v>
      </c>
      <c r="F651" s="1" t="s">
        <v>63</v>
      </c>
      <c r="G651" s="1" t="s">
        <v>1140</v>
      </c>
      <c r="H651" s="1">
        <v>368</v>
      </c>
      <c r="I651" s="1" t="s">
        <v>48</v>
      </c>
      <c r="J651" s="1">
        <v>4</v>
      </c>
      <c r="K651" s="1" t="s">
        <v>35</v>
      </c>
      <c r="L651" s="1">
        <v>42</v>
      </c>
      <c r="M651" s="1" t="str">
        <f>IF(L651&lt;=45,"Joven","Mayor")</f>
        <v>Joven</v>
      </c>
      <c r="N651" s="1">
        <v>49</v>
      </c>
      <c r="O651" s="1" t="s">
        <v>36</v>
      </c>
      <c r="P651" s="1">
        <v>0.41899999999999998</v>
      </c>
      <c r="Q651" s="1">
        <v>70.661000000000001</v>
      </c>
      <c r="R651" s="1">
        <v>12.489891999999999</v>
      </c>
      <c r="S651" s="1">
        <v>3.9557207000000001</v>
      </c>
      <c r="T651" s="1">
        <v>-7.2400019999999996</v>
      </c>
      <c r="U651" s="1">
        <v>3.1179999999999999</v>
      </c>
      <c r="V651" s="1">
        <v>53</v>
      </c>
      <c r="W651" s="1">
        <v>103</v>
      </c>
      <c r="X651" s="1">
        <v>1.9433962264150944</v>
      </c>
      <c r="Y651" s="1">
        <v>57</v>
      </c>
      <c r="Z651" s="1">
        <v>103</v>
      </c>
      <c r="AA651" s="1">
        <v>1.8070175438596492</v>
      </c>
      <c r="AB651" s="1">
        <v>55.980127007034532</v>
      </c>
      <c r="AC651" s="1">
        <v>102.6828799300697</v>
      </c>
      <c r="AD651" s="1">
        <v>1.8342737935761819</v>
      </c>
      <c r="AE651" t="s">
        <v>4817</v>
      </c>
      <c r="AF651" t="str">
        <f>IF(X651&lt;$AF$1,"Bajo","Alto")</f>
        <v>Alto</v>
      </c>
      <c r="AG651" t="str">
        <f>LEFT(AE651,1)</f>
        <v>C</v>
      </c>
      <c r="AH651" t="str">
        <f>K651</f>
        <v>M</v>
      </c>
      <c r="AI651" t="str">
        <f>LEFT(AF651,1)</f>
        <v>A</v>
      </c>
      <c r="AJ651" t="str">
        <f>LEFT(M651,1)</f>
        <v>J</v>
      </c>
      <c r="AK651" t="str">
        <f>_xlfn.CONCAT(AG651,AH651,AI651,AJ651)</f>
        <v>CMAJ</v>
      </c>
    </row>
    <row r="652" spans="1:37" ht="15.75" hidden="1" customHeight="1" x14ac:dyDescent="0.2">
      <c r="A652" s="1">
        <v>115802</v>
      </c>
      <c r="B652" s="1" t="s">
        <v>1648</v>
      </c>
      <c r="C652" s="1" t="s">
        <v>51</v>
      </c>
      <c r="D652" s="1" t="s">
        <v>1733</v>
      </c>
      <c r="E652" s="1" t="s">
        <v>695</v>
      </c>
      <c r="F652" s="1" t="s">
        <v>37</v>
      </c>
      <c r="G652" s="1" t="s">
        <v>1734</v>
      </c>
      <c r="H652" s="1">
        <v>5020</v>
      </c>
      <c r="I652" s="1" t="s">
        <v>91</v>
      </c>
      <c r="J652" s="1">
        <v>6</v>
      </c>
      <c r="K652" s="1" t="s">
        <v>35</v>
      </c>
      <c r="L652" s="1">
        <v>38</v>
      </c>
      <c r="M652" s="1" t="str">
        <f>IF(L652&lt;=45,"Joven","Mayor")</f>
        <v>Joven</v>
      </c>
      <c r="N652" s="1">
        <v>52</v>
      </c>
      <c r="O652" s="1" t="s">
        <v>36</v>
      </c>
      <c r="P652" s="1">
        <v>0.51800000000000002</v>
      </c>
      <c r="Q652" s="1">
        <v>60.98</v>
      </c>
      <c r="R652" s="1">
        <v>14.474195999999999</v>
      </c>
      <c r="S652" s="1">
        <v>1.5015155</v>
      </c>
      <c r="T652" s="1">
        <v>-5.5114216999999996</v>
      </c>
      <c r="U652" s="1">
        <v>2.3359999999999999</v>
      </c>
      <c r="V652" s="1">
        <v>138</v>
      </c>
      <c r="W652" s="1">
        <v>268</v>
      </c>
      <c r="X652" s="1">
        <v>1.9420289855072463</v>
      </c>
      <c r="Y652" s="1">
        <v>155</v>
      </c>
      <c r="Z652" s="1">
        <v>268</v>
      </c>
      <c r="AA652" s="1">
        <v>1.7290322580645161</v>
      </c>
      <c r="AB652" s="1">
        <v>148.9049721433112</v>
      </c>
      <c r="AC652" s="1">
        <v>269.25820397922138</v>
      </c>
      <c r="AD652" s="1">
        <v>1.8082552926444804</v>
      </c>
      <c r="AE652" t="s">
        <v>4817</v>
      </c>
      <c r="AF652" t="str">
        <f>IF(X652&lt;$AF$1,"Bajo","Alto")</f>
        <v>Alto</v>
      </c>
      <c r="AG652" t="str">
        <f>LEFT(AE652,1)</f>
        <v>C</v>
      </c>
      <c r="AH652" t="str">
        <f>K652</f>
        <v>M</v>
      </c>
      <c r="AI652" t="str">
        <f>LEFT(AF652,1)</f>
        <v>A</v>
      </c>
      <c r="AJ652" t="str">
        <f>LEFT(M652,1)</f>
        <v>J</v>
      </c>
      <c r="AK652" t="str">
        <f>_xlfn.CONCAT(AG652,AH652,AI652,AJ652)</f>
        <v>CMAJ</v>
      </c>
    </row>
    <row r="653" spans="1:37" ht="15.75" hidden="1" customHeight="1" x14ac:dyDescent="0.2">
      <c r="A653" s="1">
        <v>2810007</v>
      </c>
      <c r="B653" s="1" t="s">
        <v>1775</v>
      </c>
      <c r="C653" s="1" t="s">
        <v>561</v>
      </c>
      <c r="D653" s="1" t="s">
        <v>3775</v>
      </c>
      <c r="E653" s="1" t="s">
        <v>70</v>
      </c>
      <c r="F653" s="1" t="s">
        <v>43</v>
      </c>
      <c r="G653" s="1" t="s">
        <v>3779</v>
      </c>
      <c r="H653" s="1">
        <v>182</v>
      </c>
      <c r="I653" s="1" t="s">
        <v>48</v>
      </c>
      <c r="J653" s="1">
        <v>4</v>
      </c>
      <c r="K653" s="1" t="s">
        <v>35</v>
      </c>
      <c r="L653" s="1">
        <v>43</v>
      </c>
      <c r="M653" s="1" t="str">
        <f>IF(L653&lt;=45,"Joven","Mayor")</f>
        <v>Joven</v>
      </c>
      <c r="N653" s="1">
        <v>48</v>
      </c>
      <c r="O653" s="1" t="s">
        <v>36</v>
      </c>
      <c r="P653" s="1">
        <v>0.27700000000000002</v>
      </c>
      <c r="Q653" s="1">
        <v>90.744</v>
      </c>
      <c r="R653" s="1">
        <v>4.9614525</v>
      </c>
      <c r="S653" s="1">
        <v>3.3693385</v>
      </c>
      <c r="T653" s="1">
        <v>-5.7859426000000003</v>
      </c>
      <c r="U653" s="1">
        <v>20.838999999999999</v>
      </c>
      <c r="V653" s="1">
        <v>92</v>
      </c>
      <c r="W653" s="1">
        <v>149</v>
      </c>
      <c r="X653" s="1">
        <v>1.6195652173913044</v>
      </c>
      <c r="Y653" s="1">
        <v>94</v>
      </c>
      <c r="Z653" s="1">
        <v>149</v>
      </c>
      <c r="AA653" s="1">
        <v>1.5851063829787233</v>
      </c>
      <c r="AB653" s="1">
        <v>95.563791590441724</v>
      </c>
      <c r="AC653" s="1">
        <v>148.3417276548839</v>
      </c>
      <c r="AD653" s="1">
        <v>1.5522796363149012</v>
      </c>
      <c r="AE653" t="s">
        <v>4817</v>
      </c>
      <c r="AF653" t="str">
        <f>IF(X653&lt;$AF$1,"Bajo","Alto")</f>
        <v>Bajo</v>
      </c>
      <c r="AG653" t="str">
        <f>LEFT(AE653,1)</f>
        <v>C</v>
      </c>
      <c r="AH653" t="str">
        <f>K653</f>
        <v>M</v>
      </c>
      <c r="AI653" t="str">
        <f>LEFT(AF653,1)</f>
        <v>B</v>
      </c>
      <c r="AJ653" t="str">
        <f>LEFT(M653,1)</f>
        <v>J</v>
      </c>
      <c r="AK653" t="str">
        <f>_xlfn.CONCAT(AG653,AH653,AI653,AJ653)</f>
        <v>CMBJ</v>
      </c>
    </row>
    <row r="654" spans="1:37" ht="15.75" hidden="1" customHeight="1" x14ac:dyDescent="0.2">
      <c r="A654" s="1">
        <v>1513906</v>
      </c>
      <c r="B654" s="1" t="s">
        <v>2077</v>
      </c>
      <c r="C654" s="1" t="s">
        <v>57</v>
      </c>
      <c r="D654" s="1" t="s">
        <v>2159</v>
      </c>
      <c r="E654" s="1" t="s">
        <v>176</v>
      </c>
      <c r="F654" s="1" t="s">
        <v>88</v>
      </c>
      <c r="G654" s="1" t="s">
        <v>2163</v>
      </c>
      <c r="H654" s="1">
        <v>3467</v>
      </c>
      <c r="I654" s="1" t="s">
        <v>48</v>
      </c>
      <c r="J654" s="1">
        <v>4</v>
      </c>
      <c r="K654" s="1" t="s">
        <v>35</v>
      </c>
      <c r="L654" s="1">
        <v>38</v>
      </c>
      <c r="M654" s="1" t="str">
        <f>IF(L654&lt;=45,"Joven","Mayor")</f>
        <v>Joven</v>
      </c>
      <c r="N654" s="1">
        <v>53</v>
      </c>
      <c r="O654" s="1" t="s">
        <v>36</v>
      </c>
      <c r="P654" s="1">
        <v>0.41</v>
      </c>
      <c r="Q654" s="1">
        <v>92.179000000000002</v>
      </c>
      <c r="R654" s="1">
        <v>-3.3418399999999999</v>
      </c>
      <c r="S654" s="1">
        <v>3.7336314000000002</v>
      </c>
      <c r="T654" s="1">
        <v>-1.0280151</v>
      </c>
      <c r="U654" s="1">
        <v>7.1120000000000001</v>
      </c>
      <c r="V654" s="1">
        <v>95</v>
      </c>
      <c r="W654" s="1">
        <v>154</v>
      </c>
      <c r="X654" s="1">
        <v>1.6210526315789473</v>
      </c>
      <c r="Y654" s="1">
        <v>96</v>
      </c>
      <c r="Z654" s="1">
        <v>154</v>
      </c>
      <c r="AA654" s="1">
        <v>1.6041666666666667</v>
      </c>
      <c r="AB654" s="1">
        <v>96.773964615705154</v>
      </c>
      <c r="AC654" s="1">
        <v>154.06491892398941</v>
      </c>
      <c r="AD654" s="1">
        <v>1.5920079283285526</v>
      </c>
      <c r="AE654" t="s">
        <v>4817</v>
      </c>
      <c r="AF654" t="str">
        <f>IF(X654&lt;$AF$1,"Bajo","Alto")</f>
        <v>Bajo</v>
      </c>
      <c r="AG654" t="str">
        <f>LEFT(AE654,1)</f>
        <v>C</v>
      </c>
      <c r="AH654" t="str">
        <f>K654</f>
        <v>M</v>
      </c>
      <c r="AI654" t="str">
        <f>LEFT(AF654,1)</f>
        <v>B</v>
      </c>
      <c r="AJ654" t="str">
        <f>LEFT(M654,1)</f>
        <v>J</v>
      </c>
      <c r="AK654" t="str">
        <f>_xlfn.CONCAT(AG654,AH654,AI654,AJ654)</f>
        <v>CMBJ</v>
      </c>
    </row>
    <row r="655" spans="1:37" ht="15.75" hidden="1" customHeight="1" x14ac:dyDescent="0.2">
      <c r="A655" s="1">
        <v>10726503</v>
      </c>
      <c r="B655" s="1" t="s">
        <v>1067</v>
      </c>
      <c r="C655" s="1" t="s">
        <v>1068</v>
      </c>
      <c r="D655" s="1" t="s">
        <v>1308</v>
      </c>
      <c r="E655" s="1" t="s">
        <v>528</v>
      </c>
      <c r="F655" s="1" t="s">
        <v>63</v>
      </c>
      <c r="G655" s="1" t="s">
        <v>1309</v>
      </c>
      <c r="H655" s="1">
        <v>1931</v>
      </c>
      <c r="I655" s="1" t="s">
        <v>1310</v>
      </c>
      <c r="J655" s="1">
        <v>2495</v>
      </c>
      <c r="K655" s="1" t="s">
        <v>35</v>
      </c>
      <c r="L655" s="1">
        <v>55</v>
      </c>
      <c r="M655" s="1" t="str">
        <f>IF(L655&lt;=45,"Joven","Mayor")</f>
        <v>Mayor</v>
      </c>
      <c r="N655" s="1">
        <v>58</v>
      </c>
      <c r="O655" s="1" t="s">
        <v>36</v>
      </c>
      <c r="P655" s="1">
        <v>0.36299999999999999</v>
      </c>
      <c r="Q655" s="1">
        <v>92.411000000000001</v>
      </c>
      <c r="R655" s="1">
        <v>2.9121212999999999</v>
      </c>
      <c r="S655" s="1">
        <v>-4.1805219999999998</v>
      </c>
      <c r="T655" s="1">
        <v>-1.5692221</v>
      </c>
      <c r="U655" s="1">
        <v>0.47</v>
      </c>
      <c r="V655" s="1">
        <v>75</v>
      </c>
      <c r="W655" s="1">
        <v>145</v>
      </c>
      <c r="X655" s="1">
        <v>1.9333333333333333</v>
      </c>
      <c r="Y655" s="1">
        <v>79</v>
      </c>
      <c r="Z655" s="1">
        <v>145</v>
      </c>
      <c r="AA655" s="1">
        <v>1.8354430379746836</v>
      </c>
      <c r="AB655" s="1">
        <v>79.956220666534819</v>
      </c>
      <c r="AC655" s="1">
        <v>144.8908512612488</v>
      </c>
      <c r="AD655" s="1">
        <v>1.8121273123392132</v>
      </c>
      <c r="AE655" t="s">
        <v>4817</v>
      </c>
      <c r="AF655" t="str">
        <f>IF(X655&lt;$AF$1,"Bajo","Alto")</f>
        <v>Alto</v>
      </c>
      <c r="AG655" t="str">
        <f>LEFT(AE655,1)</f>
        <v>C</v>
      </c>
      <c r="AH655" t="str">
        <f>K655</f>
        <v>M</v>
      </c>
      <c r="AI655" t="str">
        <f>LEFT(AF655,1)</f>
        <v>A</v>
      </c>
      <c r="AJ655" t="str">
        <f>LEFT(M655,1)</f>
        <v>M</v>
      </c>
      <c r="AK655" t="str">
        <f>_xlfn.CONCAT(AG655,AH655,AI655,AJ655)</f>
        <v>CMAM</v>
      </c>
    </row>
    <row r="656" spans="1:37" ht="15.75" hidden="1" customHeight="1" x14ac:dyDescent="0.2">
      <c r="A656" s="1">
        <v>680402</v>
      </c>
      <c r="B656" s="1" t="s">
        <v>4791</v>
      </c>
      <c r="C656" s="1" t="s">
        <v>1479</v>
      </c>
      <c r="D656" s="1" t="s">
        <v>4792</v>
      </c>
      <c r="E656" s="1" t="s">
        <v>61</v>
      </c>
      <c r="F656" s="1" t="s">
        <v>37</v>
      </c>
      <c r="G656" s="1" t="s">
        <v>4794</v>
      </c>
      <c r="H656" s="1">
        <v>8</v>
      </c>
      <c r="I656" s="1" t="s">
        <v>65</v>
      </c>
      <c r="J656" s="1">
        <v>2</v>
      </c>
      <c r="K656" s="1" t="s">
        <v>35</v>
      </c>
      <c r="L656" s="1">
        <v>36</v>
      </c>
      <c r="M656" s="1" t="str">
        <f>IF(L656&lt;=45,"Joven","Mayor")</f>
        <v>Joven</v>
      </c>
      <c r="N656" s="1">
        <v>29</v>
      </c>
      <c r="O656" s="1" t="s">
        <v>36</v>
      </c>
      <c r="P656" s="1">
        <v>0.03</v>
      </c>
      <c r="Q656" s="1">
        <v>93.733000000000004</v>
      </c>
      <c r="R656" s="1">
        <v>0.9426215</v>
      </c>
      <c r="S656" s="1">
        <v>4.3709593</v>
      </c>
      <c r="T656" s="1">
        <v>-1.9154844</v>
      </c>
      <c r="U656" s="1">
        <v>15.468</v>
      </c>
      <c r="V656" s="1">
        <v>66</v>
      </c>
      <c r="W656" s="1">
        <v>107</v>
      </c>
      <c r="X656" s="1">
        <v>1.6212121212121211</v>
      </c>
      <c r="Y656" s="1">
        <v>68</v>
      </c>
      <c r="Z656" s="1">
        <v>107</v>
      </c>
      <c r="AA656" s="1">
        <v>1.5735294117647058</v>
      </c>
      <c r="AB656" s="1">
        <v>68.864485524564998</v>
      </c>
      <c r="AC656" s="1">
        <v>106.8733598823783</v>
      </c>
      <c r="AD656" s="1">
        <v>1.5519372441148196</v>
      </c>
      <c r="AE656" t="s">
        <v>4817</v>
      </c>
      <c r="AF656" t="str">
        <f>IF(X656&lt;$AF$1,"Bajo","Alto")</f>
        <v>Bajo</v>
      </c>
      <c r="AG656" t="str">
        <f>LEFT(AE656,1)</f>
        <v>C</v>
      </c>
      <c r="AH656" t="str">
        <f>K656</f>
        <v>M</v>
      </c>
      <c r="AI656" t="str">
        <f>LEFT(AF656,1)</f>
        <v>B</v>
      </c>
      <c r="AJ656" t="str">
        <f>LEFT(M656,1)</f>
        <v>J</v>
      </c>
      <c r="AK656" t="str">
        <f>_xlfn.CONCAT(AG656,AH656,AI656,AJ656)</f>
        <v>CMBJ</v>
      </c>
    </row>
    <row r="657" spans="1:37" ht="15.75" hidden="1" customHeight="1" x14ac:dyDescent="0.2">
      <c r="A657" s="1">
        <v>524702</v>
      </c>
      <c r="B657" s="1" t="s">
        <v>4529</v>
      </c>
      <c r="C657" s="1" t="s">
        <v>685</v>
      </c>
      <c r="D657" s="1" t="s">
        <v>4632</v>
      </c>
      <c r="E657" s="1" t="s">
        <v>857</v>
      </c>
      <c r="F657" s="1" t="s">
        <v>37</v>
      </c>
      <c r="G657" s="1" t="s">
        <v>4633</v>
      </c>
      <c r="H657" s="1">
        <v>119</v>
      </c>
      <c r="I657" s="1" t="s">
        <v>294</v>
      </c>
      <c r="J657" s="1">
        <v>16</v>
      </c>
      <c r="K657" s="1" t="s">
        <v>35</v>
      </c>
      <c r="L657" s="1">
        <v>52</v>
      </c>
      <c r="M657" s="1" t="str">
        <f>IF(L657&lt;=45,"Joven","Mayor")</f>
        <v>Mayor</v>
      </c>
      <c r="N657" s="1">
        <v>51</v>
      </c>
      <c r="O657" s="1" t="s">
        <v>36</v>
      </c>
      <c r="P657" s="1">
        <v>0.35399999999999998</v>
      </c>
      <c r="Q657" s="1">
        <v>93.349000000000004</v>
      </c>
      <c r="R657" s="1">
        <v>0.63422909999999999</v>
      </c>
      <c r="S657" s="1">
        <v>6.0082974</v>
      </c>
      <c r="T657" s="1">
        <v>-1.0566546000000001</v>
      </c>
      <c r="U657" s="1">
        <v>5.1100000000000003</v>
      </c>
      <c r="V657" s="1">
        <v>130</v>
      </c>
      <c r="W657" s="1">
        <v>207</v>
      </c>
      <c r="X657" s="1">
        <v>1.5923076923076922</v>
      </c>
      <c r="Y657" s="1">
        <v>131</v>
      </c>
      <c r="Z657" s="1">
        <v>207</v>
      </c>
      <c r="AA657" s="1">
        <v>1.5801526717557253</v>
      </c>
      <c r="AB657" s="1">
        <v>131.9735404013509</v>
      </c>
      <c r="AC657" s="1">
        <v>206.9463584403438</v>
      </c>
      <c r="AD657" s="1">
        <v>1.5680897686838555</v>
      </c>
      <c r="AE657" t="s">
        <v>4817</v>
      </c>
      <c r="AF657" t="str">
        <f>IF(X657&lt;$AF$1,"Bajo","Alto")</f>
        <v>Bajo</v>
      </c>
      <c r="AG657" t="str">
        <f>LEFT(AE657,1)</f>
        <v>C</v>
      </c>
      <c r="AH657" t="str">
        <f>K657</f>
        <v>M</v>
      </c>
      <c r="AI657" t="str">
        <f>LEFT(AF657,1)</f>
        <v>B</v>
      </c>
      <c r="AJ657" t="str">
        <f>LEFT(M657,1)</f>
        <v>M</v>
      </c>
      <c r="AK657" t="str">
        <f>_xlfn.CONCAT(AG657,AH657,AI657,AJ657)</f>
        <v>CMBM</v>
      </c>
    </row>
    <row r="658" spans="1:37" ht="15.75" hidden="1" customHeight="1" x14ac:dyDescent="0.2">
      <c r="A658" s="1">
        <v>210801</v>
      </c>
      <c r="B658" s="1" t="s">
        <v>2816</v>
      </c>
      <c r="C658" s="1" t="s">
        <v>2817</v>
      </c>
      <c r="D658" s="1" t="s">
        <v>2821</v>
      </c>
      <c r="E658" s="1" t="s">
        <v>46</v>
      </c>
      <c r="F658" s="1" t="s">
        <v>32</v>
      </c>
      <c r="G658" s="1" t="s">
        <v>2822</v>
      </c>
      <c r="H658" s="1">
        <v>61</v>
      </c>
      <c r="I658" s="1" t="s">
        <v>42</v>
      </c>
      <c r="J658" s="1">
        <v>15</v>
      </c>
      <c r="K658" s="1" t="s">
        <v>35</v>
      </c>
      <c r="L658" s="1">
        <v>39</v>
      </c>
      <c r="M658" s="1" t="str">
        <f>IF(L658&lt;=45,"Joven","Mayor")</f>
        <v>Joven</v>
      </c>
      <c r="N658" s="1">
        <v>48</v>
      </c>
      <c r="O658" s="1" t="s">
        <v>36</v>
      </c>
      <c r="P658" s="1">
        <v>0.40799999999999997</v>
      </c>
      <c r="Q658" s="1">
        <v>93.483999999999995</v>
      </c>
      <c r="R658" s="1">
        <v>-1.4820348999999999</v>
      </c>
      <c r="S658" s="1">
        <v>3.7904070000000001</v>
      </c>
      <c r="T658" s="1">
        <v>0.37853986000000001</v>
      </c>
      <c r="U658" s="1">
        <v>1.075</v>
      </c>
      <c r="V658" s="1">
        <v>77</v>
      </c>
      <c r="W658" s="1">
        <v>125</v>
      </c>
      <c r="X658" s="1">
        <v>1.6233766233766234</v>
      </c>
      <c r="Y658" s="1">
        <v>78</v>
      </c>
      <c r="Z658" s="1">
        <v>125</v>
      </c>
      <c r="AA658" s="1">
        <v>1.6025641025641026</v>
      </c>
      <c r="AB658" s="1">
        <v>77.78027595896333</v>
      </c>
      <c r="AC658" s="1">
        <v>125.0038786432069</v>
      </c>
      <c r="AD658" s="1">
        <v>1.607141104888322</v>
      </c>
      <c r="AE658" t="s">
        <v>4817</v>
      </c>
      <c r="AF658" t="str">
        <f>IF(X658&lt;$AF$1,"Bajo","Alto")</f>
        <v>Bajo</v>
      </c>
      <c r="AG658" t="str">
        <f>LEFT(AE658,1)</f>
        <v>C</v>
      </c>
      <c r="AH658" t="str">
        <f>K658</f>
        <v>M</v>
      </c>
      <c r="AI658" t="str">
        <f>LEFT(AF658,1)</f>
        <v>B</v>
      </c>
      <c r="AJ658" t="str">
        <f>LEFT(M658,1)</f>
        <v>J</v>
      </c>
      <c r="AK658" t="str">
        <f>_xlfn.CONCAT(AG658,AH658,AI658,AJ658)</f>
        <v>CMBJ</v>
      </c>
    </row>
    <row r="659" spans="1:37" ht="15.75" hidden="1" customHeight="1" x14ac:dyDescent="0.2">
      <c r="A659" s="1">
        <v>1515701</v>
      </c>
      <c r="B659" s="1" t="s">
        <v>2077</v>
      </c>
      <c r="C659" s="1" t="s">
        <v>57</v>
      </c>
      <c r="D659" s="1" t="s">
        <v>2180</v>
      </c>
      <c r="E659" s="1" t="s">
        <v>229</v>
      </c>
      <c r="F659" s="1" t="s">
        <v>32</v>
      </c>
      <c r="G659" s="1" t="s">
        <v>2181</v>
      </c>
      <c r="H659" s="1">
        <v>2103</v>
      </c>
      <c r="I659" s="1" t="s">
        <v>2182</v>
      </c>
      <c r="J659" s="1">
        <v>2273</v>
      </c>
      <c r="K659" s="1" t="s">
        <v>35</v>
      </c>
      <c r="L659" s="1">
        <v>64</v>
      </c>
      <c r="M659" s="1" t="str">
        <f>IF(L659&lt;=45,"Joven","Mayor")</f>
        <v>Mayor</v>
      </c>
      <c r="N659" s="1">
        <v>71</v>
      </c>
      <c r="O659" s="1" t="s">
        <v>36</v>
      </c>
      <c r="P659" s="1">
        <v>6.3E-2</v>
      </c>
      <c r="Q659" s="1">
        <v>50.613</v>
      </c>
      <c r="R659" s="1">
        <v>15.642150000000001</v>
      </c>
      <c r="S659" s="1">
        <v>-4.8589596999999998</v>
      </c>
      <c r="T659" s="1">
        <v>-4.6033688000000001</v>
      </c>
      <c r="U659" s="1">
        <v>1.02</v>
      </c>
      <c r="V659" s="1">
        <v>108</v>
      </c>
      <c r="W659" s="1">
        <v>172</v>
      </c>
      <c r="X659" s="1">
        <v>1.5925925925925926</v>
      </c>
      <c r="Y659" s="1">
        <v>108</v>
      </c>
      <c r="Z659" s="1">
        <v>172</v>
      </c>
      <c r="AA659" s="1">
        <v>1.5925925925925926</v>
      </c>
      <c r="AB659" s="1">
        <v>110.7816531475312</v>
      </c>
      <c r="AC659" s="1">
        <v>170.9636105557656</v>
      </c>
      <c r="AD659" s="1">
        <v>1.5432484143208109</v>
      </c>
      <c r="AE659" t="s">
        <v>4817</v>
      </c>
      <c r="AF659" t="str">
        <f>IF(X659&lt;$AF$1,"Bajo","Alto")</f>
        <v>Bajo</v>
      </c>
      <c r="AG659" t="str">
        <f>LEFT(AE659,1)</f>
        <v>C</v>
      </c>
      <c r="AH659" t="str">
        <f>K659</f>
        <v>M</v>
      </c>
      <c r="AI659" t="str">
        <f>LEFT(AF659,1)</f>
        <v>B</v>
      </c>
      <c r="AJ659" t="str">
        <f>LEFT(M659,1)</f>
        <v>M</v>
      </c>
      <c r="AK659" t="str">
        <f>_xlfn.CONCAT(AG659,AH659,AI659,AJ659)</f>
        <v>CMBM</v>
      </c>
    </row>
    <row r="660" spans="1:37" ht="15.75" hidden="1" customHeight="1" x14ac:dyDescent="0.2">
      <c r="A660" s="1">
        <v>277502</v>
      </c>
      <c r="B660" s="1" t="s">
        <v>3409</v>
      </c>
      <c r="C660" s="1" t="s">
        <v>973</v>
      </c>
      <c r="D660" s="1" t="s">
        <v>972</v>
      </c>
      <c r="E660" s="1" t="s">
        <v>1912</v>
      </c>
      <c r="F660" s="1" t="s">
        <v>37</v>
      </c>
      <c r="G660" s="1" t="s">
        <v>3724</v>
      </c>
      <c r="H660" s="1">
        <v>1416</v>
      </c>
      <c r="I660" s="1" t="s">
        <v>3725</v>
      </c>
      <c r="J660" s="1">
        <v>2760</v>
      </c>
      <c r="K660" s="1" t="s">
        <v>35</v>
      </c>
      <c r="L660" s="1">
        <v>41</v>
      </c>
      <c r="M660" s="1" t="str">
        <f>IF(L660&lt;=45,"Joven","Mayor")</f>
        <v>Joven</v>
      </c>
      <c r="N660" s="1">
        <v>46</v>
      </c>
      <c r="O660" s="1" t="s">
        <v>36</v>
      </c>
      <c r="P660" s="1">
        <v>0.157</v>
      </c>
      <c r="Q660" s="1">
        <v>90.501000000000005</v>
      </c>
      <c r="R660" s="1">
        <v>-3.756154</v>
      </c>
      <c r="S660" s="1">
        <v>7.3522762999999998</v>
      </c>
      <c r="T660" s="1">
        <v>5.4523869999999999</v>
      </c>
      <c r="U660" s="1">
        <v>1.242</v>
      </c>
      <c r="V660" s="1">
        <v>93</v>
      </c>
      <c r="W660" s="1">
        <v>151</v>
      </c>
      <c r="X660" s="1">
        <v>1.6236559139784945</v>
      </c>
      <c r="Y660" s="1">
        <v>99</v>
      </c>
      <c r="Z660" s="1">
        <v>151</v>
      </c>
      <c r="AA660" s="1">
        <v>1.5252525252525253</v>
      </c>
      <c r="AB660" s="1">
        <v>96.855056138919508</v>
      </c>
      <c r="AC660" s="1">
        <v>150.7918936359047</v>
      </c>
      <c r="AD660" s="1">
        <v>1.556882001282653</v>
      </c>
      <c r="AE660" t="s">
        <v>4817</v>
      </c>
      <c r="AF660" t="str">
        <f>IF(X660&lt;$AF$1,"Bajo","Alto")</f>
        <v>Bajo</v>
      </c>
      <c r="AG660" t="str">
        <f>LEFT(AE660,1)</f>
        <v>C</v>
      </c>
      <c r="AH660" t="str">
        <f>K660</f>
        <v>M</v>
      </c>
      <c r="AI660" t="str">
        <f>LEFT(AF660,1)</f>
        <v>B</v>
      </c>
      <c r="AJ660" t="str">
        <f>LEFT(M660,1)</f>
        <v>J</v>
      </c>
      <c r="AK660" t="str">
        <f>_xlfn.CONCAT(AG660,AH660,AI660,AJ660)</f>
        <v>CMBJ</v>
      </c>
    </row>
    <row r="661" spans="1:37" ht="15.75" hidden="1" customHeight="1" x14ac:dyDescent="0.2">
      <c r="A661" s="1">
        <v>10723702</v>
      </c>
      <c r="B661" s="1" t="s">
        <v>1067</v>
      </c>
      <c r="C661" s="1" t="s">
        <v>1068</v>
      </c>
      <c r="D661" s="1" t="s">
        <v>1261</v>
      </c>
      <c r="E661" s="1" t="s">
        <v>473</v>
      </c>
      <c r="F661" s="1" t="s">
        <v>37</v>
      </c>
      <c r="G661" s="1" t="s">
        <v>1263</v>
      </c>
      <c r="H661" s="1">
        <v>510</v>
      </c>
      <c r="I661" s="1" t="s">
        <v>48</v>
      </c>
      <c r="J661" s="1">
        <v>4</v>
      </c>
      <c r="K661" s="1" t="s">
        <v>35</v>
      </c>
      <c r="L661" s="1">
        <v>33</v>
      </c>
      <c r="M661" s="1" t="str">
        <f>IF(L661&lt;=45,"Joven","Mayor")</f>
        <v>Joven</v>
      </c>
      <c r="N661" s="1">
        <v>50</v>
      </c>
      <c r="O661" s="1" t="s">
        <v>36</v>
      </c>
      <c r="P661" s="1">
        <v>0.76100000000000001</v>
      </c>
      <c r="Q661" s="1">
        <v>93.772000000000006</v>
      </c>
      <c r="R661" s="1">
        <v>-1.3355718000000001</v>
      </c>
      <c r="S661" s="1">
        <v>-2.5342817000000002</v>
      </c>
      <c r="T661" s="1">
        <v>-0.20533182999999999</v>
      </c>
      <c r="U661" s="1">
        <v>1.147</v>
      </c>
      <c r="V661" s="1">
        <v>109</v>
      </c>
      <c r="W661" s="1">
        <v>177</v>
      </c>
      <c r="X661" s="1">
        <v>1.6238532110091743</v>
      </c>
      <c r="Y661" s="1">
        <v>110</v>
      </c>
      <c r="Z661" s="1">
        <v>177</v>
      </c>
      <c r="AA661" s="1">
        <v>1.6090909090909091</v>
      </c>
      <c r="AB661" s="1">
        <v>109.81652448453519</v>
      </c>
      <c r="AC661" s="1">
        <v>176.99886339360091</v>
      </c>
      <c r="AD661" s="1">
        <v>1.6117689411899627</v>
      </c>
      <c r="AE661" t="s">
        <v>4817</v>
      </c>
      <c r="AF661" t="str">
        <f>IF(X661&lt;$AF$1,"Bajo","Alto")</f>
        <v>Bajo</v>
      </c>
      <c r="AG661" t="str">
        <f>LEFT(AE661,1)</f>
        <v>C</v>
      </c>
      <c r="AH661" t="str">
        <f>K661</f>
        <v>M</v>
      </c>
      <c r="AI661" t="str">
        <f>LEFT(AF661,1)</f>
        <v>B</v>
      </c>
      <c r="AJ661" t="str">
        <f>LEFT(M661,1)</f>
        <v>J</v>
      </c>
      <c r="AK661" t="str">
        <f>_xlfn.CONCAT(AG661,AH661,AI661,AJ661)</f>
        <v>CMBJ</v>
      </c>
    </row>
    <row r="662" spans="1:37" ht="15.75" hidden="1" customHeight="1" x14ac:dyDescent="0.2">
      <c r="A662" s="1">
        <v>174805</v>
      </c>
      <c r="B662" s="1" t="s">
        <v>2551</v>
      </c>
      <c r="C662" s="1" t="s">
        <v>2552</v>
      </c>
      <c r="D662" s="1" t="s">
        <v>2649</v>
      </c>
      <c r="E662" s="1" t="s">
        <v>2650</v>
      </c>
      <c r="F662" s="1" t="s">
        <v>40</v>
      </c>
      <c r="G662" s="1" t="s">
        <v>2651</v>
      </c>
      <c r="H662" s="1">
        <v>172</v>
      </c>
      <c r="I662" s="1" t="s">
        <v>48</v>
      </c>
      <c r="J662" s="1">
        <v>4</v>
      </c>
      <c r="K662" s="1" t="s">
        <v>35</v>
      </c>
      <c r="L662" s="1">
        <v>28</v>
      </c>
      <c r="M662" s="1" t="str">
        <f>IF(L662&lt;=45,"Joven","Mayor")</f>
        <v>Joven</v>
      </c>
      <c r="N662" s="1">
        <v>32</v>
      </c>
      <c r="O662" s="1" t="s">
        <v>36</v>
      </c>
      <c r="P662" s="1">
        <v>0.92500000000000004</v>
      </c>
      <c r="Q662" s="1">
        <v>87</v>
      </c>
      <c r="R662" s="1">
        <v>-6.4369335000000003</v>
      </c>
      <c r="S662" s="1">
        <v>6.6315</v>
      </c>
      <c r="T662" s="1">
        <v>1.6232153</v>
      </c>
      <c r="U662" s="1">
        <v>1.1060000000000001</v>
      </c>
      <c r="V662" s="1">
        <v>88</v>
      </c>
      <c r="W662" s="1">
        <v>143</v>
      </c>
      <c r="X662" s="1">
        <v>1.625</v>
      </c>
      <c r="Y662" s="1">
        <v>89</v>
      </c>
      <c r="Z662" s="1">
        <v>143</v>
      </c>
      <c r="AA662" s="1">
        <v>1.6067415730337078</v>
      </c>
      <c r="AB662" s="1">
        <v>89.126080461429183</v>
      </c>
      <c r="AC662" s="1">
        <v>142.88596357917189</v>
      </c>
      <c r="AD662" s="1">
        <v>1.6031891320634053</v>
      </c>
      <c r="AE662" t="s">
        <v>4817</v>
      </c>
      <c r="AF662" t="str">
        <f>IF(X662&lt;$AF$1,"Bajo","Alto")</f>
        <v>Bajo</v>
      </c>
      <c r="AG662" t="str">
        <f>LEFT(AE662,1)</f>
        <v>C</v>
      </c>
      <c r="AH662" t="str">
        <f>K662</f>
        <v>M</v>
      </c>
      <c r="AI662" t="str">
        <f>LEFT(AF662,1)</f>
        <v>B</v>
      </c>
      <c r="AJ662" t="str">
        <f>LEFT(M662,1)</f>
        <v>J</v>
      </c>
      <c r="AK662" t="str">
        <f>_xlfn.CONCAT(AG662,AH662,AI662,AJ662)</f>
        <v>CMBJ</v>
      </c>
    </row>
    <row r="663" spans="1:37" ht="15.75" hidden="1" customHeight="1" x14ac:dyDescent="0.2">
      <c r="A663" s="1">
        <v>196403</v>
      </c>
      <c r="B663" s="1" t="s">
        <v>2656</v>
      </c>
      <c r="C663" s="1" t="s">
        <v>323</v>
      </c>
      <c r="D663" s="1" t="s">
        <v>2765</v>
      </c>
      <c r="E663" s="1" t="s">
        <v>710</v>
      </c>
      <c r="F663" s="1" t="s">
        <v>63</v>
      </c>
      <c r="G663" s="1" t="s">
        <v>2768</v>
      </c>
      <c r="H663" s="1">
        <v>45</v>
      </c>
      <c r="I663" s="1" t="s">
        <v>45</v>
      </c>
      <c r="J663" s="1">
        <v>17</v>
      </c>
      <c r="K663" s="1" t="s">
        <v>35</v>
      </c>
      <c r="L663" s="1">
        <v>61</v>
      </c>
      <c r="M663" s="1" t="str">
        <f>IF(L663&lt;=45,"Joven","Mayor")</f>
        <v>Mayor</v>
      </c>
      <c r="N663" s="1">
        <v>66</v>
      </c>
      <c r="O663" s="1" t="s">
        <v>36</v>
      </c>
      <c r="P663" s="1">
        <v>0.36199999999999999</v>
      </c>
      <c r="Q663" s="1">
        <v>93.498000000000005</v>
      </c>
      <c r="R663" s="1">
        <v>2.4898856</v>
      </c>
      <c r="S663" s="1">
        <v>0.87432825999999997</v>
      </c>
      <c r="T663" s="1">
        <v>-4.8545914000000003</v>
      </c>
      <c r="U663" s="1">
        <v>3.2490000000000001</v>
      </c>
      <c r="V663" s="1">
        <v>108</v>
      </c>
      <c r="W663" s="1">
        <v>172</v>
      </c>
      <c r="X663" s="1">
        <v>1.5925925925925926</v>
      </c>
      <c r="Y663" s="1">
        <v>111</v>
      </c>
      <c r="Z663" s="1">
        <v>172</v>
      </c>
      <c r="AA663" s="1">
        <v>1.5495495495495495</v>
      </c>
      <c r="AB663" s="1">
        <v>111.6746779388491</v>
      </c>
      <c r="AC663" s="1">
        <v>171.63686252935119</v>
      </c>
      <c r="AD663" s="1">
        <v>1.5369362661008634</v>
      </c>
      <c r="AE663" t="s">
        <v>4817</v>
      </c>
      <c r="AF663" t="str">
        <f>IF(X663&lt;$AF$1,"Bajo","Alto")</f>
        <v>Bajo</v>
      </c>
      <c r="AG663" t="str">
        <f>LEFT(AE663,1)</f>
        <v>C</v>
      </c>
      <c r="AH663" t="str">
        <f>K663</f>
        <v>M</v>
      </c>
      <c r="AI663" t="str">
        <f>LEFT(AF663,1)</f>
        <v>B</v>
      </c>
      <c r="AJ663" t="str">
        <f>LEFT(M663,1)</f>
        <v>M</v>
      </c>
      <c r="AK663" t="str">
        <f>_xlfn.CONCAT(AG663,AH663,AI663,AJ663)</f>
        <v>CMBM</v>
      </c>
    </row>
    <row r="664" spans="1:37" ht="15.75" hidden="1" customHeight="1" x14ac:dyDescent="0.2">
      <c r="A664" s="1">
        <v>299703</v>
      </c>
      <c r="B664" s="1" t="s">
        <v>3890</v>
      </c>
      <c r="C664" s="1" t="s">
        <v>1695</v>
      </c>
      <c r="D664" s="1" t="s">
        <v>4120</v>
      </c>
      <c r="E664" s="1" t="s">
        <v>781</v>
      </c>
      <c r="F664" s="1" t="s">
        <v>63</v>
      </c>
      <c r="G664" s="1" t="s">
        <v>4121</v>
      </c>
      <c r="H664" s="1">
        <v>4043</v>
      </c>
      <c r="I664" s="1" t="s">
        <v>134</v>
      </c>
      <c r="J664" s="1">
        <v>8</v>
      </c>
      <c r="K664" s="1" t="s">
        <v>35</v>
      </c>
      <c r="L664" s="1">
        <v>47</v>
      </c>
      <c r="M664" s="1" t="str">
        <f>IF(L664&lt;=45,"Joven","Mayor")</f>
        <v>Mayor</v>
      </c>
      <c r="N664" s="1">
        <v>57</v>
      </c>
      <c r="O664" s="1" t="s">
        <v>36</v>
      </c>
      <c r="P664" s="1">
        <v>0.36099999999999999</v>
      </c>
      <c r="Q664" s="1">
        <v>88.153000000000006</v>
      </c>
      <c r="R664" s="1">
        <v>6.4236946000000001</v>
      </c>
      <c r="S664" s="1">
        <v>-4.9015750000000002</v>
      </c>
      <c r="T664" s="1">
        <v>-6.1074440000000001</v>
      </c>
      <c r="U664" s="1">
        <v>1.319</v>
      </c>
      <c r="V664" s="1">
        <v>75</v>
      </c>
      <c r="W664" s="1">
        <v>145</v>
      </c>
      <c r="X664" s="1">
        <v>1.9333333333333333</v>
      </c>
      <c r="Y664" s="1">
        <v>84</v>
      </c>
      <c r="Z664" s="1">
        <v>145</v>
      </c>
      <c r="AA664" s="1">
        <v>1.7261904761904763</v>
      </c>
      <c r="AB664" s="1">
        <v>80.225035921319204</v>
      </c>
      <c r="AC664" s="1">
        <v>145.7728976586136</v>
      </c>
      <c r="AD664" s="1">
        <v>1.8170499518576786</v>
      </c>
      <c r="AE664" t="s">
        <v>4817</v>
      </c>
      <c r="AF664" t="str">
        <f>IF(X664&lt;$AF$1,"Bajo","Alto")</f>
        <v>Alto</v>
      </c>
      <c r="AG664" t="str">
        <f>LEFT(AE664,1)</f>
        <v>C</v>
      </c>
      <c r="AH664" t="str">
        <f>K664</f>
        <v>M</v>
      </c>
      <c r="AI664" t="str">
        <f>LEFT(AF664,1)</f>
        <v>A</v>
      </c>
      <c r="AJ664" t="str">
        <f>LEFT(M664,1)</f>
        <v>M</v>
      </c>
      <c r="AK664" t="str">
        <f>_xlfn.CONCAT(AG664,AH664,AI664,AJ664)</f>
        <v>CMAM</v>
      </c>
    </row>
    <row r="665" spans="1:37" ht="15.75" hidden="1" customHeight="1" x14ac:dyDescent="0.2">
      <c r="A665" s="1">
        <v>523506</v>
      </c>
      <c r="B665" s="1" t="s">
        <v>4529</v>
      </c>
      <c r="C665" s="1" t="s">
        <v>685</v>
      </c>
      <c r="D665" s="1" t="s">
        <v>175</v>
      </c>
      <c r="E665" s="1" t="s">
        <v>640</v>
      </c>
      <c r="F665" s="1" t="s">
        <v>88</v>
      </c>
      <c r="G665" s="1" t="s">
        <v>4590</v>
      </c>
      <c r="H665" s="1">
        <v>4649</v>
      </c>
      <c r="I665" s="1" t="s">
        <v>4591</v>
      </c>
      <c r="J665" s="1">
        <v>4097</v>
      </c>
      <c r="K665" s="1" t="s">
        <v>35</v>
      </c>
      <c r="L665" s="1">
        <v>42</v>
      </c>
      <c r="M665" s="1" t="str">
        <f>IF(L665&lt;=45,"Joven","Mayor")</f>
        <v>Joven</v>
      </c>
      <c r="N665" s="1">
        <v>35</v>
      </c>
      <c r="O665" s="1" t="s">
        <v>50</v>
      </c>
      <c r="P665" s="1">
        <v>0.30399999999999999</v>
      </c>
      <c r="Q665" s="1">
        <v>85.533000000000001</v>
      </c>
      <c r="R665" s="1">
        <v>-8.1135590000000004</v>
      </c>
      <c r="S665" s="1">
        <v>3.8864670000000001</v>
      </c>
      <c r="T665" s="1">
        <v>8.4261090000000003</v>
      </c>
      <c r="U665" s="1">
        <v>22.202000000000002</v>
      </c>
      <c r="V665" s="1">
        <v>86</v>
      </c>
      <c r="W665" s="1">
        <v>167</v>
      </c>
      <c r="X665" s="1">
        <v>1.941860465116279</v>
      </c>
      <c r="Y665" s="1">
        <v>95</v>
      </c>
      <c r="Z665" s="1">
        <v>167</v>
      </c>
      <c r="AA665" s="1">
        <v>1.7578947368421052</v>
      </c>
      <c r="AB665" s="1">
        <v>92.10530994964347</v>
      </c>
      <c r="AC665" s="1">
        <v>167.10228511669359</v>
      </c>
      <c r="AD665" s="1">
        <v>1.8142524595818965</v>
      </c>
      <c r="AE665" t="s">
        <v>4817</v>
      </c>
      <c r="AF665" t="str">
        <f>IF(X665&lt;$AF$1,"Bajo","Alto")</f>
        <v>Alto</v>
      </c>
      <c r="AG665" t="str">
        <f>LEFT(AE665,1)</f>
        <v>C</v>
      </c>
      <c r="AH665" t="str">
        <f>K665</f>
        <v>M</v>
      </c>
      <c r="AI665" t="str">
        <f>LEFT(AF665,1)</f>
        <v>A</v>
      </c>
      <c r="AJ665" t="str">
        <f>LEFT(M665,1)</f>
        <v>J</v>
      </c>
      <c r="AK665" t="str">
        <f>_xlfn.CONCAT(AG665,AH665,AI665,AJ665)</f>
        <v>CMAJ</v>
      </c>
    </row>
    <row r="666" spans="1:37" ht="15.75" hidden="1" customHeight="1" x14ac:dyDescent="0.2">
      <c r="A666" s="1">
        <v>238503</v>
      </c>
      <c r="B666" s="1" t="s">
        <v>319</v>
      </c>
      <c r="C666" s="1" t="s">
        <v>1989</v>
      </c>
      <c r="D666" s="1" t="s">
        <v>3092</v>
      </c>
      <c r="E666" s="1" t="s">
        <v>755</v>
      </c>
      <c r="F666" s="1" t="s">
        <v>63</v>
      </c>
      <c r="G666" s="1" t="s">
        <v>3095</v>
      </c>
      <c r="H666" s="1">
        <v>3152</v>
      </c>
      <c r="I666" s="1" t="s">
        <v>3096</v>
      </c>
      <c r="J666" s="1">
        <v>2509</v>
      </c>
      <c r="K666" s="1" t="s">
        <v>35</v>
      </c>
      <c r="L666" s="1">
        <v>31</v>
      </c>
      <c r="M666" s="1" t="str">
        <f>IF(L666&lt;=45,"Joven","Mayor")</f>
        <v>Joven</v>
      </c>
      <c r="N666" s="1">
        <v>25</v>
      </c>
      <c r="O666" s="1" t="s">
        <v>36</v>
      </c>
      <c r="P666" s="1">
        <v>0.34300000000000003</v>
      </c>
      <c r="Q666" s="1">
        <v>86.506</v>
      </c>
      <c r="R666" s="1">
        <v>-7.6678899999999999</v>
      </c>
      <c r="S666" s="1">
        <v>3.7167963999999998</v>
      </c>
      <c r="T666" s="1">
        <v>9.9533740000000002</v>
      </c>
      <c r="U666" s="1">
        <v>43.215000000000003</v>
      </c>
      <c r="V666" s="1">
        <v>102</v>
      </c>
      <c r="W666" s="1">
        <v>198</v>
      </c>
      <c r="X666" s="1">
        <v>1.9411764705882353</v>
      </c>
      <c r="Y666" s="1">
        <v>115</v>
      </c>
      <c r="Z666" s="1">
        <v>198</v>
      </c>
      <c r="AA666" s="1">
        <v>1.7217391304347827</v>
      </c>
      <c r="AB666" s="1">
        <v>110.8355736284955</v>
      </c>
      <c r="AC666" s="1">
        <v>198.6496309215872</v>
      </c>
      <c r="AD666" s="1">
        <v>1.7922912691139352</v>
      </c>
      <c r="AE666" t="s">
        <v>4817</v>
      </c>
      <c r="AF666" t="str">
        <f>IF(X666&lt;$AF$1,"Bajo","Alto")</f>
        <v>Alto</v>
      </c>
      <c r="AG666" t="str">
        <f>LEFT(AE666,1)</f>
        <v>C</v>
      </c>
      <c r="AH666" t="str">
        <f>K666</f>
        <v>M</v>
      </c>
      <c r="AI666" t="str">
        <f>LEFT(AF666,1)</f>
        <v>A</v>
      </c>
      <c r="AJ666" t="str">
        <f>LEFT(M666,1)</f>
        <v>J</v>
      </c>
      <c r="AK666" t="str">
        <f>_xlfn.CONCAT(AG666,AH666,AI666,AJ666)</f>
        <v>CMAJ</v>
      </c>
    </row>
    <row r="667" spans="1:37" ht="15.75" hidden="1" customHeight="1" x14ac:dyDescent="0.2">
      <c r="A667" s="1">
        <v>240103</v>
      </c>
      <c r="B667" s="1" t="s">
        <v>1548</v>
      </c>
      <c r="C667" s="1" t="s">
        <v>1993</v>
      </c>
      <c r="D667" s="1" t="s">
        <v>3118</v>
      </c>
      <c r="E667" s="1" t="s">
        <v>32</v>
      </c>
      <c r="F667" s="1" t="s">
        <v>63</v>
      </c>
      <c r="G667" s="1" t="s">
        <v>3120</v>
      </c>
      <c r="H667" s="1">
        <v>27063</v>
      </c>
      <c r="I667" s="1" t="s">
        <v>48</v>
      </c>
      <c r="J667" s="1">
        <v>4</v>
      </c>
      <c r="K667" s="1" t="s">
        <v>35</v>
      </c>
      <c r="L667" s="1">
        <v>32</v>
      </c>
      <c r="M667" s="1" t="str">
        <f>IF(L667&lt;=45,"Joven","Mayor")</f>
        <v>Joven</v>
      </c>
      <c r="N667" s="1">
        <v>32</v>
      </c>
      <c r="O667" s="1" t="s">
        <v>36</v>
      </c>
      <c r="P667" s="1">
        <v>0.17100000000000001</v>
      </c>
      <c r="Q667" s="1">
        <v>91.519000000000005</v>
      </c>
      <c r="R667" s="1">
        <v>3.3250904000000001</v>
      </c>
      <c r="S667" s="1">
        <v>5.9473539999999998</v>
      </c>
      <c r="T667" s="1">
        <v>-6.6110559999999996</v>
      </c>
      <c r="U667" s="1">
        <v>53.79</v>
      </c>
      <c r="V667" s="1">
        <v>80</v>
      </c>
      <c r="W667" s="1">
        <v>130</v>
      </c>
      <c r="X667" s="1">
        <v>1.625</v>
      </c>
      <c r="Y667" s="1">
        <v>86</v>
      </c>
      <c r="Z667" s="1">
        <v>130</v>
      </c>
      <c r="AA667" s="1">
        <v>1.5116279069767442</v>
      </c>
      <c r="AB667" s="1">
        <v>84.533714131701572</v>
      </c>
      <c r="AC667" s="1">
        <v>130.51711989224941</v>
      </c>
      <c r="AD667" s="1">
        <v>1.543965283353181</v>
      </c>
      <c r="AE667" t="s">
        <v>4817</v>
      </c>
      <c r="AF667" t="str">
        <f>IF(X667&lt;$AF$1,"Bajo","Alto")</f>
        <v>Bajo</v>
      </c>
      <c r="AG667" t="str">
        <f>LEFT(AE667,1)</f>
        <v>C</v>
      </c>
      <c r="AH667" t="str">
        <f>K667</f>
        <v>M</v>
      </c>
      <c r="AI667" t="str">
        <f>LEFT(AF667,1)</f>
        <v>B</v>
      </c>
      <c r="AJ667" t="str">
        <f>LEFT(M667,1)</f>
        <v>J</v>
      </c>
      <c r="AK667" t="str">
        <f>_xlfn.CONCAT(AG667,AH667,AI667,AJ667)</f>
        <v>CMBJ</v>
      </c>
    </row>
    <row r="668" spans="1:37" ht="15.75" hidden="1" customHeight="1" x14ac:dyDescent="0.2">
      <c r="A668" s="1">
        <v>1071001</v>
      </c>
      <c r="B668" s="1" t="s">
        <v>1067</v>
      </c>
      <c r="C668" s="1" t="s">
        <v>1068</v>
      </c>
      <c r="D668" s="1" t="s">
        <v>1094</v>
      </c>
      <c r="E668" s="1" t="s">
        <v>75</v>
      </c>
      <c r="F668" s="1" t="s">
        <v>32</v>
      </c>
      <c r="G668" s="1" t="s">
        <v>1095</v>
      </c>
      <c r="H668" s="1">
        <v>229</v>
      </c>
      <c r="I668" s="1" t="s">
        <v>85</v>
      </c>
      <c r="J668" s="1">
        <v>12</v>
      </c>
      <c r="K668" s="1" t="s">
        <v>35</v>
      </c>
      <c r="L668" s="1">
        <v>39</v>
      </c>
      <c r="M668" s="1" t="str">
        <f>IF(L668&lt;=45,"Joven","Mayor")</f>
        <v>Joven</v>
      </c>
      <c r="N668" s="1">
        <v>46</v>
      </c>
      <c r="O668" s="1" t="s">
        <v>36</v>
      </c>
      <c r="P668" s="1">
        <v>0.35499999999999998</v>
      </c>
      <c r="Q668" s="1">
        <v>83.072000000000003</v>
      </c>
      <c r="R668" s="1">
        <v>-9.0771730000000002</v>
      </c>
      <c r="S668" s="1">
        <v>4.1799765000000004</v>
      </c>
      <c r="T668" s="1">
        <v>5.1630497000000002</v>
      </c>
      <c r="U668" s="1">
        <v>11.086</v>
      </c>
      <c r="V668" s="1">
        <v>85</v>
      </c>
      <c r="W668" s="1">
        <v>136</v>
      </c>
      <c r="X668" s="1">
        <v>1.6</v>
      </c>
      <c r="Y668" s="1">
        <v>90</v>
      </c>
      <c r="Z668" s="1">
        <v>136</v>
      </c>
      <c r="AA668" s="1">
        <v>1.5111111111111111</v>
      </c>
      <c r="AB668" s="1">
        <v>88.25473692042624</v>
      </c>
      <c r="AC668" s="1">
        <v>135.89815071365231</v>
      </c>
      <c r="AD668" s="1">
        <v>1.5398397350182251</v>
      </c>
      <c r="AE668" t="s">
        <v>4815</v>
      </c>
      <c r="AF668" t="str">
        <f>IF(X668&lt;$AF$1,"Bajo","Alto")</f>
        <v>Bajo</v>
      </c>
      <c r="AG668" t="str">
        <f>LEFT(AE668,1)</f>
        <v>I</v>
      </c>
      <c r="AH668" t="str">
        <f>K668</f>
        <v>M</v>
      </c>
      <c r="AI668" t="str">
        <f>LEFT(AF668,1)</f>
        <v>B</v>
      </c>
      <c r="AJ668" t="str">
        <f>LEFT(M668,1)</f>
        <v>J</v>
      </c>
      <c r="AK668" t="str">
        <f>_xlfn.CONCAT(AG668,AH668,AI668,AJ668)</f>
        <v>IMBJ</v>
      </c>
    </row>
    <row r="669" spans="1:37" ht="15.75" hidden="1" customHeight="1" x14ac:dyDescent="0.2">
      <c r="A669" s="1">
        <v>10114208</v>
      </c>
      <c r="B669" s="1" t="s">
        <v>29</v>
      </c>
      <c r="C669" s="1" t="s">
        <v>30</v>
      </c>
      <c r="D669" s="1" t="s">
        <v>180</v>
      </c>
      <c r="E669" s="1" t="s">
        <v>181</v>
      </c>
      <c r="F669" s="1" t="s">
        <v>46</v>
      </c>
      <c r="G669" s="1" t="s">
        <v>187</v>
      </c>
      <c r="H669" s="1">
        <v>3908</v>
      </c>
      <c r="I669" s="1" t="s">
        <v>188</v>
      </c>
      <c r="J669" s="1">
        <v>2362</v>
      </c>
      <c r="K669" s="1" t="s">
        <v>35</v>
      </c>
      <c r="L669" s="1">
        <v>37</v>
      </c>
      <c r="M669" s="1" t="str">
        <f>IF(L669&lt;=45,"Joven","Mayor")</f>
        <v>Joven</v>
      </c>
      <c r="N669" s="1">
        <v>45</v>
      </c>
      <c r="O669" s="1" t="s">
        <v>36</v>
      </c>
      <c r="P669" s="1">
        <v>0.745</v>
      </c>
      <c r="Q669" s="1">
        <v>79.265000000000001</v>
      </c>
      <c r="R669" s="1">
        <v>-10.235607</v>
      </c>
      <c r="S669" s="1">
        <v>4.4569825999999999</v>
      </c>
      <c r="T669" s="1">
        <v>3.6689371999999998</v>
      </c>
      <c r="U669" s="1">
        <v>82.034999999999997</v>
      </c>
      <c r="V669" s="1">
        <v>131</v>
      </c>
      <c r="W669" s="1">
        <v>213</v>
      </c>
      <c r="X669" s="1">
        <v>1.6259541984732824</v>
      </c>
      <c r="Y669" s="1">
        <v>139</v>
      </c>
      <c r="Z669" s="1">
        <v>213</v>
      </c>
      <c r="AA669" s="1">
        <v>1.5323741007194245</v>
      </c>
      <c r="AB669" s="1">
        <v>135.9634885479322</v>
      </c>
      <c r="AC669" s="1">
        <v>213.2673515746651</v>
      </c>
      <c r="AD669" s="1">
        <v>1.5685633978086728</v>
      </c>
      <c r="AE669" t="s">
        <v>4817</v>
      </c>
      <c r="AF669" t="str">
        <f>IF(X669&lt;$AF$1,"Bajo","Alto")</f>
        <v>Bajo</v>
      </c>
      <c r="AG669" t="str">
        <f>LEFT(AE669,1)</f>
        <v>C</v>
      </c>
      <c r="AH669" t="str">
        <f>K669</f>
        <v>M</v>
      </c>
      <c r="AI669" t="str">
        <f>LEFT(AF669,1)</f>
        <v>B</v>
      </c>
      <c r="AJ669" t="str">
        <f>LEFT(M669,1)</f>
        <v>J</v>
      </c>
      <c r="AK669" t="str">
        <f>_xlfn.CONCAT(AG669,AH669,AI669,AJ669)</f>
        <v>CMBJ</v>
      </c>
    </row>
    <row r="670" spans="1:37" ht="15.75" hidden="1" customHeight="1" x14ac:dyDescent="0.2">
      <c r="A670" s="1">
        <v>256702</v>
      </c>
      <c r="B670" s="1" t="s">
        <v>3169</v>
      </c>
      <c r="C670" s="1" t="s">
        <v>821</v>
      </c>
      <c r="D670" s="1" t="s">
        <v>3301</v>
      </c>
      <c r="E670" s="1" t="s">
        <v>715</v>
      </c>
      <c r="F670" s="1" t="s">
        <v>37</v>
      </c>
      <c r="G670" s="1" t="s">
        <v>3303</v>
      </c>
      <c r="H670" s="1">
        <v>1302</v>
      </c>
      <c r="I670" s="1" t="s">
        <v>65</v>
      </c>
      <c r="J670" s="1">
        <v>2</v>
      </c>
      <c r="K670" s="1" t="s">
        <v>35</v>
      </c>
      <c r="L670" s="1">
        <v>54</v>
      </c>
      <c r="M670" s="1" t="str">
        <f>IF(L670&lt;=45,"Joven","Mayor")</f>
        <v>Mayor</v>
      </c>
      <c r="N670" s="1">
        <v>62</v>
      </c>
      <c r="O670" s="1" t="s">
        <v>36</v>
      </c>
      <c r="P670" s="1">
        <v>0.3</v>
      </c>
      <c r="Q670" s="1">
        <v>85.444000000000003</v>
      </c>
      <c r="R670" s="1">
        <v>-6.3570080000000004</v>
      </c>
      <c r="S670" s="1">
        <v>9.5186030000000006</v>
      </c>
      <c r="T670" s="1">
        <v>-0.50427615999999997</v>
      </c>
      <c r="U670" s="1">
        <v>0.40300000000000002</v>
      </c>
      <c r="V670" s="1">
        <v>118</v>
      </c>
      <c r="W670" s="1">
        <v>188</v>
      </c>
      <c r="X670" s="1">
        <v>1.5932203389830508</v>
      </c>
      <c r="Y670" s="1">
        <v>120</v>
      </c>
      <c r="Z670" s="1">
        <v>188</v>
      </c>
      <c r="AA670" s="1">
        <v>1.5666666666666667</v>
      </c>
      <c r="AB670" s="1">
        <v>119.59049865656699</v>
      </c>
      <c r="AC670" s="1">
        <v>188.0367243988417</v>
      </c>
      <c r="AD670" s="1">
        <v>1.5723383254620802</v>
      </c>
      <c r="AE670" t="s">
        <v>4817</v>
      </c>
      <c r="AF670" t="str">
        <f>IF(X670&lt;$AF$1,"Bajo","Alto")</f>
        <v>Bajo</v>
      </c>
      <c r="AG670" t="str">
        <f>LEFT(AE670,1)</f>
        <v>C</v>
      </c>
      <c r="AH670" t="str">
        <f>K670</f>
        <v>M</v>
      </c>
      <c r="AI670" t="str">
        <f>LEFT(AF670,1)</f>
        <v>B</v>
      </c>
      <c r="AJ670" t="str">
        <f>LEFT(M670,1)</f>
        <v>M</v>
      </c>
      <c r="AK670" t="str">
        <f>_xlfn.CONCAT(AG670,AH670,AI670,AJ670)</f>
        <v>CMBM</v>
      </c>
    </row>
    <row r="671" spans="1:37" ht="15.75" hidden="1" customHeight="1" x14ac:dyDescent="0.2">
      <c r="A671" s="1">
        <v>1010102</v>
      </c>
      <c r="B671" s="1" t="s">
        <v>29</v>
      </c>
      <c r="C671" s="1" t="s">
        <v>30</v>
      </c>
      <c r="D671" s="1" t="s">
        <v>31</v>
      </c>
      <c r="E671" s="1" t="s">
        <v>32</v>
      </c>
      <c r="F671" s="1" t="s">
        <v>37</v>
      </c>
      <c r="G671" s="1" t="s">
        <v>38</v>
      </c>
      <c r="H671" s="1">
        <v>235105</v>
      </c>
      <c r="I671" s="1" t="s">
        <v>39</v>
      </c>
      <c r="J671" s="1">
        <v>11</v>
      </c>
      <c r="K671" s="1" t="s">
        <v>35</v>
      </c>
      <c r="L671" s="1">
        <v>41</v>
      </c>
      <c r="M671" s="1" t="str">
        <f>IF(L671&lt;=45,"Joven","Mayor")</f>
        <v>Joven</v>
      </c>
      <c r="N671" s="1">
        <v>44</v>
      </c>
      <c r="O671" s="1" t="s">
        <v>36</v>
      </c>
      <c r="P671" s="1">
        <v>0.13500000000000001</v>
      </c>
      <c r="Q671" s="1">
        <v>87.063000000000002</v>
      </c>
      <c r="R671" s="1">
        <v>7.1862219999999999</v>
      </c>
      <c r="S671" s="1">
        <v>4.6737175000000004</v>
      </c>
      <c r="T671" s="1">
        <v>-8.8514599999999994</v>
      </c>
      <c r="U671" s="1">
        <v>3.9670000000000001</v>
      </c>
      <c r="V671" s="1">
        <v>77</v>
      </c>
      <c r="W671" s="1">
        <v>148</v>
      </c>
      <c r="X671" s="1">
        <v>1.9220779220779221</v>
      </c>
      <c r="Y671" s="1">
        <v>86</v>
      </c>
      <c r="Z671" s="1">
        <v>148</v>
      </c>
      <c r="AA671" s="1">
        <v>1.7209302325581395</v>
      </c>
      <c r="AB671" s="1">
        <v>83.930515359181754</v>
      </c>
      <c r="AC671" s="1">
        <v>148.6993792931471</v>
      </c>
      <c r="AD671" s="1">
        <v>1.7716962496511088</v>
      </c>
      <c r="AE671" t="s">
        <v>4816</v>
      </c>
      <c r="AF671" t="str">
        <f>IF(X671&lt;$AF$1,"Bajo","Alto")</f>
        <v>Alto</v>
      </c>
      <c r="AG671" t="str">
        <f>LEFT(AE671,1)</f>
        <v>D</v>
      </c>
      <c r="AH671" t="str">
        <f>K671</f>
        <v>M</v>
      </c>
      <c r="AI671" t="str">
        <f>LEFT(AF671,1)</f>
        <v>A</v>
      </c>
      <c r="AJ671" t="str">
        <f>LEFT(M671,1)</f>
        <v>J</v>
      </c>
      <c r="AK671" t="str">
        <f>_xlfn.CONCAT(AG671,AH671,AI671,AJ671)</f>
        <v>DMAJ</v>
      </c>
    </row>
    <row r="672" spans="1:37" ht="15.75" hidden="1" customHeight="1" x14ac:dyDescent="0.2">
      <c r="A672" s="1">
        <v>1070104</v>
      </c>
      <c r="B672" s="1" t="s">
        <v>1067</v>
      </c>
      <c r="C672" s="1" t="s">
        <v>1068</v>
      </c>
      <c r="D672" s="1" t="s">
        <v>1069</v>
      </c>
      <c r="E672" s="1" t="s">
        <v>32</v>
      </c>
      <c r="F672" s="1" t="s">
        <v>61</v>
      </c>
      <c r="G672" s="1" t="s">
        <v>1071</v>
      </c>
      <c r="H672" s="1">
        <v>21090</v>
      </c>
      <c r="I672" s="1" t="s">
        <v>48</v>
      </c>
      <c r="J672" s="1">
        <v>4</v>
      </c>
      <c r="K672" s="1" t="s">
        <v>35</v>
      </c>
      <c r="L672" s="1">
        <v>51</v>
      </c>
      <c r="M672" s="1" t="str">
        <f>IF(L672&lt;=45,"Joven","Mayor")</f>
        <v>Mayor</v>
      </c>
      <c r="N672" s="1">
        <v>53</v>
      </c>
      <c r="O672" s="1" t="s">
        <v>36</v>
      </c>
      <c r="P672" s="1">
        <v>0.35399999999999998</v>
      </c>
      <c r="Q672" s="1">
        <v>94.484999999999999</v>
      </c>
      <c r="R672" s="1">
        <v>-0.84687935999999997</v>
      </c>
      <c r="S672" s="1">
        <v>-0.51669955000000001</v>
      </c>
      <c r="T672" s="1">
        <v>-3.7865766999999999</v>
      </c>
      <c r="U672" s="1">
        <v>9.3520000000000003</v>
      </c>
      <c r="V672" s="1">
        <v>72</v>
      </c>
      <c r="W672" s="1">
        <v>139</v>
      </c>
      <c r="X672" s="1">
        <v>1.9305555555555556</v>
      </c>
      <c r="Y672" s="1">
        <v>81</v>
      </c>
      <c r="Z672" s="1">
        <v>139</v>
      </c>
      <c r="AA672" s="1">
        <v>1.7160493827160495</v>
      </c>
      <c r="AB672" s="1">
        <v>78.511769725738759</v>
      </c>
      <c r="AC672" s="1">
        <v>139.3569598265008</v>
      </c>
      <c r="AD672" s="1">
        <v>1.7749817678713586</v>
      </c>
      <c r="AE672" t="s">
        <v>4817</v>
      </c>
      <c r="AF672" t="str">
        <f>IF(X672&lt;$AF$1,"Bajo","Alto")</f>
        <v>Alto</v>
      </c>
      <c r="AG672" t="str">
        <f>LEFT(AE672,1)</f>
        <v>C</v>
      </c>
      <c r="AH672" t="str">
        <f>K672</f>
        <v>M</v>
      </c>
      <c r="AI672" t="str">
        <f>LEFT(AF672,1)</f>
        <v>A</v>
      </c>
      <c r="AJ672" t="str">
        <f>LEFT(M672,1)</f>
        <v>M</v>
      </c>
      <c r="AK672" t="str">
        <f>_xlfn.CONCAT(AG672,AH672,AI672,AJ672)</f>
        <v>CMAM</v>
      </c>
    </row>
    <row r="673" spans="1:37" ht="15.75" hidden="1" customHeight="1" x14ac:dyDescent="0.2">
      <c r="A673" s="1">
        <v>247804</v>
      </c>
      <c r="B673" s="1" t="s">
        <v>1548</v>
      </c>
      <c r="C673" s="1" t="s">
        <v>1993</v>
      </c>
      <c r="D673" s="1" t="s">
        <v>3159</v>
      </c>
      <c r="E673" s="1" t="s">
        <v>732</v>
      </c>
      <c r="F673" s="1" t="s">
        <v>61</v>
      </c>
      <c r="G673" s="1" t="s">
        <v>3160</v>
      </c>
      <c r="H673" s="1">
        <v>47</v>
      </c>
      <c r="I673" s="1" t="s">
        <v>42</v>
      </c>
      <c r="J673" s="1">
        <v>15</v>
      </c>
      <c r="K673" s="1" t="s">
        <v>35</v>
      </c>
      <c r="L673" s="1">
        <v>57</v>
      </c>
      <c r="M673" s="1" t="str">
        <f>IF(L673&lt;=45,"Joven","Mayor")</f>
        <v>Mayor</v>
      </c>
      <c r="N673" s="1">
        <v>57</v>
      </c>
      <c r="O673" s="1" t="s">
        <v>36</v>
      </c>
      <c r="P673" s="1">
        <v>0.35399999999999998</v>
      </c>
      <c r="Q673" s="1">
        <v>90.322999999999993</v>
      </c>
      <c r="R673" s="1">
        <v>3.7624692999999998</v>
      </c>
      <c r="S673" s="1">
        <v>7.5634930000000002</v>
      </c>
      <c r="T673" s="1">
        <v>-0.67209110000000005</v>
      </c>
      <c r="U673" s="1">
        <v>50.783000000000001</v>
      </c>
      <c r="V673" s="1">
        <v>96</v>
      </c>
      <c r="W673" s="1">
        <v>153</v>
      </c>
      <c r="X673" s="1">
        <v>1.59375</v>
      </c>
      <c r="Y673" s="1">
        <v>96</v>
      </c>
      <c r="Z673" s="1">
        <v>153</v>
      </c>
      <c r="AA673" s="1">
        <v>1.59375</v>
      </c>
      <c r="AB673" s="1">
        <v>96.43913286378347</v>
      </c>
      <c r="AC673" s="1">
        <v>152.96601403317351</v>
      </c>
      <c r="AD673" s="1">
        <v>1.5861404959875787</v>
      </c>
      <c r="AE673" t="s">
        <v>4817</v>
      </c>
      <c r="AF673" t="str">
        <f>IF(X673&lt;$AF$1,"Bajo","Alto")</f>
        <v>Bajo</v>
      </c>
      <c r="AG673" t="str">
        <f>LEFT(AE673,1)</f>
        <v>C</v>
      </c>
      <c r="AH673" t="str">
        <f>K673</f>
        <v>M</v>
      </c>
      <c r="AI673" t="str">
        <f>LEFT(AF673,1)</f>
        <v>B</v>
      </c>
      <c r="AJ673" t="str">
        <f>LEFT(M673,1)</f>
        <v>M</v>
      </c>
      <c r="AK673" t="str">
        <f>_xlfn.CONCAT(AG673,AH673,AI673,AJ673)</f>
        <v>CMBM</v>
      </c>
    </row>
    <row r="674" spans="1:37" ht="15.75" hidden="1" customHeight="1" x14ac:dyDescent="0.2">
      <c r="A674" s="1">
        <v>231001</v>
      </c>
      <c r="B674" s="1" t="s">
        <v>319</v>
      </c>
      <c r="C674" s="1" t="s">
        <v>1989</v>
      </c>
      <c r="D674" s="1" t="s">
        <v>2921</v>
      </c>
      <c r="E674" s="1" t="s">
        <v>75</v>
      </c>
      <c r="F674" s="1" t="s">
        <v>32</v>
      </c>
      <c r="G674" s="1" t="s">
        <v>2922</v>
      </c>
      <c r="H674" s="1">
        <v>2431</v>
      </c>
      <c r="I674" s="1" t="s">
        <v>65</v>
      </c>
      <c r="J674" s="1">
        <v>2</v>
      </c>
      <c r="K674" s="1" t="s">
        <v>49</v>
      </c>
      <c r="L674" s="1">
        <v>34</v>
      </c>
      <c r="M674" s="1" t="str">
        <f>IF(L674&lt;=45,"Joven","Mayor")</f>
        <v>Joven</v>
      </c>
      <c r="N674" s="1">
        <v>35</v>
      </c>
      <c r="O674" s="1" t="s">
        <v>50</v>
      </c>
      <c r="P674" s="1">
        <v>0.49399999999999999</v>
      </c>
      <c r="Q674" s="1">
        <v>92.358999999999995</v>
      </c>
      <c r="R674" s="1">
        <v>-0.41302410000000001</v>
      </c>
      <c r="S674" s="1">
        <v>8.8109020000000005</v>
      </c>
      <c r="T674" s="1">
        <v>-1.9758517</v>
      </c>
      <c r="U674" s="1">
        <v>46.338000000000001</v>
      </c>
      <c r="V674" s="1">
        <v>89</v>
      </c>
      <c r="W674" s="1">
        <v>146</v>
      </c>
      <c r="X674" s="1">
        <v>1.6404494382022472</v>
      </c>
      <c r="Y674" s="1">
        <v>90</v>
      </c>
      <c r="Z674" s="1">
        <v>146</v>
      </c>
      <c r="AA674" s="1">
        <v>1.6222222222222222</v>
      </c>
      <c r="AB674" s="1">
        <v>90.326216126290319</v>
      </c>
      <c r="AC674" s="1">
        <v>146.05110843109469</v>
      </c>
      <c r="AD674" s="1">
        <v>1.6169293334162496</v>
      </c>
      <c r="AE674" t="s">
        <v>4817</v>
      </c>
      <c r="AF674" t="str">
        <f>IF(X674&lt;$AF$1,"Bajo","Alto")</f>
        <v>Bajo</v>
      </c>
      <c r="AG674" t="str">
        <f>LEFT(AE674,1)</f>
        <v>C</v>
      </c>
      <c r="AH674" t="str">
        <f>K674</f>
        <v>F</v>
      </c>
      <c r="AI674" t="str">
        <f>LEFT(AF674,1)</f>
        <v>B</v>
      </c>
      <c r="AJ674" t="str">
        <f>LEFT(M674,1)</f>
        <v>J</v>
      </c>
      <c r="AK674" t="str">
        <f>_xlfn.CONCAT(AG674,AH674,AI674,AJ674)</f>
        <v>CFBJ</v>
      </c>
    </row>
    <row r="675" spans="1:37" ht="15.75" hidden="1" customHeight="1" x14ac:dyDescent="0.2">
      <c r="A675" s="1">
        <v>10710303</v>
      </c>
      <c r="B675" s="1" t="s">
        <v>1067</v>
      </c>
      <c r="C675" s="1" t="s">
        <v>1068</v>
      </c>
      <c r="D675" s="1" t="s">
        <v>1098</v>
      </c>
      <c r="E675" s="1" t="s">
        <v>81</v>
      </c>
      <c r="F675" s="1" t="s">
        <v>63</v>
      </c>
      <c r="G675" s="1" t="s">
        <v>1101</v>
      </c>
      <c r="H675" s="1">
        <v>422</v>
      </c>
      <c r="I675" s="1" t="s">
        <v>1102</v>
      </c>
      <c r="J675" s="1">
        <v>4061</v>
      </c>
      <c r="K675" s="1" t="s">
        <v>35</v>
      </c>
      <c r="L675" s="1">
        <v>36</v>
      </c>
      <c r="M675" s="1" t="str">
        <f>IF(L675&lt;=45,"Joven","Mayor")</f>
        <v>Joven</v>
      </c>
      <c r="N675" s="1">
        <v>39</v>
      </c>
      <c r="O675" s="1" t="s">
        <v>36</v>
      </c>
      <c r="P675" s="1">
        <v>0.40100000000000002</v>
      </c>
      <c r="Q675" s="1">
        <v>92.072000000000003</v>
      </c>
      <c r="R675" s="1">
        <v>4.1725025000000002</v>
      </c>
      <c r="S675" s="1">
        <v>1.3303474</v>
      </c>
      <c r="T675" s="1">
        <v>-1.3954918000000001</v>
      </c>
      <c r="U675" s="1">
        <v>5.6070000000000002</v>
      </c>
      <c r="V675" s="1">
        <v>83</v>
      </c>
      <c r="W675" s="1">
        <v>135</v>
      </c>
      <c r="X675" s="1">
        <v>1.6265060240963856</v>
      </c>
      <c r="Y675" s="1">
        <v>83</v>
      </c>
      <c r="Z675" s="1">
        <v>135</v>
      </c>
      <c r="AA675" s="1">
        <v>1.6265060240963856</v>
      </c>
      <c r="AB675" s="1">
        <v>83.852109624541299</v>
      </c>
      <c r="AC675" s="1">
        <v>134.95996022607639</v>
      </c>
      <c r="AD675" s="1">
        <v>1.609499878182876</v>
      </c>
      <c r="AE675" t="s">
        <v>4817</v>
      </c>
      <c r="AF675" t="str">
        <f>IF(X675&lt;$AF$1,"Bajo","Alto")</f>
        <v>Bajo</v>
      </c>
      <c r="AG675" t="str">
        <f>LEFT(AE675,1)</f>
        <v>C</v>
      </c>
      <c r="AH675" t="str">
        <f>K675</f>
        <v>M</v>
      </c>
      <c r="AI675" t="str">
        <f>LEFT(AF675,1)</f>
        <v>B</v>
      </c>
      <c r="AJ675" t="str">
        <f>LEFT(M675,1)</f>
        <v>J</v>
      </c>
      <c r="AK675" t="str">
        <f>_xlfn.CONCAT(AG675,AH675,AI675,AJ675)</f>
        <v>CMBJ</v>
      </c>
    </row>
    <row r="676" spans="1:37" ht="15.75" hidden="1" customHeight="1" x14ac:dyDescent="0.2">
      <c r="A676" s="1">
        <v>1050603</v>
      </c>
      <c r="B676" s="1" t="s">
        <v>694</v>
      </c>
      <c r="C676" s="1" t="s">
        <v>879</v>
      </c>
      <c r="D676" s="1" t="s">
        <v>893</v>
      </c>
      <c r="E676" s="1" t="s">
        <v>88</v>
      </c>
      <c r="F676" s="1" t="s">
        <v>63</v>
      </c>
      <c r="G676" s="1" t="s">
        <v>894</v>
      </c>
      <c r="H676" s="1">
        <v>1454</v>
      </c>
      <c r="I676" s="1" t="s">
        <v>87</v>
      </c>
      <c r="J676" s="1">
        <v>14</v>
      </c>
      <c r="K676" s="1" t="s">
        <v>35</v>
      </c>
      <c r="L676" s="1">
        <v>41</v>
      </c>
      <c r="M676" s="1" t="str">
        <f>IF(L676&lt;=45,"Joven","Mayor")</f>
        <v>Joven</v>
      </c>
      <c r="N676" s="1">
        <v>50</v>
      </c>
      <c r="O676" s="1" t="s">
        <v>36</v>
      </c>
      <c r="P676" s="1">
        <v>0.32</v>
      </c>
      <c r="Q676" s="1">
        <v>91.113</v>
      </c>
      <c r="R676" s="1">
        <v>4.2863110000000004</v>
      </c>
      <c r="S676" s="1">
        <v>4.4042716000000004</v>
      </c>
      <c r="T676" s="1">
        <v>-1.4789131</v>
      </c>
      <c r="U676" s="1">
        <v>1.304</v>
      </c>
      <c r="V676" s="1">
        <v>104</v>
      </c>
      <c r="W676" s="1">
        <v>170</v>
      </c>
      <c r="X676" s="1">
        <v>1.6346153846153846</v>
      </c>
      <c r="Y676" s="1">
        <v>105</v>
      </c>
      <c r="Z676" s="1">
        <v>170</v>
      </c>
      <c r="AA676" s="1">
        <v>1.6190476190476191</v>
      </c>
      <c r="AB676" s="1">
        <v>106.0231940993438</v>
      </c>
      <c r="AC676" s="1">
        <v>169.8143263416919</v>
      </c>
      <c r="AD676" s="1">
        <v>1.6016714812664083</v>
      </c>
      <c r="AE676" t="s">
        <v>4816</v>
      </c>
      <c r="AF676" t="str">
        <f>IF(X676&lt;$AF$1,"Bajo","Alto")</f>
        <v>Bajo</v>
      </c>
      <c r="AG676" t="str">
        <f>LEFT(AE676,1)</f>
        <v>D</v>
      </c>
      <c r="AH676" t="str">
        <f>K676</f>
        <v>M</v>
      </c>
      <c r="AI676" t="str">
        <f>LEFT(AF676,1)</f>
        <v>B</v>
      </c>
      <c r="AJ676" t="str">
        <f>LEFT(M676,1)</f>
        <v>J</v>
      </c>
      <c r="AK676" t="str">
        <f>_xlfn.CONCAT(AG676,AH676,AI676,AJ676)</f>
        <v>DMBJ</v>
      </c>
    </row>
    <row r="677" spans="1:37" ht="15.75" hidden="1" customHeight="1" x14ac:dyDescent="0.2">
      <c r="A677" s="1">
        <v>10910902</v>
      </c>
      <c r="B677" s="1" t="s">
        <v>719</v>
      </c>
      <c r="C677" s="1" t="s">
        <v>98</v>
      </c>
      <c r="D677" s="1" t="s">
        <v>1550</v>
      </c>
      <c r="E677" s="1" t="s">
        <v>98</v>
      </c>
      <c r="F677" s="1" t="s">
        <v>37</v>
      </c>
      <c r="G677" s="1" t="s">
        <v>1552</v>
      </c>
      <c r="H677" s="1">
        <v>233</v>
      </c>
      <c r="I677" s="1" t="s">
        <v>65</v>
      </c>
      <c r="J677" s="1">
        <v>2</v>
      </c>
      <c r="K677" s="1" t="s">
        <v>35</v>
      </c>
      <c r="L677" s="1">
        <v>56</v>
      </c>
      <c r="M677" s="1" t="str">
        <f>IF(L677&lt;=45,"Joven","Mayor")</f>
        <v>Mayor</v>
      </c>
      <c r="N677" s="1">
        <v>55</v>
      </c>
      <c r="O677" s="1" t="s">
        <v>36</v>
      </c>
      <c r="P677" s="1">
        <v>6.2E-2</v>
      </c>
      <c r="Q677" s="1">
        <v>94.906999999999996</v>
      </c>
      <c r="R677" s="1">
        <v>0.19114284000000001</v>
      </c>
      <c r="S677" s="1">
        <v>2.8654349999999999E-2</v>
      </c>
      <c r="T677" s="1">
        <v>1.1879440000000001</v>
      </c>
      <c r="U677" s="1">
        <v>32.085000000000001</v>
      </c>
      <c r="V677" s="1">
        <v>101</v>
      </c>
      <c r="W677" s="1">
        <v>161</v>
      </c>
      <c r="X677" s="1">
        <v>1.5940594059405941</v>
      </c>
      <c r="Y677" s="1">
        <v>102</v>
      </c>
      <c r="Z677" s="1">
        <v>161</v>
      </c>
      <c r="AA677" s="1">
        <v>1.5784313725490196</v>
      </c>
      <c r="AB677" s="1">
        <v>102.7036986376711</v>
      </c>
      <c r="AC677" s="1">
        <v>160.94466389626541</v>
      </c>
      <c r="AD677" s="1">
        <v>1.5670775836814106</v>
      </c>
      <c r="AE677" t="s">
        <v>4817</v>
      </c>
      <c r="AF677" t="str">
        <f>IF(X677&lt;$AF$1,"Bajo","Alto")</f>
        <v>Bajo</v>
      </c>
      <c r="AG677" t="str">
        <f>LEFT(AE677,1)</f>
        <v>C</v>
      </c>
      <c r="AH677" t="str">
        <f>K677</f>
        <v>M</v>
      </c>
      <c r="AI677" t="str">
        <f>LEFT(AF677,1)</f>
        <v>B</v>
      </c>
      <c r="AJ677" t="str">
        <f>LEFT(M677,1)</f>
        <v>M</v>
      </c>
      <c r="AK677" t="str">
        <f>_xlfn.CONCAT(AG677,AH677,AI677,AJ677)</f>
        <v>CMBM</v>
      </c>
    </row>
    <row r="678" spans="1:37" ht="15.75" hidden="1" customHeight="1" x14ac:dyDescent="0.2">
      <c r="A678" s="1">
        <v>1260803</v>
      </c>
      <c r="B678" s="1" t="s">
        <v>1798</v>
      </c>
      <c r="C678" s="1" t="s">
        <v>54</v>
      </c>
      <c r="D678" s="1" t="s">
        <v>1871</v>
      </c>
      <c r="E678" s="1" t="s">
        <v>1872</v>
      </c>
      <c r="F678" s="1" t="s">
        <v>63</v>
      </c>
      <c r="G678" s="1" t="s">
        <v>1875</v>
      </c>
      <c r="H678" s="1">
        <v>10372</v>
      </c>
      <c r="I678" s="1" t="s">
        <v>1876</v>
      </c>
      <c r="J678" s="1">
        <v>805</v>
      </c>
      <c r="K678" s="1" t="s">
        <v>35</v>
      </c>
      <c r="L678" s="1">
        <v>49</v>
      </c>
      <c r="M678" s="1" t="str">
        <f>IF(L678&lt;=45,"Joven","Mayor")</f>
        <v>Mayor</v>
      </c>
      <c r="N678" s="1">
        <v>51</v>
      </c>
      <c r="O678" s="1" t="s">
        <v>36</v>
      </c>
      <c r="P678" s="1">
        <v>0.35499999999999998</v>
      </c>
      <c r="Q678" s="1">
        <v>91.405000000000001</v>
      </c>
      <c r="R678" s="1">
        <v>-4.1675158000000003</v>
      </c>
      <c r="S678" s="1">
        <v>3.8520477</v>
      </c>
      <c r="T678" s="1">
        <v>0.45015885999999999</v>
      </c>
      <c r="U678" s="1">
        <v>11.374000000000001</v>
      </c>
      <c r="V678" s="1">
        <v>99</v>
      </c>
      <c r="W678" s="1">
        <v>158</v>
      </c>
      <c r="X678" s="1">
        <v>1.595959595959596</v>
      </c>
      <c r="Y678" s="1">
        <v>100</v>
      </c>
      <c r="Z678" s="1">
        <v>158</v>
      </c>
      <c r="AA678" s="1">
        <v>1.58</v>
      </c>
      <c r="AB678" s="1">
        <v>100.30332385039399</v>
      </c>
      <c r="AC678" s="1">
        <v>157.98726679323451</v>
      </c>
      <c r="AD678" s="1">
        <v>1.5750950290428878</v>
      </c>
      <c r="AE678" t="s">
        <v>4817</v>
      </c>
      <c r="AF678" t="str">
        <f>IF(X678&lt;$AF$1,"Bajo","Alto")</f>
        <v>Bajo</v>
      </c>
      <c r="AG678" t="str">
        <f>LEFT(AE678,1)</f>
        <v>C</v>
      </c>
      <c r="AH678" t="str">
        <f>K678</f>
        <v>M</v>
      </c>
      <c r="AI678" t="str">
        <f>LEFT(AF678,1)</f>
        <v>B</v>
      </c>
      <c r="AJ678" t="str">
        <f>LEFT(M678,1)</f>
        <v>M</v>
      </c>
      <c r="AK678" t="str">
        <f>_xlfn.CONCAT(AG678,AH678,AI678,AJ678)</f>
        <v>CMBM</v>
      </c>
    </row>
    <row r="679" spans="1:37" ht="15.75" hidden="1" customHeight="1" x14ac:dyDescent="0.2">
      <c r="A679" s="1">
        <v>194004</v>
      </c>
      <c r="B679" s="1" t="s">
        <v>2656</v>
      </c>
      <c r="C679" s="1" t="s">
        <v>323</v>
      </c>
      <c r="D679" s="1" t="s">
        <v>2715</v>
      </c>
      <c r="E679" s="1" t="s">
        <v>657</v>
      </c>
      <c r="F679" s="1" t="s">
        <v>61</v>
      </c>
      <c r="G679" s="1" t="s">
        <v>2719</v>
      </c>
      <c r="H679" s="1">
        <v>234</v>
      </c>
      <c r="I679" s="1" t="s">
        <v>48</v>
      </c>
      <c r="J679" s="1">
        <v>4</v>
      </c>
      <c r="K679" s="1" t="s">
        <v>35</v>
      </c>
      <c r="L679" s="1">
        <v>43</v>
      </c>
      <c r="M679" s="1" t="str">
        <f>IF(L679&lt;=45,"Joven","Mayor")</f>
        <v>Joven</v>
      </c>
      <c r="N679" s="1">
        <v>45</v>
      </c>
      <c r="O679" s="1" t="s">
        <v>36</v>
      </c>
      <c r="P679" s="1">
        <v>0.39200000000000002</v>
      </c>
      <c r="Q679" s="1">
        <v>92.917000000000002</v>
      </c>
      <c r="R679" s="1">
        <v>3.1529338</v>
      </c>
      <c r="S679" s="1">
        <v>1.3996824000000001</v>
      </c>
      <c r="T679" s="1">
        <v>9.3329020000000007</v>
      </c>
      <c r="U679" s="1">
        <v>19.535</v>
      </c>
      <c r="V679" s="1">
        <v>82</v>
      </c>
      <c r="W679" s="1">
        <v>159</v>
      </c>
      <c r="X679" s="1">
        <v>1.9390243902439024</v>
      </c>
      <c r="Y679" s="1">
        <v>97</v>
      </c>
      <c r="Z679" s="1">
        <v>159</v>
      </c>
      <c r="AA679" s="1">
        <v>1.6391752577319587</v>
      </c>
      <c r="AB679" s="1">
        <v>90.52653121363619</v>
      </c>
      <c r="AC679" s="1">
        <v>160.6251991007048</v>
      </c>
      <c r="AD679" s="1">
        <v>1.7743439072203124</v>
      </c>
      <c r="AE679" t="s">
        <v>4817</v>
      </c>
      <c r="AF679" t="str">
        <f>IF(X679&lt;$AF$1,"Bajo","Alto")</f>
        <v>Alto</v>
      </c>
      <c r="AG679" t="str">
        <f>LEFT(AE679,1)</f>
        <v>C</v>
      </c>
      <c r="AH679" t="str">
        <f>K679</f>
        <v>M</v>
      </c>
      <c r="AI679" t="str">
        <f>LEFT(AF679,1)</f>
        <v>A</v>
      </c>
      <c r="AJ679" t="str">
        <f>LEFT(M679,1)</f>
        <v>J</v>
      </c>
      <c r="AK679" t="str">
        <f>_xlfn.CONCAT(AG679,AH679,AI679,AJ679)</f>
        <v>CMAJ</v>
      </c>
    </row>
    <row r="680" spans="1:37" ht="15.75" hidden="1" customHeight="1" x14ac:dyDescent="0.2">
      <c r="A680" s="1">
        <v>237702</v>
      </c>
      <c r="B680" s="1" t="s">
        <v>319</v>
      </c>
      <c r="C680" s="1" t="s">
        <v>1989</v>
      </c>
      <c r="D680" s="1" t="s">
        <v>3074</v>
      </c>
      <c r="E680" s="1" t="s">
        <v>3075</v>
      </c>
      <c r="F680" s="1" t="s">
        <v>37</v>
      </c>
      <c r="G680" s="1" t="s">
        <v>3077</v>
      </c>
      <c r="H680" s="1">
        <v>1464</v>
      </c>
      <c r="I680" s="1" t="s">
        <v>65</v>
      </c>
      <c r="J680" s="1">
        <v>2</v>
      </c>
      <c r="K680" s="1" t="s">
        <v>35</v>
      </c>
      <c r="L680" s="1">
        <v>34</v>
      </c>
      <c r="M680" s="1" t="str">
        <f>IF(L680&lt;=45,"Joven","Mayor")</f>
        <v>Joven</v>
      </c>
      <c r="N680" s="1">
        <v>40</v>
      </c>
      <c r="O680" s="1" t="s">
        <v>36</v>
      </c>
      <c r="P680" s="1">
        <v>0.35699999999999998</v>
      </c>
      <c r="Q680" s="1">
        <v>82.588999999999999</v>
      </c>
      <c r="R680" s="1">
        <v>8.4939070000000001</v>
      </c>
      <c r="S680" s="1">
        <v>7.2353290000000001</v>
      </c>
      <c r="T680" s="1">
        <v>-1.3937174000000001</v>
      </c>
      <c r="U680" s="1">
        <v>24.658000000000001</v>
      </c>
      <c r="V680" s="1">
        <v>82</v>
      </c>
      <c r="W680" s="1">
        <v>159</v>
      </c>
      <c r="X680" s="1">
        <v>1.9390243902439024</v>
      </c>
      <c r="Y680" s="1">
        <v>84</v>
      </c>
      <c r="Z680" s="1">
        <v>159</v>
      </c>
      <c r="AA680" s="1">
        <v>1.8928571428571428</v>
      </c>
      <c r="AB680" s="1">
        <v>84.777794112546189</v>
      </c>
      <c r="AC680" s="1">
        <v>158.6367686238741</v>
      </c>
      <c r="AD680" s="1">
        <v>1.8712066088117005</v>
      </c>
      <c r="AE680" t="s">
        <v>4817</v>
      </c>
      <c r="AF680" t="str">
        <f>IF(X680&lt;$AF$1,"Bajo","Alto")</f>
        <v>Alto</v>
      </c>
      <c r="AG680" t="str">
        <f>LEFT(AE680,1)</f>
        <v>C</v>
      </c>
      <c r="AH680" t="str">
        <f>K680</f>
        <v>M</v>
      </c>
      <c r="AI680" t="str">
        <f>LEFT(AF680,1)</f>
        <v>A</v>
      </c>
      <c r="AJ680" t="str">
        <f>LEFT(M680,1)</f>
        <v>J</v>
      </c>
      <c r="AK680" t="str">
        <f>_xlfn.CONCAT(AG680,AH680,AI680,AJ680)</f>
        <v>CMAJ</v>
      </c>
    </row>
    <row r="681" spans="1:37" ht="15.75" hidden="1" customHeight="1" x14ac:dyDescent="0.2">
      <c r="A681" s="1">
        <v>10124102</v>
      </c>
      <c r="B681" s="1" t="s">
        <v>29</v>
      </c>
      <c r="C681" s="1" t="s">
        <v>30</v>
      </c>
      <c r="D681" s="1" t="s">
        <v>486</v>
      </c>
      <c r="E681" s="1" t="s">
        <v>487</v>
      </c>
      <c r="F681" s="1" t="s">
        <v>37</v>
      </c>
      <c r="G681" s="1" t="s">
        <v>489</v>
      </c>
      <c r="H681" s="1">
        <v>3108</v>
      </c>
      <c r="I681" s="1" t="s">
        <v>108</v>
      </c>
      <c r="J681" s="1">
        <v>3</v>
      </c>
      <c r="K681" s="1" t="s">
        <v>35</v>
      </c>
      <c r="L681" s="1">
        <v>42</v>
      </c>
      <c r="M681" s="1" t="str">
        <f>IF(L681&lt;=45,"Joven","Mayor")</f>
        <v>Joven</v>
      </c>
      <c r="N681" s="1">
        <v>46</v>
      </c>
      <c r="O681" s="1" t="s">
        <v>36</v>
      </c>
      <c r="P681" s="1">
        <v>0.42</v>
      </c>
      <c r="Q681" s="1">
        <v>94.040999999999997</v>
      </c>
      <c r="R681" s="1">
        <v>0.38176915</v>
      </c>
      <c r="S681" s="1">
        <v>3.9049608999999998</v>
      </c>
      <c r="T681" s="1">
        <v>-2.6157575</v>
      </c>
      <c r="U681" s="1">
        <v>0.20200000000000001</v>
      </c>
      <c r="V681" s="1">
        <v>97</v>
      </c>
      <c r="W681" s="1">
        <v>158</v>
      </c>
      <c r="X681" s="1">
        <v>1.6288659793814433</v>
      </c>
      <c r="Y681" s="1">
        <v>99</v>
      </c>
      <c r="Z681" s="1">
        <v>158</v>
      </c>
      <c r="AA681" s="1">
        <v>1.595959595959596</v>
      </c>
      <c r="AB681" s="1">
        <v>100.8136319600621</v>
      </c>
      <c r="AC681" s="1">
        <v>157.835372890831</v>
      </c>
      <c r="AD681" s="1">
        <v>1.565615381790415</v>
      </c>
      <c r="AE681" t="s">
        <v>4817</v>
      </c>
      <c r="AF681" t="str">
        <f>IF(X681&lt;$AF$1,"Bajo","Alto")</f>
        <v>Bajo</v>
      </c>
      <c r="AG681" t="str">
        <f>LEFT(AE681,1)</f>
        <v>C</v>
      </c>
      <c r="AH681" t="str">
        <f>K681</f>
        <v>M</v>
      </c>
      <c r="AI681" t="str">
        <f>LEFT(AF681,1)</f>
        <v>B</v>
      </c>
      <c r="AJ681" t="str">
        <f>LEFT(M681,1)</f>
        <v>J</v>
      </c>
      <c r="AK681" t="str">
        <f>_xlfn.CONCAT(AG681,AH681,AI681,AJ681)</f>
        <v>CMBJ</v>
      </c>
    </row>
    <row r="682" spans="1:37" ht="15.75" hidden="1" customHeight="1" x14ac:dyDescent="0.2">
      <c r="A682" s="1">
        <v>523504</v>
      </c>
      <c r="B682" s="1" t="s">
        <v>4529</v>
      </c>
      <c r="C682" s="1" t="s">
        <v>685</v>
      </c>
      <c r="D682" s="1" t="s">
        <v>175</v>
      </c>
      <c r="E682" s="1" t="s">
        <v>640</v>
      </c>
      <c r="F682" s="1" t="s">
        <v>61</v>
      </c>
      <c r="G682" s="1" t="s">
        <v>4587</v>
      </c>
      <c r="H682" s="1">
        <v>87</v>
      </c>
      <c r="I682" s="1" t="s">
        <v>45</v>
      </c>
      <c r="J682" s="1">
        <v>17</v>
      </c>
      <c r="K682" s="1" t="s">
        <v>35</v>
      </c>
      <c r="L682" s="1">
        <v>51</v>
      </c>
      <c r="M682" s="1" t="str">
        <f>IF(L682&lt;=45,"Joven","Mayor")</f>
        <v>Mayor</v>
      </c>
      <c r="N682" s="1">
        <v>54</v>
      </c>
      <c r="O682" s="1" t="s">
        <v>36</v>
      </c>
      <c r="P682" s="1">
        <v>0.13600000000000001</v>
      </c>
      <c r="Q682" s="1">
        <v>94.067999999999998</v>
      </c>
      <c r="R682" s="1">
        <v>1.4616910999999999</v>
      </c>
      <c r="S682" s="1">
        <v>1.4350457000000001</v>
      </c>
      <c r="T682" s="1">
        <v>-4.0723560000000001</v>
      </c>
      <c r="U682" s="1">
        <v>1.93</v>
      </c>
      <c r="V682" s="1">
        <v>161</v>
      </c>
      <c r="W682" s="1">
        <v>257</v>
      </c>
      <c r="X682" s="1">
        <v>1.5962732919254659</v>
      </c>
      <c r="Y682" s="1">
        <v>165</v>
      </c>
      <c r="Z682" s="1">
        <v>257</v>
      </c>
      <c r="AA682" s="1">
        <v>1.5575757575757576</v>
      </c>
      <c r="AB682" s="1">
        <v>166.20378038311759</v>
      </c>
      <c r="AC682" s="1">
        <v>257.34534353682739</v>
      </c>
      <c r="AD682" s="1">
        <v>1.5483723832491576</v>
      </c>
      <c r="AE682" t="s">
        <v>4817</v>
      </c>
      <c r="AF682" t="str">
        <f>IF(X682&lt;$AF$1,"Bajo","Alto")</f>
        <v>Bajo</v>
      </c>
      <c r="AG682" t="str">
        <f>LEFT(AE682,1)</f>
        <v>C</v>
      </c>
      <c r="AH682" t="str">
        <f>K682</f>
        <v>M</v>
      </c>
      <c r="AI682" t="str">
        <f>LEFT(AF682,1)</f>
        <v>B</v>
      </c>
      <c r="AJ682" t="str">
        <f>LEFT(M682,1)</f>
        <v>M</v>
      </c>
      <c r="AK682" t="str">
        <f>_xlfn.CONCAT(AG682,AH682,AI682,AJ682)</f>
        <v>CMBM</v>
      </c>
    </row>
    <row r="683" spans="1:37" ht="15.75" hidden="1" customHeight="1" x14ac:dyDescent="0.2">
      <c r="A683" s="1">
        <v>4688004</v>
      </c>
      <c r="B683" s="1" t="s">
        <v>4382</v>
      </c>
      <c r="C683" s="1" t="s">
        <v>669</v>
      </c>
      <c r="D683" s="1" t="s">
        <v>929</v>
      </c>
      <c r="E683" s="1" t="s">
        <v>4457</v>
      </c>
      <c r="F683" s="1" t="s">
        <v>61</v>
      </c>
      <c r="G683" s="1" t="s">
        <v>4460</v>
      </c>
      <c r="H683" s="1">
        <v>229</v>
      </c>
      <c r="I683" s="1" t="s">
        <v>93</v>
      </c>
      <c r="J683" s="1">
        <v>9</v>
      </c>
      <c r="K683" s="1" t="s">
        <v>35</v>
      </c>
      <c r="L683" s="1">
        <v>53</v>
      </c>
      <c r="M683" s="1" t="str">
        <f>IF(L683&lt;=45,"Joven","Mayor")</f>
        <v>Mayor</v>
      </c>
      <c r="N683" s="1">
        <v>49</v>
      </c>
      <c r="O683" s="1" t="s">
        <v>36</v>
      </c>
      <c r="P683" s="1">
        <v>0.36299999999999999</v>
      </c>
      <c r="Q683" s="1">
        <v>93.295000000000002</v>
      </c>
      <c r="R683" s="1">
        <v>-2.7526190000000001</v>
      </c>
      <c r="S683" s="1">
        <v>-1.0062013000000001</v>
      </c>
      <c r="T683" s="1">
        <v>3.67754</v>
      </c>
      <c r="U683" s="1">
        <v>14.228</v>
      </c>
      <c r="V683" s="1">
        <v>94</v>
      </c>
      <c r="W683" s="1">
        <v>151</v>
      </c>
      <c r="X683" s="1">
        <v>1.6063829787234043</v>
      </c>
      <c r="Y683" s="1">
        <v>95</v>
      </c>
      <c r="Z683" s="1">
        <v>151</v>
      </c>
      <c r="AA683" s="1">
        <v>1.5894736842105264</v>
      </c>
      <c r="AB683" s="1">
        <v>96.756930296575774</v>
      </c>
      <c r="AC683" s="1">
        <v>151.00977218431439</v>
      </c>
      <c r="AD683" s="1">
        <v>1.5607127233309779</v>
      </c>
      <c r="AE683" t="s">
        <v>4815</v>
      </c>
      <c r="AF683" t="str">
        <f>IF(X683&lt;$AF$1,"Bajo","Alto")</f>
        <v>Bajo</v>
      </c>
      <c r="AG683" t="str">
        <f>LEFT(AE683,1)</f>
        <v>I</v>
      </c>
      <c r="AH683" t="str">
        <f>K683</f>
        <v>M</v>
      </c>
      <c r="AI683" t="str">
        <f>LEFT(AF683,1)</f>
        <v>B</v>
      </c>
      <c r="AJ683" t="str">
        <f>LEFT(M683,1)</f>
        <v>M</v>
      </c>
      <c r="AK683" t="str">
        <f>_xlfn.CONCAT(AG683,AH683,AI683,AJ683)</f>
        <v>IMBM</v>
      </c>
    </row>
    <row r="684" spans="1:37" ht="15.75" hidden="1" customHeight="1" x14ac:dyDescent="0.2">
      <c r="A684" s="1">
        <v>10724902</v>
      </c>
      <c r="B684" s="1" t="s">
        <v>1067</v>
      </c>
      <c r="C684" s="1" t="s">
        <v>1068</v>
      </c>
      <c r="D684" s="1" t="s">
        <v>1280</v>
      </c>
      <c r="E684" s="1" t="s">
        <v>1281</v>
      </c>
      <c r="F684" s="1" t="s">
        <v>37</v>
      </c>
      <c r="G684" s="1" t="s">
        <v>1284</v>
      </c>
      <c r="H684" s="1">
        <v>1555</v>
      </c>
      <c r="I684" s="1" t="s">
        <v>1285</v>
      </c>
      <c r="J684" s="1">
        <v>4125</v>
      </c>
      <c r="K684" s="1" t="s">
        <v>35</v>
      </c>
      <c r="L684" s="1">
        <v>40</v>
      </c>
      <c r="M684" s="1" t="str">
        <f>IF(L684&lt;=45,"Joven","Mayor")</f>
        <v>Joven</v>
      </c>
      <c r="N684" s="1">
        <v>26</v>
      </c>
      <c r="O684" s="1" t="s">
        <v>36</v>
      </c>
      <c r="P684" s="1">
        <v>0.36099999999999999</v>
      </c>
      <c r="Q684" s="1">
        <v>88.176000000000002</v>
      </c>
      <c r="R684" s="1">
        <v>6.5992866000000001</v>
      </c>
      <c r="S684" s="1">
        <v>4.2177600000000002</v>
      </c>
      <c r="T684" s="1">
        <v>-7.5772523999999999</v>
      </c>
      <c r="U684" s="1">
        <v>38.750999999999998</v>
      </c>
      <c r="V684" s="1">
        <v>80</v>
      </c>
      <c r="W684" s="1">
        <v>155</v>
      </c>
      <c r="X684" s="1">
        <v>1.9375</v>
      </c>
      <c r="Y684" s="1">
        <v>88</v>
      </c>
      <c r="Z684" s="1">
        <v>155</v>
      </c>
      <c r="AA684" s="1">
        <v>1.7613636363636365</v>
      </c>
      <c r="AB684" s="1">
        <v>85.498991456498743</v>
      </c>
      <c r="AC684" s="1">
        <v>154.96516391707021</v>
      </c>
      <c r="AD684" s="1">
        <v>1.8124794372096815</v>
      </c>
      <c r="AE684" t="s">
        <v>4817</v>
      </c>
      <c r="AF684" t="str">
        <f>IF(X684&lt;$AF$1,"Bajo","Alto")</f>
        <v>Alto</v>
      </c>
      <c r="AG684" t="str">
        <f>LEFT(AE684,1)</f>
        <v>C</v>
      </c>
      <c r="AH684" t="str">
        <f>K684</f>
        <v>M</v>
      </c>
      <c r="AI684" t="str">
        <f>LEFT(AF684,1)</f>
        <v>A</v>
      </c>
      <c r="AJ684" t="str">
        <f>LEFT(M684,1)</f>
        <v>J</v>
      </c>
      <c r="AK684" t="str">
        <f>_xlfn.CONCAT(AG684,AH684,AI684,AJ684)</f>
        <v>CMAJ</v>
      </c>
    </row>
    <row r="685" spans="1:37" ht="15.75" hidden="1" customHeight="1" x14ac:dyDescent="0.2">
      <c r="A685" s="1">
        <v>10731002</v>
      </c>
      <c r="B685" s="1" t="s">
        <v>1067</v>
      </c>
      <c r="C685" s="1" t="s">
        <v>1068</v>
      </c>
      <c r="D685" s="1" t="s">
        <v>1381</v>
      </c>
      <c r="E685" s="1" t="s">
        <v>1382</v>
      </c>
      <c r="F685" s="1" t="s">
        <v>37</v>
      </c>
      <c r="G685" s="1" t="s">
        <v>1384</v>
      </c>
      <c r="H685" s="1">
        <v>1243</v>
      </c>
      <c r="I685" s="1" t="s">
        <v>65</v>
      </c>
      <c r="J685" s="1">
        <v>2</v>
      </c>
      <c r="K685" s="1" t="s">
        <v>35</v>
      </c>
      <c r="L685" s="1">
        <v>41</v>
      </c>
      <c r="M685" s="1" t="str">
        <f>IF(L685&lt;=45,"Joven","Mayor")</f>
        <v>Joven</v>
      </c>
      <c r="N685" s="1">
        <v>54</v>
      </c>
      <c r="O685" s="1" t="s">
        <v>36</v>
      </c>
      <c r="P685" s="1">
        <v>0.105</v>
      </c>
      <c r="Q685" s="1">
        <v>67.78</v>
      </c>
      <c r="R685" s="1">
        <v>-11.646490999999999</v>
      </c>
      <c r="S685" s="1">
        <v>10.710050000000001</v>
      </c>
      <c r="T685" s="1">
        <v>6.3240999999999996</v>
      </c>
      <c r="U685" s="1">
        <v>1.069</v>
      </c>
      <c r="V685" s="1">
        <v>48</v>
      </c>
      <c r="W685" s="1">
        <v>93</v>
      </c>
      <c r="X685" s="1">
        <v>1.9375</v>
      </c>
      <c r="Y685" s="1">
        <v>53</v>
      </c>
      <c r="Z685" s="1">
        <v>93</v>
      </c>
      <c r="AA685" s="1">
        <v>1.7547169811320755</v>
      </c>
      <c r="AB685" s="1">
        <v>50.571868133394453</v>
      </c>
      <c r="AC685" s="1">
        <v>92.984830014033832</v>
      </c>
      <c r="AD685" s="1">
        <v>1.8386670978569715</v>
      </c>
      <c r="AE685" t="s">
        <v>4817</v>
      </c>
      <c r="AF685" t="str">
        <f>IF(X685&lt;$AF$1,"Bajo","Alto")</f>
        <v>Alto</v>
      </c>
      <c r="AG685" t="str">
        <f>LEFT(AE685,1)</f>
        <v>C</v>
      </c>
      <c r="AH685" t="str">
        <f>K685</f>
        <v>M</v>
      </c>
      <c r="AI685" t="str">
        <f>LEFT(AF685,1)</f>
        <v>A</v>
      </c>
      <c r="AJ685" t="str">
        <f>LEFT(M685,1)</f>
        <v>J</v>
      </c>
      <c r="AK685" t="str">
        <f>_xlfn.CONCAT(AG685,AH685,AI685,AJ685)</f>
        <v>CMAJ</v>
      </c>
    </row>
    <row r="686" spans="1:37" ht="15.75" hidden="1" customHeight="1" x14ac:dyDescent="0.2">
      <c r="A686" s="1">
        <v>10121104</v>
      </c>
      <c r="B686" s="1" t="s">
        <v>29</v>
      </c>
      <c r="C686" s="1" t="s">
        <v>30</v>
      </c>
      <c r="D686" s="1" t="s">
        <v>386</v>
      </c>
      <c r="E686" s="1" t="s">
        <v>387</v>
      </c>
      <c r="F686" s="1" t="s">
        <v>61</v>
      </c>
      <c r="G686" s="1" t="s">
        <v>389</v>
      </c>
      <c r="H686" s="1">
        <v>6892</v>
      </c>
      <c r="I686" s="1" t="s">
        <v>390</v>
      </c>
      <c r="J686" s="1">
        <v>4316</v>
      </c>
      <c r="K686" s="1" t="s">
        <v>35</v>
      </c>
      <c r="L686" s="1">
        <v>45</v>
      </c>
      <c r="M686" s="1" t="str">
        <f>IF(L686&lt;=45,"Joven","Mayor")</f>
        <v>Joven</v>
      </c>
      <c r="N686" s="1">
        <v>53</v>
      </c>
      <c r="O686" s="1" t="s">
        <v>36</v>
      </c>
      <c r="P686" s="1">
        <v>0.35899999999999999</v>
      </c>
      <c r="Q686" s="1">
        <v>92.177000000000007</v>
      </c>
      <c r="R686" s="1">
        <v>3.9759505000000002</v>
      </c>
      <c r="S686" s="1">
        <v>1.7021625</v>
      </c>
      <c r="T686" s="1">
        <v>-2.4917560000000001</v>
      </c>
      <c r="U686" s="1">
        <v>3.3860000000000001</v>
      </c>
      <c r="V686" s="1">
        <v>92</v>
      </c>
      <c r="W686" s="1">
        <v>150</v>
      </c>
      <c r="X686" s="1">
        <v>1.6304347826086956</v>
      </c>
      <c r="Y686" s="1">
        <v>99</v>
      </c>
      <c r="Z686" s="1">
        <v>150</v>
      </c>
      <c r="AA686" s="1">
        <v>1.5151515151515151</v>
      </c>
      <c r="AB686" s="1">
        <v>100.6454198106146</v>
      </c>
      <c r="AC686" s="1">
        <v>149.81469747308299</v>
      </c>
      <c r="AD686" s="1">
        <v>1.4885396449733199</v>
      </c>
      <c r="AE686" t="s">
        <v>4817</v>
      </c>
      <c r="AF686" t="str">
        <f>IF(X686&lt;$AF$1,"Bajo","Alto")</f>
        <v>Bajo</v>
      </c>
      <c r="AG686" t="str">
        <f>LEFT(AE686,1)</f>
        <v>C</v>
      </c>
      <c r="AH686" t="str">
        <f>K686</f>
        <v>M</v>
      </c>
      <c r="AI686" t="str">
        <f>LEFT(AF686,1)</f>
        <v>B</v>
      </c>
      <c r="AJ686" t="str">
        <f>LEFT(M686,1)</f>
        <v>J</v>
      </c>
      <c r="AK686" t="str">
        <f>_xlfn.CONCAT(AG686,AH686,AI686,AJ686)</f>
        <v>CMBJ</v>
      </c>
    </row>
    <row r="687" spans="1:37" ht="15.75" hidden="1" customHeight="1" x14ac:dyDescent="0.2">
      <c r="A687" s="1">
        <v>1057603</v>
      </c>
      <c r="B687" s="1" t="s">
        <v>694</v>
      </c>
      <c r="C687" s="1" t="s">
        <v>879</v>
      </c>
      <c r="D687" s="1" t="s">
        <v>1024</v>
      </c>
      <c r="E687" s="1" t="s">
        <v>727</v>
      </c>
      <c r="F687" s="1" t="s">
        <v>63</v>
      </c>
      <c r="G687" s="1" t="s">
        <v>1026</v>
      </c>
      <c r="H687" s="1">
        <v>23</v>
      </c>
      <c r="I687" s="1" t="s">
        <v>87</v>
      </c>
      <c r="J687" s="1">
        <v>14</v>
      </c>
      <c r="K687" s="1" t="s">
        <v>35</v>
      </c>
      <c r="L687" s="1">
        <v>48</v>
      </c>
      <c r="M687" s="1" t="str">
        <f>IF(L687&lt;=45,"Joven","Mayor")</f>
        <v>Mayor</v>
      </c>
      <c r="N687" s="1">
        <v>61</v>
      </c>
      <c r="O687" s="1" t="s">
        <v>36</v>
      </c>
      <c r="P687" s="1">
        <v>0.35599999999999998</v>
      </c>
      <c r="Q687" s="1">
        <v>93.441999999999993</v>
      </c>
      <c r="R687" s="1">
        <v>0.28808114000000001</v>
      </c>
      <c r="S687" s="1">
        <v>6.2887616</v>
      </c>
      <c r="T687" s="1">
        <v>-3.6463616000000001</v>
      </c>
      <c r="U687" s="1">
        <v>0.45500000000000002</v>
      </c>
      <c r="V687" s="1">
        <v>111</v>
      </c>
      <c r="W687" s="1">
        <v>178</v>
      </c>
      <c r="X687" s="1">
        <v>1.6036036036036037</v>
      </c>
      <c r="Y687" s="1">
        <v>116</v>
      </c>
      <c r="Z687" s="1">
        <v>178</v>
      </c>
      <c r="AA687" s="1">
        <v>1.5344827586206897</v>
      </c>
      <c r="AB687" s="1">
        <v>114.01879223312589</v>
      </c>
      <c r="AC687" s="1">
        <v>178.2120383094248</v>
      </c>
      <c r="AD687" s="1">
        <v>1.5630058415725687</v>
      </c>
      <c r="AE687" t="s">
        <v>4816</v>
      </c>
      <c r="AF687" t="str">
        <f>IF(X687&lt;$AF$1,"Bajo","Alto")</f>
        <v>Bajo</v>
      </c>
      <c r="AG687" t="str">
        <f>LEFT(AE687,1)</f>
        <v>D</v>
      </c>
      <c r="AH687" t="str">
        <f>K687</f>
        <v>M</v>
      </c>
      <c r="AI687" t="str">
        <f>LEFT(AF687,1)</f>
        <v>B</v>
      </c>
      <c r="AJ687" t="str">
        <f>LEFT(M687,1)</f>
        <v>M</v>
      </c>
      <c r="AK687" t="str">
        <f>_xlfn.CONCAT(AG687,AH687,AI687,AJ687)</f>
        <v>DMBM</v>
      </c>
    </row>
    <row r="688" spans="1:37" ht="15.75" hidden="1" customHeight="1" x14ac:dyDescent="0.2">
      <c r="A688" s="1">
        <v>157904</v>
      </c>
      <c r="B688" s="1" t="s">
        <v>2077</v>
      </c>
      <c r="C688" s="1" t="s">
        <v>57</v>
      </c>
      <c r="D688" s="1" t="s">
        <v>2521</v>
      </c>
      <c r="E688" s="1" t="s">
        <v>739</v>
      </c>
      <c r="F688" s="1" t="s">
        <v>61</v>
      </c>
      <c r="G688" s="1" t="s">
        <v>2524</v>
      </c>
      <c r="H688" s="1">
        <v>363</v>
      </c>
      <c r="I688" s="1" t="s">
        <v>91</v>
      </c>
      <c r="J688" s="1">
        <v>6</v>
      </c>
      <c r="K688" s="1" t="s">
        <v>35</v>
      </c>
      <c r="L688" s="1">
        <v>65</v>
      </c>
      <c r="M688" s="1" t="str">
        <f>IF(L688&lt;=45,"Joven","Mayor")</f>
        <v>Mayor</v>
      </c>
      <c r="N688" s="1">
        <v>78</v>
      </c>
      <c r="O688" s="1" t="s">
        <v>36</v>
      </c>
      <c r="P688" s="1">
        <v>0.33400000000000002</v>
      </c>
      <c r="Q688" s="1">
        <v>94.424999999999997</v>
      </c>
      <c r="R688" s="1">
        <v>-0.32799250000000002</v>
      </c>
      <c r="S688" s="1">
        <v>2.3033488000000002</v>
      </c>
      <c r="T688" s="1">
        <v>1.6508868000000001</v>
      </c>
      <c r="U688" s="1">
        <v>4.0819999999999999</v>
      </c>
      <c r="V688" s="1">
        <v>114</v>
      </c>
      <c r="W688" s="1">
        <v>182</v>
      </c>
      <c r="X688" s="1">
        <v>1.5964912280701755</v>
      </c>
      <c r="Y688" s="1">
        <v>116</v>
      </c>
      <c r="Z688" s="1">
        <v>182</v>
      </c>
      <c r="AA688" s="1">
        <v>1.5689655172413792</v>
      </c>
      <c r="AB688" s="1">
        <v>115.47958060205561</v>
      </c>
      <c r="AC688" s="1">
        <v>181.83802760864231</v>
      </c>
      <c r="AD688" s="1">
        <v>1.5746335989499209</v>
      </c>
      <c r="AE688" t="s">
        <v>4817</v>
      </c>
      <c r="AF688" t="str">
        <f>IF(X688&lt;$AF$1,"Bajo","Alto")</f>
        <v>Bajo</v>
      </c>
      <c r="AG688" t="str">
        <f>LEFT(AE688,1)</f>
        <v>C</v>
      </c>
      <c r="AH688" t="str">
        <f>K688</f>
        <v>M</v>
      </c>
      <c r="AI688" t="str">
        <f>LEFT(AF688,1)</f>
        <v>B</v>
      </c>
      <c r="AJ688" t="str">
        <f>LEFT(M688,1)</f>
        <v>M</v>
      </c>
      <c r="AK688" t="str">
        <f>_xlfn.CONCAT(AG688,AH688,AI688,AJ688)</f>
        <v>CMBM</v>
      </c>
    </row>
    <row r="689" spans="1:37" ht="15.75" hidden="1" customHeight="1" x14ac:dyDescent="0.2">
      <c r="A689" s="1">
        <v>1531806</v>
      </c>
      <c r="B689" s="1" t="s">
        <v>2077</v>
      </c>
      <c r="C689" s="1" t="s">
        <v>57</v>
      </c>
      <c r="D689" s="1" t="s">
        <v>593</v>
      </c>
      <c r="E689" s="1" t="s">
        <v>2401</v>
      </c>
      <c r="F689" s="1" t="s">
        <v>88</v>
      </c>
      <c r="G689" s="1" t="s">
        <v>2402</v>
      </c>
      <c r="H689" s="1">
        <v>853</v>
      </c>
      <c r="I689" s="1" t="s">
        <v>2403</v>
      </c>
      <c r="J689" s="1">
        <v>3114</v>
      </c>
      <c r="K689" s="1" t="s">
        <v>35</v>
      </c>
      <c r="L689" s="1">
        <v>36</v>
      </c>
      <c r="M689" s="1" t="str">
        <f>IF(L689&lt;=45,"Joven","Mayor")</f>
        <v>Joven</v>
      </c>
      <c r="N689" s="1">
        <v>33</v>
      </c>
      <c r="O689" s="1" t="s">
        <v>36</v>
      </c>
      <c r="P689" s="1">
        <v>0.14499999999999999</v>
      </c>
      <c r="Q689" s="1">
        <v>84.018000000000001</v>
      </c>
      <c r="R689" s="1">
        <v>8.3694889999999997</v>
      </c>
      <c r="S689" s="1">
        <v>5.749269</v>
      </c>
      <c r="T689" s="1">
        <v>-2.5666359999999999</v>
      </c>
      <c r="U689" s="1">
        <v>9.6549999999999994</v>
      </c>
      <c r="V689" s="1">
        <v>92</v>
      </c>
      <c r="W689" s="1">
        <v>150</v>
      </c>
      <c r="X689" s="1">
        <v>1.6304347826086956</v>
      </c>
      <c r="Y689" s="1">
        <v>94</v>
      </c>
      <c r="Z689" s="1">
        <v>150</v>
      </c>
      <c r="AA689" s="1">
        <v>1.5957446808510638</v>
      </c>
      <c r="AB689" s="1">
        <v>93.788520322437535</v>
      </c>
      <c r="AC689" s="1">
        <v>149.80474110426209</v>
      </c>
      <c r="AD689" s="1">
        <v>1.5972609503726598</v>
      </c>
      <c r="AE689" t="s">
        <v>4817</v>
      </c>
      <c r="AF689" t="str">
        <f>IF(X689&lt;$AF$1,"Bajo","Alto")</f>
        <v>Bajo</v>
      </c>
      <c r="AG689" t="str">
        <f>LEFT(AE689,1)</f>
        <v>C</v>
      </c>
      <c r="AH689" t="str">
        <f>K689</f>
        <v>M</v>
      </c>
      <c r="AI689" t="str">
        <f>LEFT(AF689,1)</f>
        <v>B</v>
      </c>
      <c r="AJ689" t="str">
        <f>LEFT(M689,1)</f>
        <v>J</v>
      </c>
      <c r="AK689" t="str">
        <f>_xlfn.CONCAT(AG689,AH689,AI689,AJ689)</f>
        <v>CMBJ</v>
      </c>
    </row>
    <row r="690" spans="1:37" ht="15.75" hidden="1" customHeight="1" x14ac:dyDescent="0.2">
      <c r="A690" s="1">
        <v>1033104</v>
      </c>
      <c r="B690" s="1" t="s">
        <v>783</v>
      </c>
      <c r="C690" s="1" t="s">
        <v>81</v>
      </c>
      <c r="D690" s="1" t="s">
        <v>828</v>
      </c>
      <c r="E690" s="1" t="s">
        <v>628</v>
      </c>
      <c r="F690" s="1" t="s">
        <v>61</v>
      </c>
      <c r="G690" s="1" t="s">
        <v>830</v>
      </c>
      <c r="H690" s="1">
        <v>1618</v>
      </c>
      <c r="I690" s="1" t="s">
        <v>383</v>
      </c>
      <c r="J690" s="1">
        <v>3266</v>
      </c>
      <c r="K690" s="1" t="s">
        <v>49</v>
      </c>
      <c r="L690" s="1">
        <v>58</v>
      </c>
      <c r="M690" s="1" t="str">
        <f>IF(L690&lt;=45,"Joven","Mayor")</f>
        <v>Mayor</v>
      </c>
      <c r="N690" s="1">
        <v>52</v>
      </c>
      <c r="O690" s="1" t="s">
        <v>50</v>
      </c>
      <c r="P690" s="1">
        <v>0.79600000000000004</v>
      </c>
      <c r="Q690" s="1">
        <v>93.332999999999998</v>
      </c>
      <c r="R690" s="1">
        <v>4.2819309999999999E-2</v>
      </c>
      <c r="S690" s="1">
        <v>6.6541699999999997</v>
      </c>
      <c r="T690" s="1">
        <v>-1.3392656999999999</v>
      </c>
      <c r="U690" s="1">
        <v>48.029000000000003</v>
      </c>
      <c r="V690" s="1">
        <v>103</v>
      </c>
      <c r="W690" s="1">
        <v>165</v>
      </c>
      <c r="X690" s="1">
        <v>1.6019417475728155</v>
      </c>
      <c r="Y690" s="1">
        <v>104</v>
      </c>
      <c r="Z690" s="1">
        <v>165</v>
      </c>
      <c r="AA690" s="1">
        <v>1.5865384615384615</v>
      </c>
      <c r="AB690" s="1">
        <v>104.1171140463014</v>
      </c>
      <c r="AC690" s="1">
        <v>165.04841625399379</v>
      </c>
      <c r="AD690" s="1">
        <v>1.58521889283827</v>
      </c>
      <c r="AE690" t="s">
        <v>4817</v>
      </c>
      <c r="AF690" t="str">
        <f>IF(X690&lt;$AF$1,"Bajo","Alto")</f>
        <v>Bajo</v>
      </c>
      <c r="AG690" t="str">
        <f>LEFT(AE690,1)</f>
        <v>C</v>
      </c>
      <c r="AH690" t="str">
        <f>K690</f>
        <v>F</v>
      </c>
      <c r="AI690" t="str">
        <f>LEFT(AF690,1)</f>
        <v>B</v>
      </c>
      <c r="AJ690" t="str">
        <f>LEFT(M690,1)</f>
        <v>M</v>
      </c>
      <c r="AK690" t="str">
        <f>_xlfn.CONCAT(AG690,AH690,AI690,AJ690)</f>
        <v>CFBM</v>
      </c>
    </row>
    <row r="691" spans="1:37" ht="15.75" hidden="1" customHeight="1" x14ac:dyDescent="0.2">
      <c r="A691" s="1">
        <v>4688006</v>
      </c>
      <c r="B691" s="1" t="s">
        <v>4382</v>
      </c>
      <c r="C691" s="1" t="s">
        <v>669</v>
      </c>
      <c r="D691" s="1" t="s">
        <v>929</v>
      </c>
      <c r="E691" s="1" t="s">
        <v>4457</v>
      </c>
      <c r="F691" s="1" t="s">
        <v>88</v>
      </c>
      <c r="G691" s="1" t="s">
        <v>4463</v>
      </c>
      <c r="H691" s="1">
        <v>5712</v>
      </c>
      <c r="I691" s="1" t="s">
        <v>4464</v>
      </c>
      <c r="J691" s="1">
        <v>2257</v>
      </c>
      <c r="K691" s="1" t="s">
        <v>35</v>
      </c>
      <c r="L691" s="1">
        <v>37</v>
      </c>
      <c r="M691" s="1" t="str">
        <f>IF(L691&lt;=45,"Joven","Mayor")</f>
        <v>Joven</v>
      </c>
      <c r="N691" s="1">
        <v>41</v>
      </c>
      <c r="O691" s="1" t="s">
        <v>36</v>
      </c>
      <c r="P691" s="1">
        <v>0.34599999999999997</v>
      </c>
      <c r="Q691" s="1">
        <v>87.188000000000002</v>
      </c>
      <c r="R691" s="1">
        <v>6.0136039999999999</v>
      </c>
      <c r="S691" s="1">
        <v>7.8957724999999996</v>
      </c>
      <c r="T691" s="1">
        <v>-4.9818379999999998</v>
      </c>
      <c r="U691" s="1">
        <v>48.487000000000002</v>
      </c>
      <c r="V691" s="1">
        <v>92</v>
      </c>
      <c r="W691" s="1">
        <v>150</v>
      </c>
      <c r="X691" s="1">
        <v>1.6304347826086956</v>
      </c>
      <c r="Y691" s="1">
        <v>96</v>
      </c>
      <c r="Z691" s="1">
        <v>150</v>
      </c>
      <c r="AA691" s="1">
        <v>1.5625</v>
      </c>
      <c r="AB691" s="1">
        <v>99.110936740544048</v>
      </c>
      <c r="AC691" s="1">
        <v>149.43334128800231</v>
      </c>
      <c r="AD691" s="1">
        <v>1.5077381588995971</v>
      </c>
      <c r="AE691" t="s">
        <v>4817</v>
      </c>
      <c r="AF691" t="str">
        <f>IF(X691&lt;$AF$1,"Bajo","Alto")</f>
        <v>Bajo</v>
      </c>
      <c r="AG691" t="str">
        <f>LEFT(AE691,1)</f>
        <v>C</v>
      </c>
      <c r="AH691" t="str">
        <f>K691</f>
        <v>M</v>
      </c>
      <c r="AI691" t="str">
        <f>LEFT(AF691,1)</f>
        <v>B</v>
      </c>
      <c r="AJ691" t="str">
        <f>LEFT(M691,1)</f>
        <v>J</v>
      </c>
      <c r="AK691" t="str">
        <f>_xlfn.CONCAT(AG691,AH691,AI691,AJ691)</f>
        <v>CMBJ</v>
      </c>
    </row>
    <row r="692" spans="1:37" ht="15.75" hidden="1" customHeight="1" x14ac:dyDescent="0.2">
      <c r="A692" s="1">
        <v>130403</v>
      </c>
      <c r="B692" s="1" t="s">
        <v>956</v>
      </c>
      <c r="C692" s="1" t="s">
        <v>163</v>
      </c>
      <c r="D692" s="1" t="s">
        <v>1954</v>
      </c>
      <c r="E692" s="1" t="s">
        <v>61</v>
      </c>
      <c r="F692" s="1" t="s">
        <v>63</v>
      </c>
      <c r="G692" s="1" t="s">
        <v>1957</v>
      </c>
      <c r="H692" s="1">
        <v>26</v>
      </c>
      <c r="I692" s="1" t="s">
        <v>45</v>
      </c>
      <c r="J692" s="1">
        <v>17</v>
      </c>
      <c r="K692" s="1" t="s">
        <v>35</v>
      </c>
      <c r="L692" s="1">
        <v>45</v>
      </c>
      <c r="M692" s="1" t="str">
        <f>IF(L692&lt;=45,"Joven","Mayor")</f>
        <v>Joven</v>
      </c>
      <c r="N692" s="1">
        <v>48</v>
      </c>
      <c r="O692" s="1" t="s">
        <v>36</v>
      </c>
      <c r="P692" s="1">
        <v>0.35899999999999999</v>
      </c>
      <c r="Q692" s="1">
        <v>94.701999999999998</v>
      </c>
      <c r="R692" s="1">
        <v>5.2309003E-2</v>
      </c>
      <c r="S692" s="1">
        <v>-1.3816389</v>
      </c>
      <c r="T692" s="1">
        <v>0.52971214</v>
      </c>
      <c r="U692" s="1">
        <v>4.399</v>
      </c>
      <c r="V692" s="1">
        <v>79</v>
      </c>
      <c r="W692" s="1">
        <v>153</v>
      </c>
      <c r="X692" s="1">
        <v>1.9367088607594938</v>
      </c>
      <c r="Y692" s="1">
        <v>85</v>
      </c>
      <c r="Z692" s="1">
        <v>153</v>
      </c>
      <c r="AA692" s="1">
        <v>1.8</v>
      </c>
      <c r="AB692" s="1">
        <v>84.635808896350227</v>
      </c>
      <c r="AC692" s="1">
        <v>153.0119514556086</v>
      </c>
      <c r="AD692" s="1">
        <v>1.8078866788287644</v>
      </c>
      <c r="AE692" t="s">
        <v>4817</v>
      </c>
      <c r="AF692" t="str">
        <f>IF(X692&lt;$AF$1,"Bajo","Alto")</f>
        <v>Alto</v>
      </c>
      <c r="AG692" t="str">
        <f>LEFT(AE692,1)</f>
        <v>C</v>
      </c>
      <c r="AH692" t="str">
        <f>K692</f>
        <v>M</v>
      </c>
      <c r="AI692" t="str">
        <f>LEFT(AF692,1)</f>
        <v>A</v>
      </c>
      <c r="AJ692" t="str">
        <f>LEFT(M692,1)</f>
        <v>J</v>
      </c>
      <c r="AK692" t="str">
        <f>_xlfn.CONCAT(AG692,AH692,AI692,AJ692)</f>
        <v>CMAJ</v>
      </c>
    </row>
    <row r="693" spans="1:37" ht="15.75" hidden="1" customHeight="1" x14ac:dyDescent="0.2">
      <c r="A693" s="1">
        <v>317903</v>
      </c>
      <c r="B693" s="1" t="s">
        <v>4122</v>
      </c>
      <c r="C693" s="1" t="s">
        <v>628</v>
      </c>
      <c r="D693" s="1" t="s">
        <v>4259</v>
      </c>
      <c r="E693" s="1" t="s">
        <v>739</v>
      </c>
      <c r="F693" s="1" t="s">
        <v>63</v>
      </c>
      <c r="G693" s="1" t="s">
        <v>4260</v>
      </c>
      <c r="H693" s="1">
        <v>59973</v>
      </c>
      <c r="I693" s="1" t="s">
        <v>134</v>
      </c>
      <c r="J693" s="1">
        <v>8</v>
      </c>
      <c r="K693" s="1" t="s">
        <v>35</v>
      </c>
      <c r="L693" s="1">
        <v>55</v>
      </c>
      <c r="M693" s="1" t="str">
        <f>IF(L693&lt;=45,"Joven","Mayor")</f>
        <v>Mayor</v>
      </c>
      <c r="N693" s="1">
        <v>57</v>
      </c>
      <c r="O693" s="1" t="s">
        <v>36</v>
      </c>
      <c r="P693" s="1">
        <v>0.60499999999999998</v>
      </c>
      <c r="Q693" s="1">
        <v>93.638000000000005</v>
      </c>
      <c r="R693" s="1">
        <v>-0.11834754</v>
      </c>
      <c r="S693" s="1">
        <v>5.7305960000000002</v>
      </c>
      <c r="T693" s="1">
        <v>4.3570789999999997</v>
      </c>
      <c r="U693" s="1">
        <v>9.4659999999999993</v>
      </c>
      <c r="V693" s="1">
        <v>112</v>
      </c>
      <c r="W693" s="1">
        <v>216</v>
      </c>
      <c r="X693" s="1">
        <v>1.9285714285714286</v>
      </c>
      <c r="Y693" s="1">
        <v>123</v>
      </c>
      <c r="Z693" s="1">
        <v>216</v>
      </c>
      <c r="AA693" s="1">
        <v>1.7560975609756098</v>
      </c>
      <c r="AB693" s="1">
        <v>118.84591798489259</v>
      </c>
      <c r="AC693" s="1">
        <v>216.6672735613829</v>
      </c>
      <c r="AD693" s="1">
        <v>1.823093945800689</v>
      </c>
      <c r="AE693" t="s">
        <v>4817</v>
      </c>
      <c r="AF693" t="str">
        <f>IF(X693&lt;$AF$1,"Bajo","Alto")</f>
        <v>Alto</v>
      </c>
      <c r="AG693" t="str">
        <f>LEFT(AE693,1)</f>
        <v>C</v>
      </c>
      <c r="AH693" t="str">
        <f>K693</f>
        <v>M</v>
      </c>
      <c r="AI693" t="str">
        <f>LEFT(AF693,1)</f>
        <v>A</v>
      </c>
      <c r="AJ693" t="str">
        <f>LEFT(M693,1)</f>
        <v>M</v>
      </c>
      <c r="AK693" t="str">
        <f>_xlfn.CONCAT(AG693,AH693,AI693,AJ693)</f>
        <v>CMAM</v>
      </c>
    </row>
    <row r="694" spans="1:37" ht="15.75" hidden="1" customHeight="1" x14ac:dyDescent="0.2">
      <c r="A694" s="1">
        <v>242505</v>
      </c>
      <c r="B694" s="1" t="s">
        <v>1548</v>
      </c>
      <c r="C694" s="1" t="s">
        <v>1993</v>
      </c>
      <c r="D694" s="1" t="s">
        <v>3134</v>
      </c>
      <c r="E694" s="1" t="s">
        <v>821</v>
      </c>
      <c r="F694" s="1" t="s">
        <v>40</v>
      </c>
      <c r="G694" s="1" t="s">
        <v>3137</v>
      </c>
      <c r="H694" s="1">
        <v>4262</v>
      </c>
      <c r="I694" s="1" t="s">
        <v>48</v>
      </c>
      <c r="J694" s="1">
        <v>4</v>
      </c>
      <c r="K694" s="1" t="s">
        <v>35</v>
      </c>
      <c r="L694" s="1">
        <v>58</v>
      </c>
      <c r="M694" s="1" t="str">
        <f>IF(L694&lt;=45,"Joven","Mayor")</f>
        <v>Mayor</v>
      </c>
      <c r="N694" s="1">
        <v>61</v>
      </c>
      <c r="O694" s="1" t="s">
        <v>36</v>
      </c>
      <c r="P694" s="1">
        <v>0.36099999999999999</v>
      </c>
      <c r="Q694" s="1">
        <v>64.099000000000004</v>
      </c>
      <c r="R694" s="1">
        <v>14.026763000000001</v>
      </c>
      <c r="S694" s="1">
        <v>1.2327448999999999</v>
      </c>
      <c r="T694" s="1">
        <v>-13.947452999999999</v>
      </c>
      <c r="U694" s="1">
        <v>5.7060000000000004</v>
      </c>
      <c r="V694" s="1">
        <v>68</v>
      </c>
      <c r="W694" s="1">
        <v>131</v>
      </c>
      <c r="X694" s="1">
        <v>1.9264705882352942</v>
      </c>
      <c r="Y694" s="1">
        <v>81</v>
      </c>
      <c r="Z694" s="1">
        <v>131</v>
      </c>
      <c r="AA694" s="1">
        <v>1.617283950617284</v>
      </c>
      <c r="AB694" s="1">
        <v>76.841605178865848</v>
      </c>
      <c r="AC694" s="1">
        <v>133.1635497322163</v>
      </c>
      <c r="AD694" s="1">
        <v>1.7329615827551839</v>
      </c>
      <c r="AE694" t="s">
        <v>4817</v>
      </c>
      <c r="AF694" t="str">
        <f>IF(X694&lt;$AF$1,"Bajo","Alto")</f>
        <v>Alto</v>
      </c>
      <c r="AG694" t="str">
        <f>LEFT(AE694,1)</f>
        <v>C</v>
      </c>
      <c r="AH694" t="str">
        <f>K694</f>
        <v>M</v>
      </c>
      <c r="AI694" t="str">
        <f>LEFT(AF694,1)</f>
        <v>A</v>
      </c>
      <c r="AJ694" t="str">
        <f>LEFT(M694,1)</f>
        <v>M</v>
      </c>
      <c r="AK694" t="str">
        <f>_xlfn.CONCAT(AG694,AH694,AI694,AJ694)</f>
        <v>CMAM</v>
      </c>
    </row>
    <row r="695" spans="1:37" ht="15.75" hidden="1" customHeight="1" x14ac:dyDescent="0.2">
      <c r="A695" s="1">
        <v>2721101</v>
      </c>
      <c r="B695" s="1" t="s">
        <v>3409</v>
      </c>
      <c r="C695" s="1" t="s">
        <v>973</v>
      </c>
      <c r="D695" s="1" t="s">
        <v>3632</v>
      </c>
      <c r="E695" s="1" t="s">
        <v>387</v>
      </c>
      <c r="F695" s="1" t="s">
        <v>32</v>
      </c>
      <c r="G695" s="1" t="s">
        <v>3633</v>
      </c>
      <c r="H695" s="1">
        <v>1335</v>
      </c>
      <c r="I695" s="1" t="s">
        <v>100</v>
      </c>
      <c r="J695" s="1">
        <v>1</v>
      </c>
      <c r="K695" s="1" t="s">
        <v>35</v>
      </c>
      <c r="L695" s="1">
        <v>31</v>
      </c>
      <c r="M695" s="1" t="str">
        <f>IF(L695&lt;=45,"Joven","Mayor")</f>
        <v>Joven</v>
      </c>
      <c r="N695" s="1">
        <v>31</v>
      </c>
      <c r="O695" s="1" t="s">
        <v>36</v>
      </c>
      <c r="P695" s="1">
        <v>0.35</v>
      </c>
      <c r="Q695" s="1">
        <v>93.516000000000005</v>
      </c>
      <c r="R695" s="1">
        <v>-1.8081551</v>
      </c>
      <c r="S695" s="1">
        <v>2.9019039000000002</v>
      </c>
      <c r="T695" s="1">
        <v>-2.7571750000000002</v>
      </c>
      <c r="U695" s="1">
        <v>28.135999999999999</v>
      </c>
      <c r="V695" s="1">
        <v>111</v>
      </c>
      <c r="W695" s="1">
        <v>181</v>
      </c>
      <c r="X695" s="1">
        <v>1.6306306306306306</v>
      </c>
      <c r="Y695" s="1">
        <v>112</v>
      </c>
      <c r="Z695" s="1">
        <v>181</v>
      </c>
      <c r="AA695" s="1">
        <v>1.6160714285714286</v>
      </c>
      <c r="AB695" s="1">
        <v>113.1804572657049</v>
      </c>
      <c r="AC695" s="1">
        <v>180.83857226782541</v>
      </c>
      <c r="AD695" s="1">
        <v>1.597789730105833</v>
      </c>
      <c r="AE695" t="s">
        <v>4817</v>
      </c>
      <c r="AF695" t="str">
        <f>IF(X695&lt;$AF$1,"Bajo","Alto")</f>
        <v>Bajo</v>
      </c>
      <c r="AG695" t="str">
        <f>LEFT(AE695,1)</f>
        <v>C</v>
      </c>
      <c r="AH695" t="str">
        <f>K695</f>
        <v>M</v>
      </c>
      <c r="AI695" t="str">
        <f>LEFT(AF695,1)</f>
        <v>B</v>
      </c>
      <c r="AJ695" t="str">
        <f>LEFT(M695,1)</f>
        <v>J</v>
      </c>
      <c r="AK695" t="str">
        <f>_xlfn.CONCAT(AG695,AH695,AI695,AJ695)</f>
        <v>CMBJ</v>
      </c>
    </row>
    <row r="696" spans="1:37" ht="15.75" hidden="1" customHeight="1" x14ac:dyDescent="0.2">
      <c r="A696" s="1">
        <v>293401</v>
      </c>
      <c r="B696" s="1" t="s">
        <v>3890</v>
      </c>
      <c r="C696" s="1" t="s">
        <v>1695</v>
      </c>
      <c r="D696" s="1" t="s">
        <v>3995</v>
      </c>
      <c r="E696" s="1" t="s">
        <v>634</v>
      </c>
      <c r="F696" s="1" t="s">
        <v>32</v>
      </c>
      <c r="G696" s="1" t="s">
        <v>3996</v>
      </c>
      <c r="H696" s="1">
        <v>3711</v>
      </c>
      <c r="I696" s="1" t="s">
        <v>100</v>
      </c>
      <c r="J696" s="1">
        <v>1</v>
      </c>
      <c r="K696" s="1" t="s">
        <v>35</v>
      </c>
      <c r="L696" s="1">
        <v>46</v>
      </c>
      <c r="M696" s="1" t="str">
        <f>IF(L696&lt;=45,"Joven","Mayor")</f>
        <v>Mayor</v>
      </c>
      <c r="N696" s="1">
        <v>46</v>
      </c>
      <c r="O696" s="1" t="s">
        <v>36</v>
      </c>
      <c r="P696" s="1">
        <v>0.36299999999999999</v>
      </c>
      <c r="Q696" s="1">
        <v>93.007000000000005</v>
      </c>
      <c r="R696" s="1">
        <v>3.2154777000000001</v>
      </c>
      <c r="S696" s="1">
        <v>0.75290966000000004</v>
      </c>
      <c r="T696" s="1">
        <v>-0.34967505999999998</v>
      </c>
      <c r="U696" s="1">
        <v>0.98199999999999998</v>
      </c>
      <c r="V696" s="1">
        <v>95</v>
      </c>
      <c r="W696" s="1">
        <v>183</v>
      </c>
      <c r="X696" s="1">
        <v>1.9263157894736842</v>
      </c>
      <c r="Y696" s="1">
        <v>97</v>
      </c>
      <c r="Z696" s="1">
        <v>183</v>
      </c>
      <c r="AA696" s="1">
        <v>1.8865979381443299</v>
      </c>
      <c r="AB696" s="1">
        <v>96.705252281524508</v>
      </c>
      <c r="AC696" s="1">
        <v>183.01490079662341</v>
      </c>
      <c r="AD696" s="1">
        <v>1.8925021803762805</v>
      </c>
      <c r="AE696" t="s">
        <v>4817</v>
      </c>
      <c r="AF696" t="str">
        <f>IF(X696&lt;$AF$1,"Bajo","Alto")</f>
        <v>Alto</v>
      </c>
      <c r="AG696" t="str">
        <f>LEFT(AE696,1)</f>
        <v>C</v>
      </c>
      <c r="AH696" t="str">
        <f>K696</f>
        <v>M</v>
      </c>
      <c r="AI696" t="str">
        <f>LEFT(AF696,1)</f>
        <v>A</v>
      </c>
      <c r="AJ696" t="str">
        <f>LEFT(M696,1)</f>
        <v>M</v>
      </c>
      <c r="AK696" t="str">
        <f>_xlfn.CONCAT(AG696,AH696,AI696,AJ696)</f>
        <v>CMAM</v>
      </c>
    </row>
    <row r="697" spans="1:37" ht="15.75" hidden="1" customHeight="1" x14ac:dyDescent="0.2">
      <c r="A697" s="1">
        <v>196401</v>
      </c>
      <c r="B697" s="1" t="s">
        <v>2656</v>
      </c>
      <c r="C697" s="1" t="s">
        <v>323</v>
      </c>
      <c r="D697" s="1" t="s">
        <v>2765</v>
      </c>
      <c r="E697" s="1" t="s">
        <v>710</v>
      </c>
      <c r="F697" s="1" t="s">
        <v>32</v>
      </c>
      <c r="G697" s="1" t="s">
        <v>2766</v>
      </c>
      <c r="H697" s="1">
        <v>55</v>
      </c>
      <c r="I697" s="1" t="s">
        <v>39</v>
      </c>
      <c r="J697" s="1">
        <v>11</v>
      </c>
      <c r="K697" s="1" t="s">
        <v>35</v>
      </c>
      <c r="L697" s="1">
        <v>54</v>
      </c>
      <c r="M697" s="1" t="str">
        <f>IF(L697&lt;=45,"Joven","Mayor")</f>
        <v>Mayor</v>
      </c>
      <c r="N697" s="1">
        <v>60</v>
      </c>
      <c r="O697" s="1" t="s">
        <v>36</v>
      </c>
      <c r="P697" s="1">
        <v>0.21099999999999999</v>
      </c>
      <c r="Q697" s="1">
        <v>92.063999999999993</v>
      </c>
      <c r="R697" s="1">
        <v>3.2645552000000002</v>
      </c>
      <c r="S697" s="1">
        <v>4.5154195000000001</v>
      </c>
      <c r="T697" s="1">
        <v>-0.77107583999999996</v>
      </c>
      <c r="U697" s="1">
        <v>12.411</v>
      </c>
      <c r="V697" s="1">
        <v>106</v>
      </c>
      <c r="W697" s="1">
        <v>170</v>
      </c>
      <c r="X697" s="1">
        <v>1.6037735849056605</v>
      </c>
      <c r="Y697" s="1">
        <v>107</v>
      </c>
      <c r="Z697" s="1">
        <v>170</v>
      </c>
      <c r="AA697" s="1">
        <v>1.5887850467289719</v>
      </c>
      <c r="AB697" s="1">
        <v>106.5421548158281</v>
      </c>
      <c r="AC697" s="1">
        <v>169.9307760282272</v>
      </c>
      <c r="AD697" s="1">
        <v>1.5949628231377011</v>
      </c>
      <c r="AE697" t="s">
        <v>4816</v>
      </c>
      <c r="AF697" t="str">
        <f>IF(X697&lt;$AF$1,"Bajo","Alto")</f>
        <v>Bajo</v>
      </c>
      <c r="AG697" t="str">
        <f>LEFT(AE697,1)</f>
        <v>D</v>
      </c>
      <c r="AH697" t="str">
        <f>K697</f>
        <v>M</v>
      </c>
      <c r="AI697" t="str">
        <f>LEFT(AF697,1)</f>
        <v>B</v>
      </c>
      <c r="AJ697" t="str">
        <f>LEFT(M697,1)</f>
        <v>M</v>
      </c>
      <c r="AK697" t="str">
        <f>_xlfn.CONCAT(AG697,AH697,AI697,AJ697)</f>
        <v>DMBM</v>
      </c>
    </row>
    <row r="698" spans="1:37" ht="15.75" hidden="1" customHeight="1" x14ac:dyDescent="0.2">
      <c r="A698" s="1">
        <v>118601</v>
      </c>
      <c r="B698" s="1" t="s">
        <v>1648</v>
      </c>
      <c r="C698" s="1" t="s">
        <v>51</v>
      </c>
      <c r="D698" s="1" t="s">
        <v>1775</v>
      </c>
      <c r="E698" s="1" t="s">
        <v>1776</v>
      </c>
      <c r="F698" s="1" t="s">
        <v>32</v>
      </c>
      <c r="G698" s="1" t="s">
        <v>1777</v>
      </c>
      <c r="H698" s="1">
        <v>2627</v>
      </c>
      <c r="I698" s="1" t="s">
        <v>100</v>
      </c>
      <c r="J698" s="1">
        <v>1</v>
      </c>
      <c r="K698" s="1" t="s">
        <v>49</v>
      </c>
      <c r="L698" s="1">
        <v>42</v>
      </c>
      <c r="M698" s="1" t="str">
        <f>IF(L698&lt;=45,"Joven","Mayor")</f>
        <v>Joven</v>
      </c>
      <c r="N698" s="1">
        <v>49</v>
      </c>
      <c r="O698" s="1" t="s">
        <v>50</v>
      </c>
      <c r="P698" s="1">
        <v>0.36099999999999999</v>
      </c>
      <c r="Q698" s="1">
        <v>93.86</v>
      </c>
      <c r="R698" s="1">
        <v>-1.9020726999999999</v>
      </c>
      <c r="S698" s="1">
        <v>0.90258050000000001</v>
      </c>
      <c r="T698" s="1">
        <v>4.3410362999999998</v>
      </c>
      <c r="U698" s="1">
        <v>57.41</v>
      </c>
      <c r="V698" s="1">
        <v>117</v>
      </c>
      <c r="W698" s="1">
        <v>192</v>
      </c>
      <c r="X698" s="1">
        <v>1.641025641025641</v>
      </c>
      <c r="Y698" s="1">
        <v>125</v>
      </c>
      <c r="Z698" s="1">
        <v>192</v>
      </c>
      <c r="AA698" s="1">
        <v>1.536</v>
      </c>
      <c r="AB698" s="1">
        <v>121.9164523157272</v>
      </c>
      <c r="AC698" s="1">
        <v>192.96304411002171</v>
      </c>
      <c r="AD698" s="1">
        <v>1.5827481889835924</v>
      </c>
      <c r="AE698" t="s">
        <v>4817</v>
      </c>
      <c r="AF698" t="str">
        <f>IF(X698&lt;$AF$1,"Bajo","Alto")</f>
        <v>Bajo</v>
      </c>
      <c r="AG698" t="str">
        <f>LEFT(AE698,1)</f>
        <v>C</v>
      </c>
      <c r="AH698" t="str">
        <f>K698</f>
        <v>F</v>
      </c>
      <c r="AI698" t="str">
        <f>LEFT(AF698,1)</f>
        <v>B</v>
      </c>
      <c r="AJ698" t="str">
        <f>LEFT(M698,1)</f>
        <v>J</v>
      </c>
      <c r="AK698" t="str">
        <f>_xlfn.CONCAT(AG698,AH698,AI698,AJ698)</f>
        <v>CFBJ</v>
      </c>
    </row>
    <row r="699" spans="1:37" ht="15.75" hidden="1" customHeight="1" x14ac:dyDescent="0.2">
      <c r="A699" s="1">
        <v>1018202</v>
      </c>
      <c r="B699" s="1" t="s">
        <v>29</v>
      </c>
      <c r="C699" s="1" t="s">
        <v>30</v>
      </c>
      <c r="D699" s="1" t="s">
        <v>751</v>
      </c>
      <c r="E699" s="1" t="s">
        <v>752</v>
      </c>
      <c r="F699" s="1" t="s">
        <v>37</v>
      </c>
      <c r="G699" s="1" t="s">
        <v>753</v>
      </c>
      <c r="H699" s="1">
        <v>4449</v>
      </c>
      <c r="I699" s="1" t="s">
        <v>48</v>
      </c>
      <c r="J699" s="1">
        <v>4</v>
      </c>
      <c r="K699" s="1" t="s">
        <v>35</v>
      </c>
      <c r="L699" s="1">
        <v>30</v>
      </c>
      <c r="M699" s="1" t="str">
        <f>IF(L699&lt;=45,"Joven","Mayor")</f>
        <v>Joven</v>
      </c>
      <c r="N699" s="1">
        <v>21</v>
      </c>
      <c r="O699" s="1" t="s">
        <v>36</v>
      </c>
      <c r="P699" s="1">
        <v>5.3999999999999999E-2</v>
      </c>
      <c r="Q699" s="1">
        <v>74.125</v>
      </c>
      <c r="R699" s="1">
        <v>12.177110000000001</v>
      </c>
      <c r="S699" s="1">
        <v>-1.2019621</v>
      </c>
      <c r="T699" s="1">
        <v>-11.476417</v>
      </c>
      <c r="U699" s="1">
        <v>26.27</v>
      </c>
      <c r="V699" s="1">
        <v>94</v>
      </c>
      <c r="W699" s="1">
        <v>182</v>
      </c>
      <c r="X699" s="1">
        <v>1.9361702127659575</v>
      </c>
      <c r="Y699" s="1">
        <v>106</v>
      </c>
      <c r="Z699" s="1">
        <v>182</v>
      </c>
      <c r="AA699" s="1">
        <v>1.7169811320754718</v>
      </c>
      <c r="AB699" s="1">
        <v>102.26782163258029</v>
      </c>
      <c r="AC699" s="1">
        <v>180.74879101532591</v>
      </c>
      <c r="AD699" s="1">
        <v>1.7674062880180024</v>
      </c>
      <c r="AE699" t="s">
        <v>4817</v>
      </c>
      <c r="AF699" t="str">
        <f>IF(X699&lt;$AF$1,"Bajo","Alto")</f>
        <v>Alto</v>
      </c>
      <c r="AG699" t="str">
        <f>LEFT(AE699,1)</f>
        <v>C</v>
      </c>
      <c r="AH699" t="str">
        <f>K699</f>
        <v>M</v>
      </c>
      <c r="AI699" t="str">
        <f>LEFT(AF699,1)</f>
        <v>A</v>
      </c>
      <c r="AJ699" t="str">
        <f>LEFT(M699,1)</f>
        <v>J</v>
      </c>
      <c r="AK699" t="str">
        <f>_xlfn.CONCAT(AG699,AH699,AI699,AJ699)</f>
        <v>CMAJ</v>
      </c>
    </row>
    <row r="700" spans="1:37" ht="15.75" hidden="1" customHeight="1" x14ac:dyDescent="0.2">
      <c r="A700" s="1">
        <v>1270003</v>
      </c>
      <c r="B700" s="1" t="s">
        <v>1798</v>
      </c>
      <c r="C700" s="1" t="s">
        <v>54</v>
      </c>
      <c r="D700" s="1" t="s">
        <v>1892</v>
      </c>
      <c r="E700" s="1" t="s">
        <v>1893</v>
      </c>
      <c r="F700" s="1" t="s">
        <v>63</v>
      </c>
      <c r="G700" s="1" t="s">
        <v>1894</v>
      </c>
      <c r="H700" s="1">
        <v>26</v>
      </c>
      <c r="I700" s="1" t="s">
        <v>294</v>
      </c>
      <c r="J700" s="1">
        <v>16</v>
      </c>
      <c r="K700" s="1" t="s">
        <v>49</v>
      </c>
      <c r="L700" s="1">
        <v>42</v>
      </c>
      <c r="M700" s="1" t="str">
        <f>IF(L700&lt;=45,"Joven","Mayor")</f>
        <v>Joven</v>
      </c>
      <c r="N700" s="1">
        <v>52</v>
      </c>
      <c r="O700" s="1" t="s">
        <v>50</v>
      </c>
      <c r="P700" s="1">
        <v>0.35699999999999998</v>
      </c>
      <c r="Q700" s="1">
        <v>81.087999999999994</v>
      </c>
      <c r="R700" s="1">
        <v>10.01732</v>
      </c>
      <c r="S700" s="1">
        <v>2.9242883000000002</v>
      </c>
      <c r="T700" s="1">
        <v>-13.979226000000001</v>
      </c>
      <c r="U700" s="1">
        <v>51.417000000000002</v>
      </c>
      <c r="V700" s="1">
        <v>66</v>
      </c>
      <c r="W700" s="1">
        <v>129</v>
      </c>
      <c r="X700" s="1">
        <v>1.9545454545454546</v>
      </c>
      <c r="Y700" s="1">
        <v>80</v>
      </c>
      <c r="Z700" s="1">
        <v>129</v>
      </c>
      <c r="AA700" s="1">
        <v>1.6125</v>
      </c>
      <c r="AB700" s="1">
        <v>76.123806650069355</v>
      </c>
      <c r="AC700" s="1">
        <v>130.97713746646741</v>
      </c>
      <c r="AD700" s="1">
        <v>1.7205805020832872</v>
      </c>
      <c r="AE700" t="s">
        <v>4817</v>
      </c>
      <c r="AF700" t="str">
        <f>IF(X700&lt;$AF$1,"Bajo","Alto")</f>
        <v>Alto</v>
      </c>
      <c r="AG700" t="str">
        <f>LEFT(AE700,1)</f>
        <v>C</v>
      </c>
      <c r="AH700" t="str">
        <f>K700</f>
        <v>F</v>
      </c>
      <c r="AI700" t="str">
        <f>LEFT(AF700,1)</f>
        <v>A</v>
      </c>
      <c r="AJ700" t="str">
        <f>LEFT(M700,1)</f>
        <v>J</v>
      </c>
      <c r="AK700" t="str">
        <f>_xlfn.CONCAT(AG700,AH700,AI700,AJ700)</f>
        <v>CFAJ</v>
      </c>
    </row>
    <row r="701" spans="1:37" ht="15.75" hidden="1" customHeight="1" x14ac:dyDescent="0.2">
      <c r="A701" s="1">
        <v>1052802</v>
      </c>
      <c r="B701" s="1" t="s">
        <v>694</v>
      </c>
      <c r="C701" s="1" t="s">
        <v>879</v>
      </c>
      <c r="D701" s="1" t="s">
        <v>976</v>
      </c>
      <c r="E701" s="1" t="s">
        <v>561</v>
      </c>
      <c r="F701" s="1" t="s">
        <v>37</v>
      </c>
      <c r="G701" s="1" t="s">
        <v>978</v>
      </c>
      <c r="H701" s="1">
        <v>480</v>
      </c>
      <c r="I701" s="1" t="s">
        <v>294</v>
      </c>
      <c r="J701" s="1">
        <v>16</v>
      </c>
      <c r="K701" s="1" t="s">
        <v>35</v>
      </c>
      <c r="L701" s="1">
        <v>49</v>
      </c>
      <c r="M701" s="1" t="str">
        <f>IF(L701&lt;=45,"Joven","Mayor")</f>
        <v>Mayor</v>
      </c>
      <c r="N701" s="1">
        <v>63</v>
      </c>
      <c r="O701" s="1" t="s">
        <v>36</v>
      </c>
      <c r="P701" s="1">
        <v>0.32800000000000001</v>
      </c>
      <c r="Q701" s="1">
        <v>93.516000000000005</v>
      </c>
      <c r="R701" s="1">
        <v>2.5872643000000002</v>
      </c>
      <c r="S701" s="1">
        <v>-0.4577234</v>
      </c>
      <c r="T701" s="1">
        <v>-4.1985264000000004</v>
      </c>
      <c r="U701" s="1">
        <v>14.074</v>
      </c>
      <c r="V701" s="1">
        <v>80</v>
      </c>
      <c r="W701" s="1">
        <v>154</v>
      </c>
      <c r="X701" s="1">
        <v>1.925</v>
      </c>
      <c r="Y701" s="1">
        <v>81</v>
      </c>
      <c r="Z701" s="1">
        <v>154</v>
      </c>
      <c r="AA701" s="1">
        <v>1.9012345679012346</v>
      </c>
      <c r="AB701" s="1">
        <v>83.564701988188517</v>
      </c>
      <c r="AC701" s="1">
        <v>153.87956970814321</v>
      </c>
      <c r="AD701" s="1">
        <v>1.8414422124055845</v>
      </c>
      <c r="AE701" t="s">
        <v>4817</v>
      </c>
      <c r="AF701" t="str">
        <f>IF(X701&lt;$AF$1,"Bajo","Alto")</f>
        <v>Alto</v>
      </c>
      <c r="AG701" t="str">
        <f>LEFT(AE701,1)</f>
        <v>C</v>
      </c>
      <c r="AH701" t="str">
        <f>K701</f>
        <v>M</v>
      </c>
      <c r="AI701" t="str">
        <f>LEFT(AF701,1)</f>
        <v>A</v>
      </c>
      <c r="AJ701" t="str">
        <f>LEFT(M701,1)</f>
        <v>M</v>
      </c>
      <c r="AK701" t="str">
        <f>_xlfn.CONCAT(AG701,AH701,AI701,AJ701)</f>
        <v>CMAM</v>
      </c>
    </row>
    <row r="702" spans="1:37" ht="15.75" hidden="1" customHeight="1" x14ac:dyDescent="0.2">
      <c r="A702" s="1">
        <v>110702</v>
      </c>
      <c r="B702" s="1" t="s">
        <v>1648</v>
      </c>
      <c r="C702" s="1" t="s">
        <v>51</v>
      </c>
      <c r="D702" s="1" t="s">
        <v>694</v>
      </c>
      <c r="E702" s="1" t="s">
        <v>43</v>
      </c>
      <c r="F702" s="1" t="s">
        <v>37</v>
      </c>
      <c r="G702" s="1" t="s">
        <v>1664</v>
      </c>
      <c r="H702" s="1">
        <v>2524</v>
      </c>
      <c r="I702" s="1" t="s">
        <v>34</v>
      </c>
      <c r="J702" s="1">
        <v>10</v>
      </c>
      <c r="K702" s="1" t="s">
        <v>35</v>
      </c>
      <c r="L702" s="1">
        <v>43</v>
      </c>
      <c r="M702" s="1" t="str">
        <f>IF(L702&lt;=45,"Joven","Mayor")</f>
        <v>Joven</v>
      </c>
      <c r="N702" s="1">
        <v>44</v>
      </c>
      <c r="O702" s="1" t="s">
        <v>36</v>
      </c>
      <c r="P702" s="1">
        <v>0.70199999999999996</v>
      </c>
      <c r="Q702" s="1">
        <v>91.881</v>
      </c>
      <c r="R702" s="1">
        <v>-1.9254661</v>
      </c>
      <c r="S702" s="1">
        <v>7.4734563999999999</v>
      </c>
      <c r="T702" s="1">
        <v>-2.1573584000000001</v>
      </c>
      <c r="U702" s="1">
        <v>0.89300000000000002</v>
      </c>
      <c r="V702" s="1">
        <v>105</v>
      </c>
      <c r="W702" s="1">
        <v>168</v>
      </c>
      <c r="X702" s="1">
        <v>1.6</v>
      </c>
      <c r="Y702" s="1">
        <v>105</v>
      </c>
      <c r="Z702" s="1">
        <v>168</v>
      </c>
      <c r="AA702" s="1">
        <v>1.6</v>
      </c>
      <c r="AB702" s="1">
        <v>106.6572060688125</v>
      </c>
      <c r="AC702" s="1">
        <v>168.1444319327538</v>
      </c>
      <c r="AD702" s="1">
        <v>1.576493873506037</v>
      </c>
      <c r="AE702" t="s">
        <v>4815</v>
      </c>
      <c r="AF702" t="str">
        <f>IF(X702&lt;$AF$1,"Bajo","Alto")</f>
        <v>Bajo</v>
      </c>
      <c r="AG702" t="str">
        <f>LEFT(AE702,1)</f>
        <v>I</v>
      </c>
      <c r="AH702" t="str">
        <f>K702</f>
        <v>M</v>
      </c>
      <c r="AI702" t="str">
        <f>LEFT(AF702,1)</f>
        <v>B</v>
      </c>
      <c r="AJ702" t="str">
        <f>LEFT(M702,1)</f>
        <v>J</v>
      </c>
      <c r="AK702" t="str">
        <f>_xlfn.CONCAT(AG702,AH702,AI702,AJ702)</f>
        <v>IMBJ</v>
      </c>
    </row>
    <row r="703" spans="1:37" ht="15.75" hidden="1" customHeight="1" x14ac:dyDescent="0.2">
      <c r="A703" s="1">
        <v>10726201</v>
      </c>
      <c r="B703" s="1" t="s">
        <v>1067</v>
      </c>
      <c r="C703" s="1" t="s">
        <v>1068</v>
      </c>
      <c r="D703" s="1" t="s">
        <v>1305</v>
      </c>
      <c r="E703" s="1" t="s">
        <v>523</v>
      </c>
      <c r="F703" s="1" t="s">
        <v>32</v>
      </c>
      <c r="G703" s="1" t="s">
        <v>1306</v>
      </c>
      <c r="H703" s="1">
        <v>460</v>
      </c>
      <c r="I703" s="1" t="s">
        <v>100</v>
      </c>
      <c r="J703" s="1">
        <v>1</v>
      </c>
      <c r="K703" s="1" t="s">
        <v>35</v>
      </c>
      <c r="L703" s="1">
        <v>42</v>
      </c>
      <c r="M703" s="1" t="str">
        <f>IF(L703&lt;=45,"Joven","Mayor")</f>
        <v>Joven</v>
      </c>
      <c r="N703" s="1">
        <v>47</v>
      </c>
      <c r="O703" s="1" t="s">
        <v>36</v>
      </c>
      <c r="P703" s="1">
        <v>0.27900000000000003</v>
      </c>
      <c r="Q703" s="1">
        <v>88.832999999999998</v>
      </c>
      <c r="R703" s="1">
        <v>5.1169719999999996</v>
      </c>
      <c r="S703" s="1">
        <v>7.3952109999999998</v>
      </c>
      <c r="T703" s="1">
        <v>-1.7445381</v>
      </c>
      <c r="U703" s="1">
        <v>3.2250000000000001</v>
      </c>
      <c r="V703" s="1">
        <v>76</v>
      </c>
      <c r="W703" s="1">
        <v>124</v>
      </c>
      <c r="X703" s="1">
        <v>1.631578947368421</v>
      </c>
      <c r="Y703" s="1">
        <v>78</v>
      </c>
      <c r="Z703" s="1">
        <v>124</v>
      </c>
      <c r="AA703" s="1">
        <v>1.5897435897435896</v>
      </c>
      <c r="AB703" s="1">
        <v>79.029359831842612</v>
      </c>
      <c r="AC703" s="1">
        <v>123.9729689162596</v>
      </c>
      <c r="AD703" s="1">
        <v>1.5686950923055341</v>
      </c>
      <c r="AE703" t="s">
        <v>4817</v>
      </c>
      <c r="AF703" t="str">
        <f>IF(X703&lt;$AF$1,"Bajo","Alto")</f>
        <v>Bajo</v>
      </c>
      <c r="AG703" t="str">
        <f>LEFT(AE703,1)</f>
        <v>C</v>
      </c>
      <c r="AH703" t="str">
        <f>K703</f>
        <v>M</v>
      </c>
      <c r="AI703" t="str">
        <f>LEFT(AF703,1)</f>
        <v>B</v>
      </c>
      <c r="AJ703" t="str">
        <f>LEFT(M703,1)</f>
        <v>J</v>
      </c>
      <c r="AK703" t="str">
        <f>_xlfn.CONCAT(AG703,AH703,AI703,AJ703)</f>
        <v>CMBJ</v>
      </c>
    </row>
    <row r="704" spans="1:37" ht="15.75" hidden="1" customHeight="1" x14ac:dyDescent="0.2">
      <c r="A704" s="1">
        <v>642805</v>
      </c>
      <c r="B704" s="1" t="s">
        <v>4718</v>
      </c>
      <c r="C704" s="1" t="s">
        <v>710</v>
      </c>
      <c r="D704" s="1" t="s">
        <v>4775</v>
      </c>
      <c r="E704" s="1" t="s">
        <v>561</v>
      </c>
      <c r="F704" s="1" t="s">
        <v>40</v>
      </c>
      <c r="G704" s="1" t="s">
        <v>4779</v>
      </c>
      <c r="H704" s="1">
        <v>6741</v>
      </c>
      <c r="I704" s="1" t="s">
        <v>4780</v>
      </c>
      <c r="J704" s="1">
        <v>726</v>
      </c>
      <c r="K704" s="1" t="s">
        <v>35</v>
      </c>
      <c r="L704" s="1">
        <v>40</v>
      </c>
      <c r="M704" s="1" t="str">
        <f>IF(L704&lt;=45,"Joven","Mayor")</f>
        <v>Joven</v>
      </c>
      <c r="N704" s="1">
        <v>30</v>
      </c>
      <c r="O704" s="1" t="s">
        <v>50</v>
      </c>
      <c r="P704" s="1">
        <v>1.47</v>
      </c>
      <c r="Q704" s="1">
        <v>91.581000000000003</v>
      </c>
      <c r="R704" s="1">
        <v>2.5745108000000001</v>
      </c>
      <c r="S704" s="1">
        <v>6.3906406999999996</v>
      </c>
      <c r="T704" s="1">
        <v>-3.5631769000000002</v>
      </c>
      <c r="U704" s="1">
        <v>14.175000000000001</v>
      </c>
      <c r="V704" s="1">
        <v>94</v>
      </c>
      <c r="W704" s="1">
        <v>182</v>
      </c>
      <c r="X704" s="1">
        <v>1.9361702127659575</v>
      </c>
      <c r="Y704" s="1">
        <v>94</v>
      </c>
      <c r="Z704" s="1">
        <v>182</v>
      </c>
      <c r="AA704" s="1">
        <v>1.9361702127659575</v>
      </c>
      <c r="AB704" s="1">
        <v>96.739293670367942</v>
      </c>
      <c r="AC704" s="1">
        <v>181.83461884803319</v>
      </c>
      <c r="AD704" s="1">
        <v>1.879635584973582</v>
      </c>
      <c r="AE704" t="s">
        <v>4817</v>
      </c>
      <c r="AF704" t="str">
        <f>IF(X704&lt;$AF$1,"Bajo","Alto")</f>
        <v>Alto</v>
      </c>
      <c r="AG704" t="str">
        <f>LEFT(AE704,1)</f>
        <v>C</v>
      </c>
      <c r="AH704" t="str">
        <f>K704</f>
        <v>M</v>
      </c>
      <c r="AI704" t="str">
        <f>LEFT(AF704,1)</f>
        <v>A</v>
      </c>
      <c r="AJ704" t="str">
        <f>LEFT(M704,1)</f>
        <v>J</v>
      </c>
      <c r="AK704" t="str">
        <f>_xlfn.CONCAT(AG704,AH704,AI704,AJ704)</f>
        <v>CMAJ</v>
      </c>
    </row>
    <row r="705" spans="1:37" ht="15.75" hidden="1" customHeight="1" x14ac:dyDescent="0.2">
      <c r="A705" s="1">
        <v>118202</v>
      </c>
      <c r="B705" s="1" t="s">
        <v>1648</v>
      </c>
      <c r="C705" s="1" t="s">
        <v>51</v>
      </c>
      <c r="D705" s="1" t="s">
        <v>1767</v>
      </c>
      <c r="E705" s="1" t="s">
        <v>752</v>
      </c>
      <c r="F705" s="1" t="s">
        <v>37</v>
      </c>
      <c r="G705" s="1" t="s">
        <v>1768</v>
      </c>
      <c r="H705" s="1">
        <v>3807</v>
      </c>
      <c r="I705" s="1" t="s">
        <v>48</v>
      </c>
      <c r="J705" s="1">
        <v>4</v>
      </c>
      <c r="K705" s="1" t="s">
        <v>35</v>
      </c>
      <c r="L705" s="1">
        <v>51</v>
      </c>
      <c r="M705" s="1" t="str">
        <f>IF(L705&lt;=45,"Joven","Mayor")</f>
        <v>Mayor</v>
      </c>
      <c r="N705" s="1">
        <v>39</v>
      </c>
      <c r="O705" s="1" t="s">
        <v>36</v>
      </c>
      <c r="P705" s="1">
        <v>0.35499999999999998</v>
      </c>
      <c r="Q705" s="1">
        <v>85.811000000000007</v>
      </c>
      <c r="R705" s="1">
        <v>7.9504833000000001</v>
      </c>
      <c r="S705" s="1">
        <v>3.9750462</v>
      </c>
      <c r="T705" s="1">
        <v>-3.3000438000000001</v>
      </c>
      <c r="U705" s="1">
        <v>46.033000000000001</v>
      </c>
      <c r="V705" s="1">
        <v>92</v>
      </c>
      <c r="W705" s="1">
        <v>147</v>
      </c>
      <c r="X705" s="1">
        <v>1.5978260869565217</v>
      </c>
      <c r="Y705" s="1">
        <v>94</v>
      </c>
      <c r="Z705" s="1">
        <v>147</v>
      </c>
      <c r="AA705" s="1">
        <v>1.5638297872340425</v>
      </c>
      <c r="AB705" s="1">
        <v>94.26516426613648</v>
      </c>
      <c r="AC705" s="1">
        <v>146.7562405734752</v>
      </c>
      <c r="AD705" s="1">
        <v>1.5568449035864613</v>
      </c>
      <c r="AE705" t="s">
        <v>4817</v>
      </c>
      <c r="AF705" t="str">
        <f>IF(X705&lt;$AF$1,"Bajo","Alto")</f>
        <v>Bajo</v>
      </c>
      <c r="AG705" t="str">
        <f>LEFT(AE705,1)</f>
        <v>C</v>
      </c>
      <c r="AH705" t="str">
        <f>K705</f>
        <v>M</v>
      </c>
      <c r="AI705" t="str">
        <f>LEFT(AF705,1)</f>
        <v>B</v>
      </c>
      <c r="AJ705" t="str">
        <f>LEFT(M705,1)</f>
        <v>M</v>
      </c>
      <c r="AK705" t="str">
        <f>_xlfn.CONCAT(AG705,AH705,AI705,AJ705)</f>
        <v>CMBM</v>
      </c>
    </row>
    <row r="706" spans="1:37" ht="15.75" hidden="1" customHeight="1" x14ac:dyDescent="0.2">
      <c r="A706" s="1">
        <v>237901</v>
      </c>
      <c r="B706" s="1" t="s">
        <v>319</v>
      </c>
      <c r="C706" s="1" t="s">
        <v>1989</v>
      </c>
      <c r="D706" s="1" t="s">
        <v>278</v>
      </c>
      <c r="E706" s="1" t="s">
        <v>739</v>
      </c>
      <c r="F706" s="1" t="s">
        <v>32</v>
      </c>
      <c r="G706" s="1" t="s">
        <v>3080</v>
      </c>
      <c r="H706" s="1">
        <v>4303</v>
      </c>
      <c r="I706" s="1" t="s">
        <v>39</v>
      </c>
      <c r="J706" s="1">
        <v>11</v>
      </c>
      <c r="K706" s="1" t="s">
        <v>35</v>
      </c>
      <c r="L706" s="1">
        <v>52</v>
      </c>
      <c r="M706" s="1" t="str">
        <f>IF(L706&lt;=45,"Joven","Mayor")</f>
        <v>Mayor</v>
      </c>
      <c r="N706" s="1">
        <v>56</v>
      </c>
      <c r="O706" s="1" t="s">
        <v>36</v>
      </c>
      <c r="P706" s="1">
        <v>0.192</v>
      </c>
      <c r="Q706" s="1">
        <v>92.97</v>
      </c>
      <c r="R706" s="1">
        <v>2.8079565</v>
      </c>
      <c r="S706" s="1">
        <v>-2.5522999999999998</v>
      </c>
      <c r="T706" s="1">
        <v>0.14749143000000001</v>
      </c>
      <c r="U706" s="1">
        <v>25.963000000000001</v>
      </c>
      <c r="V706" s="1">
        <v>96</v>
      </c>
      <c r="W706" s="1">
        <v>154</v>
      </c>
      <c r="X706" s="1">
        <v>1.6041666666666667</v>
      </c>
      <c r="Y706" s="1">
        <v>100</v>
      </c>
      <c r="Z706" s="1">
        <v>154</v>
      </c>
      <c r="AA706" s="1">
        <v>1.54</v>
      </c>
      <c r="AB706" s="1">
        <v>100.1052112094376</v>
      </c>
      <c r="AC706" s="1">
        <v>153.9969155467293</v>
      </c>
      <c r="AD706" s="1">
        <v>1.5383506381554986</v>
      </c>
      <c r="AE706" t="s">
        <v>4816</v>
      </c>
      <c r="AF706" t="str">
        <f>IF(X706&lt;$AF$1,"Bajo","Alto")</f>
        <v>Bajo</v>
      </c>
      <c r="AG706" t="str">
        <f>LEFT(AE706,1)</f>
        <v>D</v>
      </c>
      <c r="AH706" t="str">
        <f>K706</f>
        <v>M</v>
      </c>
      <c r="AI706" t="str">
        <f>LEFT(AF706,1)</f>
        <v>B</v>
      </c>
      <c r="AJ706" t="str">
        <f>LEFT(M706,1)</f>
        <v>M</v>
      </c>
      <c r="AK706" t="str">
        <f>_xlfn.CONCAT(AG706,AH706,AI706,AJ706)</f>
        <v>DMBM</v>
      </c>
    </row>
    <row r="707" spans="1:37" ht="15.75" hidden="1" customHeight="1" x14ac:dyDescent="0.2">
      <c r="A707" s="1">
        <v>10717902</v>
      </c>
      <c r="B707" s="1" t="s">
        <v>1067</v>
      </c>
      <c r="C707" s="1" t="s">
        <v>1068</v>
      </c>
      <c r="D707" s="1" t="s">
        <v>1194</v>
      </c>
      <c r="E707" s="1" t="s">
        <v>1195</v>
      </c>
      <c r="F707" s="1" t="s">
        <v>37</v>
      </c>
      <c r="G707" s="1" t="s">
        <v>1196</v>
      </c>
      <c r="H707" s="1">
        <v>1086</v>
      </c>
      <c r="I707" s="1" t="s">
        <v>1197</v>
      </c>
      <c r="J707" s="1">
        <v>3148</v>
      </c>
      <c r="K707" s="1" t="s">
        <v>35</v>
      </c>
      <c r="L707" s="1">
        <v>35</v>
      </c>
      <c r="M707" s="1" t="str">
        <f>IF(L707&lt;=45,"Joven","Mayor")</f>
        <v>Joven</v>
      </c>
      <c r="N707" s="1">
        <v>26</v>
      </c>
      <c r="O707" s="1" t="s">
        <v>36</v>
      </c>
      <c r="P707" s="1">
        <v>0.11899999999999999</v>
      </c>
      <c r="Q707" s="1">
        <v>88.611999999999995</v>
      </c>
      <c r="R707" s="1">
        <v>6.4134197000000004</v>
      </c>
      <c r="S707" s="1">
        <v>4.1038230000000002</v>
      </c>
      <c r="T707" s="1">
        <v>-4.5808439999999999</v>
      </c>
      <c r="U707" s="1">
        <v>4.7530000000000001</v>
      </c>
      <c r="V707" s="1">
        <v>90</v>
      </c>
      <c r="W707" s="1">
        <v>147</v>
      </c>
      <c r="X707" s="1">
        <v>1.6333333333333333</v>
      </c>
      <c r="Y707" s="1">
        <v>90</v>
      </c>
      <c r="Z707" s="1">
        <v>147</v>
      </c>
      <c r="AA707" s="1">
        <v>1.6333333333333333</v>
      </c>
      <c r="AB707" s="1">
        <v>92.82726804585468</v>
      </c>
      <c r="AC707" s="1">
        <v>146.61029416452311</v>
      </c>
      <c r="AD707" s="1">
        <v>1.5793882255815259</v>
      </c>
      <c r="AE707" t="s">
        <v>4817</v>
      </c>
      <c r="AF707" t="str">
        <f>IF(X707&lt;$AF$1,"Bajo","Alto")</f>
        <v>Bajo</v>
      </c>
      <c r="AG707" t="str">
        <f>LEFT(AE707,1)</f>
        <v>C</v>
      </c>
      <c r="AH707" t="str">
        <f>K707</f>
        <v>M</v>
      </c>
      <c r="AI707" t="str">
        <f>LEFT(AF707,1)</f>
        <v>B</v>
      </c>
      <c r="AJ707" t="str">
        <f>LEFT(M707,1)</f>
        <v>J</v>
      </c>
      <c r="AK707" t="str">
        <f>_xlfn.CONCAT(AG707,AH707,AI707,AJ707)</f>
        <v>CMBJ</v>
      </c>
    </row>
    <row r="708" spans="1:37" ht="15.75" hidden="1" customHeight="1" x14ac:dyDescent="0.2">
      <c r="A708" s="1">
        <v>251002</v>
      </c>
      <c r="B708" s="1" t="s">
        <v>3169</v>
      </c>
      <c r="C708" s="1" t="s">
        <v>821</v>
      </c>
      <c r="D708" s="1" t="s">
        <v>3196</v>
      </c>
      <c r="E708" s="1" t="s">
        <v>75</v>
      </c>
      <c r="F708" s="1" t="s">
        <v>37</v>
      </c>
      <c r="G708" s="1" t="s">
        <v>3198</v>
      </c>
      <c r="H708" s="1">
        <v>1956</v>
      </c>
      <c r="I708" s="1" t="s">
        <v>3199</v>
      </c>
      <c r="J708" s="1">
        <v>3185</v>
      </c>
      <c r="K708" s="1" t="s">
        <v>35</v>
      </c>
      <c r="L708" s="1">
        <v>32</v>
      </c>
      <c r="M708" s="1" t="str">
        <f>IF(L708&lt;=45,"Joven","Mayor")</f>
        <v>Joven</v>
      </c>
      <c r="N708" s="1">
        <v>28</v>
      </c>
      <c r="O708" s="1" t="s">
        <v>36</v>
      </c>
      <c r="P708" s="1">
        <v>0.39</v>
      </c>
      <c r="Q708" s="1">
        <v>89.738</v>
      </c>
      <c r="R708" s="1">
        <v>3.4513251999999999</v>
      </c>
      <c r="S708" s="1">
        <v>9.1970659999999995</v>
      </c>
      <c r="T708" s="1">
        <v>-0.61467313999999995</v>
      </c>
      <c r="U708" s="1">
        <v>80.962000000000003</v>
      </c>
      <c r="V708" s="1">
        <v>93</v>
      </c>
      <c r="W708" s="1">
        <v>180</v>
      </c>
      <c r="X708" s="1">
        <v>1.935483870967742</v>
      </c>
      <c r="Y708" s="1">
        <v>93</v>
      </c>
      <c r="Z708" s="1">
        <v>180</v>
      </c>
      <c r="AA708" s="1">
        <v>1.935483870967742</v>
      </c>
      <c r="AB708" s="1">
        <v>93.541769378090748</v>
      </c>
      <c r="AC708" s="1">
        <v>180.04328118705101</v>
      </c>
      <c r="AD708" s="1">
        <v>1.9247367500536134</v>
      </c>
      <c r="AE708" t="s">
        <v>4817</v>
      </c>
      <c r="AF708" t="str">
        <f>IF(X708&lt;$AF$1,"Bajo","Alto")</f>
        <v>Alto</v>
      </c>
      <c r="AG708" t="str">
        <f>LEFT(AE708,1)</f>
        <v>C</v>
      </c>
      <c r="AH708" t="str">
        <f>K708</f>
        <v>M</v>
      </c>
      <c r="AI708" t="str">
        <f>LEFT(AF708,1)</f>
        <v>A</v>
      </c>
      <c r="AJ708" t="str">
        <f>LEFT(M708,1)</f>
        <v>J</v>
      </c>
      <c r="AK708" t="str">
        <f>_xlfn.CONCAT(AG708,AH708,AI708,AJ708)</f>
        <v>CMAJ</v>
      </c>
    </row>
    <row r="709" spans="1:37" ht="15.75" hidden="1" customHeight="1" x14ac:dyDescent="0.2">
      <c r="A709" s="1">
        <v>10119107</v>
      </c>
      <c r="B709" s="1" t="s">
        <v>29</v>
      </c>
      <c r="C709" s="1" t="s">
        <v>30</v>
      </c>
      <c r="D709" s="1" t="s">
        <v>329</v>
      </c>
      <c r="E709" s="1" t="s">
        <v>330</v>
      </c>
      <c r="F709" s="1" t="s">
        <v>43</v>
      </c>
      <c r="G709" s="1" t="s">
        <v>334</v>
      </c>
      <c r="H709" s="1">
        <v>55</v>
      </c>
      <c r="I709" s="1" t="s">
        <v>91</v>
      </c>
      <c r="J709" s="1">
        <v>6</v>
      </c>
      <c r="K709" s="1" t="s">
        <v>49</v>
      </c>
      <c r="L709" s="1">
        <v>47</v>
      </c>
      <c r="M709" s="1" t="str">
        <f>IF(L709&lt;=45,"Joven","Mayor")</f>
        <v>Mayor</v>
      </c>
      <c r="N709" s="1">
        <v>32</v>
      </c>
      <c r="O709" s="1" t="s">
        <v>50</v>
      </c>
      <c r="P709" s="1">
        <v>0.26300000000000001</v>
      </c>
      <c r="Q709" s="1">
        <v>80.022000000000006</v>
      </c>
      <c r="R709" s="1">
        <v>10.76127</v>
      </c>
      <c r="S709" s="1">
        <v>-0.14552229999999999</v>
      </c>
      <c r="T709" s="1">
        <v>-6.1658369999999998</v>
      </c>
      <c r="U709" s="1">
        <v>0.38400000000000001</v>
      </c>
      <c r="V709" s="1">
        <v>72</v>
      </c>
      <c r="W709" s="1">
        <v>141</v>
      </c>
      <c r="X709" s="1">
        <v>1.9583333333333333</v>
      </c>
      <c r="Y709" s="1">
        <v>74</v>
      </c>
      <c r="Z709" s="1">
        <v>141</v>
      </c>
      <c r="AA709" s="1">
        <v>1.9054054054054055</v>
      </c>
      <c r="AB709" s="1">
        <v>75.450129567844442</v>
      </c>
      <c r="AC709" s="1">
        <v>140.29174731396009</v>
      </c>
      <c r="AD709" s="1">
        <v>1.8593970363935601</v>
      </c>
      <c r="AE709" t="s">
        <v>4817</v>
      </c>
      <c r="AF709" t="str">
        <f>IF(X709&lt;$AF$1,"Bajo","Alto")</f>
        <v>Alto</v>
      </c>
      <c r="AG709" t="str">
        <f>LEFT(AE709,1)</f>
        <v>C</v>
      </c>
      <c r="AH709" t="str">
        <f>K709</f>
        <v>F</v>
      </c>
      <c r="AI709" t="str">
        <f>LEFT(AF709,1)</f>
        <v>A</v>
      </c>
      <c r="AJ709" t="str">
        <f>LEFT(M709,1)</f>
        <v>M</v>
      </c>
      <c r="AK709" t="str">
        <f>_xlfn.CONCAT(AG709,AH709,AI709,AJ709)</f>
        <v>CFAM</v>
      </c>
    </row>
    <row r="710" spans="1:37" ht="15.75" hidden="1" customHeight="1" x14ac:dyDescent="0.2">
      <c r="A710" s="1">
        <v>215209</v>
      </c>
      <c r="B710" s="1" t="s">
        <v>2816</v>
      </c>
      <c r="C710" s="1" t="s">
        <v>2817</v>
      </c>
      <c r="D710" s="1" t="s">
        <v>2885</v>
      </c>
      <c r="E710" s="1" t="s">
        <v>685</v>
      </c>
      <c r="F710" s="1" t="s">
        <v>189</v>
      </c>
      <c r="G710" s="1" t="s">
        <v>2886</v>
      </c>
      <c r="H710" s="1">
        <v>9930</v>
      </c>
      <c r="I710" s="1" t="s">
        <v>2887</v>
      </c>
      <c r="J710" s="1">
        <v>4091</v>
      </c>
      <c r="K710" s="1" t="s">
        <v>35</v>
      </c>
      <c r="L710" s="1">
        <v>45</v>
      </c>
      <c r="M710" s="1" t="str">
        <f>IF(L710&lt;=45,"Joven","Mayor")</f>
        <v>Joven</v>
      </c>
      <c r="N710" s="1">
        <v>46</v>
      </c>
      <c r="O710" s="1" t="s">
        <v>36</v>
      </c>
      <c r="P710" s="1">
        <v>0.39</v>
      </c>
      <c r="Q710" s="1">
        <v>94.039000000000001</v>
      </c>
      <c r="R710" s="1">
        <v>0.50782539999999998</v>
      </c>
      <c r="S710" s="1">
        <v>3.6812162000000002</v>
      </c>
      <c r="T710" s="1">
        <v>0.39152744</v>
      </c>
      <c r="U710" s="1">
        <v>8.3789999999999996</v>
      </c>
      <c r="V710" s="1">
        <v>90</v>
      </c>
      <c r="W710" s="1">
        <v>147</v>
      </c>
      <c r="X710" s="1">
        <v>1.6333333333333333</v>
      </c>
      <c r="Y710" s="1">
        <v>91</v>
      </c>
      <c r="Z710" s="1">
        <v>147</v>
      </c>
      <c r="AA710" s="1">
        <v>1.6153846153846154</v>
      </c>
      <c r="AB710" s="1">
        <v>91.291711102468525</v>
      </c>
      <c r="AC710" s="1">
        <v>147.00340125134611</v>
      </c>
      <c r="AD710" s="1">
        <v>1.6102601153608034</v>
      </c>
      <c r="AE710" t="s">
        <v>4817</v>
      </c>
      <c r="AF710" t="str">
        <f>IF(X710&lt;$AF$1,"Bajo","Alto")</f>
        <v>Bajo</v>
      </c>
      <c r="AG710" t="str">
        <f>LEFT(AE710,1)</f>
        <v>C</v>
      </c>
      <c r="AH710" t="str">
        <f>K710</f>
        <v>M</v>
      </c>
      <c r="AI710" t="str">
        <f>LEFT(AF710,1)</f>
        <v>B</v>
      </c>
      <c r="AJ710" t="str">
        <f>LEFT(M710,1)</f>
        <v>J</v>
      </c>
      <c r="AK710" t="str">
        <f>_xlfn.CONCAT(AG710,AH710,AI710,AJ710)</f>
        <v>CMBJ</v>
      </c>
    </row>
    <row r="711" spans="1:37" ht="15.75" hidden="1" customHeight="1" x14ac:dyDescent="0.2">
      <c r="A711" s="1">
        <v>10721504</v>
      </c>
      <c r="B711" s="1" t="s">
        <v>1067</v>
      </c>
      <c r="C711" s="1" t="s">
        <v>1068</v>
      </c>
      <c r="D711" s="1" t="s">
        <v>1226</v>
      </c>
      <c r="E711" s="1" t="s">
        <v>1227</v>
      </c>
      <c r="F711" s="1" t="s">
        <v>61</v>
      </c>
      <c r="G711" s="1" t="s">
        <v>1230</v>
      </c>
      <c r="H711" s="1">
        <v>918</v>
      </c>
      <c r="I711" s="1" t="s">
        <v>1231</v>
      </c>
      <c r="J711" s="1">
        <v>2500</v>
      </c>
      <c r="K711" s="1" t="s">
        <v>35</v>
      </c>
      <c r="L711" s="1">
        <v>32</v>
      </c>
      <c r="M711" s="1" t="str">
        <f>IF(L711&lt;=45,"Joven","Mayor")</f>
        <v>Joven</v>
      </c>
      <c r="N711" s="1">
        <v>25</v>
      </c>
      <c r="O711" s="1" t="s">
        <v>36</v>
      </c>
      <c r="P711" s="1">
        <v>0.54100000000000004</v>
      </c>
      <c r="Q711" s="1">
        <v>89.433999999999997</v>
      </c>
      <c r="R711" s="1">
        <v>5.3461829999999999</v>
      </c>
      <c r="S711" s="1">
        <v>-5.3506790000000004</v>
      </c>
      <c r="T711" s="1">
        <v>-2.5393162</v>
      </c>
      <c r="U711" s="1">
        <v>24.08</v>
      </c>
      <c r="V711" s="1">
        <v>77</v>
      </c>
      <c r="W711" s="1">
        <v>149</v>
      </c>
      <c r="X711" s="1">
        <v>1.9350649350649352</v>
      </c>
      <c r="Y711" s="1">
        <v>82</v>
      </c>
      <c r="Z711" s="1">
        <v>149</v>
      </c>
      <c r="AA711" s="1">
        <v>1.8170731707317074</v>
      </c>
      <c r="AB711" s="1">
        <v>80.191588577969696</v>
      </c>
      <c r="AC711" s="1">
        <v>149.07521478192439</v>
      </c>
      <c r="AD711" s="1">
        <v>1.8589881735162241</v>
      </c>
      <c r="AE711" t="s">
        <v>4817</v>
      </c>
      <c r="AF711" t="str">
        <f>IF(X711&lt;$AF$1,"Bajo","Alto")</f>
        <v>Alto</v>
      </c>
      <c r="AG711" t="str">
        <f>LEFT(AE711,1)</f>
        <v>C</v>
      </c>
      <c r="AH711" t="str">
        <f>K711</f>
        <v>M</v>
      </c>
      <c r="AI711" t="str">
        <f>LEFT(AF711,1)</f>
        <v>A</v>
      </c>
      <c r="AJ711" t="str">
        <f>LEFT(M711,1)</f>
        <v>J</v>
      </c>
      <c r="AK711" t="str">
        <f>_xlfn.CONCAT(AG711,AH711,AI711,AJ711)</f>
        <v>CMAJ</v>
      </c>
    </row>
    <row r="712" spans="1:37" ht="15.75" hidden="1" customHeight="1" x14ac:dyDescent="0.2">
      <c r="A712" s="1">
        <v>10510605</v>
      </c>
      <c r="B712" s="1" t="s">
        <v>694</v>
      </c>
      <c r="C712" s="1" t="s">
        <v>879</v>
      </c>
      <c r="D712" s="1" t="s">
        <v>910</v>
      </c>
      <c r="E712" s="1" t="s">
        <v>95</v>
      </c>
      <c r="F712" s="1" t="s">
        <v>40</v>
      </c>
      <c r="G712" s="1" t="s">
        <v>912</v>
      </c>
      <c r="H712" s="1">
        <v>13</v>
      </c>
      <c r="I712" s="1" t="s">
        <v>91</v>
      </c>
      <c r="J712" s="1">
        <v>6</v>
      </c>
      <c r="K712" s="1" t="s">
        <v>35</v>
      </c>
      <c r="L712" s="1">
        <v>43</v>
      </c>
      <c r="M712" s="1" t="str">
        <f>IF(L712&lt;=45,"Joven","Mayor")</f>
        <v>Joven</v>
      </c>
      <c r="N712" s="1">
        <v>43</v>
      </c>
      <c r="O712" s="1" t="s">
        <v>36</v>
      </c>
      <c r="P712" s="1">
        <v>0.13600000000000001</v>
      </c>
      <c r="Q712" s="1">
        <v>93.245999999999995</v>
      </c>
      <c r="R712" s="1">
        <v>2.4757530000000001</v>
      </c>
      <c r="S712" s="1">
        <v>2.4388206000000001</v>
      </c>
      <c r="T712" s="1">
        <v>-2.1041669999999999</v>
      </c>
      <c r="U712" s="1">
        <v>0.997</v>
      </c>
      <c r="V712" s="1">
        <v>101</v>
      </c>
      <c r="W712" s="1">
        <v>165</v>
      </c>
      <c r="X712" s="1">
        <v>1.6336633663366336</v>
      </c>
      <c r="Y712" s="1">
        <v>103</v>
      </c>
      <c r="Z712" s="1">
        <v>165</v>
      </c>
      <c r="AA712" s="1">
        <v>1.6019417475728155</v>
      </c>
      <c r="AB712" s="1">
        <v>102.6208521690162</v>
      </c>
      <c r="AC712" s="1">
        <v>164.77859564638041</v>
      </c>
      <c r="AD712" s="1">
        <v>1.605702858274755</v>
      </c>
      <c r="AE712" t="s">
        <v>4817</v>
      </c>
      <c r="AF712" t="str">
        <f>IF(X712&lt;$AF$1,"Bajo","Alto")</f>
        <v>Bajo</v>
      </c>
      <c r="AG712" t="str">
        <f>LEFT(AE712,1)</f>
        <v>C</v>
      </c>
      <c r="AH712" t="str">
        <f>K712</f>
        <v>M</v>
      </c>
      <c r="AI712" t="str">
        <f>LEFT(AF712,1)</f>
        <v>B</v>
      </c>
      <c r="AJ712" t="str">
        <f>LEFT(M712,1)</f>
        <v>J</v>
      </c>
      <c r="AK712" t="str">
        <f>_xlfn.CONCAT(AG712,AH712,AI712,AJ712)</f>
        <v>CMBJ</v>
      </c>
    </row>
    <row r="713" spans="1:37" ht="15.75" hidden="1" customHeight="1" x14ac:dyDescent="0.2">
      <c r="A713" s="1">
        <v>10115002</v>
      </c>
      <c r="B713" s="1" t="s">
        <v>29</v>
      </c>
      <c r="C713" s="1" t="s">
        <v>30</v>
      </c>
      <c r="D713" s="1" t="s">
        <v>204</v>
      </c>
      <c r="E713" s="1" t="s">
        <v>205</v>
      </c>
      <c r="F713" s="1" t="s">
        <v>37</v>
      </c>
      <c r="G713" s="1" t="s">
        <v>207</v>
      </c>
      <c r="H713" s="1">
        <v>219</v>
      </c>
      <c r="I713" s="1" t="s">
        <v>65</v>
      </c>
      <c r="J713" s="1">
        <v>2</v>
      </c>
      <c r="K713" s="1" t="s">
        <v>35</v>
      </c>
      <c r="L713" s="1">
        <v>25</v>
      </c>
      <c r="M713" s="1" t="str">
        <f>IF(L713&lt;=45,"Joven","Mayor")</f>
        <v>Joven</v>
      </c>
      <c r="N713" s="1">
        <v>25</v>
      </c>
      <c r="O713" s="1" t="s">
        <v>36</v>
      </c>
      <c r="P713" s="1">
        <v>0.36799999999999999</v>
      </c>
      <c r="Q713" s="1">
        <v>93.531000000000006</v>
      </c>
      <c r="R713" s="1">
        <v>1.8551911999999999</v>
      </c>
      <c r="S713" s="1">
        <v>2.6880397999999999</v>
      </c>
      <c r="T713" s="1">
        <v>2.8807619999999998</v>
      </c>
      <c r="U713" s="1">
        <v>90.775999999999996</v>
      </c>
      <c r="V713" s="1">
        <v>126</v>
      </c>
      <c r="W713" s="1">
        <v>206</v>
      </c>
      <c r="X713" s="1">
        <v>1.6349206349206349</v>
      </c>
      <c r="Y713" s="1">
        <v>129</v>
      </c>
      <c r="Z713" s="1">
        <v>206</v>
      </c>
      <c r="AA713" s="1">
        <v>1.5968992248062015</v>
      </c>
      <c r="AB713" s="1">
        <v>128.75571317115961</v>
      </c>
      <c r="AC713" s="1">
        <v>206.19199379645809</v>
      </c>
      <c r="AD713" s="1">
        <v>1.6014201523031419</v>
      </c>
      <c r="AE713" t="s">
        <v>4817</v>
      </c>
      <c r="AF713" t="str">
        <f>IF(X713&lt;$AF$1,"Bajo","Alto")</f>
        <v>Bajo</v>
      </c>
      <c r="AG713" t="str">
        <f>LEFT(AE713,1)</f>
        <v>C</v>
      </c>
      <c r="AH713" t="str">
        <f>K713</f>
        <v>M</v>
      </c>
      <c r="AI713" t="str">
        <f>LEFT(AF713,1)</f>
        <v>B</v>
      </c>
      <c r="AJ713" t="str">
        <f>LEFT(M713,1)</f>
        <v>J</v>
      </c>
      <c r="AK713" t="str">
        <f>_xlfn.CONCAT(AG713,AH713,AI713,AJ713)</f>
        <v>CMBJ</v>
      </c>
    </row>
    <row r="714" spans="1:37" ht="15.75" hidden="1" customHeight="1" x14ac:dyDescent="0.2">
      <c r="A714" s="1">
        <v>2717501</v>
      </c>
      <c r="B714" s="1" t="s">
        <v>3409</v>
      </c>
      <c r="C714" s="1" t="s">
        <v>973</v>
      </c>
      <c r="D714" s="1" t="s">
        <v>422</v>
      </c>
      <c r="E714" s="1" t="s">
        <v>296</v>
      </c>
      <c r="F714" s="1" t="s">
        <v>32</v>
      </c>
      <c r="G714" s="1" t="s">
        <v>3566</v>
      </c>
      <c r="H714" s="1">
        <v>1586</v>
      </c>
      <c r="I714" s="1" t="s">
        <v>39</v>
      </c>
      <c r="J714" s="1">
        <v>11</v>
      </c>
      <c r="K714" s="1" t="s">
        <v>35</v>
      </c>
      <c r="L714" s="1">
        <v>48</v>
      </c>
      <c r="M714" s="1" t="str">
        <f>IF(L714&lt;=45,"Joven","Mayor")</f>
        <v>Mayor</v>
      </c>
      <c r="N714" s="1">
        <v>51</v>
      </c>
      <c r="O714" s="1" t="s">
        <v>36</v>
      </c>
      <c r="P714" s="1">
        <v>0.35299999999999998</v>
      </c>
      <c r="Q714" s="1">
        <v>94.319000000000003</v>
      </c>
      <c r="R714" s="1">
        <v>-0.35309088</v>
      </c>
      <c r="S714" s="1">
        <v>-2.7691564999999998</v>
      </c>
      <c r="T714" s="1">
        <v>-3.6575220000000002</v>
      </c>
      <c r="U714" s="1">
        <v>1.2050000000000001</v>
      </c>
      <c r="V714" s="1">
        <v>109</v>
      </c>
      <c r="W714" s="1">
        <v>176</v>
      </c>
      <c r="X714" s="1">
        <v>1.6146788990825689</v>
      </c>
      <c r="Y714" s="1">
        <v>112</v>
      </c>
      <c r="Z714" s="1">
        <v>176</v>
      </c>
      <c r="AA714" s="1">
        <v>1.5714285714285714</v>
      </c>
      <c r="AB714" s="1">
        <v>111.8400252250799</v>
      </c>
      <c r="AC714" s="1">
        <v>176.08806810409209</v>
      </c>
      <c r="AD714" s="1">
        <v>1.5744637731412519</v>
      </c>
      <c r="AE714" t="s">
        <v>4816</v>
      </c>
      <c r="AF714" t="str">
        <f>IF(X714&lt;$AF$1,"Bajo","Alto")</f>
        <v>Bajo</v>
      </c>
      <c r="AG714" t="str">
        <f>LEFT(AE714,1)</f>
        <v>D</v>
      </c>
      <c r="AH714" t="str">
        <f>K714</f>
        <v>M</v>
      </c>
      <c r="AI714" t="str">
        <f>LEFT(AF714,1)</f>
        <v>B</v>
      </c>
      <c r="AJ714" t="str">
        <f>LEFT(M714,1)</f>
        <v>M</v>
      </c>
      <c r="AK714" t="str">
        <f>_xlfn.CONCAT(AG714,AH714,AI714,AJ714)</f>
        <v>DMBM</v>
      </c>
    </row>
    <row r="715" spans="1:37" ht="15.75" hidden="1" customHeight="1" x14ac:dyDescent="0.2">
      <c r="A715" s="1">
        <v>1071901</v>
      </c>
      <c r="B715" s="1" t="s">
        <v>1067</v>
      </c>
      <c r="C715" s="1" t="s">
        <v>1068</v>
      </c>
      <c r="D715" s="1" t="s">
        <v>1206</v>
      </c>
      <c r="E715" s="1" t="s">
        <v>323</v>
      </c>
      <c r="F715" s="1" t="s">
        <v>32</v>
      </c>
      <c r="G715" s="1" t="s">
        <v>1207</v>
      </c>
      <c r="H715" s="1">
        <v>424</v>
      </c>
      <c r="I715" s="1" t="s">
        <v>85</v>
      </c>
      <c r="J715" s="1">
        <v>12</v>
      </c>
      <c r="K715" s="1" t="s">
        <v>35</v>
      </c>
      <c r="L715" s="1">
        <v>47</v>
      </c>
      <c r="M715" s="1" t="str">
        <f>IF(L715&lt;=45,"Joven","Mayor")</f>
        <v>Mayor</v>
      </c>
      <c r="N715" s="1">
        <v>56</v>
      </c>
      <c r="O715" s="1" t="s">
        <v>36</v>
      </c>
      <c r="P715" s="1">
        <v>0.127</v>
      </c>
      <c r="Q715" s="1">
        <v>75.686999999999998</v>
      </c>
      <c r="R715" s="1">
        <v>11.015317</v>
      </c>
      <c r="S715" s="1">
        <v>6.0401020000000001</v>
      </c>
      <c r="T715" s="1">
        <v>-6.2863555</v>
      </c>
      <c r="U715" s="1">
        <v>11.443</v>
      </c>
      <c r="V715" s="1">
        <v>84</v>
      </c>
      <c r="W715" s="1">
        <v>135</v>
      </c>
      <c r="X715" s="1">
        <v>1.6071428571428572</v>
      </c>
      <c r="Y715" s="1">
        <v>85</v>
      </c>
      <c r="Z715" s="1">
        <v>135</v>
      </c>
      <c r="AA715" s="1">
        <v>1.588235294117647</v>
      </c>
      <c r="AB715" s="1">
        <v>87.108333957306513</v>
      </c>
      <c r="AC715" s="1">
        <v>134.18825304038819</v>
      </c>
      <c r="AD715" s="1">
        <v>1.5404754854587905</v>
      </c>
      <c r="AE715" t="s">
        <v>4815</v>
      </c>
      <c r="AF715" t="str">
        <f>IF(X715&lt;$AF$1,"Bajo","Alto")</f>
        <v>Bajo</v>
      </c>
      <c r="AG715" t="str">
        <f>LEFT(AE715,1)</f>
        <v>I</v>
      </c>
      <c r="AH715" t="str">
        <f>K715</f>
        <v>M</v>
      </c>
      <c r="AI715" t="str">
        <f>LEFT(AF715,1)</f>
        <v>B</v>
      </c>
      <c r="AJ715" t="str">
        <f>LEFT(M715,1)</f>
        <v>M</v>
      </c>
      <c r="AK715" t="str">
        <f>_xlfn.CONCAT(AG715,AH715,AI715,AJ715)</f>
        <v>IMBM</v>
      </c>
    </row>
    <row r="716" spans="1:37" ht="15.75" hidden="1" customHeight="1" x14ac:dyDescent="0.2">
      <c r="A716" s="1">
        <v>314304</v>
      </c>
      <c r="B716" s="1" t="s">
        <v>4122</v>
      </c>
      <c r="C716" s="1" t="s">
        <v>628</v>
      </c>
      <c r="D716" s="1" t="s">
        <v>4218</v>
      </c>
      <c r="E716" s="1" t="s">
        <v>665</v>
      </c>
      <c r="F716" s="1" t="s">
        <v>61</v>
      </c>
      <c r="G716" s="1" t="s">
        <v>4222</v>
      </c>
      <c r="H716" s="1">
        <v>74</v>
      </c>
      <c r="I716" s="1" t="s">
        <v>48</v>
      </c>
      <c r="J716" s="1">
        <v>4</v>
      </c>
      <c r="K716" s="1" t="s">
        <v>35</v>
      </c>
      <c r="L716" s="1">
        <v>51</v>
      </c>
      <c r="M716" s="1" t="str">
        <f>IF(L716&lt;=45,"Joven","Mayor")</f>
        <v>Mayor</v>
      </c>
      <c r="N716" s="1">
        <v>53</v>
      </c>
      <c r="O716" s="1" t="s">
        <v>36</v>
      </c>
      <c r="P716" s="1">
        <v>0.56299999999999994</v>
      </c>
      <c r="Q716" s="1">
        <v>93.106999999999999</v>
      </c>
      <c r="R716" s="1">
        <v>2.5418582000000001</v>
      </c>
      <c r="S716" s="1">
        <v>-2.3553009999999999</v>
      </c>
      <c r="T716" s="1">
        <v>-5.2716320000000003</v>
      </c>
      <c r="U716" s="1">
        <v>2.782</v>
      </c>
      <c r="V716" s="1">
        <v>122</v>
      </c>
      <c r="W716" s="1">
        <v>195</v>
      </c>
      <c r="X716" s="1">
        <v>1.598360655737705</v>
      </c>
      <c r="Y716" s="1">
        <v>122</v>
      </c>
      <c r="Z716" s="1">
        <v>195</v>
      </c>
      <c r="AA716" s="1">
        <v>1.598360655737705</v>
      </c>
      <c r="AB716" s="1">
        <v>126.0778567399491</v>
      </c>
      <c r="AC716" s="1">
        <v>194.72647595663059</v>
      </c>
      <c r="AD716" s="1">
        <v>1.5444938626953155</v>
      </c>
      <c r="AE716" t="s">
        <v>4817</v>
      </c>
      <c r="AF716" t="str">
        <f>IF(X716&lt;$AF$1,"Bajo","Alto")</f>
        <v>Bajo</v>
      </c>
      <c r="AG716" t="str">
        <f>LEFT(AE716,1)</f>
        <v>C</v>
      </c>
      <c r="AH716" t="str">
        <f>K716</f>
        <v>M</v>
      </c>
      <c r="AI716" t="str">
        <f>LEFT(AF716,1)</f>
        <v>B</v>
      </c>
      <c r="AJ716" t="str">
        <f>LEFT(M716,1)</f>
        <v>M</v>
      </c>
      <c r="AK716" t="str">
        <f>_xlfn.CONCAT(AG716,AH716,AI716,AJ716)</f>
        <v>CMBM</v>
      </c>
    </row>
    <row r="717" spans="1:37" ht="15.75" hidden="1" customHeight="1" x14ac:dyDescent="0.2">
      <c r="A717" s="1">
        <v>212001</v>
      </c>
      <c r="B717" s="1" t="s">
        <v>2816</v>
      </c>
      <c r="C717" s="1" t="s">
        <v>2817</v>
      </c>
      <c r="D717" s="1" t="s">
        <v>69</v>
      </c>
      <c r="E717" s="1" t="s">
        <v>1983</v>
      </c>
      <c r="F717" s="1" t="s">
        <v>32</v>
      </c>
      <c r="G717" s="1" t="s">
        <v>2848</v>
      </c>
      <c r="H717" s="1">
        <v>5574</v>
      </c>
      <c r="I717" s="1" t="s">
        <v>65</v>
      </c>
      <c r="J717" s="1">
        <v>2</v>
      </c>
      <c r="K717" s="1" t="s">
        <v>35</v>
      </c>
      <c r="L717" s="1">
        <v>37</v>
      </c>
      <c r="M717" s="1" t="str">
        <f>IF(L717&lt;=45,"Joven","Mayor")</f>
        <v>Joven</v>
      </c>
      <c r="N717" s="1">
        <v>42</v>
      </c>
      <c r="O717" s="1" t="s">
        <v>36</v>
      </c>
      <c r="P717" s="1">
        <v>4.1000000000000002E-2</v>
      </c>
      <c r="Q717" s="1">
        <v>85.21</v>
      </c>
      <c r="R717" s="1">
        <v>6.3287734999999996</v>
      </c>
      <c r="S717" s="1">
        <v>10.008998999999999</v>
      </c>
      <c r="T717" s="1">
        <v>-0.63185703999999998</v>
      </c>
      <c r="U717" s="1">
        <v>9.4529999999999994</v>
      </c>
      <c r="V717" s="1">
        <v>92</v>
      </c>
      <c r="W717" s="1">
        <v>178</v>
      </c>
      <c r="X717" s="1">
        <v>1.9347826086956521</v>
      </c>
      <c r="Y717" s="1">
        <v>93</v>
      </c>
      <c r="Z717" s="1">
        <v>178</v>
      </c>
      <c r="AA717" s="1">
        <v>1.913978494623656</v>
      </c>
      <c r="AB717" s="1">
        <v>92.523738285673971</v>
      </c>
      <c r="AC717" s="1">
        <v>178.03328729277521</v>
      </c>
      <c r="AD717" s="1">
        <v>1.9241903817492123</v>
      </c>
      <c r="AE717" t="s">
        <v>4817</v>
      </c>
      <c r="AF717" t="str">
        <f>IF(X717&lt;$AF$1,"Bajo","Alto")</f>
        <v>Alto</v>
      </c>
      <c r="AG717" t="str">
        <f>LEFT(AE717,1)</f>
        <v>C</v>
      </c>
      <c r="AH717" t="str">
        <f>K717</f>
        <v>M</v>
      </c>
      <c r="AI717" t="str">
        <f>LEFT(AF717,1)</f>
        <v>A</v>
      </c>
      <c r="AJ717" t="str">
        <f>LEFT(M717,1)</f>
        <v>J</v>
      </c>
      <c r="AK717" t="str">
        <f>_xlfn.CONCAT(AG717,AH717,AI717,AJ717)</f>
        <v>CMAJ</v>
      </c>
    </row>
    <row r="718" spans="1:37" ht="15.75" hidden="1" customHeight="1" x14ac:dyDescent="0.2">
      <c r="A718" s="1">
        <v>242502</v>
      </c>
      <c r="B718" s="1" t="s">
        <v>1548</v>
      </c>
      <c r="C718" s="1" t="s">
        <v>1993</v>
      </c>
      <c r="D718" s="1" t="s">
        <v>3134</v>
      </c>
      <c r="E718" s="1" t="s">
        <v>821</v>
      </c>
      <c r="F718" s="1" t="s">
        <v>37</v>
      </c>
      <c r="G718" s="1" t="s">
        <v>3135</v>
      </c>
      <c r="H718" s="1">
        <v>11088</v>
      </c>
      <c r="I718" s="1" t="s">
        <v>39</v>
      </c>
      <c r="J718" s="1">
        <v>11</v>
      </c>
      <c r="K718" s="1" t="s">
        <v>35</v>
      </c>
      <c r="L718" s="1">
        <v>43</v>
      </c>
      <c r="M718" s="1" t="str">
        <f>IF(L718&lt;=45,"Joven","Mayor")</f>
        <v>Joven</v>
      </c>
      <c r="N718" s="1">
        <v>52</v>
      </c>
      <c r="O718" s="1" t="s">
        <v>36</v>
      </c>
      <c r="P718" s="1">
        <v>0.40899999999999997</v>
      </c>
      <c r="Q718" s="1">
        <v>93.147999999999996</v>
      </c>
      <c r="R718" s="1">
        <v>2.8821143999999999</v>
      </c>
      <c r="S718" s="1">
        <v>1.2255876999999999</v>
      </c>
      <c r="T718" s="1">
        <v>-4.0772995999999999</v>
      </c>
      <c r="U718" s="1">
        <v>2.0939999999999999</v>
      </c>
      <c r="V718" s="1">
        <v>75</v>
      </c>
      <c r="W718" s="1">
        <v>144</v>
      </c>
      <c r="X718" s="1">
        <v>1.92</v>
      </c>
      <c r="Y718" s="1">
        <v>76</v>
      </c>
      <c r="Z718" s="1">
        <v>144</v>
      </c>
      <c r="AA718" s="1">
        <v>1.8947368421052631</v>
      </c>
      <c r="AB718" s="1">
        <v>77.725369871862313</v>
      </c>
      <c r="AC718" s="1">
        <v>143.84884733242919</v>
      </c>
      <c r="AD718" s="1">
        <v>1.8507322328549576</v>
      </c>
      <c r="AE718" t="s">
        <v>4816</v>
      </c>
      <c r="AF718" t="str">
        <f>IF(X718&lt;$AF$1,"Bajo","Alto")</f>
        <v>Alto</v>
      </c>
      <c r="AG718" t="str">
        <f>LEFT(AE718,1)</f>
        <v>D</v>
      </c>
      <c r="AH718" t="str">
        <f>K718</f>
        <v>M</v>
      </c>
      <c r="AI718" t="str">
        <f>LEFT(AF718,1)</f>
        <v>A</v>
      </c>
      <c r="AJ718" t="str">
        <f>LEFT(M718,1)</f>
        <v>J</v>
      </c>
      <c r="AK718" t="str">
        <f>_xlfn.CONCAT(AG718,AH718,AI718,AJ718)</f>
        <v>DMAJ</v>
      </c>
    </row>
    <row r="719" spans="1:37" ht="15.75" hidden="1" customHeight="1" x14ac:dyDescent="0.2">
      <c r="A719" s="1">
        <v>10128305</v>
      </c>
      <c r="B719" s="1" t="s">
        <v>29</v>
      </c>
      <c r="C719" s="1" t="s">
        <v>30</v>
      </c>
      <c r="D719" s="1" t="s">
        <v>568</v>
      </c>
      <c r="E719" s="1" t="s">
        <v>569</v>
      </c>
      <c r="F719" s="1" t="s">
        <v>40</v>
      </c>
      <c r="G719" s="1" t="s">
        <v>573</v>
      </c>
      <c r="H719" s="1">
        <v>814</v>
      </c>
      <c r="I719" s="1" t="s">
        <v>91</v>
      </c>
      <c r="J719" s="1">
        <v>6</v>
      </c>
      <c r="K719" s="1" t="s">
        <v>35</v>
      </c>
      <c r="L719" s="1">
        <v>47</v>
      </c>
      <c r="M719" s="1" t="str">
        <f>IF(L719&lt;=45,"Joven","Mayor")</f>
        <v>Mayor</v>
      </c>
      <c r="N719" s="1">
        <v>48</v>
      </c>
      <c r="O719" s="1" t="s">
        <v>36</v>
      </c>
      <c r="P719" s="1">
        <v>0.35799999999999998</v>
      </c>
      <c r="Q719" s="1">
        <v>82.623000000000005</v>
      </c>
      <c r="R719" s="1">
        <v>8.4094119999999997</v>
      </c>
      <c r="S719" s="1">
        <v>7.468286</v>
      </c>
      <c r="T719" s="1">
        <v>-4.9926614999999996</v>
      </c>
      <c r="U719" s="1">
        <v>1.0129999999999999</v>
      </c>
      <c r="V719" s="1">
        <v>85</v>
      </c>
      <c r="W719" s="1">
        <v>136</v>
      </c>
      <c r="X719" s="1">
        <v>1.6</v>
      </c>
      <c r="Y719" s="1">
        <v>86</v>
      </c>
      <c r="Z719" s="1">
        <v>136</v>
      </c>
      <c r="AA719" s="1">
        <v>1.5813953488372092</v>
      </c>
      <c r="AB719" s="1">
        <v>87.549426395982891</v>
      </c>
      <c r="AC719" s="1">
        <v>135.39696784788839</v>
      </c>
      <c r="AD719" s="1">
        <v>1.5465203305329813</v>
      </c>
      <c r="AE719" t="s">
        <v>4817</v>
      </c>
      <c r="AF719" t="str">
        <f>IF(X719&lt;$AF$1,"Bajo","Alto")</f>
        <v>Bajo</v>
      </c>
      <c r="AG719" t="str">
        <f>LEFT(AE719,1)</f>
        <v>C</v>
      </c>
      <c r="AH719" t="str">
        <f>K719</f>
        <v>M</v>
      </c>
      <c r="AI719" t="str">
        <f>LEFT(AF719,1)</f>
        <v>B</v>
      </c>
      <c r="AJ719" t="str">
        <f>LEFT(M719,1)</f>
        <v>M</v>
      </c>
      <c r="AK719" t="str">
        <f>_xlfn.CONCAT(AG719,AH719,AI719,AJ719)</f>
        <v>CMBM</v>
      </c>
    </row>
    <row r="720" spans="1:37" ht="15.75" hidden="1" customHeight="1" x14ac:dyDescent="0.2">
      <c r="A720" s="1">
        <v>2312302</v>
      </c>
      <c r="B720" s="1" t="s">
        <v>319</v>
      </c>
      <c r="C720" s="1" t="s">
        <v>1989</v>
      </c>
      <c r="D720" s="1" t="s">
        <v>2957</v>
      </c>
      <c r="E720" s="1" t="s">
        <v>2958</v>
      </c>
      <c r="F720" s="1" t="s">
        <v>37</v>
      </c>
      <c r="G720" s="1" t="s">
        <v>2959</v>
      </c>
      <c r="H720" s="1">
        <v>2348</v>
      </c>
      <c r="I720" s="1" t="s">
        <v>134</v>
      </c>
      <c r="J720" s="1">
        <v>8</v>
      </c>
      <c r="K720" s="1" t="s">
        <v>35</v>
      </c>
      <c r="L720" s="1">
        <v>37</v>
      </c>
      <c r="M720" s="1" t="str">
        <f>IF(L720&lt;=45,"Joven","Mayor")</f>
        <v>Joven</v>
      </c>
      <c r="N720" s="1">
        <v>36</v>
      </c>
      <c r="O720" s="1" t="s">
        <v>36</v>
      </c>
      <c r="P720" s="1">
        <v>0.34699999999999998</v>
      </c>
      <c r="Q720" s="1">
        <v>71.753</v>
      </c>
      <c r="R720" s="1">
        <v>11.01932</v>
      </c>
      <c r="S720" s="1">
        <v>9.7096119999999999</v>
      </c>
      <c r="T720" s="1">
        <v>-3.3818076000000001</v>
      </c>
      <c r="U720" s="1">
        <v>13.217000000000001</v>
      </c>
      <c r="V720" s="1">
        <v>103</v>
      </c>
      <c r="W720" s="1">
        <v>199</v>
      </c>
      <c r="X720" s="1">
        <v>1.9320388349514563</v>
      </c>
      <c r="Y720" s="1">
        <v>104</v>
      </c>
      <c r="Z720" s="1">
        <v>199</v>
      </c>
      <c r="AA720" s="1">
        <v>1.9134615384615385</v>
      </c>
      <c r="AB720" s="1">
        <v>106.4144294105092</v>
      </c>
      <c r="AC720" s="1">
        <v>198.41750542319099</v>
      </c>
      <c r="AD720" s="1">
        <v>1.8645733151259636</v>
      </c>
      <c r="AE720" t="s">
        <v>4817</v>
      </c>
      <c r="AF720" t="str">
        <f>IF(X720&lt;$AF$1,"Bajo","Alto")</f>
        <v>Alto</v>
      </c>
      <c r="AG720" t="str">
        <f>LEFT(AE720,1)</f>
        <v>C</v>
      </c>
      <c r="AH720" t="str">
        <f>K720</f>
        <v>M</v>
      </c>
      <c r="AI720" t="str">
        <f>LEFT(AF720,1)</f>
        <v>A</v>
      </c>
      <c r="AJ720" t="str">
        <f>LEFT(M720,1)</f>
        <v>J</v>
      </c>
      <c r="AK720" t="str">
        <f>_xlfn.CONCAT(AG720,AH720,AI720,AJ720)</f>
        <v>CMAJ</v>
      </c>
    </row>
    <row r="721" spans="1:37" ht="15.75" hidden="1" customHeight="1" x14ac:dyDescent="0.2">
      <c r="A721" s="1">
        <v>528002</v>
      </c>
      <c r="B721" s="1" t="s">
        <v>4529</v>
      </c>
      <c r="C721" s="1" t="s">
        <v>685</v>
      </c>
      <c r="D721" s="1" t="s">
        <v>4672</v>
      </c>
      <c r="E721" s="1" t="s">
        <v>744</v>
      </c>
      <c r="F721" s="1" t="s">
        <v>37</v>
      </c>
      <c r="G721" s="1" t="s">
        <v>4673</v>
      </c>
      <c r="H721" s="1">
        <v>219</v>
      </c>
      <c r="I721" s="1" t="s">
        <v>87</v>
      </c>
      <c r="J721" s="1">
        <v>14</v>
      </c>
      <c r="K721" s="1" t="s">
        <v>49</v>
      </c>
      <c r="L721" s="1">
        <v>47</v>
      </c>
      <c r="M721" s="1" t="str">
        <f>IF(L721&lt;=45,"Joven","Mayor")</f>
        <v>Mayor</v>
      </c>
      <c r="N721" s="1">
        <v>50</v>
      </c>
      <c r="O721" s="1" t="s">
        <v>50</v>
      </c>
      <c r="P721" s="1">
        <v>0.17599999999999999</v>
      </c>
      <c r="Q721" s="1">
        <v>91.822000000000003</v>
      </c>
      <c r="R721" s="1">
        <v>2.6645840000000001</v>
      </c>
      <c r="S721" s="1">
        <v>-6.6128206</v>
      </c>
      <c r="T721" s="1">
        <v>-5.5769405000000001</v>
      </c>
      <c r="U721" s="1">
        <v>18.062999999999999</v>
      </c>
      <c r="V721" s="1">
        <v>72</v>
      </c>
      <c r="W721" s="1">
        <v>134</v>
      </c>
      <c r="X721" s="1">
        <v>1.8611111111111112</v>
      </c>
      <c r="Y721" s="1">
        <v>74</v>
      </c>
      <c r="Z721" s="1">
        <v>134</v>
      </c>
      <c r="AA721" s="1">
        <v>1.8108108108108107</v>
      </c>
      <c r="AB721" s="1">
        <v>75.157759241025815</v>
      </c>
      <c r="AC721" s="1">
        <v>133.8516352046322</v>
      </c>
      <c r="AD721" s="1">
        <v>1.7809423345815716</v>
      </c>
      <c r="AE721" t="s">
        <v>4816</v>
      </c>
      <c r="AF721" t="str">
        <f>IF(X721&lt;$AF$1,"Bajo","Alto")</f>
        <v>Alto</v>
      </c>
      <c r="AG721" t="str">
        <f>LEFT(AE721,1)</f>
        <v>D</v>
      </c>
      <c r="AH721" t="str">
        <f>K721</f>
        <v>F</v>
      </c>
      <c r="AI721" t="str">
        <f>LEFT(AF721,1)</f>
        <v>A</v>
      </c>
      <c r="AJ721" t="str">
        <f>LEFT(M721,1)</f>
        <v>M</v>
      </c>
      <c r="AK721" t="str">
        <f>_xlfn.CONCAT(AG721,AH721,AI721,AJ721)</f>
        <v>DFAM</v>
      </c>
    </row>
    <row r="722" spans="1:37" ht="15.75" hidden="1" customHeight="1" x14ac:dyDescent="0.2">
      <c r="A722" s="1">
        <v>441703</v>
      </c>
      <c r="B722" s="1" t="s">
        <v>4314</v>
      </c>
      <c r="C722" s="1" t="s">
        <v>995</v>
      </c>
      <c r="D722" s="1" t="s">
        <v>4357</v>
      </c>
      <c r="E722" s="1" t="s">
        <v>2552</v>
      </c>
      <c r="F722" s="1" t="s">
        <v>63</v>
      </c>
      <c r="G722" s="1" t="s">
        <v>4359</v>
      </c>
      <c r="H722" s="1">
        <v>431</v>
      </c>
      <c r="I722" s="1" t="s">
        <v>4360</v>
      </c>
      <c r="J722" s="1">
        <v>3989</v>
      </c>
      <c r="K722" s="1" t="s">
        <v>35</v>
      </c>
      <c r="L722" s="1">
        <v>36</v>
      </c>
      <c r="M722" s="1" t="str">
        <f>IF(L722&lt;=45,"Joven","Mayor")</f>
        <v>Joven</v>
      </c>
      <c r="N722" s="1">
        <v>48</v>
      </c>
      <c r="O722" s="1" t="s">
        <v>36</v>
      </c>
      <c r="P722" s="1">
        <v>0.88200000000000001</v>
      </c>
      <c r="Q722" s="1">
        <v>91.956999999999994</v>
      </c>
      <c r="R722" s="1">
        <v>3.3540190000000001</v>
      </c>
      <c r="S722" s="1">
        <v>3.9682512000000001</v>
      </c>
      <c r="T722" s="1">
        <v>-5.3862969999999999</v>
      </c>
      <c r="U722" s="1">
        <v>38.847000000000001</v>
      </c>
      <c r="V722" s="1">
        <v>88</v>
      </c>
      <c r="W722" s="1">
        <v>170</v>
      </c>
      <c r="X722" s="1">
        <v>1.9318181818181819</v>
      </c>
      <c r="Y722" s="1">
        <v>94</v>
      </c>
      <c r="Z722" s="1">
        <v>170</v>
      </c>
      <c r="AA722" s="1">
        <v>1.8085106382978724</v>
      </c>
      <c r="AB722" s="1">
        <v>92.023330860955866</v>
      </c>
      <c r="AC722" s="1">
        <v>169.90644682918079</v>
      </c>
      <c r="AD722" s="1">
        <v>1.8463409793968844</v>
      </c>
      <c r="AE722" t="s">
        <v>4817</v>
      </c>
      <c r="AF722" t="str">
        <f>IF(X722&lt;$AF$1,"Bajo","Alto")</f>
        <v>Alto</v>
      </c>
      <c r="AG722" t="str">
        <f>LEFT(AE722,1)</f>
        <v>C</v>
      </c>
      <c r="AH722" t="str">
        <f>K722</f>
        <v>M</v>
      </c>
      <c r="AI722" t="str">
        <f>LEFT(AF722,1)</f>
        <v>A</v>
      </c>
      <c r="AJ722" t="str">
        <f>LEFT(M722,1)</f>
        <v>J</v>
      </c>
      <c r="AK722" t="str">
        <f>_xlfn.CONCAT(AG722,AH722,AI722,AJ722)</f>
        <v>CMAJ</v>
      </c>
    </row>
    <row r="723" spans="1:37" ht="15.75" hidden="1" customHeight="1" x14ac:dyDescent="0.2">
      <c r="A723" s="1">
        <v>481205</v>
      </c>
      <c r="B723" s="1" t="s">
        <v>4465</v>
      </c>
      <c r="C723" s="1" t="s">
        <v>2650</v>
      </c>
      <c r="D723" s="1" t="s">
        <v>4505</v>
      </c>
      <c r="E723" s="1" t="s">
        <v>54</v>
      </c>
      <c r="F723" s="1" t="s">
        <v>40</v>
      </c>
      <c r="G723" s="1" t="s">
        <v>4507</v>
      </c>
      <c r="H723" s="1">
        <v>231</v>
      </c>
      <c r="I723" s="1" t="s">
        <v>108</v>
      </c>
      <c r="J723" s="1">
        <v>3</v>
      </c>
      <c r="K723" s="1" t="s">
        <v>35</v>
      </c>
      <c r="L723" s="1">
        <v>37</v>
      </c>
      <c r="M723" s="1" t="str">
        <f>IF(L723&lt;=45,"Joven","Mayor")</f>
        <v>Joven</v>
      </c>
      <c r="N723" s="1">
        <v>43</v>
      </c>
      <c r="O723" s="1" t="s">
        <v>36</v>
      </c>
      <c r="P723" s="1">
        <v>0.27400000000000002</v>
      </c>
      <c r="Q723" s="1">
        <v>28.452000000000002</v>
      </c>
      <c r="R723" s="1">
        <v>18.747876999999999</v>
      </c>
      <c r="S723" s="1">
        <v>1.7125846</v>
      </c>
      <c r="T723" s="1">
        <v>-6.9864309999999996</v>
      </c>
      <c r="U723" s="1">
        <v>5.4050000000000002</v>
      </c>
      <c r="V723" s="1">
        <v>86</v>
      </c>
      <c r="W723" s="1">
        <v>166</v>
      </c>
      <c r="X723" s="1">
        <v>1.930232558139535</v>
      </c>
      <c r="Y723" s="1">
        <v>91</v>
      </c>
      <c r="Z723" s="1">
        <v>166</v>
      </c>
      <c r="AA723" s="1">
        <v>1.8241758241758241</v>
      </c>
      <c r="AB723" s="1">
        <v>90.591722845909089</v>
      </c>
      <c r="AC723" s="1">
        <v>165.2539846956997</v>
      </c>
      <c r="AD723" s="1">
        <v>1.8241620702675729</v>
      </c>
      <c r="AE723" t="s">
        <v>4817</v>
      </c>
      <c r="AF723" t="str">
        <f>IF(X723&lt;$AF$1,"Bajo","Alto")</f>
        <v>Alto</v>
      </c>
      <c r="AG723" t="str">
        <f>LEFT(AE723,1)</f>
        <v>C</v>
      </c>
      <c r="AH723" t="str">
        <f>K723</f>
        <v>M</v>
      </c>
      <c r="AI723" t="str">
        <f>LEFT(AF723,1)</f>
        <v>A</v>
      </c>
      <c r="AJ723" t="str">
        <f>LEFT(M723,1)</f>
        <v>J</v>
      </c>
      <c r="AK723" t="str">
        <f>_xlfn.CONCAT(AG723,AH723,AI723,AJ723)</f>
        <v>CMAJ</v>
      </c>
    </row>
    <row r="724" spans="1:37" ht="15.75" hidden="1" customHeight="1" x14ac:dyDescent="0.2">
      <c r="A724" s="1">
        <v>194703</v>
      </c>
      <c r="B724" s="1" t="s">
        <v>2656</v>
      </c>
      <c r="C724" s="1" t="s">
        <v>323</v>
      </c>
      <c r="D724" s="1" t="s">
        <v>2734</v>
      </c>
      <c r="E724" s="1" t="s">
        <v>857</v>
      </c>
      <c r="F724" s="1" t="s">
        <v>63</v>
      </c>
      <c r="G724" s="1" t="s">
        <v>2736</v>
      </c>
      <c r="H724" s="1">
        <v>1178</v>
      </c>
      <c r="I724" s="1" t="s">
        <v>108</v>
      </c>
      <c r="J724" s="1">
        <v>3</v>
      </c>
      <c r="K724" s="1" t="s">
        <v>35</v>
      </c>
      <c r="L724" s="1">
        <v>42</v>
      </c>
      <c r="M724" s="1" t="str">
        <f>IF(L724&lt;=45,"Joven","Mayor")</f>
        <v>Joven</v>
      </c>
      <c r="N724" s="1">
        <v>41</v>
      </c>
      <c r="O724" s="1" t="s">
        <v>36</v>
      </c>
      <c r="P724" s="1">
        <v>1.25</v>
      </c>
      <c r="Q724" s="1">
        <v>93.516000000000005</v>
      </c>
      <c r="R724" s="1">
        <v>1.9312581</v>
      </c>
      <c r="S724" s="1">
        <v>1.4724317</v>
      </c>
      <c r="T724" s="1">
        <v>-2.1776230000000001</v>
      </c>
      <c r="U724" s="1">
        <v>3.5790000000000002</v>
      </c>
      <c r="V724" s="1">
        <v>99</v>
      </c>
      <c r="W724" s="1">
        <v>162</v>
      </c>
      <c r="X724" s="1">
        <v>1.6363636363636365</v>
      </c>
      <c r="Y724" s="1">
        <v>100</v>
      </c>
      <c r="Z724" s="1">
        <v>162</v>
      </c>
      <c r="AA724" s="1">
        <v>1.62</v>
      </c>
      <c r="AB724" s="1">
        <v>100.7903849761815</v>
      </c>
      <c r="AC724" s="1">
        <v>162.07299659771019</v>
      </c>
      <c r="AD724" s="1">
        <v>1.6080204142092605</v>
      </c>
      <c r="AE724" t="s">
        <v>4817</v>
      </c>
      <c r="AF724" t="str">
        <f>IF(X724&lt;$AF$1,"Bajo","Alto")</f>
        <v>Bajo</v>
      </c>
      <c r="AG724" t="str">
        <f>LEFT(AE724,1)</f>
        <v>C</v>
      </c>
      <c r="AH724" t="str">
        <f>K724</f>
        <v>M</v>
      </c>
      <c r="AI724" t="str">
        <f>LEFT(AF724,1)</f>
        <v>B</v>
      </c>
      <c r="AJ724" t="str">
        <f>LEFT(M724,1)</f>
        <v>J</v>
      </c>
      <c r="AK724" t="str">
        <f>_xlfn.CONCAT(AG724,AH724,AI724,AJ724)</f>
        <v>CMBJ</v>
      </c>
    </row>
    <row r="725" spans="1:37" ht="15.75" hidden="1" customHeight="1" x14ac:dyDescent="0.2">
      <c r="A725" s="1">
        <v>2716902</v>
      </c>
      <c r="B725" s="1" t="s">
        <v>3409</v>
      </c>
      <c r="C725" s="1" t="s">
        <v>973</v>
      </c>
      <c r="D725" s="1" t="s">
        <v>3548</v>
      </c>
      <c r="E725" s="1" t="s">
        <v>279</v>
      </c>
      <c r="F725" s="1" t="s">
        <v>37</v>
      </c>
      <c r="G725" s="1" t="s">
        <v>3550</v>
      </c>
      <c r="H725" s="1">
        <v>952</v>
      </c>
      <c r="I725" s="1" t="s">
        <v>87</v>
      </c>
      <c r="J725" s="1">
        <v>14</v>
      </c>
      <c r="K725" s="1" t="s">
        <v>35</v>
      </c>
      <c r="L725" s="1">
        <v>40</v>
      </c>
      <c r="M725" s="1" t="str">
        <f>IF(L725&lt;=45,"Joven","Mayor")</f>
        <v>Joven</v>
      </c>
      <c r="N725" s="1">
        <v>39</v>
      </c>
      <c r="O725" s="1" t="s">
        <v>36</v>
      </c>
      <c r="P725" s="1">
        <v>0.47099999999999997</v>
      </c>
      <c r="Q725" s="1">
        <v>86.591999999999999</v>
      </c>
      <c r="R725" s="1">
        <v>6.9171820000000004</v>
      </c>
      <c r="S725" s="1">
        <v>6.2255815999999999</v>
      </c>
      <c r="T725" s="1">
        <v>-4.1651072999999998</v>
      </c>
      <c r="U725" s="1">
        <v>0.86499999999999999</v>
      </c>
      <c r="V725" s="1">
        <v>94</v>
      </c>
      <c r="W725" s="1">
        <v>154</v>
      </c>
      <c r="X725" s="1">
        <v>1.6382978723404256</v>
      </c>
      <c r="Y725" s="1">
        <v>96</v>
      </c>
      <c r="Z725" s="1">
        <v>154</v>
      </c>
      <c r="AA725" s="1">
        <v>1.6041666666666667</v>
      </c>
      <c r="AB725" s="1">
        <v>98.796948519461239</v>
      </c>
      <c r="AC725" s="1">
        <v>153.66590047121241</v>
      </c>
      <c r="AD725" s="1">
        <v>1.555370917563744</v>
      </c>
      <c r="AE725" t="s">
        <v>4816</v>
      </c>
      <c r="AF725" t="str">
        <f>IF(X725&lt;$AF$1,"Bajo","Alto")</f>
        <v>Bajo</v>
      </c>
      <c r="AG725" t="str">
        <f>LEFT(AE725,1)</f>
        <v>D</v>
      </c>
      <c r="AH725" t="str">
        <f>K725</f>
        <v>M</v>
      </c>
      <c r="AI725" t="str">
        <f>LEFT(AF725,1)</f>
        <v>B</v>
      </c>
      <c r="AJ725" t="str">
        <f>LEFT(M725,1)</f>
        <v>J</v>
      </c>
      <c r="AK725" t="str">
        <f>_xlfn.CONCAT(AG725,AH725,AI725,AJ725)</f>
        <v>DMBJ</v>
      </c>
    </row>
    <row r="726" spans="1:37" ht="15.75" hidden="1" customHeight="1" x14ac:dyDescent="0.2">
      <c r="A726" s="1">
        <v>1260004</v>
      </c>
      <c r="B726" s="1" t="s">
        <v>1798</v>
      </c>
      <c r="C726" s="1" t="s">
        <v>54</v>
      </c>
      <c r="D726" s="1" t="s">
        <v>1864</v>
      </c>
      <c r="E726" s="1" t="s">
        <v>1865</v>
      </c>
      <c r="F726" s="1" t="s">
        <v>61</v>
      </c>
      <c r="G726" s="1" t="s">
        <v>1868</v>
      </c>
      <c r="H726" s="1">
        <v>1605</v>
      </c>
      <c r="I726" s="1" t="s">
        <v>134</v>
      </c>
      <c r="J726" s="1">
        <v>8</v>
      </c>
      <c r="K726" s="1" t="s">
        <v>35</v>
      </c>
      <c r="L726" s="1">
        <v>48</v>
      </c>
      <c r="M726" s="1" t="str">
        <f>IF(L726&lt;=45,"Joven","Mayor")</f>
        <v>Mayor</v>
      </c>
      <c r="N726" s="1">
        <v>45</v>
      </c>
      <c r="O726" s="1" t="s">
        <v>36</v>
      </c>
      <c r="P726" s="1">
        <v>0.34399999999999997</v>
      </c>
      <c r="Q726" s="1">
        <v>83.986999999999995</v>
      </c>
      <c r="R726" s="1">
        <v>-6.8149332999999999</v>
      </c>
      <c r="S726" s="1">
        <v>10.149590999999999</v>
      </c>
      <c r="T726" s="1">
        <v>7.665883</v>
      </c>
      <c r="U726" s="1">
        <v>7.577</v>
      </c>
      <c r="V726" s="1">
        <v>93</v>
      </c>
      <c r="W726" s="1">
        <v>179</v>
      </c>
      <c r="X726" s="1">
        <v>1.924731182795699</v>
      </c>
      <c r="Y726" s="1">
        <v>100</v>
      </c>
      <c r="Z726" s="1">
        <v>179</v>
      </c>
      <c r="AA726" s="1">
        <v>1.79</v>
      </c>
      <c r="AB726" s="1">
        <v>99.372229164564487</v>
      </c>
      <c r="AC726" s="1">
        <v>178.86759923227561</v>
      </c>
      <c r="AD726" s="1">
        <v>1.7999757149058568</v>
      </c>
      <c r="AE726" t="s">
        <v>4817</v>
      </c>
      <c r="AF726" t="str">
        <f>IF(X726&lt;$AF$1,"Bajo","Alto")</f>
        <v>Alto</v>
      </c>
      <c r="AG726" t="str">
        <f>LEFT(AE726,1)</f>
        <v>C</v>
      </c>
      <c r="AH726" t="str">
        <f>K726</f>
        <v>M</v>
      </c>
      <c r="AI726" t="str">
        <f>LEFT(AF726,1)</f>
        <v>A</v>
      </c>
      <c r="AJ726" t="str">
        <f>LEFT(M726,1)</f>
        <v>M</v>
      </c>
      <c r="AK726" t="str">
        <f>_xlfn.CONCAT(AG726,AH726,AI726,AJ726)</f>
        <v>CMAM</v>
      </c>
    </row>
    <row r="727" spans="1:37" ht="15.75" hidden="1" customHeight="1" x14ac:dyDescent="0.2">
      <c r="A727" s="1">
        <v>214803</v>
      </c>
      <c r="B727" s="1" t="s">
        <v>2816</v>
      </c>
      <c r="C727" s="1" t="s">
        <v>2817</v>
      </c>
      <c r="D727" s="1" t="s">
        <v>2880</v>
      </c>
      <c r="E727" s="1" t="s">
        <v>2650</v>
      </c>
      <c r="F727" s="1" t="s">
        <v>63</v>
      </c>
      <c r="G727" s="1" t="s">
        <v>2882</v>
      </c>
      <c r="H727" s="1">
        <v>1209</v>
      </c>
      <c r="I727" s="1" t="s">
        <v>108</v>
      </c>
      <c r="J727" s="1">
        <v>3</v>
      </c>
      <c r="K727" s="1" t="s">
        <v>35</v>
      </c>
      <c r="L727" s="1">
        <v>39</v>
      </c>
      <c r="M727" s="1" t="str">
        <f>IF(L727&lt;=45,"Joven","Mayor")</f>
        <v>Joven</v>
      </c>
      <c r="N727" s="1">
        <v>47</v>
      </c>
      <c r="O727" s="1" t="s">
        <v>36</v>
      </c>
      <c r="P727" s="1">
        <v>9.5000000000000001E-2</v>
      </c>
      <c r="Q727" s="1">
        <v>92.317999999999998</v>
      </c>
      <c r="R727" s="1">
        <v>3.0775182000000001</v>
      </c>
      <c r="S727" s="1">
        <v>4.3053464999999997</v>
      </c>
      <c r="T727" s="1">
        <v>-0.92739623999999998</v>
      </c>
      <c r="U727" s="1">
        <v>1.0489999999999999</v>
      </c>
      <c r="V727" s="1">
        <v>66</v>
      </c>
      <c r="W727" s="1">
        <v>108</v>
      </c>
      <c r="X727" s="1">
        <v>1.6363636363636365</v>
      </c>
      <c r="Y727" s="1">
        <v>68</v>
      </c>
      <c r="Z727" s="1">
        <v>108</v>
      </c>
      <c r="AA727" s="1">
        <v>1.588235294117647</v>
      </c>
      <c r="AB727" s="1">
        <v>68.460469442388103</v>
      </c>
      <c r="AC727" s="1">
        <v>107.96966741556071</v>
      </c>
      <c r="AD727" s="1">
        <v>1.577109656053717</v>
      </c>
      <c r="AE727" t="s">
        <v>4817</v>
      </c>
      <c r="AF727" t="str">
        <f>IF(X727&lt;$AF$1,"Bajo","Alto")</f>
        <v>Bajo</v>
      </c>
      <c r="AG727" t="str">
        <f>LEFT(AE727,1)</f>
        <v>C</v>
      </c>
      <c r="AH727" t="str">
        <f>K727</f>
        <v>M</v>
      </c>
      <c r="AI727" t="str">
        <f>LEFT(AF727,1)</f>
        <v>B</v>
      </c>
      <c r="AJ727" t="str">
        <f>LEFT(M727,1)</f>
        <v>J</v>
      </c>
      <c r="AK727" t="str">
        <f>_xlfn.CONCAT(AG727,AH727,AI727,AJ727)</f>
        <v>CMBJ</v>
      </c>
    </row>
    <row r="728" spans="1:37" ht="15.75" hidden="1" customHeight="1" x14ac:dyDescent="0.2">
      <c r="A728" s="1">
        <v>641903</v>
      </c>
      <c r="B728" s="1" t="s">
        <v>4718</v>
      </c>
      <c r="C728" s="1" t="s">
        <v>710</v>
      </c>
      <c r="D728" s="1" t="s">
        <v>4754</v>
      </c>
      <c r="E728" s="1" t="s">
        <v>323</v>
      </c>
      <c r="F728" s="1" t="s">
        <v>63</v>
      </c>
      <c r="G728" s="1" t="s">
        <v>4757</v>
      </c>
      <c r="H728" s="1">
        <v>1651</v>
      </c>
      <c r="I728" s="1" t="s">
        <v>91</v>
      </c>
      <c r="J728" s="1">
        <v>6</v>
      </c>
      <c r="K728" s="1" t="s">
        <v>35</v>
      </c>
      <c r="L728" s="1">
        <v>46</v>
      </c>
      <c r="M728" s="1" t="str">
        <f>IF(L728&lt;=45,"Joven","Mayor")</f>
        <v>Mayor</v>
      </c>
      <c r="N728" s="1">
        <v>47</v>
      </c>
      <c r="O728" s="1" t="s">
        <v>36</v>
      </c>
      <c r="P728" s="1">
        <v>1.46</v>
      </c>
      <c r="Q728" s="1">
        <v>92.012</v>
      </c>
      <c r="R728" s="1">
        <v>1.538208</v>
      </c>
      <c r="S728" s="1">
        <v>7.2803699999999996</v>
      </c>
      <c r="T728" s="1">
        <v>-2.5285757000000002</v>
      </c>
      <c r="U728" s="1">
        <v>0.877</v>
      </c>
      <c r="V728" s="1">
        <v>103</v>
      </c>
      <c r="W728" s="1">
        <v>165</v>
      </c>
      <c r="X728" s="1">
        <v>1.6019417475728155</v>
      </c>
      <c r="Y728" s="1">
        <v>105</v>
      </c>
      <c r="Z728" s="1">
        <v>165</v>
      </c>
      <c r="AA728" s="1">
        <v>1.5714285714285714</v>
      </c>
      <c r="AB728" s="1">
        <v>104.97324270946299</v>
      </c>
      <c r="AC728" s="1">
        <v>165.0599347645516</v>
      </c>
      <c r="AD728" s="1">
        <v>1.5724000755258367</v>
      </c>
      <c r="AE728" t="s">
        <v>4817</v>
      </c>
      <c r="AF728" t="str">
        <f>IF(X728&lt;$AF$1,"Bajo","Alto")</f>
        <v>Bajo</v>
      </c>
      <c r="AG728" t="str">
        <f>LEFT(AE728,1)</f>
        <v>C</v>
      </c>
      <c r="AH728" t="str">
        <f>K728</f>
        <v>M</v>
      </c>
      <c r="AI728" t="str">
        <f>LEFT(AF728,1)</f>
        <v>B</v>
      </c>
      <c r="AJ728" t="str">
        <f>LEFT(M728,1)</f>
        <v>M</v>
      </c>
      <c r="AK728" t="str">
        <f>_xlfn.CONCAT(AG728,AH728,AI728,AJ728)</f>
        <v>CMBM</v>
      </c>
    </row>
    <row r="729" spans="1:37" ht="15.75" hidden="1" customHeight="1" x14ac:dyDescent="0.2">
      <c r="A729" s="1">
        <v>1051001</v>
      </c>
      <c r="B729" s="1" t="s">
        <v>694</v>
      </c>
      <c r="C729" s="1" t="s">
        <v>879</v>
      </c>
      <c r="D729" s="1" t="s">
        <v>903</v>
      </c>
      <c r="E729" s="1" t="s">
        <v>75</v>
      </c>
      <c r="F729" s="1" t="s">
        <v>32</v>
      </c>
      <c r="G729" s="1" t="s">
        <v>904</v>
      </c>
      <c r="H729" s="1">
        <v>4318</v>
      </c>
      <c r="I729" s="1" t="s">
        <v>39</v>
      </c>
      <c r="J729" s="1">
        <v>11</v>
      </c>
      <c r="K729" s="1" t="s">
        <v>35</v>
      </c>
      <c r="L729" s="1">
        <v>40</v>
      </c>
      <c r="M729" s="1" t="str">
        <f>IF(L729&lt;=45,"Joven","Mayor")</f>
        <v>Joven</v>
      </c>
      <c r="N729" s="1">
        <v>36</v>
      </c>
      <c r="O729" s="1" t="s">
        <v>36</v>
      </c>
      <c r="P729" s="1">
        <v>0.439</v>
      </c>
      <c r="Q729" s="1">
        <v>88.090999999999994</v>
      </c>
      <c r="R729" s="1">
        <v>6.7772636000000004</v>
      </c>
      <c r="S729" s="1">
        <v>3.6486103999999999</v>
      </c>
      <c r="T729" s="1">
        <v>-2.6548175999999999</v>
      </c>
      <c r="U729" s="1">
        <v>2.0329999999999999</v>
      </c>
      <c r="V729" s="1">
        <v>97</v>
      </c>
      <c r="W729" s="1">
        <v>186</v>
      </c>
      <c r="X729" s="1">
        <v>1.9175257731958764</v>
      </c>
      <c r="Y729" s="1">
        <v>97</v>
      </c>
      <c r="Z729" s="1">
        <v>186</v>
      </c>
      <c r="AA729" s="1">
        <v>1.9175257731958764</v>
      </c>
      <c r="AB729" s="1">
        <v>99.258146256710006</v>
      </c>
      <c r="AC729" s="1">
        <v>186.12459947732989</v>
      </c>
      <c r="AD729" s="1">
        <v>1.875156916551296</v>
      </c>
      <c r="AE729" t="s">
        <v>4816</v>
      </c>
      <c r="AF729" t="str">
        <f>IF(X729&lt;$AF$1,"Bajo","Alto")</f>
        <v>Alto</v>
      </c>
      <c r="AG729" t="str">
        <f>LEFT(AE729,1)</f>
        <v>D</v>
      </c>
      <c r="AH729" t="str">
        <f>K729</f>
        <v>M</v>
      </c>
      <c r="AI729" t="str">
        <f>LEFT(AF729,1)</f>
        <v>A</v>
      </c>
      <c r="AJ729" t="str">
        <f>LEFT(M729,1)</f>
        <v>J</v>
      </c>
      <c r="AK729" t="str">
        <f>_xlfn.CONCAT(AG729,AH729,AI729,AJ729)</f>
        <v>DMAJ</v>
      </c>
    </row>
    <row r="730" spans="1:37" ht="15.75" hidden="1" customHeight="1" x14ac:dyDescent="0.2">
      <c r="A730" s="1">
        <v>541202</v>
      </c>
      <c r="B730" s="1" t="s">
        <v>4677</v>
      </c>
      <c r="C730" s="1" t="s">
        <v>3148</v>
      </c>
      <c r="D730" s="1" t="s">
        <v>4694</v>
      </c>
      <c r="E730" s="1" t="s">
        <v>54</v>
      </c>
      <c r="F730" s="1" t="s">
        <v>37</v>
      </c>
      <c r="G730" s="1" t="s">
        <v>4696</v>
      </c>
      <c r="H730" s="1">
        <v>4</v>
      </c>
      <c r="I730" s="1" t="s">
        <v>85</v>
      </c>
      <c r="J730" s="1">
        <v>12</v>
      </c>
      <c r="K730" s="1" t="s">
        <v>49</v>
      </c>
      <c r="L730" s="1">
        <v>35</v>
      </c>
      <c r="M730" s="1" t="str">
        <f>IF(L730&lt;=45,"Joven","Mayor")</f>
        <v>Joven</v>
      </c>
      <c r="N730" s="1">
        <v>35</v>
      </c>
      <c r="O730" s="1" t="s">
        <v>50</v>
      </c>
      <c r="P730" s="1">
        <v>0.36</v>
      </c>
      <c r="Q730" s="1">
        <v>91.328000000000003</v>
      </c>
      <c r="R730" s="1">
        <v>0.45487179999999999</v>
      </c>
      <c r="S730" s="1">
        <v>10.779894000000001</v>
      </c>
      <c r="T730" s="1">
        <v>-4.7798769999999999</v>
      </c>
      <c r="U730" s="1">
        <v>54.155000000000001</v>
      </c>
      <c r="V730" s="1">
        <v>110</v>
      </c>
      <c r="W730" s="1">
        <v>178</v>
      </c>
      <c r="X730" s="1">
        <v>1.6181818181818182</v>
      </c>
      <c r="Y730" s="1">
        <v>117</v>
      </c>
      <c r="Z730" s="1">
        <v>178</v>
      </c>
      <c r="AA730" s="1">
        <v>1.5213675213675213</v>
      </c>
      <c r="AB730" s="1">
        <v>114.4504562402458</v>
      </c>
      <c r="AC730" s="1">
        <v>178.21422777086309</v>
      </c>
      <c r="AD730" s="1">
        <v>1.5571299025385199</v>
      </c>
      <c r="AE730" t="s">
        <v>4815</v>
      </c>
      <c r="AF730" t="str">
        <f>IF(X730&lt;$AF$1,"Bajo","Alto")</f>
        <v>Bajo</v>
      </c>
      <c r="AG730" t="str">
        <f>LEFT(AE730,1)</f>
        <v>I</v>
      </c>
      <c r="AH730" t="str">
        <f>K730</f>
        <v>F</v>
      </c>
      <c r="AI730" t="str">
        <f>LEFT(AF730,1)</f>
        <v>B</v>
      </c>
      <c r="AJ730" t="str">
        <f>LEFT(M730,1)</f>
        <v>J</v>
      </c>
      <c r="AK730" t="str">
        <f>_xlfn.CONCAT(AG730,AH730,AI730,AJ730)</f>
        <v>IFBJ</v>
      </c>
    </row>
    <row r="731" spans="1:37" ht="15.75" hidden="1" customHeight="1" x14ac:dyDescent="0.2">
      <c r="A731" s="1">
        <v>2910307</v>
      </c>
      <c r="B731" s="1" t="s">
        <v>3890</v>
      </c>
      <c r="C731" s="1" t="s">
        <v>1695</v>
      </c>
      <c r="D731" s="1" t="s">
        <v>3922</v>
      </c>
      <c r="E731" s="1" t="s">
        <v>81</v>
      </c>
      <c r="F731" s="1" t="s">
        <v>43</v>
      </c>
      <c r="G731" s="1" t="s">
        <v>3926</v>
      </c>
      <c r="H731" s="1">
        <v>3053</v>
      </c>
      <c r="I731" s="1" t="s">
        <v>134</v>
      </c>
      <c r="J731" s="1">
        <v>8</v>
      </c>
      <c r="K731" s="1" t="s">
        <v>35</v>
      </c>
      <c r="L731" s="1">
        <v>43</v>
      </c>
      <c r="M731" s="1" t="str">
        <f>IF(L731&lt;=45,"Joven","Mayor")</f>
        <v>Joven</v>
      </c>
      <c r="N731" s="1">
        <v>36</v>
      </c>
      <c r="O731" s="1" t="s">
        <v>36</v>
      </c>
      <c r="P731" s="1">
        <v>0.40500000000000003</v>
      </c>
      <c r="Q731" s="1">
        <v>93.385000000000005</v>
      </c>
      <c r="R731" s="1">
        <v>-2.6525218000000002</v>
      </c>
      <c r="S731" s="1">
        <v>0.83442455999999998</v>
      </c>
      <c r="T731" s="1">
        <v>2.0557596999999999</v>
      </c>
      <c r="U731" s="1">
        <v>3.3380000000000001</v>
      </c>
      <c r="V731" s="1">
        <v>110</v>
      </c>
      <c r="W731" s="1">
        <v>180</v>
      </c>
      <c r="X731" s="1">
        <v>1.6363636363636365</v>
      </c>
      <c r="Y731" s="1">
        <v>114</v>
      </c>
      <c r="Z731" s="1">
        <v>180</v>
      </c>
      <c r="AA731" s="1">
        <v>1.5789473684210527</v>
      </c>
      <c r="AB731" s="1">
        <v>112.09715249536499</v>
      </c>
      <c r="AC731" s="1">
        <v>180.0276384938816</v>
      </c>
      <c r="AD731" s="1">
        <v>1.6059965350263952</v>
      </c>
      <c r="AE731" t="s">
        <v>4817</v>
      </c>
      <c r="AF731" t="str">
        <f>IF(X731&lt;$AF$1,"Bajo","Alto")</f>
        <v>Bajo</v>
      </c>
      <c r="AG731" t="str">
        <f>LEFT(AE731,1)</f>
        <v>C</v>
      </c>
      <c r="AH731" t="str">
        <f>K731</f>
        <v>M</v>
      </c>
      <c r="AI731" t="str">
        <f>LEFT(AF731,1)</f>
        <v>B</v>
      </c>
      <c r="AJ731" t="str">
        <f>LEFT(M731,1)</f>
        <v>J</v>
      </c>
      <c r="AK731" t="str">
        <f>_xlfn.CONCAT(AG731,AH731,AI731,AJ731)</f>
        <v>CMBJ</v>
      </c>
    </row>
    <row r="732" spans="1:37" ht="15.75" hidden="1" customHeight="1" x14ac:dyDescent="0.2">
      <c r="A732" s="1">
        <v>1052204</v>
      </c>
      <c r="B732" s="1" t="s">
        <v>694</v>
      </c>
      <c r="C732" s="1" t="s">
        <v>879</v>
      </c>
      <c r="D732" s="1" t="s">
        <v>962</v>
      </c>
      <c r="E732" s="1" t="s">
        <v>418</v>
      </c>
      <c r="F732" s="1" t="s">
        <v>61</v>
      </c>
      <c r="G732" s="1" t="s">
        <v>964</v>
      </c>
      <c r="H732" s="1">
        <v>816</v>
      </c>
      <c r="I732" s="1" t="s">
        <v>48</v>
      </c>
      <c r="J732" s="1">
        <v>4</v>
      </c>
      <c r="K732" s="1" t="s">
        <v>49</v>
      </c>
      <c r="L732" s="1">
        <v>50</v>
      </c>
      <c r="M732" s="1" t="str">
        <f>IF(L732&lt;=45,"Joven","Mayor")</f>
        <v>Mayor</v>
      </c>
      <c r="N732" s="1">
        <v>51</v>
      </c>
      <c r="O732" s="1" t="s">
        <v>50</v>
      </c>
      <c r="P732" s="1">
        <v>0.36</v>
      </c>
      <c r="Q732" s="1">
        <v>93.197000000000003</v>
      </c>
      <c r="R732" s="1">
        <v>2.9955756999999998</v>
      </c>
      <c r="S732" s="1">
        <v>0.61234266000000004</v>
      </c>
      <c r="T732" s="1">
        <v>0.54027820000000004</v>
      </c>
      <c r="U732" s="1">
        <v>10.14</v>
      </c>
      <c r="V732" s="1">
        <v>91</v>
      </c>
      <c r="W732" s="1">
        <v>146</v>
      </c>
      <c r="X732" s="1">
        <v>1.6043956043956045</v>
      </c>
      <c r="Y732" s="1">
        <v>97</v>
      </c>
      <c r="Z732" s="1">
        <v>146</v>
      </c>
      <c r="AA732" s="1">
        <v>1.5051546391752577</v>
      </c>
      <c r="AB732" s="1">
        <v>96.675084722975726</v>
      </c>
      <c r="AC732" s="1">
        <v>146.09723346598</v>
      </c>
      <c r="AD732" s="1">
        <v>1.5112190890199306</v>
      </c>
      <c r="AE732" t="s">
        <v>4817</v>
      </c>
      <c r="AF732" t="str">
        <f>IF(X732&lt;$AF$1,"Bajo","Alto")</f>
        <v>Bajo</v>
      </c>
      <c r="AG732" t="str">
        <f>LEFT(AE732,1)</f>
        <v>C</v>
      </c>
      <c r="AH732" t="str">
        <f>K732</f>
        <v>F</v>
      </c>
      <c r="AI732" t="str">
        <f>LEFT(AF732,1)</f>
        <v>B</v>
      </c>
      <c r="AJ732" t="str">
        <f>LEFT(M732,1)</f>
        <v>M</v>
      </c>
      <c r="AK732" t="str">
        <f>_xlfn.CONCAT(AG732,AH732,AI732,AJ732)</f>
        <v>CFBM</v>
      </c>
    </row>
    <row r="733" spans="1:37" ht="15.75" hidden="1" customHeight="1" x14ac:dyDescent="0.2">
      <c r="A733" s="1">
        <v>193703</v>
      </c>
      <c r="B733" s="1" t="s">
        <v>2656</v>
      </c>
      <c r="C733" s="1" t="s">
        <v>323</v>
      </c>
      <c r="D733" s="1" t="s">
        <v>2708</v>
      </c>
      <c r="E733" s="1" t="s">
        <v>647</v>
      </c>
      <c r="F733" s="1" t="s">
        <v>63</v>
      </c>
      <c r="G733" s="1" t="s">
        <v>2711</v>
      </c>
      <c r="H733" s="1">
        <v>3172</v>
      </c>
      <c r="I733" s="1" t="s">
        <v>108</v>
      </c>
      <c r="J733" s="1">
        <v>3</v>
      </c>
      <c r="K733" s="1" t="s">
        <v>49</v>
      </c>
      <c r="L733" s="1">
        <v>59</v>
      </c>
      <c r="M733" s="1" t="str">
        <f>IF(L733&lt;=45,"Joven","Mayor")</f>
        <v>Mayor</v>
      </c>
      <c r="N733" s="1">
        <v>54</v>
      </c>
      <c r="O733" s="1" t="s">
        <v>50</v>
      </c>
      <c r="P733" s="1">
        <v>0.35499999999999998</v>
      </c>
      <c r="Q733" s="1">
        <v>91.494</v>
      </c>
      <c r="R733" s="1">
        <v>-3.5508232</v>
      </c>
      <c r="S733" s="1">
        <v>5.3155774999999998</v>
      </c>
      <c r="T733" s="1">
        <v>12.153487999999999</v>
      </c>
      <c r="U733" s="1">
        <v>54.671999999999997</v>
      </c>
      <c r="V733" s="1">
        <v>74</v>
      </c>
      <c r="W733" s="1">
        <v>144</v>
      </c>
      <c r="X733" s="1">
        <v>1.9459459459459461</v>
      </c>
      <c r="Y733" s="1">
        <v>88</v>
      </c>
      <c r="Z733" s="1">
        <v>144</v>
      </c>
      <c r="AA733" s="1">
        <v>1.6363636363636365</v>
      </c>
      <c r="AB733" s="1">
        <v>83.289073294405853</v>
      </c>
      <c r="AC733" s="1">
        <v>145.82529626741919</v>
      </c>
      <c r="AD733" s="1">
        <v>1.750833458693478</v>
      </c>
      <c r="AE733" t="s">
        <v>4817</v>
      </c>
      <c r="AF733" t="str">
        <f>IF(X733&lt;$AF$1,"Bajo","Alto")</f>
        <v>Alto</v>
      </c>
      <c r="AG733" t="str">
        <f>LEFT(AE733,1)</f>
        <v>C</v>
      </c>
      <c r="AH733" t="str">
        <f>K733</f>
        <v>F</v>
      </c>
      <c r="AI733" t="str">
        <f>LEFT(AF733,1)</f>
        <v>A</v>
      </c>
      <c r="AJ733" t="str">
        <f>LEFT(M733,1)</f>
        <v>M</v>
      </c>
      <c r="AK733" t="str">
        <f>_xlfn.CONCAT(AG733,AH733,AI733,AJ733)</f>
        <v>CFAM</v>
      </c>
    </row>
    <row r="734" spans="1:37" ht="15.75" hidden="1" customHeight="1" x14ac:dyDescent="0.2">
      <c r="A734" s="1">
        <v>10731001</v>
      </c>
      <c r="B734" s="1" t="s">
        <v>1067</v>
      </c>
      <c r="C734" s="1" t="s">
        <v>1068</v>
      </c>
      <c r="D734" s="1" t="s">
        <v>1381</v>
      </c>
      <c r="E734" s="1" t="s">
        <v>1382</v>
      </c>
      <c r="F734" s="1" t="s">
        <v>32</v>
      </c>
      <c r="G734" s="1" t="s">
        <v>1383</v>
      </c>
      <c r="H734" s="1">
        <v>962</v>
      </c>
      <c r="I734" s="1" t="s">
        <v>85</v>
      </c>
      <c r="J734" s="1">
        <v>12</v>
      </c>
      <c r="K734" s="1" t="s">
        <v>35</v>
      </c>
      <c r="L734" s="1">
        <v>36</v>
      </c>
      <c r="M734" s="1" t="str">
        <f>IF(L734&lt;=45,"Joven","Mayor")</f>
        <v>Joven</v>
      </c>
      <c r="N734" s="1">
        <v>39</v>
      </c>
      <c r="O734" s="1" t="s">
        <v>36</v>
      </c>
      <c r="P734" s="1">
        <v>0.35099999999999998</v>
      </c>
      <c r="Q734" s="1">
        <v>92.131</v>
      </c>
      <c r="R734" s="1">
        <v>2.7283642000000001</v>
      </c>
      <c r="S734" s="1">
        <v>5.5066319999999997</v>
      </c>
      <c r="T734" s="1">
        <v>-1.9377791</v>
      </c>
      <c r="U734" s="1">
        <v>5.44</v>
      </c>
      <c r="V734" s="1">
        <v>103</v>
      </c>
      <c r="W734" s="1">
        <v>165</v>
      </c>
      <c r="X734" s="1">
        <v>1.6019417475728155</v>
      </c>
      <c r="Y734" s="1">
        <v>106</v>
      </c>
      <c r="Z734" s="1">
        <v>165</v>
      </c>
      <c r="AA734" s="1">
        <v>1.5566037735849056</v>
      </c>
      <c r="AB734" s="1">
        <v>107.3257638494149</v>
      </c>
      <c r="AC734" s="1">
        <v>164.87182845296141</v>
      </c>
      <c r="AD734" s="1">
        <v>1.5361812722273043</v>
      </c>
      <c r="AE734" t="s">
        <v>4815</v>
      </c>
      <c r="AF734" t="str">
        <f>IF(X734&lt;$AF$1,"Bajo","Alto")</f>
        <v>Bajo</v>
      </c>
      <c r="AG734" t="str">
        <f>LEFT(AE734,1)</f>
        <v>I</v>
      </c>
      <c r="AH734" t="str">
        <f>K734</f>
        <v>M</v>
      </c>
      <c r="AI734" t="str">
        <f>LEFT(AF734,1)</f>
        <v>B</v>
      </c>
      <c r="AJ734" t="str">
        <f>LEFT(M734,1)</f>
        <v>J</v>
      </c>
      <c r="AK734" t="str">
        <f>_xlfn.CONCAT(AG734,AH734,AI734,AJ734)</f>
        <v>IMBJ</v>
      </c>
    </row>
    <row r="735" spans="1:37" ht="15.75" hidden="1" customHeight="1" x14ac:dyDescent="0.2">
      <c r="A735" s="1">
        <v>10110901</v>
      </c>
      <c r="B735" s="1" t="s">
        <v>29</v>
      </c>
      <c r="C735" s="1" t="s">
        <v>30</v>
      </c>
      <c r="D735" s="1" t="s">
        <v>97</v>
      </c>
      <c r="E735" s="1" t="s">
        <v>98</v>
      </c>
      <c r="F735" s="1" t="s">
        <v>32</v>
      </c>
      <c r="G735" s="1" t="s">
        <v>99</v>
      </c>
      <c r="H735" s="1">
        <v>2881</v>
      </c>
      <c r="I735" s="1" t="s">
        <v>100</v>
      </c>
      <c r="J735" s="1">
        <v>1</v>
      </c>
      <c r="K735" s="1" t="s">
        <v>35</v>
      </c>
      <c r="L735" s="1">
        <v>31</v>
      </c>
      <c r="M735" s="1" t="str">
        <f>IF(L735&lt;=45,"Joven","Mayor")</f>
        <v>Joven</v>
      </c>
      <c r="N735" s="1">
        <v>24</v>
      </c>
      <c r="O735" s="1" t="s">
        <v>36</v>
      </c>
      <c r="P735" s="1">
        <v>0.42</v>
      </c>
      <c r="Q735" s="1">
        <v>91.751000000000005</v>
      </c>
      <c r="R735" s="1">
        <v>-4.3047414000000002</v>
      </c>
      <c r="S735" s="1">
        <v>2.1120226</v>
      </c>
      <c r="T735" s="1">
        <v>0.50739520000000005</v>
      </c>
      <c r="U735" s="1">
        <v>56.570999999999998</v>
      </c>
      <c r="V735" s="1">
        <v>71</v>
      </c>
      <c r="W735" s="1">
        <v>137</v>
      </c>
      <c r="X735" s="1">
        <v>1.9295774647887325</v>
      </c>
      <c r="Y735" s="1">
        <v>73</v>
      </c>
      <c r="Z735" s="1">
        <v>137</v>
      </c>
      <c r="AA735" s="1">
        <v>1.8767123287671232</v>
      </c>
      <c r="AB735" s="1">
        <v>72.634057907812121</v>
      </c>
      <c r="AC735" s="1">
        <v>136.96806120692739</v>
      </c>
      <c r="AD735" s="1">
        <v>1.8857277860032085</v>
      </c>
      <c r="AE735" t="s">
        <v>4817</v>
      </c>
      <c r="AF735" t="str">
        <f>IF(X735&lt;$AF$1,"Bajo","Alto")</f>
        <v>Alto</v>
      </c>
      <c r="AG735" t="str">
        <f>LEFT(AE735,1)</f>
        <v>C</v>
      </c>
      <c r="AH735" t="str">
        <f>K735</f>
        <v>M</v>
      </c>
      <c r="AI735" t="str">
        <f>LEFT(AF735,1)</f>
        <v>A</v>
      </c>
      <c r="AJ735" t="str">
        <f>LEFT(M735,1)</f>
        <v>J</v>
      </c>
      <c r="AK735" t="str">
        <f>_xlfn.CONCAT(AG735,AH735,AI735,AJ735)</f>
        <v>CMAJ</v>
      </c>
    </row>
    <row r="736" spans="1:37" ht="15.75" hidden="1" customHeight="1" x14ac:dyDescent="0.2">
      <c r="A736" s="1">
        <v>294603</v>
      </c>
      <c r="B736" s="1" t="s">
        <v>3890</v>
      </c>
      <c r="C736" s="1" t="s">
        <v>1695</v>
      </c>
      <c r="D736" s="1" t="s">
        <v>4017</v>
      </c>
      <c r="E736" s="1" t="s">
        <v>669</v>
      </c>
      <c r="F736" s="1" t="s">
        <v>63</v>
      </c>
      <c r="G736" s="1" t="s">
        <v>4018</v>
      </c>
      <c r="H736" s="1">
        <v>46</v>
      </c>
      <c r="I736" s="1" t="s">
        <v>42</v>
      </c>
      <c r="J736" s="1">
        <v>15</v>
      </c>
      <c r="K736" s="1" t="s">
        <v>35</v>
      </c>
      <c r="L736" s="1">
        <v>63</v>
      </c>
      <c r="M736" s="1" t="str">
        <f>IF(L736&lt;=45,"Joven","Mayor")</f>
        <v>Mayor</v>
      </c>
      <c r="N736" s="1">
        <v>65</v>
      </c>
      <c r="O736" s="1" t="s">
        <v>36</v>
      </c>
      <c r="P736" s="1">
        <v>0.36099999999999999</v>
      </c>
      <c r="Q736" s="1">
        <v>92.747</v>
      </c>
      <c r="R736" s="1">
        <v>3.3839511999999998</v>
      </c>
      <c r="S736" s="1">
        <v>1.3929887999999999</v>
      </c>
      <c r="T736" s="1">
        <v>0.16759123000000001</v>
      </c>
      <c r="U736" s="1">
        <v>19.469000000000001</v>
      </c>
      <c r="V736" s="1">
        <v>98</v>
      </c>
      <c r="W736" s="1">
        <v>157</v>
      </c>
      <c r="X736" s="1">
        <v>1.6020408163265305</v>
      </c>
      <c r="Y736" s="1">
        <v>104</v>
      </c>
      <c r="Z736" s="1">
        <v>157</v>
      </c>
      <c r="AA736" s="1">
        <v>1.5096153846153846</v>
      </c>
      <c r="AB736" s="1">
        <v>103.8854795330992</v>
      </c>
      <c r="AC736" s="1">
        <v>157.00810341907069</v>
      </c>
      <c r="AD736" s="1">
        <v>1.5113575460663486</v>
      </c>
      <c r="AE736" t="s">
        <v>4817</v>
      </c>
      <c r="AF736" t="str">
        <f>IF(X736&lt;$AF$1,"Bajo","Alto")</f>
        <v>Bajo</v>
      </c>
      <c r="AG736" t="str">
        <f>LEFT(AE736,1)</f>
        <v>C</v>
      </c>
      <c r="AH736" t="str">
        <f>K736</f>
        <v>M</v>
      </c>
      <c r="AI736" t="str">
        <f>LEFT(AF736,1)</f>
        <v>B</v>
      </c>
      <c r="AJ736" t="str">
        <f>LEFT(M736,1)</f>
        <v>M</v>
      </c>
      <c r="AK736" t="str">
        <f>_xlfn.CONCAT(AG736,AH736,AI736,AJ736)</f>
        <v>CMBM</v>
      </c>
    </row>
    <row r="737" spans="1:37" ht="15.75" hidden="1" customHeight="1" x14ac:dyDescent="0.2">
      <c r="A737" s="1">
        <v>297302</v>
      </c>
      <c r="B737" s="1" t="s">
        <v>3890</v>
      </c>
      <c r="C737" s="1" t="s">
        <v>1695</v>
      </c>
      <c r="D737" s="1" t="s">
        <v>4055</v>
      </c>
      <c r="E737" s="1" t="s">
        <v>1021</v>
      </c>
      <c r="F737" s="1" t="s">
        <v>37</v>
      </c>
      <c r="G737" s="1" t="s">
        <v>4057</v>
      </c>
      <c r="H737" s="1">
        <v>469</v>
      </c>
      <c r="I737" s="1" t="s">
        <v>39</v>
      </c>
      <c r="J737" s="1">
        <v>11</v>
      </c>
      <c r="K737" s="1" t="s">
        <v>35</v>
      </c>
      <c r="L737" s="1">
        <v>56</v>
      </c>
      <c r="M737" s="1" t="str">
        <f>IF(L737&lt;=45,"Joven","Mayor")</f>
        <v>Mayor</v>
      </c>
      <c r="N737" s="1">
        <v>57</v>
      </c>
      <c r="O737" s="1" t="s">
        <v>36</v>
      </c>
      <c r="P737" s="1">
        <v>0.34899999999999998</v>
      </c>
      <c r="Q737" s="1">
        <v>90.638000000000005</v>
      </c>
      <c r="R737" s="1">
        <v>5.3374940000000004</v>
      </c>
      <c r="S737" s="1">
        <v>2.2093305999999999</v>
      </c>
      <c r="T737" s="1">
        <v>2.3417730000000001E-2</v>
      </c>
      <c r="U737" s="1">
        <v>1.2470000000000001</v>
      </c>
      <c r="V737" s="1">
        <v>99</v>
      </c>
      <c r="W737" s="1">
        <v>160</v>
      </c>
      <c r="X737" s="1">
        <v>1.6161616161616161</v>
      </c>
      <c r="Y737" s="1">
        <v>100</v>
      </c>
      <c r="Z737" s="1">
        <v>160</v>
      </c>
      <c r="AA737" s="1">
        <v>1.6</v>
      </c>
      <c r="AB737" s="1">
        <v>99.984869137764463</v>
      </c>
      <c r="AC737" s="1">
        <v>160.00407380087111</v>
      </c>
      <c r="AD737" s="1">
        <v>1.6002828746058466</v>
      </c>
      <c r="AE737" t="s">
        <v>4816</v>
      </c>
      <c r="AF737" t="str">
        <f>IF(X737&lt;$AF$1,"Bajo","Alto")</f>
        <v>Bajo</v>
      </c>
      <c r="AG737" t="str">
        <f>LEFT(AE737,1)</f>
        <v>D</v>
      </c>
      <c r="AH737" t="str">
        <f>K737</f>
        <v>M</v>
      </c>
      <c r="AI737" t="str">
        <f>LEFT(AF737,1)</f>
        <v>B</v>
      </c>
      <c r="AJ737" t="str">
        <f>LEFT(M737,1)</f>
        <v>M</v>
      </c>
      <c r="AK737" t="str">
        <f>_xlfn.CONCAT(AG737,AH737,AI737,AJ737)</f>
        <v>DMBM</v>
      </c>
    </row>
    <row r="738" spans="1:37" ht="15.75" hidden="1" customHeight="1" x14ac:dyDescent="0.2">
      <c r="A738" s="1">
        <v>276701</v>
      </c>
      <c r="B738" s="1" t="s">
        <v>3409</v>
      </c>
      <c r="C738" s="1" t="s">
        <v>973</v>
      </c>
      <c r="D738" s="1" t="s">
        <v>1977</v>
      </c>
      <c r="E738" s="1" t="s">
        <v>715</v>
      </c>
      <c r="F738" s="1" t="s">
        <v>32</v>
      </c>
      <c r="G738" s="1" t="s">
        <v>3705</v>
      </c>
      <c r="H738" s="1">
        <v>661</v>
      </c>
      <c r="I738" s="1" t="s">
        <v>100</v>
      </c>
      <c r="J738" s="1">
        <v>1</v>
      </c>
      <c r="K738" s="1" t="s">
        <v>35</v>
      </c>
      <c r="L738" s="1">
        <v>44</v>
      </c>
      <c r="M738" s="1" t="str">
        <f>IF(L738&lt;=45,"Joven","Mayor")</f>
        <v>Joven</v>
      </c>
      <c r="N738" s="1">
        <v>52</v>
      </c>
      <c r="O738" s="1" t="s">
        <v>36</v>
      </c>
      <c r="P738" s="1">
        <v>0.313</v>
      </c>
      <c r="Q738" s="1">
        <v>85.927999999999997</v>
      </c>
      <c r="R738" s="1">
        <v>6.1281796000000002</v>
      </c>
      <c r="S738" s="1">
        <v>9.4188349999999996</v>
      </c>
      <c r="T738" s="1">
        <v>-1.0076357</v>
      </c>
      <c r="U738" s="1">
        <v>1.964</v>
      </c>
      <c r="V738" s="1">
        <v>124</v>
      </c>
      <c r="W738" s="1">
        <v>203</v>
      </c>
      <c r="X738" s="1">
        <v>1.6370967741935485</v>
      </c>
      <c r="Y738" s="1">
        <v>125</v>
      </c>
      <c r="Z738" s="1">
        <v>203</v>
      </c>
      <c r="AA738" s="1">
        <v>1.6240000000000001</v>
      </c>
      <c r="AB738" s="1">
        <v>125.9830523366943</v>
      </c>
      <c r="AC738" s="1">
        <v>203.02136512923789</v>
      </c>
      <c r="AD738" s="1">
        <v>1.6114974305167324</v>
      </c>
      <c r="AE738" t="s">
        <v>4817</v>
      </c>
      <c r="AF738" t="str">
        <f>IF(X738&lt;$AF$1,"Bajo","Alto")</f>
        <v>Bajo</v>
      </c>
      <c r="AG738" t="str">
        <f>LEFT(AE738,1)</f>
        <v>C</v>
      </c>
      <c r="AH738" t="str">
        <f>K738</f>
        <v>M</v>
      </c>
      <c r="AI738" t="str">
        <f>LEFT(AF738,1)</f>
        <v>B</v>
      </c>
      <c r="AJ738" t="str">
        <f>LEFT(M738,1)</f>
        <v>J</v>
      </c>
      <c r="AK738" t="str">
        <f>_xlfn.CONCAT(AG738,AH738,AI738,AJ738)</f>
        <v>CMBJ</v>
      </c>
    </row>
    <row r="739" spans="1:37" ht="15.75" hidden="1" customHeight="1" x14ac:dyDescent="0.2">
      <c r="A739" s="1">
        <v>10728202</v>
      </c>
      <c r="B739" s="1" t="s">
        <v>1067</v>
      </c>
      <c r="C739" s="1" t="s">
        <v>1068</v>
      </c>
      <c r="D739" s="1" t="s">
        <v>1344</v>
      </c>
      <c r="E739" s="1" t="s">
        <v>565</v>
      </c>
      <c r="F739" s="1" t="s">
        <v>37</v>
      </c>
      <c r="G739" s="1" t="s">
        <v>1346</v>
      </c>
      <c r="H739" s="1">
        <v>3429</v>
      </c>
      <c r="I739" s="1" t="s">
        <v>134</v>
      </c>
      <c r="J739" s="1">
        <v>8</v>
      </c>
      <c r="K739" s="1" t="s">
        <v>35</v>
      </c>
      <c r="L739" s="1">
        <v>41</v>
      </c>
      <c r="M739" s="1" t="str">
        <f>IF(L739&lt;=45,"Joven","Mayor")</f>
        <v>Joven</v>
      </c>
      <c r="N739" s="1">
        <v>53</v>
      </c>
      <c r="O739" s="1" t="s">
        <v>36</v>
      </c>
      <c r="P739" s="1">
        <v>0.32600000000000001</v>
      </c>
      <c r="Q739" s="1">
        <v>91.001999999999995</v>
      </c>
      <c r="R739" s="1">
        <v>4.5057260000000001</v>
      </c>
      <c r="S739" s="1">
        <v>-4.0537853000000004</v>
      </c>
      <c r="T739" s="1">
        <v>-3.7542431000000001</v>
      </c>
      <c r="U739" s="1">
        <v>0.89900000000000002</v>
      </c>
      <c r="V739" s="1">
        <v>80</v>
      </c>
      <c r="W739" s="1">
        <v>131</v>
      </c>
      <c r="X739" s="1">
        <v>1.6375</v>
      </c>
      <c r="Y739" s="1">
        <v>80</v>
      </c>
      <c r="Z739" s="1">
        <v>131</v>
      </c>
      <c r="AA739" s="1">
        <v>1.6375</v>
      </c>
      <c r="AB739" s="1">
        <v>82.185499116346818</v>
      </c>
      <c r="AC739" s="1">
        <v>130.7188840875115</v>
      </c>
      <c r="AD739" s="1">
        <v>1.5905346501875939</v>
      </c>
      <c r="AE739" t="s">
        <v>4817</v>
      </c>
      <c r="AF739" t="str">
        <f>IF(X739&lt;$AF$1,"Bajo","Alto")</f>
        <v>Bajo</v>
      </c>
      <c r="AG739" t="str">
        <f>LEFT(AE739,1)</f>
        <v>C</v>
      </c>
      <c r="AH739" t="str">
        <f>K739</f>
        <v>M</v>
      </c>
      <c r="AI739" t="str">
        <f>LEFT(AF739,1)</f>
        <v>B</v>
      </c>
      <c r="AJ739" t="str">
        <f>LEFT(M739,1)</f>
        <v>J</v>
      </c>
      <c r="AK739" t="str">
        <f>_xlfn.CONCAT(AG739,AH739,AI739,AJ739)</f>
        <v>CMBJ</v>
      </c>
    </row>
    <row r="740" spans="1:37" ht="15.75" hidden="1" customHeight="1" x14ac:dyDescent="0.2">
      <c r="A740" s="1">
        <v>1015804</v>
      </c>
      <c r="B740" s="1" t="s">
        <v>29</v>
      </c>
      <c r="C740" s="1" t="s">
        <v>30</v>
      </c>
      <c r="D740" s="1" t="s">
        <v>694</v>
      </c>
      <c r="E740" s="1" t="s">
        <v>695</v>
      </c>
      <c r="F740" s="1" t="s">
        <v>61</v>
      </c>
      <c r="G740" s="1" t="s">
        <v>698</v>
      </c>
      <c r="H740" s="1">
        <v>3110</v>
      </c>
      <c r="I740" s="1" t="s">
        <v>699</v>
      </c>
      <c r="J740" s="1">
        <v>3025</v>
      </c>
      <c r="K740" s="1" t="s">
        <v>35</v>
      </c>
      <c r="L740" s="1">
        <v>52</v>
      </c>
      <c r="M740" s="1" t="str">
        <f>IF(L740&lt;=45,"Joven","Mayor")</f>
        <v>Mayor</v>
      </c>
      <c r="N740" s="1">
        <v>62</v>
      </c>
      <c r="O740" s="1" t="s">
        <v>36</v>
      </c>
      <c r="P740" s="1">
        <v>0.378</v>
      </c>
      <c r="Q740" s="1">
        <v>88.906999999999996</v>
      </c>
      <c r="R740" s="1">
        <v>6.9534440000000002</v>
      </c>
      <c r="S740" s="1">
        <v>0.42561130000000003</v>
      </c>
      <c r="T740" s="1">
        <v>-2.5863081999999999</v>
      </c>
      <c r="U740" s="1">
        <v>1.869</v>
      </c>
      <c r="V740" s="1">
        <v>124</v>
      </c>
      <c r="W740" s="1">
        <v>200</v>
      </c>
      <c r="X740" s="1">
        <v>1.6129032258064515</v>
      </c>
      <c r="Y740" s="1">
        <v>124</v>
      </c>
      <c r="Z740" s="1">
        <v>200</v>
      </c>
      <c r="AA740" s="1">
        <v>1.6129032258064515</v>
      </c>
      <c r="AB740" s="1">
        <v>126.31040166465711</v>
      </c>
      <c r="AC740" s="1">
        <v>199.75115203898389</v>
      </c>
      <c r="AD740" s="1">
        <v>1.58143074051261</v>
      </c>
      <c r="AE740" t="s">
        <v>4815</v>
      </c>
      <c r="AF740" t="str">
        <f>IF(X740&lt;$AF$1,"Bajo","Alto")</f>
        <v>Bajo</v>
      </c>
      <c r="AG740" t="str">
        <f>LEFT(AE740,1)</f>
        <v>I</v>
      </c>
      <c r="AH740" t="str">
        <f>K740</f>
        <v>M</v>
      </c>
      <c r="AI740" t="str">
        <f>LEFT(AF740,1)</f>
        <v>B</v>
      </c>
      <c r="AJ740" t="str">
        <f>LEFT(M740,1)</f>
        <v>M</v>
      </c>
      <c r="AK740" t="str">
        <f>_xlfn.CONCAT(AG740,AH740,AI740,AJ740)</f>
        <v>IMBM</v>
      </c>
    </row>
    <row r="741" spans="1:37" ht="15.75" hidden="1" customHeight="1" x14ac:dyDescent="0.2">
      <c r="A741" s="1">
        <v>10731102</v>
      </c>
      <c r="B741" s="1" t="s">
        <v>1067</v>
      </c>
      <c r="C741" s="1" t="s">
        <v>1068</v>
      </c>
      <c r="D741" s="1" t="s">
        <v>1389</v>
      </c>
      <c r="E741" s="1" t="s">
        <v>1390</v>
      </c>
      <c r="F741" s="1" t="s">
        <v>37</v>
      </c>
      <c r="G741" s="1" t="s">
        <v>1392</v>
      </c>
      <c r="H741" s="1">
        <v>1364</v>
      </c>
      <c r="I741" s="1" t="s">
        <v>1393</v>
      </c>
      <c r="J741" s="1">
        <v>3250</v>
      </c>
      <c r="K741" s="1" t="s">
        <v>35</v>
      </c>
      <c r="L741" s="1">
        <v>35</v>
      </c>
      <c r="M741" s="1" t="str">
        <f>IF(L741&lt;=45,"Joven","Mayor")</f>
        <v>Joven</v>
      </c>
      <c r="N741" s="1">
        <v>41</v>
      </c>
      <c r="O741" s="1" t="s">
        <v>36</v>
      </c>
      <c r="P741" s="1">
        <v>0.222</v>
      </c>
      <c r="Q741" s="1">
        <v>91.929000000000002</v>
      </c>
      <c r="R741" s="1">
        <v>4.4124327000000001</v>
      </c>
      <c r="S741" s="1">
        <v>1.1991388000000001</v>
      </c>
      <c r="T741" s="1">
        <v>-6.7696139999999998</v>
      </c>
      <c r="U741" s="1">
        <v>0.88200000000000001</v>
      </c>
      <c r="V741" s="1">
        <v>89</v>
      </c>
      <c r="W741" s="1">
        <v>146</v>
      </c>
      <c r="X741" s="1">
        <v>1.6404494382022472</v>
      </c>
      <c r="Y741" s="1">
        <v>91</v>
      </c>
      <c r="Z741" s="1">
        <v>146</v>
      </c>
      <c r="AA741" s="1">
        <v>1.6043956043956045</v>
      </c>
      <c r="AB741" s="1">
        <v>92.858845616535291</v>
      </c>
      <c r="AC741" s="1">
        <v>145.21786639212999</v>
      </c>
      <c r="AD741" s="1">
        <v>1.5638560379246322</v>
      </c>
      <c r="AE741" t="s">
        <v>4817</v>
      </c>
      <c r="AF741" t="str">
        <f>IF(X741&lt;$AF$1,"Bajo","Alto")</f>
        <v>Bajo</v>
      </c>
      <c r="AG741" t="str">
        <f>LEFT(AE741,1)</f>
        <v>C</v>
      </c>
      <c r="AH741" t="str">
        <f>K741</f>
        <v>M</v>
      </c>
      <c r="AI741" t="str">
        <f>LEFT(AF741,1)</f>
        <v>B</v>
      </c>
      <c r="AJ741" t="str">
        <f>LEFT(M741,1)</f>
        <v>J</v>
      </c>
      <c r="AK741" t="str">
        <f>_xlfn.CONCAT(AG741,AH741,AI741,AJ741)</f>
        <v>CMBJ</v>
      </c>
    </row>
    <row r="742" spans="1:37" ht="15.75" hidden="1" customHeight="1" x14ac:dyDescent="0.2">
      <c r="A742" s="1">
        <v>1051407</v>
      </c>
      <c r="B742" s="1" t="s">
        <v>694</v>
      </c>
      <c r="C742" s="1" t="s">
        <v>879</v>
      </c>
      <c r="D742" s="1" t="s">
        <v>946</v>
      </c>
      <c r="E742" s="1" t="s">
        <v>947</v>
      </c>
      <c r="F742" s="1" t="s">
        <v>43</v>
      </c>
      <c r="G742" s="1" t="s">
        <v>951</v>
      </c>
      <c r="H742" s="1">
        <v>0</v>
      </c>
      <c r="I742" s="1" t="s">
        <v>952</v>
      </c>
      <c r="J742" s="1">
        <v>235</v>
      </c>
      <c r="K742" s="1" t="s">
        <v>35</v>
      </c>
      <c r="L742" s="1">
        <v>27</v>
      </c>
      <c r="M742" s="1" t="str">
        <f>IF(L742&lt;=45,"Joven","Mayor")</f>
        <v>Joven</v>
      </c>
      <c r="N742" s="1">
        <v>39</v>
      </c>
      <c r="O742" s="1" t="s">
        <v>36</v>
      </c>
      <c r="P742" s="1">
        <v>0.7</v>
      </c>
      <c r="Q742" s="1">
        <v>90.59</v>
      </c>
      <c r="R742" s="1">
        <v>-5.619669</v>
      </c>
      <c r="S742" s="1">
        <v>0.65231459999999997</v>
      </c>
      <c r="T742" s="1">
        <v>9.5513490000000001</v>
      </c>
      <c r="U742" s="1">
        <v>3.9430000000000001</v>
      </c>
      <c r="V742" s="1">
        <v>64</v>
      </c>
      <c r="W742" s="1">
        <v>105</v>
      </c>
      <c r="X742" s="1">
        <v>1.640625</v>
      </c>
      <c r="Y742" s="1">
        <v>71</v>
      </c>
      <c r="Z742" s="1">
        <v>105</v>
      </c>
      <c r="AA742" s="1">
        <v>1.4788732394366197</v>
      </c>
      <c r="AB742" s="1">
        <v>68.588524552291801</v>
      </c>
      <c r="AC742" s="1">
        <v>105.20372984759661</v>
      </c>
      <c r="AD742" s="1">
        <v>1.5338386491662963</v>
      </c>
      <c r="AE742" t="s">
        <v>4817</v>
      </c>
      <c r="AF742" t="str">
        <f>IF(X742&lt;$AF$1,"Bajo","Alto")</f>
        <v>Bajo</v>
      </c>
      <c r="AG742" t="str">
        <f>LEFT(AE742,1)</f>
        <v>C</v>
      </c>
      <c r="AH742" t="str">
        <f>K742</f>
        <v>M</v>
      </c>
      <c r="AI742" t="str">
        <f>LEFT(AF742,1)</f>
        <v>B</v>
      </c>
      <c r="AJ742" t="str">
        <f>LEFT(M742,1)</f>
        <v>J</v>
      </c>
      <c r="AK742" t="str">
        <f>_xlfn.CONCAT(AG742,AH742,AI742,AJ742)</f>
        <v>CMBJ</v>
      </c>
    </row>
    <row r="743" spans="1:37" ht="15.75" hidden="1" customHeight="1" x14ac:dyDescent="0.2">
      <c r="A743" s="1">
        <v>3112108</v>
      </c>
      <c r="B743" s="1" t="s">
        <v>4122</v>
      </c>
      <c r="C743" s="1" t="s">
        <v>628</v>
      </c>
      <c r="D743" s="1" t="s">
        <v>4163</v>
      </c>
      <c r="E743" s="1" t="s">
        <v>136</v>
      </c>
      <c r="F743" s="1" t="s">
        <v>46</v>
      </c>
      <c r="G743" s="1" t="s">
        <v>4165</v>
      </c>
      <c r="H743" s="1">
        <v>26879</v>
      </c>
      <c r="I743" s="1" t="s">
        <v>4166</v>
      </c>
      <c r="J743" s="1">
        <v>4065</v>
      </c>
      <c r="K743" s="1" t="s">
        <v>35</v>
      </c>
      <c r="L743" s="1">
        <v>41</v>
      </c>
      <c r="M743" s="1" t="str">
        <f>IF(L743&lt;=45,"Joven","Mayor")</f>
        <v>Joven</v>
      </c>
      <c r="N743" s="1">
        <v>38</v>
      </c>
      <c r="O743" s="1" t="s">
        <v>36</v>
      </c>
      <c r="P743" s="1">
        <v>5.1980000000000004</v>
      </c>
      <c r="Q743" s="1">
        <v>91.552999999999997</v>
      </c>
      <c r="R743" s="1">
        <v>2.631141</v>
      </c>
      <c r="S743" s="1">
        <v>-2.6483306999999998</v>
      </c>
      <c r="T743" s="1">
        <v>-1.9295442</v>
      </c>
      <c r="U743" s="1">
        <v>7.6680000000000001</v>
      </c>
      <c r="V743" s="1">
        <v>71</v>
      </c>
      <c r="W743" s="1">
        <v>137</v>
      </c>
      <c r="X743" s="1">
        <v>1.9295774647887325</v>
      </c>
      <c r="Y743" s="1">
        <v>72</v>
      </c>
      <c r="Z743" s="1">
        <v>137</v>
      </c>
      <c r="AA743" s="1">
        <v>1.9027777777777777</v>
      </c>
      <c r="AB743" s="1">
        <v>73.070302673825381</v>
      </c>
      <c r="AC743" s="1">
        <v>136.88864865991081</v>
      </c>
      <c r="AD743" s="1">
        <v>1.8733828060212196</v>
      </c>
      <c r="AE743" t="s">
        <v>4817</v>
      </c>
      <c r="AF743" t="str">
        <f>IF(X743&lt;$AF$1,"Bajo","Alto")</f>
        <v>Alto</v>
      </c>
      <c r="AG743" t="str">
        <f>LEFT(AE743,1)</f>
        <v>C</v>
      </c>
      <c r="AH743" t="str">
        <f>K743</f>
        <v>M</v>
      </c>
      <c r="AI743" t="str">
        <f>LEFT(AF743,1)</f>
        <v>A</v>
      </c>
      <c r="AJ743" t="str">
        <f>LEFT(M743,1)</f>
        <v>J</v>
      </c>
      <c r="AK743" t="str">
        <f>_xlfn.CONCAT(AG743,AH743,AI743,AJ743)</f>
        <v>CMAJ</v>
      </c>
    </row>
    <row r="744" spans="1:37" ht="15.75" hidden="1" customHeight="1" x14ac:dyDescent="0.2">
      <c r="A744" s="1">
        <v>1051803</v>
      </c>
      <c r="B744" s="1" t="s">
        <v>694</v>
      </c>
      <c r="C744" s="1" t="s">
        <v>879</v>
      </c>
      <c r="D744" s="1" t="s">
        <v>958</v>
      </c>
      <c r="E744" s="1" t="s">
        <v>959</v>
      </c>
      <c r="F744" s="1" t="s">
        <v>63</v>
      </c>
      <c r="G744" s="1" t="s">
        <v>961</v>
      </c>
      <c r="H744" s="1">
        <v>1580</v>
      </c>
      <c r="I744" s="1" t="s">
        <v>108</v>
      </c>
      <c r="J744" s="1">
        <v>3</v>
      </c>
      <c r="K744" s="1" t="s">
        <v>35</v>
      </c>
      <c r="L744" s="1">
        <v>46</v>
      </c>
      <c r="M744" s="1" t="str">
        <f>IF(L744&lt;=45,"Joven","Mayor")</f>
        <v>Mayor</v>
      </c>
      <c r="N744" s="1">
        <v>58</v>
      </c>
      <c r="O744" s="1" t="s">
        <v>36</v>
      </c>
      <c r="P744" s="1">
        <v>0.4</v>
      </c>
      <c r="Q744" s="1">
        <v>93.301000000000002</v>
      </c>
      <c r="R744" s="1">
        <v>2.0842185</v>
      </c>
      <c r="S744" s="1">
        <v>3.0260704</v>
      </c>
      <c r="T744" s="1">
        <v>-1.251447</v>
      </c>
      <c r="U744" s="1">
        <v>0.77300000000000002</v>
      </c>
      <c r="V744" s="1">
        <v>121</v>
      </c>
      <c r="W744" s="1">
        <v>194</v>
      </c>
      <c r="X744" s="1">
        <v>1.6033057851239669</v>
      </c>
      <c r="Y744" s="1">
        <v>122</v>
      </c>
      <c r="Z744" s="1">
        <v>194</v>
      </c>
      <c r="AA744" s="1">
        <v>1.5901639344262295</v>
      </c>
      <c r="AB744" s="1">
        <v>123.0847468815459</v>
      </c>
      <c r="AC744" s="1">
        <v>193.95372631063759</v>
      </c>
      <c r="AD744" s="1">
        <v>1.5757738568312976</v>
      </c>
      <c r="AE744" t="s">
        <v>4817</v>
      </c>
      <c r="AF744" t="str">
        <f>IF(X744&lt;$AF$1,"Bajo","Alto")</f>
        <v>Bajo</v>
      </c>
      <c r="AG744" t="str">
        <f>LEFT(AE744,1)</f>
        <v>C</v>
      </c>
      <c r="AH744" t="str">
        <f>K744</f>
        <v>M</v>
      </c>
      <c r="AI744" t="str">
        <f>LEFT(AF744,1)</f>
        <v>B</v>
      </c>
      <c r="AJ744" t="str">
        <f>LEFT(M744,1)</f>
        <v>M</v>
      </c>
      <c r="AK744" t="str">
        <f>_xlfn.CONCAT(AG744,AH744,AI744,AJ744)</f>
        <v>CMBM</v>
      </c>
    </row>
    <row r="745" spans="1:37" ht="15.75" hidden="1" customHeight="1" x14ac:dyDescent="0.2">
      <c r="A745" s="1">
        <v>10721501</v>
      </c>
      <c r="B745" s="1" t="s">
        <v>1067</v>
      </c>
      <c r="C745" s="1" t="s">
        <v>1068</v>
      </c>
      <c r="D745" s="1" t="s">
        <v>1226</v>
      </c>
      <c r="E745" s="1" t="s">
        <v>1227</v>
      </c>
      <c r="F745" s="1" t="s">
        <v>32</v>
      </c>
      <c r="G745" s="1" t="s">
        <v>1228</v>
      </c>
      <c r="H745" s="1">
        <v>596</v>
      </c>
      <c r="I745" s="1" t="s">
        <v>48</v>
      </c>
      <c r="J745" s="1">
        <v>4</v>
      </c>
      <c r="K745" s="1" t="s">
        <v>35</v>
      </c>
      <c r="L745" s="1">
        <v>46</v>
      </c>
      <c r="M745" s="1" t="str">
        <f>IF(L745&lt;=45,"Joven","Mayor")</f>
        <v>Mayor</v>
      </c>
      <c r="N745" s="1">
        <v>47</v>
      </c>
      <c r="O745" s="1" t="s">
        <v>36</v>
      </c>
      <c r="P745" s="1">
        <v>0.36099999999999999</v>
      </c>
      <c r="Q745" s="1">
        <v>58.927999999999997</v>
      </c>
      <c r="R745" s="1">
        <v>14.369209</v>
      </c>
      <c r="S745" s="1">
        <v>-5.1796202999999998</v>
      </c>
      <c r="T745" s="1">
        <v>-2.2930492999999998</v>
      </c>
      <c r="U745" s="1">
        <v>10.443</v>
      </c>
      <c r="V745" s="1">
        <v>92</v>
      </c>
      <c r="W745" s="1">
        <v>177</v>
      </c>
      <c r="X745" s="1">
        <v>1.923913043478261</v>
      </c>
      <c r="Y745" s="1">
        <v>93</v>
      </c>
      <c r="Z745" s="1">
        <v>177</v>
      </c>
      <c r="AA745" s="1">
        <v>1.903225806451613</v>
      </c>
      <c r="AB745" s="1">
        <v>93.646786402169027</v>
      </c>
      <c r="AC745" s="1">
        <v>176.6182048927717</v>
      </c>
      <c r="AD745" s="1">
        <v>1.8860039055080795</v>
      </c>
      <c r="AE745" t="s">
        <v>4817</v>
      </c>
      <c r="AF745" t="str">
        <f>IF(X745&lt;$AF$1,"Bajo","Alto")</f>
        <v>Alto</v>
      </c>
      <c r="AG745" t="str">
        <f>LEFT(AE745,1)</f>
        <v>C</v>
      </c>
      <c r="AH745" t="str">
        <f>K745</f>
        <v>M</v>
      </c>
      <c r="AI745" t="str">
        <f>LEFT(AF745,1)</f>
        <v>A</v>
      </c>
      <c r="AJ745" t="str">
        <f>LEFT(M745,1)</f>
        <v>M</v>
      </c>
      <c r="AK745" t="str">
        <f>_xlfn.CONCAT(AG745,AH745,AI745,AJ745)</f>
        <v>CMAM</v>
      </c>
    </row>
    <row r="746" spans="1:37" ht="15.75" hidden="1" customHeight="1" x14ac:dyDescent="0.2">
      <c r="A746" s="1">
        <v>1096102</v>
      </c>
      <c r="B746" s="1" t="s">
        <v>719</v>
      </c>
      <c r="C746" s="1" t="s">
        <v>98</v>
      </c>
      <c r="D746" s="1" t="s">
        <v>1625</v>
      </c>
      <c r="E746" s="1" t="s">
        <v>701</v>
      </c>
      <c r="F746" s="1" t="s">
        <v>37</v>
      </c>
      <c r="G746" s="1" t="s">
        <v>1627</v>
      </c>
      <c r="H746" s="1">
        <v>948</v>
      </c>
      <c r="I746" s="1" t="s">
        <v>42</v>
      </c>
      <c r="J746" s="1">
        <v>15</v>
      </c>
      <c r="K746" s="1" t="s">
        <v>35</v>
      </c>
      <c r="L746" s="1">
        <v>34</v>
      </c>
      <c r="M746" s="1" t="str">
        <f>IF(L746&lt;=45,"Joven","Mayor")</f>
        <v>Joven</v>
      </c>
      <c r="N746" s="1">
        <v>42</v>
      </c>
      <c r="O746" s="1" t="s">
        <v>36</v>
      </c>
      <c r="P746" s="1">
        <v>0.33400000000000002</v>
      </c>
      <c r="Q746" s="1">
        <v>91.382000000000005</v>
      </c>
      <c r="R746" s="1">
        <v>4.7102940000000002</v>
      </c>
      <c r="S746" s="1">
        <v>2.0637612000000001</v>
      </c>
      <c r="T746" s="1">
        <v>-1.4373708999999999</v>
      </c>
      <c r="U746" s="1">
        <v>1.2689999999999999</v>
      </c>
      <c r="V746" s="1">
        <v>103</v>
      </c>
      <c r="W746" s="1">
        <v>169</v>
      </c>
      <c r="X746" s="1">
        <v>1.6407766990291262</v>
      </c>
      <c r="Y746" s="1">
        <v>105</v>
      </c>
      <c r="Z746" s="1">
        <v>169</v>
      </c>
      <c r="AA746" s="1">
        <v>1.6095238095238096</v>
      </c>
      <c r="AB746" s="1">
        <v>104.1465486627376</v>
      </c>
      <c r="AC746" s="1">
        <v>169.047159583964</v>
      </c>
      <c r="AD746" s="1">
        <v>1.6231662187039624</v>
      </c>
      <c r="AE746" t="s">
        <v>4817</v>
      </c>
      <c r="AF746" t="str">
        <f>IF(X746&lt;$AF$1,"Bajo","Alto")</f>
        <v>Bajo</v>
      </c>
      <c r="AG746" t="str">
        <f>LEFT(AE746,1)</f>
        <v>C</v>
      </c>
      <c r="AH746" t="str">
        <f>K746</f>
        <v>M</v>
      </c>
      <c r="AI746" t="str">
        <f>LEFT(AF746,1)</f>
        <v>B</v>
      </c>
      <c r="AJ746" t="str">
        <f>LEFT(M746,1)</f>
        <v>J</v>
      </c>
      <c r="AK746" t="str">
        <f>_xlfn.CONCAT(AG746,AH746,AI746,AJ746)</f>
        <v>CMBJ</v>
      </c>
    </row>
    <row r="747" spans="1:37" ht="15.75" hidden="1" customHeight="1" x14ac:dyDescent="0.2">
      <c r="A747" s="1">
        <v>10731004</v>
      </c>
      <c r="B747" s="1" t="s">
        <v>1067</v>
      </c>
      <c r="C747" s="1" t="s">
        <v>1068</v>
      </c>
      <c r="D747" s="1" t="s">
        <v>1381</v>
      </c>
      <c r="E747" s="1" t="s">
        <v>1382</v>
      </c>
      <c r="F747" s="1" t="s">
        <v>61</v>
      </c>
      <c r="G747" s="1" t="s">
        <v>1385</v>
      </c>
      <c r="H747" s="1">
        <v>7</v>
      </c>
      <c r="I747" s="1" t="s">
        <v>48</v>
      </c>
      <c r="J747" s="1">
        <v>4</v>
      </c>
      <c r="K747" s="1" t="s">
        <v>35</v>
      </c>
      <c r="L747" s="1">
        <v>46</v>
      </c>
      <c r="M747" s="1" t="str">
        <f>IF(L747&lt;=45,"Joven","Mayor")</f>
        <v>Mayor</v>
      </c>
      <c r="N747" s="1">
        <v>57</v>
      </c>
      <c r="O747" s="1" t="s">
        <v>36</v>
      </c>
      <c r="P747" s="1">
        <v>0.36299999999999999</v>
      </c>
      <c r="Q747" s="1">
        <v>85.349000000000004</v>
      </c>
      <c r="R747" s="1">
        <v>8.7475950000000005</v>
      </c>
      <c r="S747" s="1">
        <v>0.86628395000000002</v>
      </c>
      <c r="T747" s="1">
        <v>-2.1572583000000001</v>
      </c>
      <c r="U747" s="1">
        <v>1.1719999999999999</v>
      </c>
      <c r="V747" s="1">
        <v>104</v>
      </c>
      <c r="W747" s="1">
        <v>167</v>
      </c>
      <c r="X747" s="1">
        <v>1.6057692307692308</v>
      </c>
      <c r="Y747" s="1">
        <v>107</v>
      </c>
      <c r="Z747" s="1">
        <v>167</v>
      </c>
      <c r="AA747" s="1">
        <v>1.5607476635514019</v>
      </c>
      <c r="AB747" s="1">
        <v>108.2040068365789</v>
      </c>
      <c r="AC747" s="1">
        <v>166.61814637639051</v>
      </c>
      <c r="AD747" s="1">
        <v>1.5398519079615491</v>
      </c>
      <c r="AE747" t="s">
        <v>4817</v>
      </c>
      <c r="AF747" t="str">
        <f>IF(X747&lt;$AF$1,"Bajo","Alto")</f>
        <v>Bajo</v>
      </c>
      <c r="AG747" t="str">
        <f>LEFT(AE747,1)</f>
        <v>C</v>
      </c>
      <c r="AH747" t="str">
        <f>K747</f>
        <v>M</v>
      </c>
      <c r="AI747" t="str">
        <f>LEFT(AF747,1)</f>
        <v>B</v>
      </c>
      <c r="AJ747" t="str">
        <f>LEFT(M747,1)</f>
        <v>M</v>
      </c>
      <c r="AK747" t="str">
        <f>_xlfn.CONCAT(AG747,AH747,AI747,AJ747)</f>
        <v>CMBM</v>
      </c>
    </row>
    <row r="748" spans="1:37" ht="15.75" hidden="1" customHeight="1" x14ac:dyDescent="0.2">
      <c r="A748" s="1">
        <v>295802</v>
      </c>
      <c r="B748" s="1" t="s">
        <v>3890</v>
      </c>
      <c r="C748" s="1" t="s">
        <v>1695</v>
      </c>
      <c r="D748" s="1" t="s">
        <v>4035</v>
      </c>
      <c r="E748" s="1" t="s">
        <v>695</v>
      </c>
      <c r="F748" s="1" t="s">
        <v>37</v>
      </c>
      <c r="G748" s="1" t="s">
        <v>4037</v>
      </c>
      <c r="H748" s="1">
        <v>3635</v>
      </c>
      <c r="I748" s="1" t="s">
        <v>39</v>
      </c>
      <c r="J748" s="1">
        <v>11</v>
      </c>
      <c r="K748" s="1" t="s">
        <v>35</v>
      </c>
      <c r="L748" s="1">
        <v>52</v>
      </c>
      <c r="M748" s="1" t="str">
        <f>IF(L748&lt;=45,"Joven","Mayor")</f>
        <v>Mayor</v>
      </c>
      <c r="N748" s="1">
        <v>63</v>
      </c>
      <c r="O748" s="1" t="s">
        <v>36</v>
      </c>
      <c r="P748" s="1">
        <v>1.214</v>
      </c>
      <c r="Q748" s="1">
        <v>93.12</v>
      </c>
      <c r="R748" s="1">
        <v>-2.8119008999999999</v>
      </c>
      <c r="S748" s="1">
        <v>-0.51501333999999999</v>
      </c>
      <c r="T748" s="1">
        <v>0.68897693999999998</v>
      </c>
      <c r="U748" s="1">
        <v>1.8460000000000001</v>
      </c>
      <c r="V748" s="1">
        <v>79</v>
      </c>
      <c r="W748" s="1">
        <v>154</v>
      </c>
      <c r="X748" s="1">
        <v>1.9493670886075949</v>
      </c>
      <c r="Y748" s="1">
        <v>81</v>
      </c>
      <c r="Z748" s="1">
        <v>154</v>
      </c>
      <c r="AA748" s="1">
        <v>1.9012345679012346</v>
      </c>
      <c r="AB748" s="1">
        <v>80.549232654724847</v>
      </c>
      <c r="AC748" s="1">
        <v>153.952792162625</v>
      </c>
      <c r="AD748" s="1">
        <v>1.9112881288707653</v>
      </c>
      <c r="AE748" t="s">
        <v>4816</v>
      </c>
      <c r="AF748" t="str">
        <f>IF(X748&lt;$AF$1,"Bajo","Alto")</f>
        <v>Alto</v>
      </c>
      <c r="AG748" t="str">
        <f>LEFT(AE748,1)</f>
        <v>D</v>
      </c>
      <c r="AH748" t="str">
        <f>K748</f>
        <v>M</v>
      </c>
      <c r="AI748" t="str">
        <f>LEFT(AF748,1)</f>
        <v>A</v>
      </c>
      <c r="AJ748" t="str">
        <f>LEFT(M748,1)</f>
        <v>M</v>
      </c>
      <c r="AK748" t="str">
        <f>_xlfn.CONCAT(AG748,AH748,AI748,AJ748)</f>
        <v>DMAM</v>
      </c>
    </row>
    <row r="749" spans="1:37" ht="15.75" hidden="1" customHeight="1" x14ac:dyDescent="0.2">
      <c r="A749" s="1">
        <v>214006</v>
      </c>
      <c r="B749" s="1" t="s">
        <v>2816</v>
      </c>
      <c r="C749" s="1" t="s">
        <v>2817</v>
      </c>
      <c r="D749" s="1" t="s">
        <v>2867</v>
      </c>
      <c r="E749" s="1" t="s">
        <v>657</v>
      </c>
      <c r="F749" s="1" t="s">
        <v>88</v>
      </c>
      <c r="G749" s="1" t="s">
        <v>2869</v>
      </c>
      <c r="H749" s="1">
        <v>4701</v>
      </c>
      <c r="I749" s="1" t="s">
        <v>65</v>
      </c>
      <c r="J749" s="1">
        <v>2</v>
      </c>
      <c r="K749" s="1" t="s">
        <v>35</v>
      </c>
      <c r="L749" s="1">
        <v>43</v>
      </c>
      <c r="M749" s="1" t="str">
        <f>IF(L749&lt;=45,"Joven","Mayor")</f>
        <v>Joven</v>
      </c>
      <c r="N749" s="1">
        <v>45</v>
      </c>
      <c r="O749" s="1" t="s">
        <v>36</v>
      </c>
      <c r="P749" s="1">
        <v>2.694</v>
      </c>
      <c r="Q749" s="1">
        <v>92.488</v>
      </c>
      <c r="R749" s="1">
        <v>1.1459093</v>
      </c>
      <c r="S749" s="1">
        <v>5.7343235000000004</v>
      </c>
      <c r="T749" s="1">
        <v>0.61327770000000004</v>
      </c>
      <c r="U749" s="1">
        <v>1.0269999999999999</v>
      </c>
      <c r="V749" s="1">
        <v>92</v>
      </c>
      <c r="W749" s="1">
        <v>151</v>
      </c>
      <c r="X749" s="1">
        <v>1.6413043478260869</v>
      </c>
      <c r="Y749" s="1">
        <v>92</v>
      </c>
      <c r="Z749" s="1">
        <v>151</v>
      </c>
      <c r="AA749" s="1">
        <v>1.6413043478260869</v>
      </c>
      <c r="AB749" s="1">
        <v>92.476387834432671</v>
      </c>
      <c r="AC749" s="1">
        <v>151.0020535947742</v>
      </c>
      <c r="AD749" s="1">
        <v>1.6328714510900271</v>
      </c>
      <c r="AE749" t="s">
        <v>4817</v>
      </c>
      <c r="AF749" t="str">
        <f>IF(X749&lt;$AF$1,"Bajo","Alto")</f>
        <v>Bajo</v>
      </c>
      <c r="AG749" t="str">
        <f>LEFT(AE749,1)</f>
        <v>C</v>
      </c>
      <c r="AH749" t="str">
        <f>K749</f>
        <v>M</v>
      </c>
      <c r="AI749" t="str">
        <f>LEFT(AF749,1)</f>
        <v>B</v>
      </c>
      <c r="AJ749" t="str">
        <f>LEFT(M749,1)</f>
        <v>J</v>
      </c>
      <c r="AK749" t="str">
        <f>_xlfn.CONCAT(AG749,AH749,AI749,AJ749)</f>
        <v>CMBJ</v>
      </c>
    </row>
    <row r="750" spans="1:37" ht="15.75" hidden="1" customHeight="1" x14ac:dyDescent="0.2">
      <c r="A750" s="1">
        <v>1059701</v>
      </c>
      <c r="B750" s="1" t="s">
        <v>694</v>
      </c>
      <c r="C750" s="1" t="s">
        <v>879</v>
      </c>
      <c r="D750" s="1" t="s">
        <v>1060</v>
      </c>
      <c r="E750" s="1" t="s">
        <v>781</v>
      </c>
      <c r="F750" s="1" t="s">
        <v>32</v>
      </c>
      <c r="G750" s="1" t="s">
        <v>1061</v>
      </c>
      <c r="H750" s="1">
        <v>42</v>
      </c>
      <c r="I750" s="1" t="s">
        <v>85</v>
      </c>
      <c r="J750" s="1">
        <v>12</v>
      </c>
      <c r="K750" s="1" t="s">
        <v>49</v>
      </c>
      <c r="L750" s="1">
        <v>40</v>
      </c>
      <c r="M750" s="1" t="str">
        <f>IF(L750&lt;=45,"Joven","Mayor")</f>
        <v>Joven</v>
      </c>
      <c r="N750" s="1">
        <v>41</v>
      </c>
      <c r="O750" s="1" t="s">
        <v>50</v>
      </c>
      <c r="P750" s="1">
        <v>0.876</v>
      </c>
      <c r="Q750" s="1">
        <v>84.593999999999994</v>
      </c>
      <c r="R750" s="1">
        <v>8.5521969999999996</v>
      </c>
      <c r="S750" s="1">
        <v>3.2076913999999999</v>
      </c>
      <c r="T750" s="1">
        <v>-6.046195</v>
      </c>
      <c r="U750" s="1">
        <v>0.90200000000000002</v>
      </c>
      <c r="V750" s="1">
        <v>100</v>
      </c>
      <c r="W750" s="1">
        <v>163</v>
      </c>
      <c r="X750" s="1">
        <v>1.63</v>
      </c>
      <c r="Y750" s="1">
        <v>102</v>
      </c>
      <c r="Z750" s="1">
        <v>163</v>
      </c>
      <c r="AA750" s="1">
        <v>1.5980392156862746</v>
      </c>
      <c r="AB750" s="1">
        <v>104.4995823861175</v>
      </c>
      <c r="AC750" s="1">
        <v>162.40926997725859</v>
      </c>
      <c r="AD750" s="1">
        <v>1.5541619044674215</v>
      </c>
      <c r="AE750" t="s">
        <v>4815</v>
      </c>
      <c r="AF750" t="str">
        <f>IF(X750&lt;$AF$1,"Bajo","Alto")</f>
        <v>Bajo</v>
      </c>
      <c r="AG750" t="str">
        <f>LEFT(AE750,1)</f>
        <v>I</v>
      </c>
      <c r="AH750" t="str">
        <f>K750</f>
        <v>F</v>
      </c>
      <c r="AI750" t="str">
        <f>LEFT(AF750,1)</f>
        <v>B</v>
      </c>
      <c r="AJ750" t="str">
        <f>LEFT(M750,1)</f>
        <v>J</v>
      </c>
      <c r="AK750" t="str">
        <f>_xlfn.CONCAT(AG750,AH750,AI750,AJ750)</f>
        <v>IFBJ</v>
      </c>
    </row>
    <row r="751" spans="1:37" ht="15.75" hidden="1" customHeight="1" x14ac:dyDescent="0.2">
      <c r="A751" s="1">
        <v>1076104</v>
      </c>
      <c r="B751" s="1" t="s">
        <v>1067</v>
      </c>
      <c r="C751" s="1" t="s">
        <v>1068</v>
      </c>
      <c r="D751" s="1" t="s">
        <v>1461</v>
      </c>
      <c r="E751" s="1" t="s">
        <v>701</v>
      </c>
      <c r="F751" s="1" t="s">
        <v>61</v>
      </c>
      <c r="G751" s="1" t="s">
        <v>1462</v>
      </c>
      <c r="H751" s="1">
        <v>57</v>
      </c>
      <c r="I751" s="1" t="s">
        <v>108</v>
      </c>
      <c r="J751" s="1">
        <v>3</v>
      </c>
      <c r="K751" s="1" t="s">
        <v>35</v>
      </c>
      <c r="L751" s="1">
        <v>49</v>
      </c>
      <c r="M751" s="1" t="str">
        <f>IF(L751&lt;=45,"Joven","Mayor")</f>
        <v>Mayor</v>
      </c>
      <c r="N751" s="1">
        <v>51</v>
      </c>
      <c r="O751" s="1" t="s">
        <v>36</v>
      </c>
      <c r="P751" s="1">
        <v>0.40899999999999997</v>
      </c>
      <c r="Q751" s="1">
        <v>86.022999999999996</v>
      </c>
      <c r="R751" s="1">
        <v>7.9368777000000001</v>
      </c>
      <c r="S751" s="1">
        <v>3.5240559999999999</v>
      </c>
      <c r="T751" s="1">
        <v>-9.4585430000000006</v>
      </c>
      <c r="U751" s="1">
        <v>4.5919999999999996</v>
      </c>
      <c r="V751" s="1">
        <v>104</v>
      </c>
      <c r="W751" s="1">
        <v>167</v>
      </c>
      <c r="X751" s="1">
        <v>1.6057692307692308</v>
      </c>
      <c r="Y751" s="1">
        <v>110</v>
      </c>
      <c r="Z751" s="1">
        <v>167</v>
      </c>
      <c r="AA751" s="1">
        <v>1.5181818181818181</v>
      </c>
      <c r="AB751" s="1">
        <v>109.48812044029479</v>
      </c>
      <c r="AC751" s="1">
        <v>166.0442672169456</v>
      </c>
      <c r="AD751" s="1">
        <v>1.5165505312285597</v>
      </c>
      <c r="AE751" t="s">
        <v>4817</v>
      </c>
      <c r="AF751" t="str">
        <f>IF(X751&lt;$AF$1,"Bajo","Alto")</f>
        <v>Bajo</v>
      </c>
      <c r="AG751" t="str">
        <f>LEFT(AE751,1)</f>
        <v>C</v>
      </c>
      <c r="AH751" t="str">
        <f>K751</f>
        <v>M</v>
      </c>
      <c r="AI751" t="str">
        <f>LEFT(AF751,1)</f>
        <v>B</v>
      </c>
      <c r="AJ751" t="str">
        <f>LEFT(M751,1)</f>
        <v>M</v>
      </c>
      <c r="AK751" t="str">
        <f>_xlfn.CONCAT(AG751,AH751,AI751,AJ751)</f>
        <v>CMBM</v>
      </c>
    </row>
    <row r="752" spans="1:37" ht="15.75" hidden="1" customHeight="1" x14ac:dyDescent="0.2">
      <c r="A752" s="1">
        <v>195504</v>
      </c>
      <c r="B752" s="1" t="s">
        <v>2656</v>
      </c>
      <c r="C752" s="1" t="s">
        <v>323</v>
      </c>
      <c r="D752" s="1" t="s">
        <v>2747</v>
      </c>
      <c r="E752" s="1" t="s">
        <v>690</v>
      </c>
      <c r="F752" s="1" t="s">
        <v>61</v>
      </c>
      <c r="G752" s="1" t="s">
        <v>2749</v>
      </c>
      <c r="H752" s="1">
        <v>9757</v>
      </c>
      <c r="I752" s="1" t="s">
        <v>2750</v>
      </c>
      <c r="J752" s="1">
        <v>3982</v>
      </c>
      <c r="K752" s="1" t="s">
        <v>49</v>
      </c>
      <c r="L752" s="1">
        <v>30</v>
      </c>
      <c r="M752" s="1" t="str">
        <f>IF(L752&lt;=45,"Joven","Mayor")</f>
        <v>Joven</v>
      </c>
      <c r="N752" s="1">
        <v>27</v>
      </c>
      <c r="O752" s="1" t="s">
        <v>50</v>
      </c>
      <c r="P752" s="1">
        <v>1.163</v>
      </c>
      <c r="Q752" s="1">
        <v>92.132000000000005</v>
      </c>
      <c r="R752" s="1">
        <v>-0.24036545000000001</v>
      </c>
      <c r="S752" s="1">
        <v>9.0924019999999999</v>
      </c>
      <c r="T752" s="1">
        <v>0.15678682999999999</v>
      </c>
      <c r="U752" s="1">
        <v>80.126999999999995</v>
      </c>
      <c r="V752" s="1">
        <v>123</v>
      </c>
      <c r="W752" s="1">
        <v>202</v>
      </c>
      <c r="X752" s="1">
        <v>1.6422764227642277</v>
      </c>
      <c r="Y752" s="1">
        <v>128</v>
      </c>
      <c r="Z752" s="1">
        <v>202</v>
      </c>
      <c r="AA752" s="1">
        <v>1.578125</v>
      </c>
      <c r="AB752" s="1">
        <v>128.15276156696541</v>
      </c>
      <c r="AC752" s="1">
        <v>201.99377081245481</v>
      </c>
      <c r="AD752" s="1">
        <v>1.5761952246881878</v>
      </c>
      <c r="AE752" t="s">
        <v>4817</v>
      </c>
      <c r="AF752" t="str">
        <f>IF(X752&lt;$AF$1,"Bajo","Alto")</f>
        <v>Bajo</v>
      </c>
      <c r="AG752" t="str">
        <f>LEFT(AE752,1)</f>
        <v>C</v>
      </c>
      <c r="AH752" t="str">
        <f>K752</f>
        <v>F</v>
      </c>
      <c r="AI752" t="str">
        <f>LEFT(AF752,1)</f>
        <v>B</v>
      </c>
      <c r="AJ752" t="str">
        <f>LEFT(M752,1)</f>
        <v>J</v>
      </c>
      <c r="AK752" t="str">
        <f>_xlfn.CONCAT(AG752,AH752,AI752,AJ752)</f>
        <v>CFBJ</v>
      </c>
    </row>
    <row r="753" spans="1:37" ht="15.75" hidden="1" customHeight="1" x14ac:dyDescent="0.2">
      <c r="A753" s="1">
        <v>10127701</v>
      </c>
      <c r="B753" s="1" t="s">
        <v>29</v>
      </c>
      <c r="C753" s="1" t="s">
        <v>30</v>
      </c>
      <c r="D753" s="1" t="s">
        <v>549</v>
      </c>
      <c r="E753" s="1" t="s">
        <v>550</v>
      </c>
      <c r="F753" s="1" t="s">
        <v>32</v>
      </c>
      <c r="G753" s="1" t="s">
        <v>551</v>
      </c>
      <c r="H753" s="1">
        <v>52</v>
      </c>
      <c r="I753" s="1" t="s">
        <v>552</v>
      </c>
      <c r="J753" s="1">
        <v>13</v>
      </c>
      <c r="K753" s="1" t="s">
        <v>35</v>
      </c>
      <c r="L753" s="1">
        <v>33</v>
      </c>
      <c r="M753" s="1" t="str">
        <f>IF(L753&lt;=45,"Joven","Mayor")</f>
        <v>Joven</v>
      </c>
      <c r="N753" s="1">
        <v>34</v>
      </c>
      <c r="O753" s="1" t="s">
        <v>36</v>
      </c>
      <c r="P753" s="1">
        <v>0.37</v>
      </c>
      <c r="Q753" s="1">
        <v>94.272000000000006</v>
      </c>
      <c r="R753" s="1">
        <v>-0.80033080000000001</v>
      </c>
      <c r="S753" s="1">
        <v>1.8933882</v>
      </c>
      <c r="T753" s="1">
        <v>0.43028480000000002</v>
      </c>
      <c r="U753" s="1">
        <v>33.18</v>
      </c>
      <c r="V753" s="1">
        <v>85</v>
      </c>
      <c r="W753" s="1">
        <v>162</v>
      </c>
      <c r="X753" s="1">
        <v>1.9058823529411764</v>
      </c>
      <c r="Y753" s="1">
        <v>88</v>
      </c>
      <c r="Z753" s="1">
        <v>162</v>
      </c>
      <c r="AA753" s="1">
        <v>1.8409090909090908</v>
      </c>
      <c r="AB753" s="1">
        <v>87.704635662552391</v>
      </c>
      <c r="AC753" s="1">
        <v>162.02547101504021</v>
      </c>
      <c r="AD753" s="1">
        <v>1.8473991687103135</v>
      </c>
      <c r="AE753" t="s">
        <v>4815</v>
      </c>
      <c r="AF753" t="str">
        <f>IF(X753&lt;$AF$1,"Bajo","Alto")</f>
        <v>Alto</v>
      </c>
      <c r="AG753" t="str">
        <f>LEFT(AE753,1)</f>
        <v>I</v>
      </c>
      <c r="AH753" t="str">
        <f>K753</f>
        <v>M</v>
      </c>
      <c r="AI753" t="str">
        <f>LEFT(AF753,1)</f>
        <v>A</v>
      </c>
      <c r="AJ753" t="str">
        <f>LEFT(M753,1)</f>
        <v>J</v>
      </c>
      <c r="AK753" t="str">
        <f>_xlfn.CONCAT(AG753,AH753,AI753,AJ753)</f>
        <v>IMAJ</v>
      </c>
    </row>
    <row r="754" spans="1:37" ht="15.75" hidden="1" customHeight="1" x14ac:dyDescent="0.2">
      <c r="A754" s="1">
        <v>1019701</v>
      </c>
      <c r="B754" s="1" t="s">
        <v>29</v>
      </c>
      <c r="C754" s="1" t="s">
        <v>30</v>
      </c>
      <c r="D754" s="1" t="s">
        <v>780</v>
      </c>
      <c r="E754" s="1" t="s">
        <v>781</v>
      </c>
      <c r="F754" s="1" t="s">
        <v>32</v>
      </c>
      <c r="G754" s="1" t="s">
        <v>782</v>
      </c>
      <c r="H754" s="1">
        <v>1680</v>
      </c>
      <c r="I754" s="1" t="s">
        <v>108</v>
      </c>
      <c r="J754" s="1">
        <v>3</v>
      </c>
      <c r="K754" s="1" t="s">
        <v>35</v>
      </c>
      <c r="L754" s="1">
        <v>46</v>
      </c>
      <c r="M754" s="1" t="str">
        <f>IF(L754&lt;=45,"Joven","Mayor")</f>
        <v>Mayor</v>
      </c>
      <c r="N754" s="1">
        <v>40</v>
      </c>
      <c r="O754" s="1" t="s">
        <v>36</v>
      </c>
      <c r="P754" s="1">
        <v>0.36199999999999999</v>
      </c>
      <c r="Q754" s="1">
        <v>89.367000000000004</v>
      </c>
      <c r="R754" s="1">
        <v>-4.2235455999999996</v>
      </c>
      <c r="S754" s="1">
        <v>-8.3812270000000009</v>
      </c>
      <c r="T754" s="1">
        <v>-0.70897699999999997</v>
      </c>
      <c r="U754" s="1">
        <v>3.734</v>
      </c>
      <c r="V754" s="1">
        <v>104</v>
      </c>
      <c r="W754" s="1">
        <v>200</v>
      </c>
      <c r="X754" s="1">
        <v>1.9230769230769231</v>
      </c>
      <c r="Y754" s="1">
        <v>107</v>
      </c>
      <c r="Z754" s="1">
        <v>200</v>
      </c>
      <c r="AA754" s="1">
        <v>1.8691588785046729</v>
      </c>
      <c r="AB754" s="1">
        <v>107.69710745802649</v>
      </c>
      <c r="AC754" s="1">
        <v>200.04655698590571</v>
      </c>
      <c r="AD754" s="1">
        <v>1.857492384963739</v>
      </c>
      <c r="AE754" t="s">
        <v>4817</v>
      </c>
      <c r="AF754" t="str">
        <f>IF(X754&lt;$AF$1,"Bajo","Alto")</f>
        <v>Alto</v>
      </c>
      <c r="AG754" t="str">
        <f>LEFT(AE754,1)</f>
        <v>C</v>
      </c>
      <c r="AH754" t="str">
        <f>K754</f>
        <v>M</v>
      </c>
      <c r="AI754" t="str">
        <f>LEFT(AF754,1)</f>
        <v>A</v>
      </c>
      <c r="AJ754" t="str">
        <f>LEFT(M754,1)</f>
        <v>M</v>
      </c>
      <c r="AK754" t="str">
        <f>_xlfn.CONCAT(AG754,AH754,AI754,AJ754)</f>
        <v>CMAM</v>
      </c>
    </row>
    <row r="755" spans="1:37" ht="15.75" hidden="1" customHeight="1" x14ac:dyDescent="0.2">
      <c r="A755" s="1">
        <v>134901</v>
      </c>
      <c r="B755" s="1" t="s">
        <v>956</v>
      </c>
      <c r="C755" s="1" t="s">
        <v>163</v>
      </c>
      <c r="D755" s="1" t="s">
        <v>430</v>
      </c>
      <c r="E755" s="1" t="s">
        <v>673</v>
      </c>
      <c r="F755" s="1" t="s">
        <v>32</v>
      </c>
      <c r="G755" s="1" t="s">
        <v>2051</v>
      </c>
      <c r="H755" s="1">
        <v>123</v>
      </c>
      <c r="I755" s="1" t="s">
        <v>34</v>
      </c>
      <c r="J755" s="1">
        <v>10</v>
      </c>
      <c r="K755" s="1" t="s">
        <v>35</v>
      </c>
      <c r="L755" s="1">
        <v>43</v>
      </c>
      <c r="M755" s="1" t="str">
        <f>IF(L755&lt;=45,"Joven","Mayor")</f>
        <v>Joven</v>
      </c>
      <c r="N755" s="1">
        <v>53</v>
      </c>
      <c r="O755" s="1" t="s">
        <v>36</v>
      </c>
      <c r="P755" s="1">
        <v>0.41899999999999998</v>
      </c>
      <c r="Q755" s="1">
        <v>90.144999999999996</v>
      </c>
      <c r="R755" s="1">
        <v>2.8432504999999999</v>
      </c>
      <c r="S755" s="1">
        <v>9.5249404999999996</v>
      </c>
      <c r="T755" s="1">
        <v>1.606717</v>
      </c>
      <c r="U755" s="1">
        <v>39.781999999999996</v>
      </c>
      <c r="V755" s="1">
        <v>78</v>
      </c>
      <c r="W755" s="1">
        <v>148</v>
      </c>
      <c r="X755" s="1">
        <v>1.8974358974358974</v>
      </c>
      <c r="Y755" s="1">
        <v>80</v>
      </c>
      <c r="Z755" s="1">
        <v>148</v>
      </c>
      <c r="AA755" s="1">
        <v>1.85</v>
      </c>
      <c r="AB755" s="1">
        <v>79.043265507527849</v>
      </c>
      <c r="AC755" s="1">
        <v>148.11004451175859</v>
      </c>
      <c r="AD755" s="1">
        <v>1.8737844844941662</v>
      </c>
      <c r="AE755" t="s">
        <v>4815</v>
      </c>
      <c r="AF755" t="str">
        <f>IF(X755&lt;$AF$1,"Bajo","Alto")</f>
        <v>Alto</v>
      </c>
      <c r="AG755" t="str">
        <f>LEFT(AE755,1)</f>
        <v>I</v>
      </c>
      <c r="AH755" t="str">
        <f>K755</f>
        <v>M</v>
      </c>
      <c r="AI755" t="str">
        <f>LEFT(AF755,1)</f>
        <v>A</v>
      </c>
      <c r="AJ755" t="str">
        <f>LEFT(M755,1)</f>
        <v>J</v>
      </c>
      <c r="AK755" t="str">
        <f>_xlfn.CONCAT(AG755,AH755,AI755,AJ755)</f>
        <v>IMAJ</v>
      </c>
    </row>
    <row r="756" spans="1:37" ht="15.75" hidden="1" customHeight="1" x14ac:dyDescent="0.2">
      <c r="A756" s="1">
        <v>1265003</v>
      </c>
      <c r="B756" s="1" t="s">
        <v>1798</v>
      </c>
      <c r="C756" s="1" t="s">
        <v>54</v>
      </c>
      <c r="D756" s="1" t="s">
        <v>1885</v>
      </c>
      <c r="E756" s="1" t="s">
        <v>1886</v>
      </c>
      <c r="F756" s="1" t="s">
        <v>63</v>
      </c>
      <c r="G756" s="1" t="s">
        <v>1888</v>
      </c>
      <c r="H756" s="1">
        <v>37</v>
      </c>
      <c r="I756" s="1" t="s">
        <v>294</v>
      </c>
      <c r="J756" s="1">
        <v>16</v>
      </c>
      <c r="K756" s="1" t="s">
        <v>49</v>
      </c>
      <c r="L756" s="1">
        <v>52</v>
      </c>
      <c r="M756" s="1" t="str">
        <f>IF(L756&lt;=45,"Joven","Mayor")</f>
        <v>Mayor</v>
      </c>
      <c r="N756" s="1">
        <v>58</v>
      </c>
      <c r="O756" s="1" t="s">
        <v>50</v>
      </c>
      <c r="P756" s="1">
        <v>0.36299999999999999</v>
      </c>
      <c r="Q756" s="1">
        <v>84.558000000000007</v>
      </c>
      <c r="R756" s="1">
        <v>8.6526119999999995</v>
      </c>
      <c r="S756" s="1">
        <v>-3.3306084</v>
      </c>
      <c r="T756" s="1">
        <v>-9.6054999999999993</v>
      </c>
      <c r="U756" s="1">
        <v>74.361000000000004</v>
      </c>
      <c r="V756" s="1">
        <v>85</v>
      </c>
      <c r="W756" s="1">
        <v>165</v>
      </c>
      <c r="X756" s="1">
        <v>1.9411764705882353</v>
      </c>
      <c r="Y756" s="1">
        <v>96</v>
      </c>
      <c r="Z756" s="1">
        <v>165</v>
      </c>
      <c r="AA756" s="1">
        <v>1.71875</v>
      </c>
      <c r="AB756" s="1">
        <v>93.486378926372709</v>
      </c>
      <c r="AC756" s="1">
        <v>165.02279146656201</v>
      </c>
      <c r="AD756" s="1">
        <v>1.7652067965594154</v>
      </c>
      <c r="AE756" t="s">
        <v>4817</v>
      </c>
      <c r="AF756" t="str">
        <f>IF(X756&lt;$AF$1,"Bajo","Alto")</f>
        <v>Alto</v>
      </c>
      <c r="AG756" t="str">
        <f>LEFT(AE756,1)</f>
        <v>C</v>
      </c>
      <c r="AH756" t="str">
        <f>K756</f>
        <v>F</v>
      </c>
      <c r="AI756" t="str">
        <f>LEFT(AF756,1)</f>
        <v>A</v>
      </c>
      <c r="AJ756" t="str">
        <f>LEFT(M756,1)</f>
        <v>M</v>
      </c>
      <c r="AK756" t="str">
        <f>_xlfn.CONCAT(AG756,AH756,AI756,AJ756)</f>
        <v>CFAM</v>
      </c>
    </row>
    <row r="757" spans="1:37" ht="15.75" hidden="1" customHeight="1" x14ac:dyDescent="0.2">
      <c r="A757" s="1">
        <v>1051801</v>
      </c>
      <c r="B757" s="1" t="s">
        <v>694</v>
      </c>
      <c r="C757" s="1" t="s">
        <v>879</v>
      </c>
      <c r="D757" s="1" t="s">
        <v>958</v>
      </c>
      <c r="E757" s="1" t="s">
        <v>959</v>
      </c>
      <c r="F757" s="1" t="s">
        <v>32</v>
      </c>
      <c r="G757" s="1" t="s">
        <v>960</v>
      </c>
      <c r="H757" s="1">
        <v>3138</v>
      </c>
      <c r="I757" s="1" t="s">
        <v>100</v>
      </c>
      <c r="J757" s="1">
        <v>1</v>
      </c>
      <c r="K757" s="1" t="s">
        <v>35</v>
      </c>
      <c r="L757" s="1">
        <v>54</v>
      </c>
      <c r="M757" s="1" t="str">
        <f>IF(L757&lt;=45,"Joven","Mayor")</f>
        <v>Mayor</v>
      </c>
      <c r="N757" s="1">
        <v>51</v>
      </c>
      <c r="O757" s="1" t="s">
        <v>36</v>
      </c>
      <c r="P757" s="1">
        <v>0.22600000000000001</v>
      </c>
      <c r="Q757" s="1">
        <v>91.319000000000003</v>
      </c>
      <c r="R757" s="1">
        <v>1.7636384000000001</v>
      </c>
      <c r="S757" s="1">
        <v>9.2185240000000004</v>
      </c>
      <c r="T757" s="1">
        <v>-2.3108882999999998</v>
      </c>
      <c r="U757" s="1">
        <v>2.4</v>
      </c>
      <c r="V757" s="1">
        <v>99</v>
      </c>
      <c r="W757" s="1">
        <v>159</v>
      </c>
      <c r="X757" s="1">
        <v>1.606060606060606</v>
      </c>
      <c r="Y757" s="1">
        <v>100</v>
      </c>
      <c r="Z757" s="1">
        <v>159</v>
      </c>
      <c r="AA757" s="1">
        <v>1.59</v>
      </c>
      <c r="AB757" s="1">
        <v>100.65332034744669</v>
      </c>
      <c r="AC757" s="1">
        <v>158.95133668971579</v>
      </c>
      <c r="AD757" s="1">
        <v>1.5791961570768784</v>
      </c>
      <c r="AE757" t="s">
        <v>4817</v>
      </c>
      <c r="AF757" t="str">
        <f>IF(X757&lt;$AF$1,"Bajo","Alto")</f>
        <v>Bajo</v>
      </c>
      <c r="AG757" t="str">
        <f>LEFT(AE757,1)</f>
        <v>C</v>
      </c>
      <c r="AH757" t="str">
        <f>K757</f>
        <v>M</v>
      </c>
      <c r="AI757" t="str">
        <f>LEFT(AF757,1)</f>
        <v>B</v>
      </c>
      <c r="AJ757" t="str">
        <f>LEFT(M757,1)</f>
        <v>M</v>
      </c>
      <c r="AK757" t="str">
        <f>_xlfn.CONCAT(AG757,AH757,AI757,AJ757)</f>
        <v>CMBM</v>
      </c>
    </row>
    <row r="758" spans="1:37" ht="15.75" hidden="1" customHeight="1" x14ac:dyDescent="0.2">
      <c r="A758" s="1">
        <v>522007</v>
      </c>
      <c r="B758" s="1" t="s">
        <v>4529</v>
      </c>
      <c r="C758" s="1" t="s">
        <v>685</v>
      </c>
      <c r="D758" s="1" t="s">
        <v>4558</v>
      </c>
      <c r="E758" s="1" t="s">
        <v>1983</v>
      </c>
      <c r="F758" s="1" t="s">
        <v>43</v>
      </c>
      <c r="G758" s="1" t="s">
        <v>4563</v>
      </c>
      <c r="H758" s="1">
        <v>4159</v>
      </c>
      <c r="I758" s="1" t="s">
        <v>4564</v>
      </c>
      <c r="J758" s="1">
        <v>2853</v>
      </c>
      <c r="K758" s="1" t="s">
        <v>35</v>
      </c>
      <c r="L758" s="1">
        <v>45</v>
      </c>
      <c r="M758" s="1" t="str">
        <f>IF(L758&lt;=45,"Joven","Mayor")</f>
        <v>Joven</v>
      </c>
      <c r="N758" s="1">
        <v>52</v>
      </c>
      <c r="O758" s="1" t="s">
        <v>36</v>
      </c>
      <c r="P758" s="1">
        <v>4.2999999999999997E-2</v>
      </c>
      <c r="Q758" s="1">
        <v>94.06</v>
      </c>
      <c r="R758" s="1">
        <v>1.0519122000000001</v>
      </c>
      <c r="S758" s="1">
        <v>2.7055359999999999</v>
      </c>
      <c r="T758" s="1">
        <v>-2.1293030000000002</v>
      </c>
      <c r="U758" s="1">
        <v>6.6829999999999998</v>
      </c>
      <c r="V758" s="1">
        <v>71</v>
      </c>
      <c r="W758" s="1">
        <v>137</v>
      </c>
      <c r="X758" s="1">
        <v>1.9295774647887325</v>
      </c>
      <c r="Y758" s="1">
        <v>74</v>
      </c>
      <c r="Z758" s="1">
        <v>137</v>
      </c>
      <c r="AA758" s="1">
        <v>1.8513513513513513</v>
      </c>
      <c r="AB758" s="1">
        <v>72.685641642523933</v>
      </c>
      <c r="AC758" s="1">
        <v>137.0168689313432</v>
      </c>
      <c r="AD758" s="1">
        <v>1.8850610084066863</v>
      </c>
      <c r="AE758" t="s">
        <v>4817</v>
      </c>
      <c r="AF758" t="str">
        <f>IF(X758&lt;$AF$1,"Bajo","Alto")</f>
        <v>Alto</v>
      </c>
      <c r="AG758" t="str">
        <f>LEFT(AE758,1)</f>
        <v>C</v>
      </c>
      <c r="AH758" t="str">
        <f>K758</f>
        <v>M</v>
      </c>
      <c r="AI758" t="str">
        <f>LEFT(AF758,1)</f>
        <v>A</v>
      </c>
      <c r="AJ758" t="str">
        <f>LEFT(M758,1)</f>
        <v>J</v>
      </c>
      <c r="AK758" t="str">
        <f>_xlfn.CONCAT(AG758,AH758,AI758,AJ758)</f>
        <v>CMAJ</v>
      </c>
    </row>
    <row r="759" spans="1:37" ht="15.75" hidden="1" customHeight="1" x14ac:dyDescent="0.2">
      <c r="A759" s="1">
        <v>242901</v>
      </c>
      <c r="B759" s="1" t="s">
        <v>1548</v>
      </c>
      <c r="C759" s="1" t="s">
        <v>1993</v>
      </c>
      <c r="D759" s="1" t="s">
        <v>3140</v>
      </c>
      <c r="E759" s="1" t="s">
        <v>1695</v>
      </c>
      <c r="F759" s="1" t="s">
        <v>32</v>
      </c>
      <c r="G759" s="1" t="s">
        <v>3141</v>
      </c>
      <c r="H759" s="1">
        <v>226</v>
      </c>
      <c r="I759" s="1" t="s">
        <v>100</v>
      </c>
      <c r="J759" s="1">
        <v>1</v>
      </c>
      <c r="K759" s="1" t="s">
        <v>35</v>
      </c>
      <c r="L759" s="1">
        <v>47</v>
      </c>
      <c r="M759" s="1" t="str">
        <f>IF(L759&lt;=45,"Joven","Mayor")</f>
        <v>Mayor</v>
      </c>
      <c r="N759" s="1">
        <v>45</v>
      </c>
      <c r="O759" s="1" t="s">
        <v>36</v>
      </c>
      <c r="P759" s="1">
        <v>0.19400000000000001</v>
      </c>
      <c r="Q759" s="1">
        <v>90.397000000000006</v>
      </c>
      <c r="R759" s="1">
        <v>4.1778029999999999</v>
      </c>
      <c r="S759" s="1">
        <v>6.5964993999999999</v>
      </c>
      <c r="T759" s="1">
        <v>-1.7679098</v>
      </c>
      <c r="U759" s="1">
        <v>2.524</v>
      </c>
      <c r="V759" s="1">
        <v>65</v>
      </c>
      <c r="W759" s="1">
        <v>125</v>
      </c>
      <c r="X759" s="1">
        <v>1.9230769230769231</v>
      </c>
      <c r="Y759" s="1">
        <v>66</v>
      </c>
      <c r="Z759" s="1">
        <v>125</v>
      </c>
      <c r="AA759" s="1">
        <v>1.893939393939394</v>
      </c>
      <c r="AB759" s="1">
        <v>67.140919878364684</v>
      </c>
      <c r="AC759" s="1">
        <v>124.94049951556011</v>
      </c>
      <c r="AD759" s="1">
        <v>1.8608696416716894</v>
      </c>
      <c r="AE759" t="s">
        <v>4817</v>
      </c>
      <c r="AF759" t="str">
        <f>IF(X759&lt;$AF$1,"Bajo","Alto")</f>
        <v>Alto</v>
      </c>
      <c r="AG759" t="str">
        <f>LEFT(AE759,1)</f>
        <v>C</v>
      </c>
      <c r="AH759" t="str">
        <f>K759</f>
        <v>M</v>
      </c>
      <c r="AI759" t="str">
        <f>LEFT(AF759,1)</f>
        <v>A</v>
      </c>
      <c r="AJ759" t="str">
        <f>LEFT(M759,1)</f>
        <v>M</v>
      </c>
      <c r="AK759" t="str">
        <f>_xlfn.CONCAT(AG759,AH759,AI759,AJ759)</f>
        <v>CMAM</v>
      </c>
    </row>
    <row r="760" spans="1:37" ht="15.75" hidden="1" customHeight="1" x14ac:dyDescent="0.2">
      <c r="A760" s="1">
        <v>250403</v>
      </c>
      <c r="B760" s="1" t="s">
        <v>3169</v>
      </c>
      <c r="C760" s="1" t="s">
        <v>821</v>
      </c>
      <c r="D760" s="1" t="s">
        <v>3185</v>
      </c>
      <c r="E760" s="1" t="s">
        <v>61</v>
      </c>
      <c r="F760" s="1" t="s">
        <v>63</v>
      </c>
      <c r="G760" s="1" t="s">
        <v>3187</v>
      </c>
      <c r="H760" s="1">
        <v>171</v>
      </c>
      <c r="I760" s="1" t="s">
        <v>294</v>
      </c>
      <c r="J760" s="1">
        <v>16</v>
      </c>
      <c r="K760" s="1" t="s">
        <v>35</v>
      </c>
      <c r="L760" s="1">
        <v>49</v>
      </c>
      <c r="M760" s="1" t="str">
        <f>IF(L760&lt;=45,"Joven","Mayor")</f>
        <v>Mayor</v>
      </c>
      <c r="N760" s="1">
        <v>55</v>
      </c>
      <c r="O760" s="1" t="s">
        <v>36</v>
      </c>
      <c r="P760" s="1">
        <v>0.375</v>
      </c>
      <c r="Q760" s="1">
        <v>91.658000000000001</v>
      </c>
      <c r="R760" s="1">
        <v>1.9210231</v>
      </c>
      <c r="S760" s="1">
        <v>8.2023419999999998</v>
      </c>
      <c r="T760" s="1">
        <v>-6.3327793999999997</v>
      </c>
      <c r="U760" s="1">
        <v>1.6859999999999999</v>
      </c>
      <c r="V760" s="1">
        <v>107</v>
      </c>
      <c r="W760" s="1">
        <v>172</v>
      </c>
      <c r="X760" s="1">
        <v>1.6074766355140186</v>
      </c>
      <c r="Y760" s="1">
        <v>109</v>
      </c>
      <c r="Z760" s="1">
        <v>172</v>
      </c>
      <c r="AA760" s="1">
        <v>1.5779816513761469</v>
      </c>
      <c r="AB760" s="1">
        <v>111.9725376516751</v>
      </c>
      <c r="AC760" s="1">
        <v>171.94318473199559</v>
      </c>
      <c r="AD760" s="1">
        <v>1.5355835309089589</v>
      </c>
      <c r="AE760" t="s">
        <v>4817</v>
      </c>
      <c r="AF760" t="str">
        <f>IF(X760&lt;$AF$1,"Bajo","Alto")</f>
        <v>Bajo</v>
      </c>
      <c r="AG760" t="str">
        <f>LEFT(AE760,1)</f>
        <v>C</v>
      </c>
      <c r="AH760" t="str">
        <f>K760</f>
        <v>M</v>
      </c>
      <c r="AI760" t="str">
        <f>LEFT(AF760,1)</f>
        <v>B</v>
      </c>
      <c r="AJ760" t="str">
        <f>LEFT(M760,1)</f>
        <v>M</v>
      </c>
      <c r="AK760" t="str">
        <f>_xlfn.CONCAT(AG760,AH760,AI760,AJ760)</f>
        <v>CMBM</v>
      </c>
    </row>
    <row r="761" spans="1:37" ht="15.75" hidden="1" customHeight="1" x14ac:dyDescent="0.2">
      <c r="A761" s="1">
        <v>10129502</v>
      </c>
      <c r="B761" s="1" t="s">
        <v>29</v>
      </c>
      <c r="C761" s="1" t="s">
        <v>30</v>
      </c>
      <c r="D761" s="1" t="s">
        <v>601</v>
      </c>
      <c r="E761" s="1" t="s">
        <v>602</v>
      </c>
      <c r="F761" s="1" t="s">
        <v>37</v>
      </c>
      <c r="G761" s="1" t="s">
        <v>604</v>
      </c>
      <c r="H761" s="1">
        <v>8701</v>
      </c>
      <c r="I761" s="1" t="s">
        <v>65</v>
      </c>
      <c r="J761" s="1">
        <v>2</v>
      </c>
      <c r="K761" s="1" t="s">
        <v>35</v>
      </c>
      <c r="L761" s="1">
        <v>56</v>
      </c>
      <c r="M761" s="1" t="str">
        <f>IF(L761&lt;=45,"Joven","Mayor")</f>
        <v>Mayor</v>
      </c>
      <c r="N761" s="1">
        <v>51</v>
      </c>
      <c r="O761" s="1" t="s">
        <v>36</v>
      </c>
      <c r="P761" s="1">
        <v>0.68300000000000005</v>
      </c>
      <c r="Q761" s="1">
        <v>87.494</v>
      </c>
      <c r="R761" s="1">
        <v>5.5753206999999998</v>
      </c>
      <c r="S761" s="1">
        <v>-8.2619100000000003</v>
      </c>
      <c r="T761" s="1">
        <v>-4.0975299999999999</v>
      </c>
      <c r="U761" s="1">
        <v>2.6880000000000002</v>
      </c>
      <c r="V761" s="1">
        <v>90</v>
      </c>
      <c r="W761" s="1">
        <v>173</v>
      </c>
      <c r="X761" s="1">
        <v>1.9222222222222223</v>
      </c>
      <c r="Y761" s="1">
        <v>93</v>
      </c>
      <c r="Z761" s="1">
        <v>173</v>
      </c>
      <c r="AA761" s="1">
        <v>1.8602150537634408</v>
      </c>
      <c r="AB761" s="1">
        <v>95.834820506944425</v>
      </c>
      <c r="AC761" s="1">
        <v>172.05760739752441</v>
      </c>
      <c r="AD761" s="1">
        <v>1.7953558684346542</v>
      </c>
      <c r="AE761" t="s">
        <v>4817</v>
      </c>
      <c r="AF761" t="str">
        <f>IF(X761&lt;$AF$1,"Bajo","Alto")</f>
        <v>Alto</v>
      </c>
      <c r="AG761" t="str">
        <f>LEFT(AE761,1)</f>
        <v>C</v>
      </c>
      <c r="AH761" t="str">
        <f>K761</f>
        <v>M</v>
      </c>
      <c r="AI761" t="str">
        <f>LEFT(AF761,1)</f>
        <v>A</v>
      </c>
      <c r="AJ761" t="str">
        <f>LEFT(M761,1)</f>
        <v>M</v>
      </c>
      <c r="AK761" t="str">
        <f>_xlfn.CONCAT(AG761,AH761,AI761,AJ761)</f>
        <v>CMAM</v>
      </c>
    </row>
    <row r="762" spans="1:37" ht="15.75" hidden="1" customHeight="1" x14ac:dyDescent="0.2">
      <c r="A762" s="1">
        <v>155205</v>
      </c>
      <c r="B762" s="1" t="s">
        <v>2077</v>
      </c>
      <c r="C762" s="1" t="s">
        <v>57</v>
      </c>
      <c r="D762" s="1" t="s">
        <v>2472</v>
      </c>
      <c r="E762" s="1" t="s">
        <v>685</v>
      </c>
      <c r="F762" s="1" t="s">
        <v>40</v>
      </c>
      <c r="G762" s="1" t="s">
        <v>2474</v>
      </c>
      <c r="H762" s="1">
        <v>660</v>
      </c>
      <c r="I762" s="1" t="s">
        <v>2475</v>
      </c>
      <c r="J762" s="1">
        <v>102</v>
      </c>
      <c r="K762" s="1" t="s">
        <v>35</v>
      </c>
      <c r="L762" s="1">
        <v>34</v>
      </c>
      <c r="M762" s="1" t="str">
        <f>IF(L762&lt;=45,"Joven","Mayor")</f>
        <v>Joven</v>
      </c>
      <c r="N762" s="1">
        <v>45</v>
      </c>
      <c r="O762" s="1" t="s">
        <v>36</v>
      </c>
      <c r="P762" s="1">
        <v>7.8E-2</v>
      </c>
      <c r="Q762" s="1">
        <v>87.97</v>
      </c>
      <c r="R762" s="1">
        <v>6.7580356999999998</v>
      </c>
      <c r="S762" s="1">
        <v>-4.3646779999999996</v>
      </c>
      <c r="T762" s="1">
        <v>1.5077598999999999</v>
      </c>
      <c r="U762" s="1">
        <v>11.817</v>
      </c>
      <c r="V762" s="1">
        <v>85</v>
      </c>
      <c r="W762" s="1">
        <v>164</v>
      </c>
      <c r="X762" s="1">
        <v>1.9294117647058824</v>
      </c>
      <c r="Y762" s="1">
        <v>86</v>
      </c>
      <c r="Z762" s="1">
        <v>164</v>
      </c>
      <c r="AA762" s="1">
        <v>1.9069767441860466</v>
      </c>
      <c r="AB762" s="1">
        <v>86.180938016684877</v>
      </c>
      <c r="AC762" s="1">
        <v>163.99584303876421</v>
      </c>
      <c r="AD762" s="1">
        <v>1.9029247860706058</v>
      </c>
      <c r="AE762" t="s">
        <v>4817</v>
      </c>
      <c r="AF762" t="str">
        <f>IF(X762&lt;$AF$1,"Bajo","Alto")</f>
        <v>Alto</v>
      </c>
      <c r="AG762" t="str">
        <f>LEFT(AE762,1)</f>
        <v>C</v>
      </c>
      <c r="AH762" t="str">
        <f>K762</f>
        <v>M</v>
      </c>
      <c r="AI762" t="str">
        <f>LEFT(AF762,1)</f>
        <v>A</v>
      </c>
      <c r="AJ762" t="str">
        <f>LEFT(M762,1)</f>
        <v>J</v>
      </c>
      <c r="AK762" t="str">
        <f>_xlfn.CONCAT(AG762,AH762,AI762,AJ762)</f>
        <v>CMAJ</v>
      </c>
    </row>
    <row r="763" spans="1:37" ht="15.75" hidden="1" customHeight="1" x14ac:dyDescent="0.2">
      <c r="A763" s="1">
        <v>312801</v>
      </c>
      <c r="B763" s="1" t="s">
        <v>4122</v>
      </c>
      <c r="C763" s="1" t="s">
        <v>628</v>
      </c>
      <c r="D763" s="1" t="s">
        <v>4196</v>
      </c>
      <c r="E763" s="1" t="s">
        <v>561</v>
      </c>
      <c r="F763" s="1" t="s">
        <v>32</v>
      </c>
      <c r="G763" s="1" t="s">
        <v>4197</v>
      </c>
      <c r="H763" s="1">
        <v>205</v>
      </c>
      <c r="I763" s="1" t="s">
        <v>100</v>
      </c>
      <c r="J763" s="1">
        <v>1</v>
      </c>
      <c r="K763" s="1" t="s">
        <v>35</v>
      </c>
      <c r="L763" s="1">
        <v>68</v>
      </c>
      <c r="M763" s="1" t="str">
        <f>IF(L763&lt;=45,"Joven","Mayor")</f>
        <v>Mayor</v>
      </c>
      <c r="N763" s="1">
        <v>70</v>
      </c>
      <c r="O763" s="1" t="s">
        <v>36</v>
      </c>
      <c r="P763" s="1">
        <v>0.71599999999999997</v>
      </c>
      <c r="Q763" s="1">
        <v>92.831999999999994</v>
      </c>
      <c r="R763" s="1">
        <v>-2.4888773</v>
      </c>
      <c r="S763" s="1">
        <v>3.4573866999999998</v>
      </c>
      <c r="T763" s="1">
        <v>-1.5992181000000001</v>
      </c>
      <c r="U763" s="1">
        <v>26.917000000000002</v>
      </c>
      <c r="V763" s="1">
        <v>97</v>
      </c>
      <c r="W763" s="1">
        <v>156</v>
      </c>
      <c r="X763" s="1">
        <v>1.6082474226804124</v>
      </c>
      <c r="Y763" s="1">
        <v>100</v>
      </c>
      <c r="Z763" s="1">
        <v>156</v>
      </c>
      <c r="AA763" s="1">
        <v>1.56</v>
      </c>
      <c r="AB763" s="1">
        <v>98.844729706144335</v>
      </c>
      <c r="AC763" s="1">
        <v>156.0229613658025</v>
      </c>
      <c r="AD763" s="1">
        <v>1.5784651526656346</v>
      </c>
      <c r="AE763" t="s">
        <v>4817</v>
      </c>
      <c r="AF763" t="str">
        <f>IF(X763&lt;$AF$1,"Bajo","Alto")</f>
        <v>Bajo</v>
      </c>
      <c r="AG763" t="str">
        <f>LEFT(AE763,1)</f>
        <v>C</v>
      </c>
      <c r="AH763" t="str">
        <f>K763</f>
        <v>M</v>
      </c>
      <c r="AI763" t="str">
        <f>LEFT(AF763,1)</f>
        <v>B</v>
      </c>
      <c r="AJ763" t="str">
        <f>LEFT(M763,1)</f>
        <v>M</v>
      </c>
      <c r="AK763" t="str">
        <f>_xlfn.CONCAT(AG763,AH763,AI763,AJ763)</f>
        <v>CMBM</v>
      </c>
    </row>
    <row r="764" spans="1:37" ht="15.75" hidden="1" customHeight="1" x14ac:dyDescent="0.2">
      <c r="A764" s="1">
        <v>247001</v>
      </c>
      <c r="B764" s="1" t="s">
        <v>1548</v>
      </c>
      <c r="C764" s="1" t="s">
        <v>1993</v>
      </c>
      <c r="D764" s="1" t="s">
        <v>3154</v>
      </c>
      <c r="E764" s="1" t="s">
        <v>720</v>
      </c>
      <c r="F764" s="1" t="s">
        <v>32</v>
      </c>
      <c r="G764" s="1" t="s">
        <v>3155</v>
      </c>
      <c r="H764" s="1">
        <v>1618</v>
      </c>
      <c r="I764" s="1" t="s">
        <v>100</v>
      </c>
      <c r="J764" s="1">
        <v>1</v>
      </c>
      <c r="K764" s="1" t="s">
        <v>35</v>
      </c>
      <c r="L764" s="1">
        <v>36</v>
      </c>
      <c r="M764" s="1" t="str">
        <f>IF(L764&lt;=45,"Joven","Mayor")</f>
        <v>Joven</v>
      </c>
      <c r="N764" s="1">
        <v>33</v>
      </c>
      <c r="O764" s="1" t="s">
        <v>36</v>
      </c>
      <c r="P764" s="1">
        <v>0.106</v>
      </c>
      <c r="Q764" s="1">
        <v>92.808999999999997</v>
      </c>
      <c r="R764" s="1">
        <v>-0.91622119999999996</v>
      </c>
      <c r="S764" s="1">
        <v>7.2810439999999996</v>
      </c>
      <c r="T764" s="1">
        <v>3.2249905999999999</v>
      </c>
      <c r="U764" s="1">
        <v>64.28</v>
      </c>
      <c r="V764" s="1">
        <v>85</v>
      </c>
      <c r="W764" s="1">
        <v>164</v>
      </c>
      <c r="X764" s="1">
        <v>1.9294117647058824</v>
      </c>
      <c r="Y764" s="1">
        <v>91</v>
      </c>
      <c r="Z764" s="1">
        <v>164</v>
      </c>
      <c r="AA764" s="1">
        <v>1.8021978021978022</v>
      </c>
      <c r="AB764" s="1">
        <v>88.549348768241543</v>
      </c>
      <c r="AC764" s="1">
        <v>164.35910361535301</v>
      </c>
      <c r="AD764" s="1">
        <v>1.8561300100074911</v>
      </c>
      <c r="AE764" t="s">
        <v>4817</v>
      </c>
      <c r="AF764" t="str">
        <f>IF(X764&lt;$AF$1,"Bajo","Alto")</f>
        <v>Alto</v>
      </c>
      <c r="AG764" t="str">
        <f>LEFT(AE764,1)</f>
        <v>C</v>
      </c>
      <c r="AH764" t="str">
        <f>K764</f>
        <v>M</v>
      </c>
      <c r="AI764" t="str">
        <f>LEFT(AF764,1)</f>
        <v>A</v>
      </c>
      <c r="AJ764" t="str">
        <f>LEFT(M764,1)</f>
        <v>J</v>
      </c>
      <c r="AK764" t="str">
        <f>_xlfn.CONCAT(AG764,AH764,AI764,AJ764)</f>
        <v>CMAJ</v>
      </c>
    </row>
    <row r="765" spans="1:37" ht="15.75" hidden="1" customHeight="1" x14ac:dyDescent="0.2">
      <c r="A765" s="1">
        <v>1074301</v>
      </c>
      <c r="B765" s="1" t="s">
        <v>1067</v>
      </c>
      <c r="C765" s="1" t="s">
        <v>1068</v>
      </c>
      <c r="D765" s="1" t="s">
        <v>1447</v>
      </c>
      <c r="E765" s="1" t="s">
        <v>665</v>
      </c>
      <c r="F765" s="1" t="s">
        <v>32</v>
      </c>
      <c r="G765" s="1" t="s">
        <v>1448</v>
      </c>
      <c r="H765" s="1">
        <v>588</v>
      </c>
      <c r="I765" s="1" t="s">
        <v>39</v>
      </c>
      <c r="J765" s="1">
        <v>11</v>
      </c>
      <c r="K765" s="1" t="s">
        <v>49</v>
      </c>
      <c r="L765" s="1">
        <v>47</v>
      </c>
      <c r="M765" s="1" t="str">
        <f>IF(L765&lt;=45,"Joven","Mayor")</f>
        <v>Mayor</v>
      </c>
      <c r="N765" s="1">
        <v>57</v>
      </c>
      <c r="O765" s="1" t="s">
        <v>50</v>
      </c>
      <c r="P765" s="1">
        <v>0.24</v>
      </c>
      <c r="Q765" s="1">
        <v>94.352999999999994</v>
      </c>
      <c r="R765" s="1">
        <v>0.83633100000000005</v>
      </c>
      <c r="S765" s="1">
        <v>-1.5087383999999999</v>
      </c>
      <c r="T765" s="1">
        <v>-0.98902500000000004</v>
      </c>
      <c r="U765" s="1">
        <v>1.8640000000000001</v>
      </c>
      <c r="V765" s="1">
        <v>105</v>
      </c>
      <c r="W765" s="1">
        <v>167</v>
      </c>
      <c r="X765" s="1">
        <v>1.5904761904761904</v>
      </c>
      <c r="Y765" s="1">
        <v>107</v>
      </c>
      <c r="Z765" s="1">
        <v>167</v>
      </c>
      <c r="AA765" s="1">
        <v>1.5607476635514019</v>
      </c>
      <c r="AB765" s="1">
        <v>107.5536683391595</v>
      </c>
      <c r="AC765" s="1">
        <v>166.92333765370901</v>
      </c>
      <c r="AD765" s="1">
        <v>1.5520004127365821</v>
      </c>
      <c r="AE765" t="s">
        <v>4816</v>
      </c>
      <c r="AF765" t="str">
        <f>IF(X765&lt;$AF$1,"Bajo","Alto")</f>
        <v>Bajo</v>
      </c>
      <c r="AG765" t="str">
        <f>LEFT(AE765,1)</f>
        <v>D</v>
      </c>
      <c r="AH765" t="str">
        <f>K765</f>
        <v>F</v>
      </c>
      <c r="AI765" t="str">
        <f>LEFT(AF765,1)</f>
        <v>B</v>
      </c>
      <c r="AJ765" t="str">
        <f>LEFT(M765,1)</f>
        <v>M</v>
      </c>
      <c r="AK765" t="str">
        <f>_xlfn.CONCAT(AG765,AH765,AI765,AJ765)</f>
        <v>DFBM</v>
      </c>
    </row>
    <row r="766" spans="1:37" ht="15.75" hidden="1" customHeight="1" x14ac:dyDescent="0.2">
      <c r="A766" s="1">
        <v>284806</v>
      </c>
      <c r="B766" s="1" t="s">
        <v>1775</v>
      </c>
      <c r="C766" s="1" t="s">
        <v>561</v>
      </c>
      <c r="D766" s="1" t="s">
        <v>3869</v>
      </c>
      <c r="E766" s="1" t="s">
        <v>2650</v>
      </c>
      <c r="F766" s="1" t="s">
        <v>88</v>
      </c>
      <c r="G766" s="1" t="s">
        <v>3871</v>
      </c>
      <c r="H766" s="1">
        <v>5746</v>
      </c>
      <c r="I766" s="1" t="s">
        <v>3872</v>
      </c>
      <c r="J766" s="1">
        <v>3427</v>
      </c>
      <c r="K766" s="1" t="s">
        <v>35</v>
      </c>
      <c r="L766" s="1">
        <v>39</v>
      </c>
      <c r="M766" s="1" t="str">
        <f>IF(L766&lt;=45,"Joven","Mayor")</f>
        <v>Joven</v>
      </c>
      <c r="N766" s="1">
        <v>41</v>
      </c>
      <c r="O766" s="1" t="s">
        <v>36</v>
      </c>
      <c r="P766" s="1">
        <v>0.375</v>
      </c>
      <c r="Q766" s="1">
        <v>91.322999999999993</v>
      </c>
      <c r="R766" s="1">
        <v>3.1079452000000001</v>
      </c>
      <c r="S766" s="1">
        <v>6.7529849999999998</v>
      </c>
      <c r="T766" s="1">
        <v>-4.0991410000000004</v>
      </c>
      <c r="U766" s="1">
        <v>10.997999999999999</v>
      </c>
      <c r="V766" s="1">
        <v>92</v>
      </c>
      <c r="W766" s="1">
        <v>151</v>
      </c>
      <c r="X766" s="1">
        <v>1.6413043478260869</v>
      </c>
      <c r="Y766" s="1">
        <v>93</v>
      </c>
      <c r="Z766" s="1">
        <v>151</v>
      </c>
      <c r="AA766" s="1">
        <v>1.6236559139784945</v>
      </c>
      <c r="AB766" s="1">
        <v>94.838397719223394</v>
      </c>
      <c r="AC766" s="1">
        <v>151.0426150069629</v>
      </c>
      <c r="AD766" s="1">
        <v>1.5926314513888833</v>
      </c>
      <c r="AE766" t="s">
        <v>4817</v>
      </c>
      <c r="AF766" t="str">
        <f>IF(X766&lt;$AF$1,"Bajo","Alto")</f>
        <v>Bajo</v>
      </c>
      <c r="AG766" t="str">
        <f>LEFT(AE766,1)</f>
        <v>C</v>
      </c>
      <c r="AH766" t="str">
        <f>K766</f>
        <v>M</v>
      </c>
      <c r="AI766" t="str">
        <f>LEFT(AF766,1)</f>
        <v>B</v>
      </c>
      <c r="AJ766" t="str">
        <f>LEFT(M766,1)</f>
        <v>J</v>
      </c>
      <c r="AK766" t="str">
        <f>_xlfn.CONCAT(AG766,AH766,AI766,AJ766)</f>
        <v>CMBJ</v>
      </c>
    </row>
    <row r="767" spans="1:37" ht="15.75" hidden="1" customHeight="1" x14ac:dyDescent="0.2">
      <c r="A767" s="1">
        <v>250107</v>
      </c>
      <c r="B767" s="1" t="s">
        <v>3169</v>
      </c>
      <c r="C767" s="1" t="s">
        <v>821</v>
      </c>
      <c r="D767" s="1" t="s">
        <v>3170</v>
      </c>
      <c r="E767" s="1" t="s">
        <v>32</v>
      </c>
      <c r="F767" s="1" t="s">
        <v>43</v>
      </c>
      <c r="G767" s="1" t="s">
        <v>3177</v>
      </c>
      <c r="H767" s="1">
        <v>110462</v>
      </c>
      <c r="I767" s="1" t="s">
        <v>48</v>
      </c>
      <c r="J767" s="1">
        <v>4</v>
      </c>
      <c r="K767" s="1" t="s">
        <v>35</v>
      </c>
      <c r="L767" s="1">
        <v>68</v>
      </c>
      <c r="M767" s="1" t="str">
        <f>IF(L767&lt;=45,"Joven","Mayor")</f>
        <v>Mayor</v>
      </c>
      <c r="N767" s="1">
        <v>81</v>
      </c>
      <c r="O767" s="1" t="s">
        <v>36</v>
      </c>
      <c r="P767" s="1">
        <v>2.044</v>
      </c>
      <c r="Q767" s="1">
        <v>43.04</v>
      </c>
      <c r="R767" s="1">
        <v>-16.069648999999998</v>
      </c>
      <c r="S767" s="1">
        <v>-7.6453369999999996</v>
      </c>
      <c r="T767" s="1">
        <v>0.26844308</v>
      </c>
      <c r="U767" s="1">
        <v>2.1240000000000001</v>
      </c>
      <c r="V767" s="1">
        <v>110</v>
      </c>
      <c r="W767" s="1">
        <v>177</v>
      </c>
      <c r="X767" s="1">
        <v>1.6090909090909091</v>
      </c>
      <c r="Y767" s="1">
        <v>114</v>
      </c>
      <c r="Z767" s="1">
        <v>177</v>
      </c>
      <c r="AA767" s="1">
        <v>1.5526315789473684</v>
      </c>
      <c r="AB767" s="1">
        <v>114.1955271165962</v>
      </c>
      <c r="AC767" s="1">
        <v>176.984001722974</v>
      </c>
      <c r="AD767" s="1">
        <v>1.5498330468081238</v>
      </c>
      <c r="AE767" t="s">
        <v>4817</v>
      </c>
      <c r="AF767" t="str">
        <f>IF(X767&lt;$AF$1,"Bajo","Alto")</f>
        <v>Bajo</v>
      </c>
      <c r="AG767" t="str">
        <f>LEFT(AE767,1)</f>
        <v>C</v>
      </c>
      <c r="AH767" t="str">
        <f>K767</f>
        <v>M</v>
      </c>
      <c r="AI767" t="str">
        <f>LEFT(AF767,1)</f>
        <v>B</v>
      </c>
      <c r="AJ767" t="str">
        <f>LEFT(M767,1)</f>
        <v>M</v>
      </c>
      <c r="AK767" t="str">
        <f>_xlfn.CONCAT(AG767,AH767,AI767,AJ767)</f>
        <v>CMBM</v>
      </c>
    </row>
    <row r="768" spans="1:37" ht="15.75" hidden="1" customHeight="1" x14ac:dyDescent="0.2">
      <c r="A768" s="1">
        <v>2721901</v>
      </c>
      <c r="B768" s="1" t="s">
        <v>3409</v>
      </c>
      <c r="C768" s="1" t="s">
        <v>973</v>
      </c>
      <c r="D768" s="1" t="s">
        <v>3640</v>
      </c>
      <c r="E768" s="1" t="s">
        <v>3641</v>
      </c>
      <c r="F768" s="1" t="s">
        <v>32</v>
      </c>
      <c r="G768" s="1" t="s">
        <v>3642</v>
      </c>
      <c r="H768" s="1">
        <v>627</v>
      </c>
      <c r="I768" s="1" t="s">
        <v>134</v>
      </c>
      <c r="J768" s="1">
        <v>8</v>
      </c>
      <c r="K768" s="1" t="s">
        <v>35</v>
      </c>
      <c r="L768" s="1">
        <v>36</v>
      </c>
      <c r="M768" s="1" t="str">
        <f>IF(L768&lt;=45,"Joven","Mayor")</f>
        <v>Joven</v>
      </c>
      <c r="N768" s="1">
        <v>41</v>
      </c>
      <c r="O768" s="1" t="s">
        <v>36</v>
      </c>
      <c r="P768" s="1">
        <v>0.36499999999999999</v>
      </c>
      <c r="Q768" s="1">
        <v>91.581999999999994</v>
      </c>
      <c r="R768" s="1">
        <v>1.0048855999999999</v>
      </c>
      <c r="S768" s="1">
        <v>9.6842980000000001</v>
      </c>
      <c r="T768" s="1">
        <v>-1.395648</v>
      </c>
      <c r="U768" s="1">
        <v>3.2959999999999998</v>
      </c>
      <c r="V768" s="1">
        <v>101</v>
      </c>
      <c r="W768" s="1">
        <v>166</v>
      </c>
      <c r="X768" s="1">
        <v>1.6435643564356435</v>
      </c>
      <c r="Y768" s="1">
        <v>103</v>
      </c>
      <c r="Z768" s="1">
        <v>166</v>
      </c>
      <c r="AA768" s="1">
        <v>1.6116504854368932</v>
      </c>
      <c r="AB768" s="1">
        <v>103.9436940577061</v>
      </c>
      <c r="AC768" s="1">
        <v>165.80461742165789</v>
      </c>
      <c r="AD768" s="1">
        <v>1.5951387809019819</v>
      </c>
      <c r="AE768" t="s">
        <v>4817</v>
      </c>
      <c r="AF768" t="str">
        <f>IF(X768&lt;$AF$1,"Bajo","Alto")</f>
        <v>Bajo</v>
      </c>
      <c r="AG768" t="str">
        <f>LEFT(AE768,1)</f>
        <v>C</v>
      </c>
      <c r="AH768" t="str">
        <f>K768</f>
        <v>M</v>
      </c>
      <c r="AI768" t="str">
        <f>LEFT(AF768,1)</f>
        <v>B</v>
      </c>
      <c r="AJ768" t="str">
        <f>LEFT(M768,1)</f>
        <v>J</v>
      </c>
      <c r="AK768" t="str">
        <f>_xlfn.CONCAT(AG768,AH768,AI768,AJ768)</f>
        <v>CMBJ</v>
      </c>
    </row>
    <row r="769" spans="1:37" ht="15.75" hidden="1" customHeight="1" x14ac:dyDescent="0.2">
      <c r="A769" s="1">
        <v>1217002</v>
      </c>
      <c r="B769" s="1" t="s">
        <v>1798</v>
      </c>
      <c r="C769" s="1" t="s">
        <v>54</v>
      </c>
      <c r="D769" s="1" t="s">
        <v>1805</v>
      </c>
      <c r="E769" s="1" t="s">
        <v>286</v>
      </c>
      <c r="F769" s="1" t="s">
        <v>37</v>
      </c>
      <c r="G769" s="1" t="s">
        <v>1807</v>
      </c>
      <c r="H769" s="1">
        <v>22</v>
      </c>
      <c r="I769" s="1" t="s">
        <v>39</v>
      </c>
      <c r="J769" s="1">
        <v>11</v>
      </c>
      <c r="K769" s="1" t="s">
        <v>35</v>
      </c>
      <c r="L769" s="1">
        <v>42</v>
      </c>
      <c r="M769" s="1" t="str">
        <f>IF(L769&lt;=45,"Joven","Mayor")</f>
        <v>Joven</v>
      </c>
      <c r="N769" s="1">
        <v>35</v>
      </c>
      <c r="O769" s="1" t="s">
        <v>36</v>
      </c>
      <c r="P769" s="1">
        <v>0.35399999999999998</v>
      </c>
      <c r="Q769" s="1">
        <v>89.409000000000006</v>
      </c>
      <c r="R769" s="1">
        <v>4.5219550000000002</v>
      </c>
      <c r="S769" s="1">
        <v>7.6763896999999996</v>
      </c>
      <c r="T769" s="1">
        <v>-0.83618749999999997</v>
      </c>
      <c r="U769" s="1">
        <v>16.773</v>
      </c>
      <c r="V769" s="1">
        <v>96</v>
      </c>
      <c r="W769" s="1">
        <v>184</v>
      </c>
      <c r="X769" s="1">
        <v>1.9166666666666667</v>
      </c>
      <c r="Y769" s="1">
        <v>97</v>
      </c>
      <c r="Z769" s="1">
        <v>184</v>
      </c>
      <c r="AA769" s="1">
        <v>1.8969072164948453</v>
      </c>
      <c r="AB769" s="1">
        <v>96.646493407715298</v>
      </c>
      <c r="AC769" s="1">
        <v>183.9220303107036</v>
      </c>
      <c r="AD769" s="1">
        <v>1.9030388359234676</v>
      </c>
      <c r="AE769" t="s">
        <v>4816</v>
      </c>
      <c r="AF769" t="str">
        <f>IF(X769&lt;$AF$1,"Bajo","Alto")</f>
        <v>Alto</v>
      </c>
      <c r="AG769" t="str">
        <f>LEFT(AE769,1)</f>
        <v>D</v>
      </c>
      <c r="AH769" t="str">
        <f>K769</f>
        <v>M</v>
      </c>
      <c r="AI769" t="str">
        <f>LEFT(AF769,1)</f>
        <v>A</v>
      </c>
      <c r="AJ769" t="str">
        <f>LEFT(M769,1)</f>
        <v>J</v>
      </c>
      <c r="AK769" t="str">
        <f>_xlfn.CONCAT(AG769,AH769,AI769,AJ769)</f>
        <v>DMAJ</v>
      </c>
    </row>
    <row r="770" spans="1:37" ht="15.75" hidden="1" customHeight="1" x14ac:dyDescent="0.2">
      <c r="A770" s="1">
        <v>159407</v>
      </c>
      <c r="B770" s="1" t="s">
        <v>2077</v>
      </c>
      <c r="C770" s="1" t="s">
        <v>57</v>
      </c>
      <c r="D770" s="1" t="s">
        <v>2539</v>
      </c>
      <c r="E770" s="1" t="s">
        <v>775</v>
      </c>
      <c r="F770" s="1" t="s">
        <v>43</v>
      </c>
      <c r="G770" s="1" t="s">
        <v>2543</v>
      </c>
      <c r="H770" s="1">
        <v>13427</v>
      </c>
      <c r="I770" s="1" t="s">
        <v>2544</v>
      </c>
      <c r="J770" s="1">
        <v>2483</v>
      </c>
      <c r="K770" s="1" t="s">
        <v>49</v>
      </c>
      <c r="L770" s="1">
        <v>45</v>
      </c>
      <c r="M770" s="1" t="str">
        <f>IF(L770&lt;=45,"Joven","Mayor")</f>
        <v>Joven</v>
      </c>
      <c r="N770" s="1">
        <v>25</v>
      </c>
      <c r="O770" s="1" t="s">
        <v>50</v>
      </c>
      <c r="P770" s="1">
        <v>0.42799999999999999</v>
      </c>
      <c r="Q770" s="1">
        <v>85.704999999999998</v>
      </c>
      <c r="R770" s="1">
        <v>-7.2437199999999997</v>
      </c>
      <c r="S770" s="1">
        <v>-6.7116040000000003</v>
      </c>
      <c r="T770" s="1">
        <v>0.40683713999999999</v>
      </c>
      <c r="U770" s="1">
        <v>52.375</v>
      </c>
      <c r="V770" s="1">
        <v>66</v>
      </c>
      <c r="W770" s="1">
        <v>129</v>
      </c>
      <c r="X770" s="1">
        <v>1.9545454545454546</v>
      </c>
      <c r="Y770" s="1">
        <v>66</v>
      </c>
      <c r="Z770" s="1">
        <v>129</v>
      </c>
      <c r="AA770" s="1">
        <v>1.9545454545454546</v>
      </c>
      <c r="AB770" s="1">
        <v>66.126146756504795</v>
      </c>
      <c r="AC770" s="1">
        <v>128.91154092015589</v>
      </c>
      <c r="AD770" s="1">
        <v>1.9494790978044538</v>
      </c>
      <c r="AE770" t="s">
        <v>4817</v>
      </c>
      <c r="AF770" t="str">
        <f>IF(X770&lt;$AF$1,"Bajo","Alto")</f>
        <v>Alto</v>
      </c>
      <c r="AG770" t="str">
        <f>LEFT(AE770,1)</f>
        <v>C</v>
      </c>
      <c r="AH770" t="str">
        <f>K770</f>
        <v>F</v>
      </c>
      <c r="AI770" t="str">
        <f>LEFT(AF770,1)</f>
        <v>A</v>
      </c>
      <c r="AJ770" t="str">
        <f>LEFT(M770,1)</f>
        <v>J</v>
      </c>
      <c r="AK770" t="str">
        <f>_xlfn.CONCAT(AG770,AH770,AI770,AJ770)</f>
        <v>CFAJ</v>
      </c>
    </row>
    <row r="771" spans="1:37" ht="15.75" hidden="1" customHeight="1" x14ac:dyDescent="0.2">
      <c r="A771" s="1">
        <v>111002</v>
      </c>
      <c r="B771" s="1" t="s">
        <v>1648</v>
      </c>
      <c r="C771" s="1" t="s">
        <v>51</v>
      </c>
      <c r="D771" s="1" t="s">
        <v>1668</v>
      </c>
      <c r="E771" s="1" t="s">
        <v>75</v>
      </c>
      <c r="F771" s="1" t="s">
        <v>37</v>
      </c>
      <c r="G771" s="1" t="s">
        <v>1670</v>
      </c>
      <c r="H771" s="1">
        <v>650</v>
      </c>
      <c r="I771" s="1" t="s">
        <v>85</v>
      </c>
      <c r="J771" s="1">
        <v>12</v>
      </c>
      <c r="K771" s="1" t="s">
        <v>35</v>
      </c>
      <c r="L771" s="1">
        <v>55</v>
      </c>
      <c r="M771" s="1" t="str">
        <f>IF(L771&lt;=45,"Joven","Mayor")</f>
        <v>Mayor</v>
      </c>
      <c r="N771" s="1">
        <v>55</v>
      </c>
      <c r="O771" s="1" t="s">
        <v>36</v>
      </c>
      <c r="P771" s="1">
        <v>0.36799999999999999</v>
      </c>
      <c r="Q771" s="1">
        <v>75.260999999999996</v>
      </c>
      <c r="R771" s="1">
        <v>11.177299</v>
      </c>
      <c r="S771" s="1">
        <v>5.5818139999999996</v>
      </c>
      <c r="T771" s="1">
        <v>-14.051627</v>
      </c>
      <c r="U771" s="1">
        <v>0.17399999999999999</v>
      </c>
      <c r="V771" s="1">
        <v>88</v>
      </c>
      <c r="W771" s="1">
        <v>166</v>
      </c>
      <c r="X771" s="1">
        <v>1.8863636363636365</v>
      </c>
      <c r="Y771" s="1">
        <v>101</v>
      </c>
      <c r="Z771" s="1">
        <v>166</v>
      </c>
      <c r="AA771" s="1">
        <v>1.6435643564356435</v>
      </c>
      <c r="AB771" s="1">
        <v>99.691775936482372</v>
      </c>
      <c r="AC771" s="1">
        <v>167.3455378535368</v>
      </c>
      <c r="AD771" s="1">
        <v>1.6786293180308007</v>
      </c>
      <c r="AE771" t="s">
        <v>4815</v>
      </c>
      <c r="AF771" t="str">
        <f>IF(X771&lt;$AF$1,"Bajo","Alto")</f>
        <v>Alto</v>
      </c>
      <c r="AG771" t="str">
        <f>LEFT(AE771,1)</f>
        <v>I</v>
      </c>
      <c r="AH771" t="str">
        <f>K771</f>
        <v>M</v>
      </c>
      <c r="AI771" t="str">
        <f>LEFT(AF771,1)</f>
        <v>A</v>
      </c>
      <c r="AJ771" t="str">
        <f>LEFT(M771,1)</f>
        <v>M</v>
      </c>
      <c r="AK771" t="str">
        <f>_xlfn.CONCAT(AG771,AH771,AI771,AJ771)</f>
        <v>IMAM</v>
      </c>
    </row>
    <row r="772" spans="1:37" ht="15.75" hidden="1" customHeight="1" x14ac:dyDescent="0.2">
      <c r="A772" s="1">
        <v>10125003</v>
      </c>
      <c r="B772" s="1" t="s">
        <v>29</v>
      </c>
      <c r="C772" s="1" t="s">
        <v>30</v>
      </c>
      <c r="D772" s="1" t="s">
        <v>499</v>
      </c>
      <c r="E772" s="1" t="s">
        <v>500</v>
      </c>
      <c r="F772" s="1" t="s">
        <v>63</v>
      </c>
      <c r="G772" s="1" t="s">
        <v>502</v>
      </c>
      <c r="H772" s="1">
        <v>3455</v>
      </c>
      <c r="I772" s="1" t="s">
        <v>65</v>
      </c>
      <c r="J772" s="1">
        <v>2</v>
      </c>
      <c r="K772" s="1" t="s">
        <v>35</v>
      </c>
      <c r="L772" s="1">
        <v>55</v>
      </c>
      <c r="M772" s="1" t="str">
        <f>IF(L772&lt;=45,"Joven","Mayor")</f>
        <v>Mayor</v>
      </c>
      <c r="N772" s="1">
        <v>54</v>
      </c>
      <c r="O772" s="1" t="s">
        <v>36</v>
      </c>
      <c r="P772" s="1">
        <v>1.105</v>
      </c>
      <c r="Q772" s="1">
        <v>90.792000000000002</v>
      </c>
      <c r="R772" s="1">
        <v>3.9349284</v>
      </c>
      <c r="S772" s="1">
        <v>5.5319659999999997</v>
      </c>
      <c r="T772" s="1">
        <v>-5.2547902999999998</v>
      </c>
      <c r="U772" s="1">
        <v>0.72399999999999998</v>
      </c>
      <c r="V772" s="1">
        <v>100</v>
      </c>
      <c r="W772" s="1">
        <v>161</v>
      </c>
      <c r="X772" s="1">
        <v>1.61</v>
      </c>
      <c r="Y772" s="1">
        <v>105</v>
      </c>
      <c r="Z772" s="1">
        <v>161</v>
      </c>
      <c r="AA772" s="1">
        <v>1.5333333333333334</v>
      </c>
      <c r="AB772" s="1">
        <v>103.7010467315461</v>
      </c>
      <c r="AC772" s="1">
        <v>160.87287035282719</v>
      </c>
      <c r="AD772" s="1">
        <v>1.5513138528802264</v>
      </c>
      <c r="AE772" t="s">
        <v>4817</v>
      </c>
      <c r="AF772" t="str">
        <f>IF(X772&lt;$AF$1,"Bajo","Alto")</f>
        <v>Bajo</v>
      </c>
      <c r="AG772" t="str">
        <f>LEFT(AE772,1)</f>
        <v>C</v>
      </c>
      <c r="AH772" t="str">
        <f>K772</f>
        <v>M</v>
      </c>
      <c r="AI772" t="str">
        <f>LEFT(AF772,1)</f>
        <v>B</v>
      </c>
      <c r="AJ772" t="str">
        <f>LEFT(M772,1)</f>
        <v>M</v>
      </c>
      <c r="AK772" t="str">
        <f>_xlfn.CONCAT(AG772,AH772,AI772,AJ772)</f>
        <v>CMBM</v>
      </c>
    </row>
    <row r="773" spans="1:37" ht="15.75" hidden="1" customHeight="1" x14ac:dyDescent="0.2">
      <c r="A773" s="1">
        <v>110704</v>
      </c>
      <c r="B773" s="1" t="s">
        <v>1648</v>
      </c>
      <c r="C773" s="1" t="s">
        <v>51</v>
      </c>
      <c r="D773" s="1" t="s">
        <v>694</v>
      </c>
      <c r="E773" s="1" t="s">
        <v>43</v>
      </c>
      <c r="F773" s="1" t="s">
        <v>61</v>
      </c>
      <c r="G773" s="1" t="s">
        <v>1666</v>
      </c>
      <c r="H773" s="1">
        <v>214</v>
      </c>
      <c r="I773" s="1" t="s">
        <v>108</v>
      </c>
      <c r="J773" s="1">
        <v>3</v>
      </c>
      <c r="K773" s="1" t="s">
        <v>35</v>
      </c>
      <c r="L773" s="1">
        <v>46</v>
      </c>
      <c r="M773" s="1" t="str">
        <f>IF(L773&lt;=45,"Joven","Mayor")</f>
        <v>Mayor</v>
      </c>
      <c r="N773" s="1">
        <v>45</v>
      </c>
      <c r="O773" s="1" t="s">
        <v>36</v>
      </c>
      <c r="P773" s="1">
        <v>0.28499999999999998</v>
      </c>
      <c r="Q773" s="1">
        <v>93.298000000000002</v>
      </c>
      <c r="R773" s="1">
        <v>1.8296342999999999</v>
      </c>
      <c r="S773" s="1">
        <v>-3.8096215999999998</v>
      </c>
      <c r="T773" s="1">
        <v>-1.5579551</v>
      </c>
      <c r="U773" s="1">
        <v>0.60199999999999998</v>
      </c>
      <c r="V773" s="1">
        <v>108</v>
      </c>
      <c r="W773" s="1">
        <v>174</v>
      </c>
      <c r="X773" s="1">
        <v>1.6111111111111112</v>
      </c>
      <c r="Y773" s="1">
        <v>108</v>
      </c>
      <c r="Z773" s="1">
        <v>174</v>
      </c>
      <c r="AA773" s="1">
        <v>1.6111111111111112</v>
      </c>
      <c r="AB773" s="1">
        <v>109.3466690913735</v>
      </c>
      <c r="AC773" s="1">
        <v>173.90849026542131</v>
      </c>
      <c r="AD773" s="1">
        <v>1.590432444906922</v>
      </c>
      <c r="AE773" t="s">
        <v>4817</v>
      </c>
      <c r="AF773" t="str">
        <f>IF(X773&lt;$AF$1,"Bajo","Alto")</f>
        <v>Bajo</v>
      </c>
      <c r="AG773" t="str">
        <f>LEFT(AE773,1)</f>
        <v>C</v>
      </c>
      <c r="AH773" t="str">
        <f>K773</f>
        <v>M</v>
      </c>
      <c r="AI773" t="str">
        <f>LEFT(AF773,1)</f>
        <v>B</v>
      </c>
      <c r="AJ773" t="str">
        <f>LEFT(M773,1)</f>
        <v>M</v>
      </c>
      <c r="AK773" t="str">
        <f>_xlfn.CONCAT(AG773,AH773,AI773,AJ773)</f>
        <v>CMBM</v>
      </c>
    </row>
    <row r="774" spans="1:37" ht="15.75" hidden="1" customHeight="1" x14ac:dyDescent="0.2">
      <c r="A774" s="1">
        <v>10123804</v>
      </c>
      <c r="B774" s="1" t="s">
        <v>29</v>
      </c>
      <c r="C774" s="1" t="s">
        <v>30</v>
      </c>
      <c r="D774" s="1" t="s">
        <v>477</v>
      </c>
      <c r="E774" s="1" t="s">
        <v>478</v>
      </c>
      <c r="F774" s="1" t="s">
        <v>61</v>
      </c>
      <c r="G774" s="1" t="s">
        <v>481</v>
      </c>
      <c r="H774" s="1">
        <v>53</v>
      </c>
      <c r="I774" s="1" t="s">
        <v>87</v>
      </c>
      <c r="J774" s="1">
        <v>14</v>
      </c>
      <c r="K774" s="1" t="s">
        <v>35</v>
      </c>
      <c r="L774" s="1">
        <v>53</v>
      </c>
      <c r="M774" s="1" t="str">
        <f>IF(L774&lt;=45,"Joven","Mayor")</f>
        <v>Mayor</v>
      </c>
      <c r="N774" s="1">
        <v>58</v>
      </c>
      <c r="O774" s="1" t="s">
        <v>36</v>
      </c>
      <c r="P774" s="1">
        <v>1.0740000000000001</v>
      </c>
      <c r="Q774" s="1">
        <v>91.817999999999998</v>
      </c>
      <c r="R774" s="1">
        <v>-3.7999458000000002</v>
      </c>
      <c r="S774" s="1">
        <v>2.8835031999999998</v>
      </c>
      <c r="T774" s="1">
        <v>-3.1506324000000001</v>
      </c>
      <c r="U774" s="1">
        <v>1.708</v>
      </c>
      <c r="V774" s="1">
        <v>96</v>
      </c>
      <c r="W774" s="1">
        <v>156</v>
      </c>
      <c r="X774" s="1">
        <v>1.625</v>
      </c>
      <c r="Y774" s="1">
        <v>99</v>
      </c>
      <c r="Z774" s="1">
        <v>156</v>
      </c>
      <c r="AA774" s="1">
        <v>1.5757575757575757</v>
      </c>
      <c r="AB774" s="1">
        <v>98.383110356360476</v>
      </c>
      <c r="AC774" s="1">
        <v>156.03901058062641</v>
      </c>
      <c r="AD774" s="1">
        <v>1.5860345339299233</v>
      </c>
      <c r="AE774" t="s">
        <v>4816</v>
      </c>
      <c r="AF774" t="str">
        <f>IF(X774&lt;$AF$1,"Bajo","Alto")</f>
        <v>Bajo</v>
      </c>
      <c r="AG774" t="str">
        <f>LEFT(AE774,1)</f>
        <v>D</v>
      </c>
      <c r="AH774" t="str">
        <f>K774</f>
        <v>M</v>
      </c>
      <c r="AI774" t="str">
        <f>LEFT(AF774,1)</f>
        <v>B</v>
      </c>
      <c r="AJ774" t="str">
        <f>LEFT(M774,1)</f>
        <v>M</v>
      </c>
      <c r="AK774" t="str">
        <f>_xlfn.CONCAT(AG774,AH774,AI774,AJ774)</f>
        <v>DMBM</v>
      </c>
    </row>
    <row r="775" spans="1:37" ht="15.75" hidden="1" customHeight="1" x14ac:dyDescent="0.2">
      <c r="A775" s="1">
        <v>260505</v>
      </c>
      <c r="B775" s="1" t="s">
        <v>3358</v>
      </c>
      <c r="C775" s="1" t="s">
        <v>968</v>
      </c>
      <c r="D775" s="1" t="s">
        <v>1386</v>
      </c>
      <c r="E775" s="1" t="s">
        <v>40</v>
      </c>
      <c r="F775" s="1" t="s">
        <v>40</v>
      </c>
      <c r="G775" s="1" t="s">
        <v>3366</v>
      </c>
      <c r="H775" s="1">
        <v>279</v>
      </c>
      <c r="I775" s="1" t="s">
        <v>1035</v>
      </c>
      <c r="J775" s="1">
        <v>3917</v>
      </c>
      <c r="K775" s="1" t="s">
        <v>35</v>
      </c>
      <c r="L775" s="1">
        <v>39</v>
      </c>
      <c r="M775" s="1" t="str">
        <f>IF(L775&lt;=45,"Joven","Mayor")</f>
        <v>Joven</v>
      </c>
      <c r="N775" s="1">
        <v>31</v>
      </c>
      <c r="O775" s="1" t="s">
        <v>36</v>
      </c>
      <c r="P775" s="1">
        <v>0.46700000000000003</v>
      </c>
      <c r="Q775" s="1">
        <v>93.555999999999997</v>
      </c>
      <c r="R775" s="1">
        <v>-0.761181</v>
      </c>
      <c r="S775" s="1">
        <v>4.9908356999999999</v>
      </c>
      <c r="T775" s="1">
        <v>1.4409367</v>
      </c>
      <c r="U775" s="1">
        <v>19.885000000000002</v>
      </c>
      <c r="V775" s="1">
        <v>85</v>
      </c>
      <c r="W775" s="1">
        <v>164</v>
      </c>
      <c r="X775" s="1">
        <v>1.9294117647058824</v>
      </c>
      <c r="Y775" s="1">
        <v>86</v>
      </c>
      <c r="Z775" s="1">
        <v>164</v>
      </c>
      <c r="AA775" s="1">
        <v>1.9069767441860466</v>
      </c>
      <c r="AB775" s="1">
        <v>85.978978707423039</v>
      </c>
      <c r="AC775" s="1">
        <v>163.8978467653474</v>
      </c>
      <c r="AD775" s="1">
        <v>1.9062548686821885</v>
      </c>
      <c r="AE775" t="s">
        <v>4817</v>
      </c>
      <c r="AF775" t="str">
        <f>IF(X775&lt;$AF$1,"Bajo","Alto")</f>
        <v>Alto</v>
      </c>
      <c r="AG775" t="str">
        <f>LEFT(AE775,1)</f>
        <v>C</v>
      </c>
      <c r="AH775" t="str">
        <f>K775</f>
        <v>M</v>
      </c>
      <c r="AI775" t="str">
        <f>LEFT(AF775,1)</f>
        <v>A</v>
      </c>
      <c r="AJ775" t="str">
        <f>LEFT(M775,1)</f>
        <v>J</v>
      </c>
      <c r="AK775" t="str">
        <f>_xlfn.CONCAT(AG775,AH775,AI775,AJ775)</f>
        <v>CMAJ</v>
      </c>
    </row>
    <row r="776" spans="1:37" ht="15.75" hidden="1" customHeight="1" x14ac:dyDescent="0.2">
      <c r="A776" s="1">
        <v>157903</v>
      </c>
      <c r="B776" s="1" t="s">
        <v>2077</v>
      </c>
      <c r="C776" s="1" t="s">
        <v>57</v>
      </c>
      <c r="D776" s="1" t="s">
        <v>2521</v>
      </c>
      <c r="E776" s="1" t="s">
        <v>739</v>
      </c>
      <c r="F776" s="1" t="s">
        <v>63</v>
      </c>
      <c r="G776" s="1" t="s">
        <v>2523</v>
      </c>
      <c r="H776" s="1">
        <v>1444</v>
      </c>
      <c r="I776" s="1" t="s">
        <v>48</v>
      </c>
      <c r="J776" s="1">
        <v>4</v>
      </c>
      <c r="K776" s="1" t="s">
        <v>35</v>
      </c>
      <c r="L776" s="1">
        <v>32</v>
      </c>
      <c r="M776" s="1" t="str">
        <f>IF(L776&lt;=45,"Joven","Mayor")</f>
        <v>Joven</v>
      </c>
      <c r="N776" s="1">
        <v>31</v>
      </c>
      <c r="O776" s="1" t="s">
        <v>36</v>
      </c>
      <c r="P776" s="1">
        <v>0.74299999999999999</v>
      </c>
      <c r="Q776" s="1">
        <v>92.668999999999997</v>
      </c>
      <c r="R776" s="1">
        <v>1.3556328</v>
      </c>
      <c r="S776" s="1">
        <v>6.4447745999999997</v>
      </c>
      <c r="T776" s="1">
        <v>-3.0238740000000002</v>
      </c>
      <c r="U776" s="1">
        <v>4.875</v>
      </c>
      <c r="V776" s="1">
        <v>87</v>
      </c>
      <c r="W776" s="1">
        <v>143</v>
      </c>
      <c r="X776" s="1">
        <v>1.6436781609195403</v>
      </c>
      <c r="Y776" s="1">
        <v>91</v>
      </c>
      <c r="Z776" s="1">
        <v>143</v>
      </c>
      <c r="AA776" s="1">
        <v>1.5714285714285714</v>
      </c>
      <c r="AB776" s="1">
        <v>89.305459527997755</v>
      </c>
      <c r="AC776" s="1">
        <v>143.1174049865044</v>
      </c>
      <c r="AD776" s="1">
        <v>1.6025605348532617</v>
      </c>
      <c r="AE776" t="s">
        <v>4817</v>
      </c>
      <c r="AF776" t="str">
        <f>IF(X776&lt;$AF$1,"Bajo","Alto")</f>
        <v>Bajo</v>
      </c>
      <c r="AG776" t="str">
        <f>LEFT(AE776,1)</f>
        <v>C</v>
      </c>
      <c r="AH776" t="str">
        <f>K776</f>
        <v>M</v>
      </c>
      <c r="AI776" t="str">
        <f>LEFT(AF776,1)</f>
        <v>B</v>
      </c>
      <c r="AJ776" t="str">
        <f>LEFT(M776,1)</f>
        <v>J</v>
      </c>
      <c r="AK776" t="str">
        <f>_xlfn.CONCAT(AG776,AH776,AI776,AJ776)</f>
        <v>CMBJ</v>
      </c>
    </row>
    <row r="777" spans="1:37" ht="15.75" hidden="1" customHeight="1" x14ac:dyDescent="0.2">
      <c r="A777" s="1">
        <v>248602</v>
      </c>
      <c r="B777" s="1" t="s">
        <v>1548</v>
      </c>
      <c r="C777" s="1" t="s">
        <v>1993</v>
      </c>
      <c r="D777" s="1" t="s">
        <v>3164</v>
      </c>
      <c r="E777" s="1" t="s">
        <v>1776</v>
      </c>
      <c r="F777" s="1" t="s">
        <v>37</v>
      </c>
      <c r="G777" s="1" t="s">
        <v>3166</v>
      </c>
      <c r="H777" s="1">
        <v>2724</v>
      </c>
      <c r="I777" s="1" t="s">
        <v>39</v>
      </c>
      <c r="J777" s="1">
        <v>11</v>
      </c>
      <c r="K777" s="1" t="s">
        <v>35</v>
      </c>
      <c r="L777" s="1">
        <v>52</v>
      </c>
      <c r="M777" s="1" t="str">
        <f>IF(L777&lt;=45,"Joven","Mayor")</f>
        <v>Mayor</v>
      </c>
      <c r="N777" s="1">
        <v>50</v>
      </c>
      <c r="O777" s="1" t="s">
        <v>36</v>
      </c>
      <c r="P777" s="1">
        <v>0.35899999999999999</v>
      </c>
      <c r="Q777" s="1">
        <v>83.555000000000007</v>
      </c>
      <c r="R777" s="1">
        <v>-8.5492740000000005</v>
      </c>
      <c r="S777" s="1">
        <v>5.6233380000000004</v>
      </c>
      <c r="T777" s="1">
        <v>5.6694180000000003</v>
      </c>
      <c r="U777" s="1">
        <v>40.768999999999998</v>
      </c>
      <c r="V777" s="1">
        <v>83</v>
      </c>
      <c r="W777" s="1">
        <v>161</v>
      </c>
      <c r="X777" s="1">
        <v>1.9397590361445782</v>
      </c>
      <c r="Y777" s="1">
        <v>91</v>
      </c>
      <c r="Z777" s="1">
        <v>161</v>
      </c>
      <c r="AA777" s="1">
        <v>1.7692307692307692</v>
      </c>
      <c r="AB777" s="1">
        <v>87.039488402052939</v>
      </c>
      <c r="AC777" s="1">
        <v>161.0027679117743</v>
      </c>
      <c r="AD777" s="1">
        <v>1.849766937600438</v>
      </c>
      <c r="AE777" t="s">
        <v>4816</v>
      </c>
      <c r="AF777" t="str">
        <f>IF(X777&lt;$AF$1,"Bajo","Alto")</f>
        <v>Alto</v>
      </c>
      <c r="AG777" t="str">
        <f>LEFT(AE777,1)</f>
        <v>D</v>
      </c>
      <c r="AH777" t="str">
        <f>K777</f>
        <v>M</v>
      </c>
      <c r="AI777" t="str">
        <f>LEFT(AF777,1)</f>
        <v>A</v>
      </c>
      <c r="AJ777" t="str">
        <f>LEFT(M777,1)</f>
        <v>M</v>
      </c>
      <c r="AK777" t="str">
        <f>_xlfn.CONCAT(AG777,AH777,AI777,AJ777)</f>
        <v>DMAM</v>
      </c>
    </row>
    <row r="778" spans="1:37" ht="15.75" hidden="1" customHeight="1" x14ac:dyDescent="0.2">
      <c r="A778" s="1">
        <v>290401</v>
      </c>
      <c r="B778" s="1" t="s">
        <v>3890</v>
      </c>
      <c r="C778" s="1" t="s">
        <v>1695</v>
      </c>
      <c r="D778" s="1" t="s">
        <v>3904</v>
      </c>
      <c r="E778" s="1" t="s">
        <v>61</v>
      </c>
      <c r="F778" s="1" t="s">
        <v>32</v>
      </c>
      <c r="G778" s="1" t="s">
        <v>3905</v>
      </c>
      <c r="H778" s="1">
        <v>357</v>
      </c>
      <c r="I778" s="1" t="s">
        <v>39</v>
      </c>
      <c r="J778" s="1">
        <v>11</v>
      </c>
      <c r="K778" s="1" t="s">
        <v>49</v>
      </c>
      <c r="L778" s="1">
        <v>26</v>
      </c>
      <c r="M778" s="1" t="str">
        <f>IF(L778&lt;=45,"Joven","Mayor")</f>
        <v>Joven</v>
      </c>
      <c r="N778" s="1">
        <v>35</v>
      </c>
      <c r="O778" s="1" t="s">
        <v>50</v>
      </c>
      <c r="P778" s="1">
        <v>0.59599999999999997</v>
      </c>
      <c r="Q778" s="1">
        <v>69.858000000000004</v>
      </c>
      <c r="R778" s="1">
        <v>13.068835999999999</v>
      </c>
      <c r="S778" s="1">
        <v>0.32347435000000002</v>
      </c>
      <c r="T778" s="1">
        <v>14.759717999999999</v>
      </c>
      <c r="U778" s="1">
        <v>6.0529999999999999</v>
      </c>
      <c r="V778" s="1">
        <v>60</v>
      </c>
      <c r="W778" s="1">
        <v>136</v>
      </c>
      <c r="X778" s="1">
        <v>2.2666666666666666</v>
      </c>
      <c r="Y778" s="1">
        <v>84</v>
      </c>
      <c r="Z778" s="1">
        <v>136</v>
      </c>
      <c r="AA778" s="1">
        <v>1.6190476190476191</v>
      </c>
      <c r="AB778" s="1">
        <v>79.699634504248252</v>
      </c>
      <c r="AC778" s="1">
        <v>144.50543714914741</v>
      </c>
      <c r="AD778" s="1">
        <v>1.8131254684918887</v>
      </c>
      <c r="AE778" t="s">
        <v>4816</v>
      </c>
      <c r="AF778" t="str">
        <f>IF(X778&lt;$AF$1,"Bajo","Alto")</f>
        <v>Alto</v>
      </c>
      <c r="AG778" t="str">
        <f>LEFT(AE778,1)</f>
        <v>D</v>
      </c>
      <c r="AH778" t="str">
        <f>K778</f>
        <v>F</v>
      </c>
      <c r="AI778" t="str">
        <f>LEFT(AF778,1)</f>
        <v>A</v>
      </c>
      <c r="AJ778" t="str">
        <f>LEFT(M778,1)</f>
        <v>J</v>
      </c>
      <c r="AK778" t="str">
        <f>_xlfn.CONCAT(AG778,AH778,AI778,AJ778)</f>
        <v>DFAJ</v>
      </c>
    </row>
    <row r="779" spans="1:37" ht="15.75" hidden="1" customHeight="1" x14ac:dyDescent="0.2">
      <c r="A779" s="1">
        <v>131304</v>
      </c>
      <c r="B779" s="1" t="s">
        <v>956</v>
      </c>
      <c r="C779" s="1" t="s">
        <v>163</v>
      </c>
      <c r="D779" s="1" t="s">
        <v>1973</v>
      </c>
      <c r="E779" s="1" t="s">
        <v>163</v>
      </c>
      <c r="F779" s="1" t="s">
        <v>61</v>
      </c>
      <c r="G779" s="1" t="s">
        <v>1976</v>
      </c>
      <c r="H779" s="1">
        <v>320</v>
      </c>
      <c r="I779" s="1" t="s">
        <v>48</v>
      </c>
      <c r="J779" s="1">
        <v>4</v>
      </c>
      <c r="K779" s="1" t="s">
        <v>49</v>
      </c>
      <c r="L779" s="1">
        <v>47</v>
      </c>
      <c r="M779" s="1" t="str">
        <f>IF(L779&lt;=45,"Joven","Mayor")</f>
        <v>Mayor</v>
      </c>
      <c r="N779" s="1">
        <v>47</v>
      </c>
      <c r="O779" s="1" t="s">
        <v>50</v>
      </c>
      <c r="P779" s="1">
        <v>0.68300000000000005</v>
      </c>
      <c r="Q779" s="1">
        <v>94.391999999999996</v>
      </c>
      <c r="R779" s="1">
        <v>0.67885505999999995</v>
      </c>
      <c r="S779" s="1">
        <v>1.1460117000000001</v>
      </c>
      <c r="T779" s="1">
        <v>-3.2036190000000002</v>
      </c>
      <c r="U779" s="1">
        <v>56.643999999999998</v>
      </c>
      <c r="V779" s="1">
        <v>87</v>
      </c>
      <c r="W779" s="1">
        <v>140</v>
      </c>
      <c r="X779" s="1">
        <v>1.6091954022988506</v>
      </c>
      <c r="Y779" s="1">
        <v>90</v>
      </c>
      <c r="Z779" s="1">
        <v>140</v>
      </c>
      <c r="AA779" s="1">
        <v>1.5555555555555556</v>
      </c>
      <c r="AB779" s="1">
        <v>89.32296063288868</v>
      </c>
      <c r="AC779" s="1">
        <v>140.00475136292241</v>
      </c>
      <c r="AD779" s="1">
        <v>1.5673993603764709</v>
      </c>
      <c r="AE779" t="s">
        <v>4817</v>
      </c>
      <c r="AF779" t="str">
        <f>IF(X779&lt;$AF$1,"Bajo","Alto")</f>
        <v>Bajo</v>
      </c>
      <c r="AG779" t="str">
        <f>LEFT(AE779,1)</f>
        <v>C</v>
      </c>
      <c r="AH779" t="str">
        <f>K779</f>
        <v>F</v>
      </c>
      <c r="AI779" t="str">
        <f>LEFT(AF779,1)</f>
        <v>B</v>
      </c>
      <c r="AJ779" t="str">
        <f>LEFT(M779,1)</f>
        <v>M</v>
      </c>
      <c r="AK779" t="str">
        <f>_xlfn.CONCAT(AG779,AH779,AI779,AJ779)</f>
        <v>CFBM</v>
      </c>
    </row>
    <row r="780" spans="1:37" ht="15.75" hidden="1" customHeight="1" x14ac:dyDescent="0.2">
      <c r="A780" s="1">
        <v>243801</v>
      </c>
      <c r="B780" s="1" t="s">
        <v>1548</v>
      </c>
      <c r="C780" s="1" t="s">
        <v>1993</v>
      </c>
      <c r="D780" s="1" t="s">
        <v>3144</v>
      </c>
      <c r="E780" s="1" t="s">
        <v>2637</v>
      </c>
      <c r="F780" s="1" t="s">
        <v>32</v>
      </c>
      <c r="G780" s="1" t="s">
        <v>3145</v>
      </c>
      <c r="H780" s="1">
        <v>1824</v>
      </c>
      <c r="I780" s="1" t="s">
        <v>100</v>
      </c>
      <c r="J780" s="1">
        <v>1</v>
      </c>
      <c r="K780" s="1" t="s">
        <v>35</v>
      </c>
      <c r="L780" s="1">
        <v>43</v>
      </c>
      <c r="M780" s="1" t="str">
        <f>IF(L780&lt;=45,"Joven","Mayor")</f>
        <v>Joven</v>
      </c>
      <c r="N780" s="1">
        <v>53</v>
      </c>
      <c r="O780" s="1" t="s">
        <v>36</v>
      </c>
      <c r="P780" s="1">
        <v>0.41</v>
      </c>
      <c r="Q780" s="1">
        <v>90.028000000000006</v>
      </c>
      <c r="R780" s="1">
        <v>5.5512256999999998</v>
      </c>
      <c r="S780" s="1">
        <v>3.2485436999999999</v>
      </c>
      <c r="T780" s="1">
        <v>-3.1980135000000001</v>
      </c>
      <c r="U780" s="1">
        <v>8.2509999999999994</v>
      </c>
      <c r="V780" s="1">
        <v>70</v>
      </c>
      <c r="W780" s="1">
        <v>135</v>
      </c>
      <c r="X780" s="1">
        <v>1.9285714285714286</v>
      </c>
      <c r="Y780" s="1">
        <v>70</v>
      </c>
      <c r="Z780" s="1">
        <v>135</v>
      </c>
      <c r="AA780" s="1">
        <v>1.9285714285714286</v>
      </c>
      <c r="AB780" s="1">
        <v>71.787743121559288</v>
      </c>
      <c r="AC780" s="1">
        <v>134.73397747253921</v>
      </c>
      <c r="AD780" s="1">
        <v>1.8768381845406688</v>
      </c>
      <c r="AE780" t="s">
        <v>4817</v>
      </c>
      <c r="AF780" t="str">
        <f>IF(X780&lt;$AF$1,"Bajo","Alto")</f>
        <v>Alto</v>
      </c>
      <c r="AG780" t="str">
        <f>LEFT(AE780,1)</f>
        <v>C</v>
      </c>
      <c r="AH780" t="str">
        <f>K780</f>
        <v>M</v>
      </c>
      <c r="AI780" t="str">
        <f>LEFT(AF780,1)</f>
        <v>A</v>
      </c>
      <c r="AJ780" t="str">
        <f>LEFT(M780,1)</f>
        <v>J</v>
      </c>
      <c r="AK780" t="str">
        <f>_xlfn.CONCAT(AG780,AH780,AI780,AJ780)</f>
        <v>CMAJ</v>
      </c>
    </row>
    <row r="781" spans="1:37" ht="15.75" hidden="1" customHeight="1" x14ac:dyDescent="0.2">
      <c r="A781" s="1">
        <v>258504</v>
      </c>
      <c r="B781" s="1" t="s">
        <v>3169</v>
      </c>
      <c r="C781" s="1" t="s">
        <v>821</v>
      </c>
      <c r="D781" s="1" t="s">
        <v>3334</v>
      </c>
      <c r="E781" s="1" t="s">
        <v>755</v>
      </c>
      <c r="F781" s="1" t="s">
        <v>61</v>
      </c>
      <c r="G781" s="1" t="s">
        <v>3336</v>
      </c>
      <c r="H781" s="1">
        <v>1018</v>
      </c>
      <c r="I781" s="1" t="s">
        <v>73</v>
      </c>
      <c r="J781" s="1">
        <v>5</v>
      </c>
      <c r="K781" s="1" t="s">
        <v>35</v>
      </c>
      <c r="L781" s="1">
        <v>64</v>
      </c>
      <c r="M781" s="1" t="str">
        <f>IF(L781&lt;=45,"Joven","Mayor")</f>
        <v>Mayor</v>
      </c>
      <c r="N781" s="1">
        <v>54</v>
      </c>
      <c r="O781" s="1" t="s">
        <v>36</v>
      </c>
      <c r="P781" s="1">
        <v>0.36299999999999999</v>
      </c>
      <c r="Q781" s="1">
        <v>87.643000000000001</v>
      </c>
      <c r="R781" s="1">
        <v>-5.4167160000000001</v>
      </c>
      <c r="S781" s="1">
        <v>-8.6071369999999998</v>
      </c>
      <c r="T781" s="1">
        <v>1.2780265</v>
      </c>
      <c r="U781" s="1">
        <v>15.965</v>
      </c>
      <c r="V781" s="1">
        <v>63</v>
      </c>
      <c r="W781" s="1">
        <v>121</v>
      </c>
      <c r="X781" s="1">
        <v>1.9206349206349207</v>
      </c>
      <c r="Y781" s="1">
        <v>64</v>
      </c>
      <c r="Z781" s="1">
        <v>121</v>
      </c>
      <c r="AA781" s="1">
        <v>1.890625</v>
      </c>
      <c r="AB781" s="1">
        <v>64.608588923287243</v>
      </c>
      <c r="AC781" s="1">
        <v>120.9029878687966</v>
      </c>
      <c r="AD781" s="1">
        <v>1.8713144782089313</v>
      </c>
      <c r="AE781" t="s">
        <v>4817</v>
      </c>
      <c r="AF781" t="str">
        <f>IF(X781&lt;$AF$1,"Bajo","Alto")</f>
        <v>Alto</v>
      </c>
      <c r="AG781" t="str">
        <f>LEFT(AE781,1)</f>
        <v>C</v>
      </c>
      <c r="AH781" t="str">
        <f>K781</f>
        <v>M</v>
      </c>
      <c r="AI781" t="str">
        <f>LEFT(AF781,1)</f>
        <v>A</v>
      </c>
      <c r="AJ781" t="str">
        <f>LEFT(M781,1)</f>
        <v>M</v>
      </c>
      <c r="AK781" t="str">
        <f>_xlfn.CONCAT(AG781,AH781,AI781,AJ781)</f>
        <v>CMAM</v>
      </c>
    </row>
    <row r="782" spans="1:37" ht="15.75" hidden="1" customHeight="1" x14ac:dyDescent="0.2">
      <c r="A782" s="1">
        <v>312506</v>
      </c>
      <c r="B782" s="1" t="s">
        <v>4122</v>
      </c>
      <c r="C782" s="1" t="s">
        <v>628</v>
      </c>
      <c r="D782" s="1" t="s">
        <v>4191</v>
      </c>
      <c r="E782" s="1" t="s">
        <v>821</v>
      </c>
      <c r="F782" s="1" t="s">
        <v>88</v>
      </c>
      <c r="G782" s="1" t="s">
        <v>4195</v>
      </c>
      <c r="H782" s="1">
        <v>1242</v>
      </c>
      <c r="I782" s="1" t="s">
        <v>134</v>
      </c>
      <c r="J782" s="1">
        <v>8</v>
      </c>
      <c r="K782" s="1" t="s">
        <v>35</v>
      </c>
      <c r="L782" s="1">
        <v>43</v>
      </c>
      <c r="M782" s="1" t="str">
        <f>IF(L782&lt;=45,"Joven","Mayor")</f>
        <v>Joven</v>
      </c>
      <c r="N782" s="1">
        <v>42</v>
      </c>
      <c r="O782" s="1" t="s">
        <v>36</v>
      </c>
      <c r="P782" s="1">
        <v>0.61599999999999999</v>
      </c>
      <c r="Q782" s="1">
        <v>88.691000000000003</v>
      </c>
      <c r="R782" s="1">
        <v>4.9508038000000001</v>
      </c>
      <c r="S782" s="1">
        <v>-7.8044120000000001</v>
      </c>
      <c r="T782" s="1">
        <v>-6.1371890000000002</v>
      </c>
      <c r="U782" s="1">
        <v>0.77</v>
      </c>
      <c r="V782" s="1">
        <v>84</v>
      </c>
      <c r="W782" s="1">
        <v>162</v>
      </c>
      <c r="X782" s="1">
        <v>1.9285714285714286</v>
      </c>
      <c r="Y782" s="1">
        <v>91</v>
      </c>
      <c r="Z782" s="1">
        <v>162</v>
      </c>
      <c r="AA782" s="1">
        <v>1.7802197802197801</v>
      </c>
      <c r="AB782" s="1">
        <v>88.864048208573649</v>
      </c>
      <c r="AC782" s="1">
        <v>162.46136218966649</v>
      </c>
      <c r="AD782" s="1">
        <v>1.8282012294595436</v>
      </c>
      <c r="AE782" t="s">
        <v>4817</v>
      </c>
      <c r="AF782" t="str">
        <f>IF(X782&lt;$AF$1,"Bajo","Alto")</f>
        <v>Alto</v>
      </c>
      <c r="AG782" t="str">
        <f>LEFT(AE782,1)</f>
        <v>C</v>
      </c>
      <c r="AH782" t="str">
        <f>K782</f>
        <v>M</v>
      </c>
      <c r="AI782" t="str">
        <f>LEFT(AF782,1)</f>
        <v>A</v>
      </c>
      <c r="AJ782" t="str">
        <f>LEFT(M782,1)</f>
        <v>J</v>
      </c>
      <c r="AK782" t="str">
        <f>_xlfn.CONCAT(AG782,AH782,AI782,AJ782)</f>
        <v>CMAJ</v>
      </c>
    </row>
    <row r="783" spans="1:37" ht="15.75" hidden="1" customHeight="1" x14ac:dyDescent="0.2">
      <c r="A783" s="1">
        <v>4652001</v>
      </c>
      <c r="B783" s="1" t="s">
        <v>4382</v>
      </c>
      <c r="C783" s="1" t="s">
        <v>669</v>
      </c>
      <c r="D783" s="1" t="s">
        <v>4403</v>
      </c>
      <c r="E783" s="1" t="s">
        <v>4404</v>
      </c>
      <c r="F783" s="1" t="s">
        <v>32</v>
      </c>
      <c r="G783" s="1" t="s">
        <v>4405</v>
      </c>
      <c r="H783" s="1">
        <v>2692</v>
      </c>
      <c r="I783" s="1" t="s">
        <v>100</v>
      </c>
      <c r="J783" s="1">
        <v>1</v>
      </c>
      <c r="K783" s="1" t="s">
        <v>35</v>
      </c>
      <c r="L783" s="1">
        <v>24</v>
      </c>
      <c r="M783" s="1" t="str">
        <f>IF(L783&lt;=45,"Joven","Mayor")</f>
        <v>Joven</v>
      </c>
      <c r="N783" s="1">
        <v>30</v>
      </c>
      <c r="O783" s="1" t="s">
        <v>36</v>
      </c>
      <c r="P783" s="1">
        <v>0.371</v>
      </c>
      <c r="Q783" s="1">
        <v>89.29</v>
      </c>
      <c r="R783" s="1">
        <v>3.6581640000000002</v>
      </c>
      <c r="S783" s="1">
        <v>9.5639210000000006</v>
      </c>
      <c r="T783" s="1">
        <v>-2.6888733</v>
      </c>
      <c r="U783" s="1">
        <v>10.948</v>
      </c>
      <c r="V783" s="1">
        <v>69</v>
      </c>
      <c r="W783" s="1">
        <v>133</v>
      </c>
      <c r="X783" s="1">
        <v>1.9275362318840579</v>
      </c>
      <c r="Y783" s="1">
        <v>70</v>
      </c>
      <c r="Z783" s="1">
        <v>133</v>
      </c>
      <c r="AA783" s="1">
        <v>1.9</v>
      </c>
      <c r="AB783" s="1">
        <v>70.659792592465692</v>
      </c>
      <c r="AC783" s="1">
        <v>132.99430494671611</v>
      </c>
      <c r="AD783" s="1">
        <v>1.8821779694962906</v>
      </c>
      <c r="AE783" t="s">
        <v>4817</v>
      </c>
      <c r="AF783" t="str">
        <f>IF(X783&lt;$AF$1,"Bajo","Alto")</f>
        <v>Alto</v>
      </c>
      <c r="AG783" t="str">
        <f>LEFT(AE783,1)</f>
        <v>C</v>
      </c>
      <c r="AH783" t="str">
        <f>K783</f>
        <v>M</v>
      </c>
      <c r="AI783" t="str">
        <f>LEFT(AF783,1)</f>
        <v>A</v>
      </c>
      <c r="AJ783" t="str">
        <f>LEFT(M783,1)</f>
        <v>J</v>
      </c>
      <c r="AK783" t="str">
        <f>_xlfn.CONCAT(AG783,AH783,AI783,AJ783)</f>
        <v>CMAJ</v>
      </c>
    </row>
    <row r="784" spans="1:37" ht="15.75" hidden="1" customHeight="1" x14ac:dyDescent="0.2">
      <c r="A784" s="1">
        <v>10116804</v>
      </c>
      <c r="B784" s="1" t="s">
        <v>29</v>
      </c>
      <c r="C784" s="1" t="s">
        <v>30</v>
      </c>
      <c r="D784" s="1" t="s">
        <v>271</v>
      </c>
      <c r="E784" s="1" t="s">
        <v>272</v>
      </c>
      <c r="F784" s="1" t="s">
        <v>61</v>
      </c>
      <c r="G784" s="1" t="s">
        <v>275</v>
      </c>
      <c r="H784" s="1">
        <v>384</v>
      </c>
      <c r="I784" s="1" t="s">
        <v>65</v>
      </c>
      <c r="J784" s="1">
        <v>2</v>
      </c>
      <c r="K784" s="1" t="s">
        <v>35</v>
      </c>
      <c r="L784" s="1">
        <v>42</v>
      </c>
      <c r="M784" s="1" t="str">
        <f>IF(L784&lt;=45,"Joven","Mayor")</f>
        <v>Joven</v>
      </c>
      <c r="N784" s="1">
        <v>33</v>
      </c>
      <c r="O784" s="1" t="s">
        <v>36</v>
      </c>
      <c r="P784" s="1">
        <v>0.36099999999999999</v>
      </c>
      <c r="Q784" s="1">
        <v>72.88</v>
      </c>
      <c r="R784" s="1">
        <v>12.200569</v>
      </c>
      <c r="S784" s="1">
        <v>2.797666</v>
      </c>
      <c r="T784" s="1">
        <v>-12.277307</v>
      </c>
      <c r="U784" s="1">
        <v>25.92</v>
      </c>
      <c r="V784" s="1">
        <v>68</v>
      </c>
      <c r="W784" s="1">
        <v>131</v>
      </c>
      <c r="X784" s="1">
        <v>1.9264705882352942</v>
      </c>
      <c r="Y784" s="1">
        <v>81</v>
      </c>
      <c r="Z784" s="1">
        <v>131</v>
      </c>
      <c r="AA784" s="1">
        <v>1.617283950617284</v>
      </c>
      <c r="AB784" s="1">
        <v>76.439070806421796</v>
      </c>
      <c r="AC784" s="1">
        <v>132.46952452530789</v>
      </c>
      <c r="AD784" s="1">
        <v>1.7330080432398305</v>
      </c>
      <c r="AE784" t="s">
        <v>4817</v>
      </c>
      <c r="AF784" t="str">
        <f>IF(X784&lt;$AF$1,"Bajo","Alto")</f>
        <v>Alto</v>
      </c>
      <c r="AG784" t="str">
        <f>LEFT(AE784,1)</f>
        <v>C</v>
      </c>
      <c r="AH784" t="str">
        <f>K784</f>
        <v>M</v>
      </c>
      <c r="AI784" t="str">
        <f>LEFT(AF784,1)</f>
        <v>A</v>
      </c>
      <c r="AJ784" t="str">
        <f>LEFT(M784,1)</f>
        <v>J</v>
      </c>
      <c r="AK784" t="str">
        <f>_xlfn.CONCAT(AG784,AH784,AI784,AJ784)</f>
        <v>CMAJ</v>
      </c>
    </row>
    <row r="785" spans="1:37" ht="15.75" hidden="1" customHeight="1" x14ac:dyDescent="0.2">
      <c r="A785" s="1">
        <v>1031303</v>
      </c>
      <c r="B785" s="1" t="s">
        <v>783</v>
      </c>
      <c r="C785" s="1" t="s">
        <v>81</v>
      </c>
      <c r="D785" s="1" t="s">
        <v>805</v>
      </c>
      <c r="E785" s="1" t="s">
        <v>163</v>
      </c>
      <c r="F785" s="1" t="s">
        <v>63</v>
      </c>
      <c r="G785" s="1" t="s">
        <v>806</v>
      </c>
      <c r="H785" s="1">
        <v>9944</v>
      </c>
      <c r="I785" s="1" t="s">
        <v>85</v>
      </c>
      <c r="J785" s="1">
        <v>12</v>
      </c>
      <c r="K785" s="1" t="s">
        <v>35</v>
      </c>
      <c r="L785" s="1">
        <v>40</v>
      </c>
      <c r="M785" s="1" t="str">
        <f>IF(L785&lt;=45,"Joven","Mayor")</f>
        <v>Joven</v>
      </c>
      <c r="N785" s="1">
        <v>51</v>
      </c>
      <c r="O785" s="1" t="s">
        <v>36</v>
      </c>
      <c r="P785" s="1">
        <v>0.36</v>
      </c>
      <c r="Q785" s="1">
        <v>70.813999999999993</v>
      </c>
      <c r="R785" s="1">
        <v>12.893775</v>
      </c>
      <c r="S785" s="1">
        <v>-0.56339240000000002</v>
      </c>
      <c r="T785" s="1">
        <v>-9.3570600000000006</v>
      </c>
      <c r="U785" s="1">
        <v>39.82</v>
      </c>
      <c r="V785" s="1">
        <v>57</v>
      </c>
      <c r="W785" s="1">
        <v>107</v>
      </c>
      <c r="X785" s="1">
        <v>1.8771929824561404</v>
      </c>
      <c r="Y785" s="1">
        <v>63</v>
      </c>
      <c r="Z785" s="1">
        <v>107</v>
      </c>
      <c r="AA785" s="1">
        <v>1.6984126984126984</v>
      </c>
      <c r="AB785" s="1">
        <v>62.25727624347428</v>
      </c>
      <c r="AC785" s="1">
        <v>106.87698112742051</v>
      </c>
      <c r="AD785" s="1">
        <v>1.7166986347017261</v>
      </c>
      <c r="AE785" t="s">
        <v>4815</v>
      </c>
      <c r="AF785" t="str">
        <f>IF(X785&lt;$AF$1,"Bajo","Alto")</f>
        <v>Alto</v>
      </c>
      <c r="AG785" t="str">
        <f>LEFT(AE785,1)</f>
        <v>I</v>
      </c>
      <c r="AH785" t="str">
        <f>K785</f>
        <v>M</v>
      </c>
      <c r="AI785" t="str">
        <f>LEFT(AF785,1)</f>
        <v>A</v>
      </c>
      <c r="AJ785" t="str">
        <f>LEFT(M785,1)</f>
        <v>J</v>
      </c>
      <c r="AK785" t="str">
        <f>_xlfn.CONCAT(AG785,AH785,AI785,AJ785)</f>
        <v>IMAJ</v>
      </c>
    </row>
    <row r="786" spans="1:37" ht="15.75" hidden="1" customHeight="1" x14ac:dyDescent="0.2">
      <c r="A786" s="1">
        <v>1018001</v>
      </c>
      <c r="B786" s="1" t="s">
        <v>29</v>
      </c>
      <c r="C786" s="1" t="s">
        <v>30</v>
      </c>
      <c r="D786" s="1" t="s">
        <v>743</v>
      </c>
      <c r="E786" s="1" t="s">
        <v>744</v>
      </c>
      <c r="F786" s="1" t="s">
        <v>32</v>
      </c>
      <c r="G786" s="1" t="s">
        <v>745</v>
      </c>
      <c r="H786" s="1">
        <v>7235</v>
      </c>
      <c r="I786" s="1" t="s">
        <v>100</v>
      </c>
      <c r="J786" s="1">
        <v>1</v>
      </c>
      <c r="K786" s="1" t="s">
        <v>35</v>
      </c>
      <c r="L786" s="1">
        <v>42</v>
      </c>
      <c r="M786" s="1" t="str">
        <f>IF(L786&lt;=45,"Joven","Mayor")</f>
        <v>Joven</v>
      </c>
      <c r="N786" s="1">
        <v>41</v>
      </c>
      <c r="O786" s="1" t="s">
        <v>36</v>
      </c>
      <c r="P786" s="1">
        <v>1.5049999999999999</v>
      </c>
      <c r="Q786" s="1">
        <v>85.350999999999999</v>
      </c>
      <c r="R786" s="1">
        <v>-8.5607959999999999</v>
      </c>
      <c r="S786" s="1">
        <v>-0.47435579999999999</v>
      </c>
      <c r="T786" s="1">
        <v>0.63605385999999997</v>
      </c>
      <c r="U786" s="1">
        <v>10.295</v>
      </c>
      <c r="V786" s="1">
        <v>104</v>
      </c>
      <c r="W786" s="1">
        <v>171</v>
      </c>
      <c r="X786" s="1">
        <v>1.6442307692307692</v>
      </c>
      <c r="Y786" s="1">
        <v>106</v>
      </c>
      <c r="Z786" s="1">
        <v>171</v>
      </c>
      <c r="AA786" s="1">
        <v>1.6132075471698113</v>
      </c>
      <c r="AB786" s="1">
        <v>105.4717211999791</v>
      </c>
      <c r="AC786" s="1">
        <v>170.92285727429501</v>
      </c>
      <c r="AD786" s="1">
        <v>1.6205562527060464</v>
      </c>
      <c r="AE786" t="s">
        <v>4817</v>
      </c>
      <c r="AF786" t="str">
        <f>IF(X786&lt;$AF$1,"Bajo","Alto")</f>
        <v>Bajo</v>
      </c>
      <c r="AG786" t="str">
        <f>LEFT(AE786,1)</f>
        <v>C</v>
      </c>
      <c r="AH786" t="str">
        <f>K786</f>
        <v>M</v>
      </c>
      <c r="AI786" t="str">
        <f>LEFT(AF786,1)</f>
        <v>B</v>
      </c>
      <c r="AJ786" t="str">
        <f>LEFT(M786,1)</f>
        <v>J</v>
      </c>
      <c r="AK786" t="str">
        <f>_xlfn.CONCAT(AG786,AH786,AI786,AJ786)</f>
        <v>CMBJ</v>
      </c>
    </row>
    <row r="787" spans="1:37" ht="15.75" hidden="1" customHeight="1" x14ac:dyDescent="0.2">
      <c r="A787" s="1">
        <v>10719901</v>
      </c>
      <c r="B787" s="1" t="s">
        <v>1067</v>
      </c>
      <c r="C787" s="1" t="s">
        <v>1068</v>
      </c>
      <c r="D787" s="1" t="s">
        <v>1211</v>
      </c>
      <c r="E787" s="1" t="s">
        <v>355</v>
      </c>
      <c r="F787" s="1" t="s">
        <v>32</v>
      </c>
      <c r="G787" s="1" t="s">
        <v>1212</v>
      </c>
      <c r="H787" s="1">
        <v>1444</v>
      </c>
      <c r="I787" s="1" t="s">
        <v>108</v>
      </c>
      <c r="J787" s="1">
        <v>3</v>
      </c>
      <c r="K787" s="1" t="s">
        <v>35</v>
      </c>
      <c r="L787" s="1">
        <v>44</v>
      </c>
      <c r="M787" s="1" t="str">
        <f>IF(L787&lt;=45,"Joven","Mayor")</f>
        <v>Joven</v>
      </c>
      <c r="N787" s="1">
        <v>54</v>
      </c>
      <c r="O787" s="1" t="s">
        <v>36</v>
      </c>
      <c r="P787" s="1">
        <v>0.36099999999999999</v>
      </c>
      <c r="Q787" s="1">
        <v>94.156000000000006</v>
      </c>
      <c r="R787" s="1">
        <v>1.1665007000000001</v>
      </c>
      <c r="S787" s="1">
        <v>1.5301842999999999</v>
      </c>
      <c r="T787" s="1">
        <v>-1.7507035</v>
      </c>
      <c r="U787" s="1">
        <v>6.9390000000000001</v>
      </c>
      <c r="V787" s="1">
        <v>93</v>
      </c>
      <c r="W787" s="1">
        <v>153</v>
      </c>
      <c r="X787" s="1">
        <v>1.6451612903225807</v>
      </c>
      <c r="Y787" s="1">
        <v>99</v>
      </c>
      <c r="Z787" s="1">
        <v>153</v>
      </c>
      <c r="AA787" s="1">
        <v>1.5454545454545454</v>
      </c>
      <c r="AB787" s="1">
        <v>100.02306586947979</v>
      </c>
      <c r="AC787" s="1">
        <v>152.83692965940961</v>
      </c>
      <c r="AD787" s="1">
        <v>1.5280168462227171</v>
      </c>
      <c r="AE787" t="s">
        <v>4817</v>
      </c>
      <c r="AF787" t="str">
        <f>IF(X787&lt;$AF$1,"Bajo","Alto")</f>
        <v>Bajo</v>
      </c>
      <c r="AG787" t="str">
        <f>LEFT(AE787,1)</f>
        <v>C</v>
      </c>
      <c r="AH787" t="str">
        <f>K787</f>
        <v>M</v>
      </c>
      <c r="AI787" t="str">
        <f>LEFT(AF787,1)</f>
        <v>B</v>
      </c>
      <c r="AJ787" t="str">
        <f>LEFT(M787,1)</f>
        <v>J</v>
      </c>
      <c r="AK787" t="str">
        <f>_xlfn.CONCAT(AG787,AH787,AI787,AJ787)</f>
        <v>CMBJ</v>
      </c>
    </row>
    <row r="788" spans="1:37" ht="15.75" hidden="1" customHeight="1" x14ac:dyDescent="0.2">
      <c r="A788" s="1">
        <v>402503</v>
      </c>
      <c r="B788" s="1" t="s">
        <v>4287</v>
      </c>
      <c r="C788" s="1" t="s">
        <v>657</v>
      </c>
      <c r="D788" s="1" t="s">
        <v>4307</v>
      </c>
      <c r="E788" s="1" t="s">
        <v>821</v>
      </c>
      <c r="F788" s="1" t="s">
        <v>63</v>
      </c>
      <c r="G788" s="1" t="s">
        <v>4310</v>
      </c>
      <c r="H788" s="1">
        <v>1749</v>
      </c>
      <c r="I788" s="1" t="s">
        <v>87</v>
      </c>
      <c r="J788" s="1">
        <v>14</v>
      </c>
      <c r="K788" s="1" t="s">
        <v>35</v>
      </c>
      <c r="L788" s="1">
        <v>43</v>
      </c>
      <c r="M788" s="1" t="str">
        <f>IF(L788&lt;=45,"Joven","Mayor")</f>
        <v>Joven</v>
      </c>
      <c r="N788" s="1">
        <v>49</v>
      </c>
      <c r="O788" s="1" t="s">
        <v>36</v>
      </c>
      <c r="P788" s="1">
        <v>0.34</v>
      </c>
      <c r="Q788" s="1">
        <v>92.116</v>
      </c>
      <c r="R788" s="1">
        <v>-2.8948236000000001</v>
      </c>
      <c r="S788" s="1">
        <v>5.1726770000000002</v>
      </c>
      <c r="T788" s="1">
        <v>-2.3861762999999998</v>
      </c>
      <c r="U788" s="1">
        <v>7.306</v>
      </c>
      <c r="V788" s="1">
        <v>117</v>
      </c>
      <c r="W788" s="1">
        <v>193</v>
      </c>
      <c r="X788" s="1">
        <v>1.6495726495726495</v>
      </c>
      <c r="Y788" s="1">
        <v>122</v>
      </c>
      <c r="Z788" s="1">
        <v>193</v>
      </c>
      <c r="AA788" s="1">
        <v>1.5819672131147542</v>
      </c>
      <c r="AB788" s="1">
        <v>124.1841170556399</v>
      </c>
      <c r="AC788" s="1">
        <v>192.7910159385674</v>
      </c>
      <c r="AD788" s="1">
        <v>1.5524611400360371</v>
      </c>
      <c r="AE788" t="s">
        <v>4816</v>
      </c>
      <c r="AF788" t="str">
        <f>IF(X788&lt;$AF$1,"Bajo","Alto")</f>
        <v>Bajo</v>
      </c>
      <c r="AG788" t="str">
        <f>LEFT(AE788,1)</f>
        <v>D</v>
      </c>
      <c r="AH788" t="str">
        <f>K788</f>
        <v>M</v>
      </c>
      <c r="AI788" t="str">
        <f>LEFT(AF788,1)</f>
        <v>B</v>
      </c>
      <c r="AJ788" t="str">
        <f>LEFT(M788,1)</f>
        <v>J</v>
      </c>
      <c r="AK788" t="str">
        <f>_xlfn.CONCAT(AG788,AH788,AI788,AJ788)</f>
        <v>DMBJ</v>
      </c>
    </row>
    <row r="789" spans="1:37" ht="15.75" hidden="1" customHeight="1" x14ac:dyDescent="0.2">
      <c r="A789" s="1">
        <v>2710901</v>
      </c>
      <c r="B789" s="1" t="s">
        <v>3409</v>
      </c>
      <c r="C789" s="1" t="s">
        <v>973</v>
      </c>
      <c r="D789" s="1" t="s">
        <v>3437</v>
      </c>
      <c r="E789" s="1" t="s">
        <v>98</v>
      </c>
      <c r="F789" s="1" t="s">
        <v>32</v>
      </c>
      <c r="G789" s="1" t="s">
        <v>3438</v>
      </c>
      <c r="H789" s="1">
        <v>697</v>
      </c>
      <c r="I789" s="1" t="s">
        <v>108</v>
      </c>
      <c r="J789" s="1">
        <v>3</v>
      </c>
      <c r="K789" s="1" t="s">
        <v>35</v>
      </c>
      <c r="L789" s="1">
        <v>32</v>
      </c>
      <c r="M789" s="1" t="str">
        <f>IF(L789&lt;=45,"Joven","Mayor")</f>
        <v>Joven</v>
      </c>
      <c r="N789" s="1">
        <v>36</v>
      </c>
      <c r="O789" s="1" t="s">
        <v>36</v>
      </c>
      <c r="P789" s="1">
        <v>0.36099999999999999</v>
      </c>
      <c r="Q789" s="1">
        <v>85.918000000000006</v>
      </c>
      <c r="R789" s="1">
        <v>6.6881943000000001</v>
      </c>
      <c r="S789" s="1">
        <v>8.0413209999999999</v>
      </c>
      <c r="T789" s="1">
        <v>-3.5343246000000001</v>
      </c>
      <c r="U789" s="1">
        <v>6.4980000000000002</v>
      </c>
      <c r="V789" s="1">
        <v>96</v>
      </c>
      <c r="W789" s="1">
        <v>158</v>
      </c>
      <c r="X789" s="1">
        <v>1.6458333333333333</v>
      </c>
      <c r="Y789" s="1">
        <v>96</v>
      </c>
      <c r="Z789" s="1">
        <v>158</v>
      </c>
      <c r="AA789" s="1">
        <v>1.6458333333333333</v>
      </c>
      <c r="AB789" s="1">
        <v>98.468211468225945</v>
      </c>
      <c r="AC789" s="1">
        <v>157.63784486152369</v>
      </c>
      <c r="AD789" s="1">
        <v>1.6009008644621396</v>
      </c>
      <c r="AE789" t="s">
        <v>4817</v>
      </c>
      <c r="AF789" t="str">
        <f>IF(X789&lt;$AF$1,"Bajo","Alto")</f>
        <v>Bajo</v>
      </c>
      <c r="AG789" t="str">
        <f>LEFT(AE789,1)</f>
        <v>C</v>
      </c>
      <c r="AH789" t="str">
        <f>K789</f>
        <v>M</v>
      </c>
      <c r="AI789" t="str">
        <f>LEFT(AF789,1)</f>
        <v>B</v>
      </c>
      <c r="AJ789" t="str">
        <f>LEFT(M789,1)</f>
        <v>J</v>
      </c>
      <c r="AK789" t="str">
        <f>_xlfn.CONCAT(AG789,AH789,AI789,AJ789)</f>
        <v>CMBJ</v>
      </c>
    </row>
    <row r="790" spans="1:37" ht="15.75" hidden="1" customHeight="1" x14ac:dyDescent="0.2">
      <c r="A790" s="1">
        <v>10910906</v>
      </c>
      <c r="B790" s="1" t="s">
        <v>719</v>
      </c>
      <c r="C790" s="1" t="s">
        <v>98</v>
      </c>
      <c r="D790" s="1" t="s">
        <v>1550</v>
      </c>
      <c r="E790" s="1" t="s">
        <v>98</v>
      </c>
      <c r="F790" s="1" t="s">
        <v>88</v>
      </c>
      <c r="G790" s="1" t="s">
        <v>1554</v>
      </c>
      <c r="H790" s="1">
        <v>63</v>
      </c>
      <c r="I790" s="1" t="s">
        <v>93</v>
      </c>
      <c r="J790" s="1">
        <v>9</v>
      </c>
      <c r="K790" s="1" t="s">
        <v>35</v>
      </c>
      <c r="L790" s="1">
        <v>41</v>
      </c>
      <c r="M790" s="1" t="str">
        <f>IF(L790&lt;=45,"Joven","Mayor")</f>
        <v>Joven</v>
      </c>
      <c r="N790" s="1">
        <v>49</v>
      </c>
      <c r="O790" s="1" t="s">
        <v>36</v>
      </c>
      <c r="P790" s="1">
        <v>0.42299999999999999</v>
      </c>
      <c r="Q790" s="1">
        <v>88.712000000000003</v>
      </c>
      <c r="R790" s="1">
        <v>4.9295106000000004</v>
      </c>
      <c r="S790" s="1">
        <v>7.9491860000000001</v>
      </c>
      <c r="T790" s="1">
        <v>-4.8961123999999998</v>
      </c>
      <c r="U790" s="1">
        <v>9.42</v>
      </c>
      <c r="V790" s="1">
        <v>110</v>
      </c>
      <c r="W790" s="1">
        <v>177</v>
      </c>
      <c r="X790" s="1">
        <v>1.6090909090909091</v>
      </c>
      <c r="Y790" s="1">
        <v>115</v>
      </c>
      <c r="Z790" s="1">
        <v>177</v>
      </c>
      <c r="AA790" s="1">
        <v>1.5391304347826087</v>
      </c>
      <c r="AB790" s="1">
        <v>114.20748310413551</v>
      </c>
      <c r="AC790" s="1">
        <v>177.12228672705621</v>
      </c>
      <c r="AD790" s="1">
        <v>1.5508816227528135</v>
      </c>
      <c r="AE790" t="s">
        <v>4815</v>
      </c>
      <c r="AF790" t="str">
        <f>IF(X790&lt;$AF$1,"Bajo","Alto")</f>
        <v>Bajo</v>
      </c>
      <c r="AG790" t="str">
        <f>LEFT(AE790,1)</f>
        <v>I</v>
      </c>
      <c r="AH790" t="str">
        <f>K790</f>
        <v>M</v>
      </c>
      <c r="AI790" t="str">
        <f>LEFT(AF790,1)</f>
        <v>B</v>
      </c>
      <c r="AJ790" t="str">
        <f>LEFT(M790,1)</f>
        <v>J</v>
      </c>
      <c r="AK790" t="str">
        <f>_xlfn.CONCAT(AG790,AH790,AI790,AJ790)</f>
        <v>IMBJ</v>
      </c>
    </row>
    <row r="791" spans="1:37" ht="15.75" hidden="1" customHeight="1" x14ac:dyDescent="0.2">
      <c r="A791" s="1">
        <v>1075905</v>
      </c>
      <c r="B791" s="1" t="s">
        <v>1067</v>
      </c>
      <c r="C791" s="1" t="s">
        <v>1068</v>
      </c>
      <c r="D791" s="1" t="s">
        <v>1454</v>
      </c>
      <c r="E791" s="1" t="s">
        <v>1005</v>
      </c>
      <c r="F791" s="1" t="s">
        <v>40</v>
      </c>
      <c r="G791" s="1" t="s">
        <v>1455</v>
      </c>
      <c r="H791" s="1">
        <v>1169</v>
      </c>
      <c r="I791" s="1" t="s">
        <v>1456</v>
      </c>
      <c r="J791" s="1">
        <v>2078</v>
      </c>
      <c r="K791" s="1" t="s">
        <v>49</v>
      </c>
      <c r="L791" s="1">
        <v>29</v>
      </c>
      <c r="M791" s="1" t="str">
        <f>IF(L791&lt;=45,"Joven","Mayor")</f>
        <v>Joven</v>
      </c>
      <c r="N791" s="1">
        <v>30</v>
      </c>
      <c r="O791" s="1" t="s">
        <v>50</v>
      </c>
      <c r="P791" s="1">
        <v>0.85299999999999998</v>
      </c>
      <c r="Q791" s="1">
        <v>84.846000000000004</v>
      </c>
      <c r="R791" s="1">
        <v>7.9220667000000002</v>
      </c>
      <c r="S791" s="1">
        <v>-5.4643335000000004</v>
      </c>
      <c r="T791" s="1">
        <v>2.6030133000000002</v>
      </c>
      <c r="U791" s="1">
        <v>70.674999999999997</v>
      </c>
      <c r="V791" s="1">
        <v>64</v>
      </c>
      <c r="W791" s="1">
        <v>125</v>
      </c>
      <c r="X791" s="1">
        <v>1.953125</v>
      </c>
      <c r="Y791" s="1">
        <v>75</v>
      </c>
      <c r="Z791" s="1">
        <v>125</v>
      </c>
      <c r="AA791" s="1">
        <v>1.6666666666666667</v>
      </c>
      <c r="AB791" s="1">
        <v>74.150549760034664</v>
      </c>
      <c r="AC791" s="1">
        <v>125.82474887942131</v>
      </c>
      <c r="AD791" s="1">
        <v>1.6968822117518241</v>
      </c>
      <c r="AE791" t="s">
        <v>4817</v>
      </c>
      <c r="AF791" t="str">
        <f>IF(X791&lt;$AF$1,"Bajo","Alto")</f>
        <v>Alto</v>
      </c>
      <c r="AG791" t="str">
        <f>LEFT(AE791,1)</f>
        <v>C</v>
      </c>
      <c r="AH791" t="str">
        <f>K791</f>
        <v>F</v>
      </c>
      <c r="AI791" t="str">
        <f>LEFT(AF791,1)</f>
        <v>A</v>
      </c>
      <c r="AJ791" t="str">
        <f>LEFT(M791,1)</f>
        <v>J</v>
      </c>
      <c r="AK791" t="str">
        <f>_xlfn.CONCAT(AG791,AH791,AI791,AJ791)</f>
        <v>CFAJ</v>
      </c>
    </row>
    <row r="792" spans="1:37" ht="15.75" hidden="1" customHeight="1" x14ac:dyDescent="0.2">
      <c r="A792" s="1">
        <v>298205</v>
      </c>
      <c r="B792" s="1" t="s">
        <v>3890</v>
      </c>
      <c r="C792" s="1" t="s">
        <v>1695</v>
      </c>
      <c r="D792" s="1" t="s">
        <v>4081</v>
      </c>
      <c r="E792" s="1" t="s">
        <v>752</v>
      </c>
      <c r="F792" s="1" t="s">
        <v>40</v>
      </c>
      <c r="G792" s="1" t="s">
        <v>4082</v>
      </c>
      <c r="H792" s="1">
        <v>1425</v>
      </c>
      <c r="I792" s="1" t="s">
        <v>73</v>
      </c>
      <c r="J792" s="1">
        <v>5</v>
      </c>
      <c r="K792" s="1" t="s">
        <v>35</v>
      </c>
      <c r="L792" s="1">
        <v>39</v>
      </c>
      <c r="M792" s="1" t="str">
        <f>IF(L792&lt;=45,"Joven","Mayor")</f>
        <v>Joven</v>
      </c>
      <c r="N792" s="1">
        <v>39</v>
      </c>
      <c r="O792" s="1" t="s">
        <v>36</v>
      </c>
      <c r="P792" s="1">
        <v>0.39400000000000002</v>
      </c>
      <c r="Q792" s="1">
        <v>91.927999999999997</v>
      </c>
      <c r="R792" s="1">
        <v>4.2329755000000002</v>
      </c>
      <c r="S792" s="1">
        <v>-1.7130540999999999</v>
      </c>
      <c r="T792" s="1">
        <v>-4.5722455999999996</v>
      </c>
      <c r="U792" s="1">
        <v>18.878</v>
      </c>
      <c r="V792" s="1">
        <v>82</v>
      </c>
      <c r="W792" s="1">
        <v>135</v>
      </c>
      <c r="X792" s="1">
        <v>1.6463414634146341</v>
      </c>
      <c r="Y792" s="1">
        <v>83</v>
      </c>
      <c r="Z792" s="1">
        <v>135</v>
      </c>
      <c r="AA792" s="1">
        <v>1.6265060240963856</v>
      </c>
      <c r="AB792" s="1">
        <v>84.688538621766156</v>
      </c>
      <c r="AC792" s="1">
        <v>134.7298095325805</v>
      </c>
      <c r="AD792" s="1">
        <v>1.5908859891219451</v>
      </c>
      <c r="AE792" t="s">
        <v>4817</v>
      </c>
      <c r="AF792" t="str">
        <f>IF(X792&lt;$AF$1,"Bajo","Alto")</f>
        <v>Bajo</v>
      </c>
      <c r="AG792" t="str">
        <f>LEFT(AE792,1)</f>
        <v>C</v>
      </c>
      <c r="AH792" t="str">
        <f>K792</f>
        <v>M</v>
      </c>
      <c r="AI792" t="str">
        <f>LEFT(AF792,1)</f>
        <v>B</v>
      </c>
      <c r="AJ792" t="str">
        <f>LEFT(M792,1)</f>
        <v>J</v>
      </c>
      <c r="AK792" t="str">
        <f>_xlfn.CONCAT(AG792,AH792,AI792,AJ792)</f>
        <v>CMBJ</v>
      </c>
    </row>
    <row r="793" spans="1:37" ht="15.75" hidden="1" customHeight="1" x14ac:dyDescent="0.2">
      <c r="A793" s="1">
        <v>1092203</v>
      </c>
      <c r="B793" s="1" t="s">
        <v>719</v>
      </c>
      <c r="C793" s="1" t="s">
        <v>98</v>
      </c>
      <c r="D793" s="1" t="s">
        <v>1593</v>
      </c>
      <c r="E793" s="1" t="s">
        <v>418</v>
      </c>
      <c r="F793" s="1" t="s">
        <v>63</v>
      </c>
      <c r="G793" s="1" t="s">
        <v>1595</v>
      </c>
      <c r="H793" s="1">
        <v>3468</v>
      </c>
      <c r="I793" s="1" t="s">
        <v>1596</v>
      </c>
      <c r="J793" s="1">
        <v>2230</v>
      </c>
      <c r="K793" s="1" t="s">
        <v>49</v>
      </c>
      <c r="L793" s="1">
        <v>54</v>
      </c>
      <c r="M793" s="1" t="str">
        <f>IF(L793&lt;=45,"Joven","Mayor")</f>
        <v>Mayor</v>
      </c>
      <c r="N793" s="1">
        <v>36</v>
      </c>
      <c r="O793" s="1" t="s">
        <v>50</v>
      </c>
      <c r="P793" s="1">
        <v>1.0149999999999999</v>
      </c>
      <c r="Q793" s="1">
        <v>84.944999999999993</v>
      </c>
      <c r="R793" s="1">
        <v>-7.2524065999999996</v>
      </c>
      <c r="S793" s="1">
        <v>7.4087930000000002</v>
      </c>
      <c r="T793" s="1">
        <v>7.2755799999999997</v>
      </c>
      <c r="U793" s="1">
        <v>20.291</v>
      </c>
      <c r="V793" s="1">
        <v>82</v>
      </c>
      <c r="W793" s="1">
        <v>158</v>
      </c>
      <c r="X793" s="1">
        <v>1.9268292682926829</v>
      </c>
      <c r="Y793" s="1">
        <v>88</v>
      </c>
      <c r="Z793" s="1">
        <v>158</v>
      </c>
      <c r="AA793" s="1">
        <v>1.7954545454545454</v>
      </c>
      <c r="AB793" s="1">
        <v>87.165302454922767</v>
      </c>
      <c r="AC793" s="1">
        <v>157.4877154172932</v>
      </c>
      <c r="AD793" s="1">
        <v>1.8067707101542776</v>
      </c>
      <c r="AE793" t="s">
        <v>4817</v>
      </c>
      <c r="AF793" t="str">
        <f>IF(X793&lt;$AF$1,"Bajo","Alto")</f>
        <v>Alto</v>
      </c>
      <c r="AG793" t="str">
        <f>LEFT(AE793,1)</f>
        <v>C</v>
      </c>
      <c r="AH793" t="str">
        <f>K793</f>
        <v>F</v>
      </c>
      <c r="AI793" t="str">
        <f>LEFT(AF793,1)</f>
        <v>A</v>
      </c>
      <c r="AJ793" t="str">
        <f>LEFT(M793,1)</f>
        <v>M</v>
      </c>
      <c r="AK793" t="str">
        <f>_xlfn.CONCAT(AG793,AH793,AI793,AJ793)</f>
        <v>CFAM</v>
      </c>
    </row>
    <row r="794" spans="1:37" ht="15.75" hidden="1" customHeight="1" x14ac:dyDescent="0.2">
      <c r="A794" s="1">
        <v>1011901</v>
      </c>
      <c r="B794" s="1" t="s">
        <v>29</v>
      </c>
      <c r="C794" s="1" t="s">
        <v>30</v>
      </c>
      <c r="D794" s="1" t="s">
        <v>322</v>
      </c>
      <c r="E794" s="1" t="s">
        <v>323</v>
      </c>
      <c r="F794" s="1" t="s">
        <v>32</v>
      </c>
      <c r="G794" s="1" t="s">
        <v>324</v>
      </c>
      <c r="H794" s="1">
        <v>1800</v>
      </c>
      <c r="I794" s="1" t="s">
        <v>85</v>
      </c>
      <c r="J794" s="1">
        <v>12</v>
      </c>
      <c r="K794" s="1" t="s">
        <v>35</v>
      </c>
      <c r="L794" s="1">
        <v>53</v>
      </c>
      <c r="M794" s="1" t="str">
        <f>IF(L794&lt;=45,"Joven","Mayor")</f>
        <v>Mayor</v>
      </c>
      <c r="N794" s="1">
        <v>45</v>
      </c>
      <c r="O794" s="1" t="s">
        <v>36</v>
      </c>
      <c r="P794" s="1">
        <v>0.34300000000000003</v>
      </c>
      <c r="Q794" s="1">
        <v>92.769000000000005</v>
      </c>
      <c r="R794" s="1">
        <v>-0.16419348</v>
      </c>
      <c r="S794" s="1">
        <v>8.2997160000000001</v>
      </c>
      <c r="T794" s="1">
        <v>0.63632624999999998</v>
      </c>
      <c r="U794" s="1">
        <v>16.317</v>
      </c>
      <c r="V794" s="1">
        <v>132</v>
      </c>
      <c r="W794" s="1">
        <v>213</v>
      </c>
      <c r="X794" s="1">
        <v>1.6136363636363635</v>
      </c>
      <c r="Y794" s="1">
        <v>139</v>
      </c>
      <c r="Z794" s="1">
        <v>213</v>
      </c>
      <c r="AA794" s="1">
        <v>1.5323741007194245</v>
      </c>
      <c r="AB794" s="1">
        <v>138.44724551767149</v>
      </c>
      <c r="AC794" s="1">
        <v>213.05349866758661</v>
      </c>
      <c r="AD794" s="1">
        <v>1.5388785661350868</v>
      </c>
      <c r="AE794" t="s">
        <v>4815</v>
      </c>
      <c r="AF794" t="str">
        <f>IF(X794&lt;$AF$1,"Bajo","Alto")</f>
        <v>Bajo</v>
      </c>
      <c r="AG794" t="str">
        <f>LEFT(AE794,1)</f>
        <v>I</v>
      </c>
      <c r="AH794" t="str">
        <f>K794</f>
        <v>M</v>
      </c>
      <c r="AI794" t="str">
        <f>LEFT(AF794,1)</f>
        <v>B</v>
      </c>
      <c r="AJ794" t="str">
        <f>LEFT(M794,1)</f>
        <v>M</v>
      </c>
      <c r="AK794" t="str">
        <f>_xlfn.CONCAT(AG794,AH794,AI794,AJ794)</f>
        <v>IMBM</v>
      </c>
    </row>
    <row r="795" spans="1:37" ht="15.75" hidden="1" customHeight="1" x14ac:dyDescent="0.2">
      <c r="A795" s="1">
        <v>1050103</v>
      </c>
      <c r="B795" s="1" t="s">
        <v>694</v>
      </c>
      <c r="C795" s="1" t="s">
        <v>879</v>
      </c>
      <c r="D795" s="1" t="s">
        <v>880</v>
      </c>
      <c r="E795" s="1" t="s">
        <v>32</v>
      </c>
      <c r="F795" s="1" t="s">
        <v>63</v>
      </c>
      <c r="G795" s="1" t="s">
        <v>881</v>
      </c>
      <c r="H795" s="1">
        <v>102708</v>
      </c>
      <c r="I795" s="1" t="s">
        <v>87</v>
      </c>
      <c r="J795" s="1">
        <v>14</v>
      </c>
      <c r="K795" s="1" t="s">
        <v>35</v>
      </c>
      <c r="L795" s="1">
        <v>53</v>
      </c>
      <c r="M795" s="1" t="str">
        <f>IF(L795&lt;=45,"Joven","Mayor")</f>
        <v>Mayor</v>
      </c>
      <c r="N795" s="1">
        <v>50</v>
      </c>
      <c r="O795" s="1" t="s">
        <v>36</v>
      </c>
      <c r="P795" s="1">
        <v>1.649</v>
      </c>
      <c r="Q795" s="1">
        <v>81.703999999999994</v>
      </c>
      <c r="R795" s="1">
        <v>7.1740273999999999</v>
      </c>
      <c r="S795" s="1">
        <v>10.938190000000001</v>
      </c>
      <c r="T795" s="1">
        <v>-9.667109</v>
      </c>
      <c r="U795" s="1">
        <v>8.5449999999999999</v>
      </c>
      <c r="V795" s="1">
        <v>93</v>
      </c>
      <c r="W795" s="1">
        <v>179</v>
      </c>
      <c r="X795" s="1">
        <v>1.924731182795699</v>
      </c>
      <c r="Y795" s="1">
        <v>108</v>
      </c>
      <c r="Z795" s="1">
        <v>179</v>
      </c>
      <c r="AA795" s="1">
        <v>1.6574074074074074</v>
      </c>
      <c r="AB795" s="1">
        <v>102.426506868155</v>
      </c>
      <c r="AC795" s="1">
        <v>179.64875174928059</v>
      </c>
      <c r="AD795" s="1">
        <v>1.7539283261951641</v>
      </c>
      <c r="AE795" t="s">
        <v>4816</v>
      </c>
      <c r="AF795" t="str">
        <f>IF(X795&lt;$AF$1,"Bajo","Alto")</f>
        <v>Alto</v>
      </c>
      <c r="AG795" t="str">
        <f>LEFT(AE795,1)</f>
        <v>D</v>
      </c>
      <c r="AH795" t="str">
        <f>K795</f>
        <v>M</v>
      </c>
      <c r="AI795" t="str">
        <f>LEFT(AF795,1)</f>
        <v>A</v>
      </c>
      <c r="AJ795" t="str">
        <f>LEFT(M795,1)</f>
        <v>M</v>
      </c>
      <c r="AK795" t="str">
        <f>_xlfn.CONCAT(AG795,AH795,AI795,AJ795)</f>
        <v>DMAM</v>
      </c>
    </row>
    <row r="796" spans="1:37" ht="15.75" hidden="1" customHeight="1" x14ac:dyDescent="0.2">
      <c r="A796" s="1">
        <v>260503</v>
      </c>
      <c r="B796" s="1" t="s">
        <v>3358</v>
      </c>
      <c r="C796" s="1" t="s">
        <v>968</v>
      </c>
      <c r="D796" s="1" t="s">
        <v>1386</v>
      </c>
      <c r="E796" s="1" t="s">
        <v>40</v>
      </c>
      <c r="F796" s="1" t="s">
        <v>63</v>
      </c>
      <c r="G796" s="1" t="s">
        <v>3363</v>
      </c>
      <c r="H796" s="1">
        <v>432</v>
      </c>
      <c r="I796" s="1" t="s">
        <v>134</v>
      </c>
      <c r="J796" s="1">
        <v>8</v>
      </c>
      <c r="K796" s="1" t="s">
        <v>35</v>
      </c>
      <c r="L796" s="1">
        <v>48</v>
      </c>
      <c r="M796" s="1" t="str">
        <f>IF(L796&lt;=45,"Joven","Mayor")</f>
        <v>Mayor</v>
      </c>
      <c r="N796" s="1">
        <v>48</v>
      </c>
      <c r="O796" s="1" t="s">
        <v>36</v>
      </c>
      <c r="P796" s="1">
        <v>0.16700000000000001</v>
      </c>
      <c r="Q796" s="1">
        <v>84.278000000000006</v>
      </c>
      <c r="R796" s="1">
        <v>8.0113939999999992</v>
      </c>
      <c r="S796" s="1">
        <v>6.6147929999999997</v>
      </c>
      <c r="T796" s="1">
        <v>-6.2779813000000004</v>
      </c>
      <c r="U796" s="1">
        <v>6.859</v>
      </c>
      <c r="V796" s="1">
        <v>85</v>
      </c>
      <c r="W796" s="1">
        <v>137</v>
      </c>
      <c r="X796" s="1">
        <v>1.611764705882353</v>
      </c>
      <c r="Y796" s="1">
        <v>86</v>
      </c>
      <c r="Z796" s="1">
        <v>137</v>
      </c>
      <c r="AA796" s="1">
        <v>1.5930232558139534</v>
      </c>
      <c r="AB796" s="1">
        <v>88.536295514298899</v>
      </c>
      <c r="AC796" s="1">
        <v>136.39712288667349</v>
      </c>
      <c r="AD796" s="1">
        <v>1.5405786078393682</v>
      </c>
      <c r="AE796" t="s">
        <v>4817</v>
      </c>
      <c r="AF796" t="str">
        <f>IF(X796&lt;$AF$1,"Bajo","Alto")</f>
        <v>Bajo</v>
      </c>
      <c r="AG796" t="str">
        <f>LEFT(AE796,1)</f>
        <v>C</v>
      </c>
      <c r="AH796" t="str">
        <f>K796</f>
        <v>M</v>
      </c>
      <c r="AI796" t="str">
        <f>LEFT(AF796,1)</f>
        <v>B</v>
      </c>
      <c r="AJ796" t="str">
        <f>LEFT(M796,1)</f>
        <v>M</v>
      </c>
      <c r="AK796" t="str">
        <f>_xlfn.CONCAT(AG796,AH796,AI796,AJ796)</f>
        <v>CMBM</v>
      </c>
    </row>
    <row r="797" spans="1:37" ht="15.75" hidden="1" customHeight="1" x14ac:dyDescent="0.2">
      <c r="A797" s="1">
        <v>10710001</v>
      </c>
      <c r="B797" s="1" t="s">
        <v>1067</v>
      </c>
      <c r="C797" s="1" t="s">
        <v>1068</v>
      </c>
      <c r="D797" s="1" t="s">
        <v>1088</v>
      </c>
      <c r="E797" s="1" t="s">
        <v>70</v>
      </c>
      <c r="F797" s="1" t="s">
        <v>32</v>
      </c>
      <c r="G797" s="1" t="s">
        <v>1089</v>
      </c>
      <c r="H797" s="1">
        <v>2296</v>
      </c>
      <c r="I797" s="1" t="s">
        <v>65</v>
      </c>
      <c r="J797" s="1">
        <v>2</v>
      </c>
      <c r="K797" s="1" t="s">
        <v>35</v>
      </c>
      <c r="L797" s="1">
        <v>50</v>
      </c>
      <c r="M797" s="1" t="str">
        <f>IF(L797&lt;=45,"Joven","Mayor")</f>
        <v>Mayor</v>
      </c>
      <c r="N797" s="1">
        <v>56</v>
      </c>
      <c r="O797" s="1" t="s">
        <v>36</v>
      </c>
      <c r="P797" s="1">
        <v>0.36199999999999999</v>
      </c>
      <c r="Q797" s="1">
        <v>85.064999999999998</v>
      </c>
      <c r="R797" s="1">
        <v>6.4220223000000001</v>
      </c>
      <c r="S797" s="1">
        <v>9.7925810000000002</v>
      </c>
      <c r="T797" s="1">
        <v>-5.5396748000000002</v>
      </c>
      <c r="U797" s="1">
        <v>1.3260000000000001</v>
      </c>
      <c r="V797" s="1">
        <v>111</v>
      </c>
      <c r="W797" s="1">
        <v>179</v>
      </c>
      <c r="X797" s="1">
        <v>1.6126126126126126</v>
      </c>
      <c r="Y797" s="1">
        <v>112</v>
      </c>
      <c r="Z797" s="1">
        <v>179</v>
      </c>
      <c r="AA797" s="1">
        <v>1.5982142857142858</v>
      </c>
      <c r="AB797" s="1">
        <v>115.8875444328044</v>
      </c>
      <c r="AC797" s="1">
        <v>178.64667173556381</v>
      </c>
      <c r="AD797" s="1">
        <v>1.5415519641038673</v>
      </c>
      <c r="AE797" t="s">
        <v>4817</v>
      </c>
      <c r="AF797" t="str">
        <f>IF(X797&lt;$AF$1,"Bajo","Alto")</f>
        <v>Bajo</v>
      </c>
      <c r="AG797" t="str">
        <f>LEFT(AE797,1)</f>
        <v>C</v>
      </c>
      <c r="AH797" t="str">
        <f>K797</f>
        <v>M</v>
      </c>
      <c r="AI797" t="str">
        <f>LEFT(AF797,1)</f>
        <v>B</v>
      </c>
      <c r="AJ797" t="str">
        <f>LEFT(M797,1)</f>
        <v>M</v>
      </c>
      <c r="AK797" t="str">
        <f>_xlfn.CONCAT(AG797,AH797,AI797,AJ797)</f>
        <v>CMBM</v>
      </c>
    </row>
    <row r="798" spans="1:37" ht="15.75" hidden="1" customHeight="1" x14ac:dyDescent="0.2">
      <c r="A798" s="1">
        <v>252201</v>
      </c>
      <c r="B798" s="1" t="s">
        <v>3169</v>
      </c>
      <c r="C798" s="1" t="s">
        <v>821</v>
      </c>
      <c r="D798" s="1" t="s">
        <v>3208</v>
      </c>
      <c r="E798" s="1" t="s">
        <v>418</v>
      </c>
      <c r="F798" s="1" t="s">
        <v>32</v>
      </c>
      <c r="G798" s="1" t="s">
        <v>3209</v>
      </c>
      <c r="H798" s="1">
        <v>3273</v>
      </c>
      <c r="I798" s="1" t="s">
        <v>65</v>
      </c>
      <c r="J798" s="1">
        <v>2</v>
      </c>
      <c r="K798" s="1" t="s">
        <v>35</v>
      </c>
      <c r="L798" s="1">
        <v>35</v>
      </c>
      <c r="M798" s="1" t="str">
        <f>IF(L798&lt;=45,"Joven","Mayor")</f>
        <v>Joven</v>
      </c>
      <c r="N798" s="1">
        <v>46</v>
      </c>
      <c r="O798" s="1" t="s">
        <v>36</v>
      </c>
      <c r="P798" s="1">
        <v>0.33700000000000002</v>
      </c>
      <c r="Q798" s="1">
        <v>89.022999999999996</v>
      </c>
      <c r="R798" s="1">
        <v>3.6765234000000002</v>
      </c>
      <c r="S798" s="1">
        <v>9.9528970000000001</v>
      </c>
      <c r="T798" s="1">
        <v>-4.2829493999999997</v>
      </c>
      <c r="U798" s="1">
        <v>51.167000000000002</v>
      </c>
      <c r="V798" s="1">
        <v>81</v>
      </c>
      <c r="W798" s="1">
        <v>156</v>
      </c>
      <c r="X798" s="1">
        <v>1.9259259259259258</v>
      </c>
      <c r="Y798" s="1">
        <v>86</v>
      </c>
      <c r="Z798" s="1">
        <v>156</v>
      </c>
      <c r="AA798" s="1">
        <v>1.8139534883720929</v>
      </c>
      <c r="AB798" s="1">
        <v>83.985124379227273</v>
      </c>
      <c r="AC798" s="1">
        <v>156.38585643950731</v>
      </c>
      <c r="AD798" s="1">
        <v>1.8620661408246661</v>
      </c>
      <c r="AE798" t="s">
        <v>4817</v>
      </c>
      <c r="AF798" t="str">
        <f>IF(X798&lt;$AF$1,"Bajo","Alto")</f>
        <v>Alto</v>
      </c>
      <c r="AG798" t="str">
        <f>LEFT(AE798,1)</f>
        <v>C</v>
      </c>
      <c r="AH798" t="str">
        <f>K798</f>
        <v>M</v>
      </c>
      <c r="AI798" t="str">
        <f>LEFT(AF798,1)</f>
        <v>A</v>
      </c>
      <c r="AJ798" t="str">
        <f>LEFT(M798,1)</f>
        <v>J</v>
      </c>
      <c r="AK798" t="str">
        <f>_xlfn.CONCAT(AG798,AH798,AI798,AJ798)</f>
        <v>CMAJ</v>
      </c>
    </row>
    <row r="799" spans="1:37" ht="15.75" hidden="1" customHeight="1" x14ac:dyDescent="0.2">
      <c r="A799" s="1">
        <v>10111803</v>
      </c>
      <c r="B799" s="1" t="s">
        <v>29</v>
      </c>
      <c r="C799" s="1" t="s">
        <v>30</v>
      </c>
      <c r="D799" s="1" t="s">
        <v>128</v>
      </c>
      <c r="E799" s="1" t="s">
        <v>129</v>
      </c>
      <c r="F799" s="1" t="s">
        <v>63</v>
      </c>
      <c r="G799" s="1" t="s">
        <v>132</v>
      </c>
      <c r="H799" s="1">
        <v>420</v>
      </c>
      <c r="I799" s="1" t="s">
        <v>91</v>
      </c>
      <c r="J799" s="1">
        <v>6</v>
      </c>
      <c r="K799" s="1" t="s">
        <v>35</v>
      </c>
      <c r="L799" s="1">
        <v>57</v>
      </c>
      <c r="M799" s="1" t="str">
        <f>IF(L799&lt;=45,"Joven","Mayor")</f>
        <v>Mayor</v>
      </c>
      <c r="N799" s="1">
        <v>58</v>
      </c>
      <c r="O799" s="1" t="s">
        <v>36</v>
      </c>
      <c r="P799" s="1">
        <v>0.378</v>
      </c>
      <c r="Q799" s="1">
        <v>87.707999999999998</v>
      </c>
      <c r="R799" s="1">
        <v>7.0754304000000001</v>
      </c>
      <c r="S799" s="1">
        <v>3.4188542000000002</v>
      </c>
      <c r="T799" s="1">
        <v>-8.0371380000000006</v>
      </c>
      <c r="U799" s="1">
        <v>2.0659999999999998</v>
      </c>
      <c r="V799" s="1">
        <v>93</v>
      </c>
      <c r="W799" s="1">
        <v>150</v>
      </c>
      <c r="X799" s="1">
        <v>1.6129032258064515</v>
      </c>
      <c r="Y799" s="1">
        <v>97</v>
      </c>
      <c r="Z799" s="1">
        <v>150</v>
      </c>
      <c r="AA799" s="1">
        <v>1.5463917525773196</v>
      </c>
      <c r="AB799" s="1">
        <v>98.238379121308071</v>
      </c>
      <c r="AC799" s="1">
        <v>149.784982213625</v>
      </c>
      <c r="AD799" s="1">
        <v>1.5247094216473731</v>
      </c>
      <c r="AE799" t="s">
        <v>4817</v>
      </c>
      <c r="AF799" t="str">
        <f>IF(X799&lt;$AF$1,"Bajo","Alto")</f>
        <v>Bajo</v>
      </c>
      <c r="AG799" t="str">
        <f>LEFT(AE799,1)</f>
        <v>C</v>
      </c>
      <c r="AH799" t="str">
        <f>K799</f>
        <v>M</v>
      </c>
      <c r="AI799" t="str">
        <f>LEFT(AF799,1)</f>
        <v>B</v>
      </c>
      <c r="AJ799" t="str">
        <f>LEFT(M799,1)</f>
        <v>M</v>
      </c>
      <c r="AK799" t="str">
        <f>_xlfn.CONCAT(AG799,AH799,AI799,AJ799)</f>
        <v>CMBM</v>
      </c>
    </row>
    <row r="800" spans="1:37" ht="15.75" hidden="1" customHeight="1" x14ac:dyDescent="0.2">
      <c r="A800" s="1">
        <v>266003</v>
      </c>
      <c r="B800" s="1" t="s">
        <v>3358</v>
      </c>
      <c r="C800" s="1" t="s">
        <v>968</v>
      </c>
      <c r="D800" s="1" t="s">
        <v>3398</v>
      </c>
      <c r="E800" s="1" t="s">
        <v>1458</v>
      </c>
      <c r="F800" s="1" t="s">
        <v>63</v>
      </c>
      <c r="G800" s="1" t="s">
        <v>3400</v>
      </c>
      <c r="H800" s="1">
        <v>2345</v>
      </c>
      <c r="I800" s="1" t="s">
        <v>108</v>
      </c>
      <c r="J800" s="1">
        <v>3</v>
      </c>
      <c r="K800" s="1" t="s">
        <v>35</v>
      </c>
      <c r="L800" s="1">
        <v>61</v>
      </c>
      <c r="M800" s="1" t="str">
        <f>IF(L800&lt;=45,"Joven","Mayor")</f>
        <v>Mayor</v>
      </c>
      <c r="N800" s="1">
        <v>63</v>
      </c>
      <c r="O800" s="1" t="s">
        <v>36</v>
      </c>
      <c r="P800" s="1">
        <v>0.35</v>
      </c>
      <c r="Q800" s="1">
        <v>94.046000000000006</v>
      </c>
      <c r="R800" s="1">
        <v>1.5229220000000001</v>
      </c>
      <c r="S800" s="1">
        <v>1.0913404</v>
      </c>
      <c r="T800" s="1">
        <v>0.43144149999999998</v>
      </c>
      <c r="U800" s="1">
        <v>2.1230000000000002</v>
      </c>
      <c r="V800" s="1">
        <v>93</v>
      </c>
      <c r="W800" s="1">
        <v>150</v>
      </c>
      <c r="X800" s="1">
        <v>1.6129032258064515</v>
      </c>
      <c r="Y800" s="1">
        <v>97</v>
      </c>
      <c r="Z800" s="1">
        <v>150</v>
      </c>
      <c r="AA800" s="1">
        <v>1.5463917525773196</v>
      </c>
      <c r="AB800" s="1">
        <v>96.711109830137502</v>
      </c>
      <c r="AC800" s="1">
        <v>150.04092738947429</v>
      </c>
      <c r="AD800" s="1">
        <v>1.5514342421776028</v>
      </c>
      <c r="AE800" t="s">
        <v>4817</v>
      </c>
      <c r="AF800" t="str">
        <f>IF(X800&lt;$AF$1,"Bajo","Alto")</f>
        <v>Bajo</v>
      </c>
      <c r="AG800" t="str">
        <f>LEFT(AE800,1)</f>
        <v>C</v>
      </c>
      <c r="AH800" t="str">
        <f>K800</f>
        <v>M</v>
      </c>
      <c r="AI800" t="str">
        <f>LEFT(AF800,1)</f>
        <v>B</v>
      </c>
      <c r="AJ800" t="str">
        <f>LEFT(M800,1)</f>
        <v>M</v>
      </c>
      <c r="AK800" t="str">
        <f>_xlfn.CONCAT(AG800,AH800,AI800,AJ800)</f>
        <v>CMBM</v>
      </c>
    </row>
    <row r="801" spans="1:37" ht="15.75" hidden="1" customHeight="1" x14ac:dyDescent="0.2">
      <c r="A801" s="1">
        <v>1518101</v>
      </c>
      <c r="B801" s="1" t="s">
        <v>2077</v>
      </c>
      <c r="C801" s="1" t="s">
        <v>57</v>
      </c>
      <c r="D801" s="1" t="s">
        <v>2211</v>
      </c>
      <c r="E801" s="1" t="s">
        <v>308</v>
      </c>
      <c r="F801" s="1" t="s">
        <v>32</v>
      </c>
      <c r="G801" s="1" t="s">
        <v>2212</v>
      </c>
      <c r="H801" s="1">
        <v>3</v>
      </c>
      <c r="I801" s="1" t="s">
        <v>108</v>
      </c>
      <c r="J801" s="1">
        <v>3</v>
      </c>
      <c r="K801" s="1" t="s">
        <v>35</v>
      </c>
      <c r="L801" s="1">
        <v>56</v>
      </c>
      <c r="M801" s="1" t="str">
        <f>IF(L801&lt;=45,"Joven","Mayor")</f>
        <v>Mayor</v>
      </c>
      <c r="N801" s="1">
        <v>57</v>
      </c>
      <c r="O801" s="1" t="s">
        <v>36</v>
      </c>
      <c r="P801" s="1">
        <v>0.371</v>
      </c>
      <c r="Q801" s="1">
        <v>94.331000000000003</v>
      </c>
      <c r="R801" s="1">
        <v>1.2243155999999999</v>
      </c>
      <c r="S801" s="1">
        <v>0.28245052999999998</v>
      </c>
      <c r="T801" s="1">
        <v>-4.3591743000000003</v>
      </c>
      <c r="U801" s="1">
        <v>0.36499999999999999</v>
      </c>
      <c r="V801" s="1">
        <v>101</v>
      </c>
      <c r="W801" s="1">
        <v>163</v>
      </c>
      <c r="X801" s="1">
        <v>1.613861386138614</v>
      </c>
      <c r="Y801" s="1">
        <v>102</v>
      </c>
      <c r="Z801" s="1">
        <v>163</v>
      </c>
      <c r="AA801" s="1">
        <v>1.5980392156862746</v>
      </c>
      <c r="AB801" s="1">
        <v>103.9761919679365</v>
      </c>
      <c r="AC801" s="1">
        <v>162.6044764134995</v>
      </c>
      <c r="AD801" s="1">
        <v>1.5638625856161612</v>
      </c>
      <c r="AE801" t="s">
        <v>4817</v>
      </c>
      <c r="AF801" t="str">
        <f>IF(X801&lt;$AF$1,"Bajo","Alto")</f>
        <v>Bajo</v>
      </c>
      <c r="AG801" t="str">
        <f>LEFT(AE801,1)</f>
        <v>C</v>
      </c>
      <c r="AH801" t="str">
        <f>K801</f>
        <v>M</v>
      </c>
      <c r="AI801" t="str">
        <f>LEFT(AF801,1)</f>
        <v>B</v>
      </c>
      <c r="AJ801" t="str">
        <f>LEFT(M801,1)</f>
        <v>M</v>
      </c>
      <c r="AK801" t="str">
        <f>_xlfn.CONCAT(AG801,AH801,AI801,AJ801)</f>
        <v>CMBM</v>
      </c>
    </row>
    <row r="802" spans="1:37" ht="15.75" hidden="1" customHeight="1" x14ac:dyDescent="0.2">
      <c r="A802" s="1">
        <v>171902</v>
      </c>
      <c r="B802" s="1" t="s">
        <v>2551</v>
      </c>
      <c r="C802" s="1" t="s">
        <v>2552</v>
      </c>
      <c r="D802" s="1" t="s">
        <v>2596</v>
      </c>
      <c r="E802" s="1" t="s">
        <v>323</v>
      </c>
      <c r="F802" s="1" t="s">
        <v>37</v>
      </c>
      <c r="G802" s="1" t="s">
        <v>2597</v>
      </c>
      <c r="H802" s="1">
        <v>696</v>
      </c>
      <c r="I802" s="1" t="s">
        <v>65</v>
      </c>
      <c r="J802" s="1">
        <v>2</v>
      </c>
      <c r="K802" s="1" t="s">
        <v>49</v>
      </c>
      <c r="L802" s="1">
        <v>47</v>
      </c>
      <c r="M802" s="1" t="str">
        <f>IF(L802&lt;=45,"Joven","Mayor")</f>
        <v>Mayor</v>
      </c>
      <c r="N802" s="1">
        <v>35</v>
      </c>
      <c r="O802" s="1" t="s">
        <v>50</v>
      </c>
      <c r="P802" s="1">
        <v>0.36099999999999999</v>
      </c>
      <c r="Q802" s="1">
        <v>45.749000000000002</v>
      </c>
      <c r="R802" s="1">
        <v>16.518965000000001</v>
      </c>
      <c r="S802" s="1">
        <v>2.2469614</v>
      </c>
      <c r="T802" s="1">
        <v>-11.916822</v>
      </c>
      <c r="U802" s="1">
        <v>8.9969999999999999</v>
      </c>
      <c r="V802" s="1">
        <v>64</v>
      </c>
      <c r="W802" s="1">
        <v>103</v>
      </c>
      <c r="X802" s="1">
        <v>1.609375</v>
      </c>
      <c r="Y802" s="1">
        <v>71</v>
      </c>
      <c r="Z802" s="1">
        <v>103</v>
      </c>
      <c r="AA802" s="1">
        <v>1.4507042253521127</v>
      </c>
      <c r="AB802" s="1">
        <v>70.260881941391744</v>
      </c>
      <c r="AC802" s="1">
        <v>102.84510001772109</v>
      </c>
      <c r="AD802" s="1">
        <v>1.4637604478621482</v>
      </c>
      <c r="AE802" t="s">
        <v>4817</v>
      </c>
      <c r="AF802" t="str">
        <f>IF(X802&lt;$AF$1,"Bajo","Alto")</f>
        <v>Bajo</v>
      </c>
      <c r="AG802" t="str">
        <f>LEFT(AE802,1)</f>
        <v>C</v>
      </c>
      <c r="AH802" t="str">
        <f>K802</f>
        <v>F</v>
      </c>
      <c r="AI802" t="str">
        <f>LEFT(AF802,1)</f>
        <v>B</v>
      </c>
      <c r="AJ802" t="str">
        <f>LEFT(M802,1)</f>
        <v>M</v>
      </c>
      <c r="AK802" t="str">
        <f>_xlfn.CONCAT(AG802,AH802,AI802,AJ802)</f>
        <v>CFBM</v>
      </c>
    </row>
    <row r="803" spans="1:37" ht="15.75" hidden="1" customHeight="1" x14ac:dyDescent="0.2">
      <c r="A803" s="1">
        <v>1011301</v>
      </c>
      <c r="B803" s="1" t="s">
        <v>29</v>
      </c>
      <c r="C803" s="1" t="s">
        <v>30</v>
      </c>
      <c r="D803" s="1" t="s">
        <v>162</v>
      </c>
      <c r="E803" s="1" t="s">
        <v>163</v>
      </c>
      <c r="F803" s="1" t="s">
        <v>32</v>
      </c>
      <c r="G803" s="1" t="s">
        <v>164</v>
      </c>
      <c r="H803" s="1">
        <v>5972</v>
      </c>
      <c r="I803" s="1" t="s">
        <v>100</v>
      </c>
      <c r="J803" s="1">
        <v>1</v>
      </c>
      <c r="K803" s="1" t="s">
        <v>35</v>
      </c>
      <c r="L803" s="1">
        <v>53</v>
      </c>
      <c r="M803" s="1" t="str">
        <f>IF(L803&lt;=45,"Joven","Mayor")</f>
        <v>Mayor</v>
      </c>
      <c r="N803" s="1">
        <v>52</v>
      </c>
      <c r="O803" s="1" t="s">
        <v>36</v>
      </c>
      <c r="P803" s="1">
        <v>0.33200000000000002</v>
      </c>
      <c r="Q803" s="1">
        <v>93.165000000000006</v>
      </c>
      <c r="R803" s="1">
        <v>2.4982169000000001</v>
      </c>
      <c r="S803" s="1">
        <v>-2.4995254999999998</v>
      </c>
      <c r="T803" s="1">
        <v>-3.3032994000000002</v>
      </c>
      <c r="U803" s="1">
        <v>4.0410000000000004</v>
      </c>
      <c r="V803" s="1">
        <v>50</v>
      </c>
      <c r="W803" s="1">
        <v>96</v>
      </c>
      <c r="X803" s="1">
        <v>1.92</v>
      </c>
      <c r="Y803" s="1">
        <v>52</v>
      </c>
      <c r="Z803" s="1">
        <v>96</v>
      </c>
      <c r="AA803" s="1">
        <v>1.8461538461538463</v>
      </c>
      <c r="AB803" s="1">
        <v>51.242219891297047</v>
      </c>
      <c r="AC803" s="1">
        <v>95.898117527484374</v>
      </c>
      <c r="AD803" s="1">
        <v>1.8714668827954439</v>
      </c>
      <c r="AE803" t="s">
        <v>4817</v>
      </c>
      <c r="AF803" t="str">
        <f>IF(X803&lt;$AF$1,"Bajo","Alto")</f>
        <v>Alto</v>
      </c>
      <c r="AG803" t="str">
        <f>LEFT(AE803,1)</f>
        <v>C</v>
      </c>
      <c r="AH803" t="str">
        <f>K803</f>
        <v>M</v>
      </c>
      <c r="AI803" t="str">
        <f>LEFT(AF803,1)</f>
        <v>A</v>
      </c>
      <c r="AJ803" t="str">
        <f>LEFT(M803,1)</f>
        <v>M</v>
      </c>
      <c r="AK803" t="str">
        <f>_xlfn.CONCAT(AG803,AH803,AI803,AJ803)</f>
        <v>CMAM</v>
      </c>
    </row>
    <row r="804" spans="1:37" ht="15.75" hidden="1" customHeight="1" x14ac:dyDescent="0.2">
      <c r="A804" s="1">
        <v>316103</v>
      </c>
      <c r="B804" s="1" t="s">
        <v>4122</v>
      </c>
      <c r="C804" s="1" t="s">
        <v>628</v>
      </c>
      <c r="D804" s="1" t="s">
        <v>4240</v>
      </c>
      <c r="E804" s="1" t="s">
        <v>701</v>
      </c>
      <c r="F804" s="1" t="s">
        <v>63</v>
      </c>
      <c r="G804" s="1" t="s">
        <v>4242</v>
      </c>
      <c r="H804" s="1">
        <v>141</v>
      </c>
      <c r="I804" s="1" t="s">
        <v>39</v>
      </c>
      <c r="J804" s="1">
        <v>11</v>
      </c>
      <c r="K804" s="1" t="s">
        <v>49</v>
      </c>
      <c r="L804" s="1">
        <v>33</v>
      </c>
      <c r="M804" s="1" t="str">
        <f>IF(L804&lt;=45,"Joven","Mayor")</f>
        <v>Joven</v>
      </c>
      <c r="N804" s="1">
        <v>38</v>
      </c>
      <c r="O804" s="1" t="s">
        <v>50</v>
      </c>
      <c r="P804" s="1">
        <v>0.35899999999999999</v>
      </c>
      <c r="Q804" s="1">
        <v>93.838999999999999</v>
      </c>
      <c r="R804" s="1">
        <v>1.6135953999999999</v>
      </c>
      <c r="S804" s="1">
        <v>1.9158176</v>
      </c>
      <c r="T804" s="1">
        <v>-9.0088869999999996</v>
      </c>
      <c r="U804" s="1">
        <v>3.8410000000000002</v>
      </c>
      <c r="V804" s="1">
        <v>87</v>
      </c>
      <c r="W804" s="1">
        <v>179</v>
      </c>
      <c r="X804" s="1">
        <v>2.0574712643678161</v>
      </c>
      <c r="Y804" s="1">
        <v>102</v>
      </c>
      <c r="Z804" s="1">
        <v>179</v>
      </c>
      <c r="AA804" s="1">
        <v>1.7549019607843137</v>
      </c>
      <c r="AB804" s="1">
        <v>95.574341775094126</v>
      </c>
      <c r="AC804" s="1">
        <v>181.01973440326719</v>
      </c>
      <c r="AD804" s="1">
        <v>1.8940202050174038</v>
      </c>
      <c r="AE804" t="s">
        <v>4816</v>
      </c>
      <c r="AF804" t="str">
        <f>IF(X804&lt;$AF$1,"Bajo","Alto")</f>
        <v>Alto</v>
      </c>
      <c r="AG804" t="str">
        <f>LEFT(AE804,1)</f>
        <v>D</v>
      </c>
      <c r="AH804" t="str">
        <f>K804</f>
        <v>F</v>
      </c>
      <c r="AI804" t="str">
        <f>LEFT(AF804,1)</f>
        <v>A</v>
      </c>
      <c r="AJ804" t="str">
        <f>LEFT(M804,1)</f>
        <v>J</v>
      </c>
      <c r="AK804" t="str">
        <f>_xlfn.CONCAT(AG804,AH804,AI804,AJ804)</f>
        <v>DFAJ</v>
      </c>
    </row>
    <row r="805" spans="1:37" ht="15.75" hidden="1" customHeight="1" x14ac:dyDescent="0.2">
      <c r="A805" s="1">
        <v>253104</v>
      </c>
      <c r="B805" s="1" t="s">
        <v>3169</v>
      </c>
      <c r="C805" s="1" t="s">
        <v>821</v>
      </c>
      <c r="D805" s="1" t="s">
        <v>3222</v>
      </c>
      <c r="E805" s="1" t="s">
        <v>628</v>
      </c>
      <c r="F805" s="1" t="s">
        <v>61</v>
      </c>
      <c r="G805" s="1" t="s">
        <v>3224</v>
      </c>
      <c r="H805" s="1">
        <v>1670</v>
      </c>
      <c r="I805" s="1" t="s">
        <v>3225</v>
      </c>
      <c r="J805" s="1">
        <v>3660</v>
      </c>
      <c r="K805" s="1" t="s">
        <v>35</v>
      </c>
      <c r="L805" s="1">
        <v>37</v>
      </c>
      <c r="M805" s="1" t="str">
        <f>IF(L805&lt;=45,"Joven","Mayor")</f>
        <v>Joven</v>
      </c>
      <c r="N805" s="1">
        <v>32</v>
      </c>
      <c r="O805" s="1" t="s">
        <v>36</v>
      </c>
      <c r="P805" s="1">
        <v>0.28000000000000003</v>
      </c>
      <c r="Q805" s="1">
        <v>94.676000000000002</v>
      </c>
      <c r="R805" s="1">
        <v>-0.26929045000000001</v>
      </c>
      <c r="S805" s="1">
        <v>1.0751861</v>
      </c>
      <c r="T805" s="1">
        <v>-2.7346382</v>
      </c>
      <c r="U805" s="1">
        <v>4.9720000000000004</v>
      </c>
      <c r="V805" s="1">
        <v>94</v>
      </c>
      <c r="W805" s="1">
        <v>181</v>
      </c>
      <c r="X805" s="1">
        <v>1.925531914893617</v>
      </c>
      <c r="Y805" s="1">
        <v>98</v>
      </c>
      <c r="Z805" s="1">
        <v>181</v>
      </c>
      <c r="AA805" s="1">
        <v>1.846938775510204</v>
      </c>
      <c r="AB805" s="1">
        <v>96.18304956954762</v>
      </c>
      <c r="AC805" s="1">
        <v>181.03243137645541</v>
      </c>
      <c r="AD805" s="1">
        <v>1.8821656433918252</v>
      </c>
      <c r="AE805" t="s">
        <v>4817</v>
      </c>
      <c r="AF805" t="str">
        <f>IF(X805&lt;$AF$1,"Bajo","Alto")</f>
        <v>Alto</v>
      </c>
      <c r="AG805" t="str">
        <f>LEFT(AE805,1)</f>
        <v>C</v>
      </c>
      <c r="AH805" t="str">
        <f>K805</f>
        <v>M</v>
      </c>
      <c r="AI805" t="str">
        <f>LEFT(AF805,1)</f>
        <v>A</v>
      </c>
      <c r="AJ805" t="str">
        <f>LEFT(M805,1)</f>
        <v>J</v>
      </c>
      <c r="AK805" t="str">
        <f>_xlfn.CONCAT(AG805,AH805,AI805,AJ805)</f>
        <v>CMAJ</v>
      </c>
    </row>
    <row r="806" spans="1:37" ht="15.75" hidden="1" customHeight="1" x14ac:dyDescent="0.2">
      <c r="A806" s="1">
        <v>524401</v>
      </c>
      <c r="B806" s="1" t="s">
        <v>4529</v>
      </c>
      <c r="C806" s="1" t="s">
        <v>685</v>
      </c>
      <c r="D806" s="1" t="s">
        <v>4614</v>
      </c>
      <c r="E806" s="1" t="s">
        <v>995</v>
      </c>
      <c r="F806" s="1" t="s">
        <v>32</v>
      </c>
      <c r="G806" s="1" t="s">
        <v>4615</v>
      </c>
      <c r="H806" s="1">
        <v>291</v>
      </c>
      <c r="I806" s="1" t="s">
        <v>100</v>
      </c>
      <c r="J806" s="1">
        <v>1</v>
      </c>
      <c r="K806" s="1" t="s">
        <v>35</v>
      </c>
      <c r="L806" s="1">
        <v>29</v>
      </c>
      <c r="M806" s="1" t="str">
        <f>IF(L806&lt;=45,"Joven","Mayor")</f>
        <v>Joven</v>
      </c>
      <c r="N806" s="1">
        <v>48</v>
      </c>
      <c r="O806" s="1" t="s">
        <v>36</v>
      </c>
      <c r="P806" s="1">
        <v>0.27</v>
      </c>
      <c r="Q806" s="1">
        <v>88.605000000000004</v>
      </c>
      <c r="R806" s="1">
        <v>4.9012549999999999</v>
      </c>
      <c r="S806" s="1">
        <v>8.2945200000000003</v>
      </c>
      <c r="T806" s="1">
        <v>-5.2072953999999996</v>
      </c>
      <c r="U806" s="1">
        <v>9.9629999999999992</v>
      </c>
      <c r="V806" s="1">
        <v>94</v>
      </c>
      <c r="W806" s="1">
        <v>181</v>
      </c>
      <c r="X806" s="1">
        <v>1.925531914893617</v>
      </c>
      <c r="Y806" s="1">
        <v>97</v>
      </c>
      <c r="Z806" s="1">
        <v>181</v>
      </c>
      <c r="AA806" s="1">
        <v>1.865979381443299</v>
      </c>
      <c r="AB806" s="1">
        <v>98.150017147460176</v>
      </c>
      <c r="AC806" s="1">
        <v>180.2529859241904</v>
      </c>
      <c r="AD806" s="1">
        <v>1.8365048846948142</v>
      </c>
      <c r="AE806" t="s">
        <v>4817</v>
      </c>
      <c r="AF806" t="str">
        <f>IF(X806&lt;$AF$1,"Bajo","Alto")</f>
        <v>Alto</v>
      </c>
      <c r="AG806" t="str">
        <f>LEFT(AE806,1)</f>
        <v>C</v>
      </c>
      <c r="AH806" t="str">
        <f>K806</f>
        <v>M</v>
      </c>
      <c r="AI806" t="str">
        <f>LEFT(AF806,1)</f>
        <v>A</v>
      </c>
      <c r="AJ806" t="str">
        <f>LEFT(M806,1)</f>
        <v>J</v>
      </c>
      <c r="AK806" t="str">
        <f>_xlfn.CONCAT(AG806,AH806,AI806,AJ806)</f>
        <v>CMAJ</v>
      </c>
    </row>
    <row r="807" spans="1:37" ht="15.75" hidden="1" customHeight="1" x14ac:dyDescent="0.2">
      <c r="A807" s="1">
        <v>1034708</v>
      </c>
      <c r="B807" s="1" t="s">
        <v>783</v>
      </c>
      <c r="C807" s="1" t="s">
        <v>81</v>
      </c>
      <c r="D807" s="1" t="s">
        <v>856</v>
      </c>
      <c r="E807" s="1" t="s">
        <v>857</v>
      </c>
      <c r="F807" s="1" t="s">
        <v>46</v>
      </c>
      <c r="G807" s="1" t="s">
        <v>861</v>
      </c>
      <c r="H807" s="1">
        <v>2684</v>
      </c>
      <c r="I807" s="1" t="s">
        <v>134</v>
      </c>
      <c r="J807" s="1">
        <v>8</v>
      </c>
      <c r="K807" s="1" t="s">
        <v>35</v>
      </c>
      <c r="L807" s="1">
        <v>57</v>
      </c>
      <c r="M807" s="1" t="str">
        <f>IF(L807&lt;=45,"Joven","Mayor")</f>
        <v>Mayor</v>
      </c>
      <c r="N807" s="1">
        <v>47</v>
      </c>
      <c r="O807" s="1" t="s">
        <v>36</v>
      </c>
      <c r="P807" s="1">
        <v>0.40200000000000002</v>
      </c>
      <c r="Q807" s="1">
        <v>64.423000000000002</v>
      </c>
      <c r="R807" s="1">
        <v>13.884918000000001</v>
      </c>
      <c r="S807" s="1">
        <v>2.0329894999999998</v>
      </c>
      <c r="T807" s="1">
        <v>-7.7258573000000004</v>
      </c>
      <c r="U807" s="1">
        <v>15.587</v>
      </c>
      <c r="V807" s="1">
        <v>100</v>
      </c>
      <c r="W807" s="1">
        <v>192</v>
      </c>
      <c r="X807" s="1">
        <v>1.92</v>
      </c>
      <c r="Y807" s="1">
        <v>108</v>
      </c>
      <c r="Z807" s="1">
        <v>192</v>
      </c>
      <c r="AA807" s="1">
        <v>1.7777777777777777</v>
      </c>
      <c r="AB807" s="1">
        <v>105.8139330274398</v>
      </c>
      <c r="AC807" s="1">
        <v>190.79487883878161</v>
      </c>
      <c r="AD807" s="1">
        <v>1.8031167860408746</v>
      </c>
      <c r="AE807" t="s">
        <v>4817</v>
      </c>
      <c r="AF807" t="str">
        <f>IF(X807&lt;$AF$1,"Bajo","Alto")</f>
        <v>Alto</v>
      </c>
      <c r="AG807" t="str">
        <f>LEFT(AE807,1)</f>
        <v>C</v>
      </c>
      <c r="AH807" t="str">
        <f>K807</f>
        <v>M</v>
      </c>
      <c r="AI807" t="str">
        <f>LEFT(AF807,1)</f>
        <v>A</v>
      </c>
      <c r="AJ807" t="str">
        <f>LEFT(M807,1)</f>
        <v>M</v>
      </c>
      <c r="AK807" t="str">
        <f>_xlfn.CONCAT(AG807,AH807,AI807,AJ807)</f>
        <v>CMAM</v>
      </c>
    </row>
    <row r="808" spans="1:37" ht="15.75" hidden="1" customHeight="1" x14ac:dyDescent="0.2">
      <c r="A808" s="1">
        <v>2312101</v>
      </c>
      <c r="B808" s="1" t="s">
        <v>319</v>
      </c>
      <c r="C808" s="1" t="s">
        <v>1989</v>
      </c>
      <c r="D808" s="1" t="s">
        <v>2952</v>
      </c>
      <c r="E808" s="1" t="s">
        <v>136</v>
      </c>
      <c r="F808" s="1" t="s">
        <v>32</v>
      </c>
      <c r="G808" s="1" t="s">
        <v>2953</v>
      </c>
      <c r="H808" s="1">
        <v>14</v>
      </c>
      <c r="I808" s="1" t="s">
        <v>42</v>
      </c>
      <c r="J808" s="1">
        <v>15</v>
      </c>
      <c r="K808" s="1" t="s">
        <v>35</v>
      </c>
      <c r="L808" s="1">
        <v>40</v>
      </c>
      <c r="M808" s="1" t="str">
        <f>IF(L808&lt;=45,"Joven","Mayor")</f>
        <v>Joven</v>
      </c>
      <c r="N808" s="1">
        <v>43</v>
      </c>
      <c r="O808" s="1" t="s">
        <v>36</v>
      </c>
      <c r="P808" s="1">
        <v>0.36099999999999999</v>
      </c>
      <c r="Q808" s="1">
        <v>93.332999999999998</v>
      </c>
      <c r="R808" s="1">
        <v>1.6394588000000001</v>
      </c>
      <c r="S808" s="1">
        <v>4.0523610000000003</v>
      </c>
      <c r="T808" s="1">
        <v>1.5919929999999999E-2</v>
      </c>
      <c r="U808" s="1">
        <v>0.26300000000000001</v>
      </c>
      <c r="V808" s="1">
        <v>99</v>
      </c>
      <c r="W808" s="1">
        <v>163</v>
      </c>
      <c r="X808" s="1">
        <v>1.6464646464646464</v>
      </c>
      <c r="Y808" s="1">
        <v>100</v>
      </c>
      <c r="Z808" s="1">
        <v>163</v>
      </c>
      <c r="AA808" s="1">
        <v>1.63</v>
      </c>
      <c r="AB808" s="1">
        <v>100.0119439130638</v>
      </c>
      <c r="AC808" s="1">
        <v>162.99916014233941</v>
      </c>
      <c r="AD808" s="1">
        <v>1.6297969398937766</v>
      </c>
      <c r="AE808" t="s">
        <v>4817</v>
      </c>
      <c r="AF808" t="str">
        <f>IF(X808&lt;$AF$1,"Bajo","Alto")</f>
        <v>Bajo</v>
      </c>
      <c r="AG808" t="str">
        <f>LEFT(AE808,1)</f>
        <v>C</v>
      </c>
      <c r="AH808" t="str">
        <f>K808</f>
        <v>M</v>
      </c>
      <c r="AI808" t="str">
        <f>LEFT(AF808,1)</f>
        <v>B</v>
      </c>
      <c r="AJ808" t="str">
        <f>LEFT(M808,1)</f>
        <v>J</v>
      </c>
      <c r="AK808" t="str">
        <f>_xlfn.CONCAT(AG808,AH808,AI808,AJ808)</f>
        <v>CMBJ</v>
      </c>
    </row>
    <row r="809" spans="1:37" ht="15.75" hidden="1" customHeight="1" x14ac:dyDescent="0.2">
      <c r="A809" s="1">
        <v>263005</v>
      </c>
      <c r="B809" s="1" t="s">
        <v>3358</v>
      </c>
      <c r="C809" s="1" t="s">
        <v>968</v>
      </c>
      <c r="D809" s="1" t="s">
        <v>3383</v>
      </c>
      <c r="E809" s="1" t="s">
        <v>2381</v>
      </c>
      <c r="F809" s="1" t="s">
        <v>40</v>
      </c>
      <c r="G809" s="1" t="s">
        <v>3387</v>
      </c>
      <c r="H809" s="1">
        <v>385</v>
      </c>
      <c r="I809" s="1" t="s">
        <v>3388</v>
      </c>
      <c r="J809" s="1">
        <v>871</v>
      </c>
      <c r="K809" s="1" t="s">
        <v>35</v>
      </c>
      <c r="L809" s="1">
        <v>47</v>
      </c>
      <c r="M809" s="1" t="str">
        <f>IF(L809&lt;=45,"Joven","Mayor")</f>
        <v>Mayor</v>
      </c>
      <c r="N809" s="1">
        <v>59</v>
      </c>
      <c r="O809" s="1" t="s">
        <v>36</v>
      </c>
      <c r="P809" s="1">
        <v>0.74099999999999999</v>
      </c>
      <c r="Q809" s="1">
        <v>91.344999999999999</v>
      </c>
      <c r="R809" s="1">
        <v>4.9824533000000004</v>
      </c>
      <c r="S809" s="1">
        <v>0.49572745000000001</v>
      </c>
      <c r="T809" s="1">
        <v>-5.6953034000000002</v>
      </c>
      <c r="U809" s="1">
        <v>0.26400000000000001</v>
      </c>
      <c r="V809" s="1">
        <v>114</v>
      </c>
      <c r="W809" s="1">
        <v>184</v>
      </c>
      <c r="X809" s="1">
        <v>1.6140350877192982</v>
      </c>
      <c r="Y809" s="1">
        <v>115</v>
      </c>
      <c r="Z809" s="1">
        <v>184</v>
      </c>
      <c r="AA809" s="1">
        <v>1.6</v>
      </c>
      <c r="AB809" s="1">
        <v>118.2999337039271</v>
      </c>
      <c r="AC809" s="1">
        <v>183.78638955164249</v>
      </c>
      <c r="AD809" s="1">
        <v>1.5535629124832002</v>
      </c>
      <c r="AE809" t="s">
        <v>4817</v>
      </c>
      <c r="AF809" t="str">
        <f>IF(X809&lt;$AF$1,"Bajo","Alto")</f>
        <v>Bajo</v>
      </c>
      <c r="AG809" t="str">
        <f>LEFT(AE809,1)</f>
        <v>C</v>
      </c>
      <c r="AH809" t="str">
        <f>K809</f>
        <v>M</v>
      </c>
      <c r="AI809" t="str">
        <f>LEFT(AF809,1)</f>
        <v>B</v>
      </c>
      <c r="AJ809" t="str">
        <f>LEFT(M809,1)</f>
        <v>M</v>
      </c>
      <c r="AK809" t="str">
        <f>_xlfn.CONCAT(AG809,AH809,AI809,AJ809)</f>
        <v>CMBM</v>
      </c>
    </row>
    <row r="810" spans="1:37" ht="15.75" hidden="1" customHeight="1" x14ac:dyDescent="0.2">
      <c r="A810" s="1">
        <v>127505</v>
      </c>
      <c r="B810" s="1" t="s">
        <v>1798</v>
      </c>
      <c r="C810" s="1" t="s">
        <v>54</v>
      </c>
      <c r="D810" s="1" t="s">
        <v>1911</v>
      </c>
      <c r="E810" s="1" t="s">
        <v>1912</v>
      </c>
      <c r="F810" s="1" t="s">
        <v>40</v>
      </c>
      <c r="G810" s="1" t="s">
        <v>1915</v>
      </c>
      <c r="H810" s="1">
        <v>15406</v>
      </c>
      <c r="I810" s="1" t="s">
        <v>93</v>
      </c>
      <c r="J810" s="1">
        <v>9</v>
      </c>
      <c r="K810" s="1" t="s">
        <v>35</v>
      </c>
      <c r="L810" s="1">
        <v>58</v>
      </c>
      <c r="M810" s="1" t="str">
        <f>IF(L810&lt;=45,"Joven","Mayor")</f>
        <v>Mayor</v>
      </c>
      <c r="N810" s="1">
        <v>58</v>
      </c>
      <c r="O810" s="1" t="s">
        <v>36</v>
      </c>
      <c r="P810" s="1">
        <v>0.82399999999999995</v>
      </c>
      <c r="Q810" s="1">
        <v>93.058000000000007</v>
      </c>
      <c r="R810" s="1">
        <v>0.10523784</v>
      </c>
      <c r="S810" s="1">
        <v>7.3175005999999998</v>
      </c>
      <c r="T810" s="1">
        <v>7.1925205999999999</v>
      </c>
      <c r="U810" s="1">
        <v>3.3370000000000002</v>
      </c>
      <c r="V810" s="1">
        <v>66</v>
      </c>
      <c r="W810" s="1">
        <v>124</v>
      </c>
      <c r="X810" s="1">
        <v>1.8787878787878789</v>
      </c>
      <c r="Y810" s="1">
        <v>73</v>
      </c>
      <c r="Z810" s="1">
        <v>124</v>
      </c>
      <c r="AA810" s="1">
        <v>1.6986301369863013</v>
      </c>
      <c r="AB810" s="1">
        <v>70.614002145396398</v>
      </c>
      <c r="AC810" s="1">
        <v>124.7771027849026</v>
      </c>
      <c r="AD810" s="1">
        <v>1.7670306029104923</v>
      </c>
      <c r="AE810" t="s">
        <v>4815</v>
      </c>
      <c r="AF810" t="str">
        <f>IF(X810&lt;$AF$1,"Bajo","Alto")</f>
        <v>Alto</v>
      </c>
      <c r="AG810" t="str">
        <f>LEFT(AE810,1)</f>
        <v>I</v>
      </c>
      <c r="AH810" t="str">
        <f>K810</f>
        <v>M</v>
      </c>
      <c r="AI810" t="str">
        <f>LEFT(AF810,1)</f>
        <v>A</v>
      </c>
      <c r="AJ810" t="str">
        <f>LEFT(M810,1)</f>
        <v>M</v>
      </c>
      <c r="AK810" t="str">
        <f>_xlfn.CONCAT(AG810,AH810,AI810,AJ810)</f>
        <v>IMAM</v>
      </c>
    </row>
    <row r="811" spans="1:37" ht="15.75" hidden="1" customHeight="1" x14ac:dyDescent="0.2">
      <c r="A811" s="1">
        <v>1516901</v>
      </c>
      <c r="B811" s="1" t="s">
        <v>2077</v>
      </c>
      <c r="C811" s="1" t="s">
        <v>57</v>
      </c>
      <c r="D811" s="1" t="s">
        <v>2194</v>
      </c>
      <c r="E811" s="1" t="s">
        <v>279</v>
      </c>
      <c r="F811" s="1" t="s">
        <v>32</v>
      </c>
      <c r="G811" s="1" t="s">
        <v>2195</v>
      </c>
      <c r="H811" s="1">
        <v>1632</v>
      </c>
      <c r="I811" s="1" t="s">
        <v>39</v>
      </c>
      <c r="J811" s="1">
        <v>11</v>
      </c>
      <c r="K811" s="1" t="s">
        <v>35</v>
      </c>
      <c r="L811" s="1">
        <v>43</v>
      </c>
      <c r="M811" s="1" t="str">
        <f>IF(L811&lt;=45,"Joven","Mayor")</f>
        <v>Joven</v>
      </c>
      <c r="N811" s="1">
        <v>44</v>
      </c>
      <c r="O811" s="1" t="s">
        <v>36</v>
      </c>
      <c r="P811" s="1">
        <v>8.4000000000000005E-2</v>
      </c>
      <c r="Q811" s="1">
        <v>89.582999999999998</v>
      </c>
      <c r="R811" s="1">
        <v>5.372147</v>
      </c>
      <c r="S811" s="1">
        <v>5.3224973999999996</v>
      </c>
      <c r="T811" s="1">
        <v>-4.427276</v>
      </c>
      <c r="U811" s="1">
        <v>38.088000000000001</v>
      </c>
      <c r="V811" s="1">
        <v>94</v>
      </c>
      <c r="W811" s="1">
        <v>156</v>
      </c>
      <c r="X811" s="1">
        <v>1.6595744680851063</v>
      </c>
      <c r="Y811" s="1">
        <v>96</v>
      </c>
      <c r="Z811" s="1">
        <v>156</v>
      </c>
      <c r="AA811" s="1">
        <v>1.625</v>
      </c>
      <c r="AB811" s="1">
        <v>97.19323022570984</v>
      </c>
      <c r="AC811" s="1">
        <v>155.76609522127771</v>
      </c>
      <c r="AD811" s="1">
        <v>1.6026434645658481</v>
      </c>
      <c r="AE811" t="s">
        <v>4816</v>
      </c>
      <c r="AF811" t="str">
        <f>IF(X811&lt;$AF$1,"Bajo","Alto")</f>
        <v>Bajo</v>
      </c>
      <c r="AG811" t="str">
        <f>LEFT(AE811,1)</f>
        <v>D</v>
      </c>
      <c r="AH811" t="str">
        <f>K811</f>
        <v>M</v>
      </c>
      <c r="AI811" t="str">
        <f>LEFT(AF811,1)</f>
        <v>B</v>
      </c>
      <c r="AJ811" t="str">
        <f>LEFT(M811,1)</f>
        <v>J</v>
      </c>
      <c r="AK811" t="str">
        <f>_xlfn.CONCAT(AG811,AH811,AI811,AJ811)</f>
        <v>DMBJ</v>
      </c>
    </row>
    <row r="812" spans="1:37" ht="15.75" hidden="1" customHeight="1" x14ac:dyDescent="0.2">
      <c r="A812" s="1">
        <v>1057606</v>
      </c>
      <c r="B812" s="1" t="s">
        <v>694</v>
      </c>
      <c r="C812" s="1" t="s">
        <v>879</v>
      </c>
      <c r="D812" s="1" t="s">
        <v>1024</v>
      </c>
      <c r="E812" s="1" t="s">
        <v>727</v>
      </c>
      <c r="F812" s="1" t="s">
        <v>88</v>
      </c>
      <c r="G812" s="1" t="s">
        <v>1029</v>
      </c>
      <c r="H812" s="1">
        <v>20</v>
      </c>
      <c r="I812" s="1" t="s">
        <v>108</v>
      </c>
      <c r="J812" s="1">
        <v>3</v>
      </c>
      <c r="K812" s="1" t="s">
        <v>35</v>
      </c>
      <c r="L812" s="1">
        <v>50</v>
      </c>
      <c r="M812" s="1" t="str">
        <f>IF(L812&lt;=45,"Joven","Mayor")</f>
        <v>Mayor</v>
      </c>
      <c r="N812" s="1">
        <v>47</v>
      </c>
      <c r="O812" s="1" t="s">
        <v>36</v>
      </c>
      <c r="P812" s="1">
        <v>0.47799999999999998</v>
      </c>
      <c r="Q812" s="1">
        <v>91.031999999999996</v>
      </c>
      <c r="R812" s="1">
        <v>3.8188436000000001</v>
      </c>
      <c r="S812" s="1">
        <v>5.7515900000000002</v>
      </c>
      <c r="T812" s="1">
        <v>-2.9776509999999998</v>
      </c>
      <c r="U812" s="1">
        <v>5.5179999999999998</v>
      </c>
      <c r="V812" s="1">
        <v>78</v>
      </c>
      <c r="W812" s="1">
        <v>126</v>
      </c>
      <c r="X812" s="1">
        <v>1.6153846153846154</v>
      </c>
      <c r="Y812" s="1">
        <v>79</v>
      </c>
      <c r="Z812" s="1">
        <v>126</v>
      </c>
      <c r="AA812" s="1">
        <v>1.5949367088607596</v>
      </c>
      <c r="AB812" s="1">
        <v>80.763411213205472</v>
      </c>
      <c r="AC812" s="1">
        <v>125.7779375920318</v>
      </c>
      <c r="AD812" s="1">
        <v>1.5573628664593366</v>
      </c>
      <c r="AE812" t="s">
        <v>4817</v>
      </c>
      <c r="AF812" t="str">
        <f>IF(X812&lt;$AF$1,"Bajo","Alto")</f>
        <v>Bajo</v>
      </c>
      <c r="AG812" t="str">
        <f>LEFT(AE812,1)</f>
        <v>C</v>
      </c>
      <c r="AH812" t="str">
        <f>K812</f>
        <v>M</v>
      </c>
      <c r="AI812" t="str">
        <f>LEFT(AF812,1)</f>
        <v>B</v>
      </c>
      <c r="AJ812" t="str">
        <f>LEFT(M812,1)</f>
        <v>M</v>
      </c>
      <c r="AK812" t="str">
        <f>_xlfn.CONCAT(AG812,AH812,AI812,AJ812)</f>
        <v>CMBM</v>
      </c>
    </row>
    <row r="813" spans="1:37" ht="15.75" hidden="1" customHeight="1" x14ac:dyDescent="0.2">
      <c r="A813" s="1">
        <v>1050504</v>
      </c>
      <c r="B813" s="1" t="s">
        <v>694</v>
      </c>
      <c r="C813" s="1" t="s">
        <v>879</v>
      </c>
      <c r="D813" s="1" t="s">
        <v>890</v>
      </c>
      <c r="E813" s="1" t="s">
        <v>40</v>
      </c>
      <c r="F813" s="1" t="s">
        <v>61</v>
      </c>
      <c r="G813" s="1" t="s">
        <v>891</v>
      </c>
      <c r="H813" s="1">
        <v>3033</v>
      </c>
      <c r="I813" s="1" t="s">
        <v>892</v>
      </c>
      <c r="J813" s="1">
        <v>2234</v>
      </c>
      <c r="K813" s="1" t="s">
        <v>35</v>
      </c>
      <c r="L813" s="1">
        <v>41</v>
      </c>
      <c r="M813" s="1" t="str">
        <f>IF(L813&lt;=45,"Joven","Mayor")</f>
        <v>Joven</v>
      </c>
      <c r="N813" s="1">
        <v>41</v>
      </c>
      <c r="O813" s="1" t="s">
        <v>36</v>
      </c>
      <c r="P813" s="1">
        <v>1.071</v>
      </c>
      <c r="Q813" s="1">
        <v>93.242000000000004</v>
      </c>
      <c r="R813" s="1">
        <v>1.1854279000000001</v>
      </c>
      <c r="S813" s="1">
        <v>4.7045592999999997</v>
      </c>
      <c r="T813" s="1">
        <v>-3.2187815</v>
      </c>
      <c r="U813" s="1">
        <v>4.274</v>
      </c>
      <c r="V813" s="1">
        <v>102</v>
      </c>
      <c r="W813" s="1">
        <v>168</v>
      </c>
      <c r="X813" s="1">
        <v>1.6470588235294117</v>
      </c>
      <c r="Y813" s="1">
        <v>106</v>
      </c>
      <c r="Z813" s="1">
        <v>168</v>
      </c>
      <c r="AA813" s="1">
        <v>1.5849056603773586</v>
      </c>
      <c r="AB813" s="1">
        <v>104.53422796969809</v>
      </c>
      <c r="AC813" s="1">
        <v>167.9034116370176</v>
      </c>
      <c r="AD813" s="1">
        <v>1.6062051148040111</v>
      </c>
      <c r="AE813" t="s">
        <v>4817</v>
      </c>
      <c r="AF813" t="str">
        <f>IF(X813&lt;$AF$1,"Bajo","Alto")</f>
        <v>Bajo</v>
      </c>
      <c r="AG813" t="str">
        <f>LEFT(AE813,1)</f>
        <v>C</v>
      </c>
      <c r="AH813" t="str">
        <f>K813</f>
        <v>M</v>
      </c>
      <c r="AI813" t="str">
        <f>LEFT(AF813,1)</f>
        <v>B</v>
      </c>
      <c r="AJ813" t="str">
        <f>LEFT(M813,1)</f>
        <v>J</v>
      </c>
      <c r="AK813" t="str">
        <f>_xlfn.CONCAT(AG813,AH813,AI813,AJ813)</f>
        <v>CMBJ</v>
      </c>
    </row>
    <row r="814" spans="1:37" ht="15.75" hidden="1" customHeight="1" x14ac:dyDescent="0.2">
      <c r="A814" s="1">
        <v>271003</v>
      </c>
      <c r="B814" s="1" t="s">
        <v>3409</v>
      </c>
      <c r="C814" s="1" t="s">
        <v>973</v>
      </c>
      <c r="D814" s="1" t="s">
        <v>3427</v>
      </c>
      <c r="E814" s="1" t="s">
        <v>75</v>
      </c>
      <c r="F814" s="1" t="s">
        <v>63</v>
      </c>
      <c r="G814" s="1" t="s">
        <v>3430</v>
      </c>
      <c r="H814" s="1">
        <v>2278</v>
      </c>
      <c r="I814" s="1" t="s">
        <v>108</v>
      </c>
      <c r="J814" s="1">
        <v>3</v>
      </c>
      <c r="K814" s="1" t="s">
        <v>35</v>
      </c>
      <c r="L814" s="1">
        <v>57</v>
      </c>
      <c r="M814" s="1" t="str">
        <f>IF(L814&lt;=45,"Joven","Mayor")</f>
        <v>Mayor</v>
      </c>
      <c r="N814" s="1">
        <v>51</v>
      </c>
      <c r="O814" s="1" t="s">
        <v>36</v>
      </c>
      <c r="P814" s="1">
        <v>0.35</v>
      </c>
      <c r="Q814" s="1">
        <v>94.8</v>
      </c>
      <c r="R814" s="1">
        <v>0.13993775999999999</v>
      </c>
      <c r="S814" s="1">
        <v>0.51766425000000005</v>
      </c>
      <c r="T814" s="1">
        <v>-3.0372092999999998</v>
      </c>
      <c r="U814" s="1">
        <v>24.422000000000001</v>
      </c>
      <c r="V814" s="1">
        <v>117</v>
      </c>
      <c r="W814" s="1">
        <v>189</v>
      </c>
      <c r="X814" s="1">
        <v>1.6153846153846154</v>
      </c>
      <c r="Y814" s="1">
        <v>119</v>
      </c>
      <c r="Z814" s="1">
        <v>189</v>
      </c>
      <c r="AA814" s="1">
        <v>1.588235294117647</v>
      </c>
      <c r="AB814" s="1">
        <v>119.64383173756551</v>
      </c>
      <c r="AC814" s="1">
        <v>188.99944088518171</v>
      </c>
      <c r="AD814" s="1">
        <v>1.5796839514446952</v>
      </c>
      <c r="AE814" t="s">
        <v>4817</v>
      </c>
      <c r="AF814" t="str">
        <f>IF(X814&lt;$AF$1,"Bajo","Alto")</f>
        <v>Bajo</v>
      </c>
      <c r="AG814" t="str">
        <f>LEFT(AE814,1)</f>
        <v>C</v>
      </c>
      <c r="AH814" t="str">
        <f>K814</f>
        <v>M</v>
      </c>
      <c r="AI814" t="str">
        <f>LEFT(AF814,1)</f>
        <v>B</v>
      </c>
      <c r="AJ814" t="str">
        <f>LEFT(M814,1)</f>
        <v>M</v>
      </c>
      <c r="AK814" t="str">
        <f>_xlfn.CONCAT(AG814,AH814,AI814,AJ814)</f>
        <v>CMBM</v>
      </c>
    </row>
    <row r="815" spans="1:37" ht="15.75" hidden="1" customHeight="1" x14ac:dyDescent="0.2">
      <c r="A815" s="1">
        <v>191603</v>
      </c>
      <c r="B815" s="1" t="s">
        <v>2656</v>
      </c>
      <c r="C815" s="1" t="s">
        <v>323</v>
      </c>
      <c r="D815" s="1" t="s">
        <v>2679</v>
      </c>
      <c r="E815" s="1" t="s">
        <v>244</v>
      </c>
      <c r="F815" s="1" t="s">
        <v>63</v>
      </c>
      <c r="G815" s="1" t="s">
        <v>2681</v>
      </c>
      <c r="H815" s="1">
        <v>199</v>
      </c>
      <c r="I815" s="1" t="s">
        <v>91</v>
      </c>
      <c r="J815" s="1">
        <v>6</v>
      </c>
      <c r="K815" s="1" t="s">
        <v>35</v>
      </c>
      <c r="L815" s="1">
        <v>38</v>
      </c>
      <c r="M815" s="1" t="str">
        <f>IF(L815&lt;=45,"Joven","Mayor")</f>
        <v>Joven</v>
      </c>
      <c r="N815" s="1">
        <v>46</v>
      </c>
      <c r="O815" s="1" t="s">
        <v>36</v>
      </c>
      <c r="P815" s="1">
        <v>0.34899999999999998</v>
      </c>
      <c r="Q815" s="1">
        <v>76.784000000000006</v>
      </c>
      <c r="R815" s="1">
        <v>10.881869</v>
      </c>
      <c r="S815" s="1">
        <v>5.107494</v>
      </c>
      <c r="T815" s="1">
        <v>-6.7369013000000004</v>
      </c>
      <c r="U815" s="1">
        <v>85.015000000000001</v>
      </c>
      <c r="V815" s="1">
        <v>85</v>
      </c>
      <c r="W815" s="1">
        <v>140</v>
      </c>
      <c r="X815" s="1">
        <v>1.6470588235294117</v>
      </c>
      <c r="Y815" s="1">
        <v>87</v>
      </c>
      <c r="Z815" s="1">
        <v>140</v>
      </c>
      <c r="AA815" s="1">
        <v>1.6091954022988506</v>
      </c>
      <c r="AB815" s="1">
        <v>88.636273748455096</v>
      </c>
      <c r="AC815" s="1">
        <v>139.38527335225669</v>
      </c>
      <c r="AD815" s="1">
        <v>1.5725533966807368</v>
      </c>
      <c r="AE815" t="s">
        <v>4817</v>
      </c>
      <c r="AF815" t="str">
        <f>IF(X815&lt;$AF$1,"Bajo","Alto")</f>
        <v>Bajo</v>
      </c>
      <c r="AG815" t="str">
        <f>LEFT(AE815,1)</f>
        <v>C</v>
      </c>
      <c r="AH815" t="str">
        <f>K815</f>
        <v>M</v>
      </c>
      <c r="AI815" t="str">
        <f>LEFT(AF815,1)</f>
        <v>B</v>
      </c>
      <c r="AJ815" t="str">
        <f>LEFT(M815,1)</f>
        <v>J</v>
      </c>
      <c r="AK815" t="str">
        <f>_xlfn.CONCAT(AG815,AH815,AI815,AJ815)</f>
        <v>CMBJ</v>
      </c>
    </row>
    <row r="816" spans="1:37" ht="15.75" hidden="1" customHeight="1" x14ac:dyDescent="0.2">
      <c r="A816" s="1">
        <v>274002</v>
      </c>
      <c r="B816" s="1" t="s">
        <v>3409</v>
      </c>
      <c r="C816" s="1" t="s">
        <v>973</v>
      </c>
      <c r="D816" s="1" t="s">
        <v>3671</v>
      </c>
      <c r="E816" s="1" t="s">
        <v>657</v>
      </c>
      <c r="F816" s="1" t="s">
        <v>37</v>
      </c>
      <c r="G816" s="1" t="s">
        <v>3672</v>
      </c>
      <c r="H816" s="1">
        <v>79</v>
      </c>
      <c r="I816" s="1" t="s">
        <v>48</v>
      </c>
      <c r="J816" s="1">
        <v>4</v>
      </c>
      <c r="K816" s="1" t="s">
        <v>35</v>
      </c>
      <c r="L816" s="1">
        <v>48</v>
      </c>
      <c r="M816" s="1" t="str">
        <f>IF(L816&lt;=45,"Joven","Mayor")</f>
        <v>Mayor</v>
      </c>
      <c r="N816" s="1">
        <v>50</v>
      </c>
      <c r="O816" s="1" t="s">
        <v>36</v>
      </c>
      <c r="P816" s="1">
        <v>0.376</v>
      </c>
      <c r="Q816" s="1">
        <v>93.186999999999998</v>
      </c>
      <c r="R816" s="1">
        <v>-0.65619594000000003</v>
      </c>
      <c r="S816" s="1">
        <v>6.4478080000000002</v>
      </c>
      <c r="T816" s="1">
        <v>-2.1275750000000002</v>
      </c>
      <c r="U816" s="1">
        <v>0.18099999999999999</v>
      </c>
      <c r="V816" s="1">
        <v>117</v>
      </c>
      <c r="W816" s="1">
        <v>189</v>
      </c>
      <c r="X816" s="1">
        <v>1.6153846153846154</v>
      </c>
      <c r="Y816" s="1">
        <v>125</v>
      </c>
      <c r="Z816" s="1">
        <v>189</v>
      </c>
      <c r="AA816" s="1">
        <v>1.512</v>
      </c>
      <c r="AB816" s="1">
        <v>126.65868911570099</v>
      </c>
      <c r="AC816" s="1">
        <v>188.72121278308759</v>
      </c>
      <c r="AD816" s="1">
        <v>1.4899981525206953</v>
      </c>
      <c r="AE816" t="s">
        <v>4817</v>
      </c>
      <c r="AF816" t="str">
        <f>IF(X816&lt;$AF$1,"Bajo","Alto")</f>
        <v>Bajo</v>
      </c>
      <c r="AG816" t="str">
        <f>LEFT(AE816,1)</f>
        <v>C</v>
      </c>
      <c r="AH816" t="str">
        <f>K816</f>
        <v>M</v>
      </c>
      <c r="AI816" t="str">
        <f>LEFT(AF816,1)</f>
        <v>B</v>
      </c>
      <c r="AJ816" t="str">
        <f>LEFT(M816,1)</f>
        <v>M</v>
      </c>
      <c r="AK816" t="str">
        <f>_xlfn.CONCAT(AG816,AH816,AI816,AJ816)</f>
        <v>CMBM</v>
      </c>
    </row>
    <row r="817" spans="1:37" ht="15.75" hidden="1" customHeight="1" x14ac:dyDescent="0.2">
      <c r="A817" s="1">
        <v>1532806</v>
      </c>
      <c r="B817" s="1" t="s">
        <v>2077</v>
      </c>
      <c r="C817" s="1" t="s">
        <v>57</v>
      </c>
      <c r="D817" s="1" t="s">
        <v>2417</v>
      </c>
      <c r="E817" s="1" t="s">
        <v>1420</v>
      </c>
      <c r="F817" s="1" t="s">
        <v>88</v>
      </c>
      <c r="G817" s="1" t="s">
        <v>2421</v>
      </c>
      <c r="H817" s="1">
        <v>7523</v>
      </c>
      <c r="I817" s="1" t="s">
        <v>2422</v>
      </c>
      <c r="J817" s="1">
        <v>3568</v>
      </c>
      <c r="K817" s="1" t="s">
        <v>35</v>
      </c>
      <c r="L817" s="1">
        <v>46</v>
      </c>
      <c r="M817" s="1" t="str">
        <f>IF(L817&lt;=45,"Joven","Mayor")</f>
        <v>Mayor</v>
      </c>
      <c r="N817" s="1">
        <v>52</v>
      </c>
      <c r="O817" s="1" t="s">
        <v>36</v>
      </c>
      <c r="P817" s="1">
        <v>0.373</v>
      </c>
      <c r="Q817" s="1">
        <v>86.058000000000007</v>
      </c>
      <c r="R817" s="1">
        <v>7.5855737000000003</v>
      </c>
      <c r="S817" s="1">
        <v>4.9520489999999997</v>
      </c>
      <c r="T817" s="1">
        <v>-5.150963</v>
      </c>
      <c r="U817" s="1">
        <v>12.54</v>
      </c>
      <c r="V817" s="1">
        <v>87</v>
      </c>
      <c r="W817" s="1">
        <v>167</v>
      </c>
      <c r="X817" s="1">
        <v>1.9195402298850575</v>
      </c>
      <c r="Y817" s="1">
        <v>89</v>
      </c>
      <c r="Z817" s="1">
        <v>167</v>
      </c>
      <c r="AA817" s="1">
        <v>1.8764044943820224</v>
      </c>
      <c r="AB817" s="1">
        <v>90.778549178305866</v>
      </c>
      <c r="AC817" s="1">
        <v>166.95404908836869</v>
      </c>
      <c r="AD817" s="1">
        <v>1.8391354631636605</v>
      </c>
      <c r="AE817" t="s">
        <v>4817</v>
      </c>
      <c r="AF817" t="str">
        <f>IF(X817&lt;$AF$1,"Bajo","Alto")</f>
        <v>Alto</v>
      </c>
      <c r="AG817" t="str">
        <f>LEFT(AE817,1)</f>
        <v>C</v>
      </c>
      <c r="AH817" t="str">
        <f>K817</f>
        <v>M</v>
      </c>
      <c r="AI817" t="str">
        <f>LEFT(AF817,1)</f>
        <v>A</v>
      </c>
      <c r="AJ817" t="str">
        <f>LEFT(M817,1)</f>
        <v>M</v>
      </c>
      <c r="AK817" t="str">
        <f>_xlfn.CONCAT(AG817,AH817,AI817,AJ817)</f>
        <v>CMAM</v>
      </c>
    </row>
    <row r="818" spans="1:37" ht="15.75" hidden="1" customHeight="1" x14ac:dyDescent="0.2">
      <c r="A818" s="1">
        <v>1527107</v>
      </c>
      <c r="B818" s="1" t="s">
        <v>2077</v>
      </c>
      <c r="C818" s="1" t="s">
        <v>57</v>
      </c>
      <c r="D818" s="1" t="s">
        <v>2328</v>
      </c>
      <c r="E818" s="1" t="s">
        <v>546</v>
      </c>
      <c r="F818" s="1" t="s">
        <v>43</v>
      </c>
      <c r="G818" s="1" t="s">
        <v>2334</v>
      </c>
      <c r="H818" s="1">
        <v>3587</v>
      </c>
      <c r="I818" s="1" t="s">
        <v>2335</v>
      </c>
      <c r="J818" s="1">
        <v>2288</v>
      </c>
      <c r="K818" s="1" t="s">
        <v>35</v>
      </c>
      <c r="L818" s="1">
        <v>41</v>
      </c>
      <c r="M818" s="1" t="str">
        <f>IF(L818&lt;=45,"Joven","Mayor")</f>
        <v>Joven</v>
      </c>
      <c r="N818" s="1">
        <v>69</v>
      </c>
      <c r="O818" s="1" t="s">
        <v>36</v>
      </c>
      <c r="P818" s="1">
        <v>0.372</v>
      </c>
      <c r="Q818" s="1">
        <v>81.679000000000002</v>
      </c>
      <c r="R818" s="1">
        <v>9.3494720000000004</v>
      </c>
      <c r="S818" s="1">
        <v>5.254594</v>
      </c>
      <c r="T818" s="1">
        <v>-4.9907665000000003</v>
      </c>
      <c r="U818" s="1">
        <v>10.173</v>
      </c>
      <c r="V818" s="1">
        <v>80</v>
      </c>
      <c r="W818" s="1">
        <v>154</v>
      </c>
      <c r="X818" s="1">
        <v>1.925</v>
      </c>
      <c r="Y818" s="1">
        <v>80</v>
      </c>
      <c r="Z818" s="1">
        <v>154</v>
      </c>
      <c r="AA818" s="1">
        <v>1.925</v>
      </c>
      <c r="AB818" s="1">
        <v>83.437492053973074</v>
      </c>
      <c r="AC818" s="1">
        <v>153.32914933366189</v>
      </c>
      <c r="AD818" s="1">
        <v>1.8376529011020384</v>
      </c>
      <c r="AE818" t="s">
        <v>4817</v>
      </c>
      <c r="AF818" t="str">
        <f>IF(X818&lt;$AF$1,"Bajo","Alto")</f>
        <v>Alto</v>
      </c>
      <c r="AG818" t="str">
        <f>LEFT(AE818,1)</f>
        <v>C</v>
      </c>
      <c r="AH818" t="str">
        <f>K818</f>
        <v>M</v>
      </c>
      <c r="AI818" t="str">
        <f>LEFT(AF818,1)</f>
        <v>A</v>
      </c>
      <c r="AJ818" t="str">
        <f>LEFT(M818,1)</f>
        <v>J</v>
      </c>
      <c r="AK818" t="str">
        <f>_xlfn.CONCAT(AG818,AH818,AI818,AJ818)</f>
        <v>CMAJ</v>
      </c>
    </row>
    <row r="819" spans="1:37" ht="15.75" hidden="1" customHeight="1" x14ac:dyDescent="0.2">
      <c r="A819" s="1">
        <v>252503</v>
      </c>
      <c r="B819" s="1" t="s">
        <v>3169</v>
      </c>
      <c r="C819" s="1" t="s">
        <v>821</v>
      </c>
      <c r="D819" s="1" t="s">
        <v>3212</v>
      </c>
      <c r="E819" s="1" t="s">
        <v>821</v>
      </c>
      <c r="F819" s="1" t="s">
        <v>63</v>
      </c>
      <c r="G819" s="1" t="s">
        <v>3215</v>
      </c>
      <c r="H819" s="1">
        <v>2497</v>
      </c>
      <c r="I819" s="1" t="s">
        <v>383</v>
      </c>
      <c r="J819" s="1">
        <v>3356</v>
      </c>
      <c r="K819" s="1" t="s">
        <v>35</v>
      </c>
      <c r="L819" s="1">
        <v>33</v>
      </c>
      <c r="M819" s="1" t="str">
        <f>IF(L819&lt;=45,"Joven","Mayor")</f>
        <v>Joven</v>
      </c>
      <c r="N819" s="1">
        <v>51</v>
      </c>
      <c r="O819" s="1" t="s">
        <v>36</v>
      </c>
      <c r="P819" s="1">
        <v>0.255</v>
      </c>
      <c r="Q819" s="1">
        <v>79.841999999999999</v>
      </c>
      <c r="R819" s="1">
        <v>10.025024</v>
      </c>
      <c r="S819" s="1">
        <v>5.067526</v>
      </c>
      <c r="T819" s="1">
        <v>-7.0710579999999998</v>
      </c>
      <c r="U819" s="1">
        <v>65.2</v>
      </c>
      <c r="V819" s="1">
        <v>102</v>
      </c>
      <c r="W819" s="1">
        <v>168</v>
      </c>
      <c r="X819" s="1">
        <v>1.6470588235294117</v>
      </c>
      <c r="Y819" s="1">
        <v>106</v>
      </c>
      <c r="Z819" s="1">
        <v>168</v>
      </c>
      <c r="AA819" s="1">
        <v>1.5849056603773586</v>
      </c>
      <c r="AB819" s="1">
        <v>107.0099225980521</v>
      </c>
      <c r="AC819" s="1">
        <v>167.09153401387491</v>
      </c>
      <c r="AD819" s="1">
        <v>1.5614583204727639</v>
      </c>
      <c r="AE819" t="s">
        <v>4817</v>
      </c>
      <c r="AF819" t="str">
        <f>IF(X819&lt;$AF$1,"Bajo","Alto")</f>
        <v>Bajo</v>
      </c>
      <c r="AG819" t="str">
        <f>LEFT(AE819,1)</f>
        <v>C</v>
      </c>
      <c r="AH819" t="str">
        <f>K819</f>
        <v>M</v>
      </c>
      <c r="AI819" t="str">
        <f>LEFT(AF819,1)</f>
        <v>B</v>
      </c>
      <c r="AJ819" t="str">
        <f>LEFT(M819,1)</f>
        <v>J</v>
      </c>
      <c r="AK819" t="str">
        <f>_xlfn.CONCAT(AG819,AH819,AI819,AJ819)</f>
        <v>CMBJ</v>
      </c>
    </row>
    <row r="820" spans="1:37" ht="15.75" hidden="1" customHeight="1" x14ac:dyDescent="0.2">
      <c r="A820" s="1">
        <v>1057901</v>
      </c>
      <c r="B820" s="1" t="s">
        <v>694</v>
      </c>
      <c r="C820" s="1" t="s">
        <v>879</v>
      </c>
      <c r="D820" s="1" t="s">
        <v>1036</v>
      </c>
      <c r="E820" s="1" t="s">
        <v>739</v>
      </c>
      <c r="F820" s="1" t="s">
        <v>32</v>
      </c>
      <c r="G820" s="1" t="s">
        <v>1037</v>
      </c>
      <c r="H820" s="1">
        <v>101</v>
      </c>
      <c r="I820" s="1" t="s">
        <v>100</v>
      </c>
      <c r="J820" s="1">
        <v>1</v>
      </c>
      <c r="K820" s="1" t="s">
        <v>35</v>
      </c>
      <c r="L820" s="1">
        <v>44</v>
      </c>
      <c r="M820" s="1" t="str">
        <f>IF(L820&lt;=45,"Joven","Mayor")</f>
        <v>Joven</v>
      </c>
      <c r="N820" s="1">
        <v>44</v>
      </c>
      <c r="O820" s="1" t="s">
        <v>36</v>
      </c>
      <c r="P820" s="1">
        <v>0.36699999999999999</v>
      </c>
      <c r="Q820" s="1">
        <v>92.617999999999995</v>
      </c>
      <c r="R820" s="1">
        <v>0.67228100000000002</v>
      </c>
      <c r="S820" s="1">
        <v>7.9468017</v>
      </c>
      <c r="T820" s="1">
        <v>-2.0997349999999999</v>
      </c>
      <c r="U820" s="1">
        <v>12.57</v>
      </c>
      <c r="V820" s="1">
        <v>93</v>
      </c>
      <c r="W820" s="1">
        <v>179</v>
      </c>
      <c r="X820" s="1">
        <v>1.924731182795699</v>
      </c>
      <c r="Y820" s="1">
        <v>96</v>
      </c>
      <c r="Z820" s="1">
        <v>179</v>
      </c>
      <c r="AA820" s="1">
        <v>1.8645833333333333</v>
      </c>
      <c r="AB820" s="1">
        <v>97.767496406457894</v>
      </c>
      <c r="AC820" s="1">
        <v>178.87981282167991</v>
      </c>
      <c r="AD820" s="1">
        <v>1.8296450190153817</v>
      </c>
      <c r="AE820" t="s">
        <v>4817</v>
      </c>
      <c r="AF820" t="str">
        <f>IF(X820&lt;$AF$1,"Bajo","Alto")</f>
        <v>Alto</v>
      </c>
      <c r="AG820" t="str">
        <f>LEFT(AE820,1)</f>
        <v>C</v>
      </c>
      <c r="AH820" t="str">
        <f>K820</f>
        <v>M</v>
      </c>
      <c r="AI820" t="str">
        <f>LEFT(AF820,1)</f>
        <v>A</v>
      </c>
      <c r="AJ820" t="str">
        <f>LEFT(M820,1)</f>
        <v>J</v>
      </c>
      <c r="AK820" t="str">
        <f>_xlfn.CONCAT(AG820,AH820,AI820,AJ820)</f>
        <v>CMAJ</v>
      </c>
    </row>
    <row r="821" spans="1:37" ht="15.75" hidden="1" customHeight="1" x14ac:dyDescent="0.2">
      <c r="A821" s="1">
        <v>10126802</v>
      </c>
      <c r="B821" s="1" t="s">
        <v>29</v>
      </c>
      <c r="C821" s="1" t="s">
        <v>30</v>
      </c>
      <c r="D821" s="1" t="s">
        <v>536</v>
      </c>
      <c r="E821" s="1" t="s">
        <v>537</v>
      </c>
      <c r="F821" s="1" t="s">
        <v>37</v>
      </c>
      <c r="G821" s="1" t="s">
        <v>538</v>
      </c>
      <c r="H821" s="1">
        <v>4346</v>
      </c>
      <c r="I821" s="1" t="s">
        <v>65</v>
      </c>
      <c r="J821" s="1">
        <v>2</v>
      </c>
      <c r="K821" s="1" t="s">
        <v>35</v>
      </c>
      <c r="L821" s="1">
        <v>48</v>
      </c>
      <c r="M821" s="1" t="str">
        <f>IF(L821&lt;=45,"Joven","Mayor")</f>
        <v>Mayor</v>
      </c>
      <c r="N821" s="1">
        <v>49</v>
      </c>
      <c r="O821" s="1" t="s">
        <v>36</v>
      </c>
      <c r="P821" s="1">
        <v>0.34899999999999998</v>
      </c>
      <c r="Q821" s="1">
        <v>92.923000000000002</v>
      </c>
      <c r="R821" s="1">
        <v>-2.6982167000000001</v>
      </c>
      <c r="S821" s="1">
        <v>-2.9046325999999998</v>
      </c>
      <c r="T821" s="1">
        <v>10.625408999999999</v>
      </c>
      <c r="U821" s="1">
        <v>1.4079999999999999</v>
      </c>
      <c r="V821" s="1">
        <v>84</v>
      </c>
      <c r="W821" s="1">
        <v>161</v>
      </c>
      <c r="X821" s="1">
        <v>1.9166666666666667</v>
      </c>
      <c r="Y821" s="1">
        <v>96</v>
      </c>
      <c r="Z821" s="1">
        <v>161</v>
      </c>
      <c r="AA821" s="1">
        <v>1.6770833333333333</v>
      </c>
      <c r="AB821" s="1">
        <v>91.225908809430621</v>
      </c>
      <c r="AC821" s="1">
        <v>160.4520885758011</v>
      </c>
      <c r="AD821" s="1">
        <v>1.7588434104940822</v>
      </c>
      <c r="AE821" t="s">
        <v>4817</v>
      </c>
      <c r="AF821" t="str">
        <f>IF(X821&lt;$AF$1,"Bajo","Alto")</f>
        <v>Alto</v>
      </c>
      <c r="AG821" t="str">
        <f>LEFT(AE821,1)</f>
        <v>C</v>
      </c>
      <c r="AH821" t="str">
        <f>K821</f>
        <v>M</v>
      </c>
      <c r="AI821" t="str">
        <f>LEFT(AF821,1)</f>
        <v>A</v>
      </c>
      <c r="AJ821" t="str">
        <f>LEFT(M821,1)</f>
        <v>M</v>
      </c>
      <c r="AK821" t="str">
        <f>_xlfn.CONCAT(AG821,AH821,AI821,AJ821)</f>
        <v>CMAM</v>
      </c>
    </row>
    <row r="822" spans="1:37" ht="15.75" hidden="1" customHeight="1" x14ac:dyDescent="0.2">
      <c r="A822" s="1">
        <v>192204</v>
      </c>
      <c r="B822" s="1" t="s">
        <v>2656</v>
      </c>
      <c r="C822" s="1" t="s">
        <v>323</v>
      </c>
      <c r="D822" s="1" t="s">
        <v>2684</v>
      </c>
      <c r="E822" s="1" t="s">
        <v>418</v>
      </c>
      <c r="F822" s="1" t="s">
        <v>61</v>
      </c>
      <c r="G822" s="1" t="s">
        <v>2686</v>
      </c>
      <c r="H822" s="1">
        <v>5672</v>
      </c>
      <c r="I822" s="1" t="s">
        <v>2687</v>
      </c>
      <c r="J822" s="1">
        <v>2645</v>
      </c>
      <c r="K822" s="1" t="s">
        <v>35</v>
      </c>
      <c r="L822" s="1">
        <v>32</v>
      </c>
      <c r="M822" s="1" t="str">
        <f>IF(L822&lt;=45,"Joven","Mayor")</f>
        <v>Joven</v>
      </c>
      <c r="N822" s="1">
        <v>39</v>
      </c>
      <c r="O822" s="1" t="s">
        <v>36</v>
      </c>
      <c r="P822" s="1">
        <v>0.34699999999999998</v>
      </c>
      <c r="Q822" s="1">
        <v>86.646000000000001</v>
      </c>
      <c r="R822" s="1">
        <v>6.9653254000000002</v>
      </c>
      <c r="S822" s="1">
        <v>6.0742434999999997</v>
      </c>
      <c r="T822" s="1">
        <v>1.5777403999999999</v>
      </c>
      <c r="U822" s="1">
        <v>26.321000000000002</v>
      </c>
      <c r="V822" s="1">
        <v>79</v>
      </c>
      <c r="W822" s="1">
        <v>152</v>
      </c>
      <c r="X822" s="1">
        <v>1.9240506329113924</v>
      </c>
      <c r="Y822" s="1">
        <v>84</v>
      </c>
      <c r="Z822" s="1">
        <v>152</v>
      </c>
      <c r="AA822" s="1">
        <v>1.8095238095238095</v>
      </c>
      <c r="AB822" s="1">
        <v>82.921889707169612</v>
      </c>
      <c r="AC822" s="1">
        <v>152.13510785568999</v>
      </c>
      <c r="AD822" s="1">
        <v>1.834679701499085</v>
      </c>
      <c r="AE822" t="s">
        <v>4817</v>
      </c>
      <c r="AF822" t="str">
        <f>IF(X822&lt;$AF$1,"Bajo","Alto")</f>
        <v>Alto</v>
      </c>
      <c r="AG822" t="str">
        <f>LEFT(AE822,1)</f>
        <v>C</v>
      </c>
      <c r="AH822" t="str">
        <f>K822</f>
        <v>M</v>
      </c>
      <c r="AI822" t="str">
        <f>LEFT(AF822,1)</f>
        <v>A</v>
      </c>
      <c r="AJ822" t="str">
        <f>LEFT(M822,1)</f>
        <v>J</v>
      </c>
      <c r="AK822" t="str">
        <f>_xlfn.CONCAT(AG822,AH822,AI822,AJ822)</f>
        <v>CMAJ</v>
      </c>
    </row>
    <row r="823" spans="1:37" ht="15.75" hidden="1" customHeight="1" x14ac:dyDescent="0.2">
      <c r="A823" s="1">
        <v>282005</v>
      </c>
      <c r="B823" s="1" t="s">
        <v>1775</v>
      </c>
      <c r="C823" s="1" t="s">
        <v>561</v>
      </c>
      <c r="D823" s="1" t="s">
        <v>3809</v>
      </c>
      <c r="E823" s="1" t="s">
        <v>1983</v>
      </c>
      <c r="F823" s="1" t="s">
        <v>40</v>
      </c>
      <c r="G823" s="1" t="s">
        <v>3814</v>
      </c>
      <c r="H823" s="1">
        <v>1960</v>
      </c>
      <c r="I823" s="1" t="s">
        <v>65</v>
      </c>
      <c r="J823" s="1">
        <v>2</v>
      </c>
      <c r="K823" s="1" t="s">
        <v>35</v>
      </c>
      <c r="L823" s="1">
        <v>57</v>
      </c>
      <c r="M823" s="1" t="str">
        <f>IF(L823&lt;=45,"Joven","Mayor")</f>
        <v>Mayor</v>
      </c>
      <c r="N823" s="1">
        <v>57</v>
      </c>
      <c r="O823" s="1" t="s">
        <v>36</v>
      </c>
      <c r="P823" s="1">
        <v>0.35399999999999998</v>
      </c>
      <c r="Q823" s="1">
        <v>93.893000000000001</v>
      </c>
      <c r="R823" s="1">
        <v>0.62269293999999997</v>
      </c>
      <c r="S823" s="1">
        <v>4.0892434</v>
      </c>
      <c r="T823" s="1">
        <v>-4.042033</v>
      </c>
      <c r="U823" s="1">
        <v>1.117</v>
      </c>
      <c r="V823" s="1">
        <v>91</v>
      </c>
      <c r="W823" s="1">
        <v>147</v>
      </c>
      <c r="X823" s="1">
        <v>1.6153846153846154</v>
      </c>
      <c r="Y823" s="1">
        <v>95</v>
      </c>
      <c r="Z823" s="1">
        <v>147</v>
      </c>
      <c r="AA823" s="1">
        <v>1.5473684210526315</v>
      </c>
      <c r="AB823" s="1">
        <v>93.663666847163086</v>
      </c>
      <c r="AC823" s="1">
        <v>147.0572829925122</v>
      </c>
      <c r="AD823" s="1">
        <v>1.5700568634844805</v>
      </c>
      <c r="AE823" t="s">
        <v>4817</v>
      </c>
      <c r="AF823" t="str">
        <f>IF(X823&lt;$AF$1,"Bajo","Alto")</f>
        <v>Bajo</v>
      </c>
      <c r="AG823" t="str">
        <f>LEFT(AE823,1)</f>
        <v>C</v>
      </c>
      <c r="AH823" t="str">
        <f>K823</f>
        <v>M</v>
      </c>
      <c r="AI823" t="str">
        <f>LEFT(AF823,1)</f>
        <v>B</v>
      </c>
      <c r="AJ823" t="str">
        <f>LEFT(M823,1)</f>
        <v>M</v>
      </c>
      <c r="AK823" t="str">
        <f>_xlfn.CONCAT(AG823,AH823,AI823,AJ823)</f>
        <v>CMBM</v>
      </c>
    </row>
    <row r="824" spans="1:37" ht="15.75" hidden="1" customHeight="1" x14ac:dyDescent="0.2">
      <c r="A824" s="1">
        <v>276104</v>
      </c>
      <c r="B824" s="1" t="s">
        <v>3409</v>
      </c>
      <c r="C824" s="1" t="s">
        <v>973</v>
      </c>
      <c r="D824" s="1" t="s">
        <v>3699</v>
      </c>
      <c r="E824" s="1" t="s">
        <v>701</v>
      </c>
      <c r="F824" s="1" t="s">
        <v>61</v>
      </c>
      <c r="G824" s="1" t="s">
        <v>3701</v>
      </c>
      <c r="H824" s="1">
        <v>1939</v>
      </c>
      <c r="I824" s="1" t="s">
        <v>134</v>
      </c>
      <c r="J824" s="1">
        <v>8</v>
      </c>
      <c r="K824" s="1" t="s">
        <v>35</v>
      </c>
      <c r="L824" s="1">
        <v>46</v>
      </c>
      <c r="M824" s="1" t="str">
        <f>IF(L824&lt;=45,"Joven","Mayor")</f>
        <v>Mayor</v>
      </c>
      <c r="N824" s="1">
        <v>43</v>
      </c>
      <c r="O824" s="1" t="s">
        <v>36</v>
      </c>
      <c r="P824" s="1">
        <v>0.64300000000000002</v>
      </c>
      <c r="Q824" s="1">
        <v>93.509</v>
      </c>
      <c r="R824" s="1">
        <v>0.37353019999999998</v>
      </c>
      <c r="S824" s="1">
        <v>5.6993460000000002</v>
      </c>
      <c r="T824" s="1">
        <v>-1.4057561999999999</v>
      </c>
      <c r="U824" s="1">
        <v>6.5789999999999997</v>
      </c>
      <c r="V824" s="1">
        <v>81</v>
      </c>
      <c r="W824" s="1">
        <v>131</v>
      </c>
      <c r="X824" s="1">
        <v>1.617283950617284</v>
      </c>
      <c r="Y824" s="1">
        <v>84</v>
      </c>
      <c r="Z824" s="1">
        <v>131</v>
      </c>
      <c r="AA824" s="1">
        <v>1.5595238095238095</v>
      </c>
      <c r="AB824" s="1">
        <v>84.759762139770373</v>
      </c>
      <c r="AC824" s="1">
        <v>130.81337727566549</v>
      </c>
      <c r="AD824" s="1">
        <v>1.5433429020240981</v>
      </c>
      <c r="AE824" t="s">
        <v>4817</v>
      </c>
      <c r="AF824" t="str">
        <f>IF(X824&lt;$AF$1,"Bajo","Alto")</f>
        <v>Bajo</v>
      </c>
      <c r="AG824" t="str">
        <f>LEFT(AE824,1)</f>
        <v>C</v>
      </c>
      <c r="AH824" t="str">
        <f>K824</f>
        <v>M</v>
      </c>
      <c r="AI824" t="str">
        <f>LEFT(AF824,1)</f>
        <v>B</v>
      </c>
      <c r="AJ824" t="str">
        <f>LEFT(M824,1)</f>
        <v>M</v>
      </c>
      <c r="AK824" t="str">
        <f>_xlfn.CONCAT(AG824,AH824,AI824,AJ824)</f>
        <v>CMBM</v>
      </c>
    </row>
    <row r="825" spans="1:37" ht="15.75" hidden="1" customHeight="1" x14ac:dyDescent="0.2">
      <c r="A825" s="1">
        <v>316106</v>
      </c>
      <c r="B825" s="1" t="s">
        <v>4122</v>
      </c>
      <c r="C825" s="1" t="s">
        <v>628</v>
      </c>
      <c r="D825" s="1" t="s">
        <v>4240</v>
      </c>
      <c r="E825" s="1" t="s">
        <v>701</v>
      </c>
      <c r="F825" s="1" t="s">
        <v>88</v>
      </c>
      <c r="G825" s="1" t="s">
        <v>4245</v>
      </c>
      <c r="H825" s="1">
        <v>10058</v>
      </c>
      <c r="I825" s="1" t="s">
        <v>134</v>
      </c>
      <c r="J825" s="1">
        <v>8</v>
      </c>
      <c r="K825" s="1" t="s">
        <v>35</v>
      </c>
      <c r="L825" s="1">
        <v>56</v>
      </c>
      <c r="M825" s="1" t="str">
        <f>IF(L825&lt;=45,"Joven","Mayor")</f>
        <v>Mayor</v>
      </c>
      <c r="N825" s="1">
        <v>47</v>
      </c>
      <c r="O825" s="1" t="s">
        <v>36</v>
      </c>
      <c r="P825" s="1">
        <v>0.36</v>
      </c>
      <c r="Q825" s="1">
        <v>91.531999999999996</v>
      </c>
      <c r="R825" s="1">
        <v>3.6896116999999999</v>
      </c>
      <c r="S825" s="1">
        <v>4.8432282999999998</v>
      </c>
      <c r="T825" s="1">
        <v>-1.4826087999999999</v>
      </c>
      <c r="U825" s="1">
        <v>3.9780000000000002</v>
      </c>
      <c r="V825" s="1">
        <v>96</v>
      </c>
      <c r="W825" s="1">
        <v>184</v>
      </c>
      <c r="X825" s="1">
        <v>1.9166666666666667</v>
      </c>
      <c r="Y825" s="1">
        <v>102</v>
      </c>
      <c r="Z825" s="1">
        <v>184</v>
      </c>
      <c r="AA825" s="1">
        <v>1.803921568627451</v>
      </c>
      <c r="AB825" s="1">
        <v>100.905038685921</v>
      </c>
      <c r="AC825" s="1">
        <v>184.17126296677219</v>
      </c>
      <c r="AD825" s="1">
        <v>1.8251939186112129</v>
      </c>
      <c r="AE825" t="s">
        <v>4817</v>
      </c>
      <c r="AF825" t="str">
        <f>IF(X825&lt;$AF$1,"Bajo","Alto")</f>
        <v>Alto</v>
      </c>
      <c r="AG825" t="str">
        <f>LEFT(AE825,1)</f>
        <v>C</v>
      </c>
      <c r="AH825" t="str">
        <f>K825</f>
        <v>M</v>
      </c>
      <c r="AI825" t="str">
        <f>LEFT(AF825,1)</f>
        <v>A</v>
      </c>
      <c r="AJ825" t="str">
        <f>LEFT(M825,1)</f>
        <v>M</v>
      </c>
      <c r="AK825" t="str">
        <f>_xlfn.CONCAT(AG825,AH825,AI825,AJ825)</f>
        <v>CMAM</v>
      </c>
    </row>
    <row r="826" spans="1:37" ht="15.75" hidden="1" customHeight="1" x14ac:dyDescent="0.2">
      <c r="A826" s="1">
        <v>482002</v>
      </c>
      <c r="B826" s="1" t="s">
        <v>4465</v>
      </c>
      <c r="C826" s="1" t="s">
        <v>2650</v>
      </c>
      <c r="D826" s="1" t="s">
        <v>929</v>
      </c>
      <c r="E826" s="1" t="s">
        <v>1983</v>
      </c>
      <c r="F826" s="1" t="s">
        <v>37</v>
      </c>
      <c r="G826" s="1" t="s">
        <v>4520</v>
      </c>
      <c r="H826" s="1">
        <v>49</v>
      </c>
      <c r="I826" s="1" t="s">
        <v>34</v>
      </c>
      <c r="J826" s="1">
        <v>10</v>
      </c>
      <c r="K826" s="1" t="s">
        <v>35</v>
      </c>
      <c r="L826" s="1">
        <v>37</v>
      </c>
      <c r="M826" s="1" t="str">
        <f>IF(L826&lt;=45,"Joven","Mayor")</f>
        <v>Joven</v>
      </c>
      <c r="N826" s="1">
        <v>52</v>
      </c>
      <c r="O826" s="1" t="s">
        <v>36</v>
      </c>
      <c r="P826" s="1">
        <v>0.34300000000000003</v>
      </c>
      <c r="Q826" s="1">
        <v>89.923000000000002</v>
      </c>
      <c r="R826" s="1">
        <v>5.9542755999999999</v>
      </c>
      <c r="S826" s="1">
        <v>2.0047057000000001</v>
      </c>
      <c r="T826" s="1">
        <v>-1.3133714000000001</v>
      </c>
      <c r="U826" s="1">
        <v>37.069000000000003</v>
      </c>
      <c r="V826" s="1">
        <v>89</v>
      </c>
      <c r="W826" s="1">
        <v>167</v>
      </c>
      <c r="X826" s="1">
        <v>1.8764044943820224</v>
      </c>
      <c r="Y826" s="1">
        <v>90</v>
      </c>
      <c r="Z826" s="1">
        <v>167</v>
      </c>
      <c r="AA826" s="1">
        <v>1.8555555555555556</v>
      </c>
      <c r="AB826" s="1">
        <v>90.008047735165292</v>
      </c>
      <c r="AC826" s="1">
        <v>166.91028570719391</v>
      </c>
      <c r="AD826" s="1">
        <v>1.8543929116016549</v>
      </c>
      <c r="AE826" t="s">
        <v>4815</v>
      </c>
      <c r="AF826" t="str">
        <f>IF(X826&lt;$AF$1,"Bajo","Alto")</f>
        <v>Alto</v>
      </c>
      <c r="AG826" t="str">
        <f>LEFT(AE826,1)</f>
        <v>I</v>
      </c>
      <c r="AH826" t="str">
        <f>K826</f>
        <v>M</v>
      </c>
      <c r="AI826" t="str">
        <f>LEFT(AF826,1)</f>
        <v>A</v>
      </c>
      <c r="AJ826" t="str">
        <f>LEFT(M826,1)</f>
        <v>J</v>
      </c>
      <c r="AK826" t="str">
        <f>_xlfn.CONCAT(AG826,AH826,AI826,AJ826)</f>
        <v>IMAJ</v>
      </c>
    </row>
    <row r="827" spans="1:37" ht="15.75" hidden="1" customHeight="1" x14ac:dyDescent="0.2">
      <c r="A827" s="1">
        <v>311302</v>
      </c>
      <c r="B827" s="1" t="s">
        <v>4122</v>
      </c>
      <c r="C827" s="1" t="s">
        <v>628</v>
      </c>
      <c r="D827" s="1" t="s">
        <v>653</v>
      </c>
      <c r="E827" s="1" t="s">
        <v>163</v>
      </c>
      <c r="F827" s="1" t="s">
        <v>37</v>
      </c>
      <c r="G827" s="1" t="s">
        <v>4172</v>
      </c>
      <c r="H827" s="1">
        <v>1761</v>
      </c>
      <c r="I827" s="1" t="s">
        <v>134</v>
      </c>
      <c r="J827" s="1">
        <v>8</v>
      </c>
      <c r="K827" s="1" t="s">
        <v>35</v>
      </c>
      <c r="L827" s="1">
        <v>50</v>
      </c>
      <c r="M827" s="1" t="str">
        <f>IF(L827&lt;=45,"Joven","Mayor")</f>
        <v>Mayor</v>
      </c>
      <c r="N827" s="1">
        <v>58</v>
      </c>
      <c r="O827" s="1" t="s">
        <v>36</v>
      </c>
      <c r="P827" s="1">
        <v>0.122</v>
      </c>
      <c r="Q827" s="1">
        <v>86.956999999999994</v>
      </c>
      <c r="R827" s="1">
        <v>7.4004560000000001</v>
      </c>
      <c r="S827" s="1">
        <v>4.0673490000000001</v>
      </c>
      <c r="T827" s="1">
        <v>-9.9123750000000008</v>
      </c>
      <c r="U827" s="1">
        <v>0.80600000000000005</v>
      </c>
      <c r="V827" s="1">
        <v>89</v>
      </c>
      <c r="W827" s="1">
        <v>144</v>
      </c>
      <c r="X827" s="1">
        <v>1.6179775280898876</v>
      </c>
      <c r="Y827" s="1">
        <v>101</v>
      </c>
      <c r="Z827" s="1">
        <v>144</v>
      </c>
      <c r="AA827" s="1">
        <v>1.4257425742574257</v>
      </c>
      <c r="AB827" s="1">
        <v>96.278516285439764</v>
      </c>
      <c r="AC827" s="1">
        <v>145.2932296508861</v>
      </c>
      <c r="AD827" s="1">
        <v>1.5090929446828094</v>
      </c>
      <c r="AE827" t="s">
        <v>4817</v>
      </c>
      <c r="AF827" t="str">
        <f>IF(X827&lt;$AF$1,"Bajo","Alto")</f>
        <v>Bajo</v>
      </c>
      <c r="AG827" t="str">
        <f>LEFT(AE827,1)</f>
        <v>C</v>
      </c>
      <c r="AH827" t="str">
        <f>K827</f>
        <v>M</v>
      </c>
      <c r="AI827" t="str">
        <f>LEFT(AF827,1)</f>
        <v>B</v>
      </c>
      <c r="AJ827" t="str">
        <f>LEFT(M827,1)</f>
        <v>M</v>
      </c>
      <c r="AK827" t="str">
        <f>_xlfn.CONCAT(AG827,AH827,AI827,AJ827)</f>
        <v>CMBM</v>
      </c>
    </row>
    <row r="828" spans="1:37" ht="15.75" hidden="1" customHeight="1" x14ac:dyDescent="0.2">
      <c r="A828" s="1">
        <v>271002</v>
      </c>
      <c r="B828" s="1" t="s">
        <v>3409</v>
      </c>
      <c r="C828" s="1" t="s">
        <v>973</v>
      </c>
      <c r="D828" s="1" t="s">
        <v>3427</v>
      </c>
      <c r="E828" s="1" t="s">
        <v>75</v>
      </c>
      <c r="F828" s="1" t="s">
        <v>37</v>
      </c>
      <c r="G828" s="1" t="s">
        <v>3429</v>
      </c>
      <c r="H828" s="1">
        <v>434</v>
      </c>
      <c r="I828" s="1" t="s">
        <v>39</v>
      </c>
      <c r="J828" s="1">
        <v>11</v>
      </c>
      <c r="K828" s="1" t="s">
        <v>35</v>
      </c>
      <c r="L828" s="1">
        <v>46</v>
      </c>
      <c r="M828" s="1" t="str">
        <f>IF(L828&lt;=45,"Joven","Mayor")</f>
        <v>Mayor</v>
      </c>
      <c r="N828" s="1">
        <v>47</v>
      </c>
      <c r="O828" s="1" t="s">
        <v>36</v>
      </c>
      <c r="P828" s="1">
        <v>0.61799999999999999</v>
      </c>
      <c r="Q828" s="1">
        <v>92.509</v>
      </c>
      <c r="R828" s="1">
        <v>-0.75057890000000005</v>
      </c>
      <c r="S828" s="1">
        <v>-7.9240174000000003</v>
      </c>
      <c r="T828" s="1">
        <v>-5.0487633000000001</v>
      </c>
      <c r="U828" s="1">
        <v>7.9640000000000004</v>
      </c>
      <c r="V828" s="1">
        <v>90</v>
      </c>
      <c r="W828" s="1">
        <v>173</v>
      </c>
      <c r="X828" s="1">
        <v>1.9222222222222223</v>
      </c>
      <c r="Y828" s="1">
        <v>94</v>
      </c>
      <c r="Z828" s="1">
        <v>173</v>
      </c>
      <c r="AA828" s="1">
        <v>1.8404255319148937</v>
      </c>
      <c r="AB828" s="1">
        <v>94.226999206295659</v>
      </c>
      <c r="AC828" s="1">
        <v>173.03281623723339</v>
      </c>
      <c r="AD828" s="1">
        <v>1.8363400903641685</v>
      </c>
      <c r="AE828" t="s">
        <v>4816</v>
      </c>
      <c r="AF828" t="str">
        <f>IF(X828&lt;$AF$1,"Bajo","Alto")</f>
        <v>Alto</v>
      </c>
      <c r="AG828" t="str">
        <f>LEFT(AE828,1)</f>
        <v>D</v>
      </c>
      <c r="AH828" t="str">
        <f>K828</f>
        <v>M</v>
      </c>
      <c r="AI828" t="str">
        <f>LEFT(AF828,1)</f>
        <v>A</v>
      </c>
      <c r="AJ828" t="str">
        <f>LEFT(M828,1)</f>
        <v>M</v>
      </c>
      <c r="AK828" t="str">
        <f>_xlfn.CONCAT(AG828,AH828,AI828,AJ828)</f>
        <v>DMAM</v>
      </c>
    </row>
    <row r="829" spans="1:37" ht="15.75" hidden="1" customHeight="1" x14ac:dyDescent="0.2">
      <c r="A829" s="1">
        <v>1013402</v>
      </c>
      <c r="B829" s="1" t="s">
        <v>29</v>
      </c>
      <c r="C829" s="1" t="s">
        <v>30</v>
      </c>
      <c r="D829" s="1" t="s">
        <v>633</v>
      </c>
      <c r="E829" s="1" t="s">
        <v>634</v>
      </c>
      <c r="F829" s="1" t="s">
        <v>37</v>
      </c>
      <c r="G829" s="1" t="s">
        <v>637</v>
      </c>
      <c r="H829" s="1">
        <v>1646</v>
      </c>
      <c r="I829" s="1" t="s">
        <v>638</v>
      </c>
      <c r="J829" s="1">
        <v>4243</v>
      </c>
      <c r="K829" s="1" t="s">
        <v>35</v>
      </c>
      <c r="L829" s="1">
        <v>54</v>
      </c>
      <c r="M829" s="1" t="str">
        <f>IF(L829&lt;=45,"Joven","Mayor")</f>
        <v>Mayor</v>
      </c>
      <c r="N829" s="1">
        <v>53</v>
      </c>
      <c r="O829" s="1" t="s">
        <v>36</v>
      </c>
      <c r="P829" s="1">
        <v>0.90600000000000003</v>
      </c>
      <c r="Q829" s="1">
        <v>94.33</v>
      </c>
      <c r="R829" s="1">
        <v>0.67529315000000001</v>
      </c>
      <c r="S829" s="1">
        <v>1.2196814</v>
      </c>
      <c r="T829" s="1">
        <v>-2.2901125000000002</v>
      </c>
      <c r="U829" s="1">
        <v>3.32</v>
      </c>
      <c r="V829" s="1">
        <v>155</v>
      </c>
      <c r="W829" s="1">
        <v>251</v>
      </c>
      <c r="X829" s="1">
        <v>1.6193548387096774</v>
      </c>
      <c r="Y829" s="1">
        <v>156</v>
      </c>
      <c r="Z829" s="1">
        <v>251</v>
      </c>
      <c r="AA829" s="1">
        <v>1.608974358974359</v>
      </c>
      <c r="AB829" s="1">
        <v>158.71251836661691</v>
      </c>
      <c r="AC829" s="1">
        <v>250.91940582955749</v>
      </c>
      <c r="AD829" s="1">
        <v>1.5809679564780637</v>
      </c>
      <c r="AE829" t="s">
        <v>4817</v>
      </c>
      <c r="AF829" t="str">
        <f>IF(X829&lt;$AF$1,"Bajo","Alto")</f>
        <v>Bajo</v>
      </c>
      <c r="AG829" t="str">
        <f>LEFT(AE829,1)</f>
        <v>C</v>
      </c>
      <c r="AH829" t="str">
        <f>K829</f>
        <v>M</v>
      </c>
      <c r="AI829" t="str">
        <f>LEFT(AF829,1)</f>
        <v>B</v>
      </c>
      <c r="AJ829" t="str">
        <f>LEFT(M829,1)</f>
        <v>M</v>
      </c>
      <c r="AK829" t="str">
        <f>_xlfn.CONCAT(AG829,AH829,AI829,AJ829)</f>
        <v>CMBM</v>
      </c>
    </row>
    <row r="830" spans="1:37" ht="15.75" hidden="1" customHeight="1" x14ac:dyDescent="0.2">
      <c r="A830" s="1">
        <v>481201</v>
      </c>
      <c r="B830" s="1" t="s">
        <v>4465</v>
      </c>
      <c r="C830" s="1" t="s">
        <v>2650</v>
      </c>
      <c r="D830" s="1" t="s">
        <v>4505</v>
      </c>
      <c r="E830" s="1" t="s">
        <v>54</v>
      </c>
      <c r="F830" s="1" t="s">
        <v>32</v>
      </c>
      <c r="G830" s="1" t="s">
        <v>4506</v>
      </c>
      <c r="H830" s="1">
        <v>1591</v>
      </c>
      <c r="I830" s="1" t="s">
        <v>100</v>
      </c>
      <c r="J830" s="1">
        <v>1</v>
      </c>
      <c r="K830" s="1" t="s">
        <v>35</v>
      </c>
      <c r="L830" s="1">
        <v>48</v>
      </c>
      <c r="M830" s="1" t="str">
        <f>IF(L830&lt;=45,"Joven","Mayor")</f>
        <v>Mayor</v>
      </c>
      <c r="N830" s="1">
        <v>43</v>
      </c>
      <c r="O830" s="1" t="s">
        <v>36</v>
      </c>
      <c r="P830" s="1">
        <v>0.308</v>
      </c>
      <c r="Q830" s="1">
        <v>73.677999999999997</v>
      </c>
      <c r="R830" s="1">
        <v>12.195235</v>
      </c>
      <c r="S830" s="1">
        <v>-1.5562279000000001</v>
      </c>
      <c r="T830" s="1">
        <v>-8.4584650000000003</v>
      </c>
      <c r="U830" s="1">
        <v>17.052</v>
      </c>
      <c r="V830" s="1">
        <v>95</v>
      </c>
      <c r="W830" s="1">
        <v>182</v>
      </c>
      <c r="X830" s="1">
        <v>1.9157894736842105</v>
      </c>
      <c r="Y830" s="1">
        <v>101</v>
      </c>
      <c r="Z830" s="1">
        <v>182</v>
      </c>
      <c r="AA830" s="1">
        <v>1.801980198019802</v>
      </c>
      <c r="AB830" s="1">
        <v>101.1741898282194</v>
      </c>
      <c r="AC830" s="1">
        <v>181.1970805008491</v>
      </c>
      <c r="AD830" s="1">
        <v>1.7909417491605137</v>
      </c>
      <c r="AE830" t="s">
        <v>4817</v>
      </c>
      <c r="AF830" t="str">
        <f>IF(X830&lt;$AF$1,"Bajo","Alto")</f>
        <v>Alto</v>
      </c>
      <c r="AG830" t="str">
        <f>LEFT(AE830,1)</f>
        <v>C</v>
      </c>
      <c r="AH830" t="str">
        <f>K830</f>
        <v>M</v>
      </c>
      <c r="AI830" t="str">
        <f>LEFT(AF830,1)</f>
        <v>A</v>
      </c>
      <c r="AJ830" t="str">
        <f>LEFT(M830,1)</f>
        <v>M</v>
      </c>
      <c r="AK830" t="str">
        <f>_xlfn.CONCAT(AG830,AH830,AI830,AJ830)</f>
        <v>CMAM</v>
      </c>
    </row>
    <row r="831" spans="1:37" ht="15.75" hidden="1" customHeight="1" x14ac:dyDescent="0.2">
      <c r="A831" s="1">
        <v>116402</v>
      </c>
      <c r="B831" s="1" t="s">
        <v>1648</v>
      </c>
      <c r="C831" s="1" t="s">
        <v>51</v>
      </c>
      <c r="D831" s="1" t="s">
        <v>1742</v>
      </c>
      <c r="E831" s="1" t="s">
        <v>710</v>
      </c>
      <c r="F831" s="1" t="s">
        <v>37</v>
      </c>
      <c r="G831" s="1" t="s">
        <v>1743</v>
      </c>
      <c r="H831" s="1">
        <v>730</v>
      </c>
      <c r="I831" s="1" t="s">
        <v>34</v>
      </c>
      <c r="J831" s="1">
        <v>10</v>
      </c>
      <c r="K831" s="1" t="s">
        <v>35</v>
      </c>
      <c r="L831" s="1">
        <v>45</v>
      </c>
      <c r="M831" s="1" t="str">
        <f>IF(L831&lt;=45,"Joven","Mayor")</f>
        <v>Joven</v>
      </c>
      <c r="N831" s="1">
        <v>33</v>
      </c>
      <c r="O831" s="1" t="s">
        <v>36</v>
      </c>
      <c r="P831" s="1">
        <v>0.48699999999999999</v>
      </c>
      <c r="Q831" s="1">
        <v>92.676000000000002</v>
      </c>
      <c r="R831" s="1">
        <v>1.2867246999999999</v>
      </c>
      <c r="S831" s="1">
        <v>6.7428984999999999</v>
      </c>
      <c r="T831" s="1">
        <v>-4.0715620000000001</v>
      </c>
      <c r="U831" s="1">
        <v>5.4429999999999996</v>
      </c>
      <c r="V831" s="1">
        <v>92</v>
      </c>
      <c r="W831" s="1">
        <v>149</v>
      </c>
      <c r="X831" s="1">
        <v>1.6195652173913044</v>
      </c>
      <c r="Y831" s="1">
        <v>95</v>
      </c>
      <c r="Z831" s="1">
        <v>149</v>
      </c>
      <c r="AA831" s="1">
        <v>1.5684210526315789</v>
      </c>
      <c r="AB831" s="1">
        <v>94.749905012712134</v>
      </c>
      <c r="AC831" s="1">
        <v>148.83695299189779</v>
      </c>
      <c r="AD831" s="1">
        <v>1.5708401287782723</v>
      </c>
      <c r="AE831" t="s">
        <v>4815</v>
      </c>
      <c r="AF831" t="str">
        <f>IF(X831&lt;$AF$1,"Bajo","Alto")</f>
        <v>Bajo</v>
      </c>
      <c r="AG831" t="str">
        <f>LEFT(AE831,1)</f>
        <v>I</v>
      </c>
      <c r="AH831" t="str">
        <f>K831</f>
        <v>M</v>
      </c>
      <c r="AI831" t="str">
        <f>LEFT(AF831,1)</f>
        <v>B</v>
      </c>
      <c r="AJ831" t="str">
        <f>LEFT(M831,1)</f>
        <v>J</v>
      </c>
      <c r="AK831" t="str">
        <f>_xlfn.CONCAT(AG831,AH831,AI831,AJ831)</f>
        <v>IMBJ</v>
      </c>
    </row>
    <row r="832" spans="1:37" ht="15.75" hidden="1" customHeight="1" x14ac:dyDescent="0.2">
      <c r="A832" s="1">
        <v>2719001</v>
      </c>
      <c r="B832" s="1" t="s">
        <v>3409</v>
      </c>
      <c r="C832" s="1" t="s">
        <v>973</v>
      </c>
      <c r="D832" s="1" t="s">
        <v>3592</v>
      </c>
      <c r="E832" s="1" t="s">
        <v>320</v>
      </c>
      <c r="F832" s="1" t="s">
        <v>32</v>
      </c>
      <c r="G832" s="1" t="s">
        <v>3593</v>
      </c>
      <c r="H832" s="1">
        <v>92</v>
      </c>
      <c r="I832" s="1" t="s">
        <v>3594</v>
      </c>
      <c r="J832" s="1">
        <v>3835</v>
      </c>
      <c r="K832" s="1" t="s">
        <v>35</v>
      </c>
      <c r="L832" s="1">
        <v>38</v>
      </c>
      <c r="M832" s="1" t="str">
        <f>IF(L832&lt;=45,"Joven","Mayor")</f>
        <v>Joven</v>
      </c>
      <c r="N832" s="1">
        <v>49</v>
      </c>
      <c r="O832" s="1" t="s">
        <v>36</v>
      </c>
      <c r="P832" s="1">
        <v>0.17799999999999999</v>
      </c>
      <c r="Q832" s="1">
        <v>94.064999999999998</v>
      </c>
      <c r="R832" s="1">
        <v>6.7014396000000004E-2</v>
      </c>
      <c r="S832" s="1">
        <v>4.6426477000000004</v>
      </c>
      <c r="T832" s="1">
        <v>-1.1468963999999999</v>
      </c>
      <c r="U832" s="1">
        <v>25.173999999999999</v>
      </c>
      <c r="V832" s="1">
        <v>60</v>
      </c>
      <c r="W832" s="1">
        <v>99</v>
      </c>
      <c r="X832" s="1">
        <v>1.65</v>
      </c>
      <c r="Y832" s="1">
        <v>60</v>
      </c>
      <c r="Z832" s="1">
        <v>99</v>
      </c>
      <c r="AA832" s="1">
        <v>1.65</v>
      </c>
      <c r="AB832" s="1">
        <v>60.628484862579398</v>
      </c>
      <c r="AC832" s="1">
        <v>99.000182535023214</v>
      </c>
      <c r="AD832" s="1">
        <v>1.6328988388777512</v>
      </c>
      <c r="AE832" t="s">
        <v>4817</v>
      </c>
      <c r="AF832" t="str">
        <f>IF(X832&lt;$AF$1,"Bajo","Alto")</f>
        <v>Bajo</v>
      </c>
      <c r="AG832" t="str">
        <f>LEFT(AE832,1)</f>
        <v>C</v>
      </c>
      <c r="AH832" t="str">
        <f>K832</f>
        <v>M</v>
      </c>
      <c r="AI832" t="str">
        <f>LEFT(AF832,1)</f>
        <v>B</v>
      </c>
      <c r="AJ832" t="str">
        <f>LEFT(M832,1)</f>
        <v>J</v>
      </c>
      <c r="AK832" t="str">
        <f>_xlfn.CONCAT(AG832,AH832,AI832,AJ832)</f>
        <v>CMBJ</v>
      </c>
    </row>
    <row r="833" spans="1:37" ht="15.75" hidden="1" customHeight="1" x14ac:dyDescent="0.2">
      <c r="A833" s="1">
        <v>2911502</v>
      </c>
      <c r="B833" s="1" t="s">
        <v>3890</v>
      </c>
      <c r="C833" s="1" t="s">
        <v>1695</v>
      </c>
      <c r="D833" s="1" t="s">
        <v>1779</v>
      </c>
      <c r="E833" s="1" t="s">
        <v>112</v>
      </c>
      <c r="F833" s="1" t="s">
        <v>37</v>
      </c>
      <c r="G833" s="1" t="s">
        <v>3943</v>
      </c>
      <c r="H833" s="1">
        <v>797</v>
      </c>
      <c r="I833" s="1" t="s">
        <v>108</v>
      </c>
      <c r="J833" s="1">
        <v>3</v>
      </c>
      <c r="K833" s="1" t="s">
        <v>35</v>
      </c>
      <c r="L833" s="1">
        <v>54</v>
      </c>
      <c r="M833" s="1" t="str">
        <f>IF(L833&lt;=45,"Joven","Mayor")</f>
        <v>Mayor</v>
      </c>
      <c r="N833" s="1">
        <v>58</v>
      </c>
      <c r="O833" s="1" t="s">
        <v>36</v>
      </c>
      <c r="P833" s="1">
        <v>0.35799999999999998</v>
      </c>
      <c r="Q833" s="1">
        <v>91.605999999999995</v>
      </c>
      <c r="R833" s="1">
        <v>2.4370786999999998</v>
      </c>
      <c r="S833" s="1">
        <v>7.4335914000000001</v>
      </c>
      <c r="T833" s="1">
        <v>-2.5079843999999998</v>
      </c>
      <c r="U833" s="1">
        <v>1.0860000000000001</v>
      </c>
      <c r="V833" s="1">
        <v>82</v>
      </c>
      <c r="W833" s="1">
        <v>157</v>
      </c>
      <c r="X833" s="1">
        <v>1.9146341463414633</v>
      </c>
      <c r="Y833" s="1">
        <v>83</v>
      </c>
      <c r="Z833" s="1">
        <v>157</v>
      </c>
      <c r="AA833" s="1">
        <v>1.8915662650602409</v>
      </c>
      <c r="AB833" s="1">
        <v>83.759316485853105</v>
      </c>
      <c r="AC833" s="1">
        <v>156.89337354310649</v>
      </c>
      <c r="AD833" s="1">
        <v>1.8731453422211926</v>
      </c>
      <c r="AE833" t="s">
        <v>4817</v>
      </c>
      <c r="AF833" t="str">
        <f>IF(X833&lt;$AF$1,"Bajo","Alto")</f>
        <v>Alto</v>
      </c>
      <c r="AG833" t="str">
        <f>LEFT(AE833,1)</f>
        <v>C</v>
      </c>
      <c r="AH833" t="str">
        <f>K833</f>
        <v>M</v>
      </c>
      <c r="AI833" t="str">
        <f>LEFT(AF833,1)</f>
        <v>A</v>
      </c>
      <c r="AJ833" t="str">
        <f>LEFT(M833,1)</f>
        <v>M</v>
      </c>
      <c r="AK833" t="str">
        <f>_xlfn.CONCAT(AG833,AH833,AI833,AJ833)</f>
        <v>CMAM</v>
      </c>
    </row>
    <row r="834" spans="1:37" ht="15.75" hidden="1" customHeight="1" x14ac:dyDescent="0.2">
      <c r="A834" s="1">
        <v>1014304</v>
      </c>
      <c r="B834" s="1" t="s">
        <v>29</v>
      </c>
      <c r="C834" s="1" t="s">
        <v>30</v>
      </c>
      <c r="D834" s="1" t="s">
        <v>664</v>
      </c>
      <c r="E834" s="1" t="s">
        <v>665</v>
      </c>
      <c r="F834" s="1" t="s">
        <v>61</v>
      </c>
      <c r="G834" s="1" t="s">
        <v>666</v>
      </c>
      <c r="H834" s="1">
        <v>2329</v>
      </c>
      <c r="I834" s="1" t="s">
        <v>667</v>
      </c>
      <c r="J834" s="1">
        <v>401</v>
      </c>
      <c r="K834" s="1" t="s">
        <v>35</v>
      </c>
      <c r="L834" s="1">
        <v>39</v>
      </c>
      <c r="M834" s="1" t="str">
        <f>IF(L834&lt;=45,"Joven","Mayor")</f>
        <v>Joven</v>
      </c>
      <c r="N834" s="1">
        <v>36</v>
      </c>
      <c r="O834" s="1" t="s">
        <v>36</v>
      </c>
      <c r="P834" s="1">
        <v>0.17100000000000001</v>
      </c>
      <c r="Q834" s="1">
        <v>76.051000000000002</v>
      </c>
      <c r="R834" s="1">
        <v>11.186961999999999</v>
      </c>
      <c r="S834" s="1">
        <v>-4.6666846</v>
      </c>
      <c r="T834" s="1">
        <v>-9.5156880000000008</v>
      </c>
      <c r="U834" s="1">
        <v>30.885000000000002</v>
      </c>
      <c r="V834" s="1">
        <v>65</v>
      </c>
      <c r="W834" s="1">
        <v>125</v>
      </c>
      <c r="X834" s="1">
        <v>1.9230769230769231</v>
      </c>
      <c r="Y834" s="1">
        <v>70</v>
      </c>
      <c r="Z834" s="1">
        <v>125</v>
      </c>
      <c r="AA834" s="1">
        <v>1.7857142857142858</v>
      </c>
      <c r="AB834" s="1">
        <v>69.230471473254966</v>
      </c>
      <c r="AC834" s="1">
        <v>123.9413172741738</v>
      </c>
      <c r="AD834" s="1">
        <v>1.7902711715903115</v>
      </c>
      <c r="AE834" t="s">
        <v>4817</v>
      </c>
      <c r="AF834" t="str">
        <f>IF(X834&lt;$AF$1,"Bajo","Alto")</f>
        <v>Alto</v>
      </c>
      <c r="AG834" t="str">
        <f>LEFT(AE834,1)</f>
        <v>C</v>
      </c>
      <c r="AH834" t="str">
        <f>K834</f>
        <v>M</v>
      </c>
      <c r="AI834" t="str">
        <f>LEFT(AF834,1)</f>
        <v>A</v>
      </c>
      <c r="AJ834" t="str">
        <f>LEFT(M834,1)</f>
        <v>J</v>
      </c>
      <c r="AK834" t="str">
        <f>_xlfn.CONCAT(AG834,AH834,AI834,AJ834)</f>
        <v>CMAJ</v>
      </c>
    </row>
    <row r="835" spans="1:37" ht="15.75" hidden="1" customHeight="1" x14ac:dyDescent="0.2">
      <c r="A835" s="1">
        <v>298505</v>
      </c>
      <c r="B835" s="1" t="s">
        <v>3890</v>
      </c>
      <c r="C835" s="1" t="s">
        <v>1695</v>
      </c>
      <c r="D835" s="1" t="s">
        <v>4086</v>
      </c>
      <c r="E835" s="1" t="s">
        <v>755</v>
      </c>
      <c r="F835" s="1" t="s">
        <v>40</v>
      </c>
      <c r="G835" s="1" t="s">
        <v>4090</v>
      </c>
      <c r="H835" s="1">
        <v>5409</v>
      </c>
      <c r="I835" s="1" t="s">
        <v>65</v>
      </c>
      <c r="J835" s="1">
        <v>2</v>
      </c>
      <c r="K835" s="1" t="s">
        <v>35</v>
      </c>
      <c r="L835" s="1">
        <v>35</v>
      </c>
      <c r="M835" s="1" t="str">
        <f>IF(L835&lt;=45,"Joven","Mayor")</f>
        <v>Joven</v>
      </c>
      <c r="N835" s="1">
        <v>50</v>
      </c>
      <c r="O835" s="1" t="s">
        <v>36</v>
      </c>
      <c r="P835" s="1">
        <v>0.151</v>
      </c>
      <c r="Q835" s="1">
        <v>85.608000000000004</v>
      </c>
      <c r="R835" s="1">
        <v>-6.6505026999999997</v>
      </c>
      <c r="S835" s="1">
        <v>8.7035730000000004</v>
      </c>
      <c r="T835" s="1">
        <v>-1.7881225000000001</v>
      </c>
      <c r="U835" s="1">
        <v>0.38800000000000001</v>
      </c>
      <c r="V835" s="1">
        <v>65</v>
      </c>
      <c r="W835" s="1">
        <v>125</v>
      </c>
      <c r="X835" s="1">
        <v>1.9230769230769231</v>
      </c>
      <c r="Y835" s="1">
        <v>68</v>
      </c>
      <c r="Z835" s="1">
        <v>125</v>
      </c>
      <c r="AA835" s="1">
        <v>1.838235294117647</v>
      </c>
      <c r="AB835" s="1">
        <v>67.061984209071397</v>
      </c>
      <c r="AC835" s="1">
        <v>125.1263526535613</v>
      </c>
      <c r="AD835" s="1">
        <v>1.8658313518351817</v>
      </c>
      <c r="AE835" t="s">
        <v>4817</v>
      </c>
      <c r="AF835" t="str">
        <f>IF(X835&lt;$AF$1,"Bajo","Alto")</f>
        <v>Alto</v>
      </c>
      <c r="AG835" t="str">
        <f>LEFT(AE835,1)</f>
        <v>C</v>
      </c>
      <c r="AH835" t="str">
        <f>K835</f>
        <v>M</v>
      </c>
      <c r="AI835" t="str">
        <f>LEFT(AF835,1)</f>
        <v>A</v>
      </c>
      <c r="AJ835" t="str">
        <f>LEFT(M835,1)</f>
        <v>J</v>
      </c>
      <c r="AK835" t="str">
        <f>_xlfn.CONCAT(AG835,AH835,AI835,AJ835)</f>
        <v>CMAJ</v>
      </c>
    </row>
    <row r="836" spans="1:37" ht="15.75" hidden="1" customHeight="1" x14ac:dyDescent="0.2">
      <c r="A836" s="1">
        <v>10122305</v>
      </c>
      <c r="B836" s="1" t="s">
        <v>29</v>
      </c>
      <c r="C836" s="1" t="s">
        <v>30</v>
      </c>
      <c r="D836" s="1" t="s">
        <v>422</v>
      </c>
      <c r="E836" s="1" t="s">
        <v>423</v>
      </c>
      <c r="F836" s="1" t="s">
        <v>40</v>
      </c>
      <c r="G836" s="1" t="s">
        <v>428</v>
      </c>
      <c r="H836" s="1">
        <v>590</v>
      </c>
      <c r="I836" s="1" t="s">
        <v>429</v>
      </c>
      <c r="J836" s="1">
        <v>3017</v>
      </c>
      <c r="K836" s="1" t="s">
        <v>35</v>
      </c>
      <c r="L836" s="1">
        <v>39</v>
      </c>
      <c r="M836" s="1" t="str">
        <f>IF(L836&lt;=45,"Joven","Mayor")</f>
        <v>Joven</v>
      </c>
      <c r="N836" s="1">
        <v>37</v>
      </c>
      <c r="O836" s="1" t="s">
        <v>36</v>
      </c>
      <c r="P836" s="1">
        <v>0.75600000000000001</v>
      </c>
      <c r="Q836" s="1">
        <v>90.43</v>
      </c>
      <c r="R836" s="1">
        <v>5.1352023999999998</v>
      </c>
      <c r="S836" s="1">
        <v>3.2098360000000001</v>
      </c>
      <c r="T836" s="1">
        <v>-2.658325</v>
      </c>
      <c r="U836" s="1">
        <v>23.716000000000001</v>
      </c>
      <c r="V836" s="1">
        <v>83</v>
      </c>
      <c r="W836" s="1">
        <v>137</v>
      </c>
      <c r="X836" s="1">
        <v>1.6506024096385543</v>
      </c>
      <c r="Y836" s="1">
        <v>85</v>
      </c>
      <c r="Z836" s="1">
        <v>137</v>
      </c>
      <c r="AA836" s="1">
        <v>1.611764705882353</v>
      </c>
      <c r="AB836" s="1">
        <v>86.485445233512564</v>
      </c>
      <c r="AC836" s="1">
        <v>136.75981102646071</v>
      </c>
      <c r="AD836" s="1">
        <v>1.581304353087462</v>
      </c>
      <c r="AE836" t="s">
        <v>4817</v>
      </c>
      <c r="AF836" t="str">
        <f>IF(X836&lt;$AF$1,"Bajo","Alto")</f>
        <v>Bajo</v>
      </c>
      <c r="AG836" t="str">
        <f>LEFT(AE836,1)</f>
        <v>C</v>
      </c>
      <c r="AH836" t="str">
        <f>K836</f>
        <v>M</v>
      </c>
      <c r="AI836" t="str">
        <f>LEFT(AF836,1)</f>
        <v>B</v>
      </c>
      <c r="AJ836" t="str">
        <f>LEFT(M836,1)</f>
        <v>J</v>
      </c>
      <c r="AK836" t="str">
        <f>_xlfn.CONCAT(AG836,AH836,AI836,AJ836)</f>
        <v>CMBJ</v>
      </c>
    </row>
    <row r="837" spans="1:37" ht="15.75" hidden="1" customHeight="1" x14ac:dyDescent="0.2">
      <c r="A837" s="1">
        <v>2711503</v>
      </c>
      <c r="B837" s="1" t="s">
        <v>3409</v>
      </c>
      <c r="C837" s="1" t="s">
        <v>973</v>
      </c>
      <c r="D837" s="1" t="s">
        <v>3448</v>
      </c>
      <c r="E837" s="1" t="s">
        <v>112</v>
      </c>
      <c r="F837" s="1" t="s">
        <v>63</v>
      </c>
      <c r="G837" s="1" t="s">
        <v>3450</v>
      </c>
      <c r="H837" s="1">
        <v>461</v>
      </c>
      <c r="I837" s="1" t="s">
        <v>3451</v>
      </c>
      <c r="J837" s="1">
        <v>3832</v>
      </c>
      <c r="K837" s="1" t="s">
        <v>49</v>
      </c>
      <c r="L837" s="1">
        <v>54</v>
      </c>
      <c r="M837" s="1" t="str">
        <f>IF(L837&lt;=45,"Joven","Mayor")</f>
        <v>Mayor</v>
      </c>
      <c r="N837" s="1">
        <v>60</v>
      </c>
      <c r="O837" s="1" t="s">
        <v>50</v>
      </c>
      <c r="P837" s="1">
        <v>0.36199999999999999</v>
      </c>
      <c r="Q837" s="1">
        <v>92.715999999999994</v>
      </c>
      <c r="R837" s="1">
        <v>-2.6463637000000002</v>
      </c>
      <c r="S837" s="1">
        <v>3.8228455000000001</v>
      </c>
      <c r="T837" s="1">
        <v>6.9370484000000001</v>
      </c>
      <c r="U837" s="1">
        <v>54.26</v>
      </c>
      <c r="V837" s="1">
        <v>91</v>
      </c>
      <c r="W837" s="1">
        <v>175</v>
      </c>
      <c r="X837" s="1">
        <v>1.9230769230769231</v>
      </c>
      <c r="Y837" s="1">
        <v>104</v>
      </c>
      <c r="Z837" s="1">
        <v>175</v>
      </c>
      <c r="AA837" s="1">
        <v>1.6826923076923077</v>
      </c>
      <c r="AB837" s="1">
        <v>99.856858083559246</v>
      </c>
      <c r="AC837" s="1">
        <v>177.10070900288289</v>
      </c>
      <c r="AD837" s="1">
        <v>1.7735457774436159</v>
      </c>
      <c r="AE837" t="s">
        <v>4817</v>
      </c>
      <c r="AF837" t="str">
        <f>IF(X837&lt;$AF$1,"Bajo","Alto")</f>
        <v>Alto</v>
      </c>
      <c r="AG837" t="str">
        <f>LEFT(AE837,1)</f>
        <v>C</v>
      </c>
      <c r="AH837" t="str">
        <f>K837</f>
        <v>F</v>
      </c>
      <c r="AI837" t="str">
        <f>LEFT(AF837,1)</f>
        <v>A</v>
      </c>
      <c r="AJ837" t="str">
        <f>LEFT(M837,1)</f>
        <v>M</v>
      </c>
      <c r="AK837" t="str">
        <f>_xlfn.CONCAT(AG837,AH837,AI837,AJ837)</f>
        <v>CFAM</v>
      </c>
    </row>
    <row r="838" spans="1:37" ht="15.75" hidden="1" customHeight="1" x14ac:dyDescent="0.2">
      <c r="A838" s="1">
        <v>193705</v>
      </c>
      <c r="B838" s="1" t="s">
        <v>2656</v>
      </c>
      <c r="C838" s="1" t="s">
        <v>323</v>
      </c>
      <c r="D838" s="1" t="s">
        <v>2708</v>
      </c>
      <c r="E838" s="1" t="s">
        <v>647</v>
      </c>
      <c r="F838" s="1" t="s">
        <v>40</v>
      </c>
      <c r="G838" s="1" t="s">
        <v>2713</v>
      </c>
      <c r="H838" s="1">
        <v>1770</v>
      </c>
      <c r="I838" s="1" t="s">
        <v>2714</v>
      </c>
      <c r="J838" s="1">
        <v>3993</v>
      </c>
      <c r="K838" s="1" t="s">
        <v>49</v>
      </c>
      <c r="L838" s="1">
        <v>71</v>
      </c>
      <c r="M838" s="1" t="str">
        <f>IF(L838&lt;=45,"Joven","Mayor")</f>
        <v>Mayor</v>
      </c>
      <c r="N838" s="1">
        <v>68</v>
      </c>
      <c r="O838" s="1" t="s">
        <v>50</v>
      </c>
      <c r="P838" s="1">
        <v>0.53800000000000003</v>
      </c>
      <c r="Q838" s="1">
        <v>90.167000000000002</v>
      </c>
      <c r="R838" s="1">
        <v>-3.5646338000000002</v>
      </c>
      <c r="S838" s="1">
        <v>8.1385609999999993</v>
      </c>
      <c r="T838" s="1">
        <v>-0.7324735</v>
      </c>
      <c r="U838" s="1">
        <v>1.599</v>
      </c>
      <c r="V838" s="1">
        <v>88</v>
      </c>
      <c r="W838" s="1">
        <v>142</v>
      </c>
      <c r="X838" s="1">
        <v>1.6136363636363635</v>
      </c>
      <c r="Y838" s="1">
        <v>94</v>
      </c>
      <c r="Z838" s="1">
        <v>142</v>
      </c>
      <c r="AA838" s="1">
        <v>1.5106382978723405</v>
      </c>
      <c r="AB838" s="1">
        <v>93.570455815254718</v>
      </c>
      <c r="AC838" s="1">
        <v>142.0650988028892</v>
      </c>
      <c r="AD838" s="1">
        <v>1.5182687480264303</v>
      </c>
      <c r="AE838" t="s">
        <v>4817</v>
      </c>
      <c r="AF838" t="str">
        <f>IF(X838&lt;$AF$1,"Bajo","Alto")</f>
        <v>Bajo</v>
      </c>
      <c r="AG838" t="str">
        <f>LEFT(AE838,1)</f>
        <v>C</v>
      </c>
      <c r="AH838" t="str">
        <f>K838</f>
        <v>F</v>
      </c>
      <c r="AI838" t="str">
        <f>LEFT(AF838,1)</f>
        <v>B</v>
      </c>
      <c r="AJ838" t="str">
        <f>LEFT(M838,1)</f>
        <v>M</v>
      </c>
      <c r="AK838" t="str">
        <f>_xlfn.CONCAT(AG838,AH838,AI838,AJ838)</f>
        <v>CFBM</v>
      </c>
    </row>
    <row r="839" spans="1:37" ht="15.75" hidden="1" customHeight="1" x14ac:dyDescent="0.2">
      <c r="A839" s="1">
        <v>253403</v>
      </c>
      <c r="B839" s="1" t="s">
        <v>3169</v>
      </c>
      <c r="C839" s="1" t="s">
        <v>821</v>
      </c>
      <c r="D839" s="1" t="s">
        <v>3226</v>
      </c>
      <c r="E839" s="1" t="s">
        <v>634</v>
      </c>
      <c r="F839" s="1" t="s">
        <v>63</v>
      </c>
      <c r="G839" s="1" t="s">
        <v>3230</v>
      </c>
      <c r="H839" s="1">
        <v>1760</v>
      </c>
      <c r="I839" s="1" t="s">
        <v>3231</v>
      </c>
      <c r="J839" s="1">
        <v>3500</v>
      </c>
      <c r="K839" s="1" t="s">
        <v>35</v>
      </c>
      <c r="L839" s="1">
        <v>63</v>
      </c>
      <c r="M839" s="1" t="str">
        <f>IF(L839&lt;=45,"Joven","Mayor")</f>
        <v>Mayor</v>
      </c>
      <c r="N839" s="1">
        <v>64</v>
      </c>
      <c r="O839" s="1" t="s">
        <v>36</v>
      </c>
      <c r="P839" s="1">
        <v>0.26200000000000001</v>
      </c>
      <c r="Q839" s="1">
        <v>92.400999999999996</v>
      </c>
      <c r="R839" s="1">
        <v>2.9428356</v>
      </c>
      <c r="S839" s="1">
        <v>-4.2274479999999999</v>
      </c>
      <c r="T839" s="1">
        <v>-4.2570499999999996</v>
      </c>
      <c r="U839" s="1">
        <v>3.0529999999999999</v>
      </c>
      <c r="V839" s="1">
        <v>100</v>
      </c>
      <c r="W839" s="1">
        <v>162</v>
      </c>
      <c r="X839" s="1">
        <v>1.62</v>
      </c>
      <c r="Y839" s="1">
        <v>107</v>
      </c>
      <c r="Z839" s="1">
        <v>162</v>
      </c>
      <c r="AA839" s="1">
        <v>1.514018691588785</v>
      </c>
      <c r="AB839" s="1">
        <v>103.5098969284879</v>
      </c>
      <c r="AC839" s="1">
        <v>162.07266990750901</v>
      </c>
      <c r="AD839" s="1">
        <v>1.5657697931964949</v>
      </c>
      <c r="AE839" t="s">
        <v>4817</v>
      </c>
      <c r="AF839" t="str">
        <f>IF(X839&lt;$AF$1,"Bajo","Alto")</f>
        <v>Bajo</v>
      </c>
      <c r="AG839" t="str">
        <f>LEFT(AE839,1)</f>
        <v>C</v>
      </c>
      <c r="AH839" t="str">
        <f>K839</f>
        <v>M</v>
      </c>
      <c r="AI839" t="str">
        <f>LEFT(AF839,1)</f>
        <v>B</v>
      </c>
      <c r="AJ839" t="str">
        <f>LEFT(M839,1)</f>
        <v>M</v>
      </c>
      <c r="AK839" t="str">
        <f>_xlfn.CONCAT(AG839,AH839,AI839,AJ839)</f>
        <v>CMBM</v>
      </c>
    </row>
    <row r="840" spans="1:37" ht="15.75" hidden="1" customHeight="1" x14ac:dyDescent="0.2">
      <c r="A840" s="1">
        <v>253601</v>
      </c>
      <c r="B840" s="1" t="s">
        <v>3169</v>
      </c>
      <c r="C840" s="1" t="s">
        <v>821</v>
      </c>
      <c r="D840" s="1" t="s">
        <v>3232</v>
      </c>
      <c r="E840" s="1" t="s">
        <v>3233</v>
      </c>
      <c r="F840" s="1" t="s">
        <v>32</v>
      </c>
      <c r="G840" s="1" t="s">
        <v>3234</v>
      </c>
      <c r="H840" s="1">
        <v>107</v>
      </c>
      <c r="I840" s="1" t="s">
        <v>294</v>
      </c>
      <c r="J840" s="1">
        <v>16</v>
      </c>
      <c r="K840" s="1" t="s">
        <v>35</v>
      </c>
      <c r="L840" s="1">
        <v>38</v>
      </c>
      <c r="M840" s="1" t="str">
        <f>IF(L840&lt;=45,"Joven","Mayor")</f>
        <v>Joven</v>
      </c>
      <c r="N840" s="1">
        <v>43</v>
      </c>
      <c r="O840" s="1" t="s">
        <v>36</v>
      </c>
      <c r="P840" s="1">
        <v>0.44600000000000001</v>
      </c>
      <c r="Q840" s="1">
        <v>92.561999999999998</v>
      </c>
      <c r="R840" s="1">
        <v>2.8051561999999999</v>
      </c>
      <c r="S840" s="1">
        <v>-3.8654847000000001</v>
      </c>
      <c r="T840" s="1">
        <v>-0.67016969999999998</v>
      </c>
      <c r="U840" s="1">
        <v>5.774</v>
      </c>
      <c r="V840" s="1">
        <v>106</v>
      </c>
      <c r="W840" s="1">
        <v>175</v>
      </c>
      <c r="X840" s="1">
        <v>1.6509433962264151</v>
      </c>
      <c r="Y840" s="1">
        <v>107</v>
      </c>
      <c r="Z840" s="1">
        <v>175</v>
      </c>
      <c r="AA840" s="1">
        <v>1.6355140186915889</v>
      </c>
      <c r="AB840" s="1">
        <v>107.5541078925294</v>
      </c>
      <c r="AC840" s="1">
        <v>175.0348146875904</v>
      </c>
      <c r="AD840" s="1">
        <v>1.627411710415462</v>
      </c>
      <c r="AE840" t="s">
        <v>4817</v>
      </c>
      <c r="AF840" t="str">
        <f>IF(X840&lt;$AF$1,"Bajo","Alto")</f>
        <v>Bajo</v>
      </c>
      <c r="AG840" t="str">
        <f>LEFT(AE840,1)</f>
        <v>C</v>
      </c>
      <c r="AH840" t="str">
        <f>K840</f>
        <v>M</v>
      </c>
      <c r="AI840" t="str">
        <f>LEFT(AF840,1)</f>
        <v>B</v>
      </c>
      <c r="AJ840" t="str">
        <f>LEFT(M840,1)</f>
        <v>J</v>
      </c>
      <c r="AK840" t="str">
        <f>_xlfn.CONCAT(AG840,AH840,AI840,AJ840)</f>
        <v>CMBJ</v>
      </c>
    </row>
    <row r="841" spans="1:37" ht="15.75" hidden="1" customHeight="1" x14ac:dyDescent="0.2">
      <c r="A841" s="1">
        <v>299101</v>
      </c>
      <c r="B841" s="1" t="s">
        <v>3890</v>
      </c>
      <c r="C841" s="1" t="s">
        <v>1695</v>
      </c>
      <c r="D841" s="1" t="s">
        <v>4108</v>
      </c>
      <c r="E841" s="1" t="s">
        <v>770</v>
      </c>
      <c r="F841" s="1" t="s">
        <v>32</v>
      </c>
      <c r="G841" s="1" t="s">
        <v>4109</v>
      </c>
      <c r="H841" s="1">
        <v>2489</v>
      </c>
      <c r="I841" s="1" t="s">
        <v>65</v>
      </c>
      <c r="J841" s="1">
        <v>2</v>
      </c>
      <c r="K841" s="1" t="s">
        <v>35</v>
      </c>
      <c r="L841" s="1">
        <v>41</v>
      </c>
      <c r="M841" s="1" t="str">
        <f>IF(L841&lt;=45,"Joven","Mayor")</f>
        <v>Joven</v>
      </c>
      <c r="N841" s="1">
        <v>42</v>
      </c>
      <c r="O841" s="1" t="s">
        <v>36</v>
      </c>
      <c r="P841" s="1">
        <v>0.52300000000000002</v>
      </c>
      <c r="Q841" s="1">
        <v>83.42</v>
      </c>
      <c r="R841" s="1">
        <v>-9.2862559999999998</v>
      </c>
      <c r="S841" s="1">
        <v>2.2003403000000001</v>
      </c>
      <c r="T841" s="1">
        <v>9.5693490000000008</v>
      </c>
      <c r="U841" s="1">
        <v>2.2069999999999999</v>
      </c>
      <c r="V841" s="1">
        <v>78</v>
      </c>
      <c r="W841" s="1">
        <v>150</v>
      </c>
      <c r="X841" s="1">
        <v>1.9230769230769231</v>
      </c>
      <c r="Y841" s="1">
        <v>89</v>
      </c>
      <c r="Z841" s="1">
        <v>150</v>
      </c>
      <c r="AA841" s="1">
        <v>1.6853932584269662</v>
      </c>
      <c r="AB841" s="1">
        <v>84.063012541103944</v>
      </c>
      <c r="AC841" s="1">
        <v>150.90510917429259</v>
      </c>
      <c r="AD841" s="1">
        <v>1.7951427698419105</v>
      </c>
      <c r="AE841" t="s">
        <v>4817</v>
      </c>
      <c r="AF841" t="str">
        <f>IF(X841&lt;$AF$1,"Bajo","Alto")</f>
        <v>Alto</v>
      </c>
      <c r="AG841" t="str">
        <f>LEFT(AE841,1)</f>
        <v>C</v>
      </c>
      <c r="AH841" t="str">
        <f>K841</f>
        <v>M</v>
      </c>
      <c r="AI841" t="str">
        <f>LEFT(AF841,1)</f>
        <v>A</v>
      </c>
      <c r="AJ841" t="str">
        <f>LEFT(M841,1)</f>
        <v>J</v>
      </c>
      <c r="AK841" t="str">
        <f>_xlfn.CONCAT(AG841,AH841,AI841,AJ841)</f>
        <v>CMAJ</v>
      </c>
    </row>
    <row r="842" spans="1:37" ht="15.75" hidden="1" customHeight="1" x14ac:dyDescent="0.2">
      <c r="A842" s="1">
        <v>1051306</v>
      </c>
      <c r="B842" s="1" t="s">
        <v>694</v>
      </c>
      <c r="C842" s="1" t="s">
        <v>879</v>
      </c>
      <c r="D842" s="1" t="s">
        <v>935</v>
      </c>
      <c r="E842" s="1" t="s">
        <v>163</v>
      </c>
      <c r="F842" s="1" t="s">
        <v>88</v>
      </c>
      <c r="G842" s="1" t="s">
        <v>941</v>
      </c>
      <c r="H842" s="1">
        <v>53</v>
      </c>
      <c r="I842" s="1" t="s">
        <v>134</v>
      </c>
      <c r="J842" s="1">
        <v>8</v>
      </c>
      <c r="K842" s="1" t="s">
        <v>49</v>
      </c>
      <c r="L842" s="1">
        <v>56</v>
      </c>
      <c r="M842" s="1" t="str">
        <f>IF(L842&lt;=45,"Joven","Mayor")</f>
        <v>Mayor</v>
      </c>
      <c r="N842" s="1">
        <v>69</v>
      </c>
      <c r="O842" s="1" t="s">
        <v>50</v>
      </c>
      <c r="P842" s="1">
        <v>0.74399999999999999</v>
      </c>
      <c r="Q842" s="1">
        <v>86.197000000000003</v>
      </c>
      <c r="R842" s="1">
        <v>-7.1157364999999997</v>
      </c>
      <c r="S842" s="1">
        <v>6.0531373000000004</v>
      </c>
      <c r="T842" s="1">
        <v>17.754930000000002</v>
      </c>
      <c r="U842" s="1">
        <v>6.03</v>
      </c>
      <c r="V842" s="1">
        <v>63</v>
      </c>
      <c r="W842" s="1">
        <v>121</v>
      </c>
      <c r="X842" s="1">
        <v>1.9206349206349207</v>
      </c>
      <c r="Y842" s="1">
        <v>77</v>
      </c>
      <c r="Z842" s="1">
        <v>121</v>
      </c>
      <c r="AA842" s="1">
        <v>1.5714285714285714</v>
      </c>
      <c r="AB842" s="1">
        <v>73.72186363583296</v>
      </c>
      <c r="AC842" s="1">
        <v>124.08015841192351</v>
      </c>
      <c r="AD842" s="1">
        <v>1.683084939697775</v>
      </c>
      <c r="AE842" t="s">
        <v>4817</v>
      </c>
      <c r="AF842" t="str">
        <f>IF(X842&lt;$AF$1,"Bajo","Alto")</f>
        <v>Alto</v>
      </c>
      <c r="AG842" t="str">
        <f>LEFT(AE842,1)</f>
        <v>C</v>
      </c>
      <c r="AH842" t="str">
        <f>K842</f>
        <v>F</v>
      </c>
      <c r="AI842" t="str">
        <f>LEFT(AF842,1)</f>
        <v>A</v>
      </c>
      <c r="AJ842" t="str">
        <f>LEFT(M842,1)</f>
        <v>M</v>
      </c>
      <c r="AK842" t="str">
        <f>_xlfn.CONCAT(AG842,AH842,AI842,AJ842)</f>
        <v>CFAM</v>
      </c>
    </row>
    <row r="843" spans="1:37" ht="15.75" hidden="1" customHeight="1" x14ac:dyDescent="0.2">
      <c r="A843" s="1">
        <v>10128301</v>
      </c>
      <c r="B843" s="1" t="s">
        <v>29</v>
      </c>
      <c r="C843" s="1" t="s">
        <v>30</v>
      </c>
      <c r="D843" s="1" t="s">
        <v>568</v>
      </c>
      <c r="E843" s="1" t="s">
        <v>569</v>
      </c>
      <c r="F843" s="1" t="s">
        <v>32</v>
      </c>
      <c r="G843" s="1" t="s">
        <v>570</v>
      </c>
      <c r="H843" s="1">
        <v>1284</v>
      </c>
      <c r="I843" s="1" t="s">
        <v>100</v>
      </c>
      <c r="J843" s="1">
        <v>1</v>
      </c>
      <c r="K843" s="1" t="s">
        <v>35</v>
      </c>
      <c r="L843" s="1">
        <v>51</v>
      </c>
      <c r="M843" s="1" t="str">
        <f>IF(L843&lt;=45,"Joven","Mayor")</f>
        <v>Mayor</v>
      </c>
      <c r="N843" s="1">
        <v>44</v>
      </c>
      <c r="O843" s="1" t="s">
        <v>36</v>
      </c>
      <c r="P843" s="1">
        <v>0.70799999999999996</v>
      </c>
      <c r="Q843" s="1">
        <v>91.585999999999999</v>
      </c>
      <c r="R843" s="1">
        <v>4.6797040000000001</v>
      </c>
      <c r="S843" s="1">
        <v>-0.88311949999999995</v>
      </c>
      <c r="T843" s="1">
        <v>-0.64387380000000005</v>
      </c>
      <c r="U843" s="1">
        <v>1.958</v>
      </c>
      <c r="V843" s="1">
        <v>35</v>
      </c>
      <c r="W843" s="1">
        <v>67</v>
      </c>
      <c r="X843" s="1">
        <v>1.9142857142857144</v>
      </c>
      <c r="Y843" s="1">
        <v>38</v>
      </c>
      <c r="Z843" s="1">
        <v>67</v>
      </c>
      <c r="AA843" s="1">
        <v>1.763157894736842</v>
      </c>
      <c r="AB843" s="1">
        <v>37.829038366777468</v>
      </c>
      <c r="AC843" s="1">
        <v>67.063194340947121</v>
      </c>
      <c r="AD843" s="1">
        <v>1.7727966989465933</v>
      </c>
      <c r="AE843" t="s">
        <v>4817</v>
      </c>
      <c r="AF843" t="str">
        <f>IF(X843&lt;$AF$1,"Bajo","Alto")</f>
        <v>Alto</v>
      </c>
      <c r="AG843" t="str">
        <f>LEFT(AE843,1)</f>
        <v>C</v>
      </c>
      <c r="AH843" t="str">
        <f>K843</f>
        <v>M</v>
      </c>
      <c r="AI843" t="str">
        <f>LEFT(AF843,1)</f>
        <v>A</v>
      </c>
      <c r="AJ843" t="str">
        <f>LEFT(M843,1)</f>
        <v>M</v>
      </c>
      <c r="AK843" t="str">
        <f>_xlfn.CONCAT(AG843,AH843,AI843,AJ843)</f>
        <v>CMAM</v>
      </c>
    </row>
    <row r="844" spans="1:37" ht="15.75" hidden="1" customHeight="1" x14ac:dyDescent="0.2">
      <c r="A844" s="1">
        <v>10128304</v>
      </c>
      <c r="B844" s="1" t="s">
        <v>29</v>
      </c>
      <c r="C844" s="1" t="s">
        <v>30</v>
      </c>
      <c r="D844" s="1" t="s">
        <v>568</v>
      </c>
      <c r="E844" s="1" t="s">
        <v>569</v>
      </c>
      <c r="F844" s="1" t="s">
        <v>61</v>
      </c>
      <c r="G844" s="1" t="s">
        <v>572</v>
      </c>
      <c r="H844" s="1">
        <v>4723</v>
      </c>
      <c r="I844" s="1" t="s">
        <v>48</v>
      </c>
      <c r="J844" s="1">
        <v>4</v>
      </c>
      <c r="K844" s="1" t="s">
        <v>35</v>
      </c>
      <c r="L844" s="1">
        <v>48</v>
      </c>
      <c r="M844" s="1" t="str">
        <f>IF(L844&lt;=45,"Joven","Mayor")</f>
        <v>Mayor</v>
      </c>
      <c r="N844" s="1">
        <v>46</v>
      </c>
      <c r="O844" s="1" t="s">
        <v>36</v>
      </c>
      <c r="P844" s="1">
        <v>0.55800000000000005</v>
      </c>
      <c r="Q844" s="1">
        <v>78.790000000000006</v>
      </c>
      <c r="R844" s="1">
        <v>-8.5050559999999997</v>
      </c>
      <c r="S844" s="1">
        <v>11.04509</v>
      </c>
      <c r="T844" s="1">
        <v>5.5833596999999999</v>
      </c>
      <c r="U844" s="1">
        <v>10.003</v>
      </c>
      <c r="V844" s="1">
        <v>70</v>
      </c>
      <c r="W844" s="1">
        <v>134</v>
      </c>
      <c r="X844" s="1">
        <v>1.9142857142857144</v>
      </c>
      <c r="Y844" s="1">
        <v>75</v>
      </c>
      <c r="Z844" s="1">
        <v>134</v>
      </c>
      <c r="AA844" s="1">
        <v>1.7866666666666666</v>
      </c>
      <c r="AB844" s="1">
        <v>73.365065358602124</v>
      </c>
      <c r="AC844" s="1">
        <v>133.65614520266811</v>
      </c>
      <c r="AD844" s="1">
        <v>1.8217954901201052</v>
      </c>
      <c r="AE844" t="s">
        <v>4817</v>
      </c>
      <c r="AF844" t="str">
        <f>IF(X844&lt;$AF$1,"Bajo","Alto")</f>
        <v>Alto</v>
      </c>
      <c r="AG844" t="str">
        <f>LEFT(AE844,1)</f>
        <v>C</v>
      </c>
      <c r="AH844" t="str">
        <f>K844</f>
        <v>M</v>
      </c>
      <c r="AI844" t="str">
        <f>LEFT(AF844,1)</f>
        <v>A</v>
      </c>
      <c r="AJ844" t="str">
        <f>LEFT(M844,1)</f>
        <v>M</v>
      </c>
      <c r="AK844" t="str">
        <f>_xlfn.CONCAT(AG844,AH844,AI844,AJ844)</f>
        <v>CMAM</v>
      </c>
    </row>
    <row r="845" spans="1:37" ht="15.75" hidden="1" customHeight="1" x14ac:dyDescent="0.2">
      <c r="A845" s="1">
        <v>1222505</v>
      </c>
      <c r="B845" s="1" t="s">
        <v>1798</v>
      </c>
      <c r="C845" s="1" t="s">
        <v>54</v>
      </c>
      <c r="D845" s="1" t="s">
        <v>1822</v>
      </c>
      <c r="E845" s="1" t="s">
        <v>1823</v>
      </c>
      <c r="F845" s="1" t="s">
        <v>40</v>
      </c>
      <c r="G845" s="1" t="s">
        <v>1825</v>
      </c>
      <c r="H845" s="1">
        <v>8914</v>
      </c>
      <c r="I845" s="1" t="s">
        <v>1826</v>
      </c>
      <c r="J845" s="1">
        <v>2810</v>
      </c>
      <c r="K845" s="1" t="s">
        <v>35</v>
      </c>
      <c r="L845" s="1">
        <v>50</v>
      </c>
      <c r="M845" s="1" t="str">
        <f>IF(L845&lt;=45,"Joven","Mayor")</f>
        <v>Mayor</v>
      </c>
      <c r="N845" s="1">
        <v>56</v>
      </c>
      <c r="O845" s="1" t="s">
        <v>36</v>
      </c>
      <c r="P845" s="1">
        <v>0.40899999999999997</v>
      </c>
      <c r="Q845" s="1">
        <v>92.739000000000004</v>
      </c>
      <c r="R845" s="1">
        <v>-1.5575862</v>
      </c>
      <c r="S845" s="1">
        <v>6.14025</v>
      </c>
      <c r="T845" s="1">
        <v>1.0433011000000001</v>
      </c>
      <c r="U845" s="1">
        <v>26.97</v>
      </c>
      <c r="V845" s="1">
        <v>93</v>
      </c>
      <c r="W845" s="1">
        <v>178</v>
      </c>
      <c r="X845" s="1">
        <v>1.913978494623656</v>
      </c>
      <c r="Y845" s="1">
        <v>94</v>
      </c>
      <c r="Z845" s="1">
        <v>178</v>
      </c>
      <c r="AA845" s="1">
        <v>1.8936170212765957</v>
      </c>
      <c r="AB845" s="1">
        <v>93.785735916169187</v>
      </c>
      <c r="AC845" s="1">
        <v>177.95228313138389</v>
      </c>
      <c r="AD845" s="1">
        <v>1.8974344167907087</v>
      </c>
      <c r="AE845" t="s">
        <v>4817</v>
      </c>
      <c r="AF845" t="str">
        <f>IF(X845&lt;$AF$1,"Bajo","Alto")</f>
        <v>Alto</v>
      </c>
      <c r="AG845" t="str">
        <f>LEFT(AE845,1)</f>
        <v>C</v>
      </c>
      <c r="AH845" t="str">
        <f>K845</f>
        <v>M</v>
      </c>
      <c r="AI845" t="str">
        <f>LEFT(AF845,1)</f>
        <v>A</v>
      </c>
      <c r="AJ845" t="str">
        <f>LEFT(M845,1)</f>
        <v>M</v>
      </c>
      <c r="AK845" t="str">
        <f>_xlfn.CONCAT(AG845,AH845,AI845,AJ845)</f>
        <v>CMAM</v>
      </c>
    </row>
    <row r="846" spans="1:37" ht="15.75" hidden="1" customHeight="1" x14ac:dyDescent="0.2">
      <c r="A846" s="1">
        <v>480602</v>
      </c>
      <c r="B846" s="1" t="s">
        <v>4465</v>
      </c>
      <c r="C846" s="1" t="s">
        <v>2650</v>
      </c>
      <c r="D846" s="1" t="s">
        <v>4482</v>
      </c>
      <c r="E846" s="1" t="s">
        <v>88</v>
      </c>
      <c r="F846" s="1" t="s">
        <v>37</v>
      </c>
      <c r="G846" s="1" t="s">
        <v>4484</v>
      </c>
      <c r="H846" s="1">
        <v>3240</v>
      </c>
      <c r="I846" s="1" t="s">
        <v>4485</v>
      </c>
      <c r="J846" s="1">
        <v>2619</v>
      </c>
      <c r="K846" s="1" t="s">
        <v>35</v>
      </c>
      <c r="L846" s="1">
        <v>39</v>
      </c>
      <c r="M846" s="1" t="str">
        <f>IF(L846&lt;=45,"Joven","Mayor")</f>
        <v>Joven</v>
      </c>
      <c r="N846" s="1">
        <v>38</v>
      </c>
      <c r="O846" s="1" t="s">
        <v>36</v>
      </c>
      <c r="P846" s="1">
        <v>0.315</v>
      </c>
      <c r="Q846" s="1">
        <v>91.17</v>
      </c>
      <c r="R846" s="1">
        <v>3.5110073000000002</v>
      </c>
      <c r="S846" s="1">
        <v>-6.2773659999999998</v>
      </c>
      <c r="T846" s="1">
        <v>-9.4554650000000002</v>
      </c>
      <c r="U846" s="1">
        <v>60.768000000000001</v>
      </c>
      <c r="V846" s="1">
        <v>78</v>
      </c>
      <c r="W846" s="1">
        <v>150</v>
      </c>
      <c r="X846" s="1">
        <v>1.9230769230769231</v>
      </c>
      <c r="Y846" s="1">
        <v>83</v>
      </c>
      <c r="Z846" s="1">
        <v>150</v>
      </c>
      <c r="AA846" s="1">
        <v>1.8072289156626506</v>
      </c>
      <c r="AB846" s="1">
        <v>83.840059403624537</v>
      </c>
      <c r="AC846" s="1">
        <v>149.27628629619579</v>
      </c>
      <c r="AD846" s="1">
        <v>1.780488794474093</v>
      </c>
      <c r="AE846" t="s">
        <v>4817</v>
      </c>
      <c r="AF846" t="str">
        <f>IF(X846&lt;$AF$1,"Bajo","Alto")</f>
        <v>Alto</v>
      </c>
      <c r="AG846" t="str">
        <f>LEFT(AE846,1)</f>
        <v>C</v>
      </c>
      <c r="AH846" t="str">
        <f>K846</f>
        <v>M</v>
      </c>
      <c r="AI846" t="str">
        <f>LEFT(AF846,1)</f>
        <v>A</v>
      </c>
      <c r="AJ846" t="str">
        <f>LEFT(M846,1)</f>
        <v>J</v>
      </c>
      <c r="AK846" t="str">
        <f>_xlfn.CONCAT(AG846,AH846,AI846,AJ846)</f>
        <v>CMAJ</v>
      </c>
    </row>
    <row r="847" spans="1:37" ht="15.75" customHeight="1" x14ac:dyDescent="0.2">
      <c r="A847" s="1">
        <v>10913005</v>
      </c>
      <c r="B847" s="1" t="s">
        <v>719</v>
      </c>
      <c r="C847" s="1" t="s">
        <v>98</v>
      </c>
      <c r="D847" s="1" t="s">
        <v>1579</v>
      </c>
      <c r="E847" s="1" t="s">
        <v>158</v>
      </c>
      <c r="F847" s="1" t="s">
        <v>40</v>
      </c>
      <c r="G847" s="1" t="s">
        <v>1583</v>
      </c>
      <c r="H847" s="1">
        <v>2508</v>
      </c>
      <c r="I847" s="1" t="s">
        <v>1584</v>
      </c>
      <c r="J847" s="1">
        <v>4256</v>
      </c>
      <c r="K847" s="1" t="s">
        <v>35</v>
      </c>
      <c r="L847" s="1">
        <v>39</v>
      </c>
      <c r="M847" s="1" t="str">
        <f>IF(L847&lt;=45,"Joven","Mayor")</f>
        <v>Joven</v>
      </c>
      <c r="N847" s="1">
        <v>38</v>
      </c>
      <c r="O847" s="1" t="s">
        <v>36</v>
      </c>
      <c r="P847" s="1">
        <v>0.124</v>
      </c>
      <c r="Q847" s="1">
        <v>86.623999999999995</v>
      </c>
      <c r="R847" s="1">
        <v>6.4731544999999997</v>
      </c>
      <c r="S847" s="1">
        <v>7.7271533000000003</v>
      </c>
      <c r="T847" s="1">
        <v>-0.93492370000000002</v>
      </c>
      <c r="U847" s="1">
        <v>5.907</v>
      </c>
      <c r="V847" s="1">
        <v>92</v>
      </c>
      <c r="W847" s="1">
        <v>161</v>
      </c>
      <c r="X847" s="1">
        <v>1.75</v>
      </c>
      <c r="Y847" s="1">
        <v>97</v>
      </c>
      <c r="Z847" s="1">
        <v>161</v>
      </c>
      <c r="AA847" s="1">
        <v>1.6597938144329898</v>
      </c>
      <c r="AB847" s="1">
        <v>96.350732506710756</v>
      </c>
      <c r="AC847" s="1">
        <v>161.0112000344557</v>
      </c>
      <c r="AD847" s="1">
        <v>1.6710947166202539</v>
      </c>
      <c r="AE847" t="s">
        <v>4818</v>
      </c>
      <c r="AF847" t="str">
        <f>IF(X847&lt;$AF$1,"Bajo","Alto")</f>
        <v>Bajo</v>
      </c>
      <c r="AG847" t="str">
        <f>LEFT(AE847,1)</f>
        <v>S</v>
      </c>
      <c r="AH847" t="str">
        <f>K847</f>
        <v>M</v>
      </c>
      <c r="AI847" t="str">
        <f>LEFT(AF847,1)</f>
        <v>B</v>
      </c>
      <c r="AJ847" t="str">
        <f>LEFT(M847,1)</f>
        <v>J</v>
      </c>
      <c r="AK847" t="str">
        <f>_xlfn.CONCAT(AG847,AH847,AI847,AJ847)</f>
        <v>SMBJ</v>
      </c>
    </row>
    <row r="848" spans="1:37" ht="15.75" hidden="1" customHeight="1" x14ac:dyDescent="0.2">
      <c r="A848" s="1">
        <v>263004</v>
      </c>
      <c r="B848" s="1" t="s">
        <v>3358</v>
      </c>
      <c r="C848" s="1" t="s">
        <v>968</v>
      </c>
      <c r="D848" s="1" t="s">
        <v>3383</v>
      </c>
      <c r="E848" s="1" t="s">
        <v>2381</v>
      </c>
      <c r="F848" s="1" t="s">
        <v>61</v>
      </c>
      <c r="G848" s="1" t="s">
        <v>3386</v>
      </c>
      <c r="H848" s="1">
        <v>1322</v>
      </c>
      <c r="I848" s="1" t="s">
        <v>65</v>
      </c>
      <c r="J848" s="1">
        <v>2</v>
      </c>
      <c r="K848" s="1" t="s">
        <v>35</v>
      </c>
      <c r="L848" s="1">
        <v>61</v>
      </c>
      <c r="M848" s="1" t="str">
        <f>IF(L848&lt;=45,"Joven","Mayor")</f>
        <v>Mayor</v>
      </c>
      <c r="N848" s="1">
        <v>71</v>
      </c>
      <c r="O848" s="1" t="s">
        <v>36</v>
      </c>
      <c r="P848" s="1">
        <v>0.73799999999999999</v>
      </c>
      <c r="Q848" s="1">
        <v>92.1</v>
      </c>
      <c r="R848" s="1">
        <v>3.145518</v>
      </c>
      <c r="S848" s="1">
        <v>4.2199764000000002</v>
      </c>
      <c r="T848" s="1">
        <v>-5.5482849999999999</v>
      </c>
      <c r="U848" s="1">
        <v>0.61</v>
      </c>
      <c r="V848" s="1">
        <v>100</v>
      </c>
      <c r="W848" s="1">
        <v>162</v>
      </c>
      <c r="X848" s="1">
        <v>1.62</v>
      </c>
      <c r="Y848" s="1">
        <v>100</v>
      </c>
      <c r="Z848" s="1">
        <v>162</v>
      </c>
      <c r="AA848" s="1">
        <v>1.62</v>
      </c>
      <c r="AB848" s="1">
        <v>103.3022055237045</v>
      </c>
      <c r="AC848" s="1">
        <v>161.3377263333505</v>
      </c>
      <c r="AD848" s="1">
        <v>1.5618033082200624</v>
      </c>
      <c r="AE848" t="s">
        <v>4817</v>
      </c>
      <c r="AF848" t="str">
        <f>IF(X848&lt;$AF$1,"Bajo","Alto")</f>
        <v>Bajo</v>
      </c>
      <c r="AG848" t="str">
        <f>LEFT(AE848,1)</f>
        <v>C</v>
      </c>
      <c r="AH848" t="str">
        <f>K848</f>
        <v>M</v>
      </c>
      <c r="AI848" t="str">
        <f>LEFT(AF848,1)</f>
        <v>B</v>
      </c>
      <c r="AJ848" t="str">
        <f>LEFT(M848,1)</f>
        <v>M</v>
      </c>
      <c r="AK848" t="str">
        <f>_xlfn.CONCAT(AG848,AH848,AI848,AJ848)</f>
        <v>CMBM</v>
      </c>
    </row>
    <row r="849" spans="1:37" ht="15.75" hidden="1" customHeight="1" x14ac:dyDescent="0.2">
      <c r="A849" s="1">
        <v>521003</v>
      </c>
      <c r="B849" s="1" t="s">
        <v>4529</v>
      </c>
      <c r="C849" s="1" t="s">
        <v>685</v>
      </c>
      <c r="D849" s="1" t="s">
        <v>4550</v>
      </c>
      <c r="E849" s="1" t="s">
        <v>75</v>
      </c>
      <c r="F849" s="1" t="s">
        <v>63</v>
      </c>
      <c r="G849" s="1" t="s">
        <v>4551</v>
      </c>
      <c r="H849" s="1">
        <v>5254</v>
      </c>
      <c r="I849" s="1" t="s">
        <v>4552</v>
      </c>
      <c r="J849" s="1">
        <v>2934</v>
      </c>
      <c r="K849" s="1" t="s">
        <v>35</v>
      </c>
      <c r="L849" s="1">
        <v>51</v>
      </c>
      <c r="M849" s="1" t="str">
        <f>IF(L849&lt;=45,"Joven","Mayor")</f>
        <v>Mayor</v>
      </c>
      <c r="N849" s="1">
        <v>54</v>
      </c>
      <c r="O849" s="1" t="s">
        <v>36</v>
      </c>
      <c r="P849" s="1">
        <v>0.35799999999999998</v>
      </c>
      <c r="Q849" s="1">
        <v>87.596000000000004</v>
      </c>
      <c r="R849" s="1">
        <v>-7.2013764</v>
      </c>
      <c r="S849" s="1">
        <v>3.1733254999999998</v>
      </c>
      <c r="T849" s="1">
        <v>4.3325250000000004</v>
      </c>
      <c r="U849" s="1">
        <v>3.0529999999999999</v>
      </c>
      <c r="V849" s="1">
        <v>91</v>
      </c>
      <c r="W849" s="1">
        <v>174</v>
      </c>
      <c r="X849" s="1">
        <v>1.9120879120879122</v>
      </c>
      <c r="Y849" s="1">
        <v>93</v>
      </c>
      <c r="Z849" s="1">
        <v>174</v>
      </c>
      <c r="AA849" s="1">
        <v>1.8709677419354838</v>
      </c>
      <c r="AB849" s="1">
        <v>94.81937769028309</v>
      </c>
      <c r="AC849" s="1">
        <v>173.57832409172579</v>
      </c>
      <c r="AD849" s="1">
        <v>1.8306207899686919</v>
      </c>
      <c r="AE849" t="s">
        <v>4817</v>
      </c>
      <c r="AF849" t="str">
        <f>IF(X849&lt;$AF$1,"Bajo","Alto")</f>
        <v>Alto</v>
      </c>
      <c r="AG849" t="str">
        <f>LEFT(AE849,1)</f>
        <v>C</v>
      </c>
      <c r="AH849" t="str">
        <f>K849</f>
        <v>M</v>
      </c>
      <c r="AI849" t="str">
        <f>LEFT(AF849,1)</f>
        <v>A</v>
      </c>
      <c r="AJ849" t="str">
        <f>LEFT(M849,1)</f>
        <v>M</v>
      </c>
      <c r="AK849" t="str">
        <f>_xlfn.CONCAT(AG849,AH849,AI849,AJ849)</f>
        <v>CMAM</v>
      </c>
    </row>
    <row r="850" spans="1:37" ht="15.75" hidden="1" customHeight="1" x14ac:dyDescent="0.2">
      <c r="A850" s="1">
        <v>1017902</v>
      </c>
      <c r="B850" s="1" t="s">
        <v>29</v>
      </c>
      <c r="C850" s="1" t="s">
        <v>30</v>
      </c>
      <c r="D850" s="1" t="s">
        <v>738</v>
      </c>
      <c r="E850" s="1" t="s">
        <v>739</v>
      </c>
      <c r="F850" s="1" t="s">
        <v>37</v>
      </c>
      <c r="G850" s="1" t="s">
        <v>740</v>
      </c>
      <c r="H850" s="1">
        <v>2003</v>
      </c>
      <c r="I850" s="1" t="s">
        <v>741</v>
      </c>
      <c r="J850" s="1">
        <v>559</v>
      </c>
      <c r="K850" s="1" t="s">
        <v>35</v>
      </c>
      <c r="L850" s="1">
        <v>35</v>
      </c>
      <c r="M850" s="1" t="str">
        <f>IF(L850&lt;=45,"Joven","Mayor")</f>
        <v>Joven</v>
      </c>
      <c r="N850" s="1">
        <v>36</v>
      </c>
      <c r="O850" s="1" t="s">
        <v>36</v>
      </c>
      <c r="P850" s="1">
        <v>0.311</v>
      </c>
      <c r="Q850" s="1">
        <v>88.078999999999994</v>
      </c>
      <c r="R850" s="1">
        <v>7.2674937000000002</v>
      </c>
      <c r="S850" s="1">
        <v>1.5693332</v>
      </c>
      <c r="T850" s="1">
        <v>-2.6387147999999998</v>
      </c>
      <c r="U850" s="1">
        <v>18.841000000000001</v>
      </c>
      <c r="V850" s="1">
        <v>139</v>
      </c>
      <c r="W850" s="1">
        <v>267</v>
      </c>
      <c r="X850" s="1">
        <v>1.920863309352518</v>
      </c>
      <c r="Y850" s="1">
        <v>140</v>
      </c>
      <c r="Z850" s="1">
        <v>267</v>
      </c>
      <c r="AA850" s="1">
        <v>1.9071428571428573</v>
      </c>
      <c r="AB850" s="1">
        <v>141.66093385614951</v>
      </c>
      <c r="AC850" s="1">
        <v>266.62482124776028</v>
      </c>
      <c r="AD850" s="1">
        <v>1.8821337258619666</v>
      </c>
      <c r="AE850" t="s">
        <v>4817</v>
      </c>
      <c r="AF850" t="str">
        <f>IF(X850&lt;$AF$1,"Bajo","Alto")</f>
        <v>Alto</v>
      </c>
      <c r="AG850" t="str">
        <f>LEFT(AE850,1)</f>
        <v>C</v>
      </c>
      <c r="AH850" t="str">
        <f>K850</f>
        <v>M</v>
      </c>
      <c r="AI850" t="str">
        <f>LEFT(AF850,1)</f>
        <v>A</v>
      </c>
      <c r="AJ850" t="str">
        <f>LEFT(M850,1)</f>
        <v>J</v>
      </c>
      <c r="AK850" t="str">
        <f>_xlfn.CONCAT(AG850,AH850,AI850,AJ850)</f>
        <v>CMAJ</v>
      </c>
    </row>
    <row r="851" spans="1:37" ht="15.75" hidden="1" customHeight="1" x14ac:dyDescent="0.2">
      <c r="A851" s="1">
        <v>279401</v>
      </c>
      <c r="B851" s="1" t="s">
        <v>3409</v>
      </c>
      <c r="C851" s="1" t="s">
        <v>973</v>
      </c>
      <c r="D851" s="1" t="s">
        <v>3760</v>
      </c>
      <c r="E851" s="1" t="s">
        <v>775</v>
      </c>
      <c r="F851" s="1" t="s">
        <v>32</v>
      </c>
      <c r="G851" s="1" t="s">
        <v>3761</v>
      </c>
      <c r="H851" s="1">
        <v>1281</v>
      </c>
      <c r="I851" s="1" t="s">
        <v>100</v>
      </c>
      <c r="J851" s="1">
        <v>1</v>
      </c>
      <c r="K851" s="1" t="s">
        <v>35</v>
      </c>
      <c r="L851" s="1">
        <v>29</v>
      </c>
      <c r="M851" s="1" t="str">
        <f>IF(L851&lt;=45,"Joven","Mayor")</f>
        <v>Joven</v>
      </c>
      <c r="N851" s="1">
        <v>29</v>
      </c>
      <c r="O851" s="1" t="s">
        <v>36</v>
      </c>
      <c r="P851" s="1">
        <v>0.36599999999999999</v>
      </c>
      <c r="Q851" s="1">
        <v>93.744</v>
      </c>
      <c r="R851" s="1">
        <v>1.64981</v>
      </c>
      <c r="S851" s="1">
        <v>2.2756584000000002</v>
      </c>
      <c r="T851" s="1">
        <v>-2.8651835999999999</v>
      </c>
      <c r="U851" s="1">
        <v>1.466</v>
      </c>
      <c r="V851" s="1">
        <v>106</v>
      </c>
      <c r="W851" s="1">
        <v>175</v>
      </c>
      <c r="X851" s="1">
        <v>1.6509433962264151</v>
      </c>
      <c r="Y851" s="1">
        <v>110</v>
      </c>
      <c r="Z851" s="1">
        <v>175</v>
      </c>
      <c r="AA851" s="1">
        <v>1.5909090909090908</v>
      </c>
      <c r="AB851" s="1">
        <v>108.4667656149597</v>
      </c>
      <c r="AC851" s="1">
        <v>175.1311376615995</v>
      </c>
      <c r="AD851" s="1">
        <v>1.6146064342260196</v>
      </c>
      <c r="AE851" t="s">
        <v>4817</v>
      </c>
      <c r="AF851" t="str">
        <f>IF(X851&lt;$AF$1,"Bajo","Alto")</f>
        <v>Bajo</v>
      </c>
      <c r="AG851" t="str">
        <f>LEFT(AE851,1)</f>
        <v>C</v>
      </c>
      <c r="AH851" t="str">
        <f>K851</f>
        <v>M</v>
      </c>
      <c r="AI851" t="str">
        <f>LEFT(AF851,1)</f>
        <v>B</v>
      </c>
      <c r="AJ851" t="str">
        <f>LEFT(M851,1)</f>
        <v>J</v>
      </c>
      <c r="AK851" t="str">
        <f>_xlfn.CONCAT(AG851,AH851,AI851,AJ851)</f>
        <v>CMBJ</v>
      </c>
    </row>
    <row r="852" spans="1:37" ht="15.75" hidden="1" customHeight="1" x14ac:dyDescent="0.2">
      <c r="A852" s="1">
        <v>159409</v>
      </c>
      <c r="B852" s="1" t="s">
        <v>2077</v>
      </c>
      <c r="C852" s="1" t="s">
        <v>57</v>
      </c>
      <c r="D852" s="1" t="s">
        <v>2539</v>
      </c>
      <c r="E852" s="1" t="s">
        <v>775</v>
      </c>
      <c r="F852" s="1" t="s">
        <v>189</v>
      </c>
      <c r="G852" s="1" t="s">
        <v>2545</v>
      </c>
      <c r="H852" s="1">
        <v>11495</v>
      </c>
      <c r="I852" s="1" t="s">
        <v>2546</v>
      </c>
      <c r="J852" s="1">
        <v>3276</v>
      </c>
      <c r="K852" s="1" t="s">
        <v>35</v>
      </c>
      <c r="L852" s="1">
        <v>56</v>
      </c>
      <c r="M852" s="1" t="str">
        <f>IF(L852&lt;=45,"Joven","Mayor")</f>
        <v>Mayor</v>
      </c>
      <c r="N852" s="1">
        <v>62</v>
      </c>
      <c r="O852" s="1" t="s">
        <v>36</v>
      </c>
      <c r="P852" s="1">
        <v>0.14199999999999999</v>
      </c>
      <c r="Q852" s="1">
        <v>65.087999999999994</v>
      </c>
      <c r="R852" s="1">
        <v>13.949014</v>
      </c>
      <c r="S852" s="1">
        <v>0.63560629999999996</v>
      </c>
      <c r="T852" s="1">
        <v>-7.5772449999999996</v>
      </c>
      <c r="U852" s="1">
        <v>0.93100000000000005</v>
      </c>
      <c r="V852" s="1">
        <v>95</v>
      </c>
      <c r="W852" s="1">
        <v>154</v>
      </c>
      <c r="X852" s="1">
        <v>1.6210526315789473</v>
      </c>
      <c r="Y852" s="1">
        <v>103</v>
      </c>
      <c r="Z852" s="1">
        <v>154</v>
      </c>
      <c r="AA852" s="1">
        <v>1.4951456310679612</v>
      </c>
      <c r="AB852" s="1">
        <v>99.44496758423702</v>
      </c>
      <c r="AC852" s="1">
        <v>152.78713281869389</v>
      </c>
      <c r="AD852" s="1">
        <v>1.5363988397831416</v>
      </c>
      <c r="AE852" t="s">
        <v>4817</v>
      </c>
      <c r="AF852" t="str">
        <f>IF(X852&lt;$AF$1,"Bajo","Alto")</f>
        <v>Bajo</v>
      </c>
      <c r="AG852" t="str">
        <f>LEFT(AE852,1)</f>
        <v>C</v>
      </c>
      <c r="AH852" t="str">
        <f>K852</f>
        <v>M</v>
      </c>
      <c r="AI852" t="str">
        <f>LEFT(AF852,1)</f>
        <v>B</v>
      </c>
      <c r="AJ852" t="str">
        <f>LEFT(M852,1)</f>
        <v>M</v>
      </c>
      <c r="AK852" t="str">
        <f>_xlfn.CONCAT(AG852,AH852,AI852,AJ852)</f>
        <v>CMBM</v>
      </c>
    </row>
    <row r="853" spans="1:37" ht="15.75" hidden="1" customHeight="1" x14ac:dyDescent="0.2">
      <c r="A853" s="1">
        <v>10715703</v>
      </c>
      <c r="B853" s="1" t="s">
        <v>1067</v>
      </c>
      <c r="C853" s="1" t="s">
        <v>1068</v>
      </c>
      <c r="D853" s="1" t="s">
        <v>1146</v>
      </c>
      <c r="E853" s="1" t="s">
        <v>229</v>
      </c>
      <c r="F853" s="1" t="s">
        <v>63</v>
      </c>
      <c r="G853" s="1" t="s">
        <v>1149</v>
      </c>
      <c r="H853" s="1">
        <v>75</v>
      </c>
      <c r="I853" s="1" t="s">
        <v>134</v>
      </c>
      <c r="J853" s="1">
        <v>8</v>
      </c>
      <c r="K853" s="1" t="s">
        <v>49</v>
      </c>
      <c r="L853" s="1">
        <v>55</v>
      </c>
      <c r="M853" s="1" t="str">
        <f>IF(L853&lt;=45,"Joven","Mayor")</f>
        <v>Mayor</v>
      </c>
      <c r="N853" s="1">
        <v>64</v>
      </c>
      <c r="O853" s="1" t="s">
        <v>50</v>
      </c>
      <c r="P853" s="1">
        <v>0.35899999999999999</v>
      </c>
      <c r="Q853" s="1">
        <v>89.694000000000003</v>
      </c>
      <c r="R853" s="1">
        <v>-4.2785460000000004</v>
      </c>
      <c r="S853" s="1">
        <v>7.6774734999999996</v>
      </c>
      <c r="T853" s="1">
        <v>7.8493959999999996</v>
      </c>
      <c r="U853" s="1">
        <v>54.765999999999998</v>
      </c>
      <c r="V853" s="1">
        <v>71</v>
      </c>
      <c r="W853" s="1">
        <v>136</v>
      </c>
      <c r="X853" s="1">
        <v>1.9154929577464788</v>
      </c>
      <c r="Y853" s="1">
        <v>79</v>
      </c>
      <c r="Z853" s="1">
        <v>136</v>
      </c>
      <c r="AA853" s="1">
        <v>1.7215189873417722</v>
      </c>
      <c r="AB853" s="1">
        <v>76.616968023622348</v>
      </c>
      <c r="AC853" s="1">
        <v>136.6377191123288</v>
      </c>
      <c r="AD853" s="1">
        <v>1.7833871874204288</v>
      </c>
      <c r="AE853" t="s">
        <v>4817</v>
      </c>
      <c r="AF853" t="str">
        <f>IF(X853&lt;$AF$1,"Bajo","Alto")</f>
        <v>Alto</v>
      </c>
      <c r="AG853" t="str">
        <f>LEFT(AE853,1)</f>
        <v>C</v>
      </c>
      <c r="AH853" t="str">
        <f>K853</f>
        <v>F</v>
      </c>
      <c r="AI853" t="str">
        <f>LEFT(AF853,1)</f>
        <v>A</v>
      </c>
      <c r="AJ853" t="str">
        <f>LEFT(M853,1)</f>
        <v>M</v>
      </c>
      <c r="AK853" t="str">
        <f>_xlfn.CONCAT(AG853,AH853,AI853,AJ853)</f>
        <v>CFAM</v>
      </c>
    </row>
    <row r="854" spans="1:37" ht="15.75" hidden="1" customHeight="1" x14ac:dyDescent="0.2">
      <c r="A854" s="1">
        <v>132705</v>
      </c>
      <c r="B854" s="1" t="s">
        <v>956</v>
      </c>
      <c r="C854" s="1" t="s">
        <v>163</v>
      </c>
      <c r="D854" s="1" t="s">
        <v>2001</v>
      </c>
      <c r="E854" s="1" t="s">
        <v>973</v>
      </c>
      <c r="F854" s="1" t="s">
        <v>40</v>
      </c>
      <c r="G854" s="1" t="s">
        <v>2006</v>
      </c>
      <c r="H854" s="1">
        <v>36</v>
      </c>
      <c r="I854" s="1" t="s">
        <v>134</v>
      </c>
      <c r="J854" s="1">
        <v>8</v>
      </c>
      <c r="K854" s="1" t="s">
        <v>35</v>
      </c>
      <c r="L854" s="1">
        <v>58</v>
      </c>
      <c r="M854" s="1" t="str">
        <f>IF(L854&lt;=45,"Joven","Mayor")</f>
        <v>Mayor</v>
      </c>
      <c r="N854" s="1">
        <v>72</v>
      </c>
      <c r="O854" s="1" t="s">
        <v>36</v>
      </c>
      <c r="P854" s="1">
        <v>0.375</v>
      </c>
      <c r="Q854" s="1">
        <v>93.531000000000006</v>
      </c>
      <c r="R854" s="1">
        <v>1.2420963</v>
      </c>
      <c r="S854" s="1">
        <v>4.1838365</v>
      </c>
      <c r="T854" s="1">
        <v>-1.3421315</v>
      </c>
      <c r="U854" s="1">
        <v>2.7959999999999998</v>
      </c>
      <c r="V854" s="1">
        <v>82</v>
      </c>
      <c r="W854" s="1">
        <v>133</v>
      </c>
      <c r="X854" s="1">
        <v>1.6219512195121952</v>
      </c>
      <c r="Y854" s="1">
        <v>86</v>
      </c>
      <c r="Z854" s="1">
        <v>133</v>
      </c>
      <c r="AA854" s="1">
        <v>1.5465116279069768</v>
      </c>
      <c r="AB854" s="1">
        <v>85.086352523320102</v>
      </c>
      <c r="AC854" s="1">
        <v>133.0103572285316</v>
      </c>
      <c r="AD854" s="1">
        <v>1.5632396181523553</v>
      </c>
      <c r="AE854" t="s">
        <v>4817</v>
      </c>
      <c r="AF854" t="str">
        <f>IF(X854&lt;$AF$1,"Bajo","Alto")</f>
        <v>Bajo</v>
      </c>
      <c r="AG854" t="str">
        <f>LEFT(AE854,1)</f>
        <v>C</v>
      </c>
      <c r="AH854" t="str">
        <f>K854</f>
        <v>M</v>
      </c>
      <c r="AI854" t="str">
        <f>LEFT(AF854,1)</f>
        <v>B</v>
      </c>
      <c r="AJ854" t="str">
        <f>LEFT(M854,1)</f>
        <v>M</v>
      </c>
      <c r="AK854" t="str">
        <f>_xlfn.CONCAT(AG854,AH854,AI854,AJ854)</f>
        <v>CMBM</v>
      </c>
    </row>
    <row r="855" spans="1:37" ht="15.75" hidden="1" customHeight="1" x14ac:dyDescent="0.2">
      <c r="A855" s="1">
        <v>10113305</v>
      </c>
      <c r="B855" s="1" t="s">
        <v>29</v>
      </c>
      <c r="C855" s="1" t="s">
        <v>30</v>
      </c>
      <c r="D855" s="1" t="s">
        <v>168</v>
      </c>
      <c r="E855" s="1" t="s">
        <v>169</v>
      </c>
      <c r="F855" s="1" t="s">
        <v>40</v>
      </c>
      <c r="G855" s="1" t="s">
        <v>173</v>
      </c>
      <c r="H855" s="1">
        <v>10766</v>
      </c>
      <c r="I855" s="1" t="s">
        <v>174</v>
      </c>
      <c r="J855" s="1">
        <v>2795</v>
      </c>
      <c r="K855" s="1" t="s">
        <v>35</v>
      </c>
      <c r="L855" s="1">
        <v>37</v>
      </c>
      <c r="M855" s="1" t="str">
        <f>IF(L855&lt;=45,"Joven","Mayor")</f>
        <v>Joven</v>
      </c>
      <c r="N855" s="1">
        <v>46</v>
      </c>
      <c r="O855" s="1" t="s">
        <v>36</v>
      </c>
      <c r="P855" s="1">
        <v>0.45200000000000001</v>
      </c>
      <c r="Q855" s="1">
        <v>91.498999999999995</v>
      </c>
      <c r="R855" s="1">
        <v>3.9315009999999999</v>
      </c>
      <c r="S855" s="1">
        <v>-4.178903</v>
      </c>
      <c r="T855" s="1">
        <v>-8.2362710000000003</v>
      </c>
      <c r="U855" s="1">
        <v>5.9560000000000004</v>
      </c>
      <c r="V855" s="1">
        <v>63</v>
      </c>
      <c r="W855" s="1">
        <v>121</v>
      </c>
      <c r="X855" s="1">
        <v>1.9206349206349207</v>
      </c>
      <c r="Y855" s="1">
        <v>68</v>
      </c>
      <c r="Z855" s="1">
        <v>121</v>
      </c>
      <c r="AA855" s="1">
        <v>1.7794117647058822</v>
      </c>
      <c r="AB855" s="1">
        <v>67.793910009135743</v>
      </c>
      <c r="AC855" s="1">
        <v>121.471040506121</v>
      </c>
      <c r="AD855" s="1">
        <v>1.7917692089120079</v>
      </c>
      <c r="AE855" t="s">
        <v>4817</v>
      </c>
      <c r="AF855" t="str">
        <f>IF(X855&lt;$AF$1,"Bajo","Alto")</f>
        <v>Alto</v>
      </c>
      <c r="AG855" t="str">
        <f>LEFT(AE855,1)</f>
        <v>C</v>
      </c>
      <c r="AH855" t="str">
        <f>K855</f>
        <v>M</v>
      </c>
      <c r="AI855" t="str">
        <f>LEFT(AF855,1)</f>
        <v>A</v>
      </c>
      <c r="AJ855" t="str">
        <f>LEFT(M855,1)</f>
        <v>J</v>
      </c>
      <c r="AK855" t="str">
        <f>_xlfn.CONCAT(AG855,AH855,AI855,AJ855)</f>
        <v>CMAJ</v>
      </c>
    </row>
    <row r="856" spans="1:37" ht="15.75" hidden="1" customHeight="1" x14ac:dyDescent="0.2">
      <c r="A856" s="1">
        <v>640704</v>
      </c>
      <c r="B856" s="1" t="s">
        <v>4718</v>
      </c>
      <c r="C856" s="1" t="s">
        <v>710</v>
      </c>
      <c r="D856" s="1" t="s">
        <v>4739</v>
      </c>
      <c r="E856" s="1" t="s">
        <v>43</v>
      </c>
      <c r="F856" s="1" t="s">
        <v>61</v>
      </c>
      <c r="G856" s="1" t="s">
        <v>4742</v>
      </c>
      <c r="H856" s="1">
        <v>1513</v>
      </c>
      <c r="I856" s="1" t="s">
        <v>4743</v>
      </c>
      <c r="J856" s="1">
        <v>832</v>
      </c>
      <c r="K856" s="1" t="s">
        <v>35</v>
      </c>
      <c r="L856" s="1">
        <v>42</v>
      </c>
      <c r="M856" s="1" t="str">
        <f>IF(L856&lt;=45,"Joven","Mayor")</f>
        <v>Joven</v>
      </c>
      <c r="N856" s="1">
        <v>49</v>
      </c>
      <c r="O856" s="1" t="s">
        <v>36</v>
      </c>
      <c r="P856" s="1">
        <v>0.255</v>
      </c>
      <c r="Q856" s="1">
        <v>91.798000000000002</v>
      </c>
      <c r="R856" s="1">
        <v>4.5359053999999999</v>
      </c>
      <c r="S856" s="1">
        <v>-1.2027203</v>
      </c>
      <c r="T856" s="1">
        <v>-2.1385684</v>
      </c>
      <c r="U856" s="1">
        <v>20.600999999999999</v>
      </c>
      <c r="V856" s="1">
        <v>88</v>
      </c>
      <c r="W856" s="1">
        <v>169</v>
      </c>
      <c r="X856" s="1">
        <v>1.9204545454545454</v>
      </c>
      <c r="Y856" s="1">
        <v>91</v>
      </c>
      <c r="Z856" s="1">
        <v>169</v>
      </c>
      <c r="AA856" s="1">
        <v>1.8571428571428572</v>
      </c>
      <c r="AB856" s="1">
        <v>92.466590721749299</v>
      </c>
      <c r="AC856" s="1">
        <v>169.10619000159431</v>
      </c>
      <c r="AD856" s="1">
        <v>1.8288355684105311</v>
      </c>
      <c r="AE856" t="s">
        <v>4817</v>
      </c>
      <c r="AF856" t="str">
        <f>IF(X856&lt;$AF$1,"Bajo","Alto")</f>
        <v>Alto</v>
      </c>
      <c r="AG856" t="str">
        <f>LEFT(AE856,1)</f>
        <v>C</v>
      </c>
      <c r="AH856" t="str">
        <f>K856</f>
        <v>M</v>
      </c>
      <c r="AI856" t="str">
        <f>LEFT(AF856,1)</f>
        <v>A</v>
      </c>
      <c r="AJ856" t="str">
        <f>LEFT(M856,1)</f>
        <v>J</v>
      </c>
      <c r="AK856" t="str">
        <f>_xlfn.CONCAT(AG856,AH856,AI856,AJ856)</f>
        <v>CMAJ</v>
      </c>
    </row>
    <row r="857" spans="1:37" ht="15.75" hidden="1" customHeight="1" x14ac:dyDescent="0.2">
      <c r="A857" s="1">
        <v>318502</v>
      </c>
      <c r="B857" s="1" t="s">
        <v>4122</v>
      </c>
      <c r="C857" s="1" t="s">
        <v>628</v>
      </c>
      <c r="D857" s="1" t="s">
        <v>4268</v>
      </c>
      <c r="E857" s="1" t="s">
        <v>755</v>
      </c>
      <c r="F857" s="1" t="s">
        <v>37</v>
      </c>
      <c r="G857" s="1" t="s">
        <v>4269</v>
      </c>
      <c r="H857" s="1">
        <v>435</v>
      </c>
      <c r="I857" s="1" t="s">
        <v>65</v>
      </c>
      <c r="J857" s="1">
        <v>2</v>
      </c>
      <c r="K857" s="1" t="s">
        <v>49</v>
      </c>
      <c r="L857" s="1">
        <v>54</v>
      </c>
      <c r="M857" s="1" t="str">
        <f>IF(L857&lt;=45,"Joven","Mayor")</f>
        <v>Mayor</v>
      </c>
      <c r="N857" s="1">
        <v>50</v>
      </c>
      <c r="O857" s="1" t="s">
        <v>50</v>
      </c>
      <c r="P857" s="1">
        <v>0.35499999999999998</v>
      </c>
      <c r="Q857" s="1">
        <v>93.352999999999994</v>
      </c>
      <c r="R857" s="1">
        <v>-2.3128669999999998</v>
      </c>
      <c r="S857" s="1">
        <v>2.1931224</v>
      </c>
      <c r="T857" s="1">
        <v>1.9507459</v>
      </c>
      <c r="U857" s="1">
        <v>18.971</v>
      </c>
      <c r="V857" s="1">
        <v>91</v>
      </c>
      <c r="W857" s="1">
        <v>174</v>
      </c>
      <c r="X857" s="1">
        <v>1.9120879120879122</v>
      </c>
      <c r="Y857" s="1">
        <v>95</v>
      </c>
      <c r="Z857" s="1">
        <v>174</v>
      </c>
      <c r="AA857" s="1">
        <v>1.831578947368421</v>
      </c>
      <c r="AB857" s="1">
        <v>93.345046617222124</v>
      </c>
      <c r="AC857" s="1">
        <v>174.00128094401541</v>
      </c>
      <c r="AD857" s="1">
        <v>1.8640654994532109</v>
      </c>
      <c r="AE857" t="s">
        <v>4817</v>
      </c>
      <c r="AF857" t="str">
        <f>IF(X857&lt;$AF$1,"Bajo","Alto")</f>
        <v>Alto</v>
      </c>
      <c r="AG857" t="str">
        <f>LEFT(AE857,1)</f>
        <v>C</v>
      </c>
      <c r="AH857" t="str">
        <f>K857</f>
        <v>F</v>
      </c>
      <c r="AI857" t="str">
        <f>LEFT(AF857,1)</f>
        <v>A</v>
      </c>
      <c r="AJ857" t="str">
        <f>LEFT(M857,1)</f>
        <v>M</v>
      </c>
      <c r="AK857" t="str">
        <f>_xlfn.CONCAT(AG857,AH857,AI857,AJ857)</f>
        <v>CFAM</v>
      </c>
    </row>
    <row r="858" spans="1:37" ht="15.75" hidden="1" customHeight="1" x14ac:dyDescent="0.2">
      <c r="A858" s="1">
        <v>1076003</v>
      </c>
      <c r="B858" s="1" t="s">
        <v>1067</v>
      </c>
      <c r="C858" s="1" t="s">
        <v>1068</v>
      </c>
      <c r="D858" s="1" t="s">
        <v>1457</v>
      </c>
      <c r="E858" s="1" t="s">
        <v>1458</v>
      </c>
      <c r="F858" s="1" t="s">
        <v>63</v>
      </c>
      <c r="G858" s="1" t="s">
        <v>1460</v>
      </c>
      <c r="H858" s="1">
        <v>1004</v>
      </c>
      <c r="I858" s="1" t="s">
        <v>65</v>
      </c>
      <c r="J858" s="1">
        <v>2</v>
      </c>
      <c r="K858" s="1" t="s">
        <v>35</v>
      </c>
      <c r="L858" s="1">
        <v>48</v>
      </c>
      <c r="M858" s="1" t="str">
        <f>IF(L858&lt;=45,"Joven","Mayor")</f>
        <v>Mayor</v>
      </c>
      <c r="N858" s="1">
        <v>65</v>
      </c>
      <c r="O858" s="1" t="s">
        <v>36</v>
      </c>
      <c r="P858" s="1">
        <v>0.39900000000000002</v>
      </c>
      <c r="Q858" s="1">
        <v>88.837000000000003</v>
      </c>
      <c r="R858" s="1">
        <v>5.1127523999999998</v>
      </c>
      <c r="S858" s="1">
        <v>7.3128076000000002</v>
      </c>
      <c r="T858" s="1">
        <v>-3.4757878999999998</v>
      </c>
      <c r="U858" s="1">
        <v>22.204000000000001</v>
      </c>
      <c r="V858" s="1">
        <v>106</v>
      </c>
      <c r="W858" s="1">
        <v>172</v>
      </c>
      <c r="X858" s="1">
        <v>1.6226415094339623</v>
      </c>
      <c r="Y858" s="1">
        <v>107</v>
      </c>
      <c r="Z858" s="1">
        <v>172</v>
      </c>
      <c r="AA858" s="1">
        <v>1.6074766355140186</v>
      </c>
      <c r="AB858" s="1">
        <v>108.7757240980914</v>
      </c>
      <c r="AC858" s="1">
        <v>171.74423398755741</v>
      </c>
      <c r="AD858" s="1">
        <v>1.5788838494210573</v>
      </c>
      <c r="AE858" t="s">
        <v>4817</v>
      </c>
      <c r="AF858" t="str">
        <f>IF(X858&lt;$AF$1,"Bajo","Alto")</f>
        <v>Bajo</v>
      </c>
      <c r="AG858" t="str">
        <f>LEFT(AE858,1)</f>
        <v>C</v>
      </c>
      <c r="AH858" t="str">
        <f>K858</f>
        <v>M</v>
      </c>
      <c r="AI858" t="str">
        <f>LEFT(AF858,1)</f>
        <v>B</v>
      </c>
      <c r="AJ858" t="str">
        <f>LEFT(M858,1)</f>
        <v>M</v>
      </c>
      <c r="AK858" t="str">
        <f>_xlfn.CONCAT(AG858,AH858,AI858,AJ858)</f>
        <v>CMBM</v>
      </c>
    </row>
    <row r="859" spans="1:37" ht="15.75" hidden="1" customHeight="1" x14ac:dyDescent="0.2">
      <c r="A859" s="1">
        <v>154305</v>
      </c>
      <c r="B859" s="1" t="s">
        <v>2077</v>
      </c>
      <c r="C859" s="1" t="s">
        <v>57</v>
      </c>
      <c r="D859" s="1" t="s">
        <v>2457</v>
      </c>
      <c r="E859" s="1" t="s">
        <v>665</v>
      </c>
      <c r="F859" s="1" t="s">
        <v>40</v>
      </c>
      <c r="G859" s="1" t="s">
        <v>2459</v>
      </c>
      <c r="H859" s="1">
        <v>1056</v>
      </c>
      <c r="I859" s="1" t="s">
        <v>65</v>
      </c>
      <c r="J859" s="1">
        <v>2</v>
      </c>
      <c r="K859" s="1" t="s">
        <v>35</v>
      </c>
      <c r="L859" s="1">
        <v>46</v>
      </c>
      <c r="M859" s="1" t="str">
        <f>IF(L859&lt;=45,"Joven","Mayor")</f>
        <v>Mayor</v>
      </c>
      <c r="N859" s="1">
        <v>49</v>
      </c>
      <c r="O859" s="1" t="s">
        <v>36</v>
      </c>
      <c r="P859" s="1">
        <v>0.42199999999999999</v>
      </c>
      <c r="Q859" s="1">
        <v>91.585999999999999</v>
      </c>
      <c r="R859" s="1">
        <v>4.7771879999999998</v>
      </c>
      <c r="S859" s="1">
        <v>0.83644459999999998</v>
      </c>
      <c r="T859" s="1">
        <v>-2.0026592999999999</v>
      </c>
      <c r="U859" s="1">
        <v>1.8520000000000001</v>
      </c>
      <c r="V859" s="1">
        <v>106</v>
      </c>
      <c r="W859" s="1">
        <v>172</v>
      </c>
      <c r="X859" s="1">
        <v>1.6226415094339623</v>
      </c>
      <c r="Y859" s="1">
        <v>107</v>
      </c>
      <c r="Z859" s="1">
        <v>172</v>
      </c>
      <c r="AA859" s="1">
        <v>1.6074766355140186</v>
      </c>
      <c r="AB859" s="1">
        <v>108.4023720974135</v>
      </c>
      <c r="AC859" s="1">
        <v>171.85999757301809</v>
      </c>
      <c r="AD859" s="1">
        <v>1.5853896390623237</v>
      </c>
      <c r="AE859" t="s">
        <v>4817</v>
      </c>
      <c r="AF859" t="str">
        <f>IF(X859&lt;$AF$1,"Bajo","Alto")</f>
        <v>Bajo</v>
      </c>
      <c r="AG859" t="str">
        <f>LEFT(AE859,1)</f>
        <v>C</v>
      </c>
      <c r="AH859" t="str">
        <f>K859</f>
        <v>M</v>
      </c>
      <c r="AI859" t="str">
        <f>LEFT(AF859,1)</f>
        <v>B</v>
      </c>
      <c r="AJ859" t="str">
        <f>LEFT(M859,1)</f>
        <v>M</v>
      </c>
      <c r="AK859" t="str">
        <f>_xlfn.CONCAT(AG859,AH859,AI859,AJ859)</f>
        <v>CMBM</v>
      </c>
    </row>
    <row r="860" spans="1:37" ht="15.75" hidden="1" customHeight="1" x14ac:dyDescent="0.2">
      <c r="A860" s="1">
        <v>540103</v>
      </c>
      <c r="B860" s="1" t="s">
        <v>4677</v>
      </c>
      <c r="C860" s="1" t="s">
        <v>3148</v>
      </c>
      <c r="D860" s="1" t="s">
        <v>4678</v>
      </c>
      <c r="E860" s="1" t="s">
        <v>32</v>
      </c>
      <c r="F860" s="1" t="s">
        <v>63</v>
      </c>
      <c r="G860" s="1" t="s">
        <v>4680</v>
      </c>
      <c r="H860" s="1">
        <v>9937</v>
      </c>
      <c r="I860" s="1" t="s">
        <v>108</v>
      </c>
      <c r="J860" s="1">
        <v>3</v>
      </c>
      <c r="K860" s="1" t="s">
        <v>35</v>
      </c>
      <c r="L860" s="1">
        <v>38</v>
      </c>
      <c r="M860" s="1" t="str">
        <f>IF(L860&lt;=45,"Joven","Mayor")</f>
        <v>Joven</v>
      </c>
      <c r="N860" s="1">
        <v>49</v>
      </c>
      <c r="O860" s="1" t="s">
        <v>36</v>
      </c>
      <c r="P860" s="1">
        <v>8.0250000000000004</v>
      </c>
      <c r="Q860" s="1">
        <v>70.093000000000004</v>
      </c>
      <c r="R860" s="1">
        <v>11.243831999999999</v>
      </c>
      <c r="S860" s="1">
        <v>-4.2967753000000002</v>
      </c>
      <c r="T860" s="1">
        <v>-10.139806999999999</v>
      </c>
      <c r="U860" s="1">
        <v>3.5289999999999999</v>
      </c>
      <c r="V860" s="1">
        <v>113</v>
      </c>
      <c r="W860" s="1">
        <v>217</v>
      </c>
      <c r="X860" s="1">
        <v>1.9203539823008851</v>
      </c>
      <c r="Y860" s="1">
        <v>123</v>
      </c>
      <c r="Z860" s="1">
        <v>217</v>
      </c>
      <c r="AA860" s="1">
        <v>1.7642276422764227</v>
      </c>
      <c r="AB860" s="1">
        <v>121.9741562536806</v>
      </c>
      <c r="AC860" s="1">
        <v>215.19515569639319</v>
      </c>
      <c r="AD860" s="1">
        <v>1.7642684508416069</v>
      </c>
      <c r="AE860" t="s">
        <v>4817</v>
      </c>
      <c r="AF860" t="str">
        <f>IF(X860&lt;$AF$1,"Bajo","Alto")</f>
        <v>Alto</v>
      </c>
      <c r="AG860" t="str">
        <f>LEFT(AE860,1)</f>
        <v>C</v>
      </c>
      <c r="AH860" t="str">
        <f>K860</f>
        <v>M</v>
      </c>
      <c r="AI860" t="str">
        <f>LEFT(AF860,1)</f>
        <v>A</v>
      </c>
      <c r="AJ860" t="str">
        <f>LEFT(M860,1)</f>
        <v>J</v>
      </c>
      <c r="AK860" t="str">
        <f>_xlfn.CONCAT(AG860,AH860,AI860,AJ860)</f>
        <v>CMAJ</v>
      </c>
    </row>
    <row r="861" spans="1:37" ht="15.75" hidden="1" customHeight="1" x14ac:dyDescent="0.2">
      <c r="A861" s="1">
        <v>10113902</v>
      </c>
      <c r="B861" s="1" t="s">
        <v>29</v>
      </c>
      <c r="C861" s="1" t="s">
        <v>30</v>
      </c>
      <c r="D861" s="1" t="s">
        <v>175</v>
      </c>
      <c r="E861" s="1" t="s">
        <v>176</v>
      </c>
      <c r="F861" s="1" t="s">
        <v>37</v>
      </c>
      <c r="G861" s="1" t="s">
        <v>178</v>
      </c>
      <c r="H861" s="1">
        <v>2853</v>
      </c>
      <c r="I861" s="1" t="s">
        <v>108</v>
      </c>
      <c r="J861" s="1">
        <v>3</v>
      </c>
      <c r="K861" s="1" t="s">
        <v>35</v>
      </c>
      <c r="L861" s="1">
        <v>42</v>
      </c>
      <c r="M861" s="1" t="str">
        <f>IF(L861&lt;=45,"Joven","Mayor")</f>
        <v>Joven</v>
      </c>
      <c r="N861" s="1">
        <v>50</v>
      </c>
      <c r="O861" s="1" t="s">
        <v>36</v>
      </c>
      <c r="P861" s="1">
        <v>0.47699999999999998</v>
      </c>
      <c r="Q861" s="1">
        <v>87.730999999999995</v>
      </c>
      <c r="R861" s="1">
        <v>-4.8355575000000002</v>
      </c>
      <c r="S861" s="1">
        <v>9.6201100000000004</v>
      </c>
      <c r="T861" s="1">
        <v>1.2622555</v>
      </c>
      <c r="U861" s="1">
        <v>18.059000000000001</v>
      </c>
      <c r="V861" s="1">
        <v>86</v>
      </c>
      <c r="W861" s="1">
        <v>142</v>
      </c>
      <c r="X861" s="1">
        <v>1.6511627906976745</v>
      </c>
      <c r="Y861" s="1">
        <v>88</v>
      </c>
      <c r="Z861" s="1">
        <v>142</v>
      </c>
      <c r="AA861" s="1">
        <v>1.6136363636363635</v>
      </c>
      <c r="AB861" s="1">
        <v>87.03141025099967</v>
      </c>
      <c r="AC861" s="1">
        <v>141.85539833807209</v>
      </c>
      <c r="AD861" s="1">
        <v>1.6299333531303164</v>
      </c>
      <c r="AE861" t="s">
        <v>4817</v>
      </c>
      <c r="AF861" t="str">
        <f>IF(X861&lt;$AF$1,"Bajo","Alto")</f>
        <v>Bajo</v>
      </c>
      <c r="AG861" t="str">
        <f>LEFT(AE861,1)</f>
        <v>C</v>
      </c>
      <c r="AH861" t="str">
        <f>K861</f>
        <v>M</v>
      </c>
      <c r="AI861" t="str">
        <f>LEFT(AF861,1)</f>
        <v>B</v>
      </c>
      <c r="AJ861" t="str">
        <f>LEFT(M861,1)</f>
        <v>J</v>
      </c>
      <c r="AK861" t="str">
        <f>_xlfn.CONCAT(AG861,AH861,AI861,AJ861)</f>
        <v>CMBJ</v>
      </c>
    </row>
    <row r="862" spans="1:37" ht="15.75" hidden="1" customHeight="1" x14ac:dyDescent="0.2">
      <c r="A862" s="1">
        <v>4648002</v>
      </c>
      <c r="B862" s="1" t="s">
        <v>4382</v>
      </c>
      <c r="C862" s="1" t="s">
        <v>669</v>
      </c>
      <c r="D862" s="1" t="s">
        <v>4399</v>
      </c>
      <c r="E862" s="1" t="s">
        <v>4400</v>
      </c>
      <c r="F862" s="1" t="s">
        <v>37</v>
      </c>
      <c r="G862" s="1" t="s">
        <v>4401</v>
      </c>
      <c r="H862" s="1">
        <v>34</v>
      </c>
      <c r="I862" s="1" t="s">
        <v>65</v>
      </c>
      <c r="J862" s="1">
        <v>2</v>
      </c>
      <c r="K862" s="1" t="s">
        <v>35</v>
      </c>
      <c r="L862" s="1">
        <v>38</v>
      </c>
      <c r="M862" s="1" t="str">
        <f>IF(L862&lt;=45,"Joven","Mayor")</f>
        <v>Joven</v>
      </c>
      <c r="N862" s="1">
        <v>46</v>
      </c>
      <c r="O862" s="1" t="s">
        <v>36</v>
      </c>
      <c r="P862" s="1">
        <v>0.35199999999999998</v>
      </c>
      <c r="Q862" s="1">
        <v>87.33</v>
      </c>
      <c r="R862" s="1">
        <v>-7.1791020000000003</v>
      </c>
      <c r="S862" s="1">
        <v>3.911467</v>
      </c>
      <c r="T862" s="1">
        <v>9.6547210000000003</v>
      </c>
      <c r="U862" s="1">
        <v>8.5389999999999997</v>
      </c>
      <c r="V862" s="1">
        <v>86</v>
      </c>
      <c r="W862" s="1">
        <v>142</v>
      </c>
      <c r="X862" s="1">
        <v>1.6511627906976745</v>
      </c>
      <c r="Y862" s="1">
        <v>95</v>
      </c>
      <c r="Z862" s="1">
        <v>142</v>
      </c>
      <c r="AA862" s="1">
        <v>1.4947368421052631</v>
      </c>
      <c r="AB862" s="1">
        <v>92.664309718236836</v>
      </c>
      <c r="AC862" s="1">
        <v>143.00754287804011</v>
      </c>
      <c r="AD862" s="1">
        <v>1.5432861186025266</v>
      </c>
      <c r="AE862" t="s">
        <v>4817</v>
      </c>
      <c r="AF862" t="str">
        <f>IF(X862&lt;$AF$1,"Bajo","Alto")</f>
        <v>Bajo</v>
      </c>
      <c r="AG862" t="str">
        <f>LEFT(AE862,1)</f>
        <v>C</v>
      </c>
      <c r="AH862" t="str">
        <f>K862</f>
        <v>M</v>
      </c>
      <c r="AI862" t="str">
        <f>LEFT(AF862,1)</f>
        <v>B</v>
      </c>
      <c r="AJ862" t="str">
        <f>LEFT(M862,1)</f>
        <v>J</v>
      </c>
      <c r="AK862" t="str">
        <f>_xlfn.CONCAT(AG862,AH862,AI862,AJ862)</f>
        <v>CMBJ</v>
      </c>
    </row>
    <row r="863" spans="1:37" ht="15.75" hidden="1" customHeight="1" x14ac:dyDescent="0.2">
      <c r="A863" s="1">
        <v>1514502</v>
      </c>
      <c r="B863" s="1" t="s">
        <v>2077</v>
      </c>
      <c r="C863" s="1" t="s">
        <v>57</v>
      </c>
      <c r="D863" s="1" t="s">
        <v>2168</v>
      </c>
      <c r="E863" s="1" t="s">
        <v>193</v>
      </c>
      <c r="F863" s="1" t="s">
        <v>37</v>
      </c>
      <c r="G863" s="1" t="s">
        <v>2169</v>
      </c>
      <c r="H863" s="1">
        <v>40</v>
      </c>
      <c r="I863" s="1" t="s">
        <v>34</v>
      </c>
      <c r="J863" s="1">
        <v>10</v>
      </c>
      <c r="K863" s="1" t="s">
        <v>35</v>
      </c>
      <c r="L863" s="1">
        <v>58</v>
      </c>
      <c r="M863" s="1" t="str">
        <f>IF(L863&lt;=45,"Joven","Mayor")</f>
        <v>Mayor</v>
      </c>
      <c r="N863" s="1">
        <v>63</v>
      </c>
      <c r="O863" s="1" t="s">
        <v>36</v>
      </c>
      <c r="P863" s="1">
        <v>0.34699999999999998</v>
      </c>
      <c r="Q863" s="1">
        <v>91.853999999999999</v>
      </c>
      <c r="R863" s="1">
        <v>3.0519742999999999</v>
      </c>
      <c r="S863" s="1">
        <v>5.5431013</v>
      </c>
      <c r="T863" s="1">
        <v>-0.67036320000000005</v>
      </c>
      <c r="U863" s="1">
        <v>0.47399999999999998</v>
      </c>
      <c r="V863" s="1">
        <v>84</v>
      </c>
      <c r="W863" s="1">
        <v>136</v>
      </c>
      <c r="X863" s="1">
        <v>1.6190476190476191</v>
      </c>
      <c r="Y863" s="1">
        <v>87</v>
      </c>
      <c r="Z863" s="1">
        <v>136</v>
      </c>
      <c r="AA863" s="1">
        <v>1.5632183908045978</v>
      </c>
      <c r="AB863" s="1">
        <v>86.607952630212822</v>
      </c>
      <c r="AC863" s="1">
        <v>136.0257908488079</v>
      </c>
      <c r="AD863" s="1">
        <v>1.5705923846230707</v>
      </c>
      <c r="AE863" t="s">
        <v>4815</v>
      </c>
      <c r="AF863" t="str">
        <f>IF(X863&lt;$AF$1,"Bajo","Alto")</f>
        <v>Bajo</v>
      </c>
      <c r="AG863" t="str">
        <f>LEFT(AE863,1)</f>
        <v>I</v>
      </c>
      <c r="AH863" t="str">
        <f>K863</f>
        <v>M</v>
      </c>
      <c r="AI863" t="str">
        <f>LEFT(AF863,1)</f>
        <v>B</v>
      </c>
      <c r="AJ863" t="str">
        <f>LEFT(M863,1)</f>
        <v>M</v>
      </c>
      <c r="AK863" t="str">
        <f>_xlfn.CONCAT(AG863,AH863,AI863,AJ863)</f>
        <v>IMBM</v>
      </c>
    </row>
    <row r="864" spans="1:37" ht="15.75" hidden="1" customHeight="1" x14ac:dyDescent="0.2">
      <c r="A864" s="1">
        <v>10725903</v>
      </c>
      <c r="B864" s="1" t="s">
        <v>1067</v>
      </c>
      <c r="C864" s="1" t="s">
        <v>1068</v>
      </c>
      <c r="D864" s="1" t="s">
        <v>1301</v>
      </c>
      <c r="E864" s="1" t="s">
        <v>517</v>
      </c>
      <c r="F864" s="1" t="s">
        <v>63</v>
      </c>
      <c r="G864" s="1" t="s">
        <v>1303</v>
      </c>
      <c r="H864" s="1">
        <v>904</v>
      </c>
      <c r="I864" s="1" t="s">
        <v>1304</v>
      </c>
      <c r="J864" s="1">
        <v>3907</v>
      </c>
      <c r="K864" s="1" t="s">
        <v>49</v>
      </c>
      <c r="L864" s="1">
        <v>50</v>
      </c>
      <c r="M864" s="1" t="str">
        <f>IF(L864&lt;=45,"Joven","Mayor")</f>
        <v>Mayor</v>
      </c>
      <c r="N864" s="1">
        <v>58</v>
      </c>
      <c r="O864" s="1" t="s">
        <v>50</v>
      </c>
      <c r="P864" s="1">
        <v>0.39800000000000002</v>
      </c>
      <c r="Q864" s="1">
        <v>94.063999999999993</v>
      </c>
      <c r="R864" s="1">
        <v>-0.90189399999999997</v>
      </c>
      <c r="S864" s="1">
        <v>2.66174</v>
      </c>
      <c r="T864" s="1">
        <v>-0.84545870000000001</v>
      </c>
      <c r="U864" s="1">
        <v>36.228000000000002</v>
      </c>
      <c r="V864" s="1">
        <v>70</v>
      </c>
      <c r="W864" s="1">
        <v>114</v>
      </c>
      <c r="X864" s="1">
        <v>1.6285714285714286</v>
      </c>
      <c r="Y864" s="1">
        <v>70</v>
      </c>
      <c r="Z864" s="1">
        <v>114</v>
      </c>
      <c r="AA864" s="1">
        <v>1.6285714285714286</v>
      </c>
      <c r="AB864" s="1">
        <v>70.464555295656282</v>
      </c>
      <c r="AC864" s="1">
        <v>114.04661101776669</v>
      </c>
      <c r="AD864" s="1">
        <v>1.6184961437597689</v>
      </c>
      <c r="AE864" t="s">
        <v>4817</v>
      </c>
      <c r="AF864" t="str">
        <f>IF(X864&lt;$AF$1,"Bajo","Alto")</f>
        <v>Bajo</v>
      </c>
      <c r="AG864" t="str">
        <f>LEFT(AE864,1)</f>
        <v>C</v>
      </c>
      <c r="AH864" t="str">
        <f>K864</f>
        <v>F</v>
      </c>
      <c r="AI864" t="str">
        <f>LEFT(AF864,1)</f>
        <v>B</v>
      </c>
      <c r="AJ864" t="str">
        <f>LEFT(M864,1)</f>
        <v>M</v>
      </c>
      <c r="AK864" t="str">
        <f>_xlfn.CONCAT(AG864,AH864,AI864,AJ864)</f>
        <v>CFBM</v>
      </c>
    </row>
    <row r="865" spans="1:37" ht="15.75" hidden="1" customHeight="1" x14ac:dyDescent="0.2">
      <c r="A865" s="1">
        <v>254902</v>
      </c>
      <c r="B865" s="1" t="s">
        <v>3169</v>
      </c>
      <c r="C865" s="1" t="s">
        <v>821</v>
      </c>
      <c r="D865" s="1" t="s">
        <v>3259</v>
      </c>
      <c r="E865" s="1" t="s">
        <v>673</v>
      </c>
      <c r="F865" s="1" t="s">
        <v>37</v>
      </c>
      <c r="G865" s="1" t="s">
        <v>3260</v>
      </c>
      <c r="H865" s="1">
        <v>1964</v>
      </c>
      <c r="I865" s="1" t="s">
        <v>3261</v>
      </c>
      <c r="J865" s="1">
        <v>3361</v>
      </c>
      <c r="K865" s="1" t="s">
        <v>35</v>
      </c>
      <c r="L865" s="1">
        <v>33</v>
      </c>
      <c r="M865" s="1" t="str">
        <f>IF(L865&lt;=45,"Joven","Mayor")</f>
        <v>Joven</v>
      </c>
      <c r="N865" s="1">
        <v>37</v>
      </c>
      <c r="O865" s="1" t="s">
        <v>36</v>
      </c>
      <c r="P865" s="1">
        <v>0.35299999999999998</v>
      </c>
      <c r="Q865" s="1">
        <v>88.894000000000005</v>
      </c>
      <c r="R865" s="1">
        <v>4.6052299999999997</v>
      </c>
      <c r="S865" s="1">
        <v>8.3975969999999993</v>
      </c>
      <c r="T865" s="1">
        <v>-3.3976394999999999</v>
      </c>
      <c r="U865" s="1">
        <v>24.596</v>
      </c>
      <c r="V865" s="1">
        <v>109</v>
      </c>
      <c r="W865" s="1">
        <v>180</v>
      </c>
      <c r="X865" s="1">
        <v>1.6513761467889909</v>
      </c>
      <c r="Y865" s="1">
        <v>110</v>
      </c>
      <c r="Z865" s="1">
        <v>180</v>
      </c>
      <c r="AA865" s="1">
        <v>1.6363636363636365</v>
      </c>
      <c r="AB865" s="1">
        <v>111.53460886177029</v>
      </c>
      <c r="AC865" s="1">
        <v>179.50581293117421</v>
      </c>
      <c r="AD865" s="1">
        <v>1.6094180520563226</v>
      </c>
      <c r="AE865" t="s">
        <v>4817</v>
      </c>
      <c r="AF865" t="str">
        <f>IF(X865&lt;$AF$1,"Bajo","Alto")</f>
        <v>Bajo</v>
      </c>
      <c r="AG865" t="str">
        <f>LEFT(AE865,1)</f>
        <v>C</v>
      </c>
      <c r="AH865" t="str">
        <f>K865</f>
        <v>M</v>
      </c>
      <c r="AI865" t="str">
        <f>LEFT(AF865,1)</f>
        <v>B</v>
      </c>
      <c r="AJ865" t="str">
        <f>LEFT(M865,1)</f>
        <v>J</v>
      </c>
      <c r="AK865" t="str">
        <f>_xlfn.CONCAT(AG865,AH865,AI865,AJ865)</f>
        <v>CMBJ</v>
      </c>
    </row>
    <row r="866" spans="1:37" ht="15.75" hidden="1" customHeight="1" x14ac:dyDescent="0.2">
      <c r="A866" s="1">
        <v>1095202</v>
      </c>
      <c r="B866" s="1" t="s">
        <v>719</v>
      </c>
      <c r="C866" s="1" t="s">
        <v>98</v>
      </c>
      <c r="D866" s="1" t="s">
        <v>1615</v>
      </c>
      <c r="E866" s="1" t="s">
        <v>685</v>
      </c>
      <c r="F866" s="1" t="s">
        <v>37</v>
      </c>
      <c r="G866" s="1" t="s">
        <v>1616</v>
      </c>
      <c r="H866" s="1">
        <v>251</v>
      </c>
      <c r="I866" s="1" t="s">
        <v>39</v>
      </c>
      <c r="J866" s="1">
        <v>11</v>
      </c>
      <c r="K866" s="1" t="s">
        <v>49</v>
      </c>
      <c r="L866" s="1">
        <v>62</v>
      </c>
      <c r="M866" s="1" t="str">
        <f>IF(L866&lt;=45,"Joven","Mayor")</f>
        <v>Mayor</v>
      </c>
      <c r="N866" s="1">
        <v>73</v>
      </c>
      <c r="O866" s="1" t="s">
        <v>50</v>
      </c>
      <c r="P866" s="1">
        <v>0.35799999999999998</v>
      </c>
      <c r="Q866" s="1">
        <v>92.414000000000001</v>
      </c>
      <c r="R866" s="1">
        <v>-3.8501563000000001</v>
      </c>
      <c r="S866" s="1">
        <v>-1.1455712</v>
      </c>
      <c r="T866" s="1">
        <v>2.1184702</v>
      </c>
      <c r="U866" s="1">
        <v>12.846</v>
      </c>
      <c r="V866" s="1">
        <v>101</v>
      </c>
      <c r="W866" s="1">
        <v>161</v>
      </c>
      <c r="X866" s="1">
        <v>1.5940594059405941</v>
      </c>
      <c r="Y866" s="1">
        <v>108</v>
      </c>
      <c r="Z866" s="1">
        <v>161</v>
      </c>
      <c r="AA866" s="1">
        <v>1.4907407407407407</v>
      </c>
      <c r="AB866" s="1">
        <v>106.48451676312629</v>
      </c>
      <c r="AC866" s="1">
        <v>161.18568804600449</v>
      </c>
      <c r="AD866" s="1">
        <v>1.513700704531161</v>
      </c>
      <c r="AE866" t="s">
        <v>4816</v>
      </c>
      <c r="AF866" t="str">
        <f>IF(X866&lt;$AF$1,"Bajo","Alto")</f>
        <v>Bajo</v>
      </c>
      <c r="AG866" t="str">
        <f>LEFT(AE866,1)</f>
        <v>D</v>
      </c>
      <c r="AH866" t="str">
        <f>K866</f>
        <v>F</v>
      </c>
      <c r="AI866" t="str">
        <f>LEFT(AF866,1)</f>
        <v>B</v>
      </c>
      <c r="AJ866" t="str">
        <f>LEFT(M866,1)</f>
        <v>M</v>
      </c>
      <c r="AK866" t="str">
        <f>_xlfn.CONCAT(AG866,AH866,AI866,AJ866)</f>
        <v>DFBM</v>
      </c>
    </row>
    <row r="867" spans="1:37" ht="15.75" hidden="1" customHeight="1" x14ac:dyDescent="0.2">
      <c r="A867" s="1">
        <v>524604</v>
      </c>
      <c r="B867" s="1" t="s">
        <v>4529</v>
      </c>
      <c r="C867" s="1" t="s">
        <v>685</v>
      </c>
      <c r="D867" s="1" t="s">
        <v>4626</v>
      </c>
      <c r="E867" s="1" t="s">
        <v>669</v>
      </c>
      <c r="F867" s="1" t="s">
        <v>61</v>
      </c>
      <c r="G867" s="1" t="s">
        <v>4630</v>
      </c>
      <c r="H867" s="1">
        <v>518</v>
      </c>
      <c r="I867" s="1" t="s">
        <v>4631</v>
      </c>
      <c r="J867" s="1">
        <v>2907</v>
      </c>
      <c r="K867" s="1" t="s">
        <v>35</v>
      </c>
      <c r="L867" s="1">
        <v>39</v>
      </c>
      <c r="M867" s="1" t="str">
        <f>IF(L867&lt;=45,"Joven","Mayor")</f>
        <v>Joven</v>
      </c>
      <c r="N867" s="1">
        <v>42</v>
      </c>
      <c r="O867" s="1" t="s">
        <v>36</v>
      </c>
      <c r="P867" s="1">
        <v>0.33300000000000002</v>
      </c>
      <c r="Q867" s="1">
        <v>52.417000000000002</v>
      </c>
      <c r="R867" s="1">
        <v>15.453136000000001</v>
      </c>
      <c r="S867" s="1">
        <v>4.1265710000000002</v>
      </c>
      <c r="T867" s="1">
        <v>-8.8121989999999997</v>
      </c>
      <c r="U867" s="1">
        <v>43.457999999999998</v>
      </c>
      <c r="V867" s="1">
        <v>100</v>
      </c>
      <c r="W867" s="1">
        <v>192</v>
      </c>
      <c r="X867" s="1">
        <v>1.92</v>
      </c>
      <c r="Y867" s="1">
        <v>113</v>
      </c>
      <c r="Z867" s="1">
        <v>192</v>
      </c>
      <c r="AA867" s="1">
        <v>1.6991150442477876</v>
      </c>
      <c r="AB867" s="1">
        <v>107.55176427636179</v>
      </c>
      <c r="AC867" s="1">
        <v>191.57194586266809</v>
      </c>
      <c r="AD867" s="1">
        <v>1.7812069114032434</v>
      </c>
      <c r="AE867" t="s">
        <v>4817</v>
      </c>
      <c r="AF867" t="str">
        <f>IF(X867&lt;$AF$1,"Bajo","Alto")</f>
        <v>Alto</v>
      </c>
      <c r="AG867" t="str">
        <f>LEFT(AE867,1)</f>
        <v>C</v>
      </c>
      <c r="AH867" t="str">
        <f>K867</f>
        <v>M</v>
      </c>
      <c r="AI867" t="str">
        <f>LEFT(AF867,1)</f>
        <v>A</v>
      </c>
      <c r="AJ867" t="str">
        <f>LEFT(M867,1)</f>
        <v>J</v>
      </c>
      <c r="AK867" t="str">
        <f>_xlfn.CONCAT(AG867,AH867,AI867,AJ867)</f>
        <v>CMAJ</v>
      </c>
    </row>
    <row r="868" spans="1:37" ht="15.75" hidden="1" customHeight="1" x14ac:dyDescent="0.2">
      <c r="A868" s="1">
        <v>440403</v>
      </c>
      <c r="B868" s="1" t="s">
        <v>4314</v>
      </c>
      <c r="C868" s="1" t="s">
        <v>995</v>
      </c>
      <c r="D868" s="1" t="s">
        <v>4329</v>
      </c>
      <c r="E868" s="1" t="s">
        <v>61</v>
      </c>
      <c r="F868" s="1" t="s">
        <v>63</v>
      </c>
      <c r="G868" s="1" t="s">
        <v>4331</v>
      </c>
      <c r="H868" s="1">
        <v>88</v>
      </c>
      <c r="I868" s="1" t="s">
        <v>85</v>
      </c>
      <c r="J868" s="1">
        <v>12</v>
      </c>
      <c r="K868" s="1" t="s">
        <v>35</v>
      </c>
      <c r="L868" s="1">
        <v>70</v>
      </c>
      <c r="M868" s="1" t="str">
        <f>IF(L868&lt;=45,"Joven","Mayor")</f>
        <v>Mayor</v>
      </c>
      <c r="N868" s="1">
        <v>68</v>
      </c>
      <c r="O868" s="1" t="s">
        <v>36</v>
      </c>
      <c r="P868" s="1">
        <v>3.2000000000000001E-2</v>
      </c>
      <c r="Q868" s="1">
        <v>92.233999999999995</v>
      </c>
      <c r="R868" s="1">
        <v>-2.8638572999999998</v>
      </c>
      <c r="S868" s="1">
        <v>5.1622877000000003</v>
      </c>
      <c r="T868" s="1">
        <v>6.3746394999999998</v>
      </c>
      <c r="U868" s="1">
        <v>4.6159999999999997</v>
      </c>
      <c r="V868" s="1">
        <v>93</v>
      </c>
      <c r="W868" s="1">
        <v>151</v>
      </c>
      <c r="X868" s="1">
        <v>1.6236559139784945</v>
      </c>
      <c r="Y868" s="1">
        <v>100</v>
      </c>
      <c r="Z868" s="1">
        <v>151</v>
      </c>
      <c r="AA868" s="1">
        <v>1.51</v>
      </c>
      <c r="AB868" s="1">
        <v>97.310274385523144</v>
      </c>
      <c r="AC868" s="1">
        <v>150.5105074820103</v>
      </c>
      <c r="AD868" s="1">
        <v>1.5467072560675232</v>
      </c>
      <c r="AE868" t="s">
        <v>4815</v>
      </c>
      <c r="AF868" t="str">
        <f>IF(X868&lt;$AF$1,"Bajo","Alto")</f>
        <v>Bajo</v>
      </c>
      <c r="AG868" t="str">
        <f>LEFT(AE868,1)</f>
        <v>I</v>
      </c>
      <c r="AH868" t="str">
        <f>K868</f>
        <v>M</v>
      </c>
      <c r="AI868" t="str">
        <f>LEFT(AF868,1)</f>
        <v>B</v>
      </c>
      <c r="AJ868" t="str">
        <f>LEFT(M868,1)</f>
        <v>M</v>
      </c>
      <c r="AK868" t="str">
        <f>_xlfn.CONCAT(AG868,AH868,AI868,AJ868)</f>
        <v>IMBM</v>
      </c>
    </row>
    <row r="869" spans="1:37" ht="15.75" hidden="1" customHeight="1" x14ac:dyDescent="0.2">
      <c r="A869" s="1">
        <v>282001</v>
      </c>
      <c r="B869" s="1" t="s">
        <v>1775</v>
      </c>
      <c r="C869" s="1" t="s">
        <v>561</v>
      </c>
      <c r="D869" s="1" t="s">
        <v>3809</v>
      </c>
      <c r="E869" s="1" t="s">
        <v>1983</v>
      </c>
      <c r="F869" s="1" t="s">
        <v>32</v>
      </c>
      <c r="G869" s="1" t="s">
        <v>3810</v>
      </c>
      <c r="H869" s="1">
        <v>998</v>
      </c>
      <c r="I869" s="1" t="s">
        <v>100</v>
      </c>
      <c r="J869" s="1">
        <v>1</v>
      </c>
      <c r="K869" s="1" t="s">
        <v>35</v>
      </c>
      <c r="L869" s="1">
        <v>58</v>
      </c>
      <c r="M869" s="1" t="str">
        <f>IF(L869&lt;=45,"Joven","Mayor")</f>
        <v>Mayor</v>
      </c>
      <c r="N869" s="1">
        <v>55</v>
      </c>
      <c r="O869" s="1" t="s">
        <v>36</v>
      </c>
      <c r="P869" s="1">
        <v>0.23899999999999999</v>
      </c>
      <c r="Q869" s="1">
        <v>91.302999999999997</v>
      </c>
      <c r="R869" s="1">
        <v>4.9928780000000001</v>
      </c>
      <c r="S869" s="1">
        <v>1.3151717000000001</v>
      </c>
      <c r="T869" s="1">
        <v>-9.5114975000000008</v>
      </c>
      <c r="U869" s="1">
        <v>3.5179999999999998</v>
      </c>
      <c r="V869" s="1">
        <v>106</v>
      </c>
      <c r="W869" s="1">
        <v>172</v>
      </c>
      <c r="X869" s="1">
        <v>1.6226415094339623</v>
      </c>
      <c r="Y869" s="1">
        <v>110</v>
      </c>
      <c r="Z869" s="1">
        <v>172</v>
      </c>
      <c r="AA869" s="1">
        <v>1.5636363636363637</v>
      </c>
      <c r="AB869" s="1">
        <v>112.1440548471855</v>
      </c>
      <c r="AC869" s="1">
        <v>171.2878786100778</v>
      </c>
      <c r="AD869" s="1">
        <v>1.5273915219445682</v>
      </c>
      <c r="AE869" t="s">
        <v>4817</v>
      </c>
      <c r="AF869" t="str">
        <f>IF(X869&lt;$AF$1,"Bajo","Alto")</f>
        <v>Bajo</v>
      </c>
      <c r="AG869" t="str">
        <f>LEFT(AE869,1)</f>
        <v>C</v>
      </c>
      <c r="AH869" t="str">
        <f>K869</f>
        <v>M</v>
      </c>
      <c r="AI869" t="str">
        <f>LEFT(AF869,1)</f>
        <v>B</v>
      </c>
      <c r="AJ869" t="str">
        <f>LEFT(M869,1)</f>
        <v>M</v>
      </c>
      <c r="AK869" t="str">
        <f>_xlfn.CONCAT(AG869,AH869,AI869,AJ869)</f>
        <v>CMBM</v>
      </c>
    </row>
    <row r="870" spans="1:37" ht="15.75" hidden="1" customHeight="1" x14ac:dyDescent="0.2">
      <c r="A870" s="1">
        <v>10122901</v>
      </c>
      <c r="B870" s="1" t="s">
        <v>29</v>
      </c>
      <c r="C870" s="1" t="s">
        <v>30</v>
      </c>
      <c r="D870" s="1" t="s">
        <v>442</v>
      </c>
      <c r="E870" s="1" t="s">
        <v>443</v>
      </c>
      <c r="F870" s="1" t="s">
        <v>32</v>
      </c>
      <c r="G870" s="1" t="s">
        <v>444</v>
      </c>
      <c r="H870" s="1">
        <v>2793</v>
      </c>
      <c r="I870" s="1" t="s">
        <v>39</v>
      </c>
      <c r="J870" s="1">
        <v>11</v>
      </c>
      <c r="K870" s="1" t="s">
        <v>35</v>
      </c>
      <c r="L870" s="1">
        <v>55</v>
      </c>
      <c r="M870" s="1" t="str">
        <f>IF(L870&lt;=45,"Joven","Mayor")</f>
        <v>Mayor</v>
      </c>
      <c r="N870" s="1">
        <v>57</v>
      </c>
      <c r="O870" s="1" t="s">
        <v>36</v>
      </c>
      <c r="P870" s="1">
        <v>6.6000000000000003E-2</v>
      </c>
      <c r="Q870" s="1">
        <v>24.129000000000001</v>
      </c>
      <c r="R870" s="1">
        <v>18.337109999999999</v>
      </c>
      <c r="S870" s="1">
        <v>-11.429838</v>
      </c>
      <c r="T870" s="1">
        <v>-3.5458772000000001</v>
      </c>
      <c r="U870" s="1">
        <v>25.481999999999999</v>
      </c>
      <c r="V870" s="1">
        <v>84</v>
      </c>
      <c r="W870" s="1">
        <v>161</v>
      </c>
      <c r="X870" s="1">
        <v>1.9166666666666667</v>
      </c>
      <c r="Y870" s="1">
        <v>94</v>
      </c>
      <c r="Z870" s="1">
        <v>161</v>
      </c>
      <c r="AA870" s="1">
        <v>1.7127659574468086</v>
      </c>
      <c r="AB870" s="1">
        <v>91.655375350292616</v>
      </c>
      <c r="AC870" s="1">
        <v>161.00101969214171</v>
      </c>
      <c r="AD870" s="1">
        <v>1.7565911336549636</v>
      </c>
      <c r="AE870" t="s">
        <v>4816</v>
      </c>
      <c r="AF870" t="str">
        <f>IF(X870&lt;$AF$1,"Bajo","Alto")</f>
        <v>Alto</v>
      </c>
      <c r="AG870" t="str">
        <f>LEFT(AE870,1)</f>
        <v>D</v>
      </c>
      <c r="AH870" t="str">
        <f>K870</f>
        <v>M</v>
      </c>
      <c r="AI870" t="str">
        <f>LEFT(AF870,1)</f>
        <v>A</v>
      </c>
      <c r="AJ870" t="str">
        <f>LEFT(M870,1)</f>
        <v>M</v>
      </c>
      <c r="AK870" t="str">
        <f>_xlfn.CONCAT(AG870,AH870,AI870,AJ870)</f>
        <v>DMAM</v>
      </c>
    </row>
    <row r="871" spans="1:37" ht="15.75" hidden="1" customHeight="1" x14ac:dyDescent="0.2">
      <c r="A871" s="1">
        <v>311602</v>
      </c>
      <c r="B871" s="1" t="s">
        <v>4122</v>
      </c>
      <c r="C871" s="1" t="s">
        <v>628</v>
      </c>
      <c r="D871" s="1" t="s">
        <v>694</v>
      </c>
      <c r="E871" s="1" t="s">
        <v>244</v>
      </c>
      <c r="F871" s="1" t="s">
        <v>37</v>
      </c>
      <c r="G871" s="1" t="s">
        <v>4175</v>
      </c>
      <c r="H871" s="1">
        <v>3903</v>
      </c>
      <c r="I871" s="1" t="s">
        <v>134</v>
      </c>
      <c r="J871" s="1">
        <v>8</v>
      </c>
      <c r="K871" s="1" t="s">
        <v>35</v>
      </c>
      <c r="L871" s="1">
        <v>53</v>
      </c>
      <c r="M871" s="1" t="str">
        <f>IF(L871&lt;=45,"Joven","Mayor")</f>
        <v>Mayor</v>
      </c>
      <c r="N871" s="1">
        <v>63</v>
      </c>
      <c r="O871" s="1" t="s">
        <v>36</v>
      </c>
      <c r="P871" s="1">
        <v>0.34300000000000003</v>
      </c>
      <c r="Q871" s="1">
        <v>91.814999999999998</v>
      </c>
      <c r="R871" s="1">
        <v>-2.6933440000000002</v>
      </c>
      <c r="S871" s="1">
        <v>6.4409738000000001</v>
      </c>
      <c r="T871" s="1">
        <v>5.6472239999999996</v>
      </c>
      <c r="U871" s="1">
        <v>1.972</v>
      </c>
      <c r="V871" s="1">
        <v>112</v>
      </c>
      <c r="W871" s="1">
        <v>214</v>
      </c>
      <c r="X871" s="1">
        <v>1.9107142857142858</v>
      </c>
      <c r="Y871" s="1">
        <v>118</v>
      </c>
      <c r="Z871" s="1">
        <v>214</v>
      </c>
      <c r="AA871" s="1">
        <v>1.8135593220338984</v>
      </c>
      <c r="AB871" s="1">
        <v>116.7701928121985</v>
      </c>
      <c r="AC871" s="1">
        <v>212.8629762565015</v>
      </c>
      <c r="AD871" s="1">
        <v>1.8229221955542114</v>
      </c>
      <c r="AE871" t="s">
        <v>4817</v>
      </c>
      <c r="AF871" t="str">
        <f>IF(X871&lt;$AF$1,"Bajo","Alto")</f>
        <v>Alto</v>
      </c>
      <c r="AG871" t="str">
        <f>LEFT(AE871,1)</f>
        <v>C</v>
      </c>
      <c r="AH871" t="str">
        <f>K871</f>
        <v>M</v>
      </c>
      <c r="AI871" t="str">
        <f>LEFT(AF871,1)</f>
        <v>A</v>
      </c>
      <c r="AJ871" t="str">
        <f>LEFT(M871,1)</f>
        <v>M</v>
      </c>
      <c r="AK871" t="str">
        <f>_xlfn.CONCAT(AG871,AH871,AI871,AJ871)</f>
        <v>CMAM</v>
      </c>
    </row>
    <row r="872" spans="1:37" ht="15.75" hidden="1" customHeight="1" x14ac:dyDescent="0.2">
      <c r="A872" s="1">
        <v>642803</v>
      </c>
      <c r="B872" s="1" t="s">
        <v>4718</v>
      </c>
      <c r="C872" s="1" t="s">
        <v>710</v>
      </c>
      <c r="D872" s="1" t="s">
        <v>4775</v>
      </c>
      <c r="E872" s="1" t="s">
        <v>561</v>
      </c>
      <c r="F872" s="1" t="s">
        <v>63</v>
      </c>
      <c r="G872" s="1" t="s">
        <v>4777</v>
      </c>
      <c r="H872" s="1">
        <v>248</v>
      </c>
      <c r="I872" s="1" t="s">
        <v>108</v>
      </c>
      <c r="J872" s="1">
        <v>3</v>
      </c>
      <c r="K872" s="1" t="s">
        <v>35</v>
      </c>
      <c r="L872" s="1">
        <v>48</v>
      </c>
      <c r="M872" s="1" t="str">
        <f>IF(L872&lt;=45,"Joven","Mayor")</f>
        <v>Mayor</v>
      </c>
      <c r="N872" s="1">
        <v>53</v>
      </c>
      <c r="O872" s="1" t="s">
        <v>36</v>
      </c>
      <c r="P872" s="1">
        <v>0.371</v>
      </c>
      <c r="Q872" s="1">
        <v>93.194000000000003</v>
      </c>
      <c r="R872" s="1">
        <v>2.6781967</v>
      </c>
      <c r="S872" s="1">
        <v>1.7556590999999999</v>
      </c>
      <c r="T872" s="1">
        <v>-3.1529522000000001</v>
      </c>
      <c r="U872" s="1">
        <v>2.4670000000000001</v>
      </c>
      <c r="V872" s="1">
        <v>106</v>
      </c>
      <c r="W872" s="1">
        <v>172</v>
      </c>
      <c r="X872" s="1">
        <v>1.6226415094339623</v>
      </c>
      <c r="Y872" s="1">
        <v>108</v>
      </c>
      <c r="Z872" s="1">
        <v>172</v>
      </c>
      <c r="AA872" s="1">
        <v>1.5925925925925926</v>
      </c>
      <c r="AB872" s="1">
        <v>110.20158658340119</v>
      </c>
      <c r="AC872" s="1">
        <v>171.57463265997239</v>
      </c>
      <c r="AD872" s="1">
        <v>1.5569161749783313</v>
      </c>
      <c r="AE872" t="s">
        <v>4817</v>
      </c>
      <c r="AF872" t="str">
        <f>IF(X872&lt;$AF$1,"Bajo","Alto")</f>
        <v>Bajo</v>
      </c>
      <c r="AG872" t="str">
        <f>LEFT(AE872,1)</f>
        <v>C</v>
      </c>
      <c r="AH872" t="str">
        <f>K872</f>
        <v>M</v>
      </c>
      <c r="AI872" t="str">
        <f>LEFT(AF872,1)</f>
        <v>B</v>
      </c>
      <c r="AJ872" t="str">
        <f>LEFT(M872,1)</f>
        <v>M</v>
      </c>
      <c r="AK872" t="str">
        <f>_xlfn.CONCAT(AG872,AH872,AI872,AJ872)</f>
        <v>CMBM</v>
      </c>
    </row>
    <row r="873" spans="1:37" ht="15.75" hidden="1" customHeight="1" x14ac:dyDescent="0.2">
      <c r="A873" s="1">
        <v>1282501</v>
      </c>
      <c r="B873" s="1" t="s">
        <v>1798</v>
      </c>
      <c r="C873" s="1" t="s">
        <v>54</v>
      </c>
      <c r="D873" s="1" t="s">
        <v>1925</v>
      </c>
      <c r="E873" s="1" t="s">
        <v>1926</v>
      </c>
      <c r="F873" s="1" t="s">
        <v>32</v>
      </c>
      <c r="G873" s="1" t="s">
        <v>1927</v>
      </c>
      <c r="H873" s="1">
        <v>880</v>
      </c>
      <c r="I873" s="1" t="s">
        <v>39</v>
      </c>
      <c r="J873" s="1">
        <v>11</v>
      </c>
      <c r="K873" s="1" t="s">
        <v>49</v>
      </c>
      <c r="L873" s="1">
        <v>33</v>
      </c>
      <c r="M873" s="1" t="str">
        <f>IF(L873&lt;=45,"Joven","Mayor")</f>
        <v>Joven</v>
      </c>
      <c r="N873" s="1">
        <v>22</v>
      </c>
      <c r="O873" s="1" t="s">
        <v>50</v>
      </c>
      <c r="P873" s="1">
        <v>6.3E-2</v>
      </c>
      <c r="Q873" s="1">
        <v>93.668000000000006</v>
      </c>
      <c r="R873" s="1">
        <v>2.2238652999999999</v>
      </c>
      <c r="S873" s="1">
        <v>1.2792304000000001</v>
      </c>
      <c r="T873" s="1">
        <v>-7.7207890000000001E-2</v>
      </c>
      <c r="U873" s="1">
        <v>17.170000000000002</v>
      </c>
      <c r="V873" s="1">
        <v>117</v>
      </c>
      <c r="W873" s="1">
        <v>186</v>
      </c>
      <c r="X873" s="1">
        <v>1.5897435897435896</v>
      </c>
      <c r="Y873" s="1">
        <v>119</v>
      </c>
      <c r="Z873" s="1">
        <v>186</v>
      </c>
      <c r="AA873" s="1">
        <v>1.5630252100840336</v>
      </c>
      <c r="AB873" s="1">
        <v>118.9298203203834</v>
      </c>
      <c r="AC873" s="1">
        <v>186.0052212526266</v>
      </c>
      <c r="AD873" s="1">
        <v>1.5639914426133807</v>
      </c>
      <c r="AE873" t="s">
        <v>4816</v>
      </c>
      <c r="AF873" t="str">
        <f>IF(X873&lt;$AF$1,"Bajo","Alto")</f>
        <v>Bajo</v>
      </c>
      <c r="AG873" t="str">
        <f>LEFT(AE873,1)</f>
        <v>D</v>
      </c>
      <c r="AH873" t="str">
        <f>K873</f>
        <v>F</v>
      </c>
      <c r="AI873" t="str">
        <f>LEFT(AF873,1)</f>
        <v>B</v>
      </c>
      <c r="AJ873" t="str">
        <f>LEFT(M873,1)</f>
        <v>J</v>
      </c>
      <c r="AK873" t="str">
        <f>_xlfn.CONCAT(AG873,AH873,AI873,AJ873)</f>
        <v>DFBJ</v>
      </c>
    </row>
    <row r="874" spans="1:37" ht="15.75" hidden="1" customHeight="1" x14ac:dyDescent="0.2">
      <c r="A874" s="1">
        <v>132701</v>
      </c>
      <c r="B874" s="1" t="s">
        <v>956</v>
      </c>
      <c r="C874" s="1" t="s">
        <v>163</v>
      </c>
      <c r="D874" s="1" t="s">
        <v>2001</v>
      </c>
      <c r="E874" s="1" t="s">
        <v>973</v>
      </c>
      <c r="F874" s="1" t="s">
        <v>32</v>
      </c>
      <c r="G874" s="1" t="s">
        <v>2002</v>
      </c>
      <c r="H874" s="1">
        <v>6431</v>
      </c>
      <c r="I874" s="1" t="s">
        <v>100</v>
      </c>
      <c r="J874" s="1">
        <v>1</v>
      </c>
      <c r="K874" s="1" t="s">
        <v>35</v>
      </c>
      <c r="L874" s="1">
        <v>35</v>
      </c>
      <c r="M874" s="1" t="str">
        <f>IF(L874&lt;=45,"Joven","Mayor")</f>
        <v>Joven</v>
      </c>
      <c r="N874" s="1">
        <v>39</v>
      </c>
      <c r="O874" s="1" t="s">
        <v>36</v>
      </c>
      <c r="P874" s="1">
        <v>0.36</v>
      </c>
      <c r="Q874" s="1">
        <v>92.347999999999999</v>
      </c>
      <c r="R874" s="1">
        <v>3.950475</v>
      </c>
      <c r="S874" s="1">
        <v>1.0415894000000001</v>
      </c>
      <c r="T874" s="1">
        <v>-1.2834315000000001</v>
      </c>
      <c r="U874" s="1">
        <v>1.7689999999999999</v>
      </c>
      <c r="V874" s="1">
        <v>66</v>
      </c>
      <c r="W874" s="1">
        <v>109</v>
      </c>
      <c r="X874" s="1">
        <v>1.6515151515151516</v>
      </c>
      <c r="Y874" s="1">
        <v>66</v>
      </c>
      <c r="Z874" s="1">
        <v>109</v>
      </c>
      <c r="AA874" s="1">
        <v>1.6515151515151516</v>
      </c>
      <c r="AB874" s="1">
        <v>66.565796493260905</v>
      </c>
      <c r="AC874" s="1">
        <v>108.92785850172</v>
      </c>
      <c r="AD874" s="1">
        <v>1.6363938274628445</v>
      </c>
      <c r="AE874" t="s">
        <v>4817</v>
      </c>
      <c r="AF874" t="str">
        <f>IF(X874&lt;$AF$1,"Bajo","Alto")</f>
        <v>Bajo</v>
      </c>
      <c r="AG874" t="str">
        <f>LEFT(AE874,1)</f>
        <v>C</v>
      </c>
      <c r="AH874" t="str">
        <f>K874</f>
        <v>M</v>
      </c>
      <c r="AI874" t="str">
        <f>LEFT(AF874,1)</f>
        <v>B</v>
      </c>
      <c r="AJ874" t="str">
        <f>LEFT(M874,1)</f>
        <v>J</v>
      </c>
      <c r="AK874" t="str">
        <f>_xlfn.CONCAT(AG874,AH874,AI874,AJ874)</f>
        <v>CMBJ</v>
      </c>
    </row>
    <row r="875" spans="1:37" ht="15.75" hidden="1" customHeight="1" x14ac:dyDescent="0.2">
      <c r="A875" s="1">
        <v>282004</v>
      </c>
      <c r="B875" s="1" t="s">
        <v>1775</v>
      </c>
      <c r="C875" s="1" t="s">
        <v>561</v>
      </c>
      <c r="D875" s="1" t="s">
        <v>3809</v>
      </c>
      <c r="E875" s="1" t="s">
        <v>1983</v>
      </c>
      <c r="F875" s="1" t="s">
        <v>61</v>
      </c>
      <c r="G875" s="1" t="s">
        <v>3813</v>
      </c>
      <c r="H875" s="1">
        <v>7</v>
      </c>
      <c r="I875" s="1" t="s">
        <v>294</v>
      </c>
      <c r="J875" s="1">
        <v>16</v>
      </c>
      <c r="K875" s="1" t="s">
        <v>35</v>
      </c>
      <c r="L875" s="1">
        <v>62</v>
      </c>
      <c r="M875" s="1" t="str">
        <f>IF(L875&lt;=45,"Joven","Mayor")</f>
        <v>Mayor</v>
      </c>
      <c r="N875" s="1">
        <v>52</v>
      </c>
      <c r="O875" s="1" t="s">
        <v>36</v>
      </c>
      <c r="P875" s="1">
        <v>0.34799999999999998</v>
      </c>
      <c r="Q875" s="1">
        <v>91.994</v>
      </c>
      <c r="R875" s="1">
        <v>-1.6555636</v>
      </c>
      <c r="S875" s="1">
        <v>7.9131226999999997</v>
      </c>
      <c r="T875" s="1">
        <v>0.24535234</v>
      </c>
      <c r="U875" s="1">
        <v>2.5739999999999998</v>
      </c>
      <c r="V875" s="1">
        <v>93</v>
      </c>
      <c r="W875" s="1">
        <v>151</v>
      </c>
      <c r="X875" s="1">
        <v>1.6236559139784945</v>
      </c>
      <c r="Y875" s="1">
        <v>97</v>
      </c>
      <c r="Z875" s="1">
        <v>151</v>
      </c>
      <c r="AA875" s="1">
        <v>1.5567010309278351</v>
      </c>
      <c r="AB875" s="1">
        <v>96.827822919887922</v>
      </c>
      <c r="AC875" s="1">
        <v>151.02002650211671</v>
      </c>
      <c r="AD875" s="1">
        <v>1.5596759479665838</v>
      </c>
      <c r="AE875" t="s">
        <v>4817</v>
      </c>
      <c r="AF875" t="str">
        <f>IF(X875&lt;$AF$1,"Bajo","Alto")</f>
        <v>Bajo</v>
      </c>
      <c r="AG875" t="str">
        <f>LEFT(AE875,1)</f>
        <v>C</v>
      </c>
      <c r="AH875" t="str">
        <f>K875</f>
        <v>M</v>
      </c>
      <c r="AI875" t="str">
        <f>LEFT(AF875,1)</f>
        <v>B</v>
      </c>
      <c r="AJ875" t="str">
        <f>LEFT(M875,1)</f>
        <v>M</v>
      </c>
      <c r="AK875" t="str">
        <f>_xlfn.CONCAT(AG875,AH875,AI875,AJ875)</f>
        <v>CMBM</v>
      </c>
    </row>
    <row r="876" spans="1:37" ht="15.75" hidden="1" customHeight="1" x14ac:dyDescent="0.2">
      <c r="A876" s="1">
        <v>1058204</v>
      </c>
      <c r="B876" s="1" t="s">
        <v>694</v>
      </c>
      <c r="C876" s="1" t="s">
        <v>879</v>
      </c>
      <c r="D876" s="1" t="s">
        <v>1041</v>
      </c>
      <c r="E876" s="1" t="s">
        <v>752</v>
      </c>
      <c r="F876" s="1" t="s">
        <v>61</v>
      </c>
      <c r="G876" s="1" t="s">
        <v>1043</v>
      </c>
      <c r="H876" s="1">
        <v>1689</v>
      </c>
      <c r="I876" s="1" t="s">
        <v>91</v>
      </c>
      <c r="J876" s="1">
        <v>6</v>
      </c>
      <c r="K876" s="1" t="s">
        <v>35</v>
      </c>
      <c r="L876" s="1">
        <v>37</v>
      </c>
      <c r="M876" s="1" t="str">
        <f>IF(L876&lt;=45,"Joven","Mayor")</f>
        <v>Joven</v>
      </c>
      <c r="N876" s="1">
        <v>46</v>
      </c>
      <c r="O876" s="1" t="s">
        <v>36</v>
      </c>
      <c r="P876" s="1">
        <v>0.35599999999999998</v>
      </c>
      <c r="Q876" s="1">
        <v>90.37</v>
      </c>
      <c r="R876" s="1">
        <v>4.7101850000000001</v>
      </c>
      <c r="S876" s="1">
        <v>-5.1345134000000003</v>
      </c>
      <c r="T876" s="1">
        <v>-3.6454358</v>
      </c>
      <c r="U876" s="1">
        <v>0.32</v>
      </c>
      <c r="V876" s="1">
        <v>89</v>
      </c>
      <c r="W876" s="1">
        <v>147</v>
      </c>
      <c r="X876" s="1">
        <v>1.651685393258427</v>
      </c>
      <c r="Y876" s="1">
        <v>90</v>
      </c>
      <c r="Z876" s="1">
        <v>147</v>
      </c>
      <c r="AA876" s="1">
        <v>1.6333333333333333</v>
      </c>
      <c r="AB876" s="1">
        <v>91.045287183098935</v>
      </c>
      <c r="AC876" s="1">
        <v>146.57539947821209</v>
      </c>
      <c r="AD876" s="1">
        <v>1.6099174818729267</v>
      </c>
      <c r="AE876" t="s">
        <v>4817</v>
      </c>
      <c r="AF876" t="str">
        <f>IF(X876&lt;$AF$1,"Bajo","Alto")</f>
        <v>Bajo</v>
      </c>
      <c r="AG876" t="str">
        <f>LEFT(AE876,1)</f>
        <v>C</v>
      </c>
      <c r="AH876" t="str">
        <f>K876</f>
        <v>M</v>
      </c>
      <c r="AI876" t="str">
        <f>LEFT(AF876,1)</f>
        <v>B</v>
      </c>
      <c r="AJ876" t="str">
        <f>LEFT(M876,1)</f>
        <v>J</v>
      </c>
      <c r="AK876" t="str">
        <f>_xlfn.CONCAT(AG876,AH876,AI876,AJ876)</f>
        <v>CMBJ</v>
      </c>
    </row>
    <row r="877" spans="1:37" ht="15.75" hidden="1" customHeight="1" x14ac:dyDescent="0.2">
      <c r="A877" s="1">
        <v>283005</v>
      </c>
      <c r="B877" s="1" t="s">
        <v>1775</v>
      </c>
      <c r="C877" s="1" t="s">
        <v>561</v>
      </c>
      <c r="D877" s="1" t="s">
        <v>3842</v>
      </c>
      <c r="E877" s="1" t="s">
        <v>2381</v>
      </c>
      <c r="F877" s="1" t="s">
        <v>40</v>
      </c>
      <c r="G877" s="1" t="s">
        <v>3844</v>
      </c>
      <c r="H877" s="1">
        <v>3588</v>
      </c>
      <c r="I877" s="1" t="s">
        <v>3845</v>
      </c>
      <c r="J877" s="1">
        <v>4470</v>
      </c>
      <c r="K877" s="1" t="s">
        <v>35</v>
      </c>
      <c r="L877" s="1">
        <v>48</v>
      </c>
      <c r="M877" s="1" t="str">
        <f>IF(L877&lt;=45,"Joven","Mayor")</f>
        <v>Mayor</v>
      </c>
      <c r="N877" s="1">
        <v>39</v>
      </c>
      <c r="O877" s="1" t="s">
        <v>36</v>
      </c>
      <c r="P877" s="1">
        <v>0.52500000000000002</v>
      </c>
      <c r="Q877" s="1">
        <v>86.515000000000001</v>
      </c>
      <c r="R877" s="1">
        <v>5.1214149999999998</v>
      </c>
      <c r="S877" s="1">
        <v>10.608947000000001</v>
      </c>
      <c r="T877" s="1">
        <v>-1.2252734999999999</v>
      </c>
      <c r="U877" s="1">
        <v>21.195</v>
      </c>
      <c r="V877" s="1">
        <v>93</v>
      </c>
      <c r="W877" s="1">
        <v>151</v>
      </c>
      <c r="X877" s="1">
        <v>1.6236559139784945</v>
      </c>
      <c r="Y877" s="1">
        <v>95</v>
      </c>
      <c r="Z877" s="1">
        <v>151</v>
      </c>
      <c r="AA877" s="1">
        <v>1.5894736842105264</v>
      </c>
      <c r="AB877" s="1">
        <v>95.790848318112467</v>
      </c>
      <c r="AC877" s="1">
        <v>150.96547360638991</v>
      </c>
      <c r="AD877" s="1">
        <v>1.5759905696319512</v>
      </c>
      <c r="AE877" t="s">
        <v>4817</v>
      </c>
      <c r="AF877" t="str">
        <f>IF(X877&lt;$AF$1,"Bajo","Alto")</f>
        <v>Bajo</v>
      </c>
      <c r="AG877" t="str">
        <f>LEFT(AE877,1)</f>
        <v>C</v>
      </c>
      <c r="AH877" t="str">
        <f>K877</f>
        <v>M</v>
      </c>
      <c r="AI877" t="str">
        <f>LEFT(AF877,1)</f>
        <v>B</v>
      </c>
      <c r="AJ877" t="str">
        <f>LEFT(M877,1)</f>
        <v>M</v>
      </c>
      <c r="AK877" t="str">
        <f>_xlfn.CONCAT(AG877,AH877,AI877,AJ877)</f>
        <v>CMBM</v>
      </c>
    </row>
    <row r="878" spans="1:37" ht="15.75" hidden="1" customHeight="1" x14ac:dyDescent="0.2">
      <c r="A878" s="1">
        <v>1017801</v>
      </c>
      <c r="B878" s="1" t="s">
        <v>29</v>
      </c>
      <c r="C878" s="1" t="s">
        <v>30</v>
      </c>
      <c r="D878" s="1" t="s">
        <v>731</v>
      </c>
      <c r="E878" s="1" t="s">
        <v>732</v>
      </c>
      <c r="F878" s="1" t="s">
        <v>32</v>
      </c>
      <c r="G878" s="1" t="s">
        <v>733</v>
      </c>
      <c r="H878" s="1">
        <v>237</v>
      </c>
      <c r="I878" s="1" t="s">
        <v>100</v>
      </c>
      <c r="J878" s="1">
        <v>1</v>
      </c>
      <c r="K878" s="1" t="s">
        <v>35</v>
      </c>
      <c r="L878" s="1">
        <v>28</v>
      </c>
      <c r="M878" s="1" t="str">
        <f>IF(L878&lt;=45,"Joven","Mayor")</f>
        <v>Joven</v>
      </c>
      <c r="N878" s="1">
        <v>24</v>
      </c>
      <c r="O878" s="1" t="s">
        <v>36</v>
      </c>
      <c r="P878" s="1">
        <v>0.34899999999999998</v>
      </c>
      <c r="Q878" s="1">
        <v>90.968000000000004</v>
      </c>
      <c r="R878" s="1">
        <v>-2.9210164999999999</v>
      </c>
      <c r="S878" s="1">
        <v>7.9207362999999997</v>
      </c>
      <c r="T878" s="1">
        <v>5.3122262999999998</v>
      </c>
      <c r="U878" s="1">
        <v>48.100999999999999</v>
      </c>
      <c r="V878" s="1">
        <v>99</v>
      </c>
      <c r="W878" s="1">
        <v>190</v>
      </c>
      <c r="X878" s="1">
        <v>1.9191919191919191</v>
      </c>
      <c r="Y878" s="1">
        <v>108</v>
      </c>
      <c r="Z878" s="1">
        <v>190</v>
      </c>
      <c r="AA878" s="1">
        <v>1.7592592592592593</v>
      </c>
      <c r="AB878" s="1">
        <v>103.7594429831699</v>
      </c>
      <c r="AC878" s="1">
        <v>190.01719083971011</v>
      </c>
      <c r="AD878" s="1">
        <v>1.8313243149400047</v>
      </c>
      <c r="AE878" t="s">
        <v>4817</v>
      </c>
      <c r="AF878" t="str">
        <f>IF(X878&lt;$AF$1,"Bajo","Alto")</f>
        <v>Alto</v>
      </c>
      <c r="AG878" t="str">
        <f>LEFT(AE878,1)</f>
        <v>C</v>
      </c>
      <c r="AH878" t="str">
        <f>K878</f>
        <v>M</v>
      </c>
      <c r="AI878" t="str">
        <f>LEFT(AF878,1)</f>
        <v>A</v>
      </c>
      <c r="AJ878" t="str">
        <f>LEFT(M878,1)</f>
        <v>J</v>
      </c>
      <c r="AK878" t="str">
        <f>_xlfn.CONCAT(AG878,AH878,AI878,AJ878)</f>
        <v>CMAJ</v>
      </c>
    </row>
    <row r="879" spans="1:37" ht="15.75" hidden="1" customHeight="1" x14ac:dyDescent="0.2">
      <c r="A879" s="1">
        <v>1017903</v>
      </c>
      <c r="B879" s="1" t="s">
        <v>29</v>
      </c>
      <c r="C879" s="1" t="s">
        <v>30</v>
      </c>
      <c r="D879" s="1" t="s">
        <v>738</v>
      </c>
      <c r="E879" s="1" t="s">
        <v>739</v>
      </c>
      <c r="F879" s="1" t="s">
        <v>63</v>
      </c>
      <c r="G879" s="1" t="s">
        <v>742</v>
      </c>
      <c r="H879" s="1">
        <v>867</v>
      </c>
      <c r="I879" s="1" t="s">
        <v>156</v>
      </c>
      <c r="J879" s="1">
        <v>3028</v>
      </c>
      <c r="K879" s="1" t="s">
        <v>35</v>
      </c>
      <c r="L879" s="1">
        <v>52</v>
      </c>
      <c r="M879" s="1" t="str">
        <f>IF(L879&lt;=45,"Joven","Mayor")</f>
        <v>Mayor</v>
      </c>
      <c r="N879" s="1">
        <v>73</v>
      </c>
      <c r="O879" s="1" t="s">
        <v>36</v>
      </c>
      <c r="P879" s="1">
        <v>1.4999999999999999E-2</v>
      </c>
      <c r="Q879" s="1">
        <v>90.388000000000005</v>
      </c>
      <c r="R879" s="1">
        <v>-5.2805786000000001</v>
      </c>
      <c r="S879" s="1">
        <v>-3.5866202999999999</v>
      </c>
      <c r="T879" s="1">
        <v>-0.29141665</v>
      </c>
      <c r="U879" s="1">
        <v>18.800999999999998</v>
      </c>
      <c r="V879" s="1">
        <v>128</v>
      </c>
      <c r="W879" s="1">
        <v>208</v>
      </c>
      <c r="X879" s="1">
        <v>1.625</v>
      </c>
      <c r="Y879" s="1">
        <v>130</v>
      </c>
      <c r="Z879" s="1">
        <v>208</v>
      </c>
      <c r="AA879" s="1">
        <v>1.6</v>
      </c>
      <c r="AB879" s="1">
        <v>129.75418291464209</v>
      </c>
      <c r="AC879" s="1">
        <v>207.9922234480446</v>
      </c>
      <c r="AD879" s="1">
        <v>1.6029712397393068</v>
      </c>
      <c r="AE879" t="s">
        <v>4817</v>
      </c>
      <c r="AF879" t="str">
        <f>IF(X879&lt;$AF$1,"Bajo","Alto")</f>
        <v>Bajo</v>
      </c>
      <c r="AG879" t="str">
        <f>LEFT(AE879,1)</f>
        <v>C</v>
      </c>
      <c r="AH879" t="str">
        <f>K879</f>
        <v>M</v>
      </c>
      <c r="AI879" t="str">
        <f>LEFT(AF879,1)</f>
        <v>B</v>
      </c>
      <c r="AJ879" t="str">
        <f>LEFT(M879,1)</f>
        <v>M</v>
      </c>
      <c r="AK879" t="str">
        <f>_xlfn.CONCAT(AG879,AH879,AI879,AJ879)</f>
        <v>CMBM</v>
      </c>
    </row>
    <row r="880" spans="1:37" ht="15.75" hidden="1" customHeight="1" x14ac:dyDescent="0.2">
      <c r="A880" s="1">
        <v>10716102</v>
      </c>
      <c r="B880" s="1" t="s">
        <v>1067</v>
      </c>
      <c r="C880" s="1" t="s">
        <v>1068</v>
      </c>
      <c r="D880" s="1" t="s">
        <v>1161</v>
      </c>
      <c r="E880" s="1" t="s">
        <v>1162</v>
      </c>
      <c r="F880" s="1" t="s">
        <v>37</v>
      </c>
      <c r="G880" s="1" t="s">
        <v>1164</v>
      </c>
      <c r="H880" s="1">
        <v>576</v>
      </c>
      <c r="I880" s="1" t="s">
        <v>42</v>
      </c>
      <c r="J880" s="1">
        <v>15</v>
      </c>
      <c r="K880" s="1" t="s">
        <v>49</v>
      </c>
      <c r="L880" s="1">
        <v>48</v>
      </c>
      <c r="M880" s="1" t="str">
        <f>IF(L880&lt;=45,"Joven","Mayor")</f>
        <v>Mayor</v>
      </c>
      <c r="N880" s="1">
        <v>53</v>
      </c>
      <c r="O880" s="1" t="s">
        <v>50</v>
      </c>
      <c r="P880" s="1">
        <v>0.35699999999999998</v>
      </c>
      <c r="Q880" s="1">
        <v>91.316999999999993</v>
      </c>
      <c r="R880" s="1">
        <v>-3.8033351999999998</v>
      </c>
      <c r="S880" s="1">
        <v>5.1476974000000002</v>
      </c>
      <c r="T880" s="1">
        <v>5.8774680000000004</v>
      </c>
      <c r="U880" s="1">
        <v>50.935000000000002</v>
      </c>
      <c r="V880" s="1">
        <v>87</v>
      </c>
      <c r="W880" s="1">
        <v>142</v>
      </c>
      <c r="X880" s="1">
        <v>1.632183908045977</v>
      </c>
      <c r="Y880" s="1">
        <v>93</v>
      </c>
      <c r="Z880" s="1">
        <v>142</v>
      </c>
      <c r="AA880" s="1">
        <v>1.5268817204301075</v>
      </c>
      <c r="AB880" s="1">
        <v>91.150716229471982</v>
      </c>
      <c r="AC880" s="1">
        <v>141.97033878951831</v>
      </c>
      <c r="AD880" s="1">
        <v>1.557533990540545</v>
      </c>
      <c r="AE880" t="s">
        <v>4817</v>
      </c>
      <c r="AF880" t="str">
        <f>IF(X880&lt;$AF$1,"Bajo","Alto")</f>
        <v>Bajo</v>
      </c>
      <c r="AG880" t="str">
        <f>LEFT(AE880,1)</f>
        <v>C</v>
      </c>
      <c r="AH880" t="str">
        <f>K880</f>
        <v>F</v>
      </c>
      <c r="AI880" t="str">
        <f>LEFT(AF880,1)</f>
        <v>B</v>
      </c>
      <c r="AJ880" t="str">
        <f>LEFT(M880,1)</f>
        <v>M</v>
      </c>
      <c r="AK880" t="str">
        <f>_xlfn.CONCAT(AG880,AH880,AI880,AJ880)</f>
        <v>CFBM</v>
      </c>
    </row>
    <row r="881" spans="1:37" ht="15.75" hidden="1" customHeight="1" x14ac:dyDescent="0.2">
      <c r="A881" s="1">
        <v>194301</v>
      </c>
      <c r="B881" s="1" t="s">
        <v>2656</v>
      </c>
      <c r="C881" s="1" t="s">
        <v>323</v>
      </c>
      <c r="D881" s="1" t="s">
        <v>2722</v>
      </c>
      <c r="E881" s="1" t="s">
        <v>665</v>
      </c>
      <c r="F881" s="1" t="s">
        <v>32</v>
      </c>
      <c r="G881" s="1" t="s">
        <v>2723</v>
      </c>
      <c r="H881" s="1">
        <v>1026</v>
      </c>
      <c r="I881" s="1" t="s">
        <v>100</v>
      </c>
      <c r="J881" s="1">
        <v>1</v>
      </c>
      <c r="K881" s="1" t="s">
        <v>35</v>
      </c>
      <c r="L881" s="1">
        <v>34</v>
      </c>
      <c r="M881" s="1" t="str">
        <f>IF(L881&lt;=45,"Joven","Mayor")</f>
        <v>Joven</v>
      </c>
      <c r="N881" s="1">
        <v>34</v>
      </c>
      <c r="O881" s="1" t="s">
        <v>36</v>
      </c>
      <c r="P881" s="1">
        <v>0.379</v>
      </c>
      <c r="Q881" s="1">
        <v>87.884</v>
      </c>
      <c r="R881" s="1">
        <v>7.2047943999999999</v>
      </c>
      <c r="S881" s="1">
        <v>2.371737</v>
      </c>
      <c r="T881" s="1">
        <v>-6.39316</v>
      </c>
      <c r="U881" s="1">
        <v>22.382000000000001</v>
      </c>
      <c r="V881" s="1">
        <v>86</v>
      </c>
      <c r="W881" s="1">
        <v>165</v>
      </c>
      <c r="X881" s="1">
        <v>1.9186046511627908</v>
      </c>
      <c r="Y881" s="1">
        <v>88</v>
      </c>
      <c r="Z881" s="1">
        <v>165</v>
      </c>
      <c r="AA881" s="1">
        <v>1.875</v>
      </c>
      <c r="AB881" s="1">
        <v>89.473795475352517</v>
      </c>
      <c r="AC881" s="1">
        <v>163.63985029957851</v>
      </c>
      <c r="AD881" s="1">
        <v>1.8289136995943871</v>
      </c>
      <c r="AE881" t="s">
        <v>4817</v>
      </c>
      <c r="AF881" t="str">
        <f>IF(X881&lt;$AF$1,"Bajo","Alto")</f>
        <v>Alto</v>
      </c>
      <c r="AG881" t="str">
        <f>LEFT(AE881,1)</f>
        <v>C</v>
      </c>
      <c r="AH881" t="str">
        <f>K881</f>
        <v>M</v>
      </c>
      <c r="AI881" t="str">
        <f>LEFT(AF881,1)</f>
        <v>A</v>
      </c>
      <c r="AJ881" t="str">
        <f>LEFT(M881,1)</f>
        <v>J</v>
      </c>
      <c r="AK881" t="str">
        <f>_xlfn.CONCAT(AG881,AH881,AI881,AJ881)</f>
        <v>CMAJ</v>
      </c>
    </row>
    <row r="882" spans="1:37" ht="15.75" hidden="1" customHeight="1" x14ac:dyDescent="0.2">
      <c r="A882" s="1">
        <v>1018501</v>
      </c>
      <c r="B882" s="1" t="s">
        <v>29</v>
      </c>
      <c r="C882" s="1" t="s">
        <v>30</v>
      </c>
      <c r="D882" s="1" t="s">
        <v>754</v>
      </c>
      <c r="E882" s="1" t="s">
        <v>755</v>
      </c>
      <c r="F882" s="1" t="s">
        <v>32</v>
      </c>
      <c r="G882" s="1" t="s">
        <v>756</v>
      </c>
      <c r="H882" s="1">
        <v>1036</v>
      </c>
      <c r="I882" s="1" t="s">
        <v>100</v>
      </c>
      <c r="J882" s="1">
        <v>1</v>
      </c>
      <c r="K882" s="1" t="s">
        <v>35</v>
      </c>
      <c r="L882" s="1">
        <v>39</v>
      </c>
      <c r="M882" s="1" t="str">
        <f>IF(L882&lt;=45,"Joven","Mayor")</f>
        <v>Joven</v>
      </c>
      <c r="N882" s="1">
        <v>38</v>
      </c>
      <c r="O882" s="1" t="s">
        <v>36</v>
      </c>
      <c r="P882" s="1">
        <v>0.38600000000000001</v>
      </c>
      <c r="Q882" s="1">
        <v>91.754000000000005</v>
      </c>
      <c r="R882" s="1">
        <v>3.2876465000000001</v>
      </c>
      <c r="S882" s="1">
        <v>5.22119</v>
      </c>
      <c r="T882" s="1">
        <v>-2.9111220000000002</v>
      </c>
      <c r="U882" s="1">
        <v>45.945</v>
      </c>
      <c r="V882" s="1">
        <v>115</v>
      </c>
      <c r="W882" s="1">
        <v>190</v>
      </c>
      <c r="X882" s="1">
        <v>1.6521739130434783</v>
      </c>
      <c r="Y882" s="1">
        <v>116</v>
      </c>
      <c r="Z882" s="1">
        <v>190</v>
      </c>
      <c r="AA882" s="1">
        <v>1.6379310344827587</v>
      </c>
      <c r="AB882" s="1">
        <v>118.5420047498019</v>
      </c>
      <c r="AC882" s="1">
        <v>189.8055951297415</v>
      </c>
      <c r="AD882" s="1">
        <v>1.6011674134442937</v>
      </c>
      <c r="AE882" t="s">
        <v>4817</v>
      </c>
      <c r="AF882" t="str">
        <f>IF(X882&lt;$AF$1,"Bajo","Alto")</f>
        <v>Bajo</v>
      </c>
      <c r="AG882" t="str">
        <f>LEFT(AE882,1)</f>
        <v>C</v>
      </c>
      <c r="AH882" t="str">
        <f>K882</f>
        <v>M</v>
      </c>
      <c r="AI882" t="str">
        <f>LEFT(AF882,1)</f>
        <v>B</v>
      </c>
      <c r="AJ882" t="str">
        <f>LEFT(M882,1)</f>
        <v>J</v>
      </c>
      <c r="AK882" t="str">
        <f>_xlfn.CONCAT(AG882,AH882,AI882,AJ882)</f>
        <v>CMBJ</v>
      </c>
    </row>
    <row r="883" spans="1:37" ht="15.75" hidden="1" customHeight="1" x14ac:dyDescent="0.2">
      <c r="A883" s="1">
        <v>1262503</v>
      </c>
      <c r="B883" s="1" t="s">
        <v>1798</v>
      </c>
      <c r="C883" s="1" t="s">
        <v>54</v>
      </c>
      <c r="D883" s="1" t="s">
        <v>1879</v>
      </c>
      <c r="E883" s="1" t="s">
        <v>1880</v>
      </c>
      <c r="F883" s="1" t="s">
        <v>63</v>
      </c>
      <c r="G883" s="1" t="s">
        <v>1883</v>
      </c>
      <c r="H883" s="1">
        <v>2158</v>
      </c>
      <c r="I883" s="1" t="s">
        <v>1884</v>
      </c>
      <c r="J883" s="1">
        <v>2813</v>
      </c>
      <c r="K883" s="1" t="s">
        <v>35</v>
      </c>
      <c r="L883" s="1">
        <v>52</v>
      </c>
      <c r="M883" s="1" t="str">
        <f>IF(L883&lt;=45,"Joven","Mayor")</f>
        <v>Mayor</v>
      </c>
      <c r="N883" s="1">
        <v>57</v>
      </c>
      <c r="O883" s="1" t="s">
        <v>36</v>
      </c>
      <c r="P883" s="1">
        <v>0.25</v>
      </c>
      <c r="Q883" s="1">
        <v>89.924000000000007</v>
      </c>
      <c r="R883" s="1">
        <v>4.7084080000000004</v>
      </c>
      <c r="S883" s="1">
        <v>6.2716827000000004</v>
      </c>
      <c r="T883" s="1">
        <v>-4.6538089999999999</v>
      </c>
      <c r="U883" s="1">
        <v>40.515000000000001</v>
      </c>
      <c r="V883" s="1">
        <v>89</v>
      </c>
      <c r="W883" s="1">
        <v>170</v>
      </c>
      <c r="X883" s="1">
        <v>1.9101123595505618</v>
      </c>
      <c r="Y883" s="1">
        <v>89</v>
      </c>
      <c r="Z883" s="1">
        <v>170</v>
      </c>
      <c r="AA883" s="1">
        <v>1.9101123595505618</v>
      </c>
      <c r="AB883" s="1">
        <v>92.195383069261879</v>
      </c>
      <c r="AC883" s="1">
        <v>169.3583954831615</v>
      </c>
      <c r="AD883" s="1">
        <v>1.836950938811446</v>
      </c>
      <c r="AE883" t="s">
        <v>4817</v>
      </c>
      <c r="AF883" t="str">
        <f>IF(X883&lt;$AF$1,"Bajo","Alto")</f>
        <v>Alto</v>
      </c>
      <c r="AG883" t="str">
        <f>LEFT(AE883,1)</f>
        <v>C</v>
      </c>
      <c r="AH883" t="str">
        <f>K883</f>
        <v>M</v>
      </c>
      <c r="AI883" t="str">
        <f>LEFT(AF883,1)</f>
        <v>A</v>
      </c>
      <c r="AJ883" t="str">
        <f>LEFT(M883,1)</f>
        <v>M</v>
      </c>
      <c r="AK883" t="str">
        <f>_xlfn.CONCAT(AG883,AH883,AI883,AJ883)</f>
        <v>CMAM</v>
      </c>
    </row>
    <row r="884" spans="1:37" ht="15.75" hidden="1" customHeight="1" x14ac:dyDescent="0.2">
      <c r="A884" s="1">
        <v>271905</v>
      </c>
      <c r="B884" s="1" t="s">
        <v>3409</v>
      </c>
      <c r="C884" s="1" t="s">
        <v>973</v>
      </c>
      <c r="D884" s="1" t="s">
        <v>3595</v>
      </c>
      <c r="E884" s="1" t="s">
        <v>323</v>
      </c>
      <c r="F884" s="1" t="s">
        <v>40</v>
      </c>
      <c r="G884" s="1" t="s">
        <v>3600</v>
      </c>
      <c r="H884" s="1">
        <v>33716</v>
      </c>
      <c r="I884" s="1" t="s">
        <v>3601</v>
      </c>
      <c r="J884" s="1">
        <v>4043</v>
      </c>
      <c r="K884" s="1" t="s">
        <v>35</v>
      </c>
      <c r="L884" s="1">
        <v>29</v>
      </c>
      <c r="M884" s="1" t="str">
        <f>IF(L884&lt;=45,"Joven","Mayor")</f>
        <v>Joven</v>
      </c>
      <c r="N884" s="1">
        <v>30</v>
      </c>
      <c r="O884" s="1" t="s">
        <v>36</v>
      </c>
      <c r="P884" s="1">
        <v>0.35499999999999998</v>
      </c>
      <c r="Q884" s="1">
        <v>86.588999999999999</v>
      </c>
      <c r="R884" s="1">
        <v>5.9242935000000001</v>
      </c>
      <c r="S884" s="1">
        <v>8.9797329999999995</v>
      </c>
      <c r="T884" s="1">
        <v>-1.8250421999999999</v>
      </c>
      <c r="U884" s="1">
        <v>2.7360000000000002</v>
      </c>
      <c r="V884" s="1">
        <v>73</v>
      </c>
      <c r="W884" s="1">
        <v>140</v>
      </c>
      <c r="X884" s="1">
        <v>1.9178082191780821</v>
      </c>
      <c r="Y884" s="1">
        <v>81</v>
      </c>
      <c r="Z884" s="1">
        <v>140</v>
      </c>
      <c r="AA884" s="1">
        <v>1.728395061728395</v>
      </c>
      <c r="AB884" s="1">
        <v>81.97803513064855</v>
      </c>
      <c r="AC884" s="1">
        <v>139.57865937121909</v>
      </c>
      <c r="AD884" s="1">
        <v>1.7026348478439659</v>
      </c>
      <c r="AE884" t="s">
        <v>4817</v>
      </c>
      <c r="AF884" t="str">
        <f>IF(X884&lt;$AF$1,"Bajo","Alto")</f>
        <v>Alto</v>
      </c>
      <c r="AG884" t="str">
        <f>LEFT(AE884,1)</f>
        <v>C</v>
      </c>
      <c r="AH884" t="str">
        <f>K884</f>
        <v>M</v>
      </c>
      <c r="AI884" t="str">
        <f>LEFT(AF884,1)</f>
        <v>A</v>
      </c>
      <c r="AJ884" t="str">
        <f>LEFT(M884,1)</f>
        <v>J</v>
      </c>
      <c r="AK884" t="str">
        <f>_xlfn.CONCAT(AG884,AH884,AI884,AJ884)</f>
        <v>CMAJ</v>
      </c>
    </row>
    <row r="885" spans="1:37" ht="15.75" hidden="1" customHeight="1" x14ac:dyDescent="0.2">
      <c r="A885" s="1">
        <v>1260001</v>
      </c>
      <c r="B885" s="1" t="s">
        <v>1798</v>
      </c>
      <c r="C885" s="1" t="s">
        <v>54</v>
      </c>
      <c r="D885" s="1" t="s">
        <v>1864</v>
      </c>
      <c r="E885" s="1" t="s">
        <v>1865</v>
      </c>
      <c r="F885" s="1" t="s">
        <v>32</v>
      </c>
      <c r="G885" s="1" t="s">
        <v>1866</v>
      </c>
      <c r="H885" s="1">
        <v>4091</v>
      </c>
      <c r="I885" s="1" t="s">
        <v>100</v>
      </c>
      <c r="J885" s="1">
        <v>1</v>
      </c>
      <c r="K885" s="1" t="s">
        <v>35</v>
      </c>
      <c r="L885" s="1">
        <v>42</v>
      </c>
      <c r="M885" s="1" t="str">
        <f>IF(L885&lt;=45,"Joven","Mayor")</f>
        <v>Joven</v>
      </c>
      <c r="N885" s="1">
        <v>55</v>
      </c>
      <c r="O885" s="1" t="s">
        <v>36</v>
      </c>
      <c r="P885" s="1">
        <v>0.28199999999999997</v>
      </c>
      <c r="Q885" s="1">
        <v>79.08</v>
      </c>
      <c r="R885" s="1">
        <v>-8.6984030000000008</v>
      </c>
      <c r="S885" s="1">
        <v>10.463957000000001</v>
      </c>
      <c r="T885" s="1">
        <v>3.9689515000000002</v>
      </c>
      <c r="U885" s="1">
        <v>22.986000000000001</v>
      </c>
      <c r="V885" s="1">
        <v>115</v>
      </c>
      <c r="W885" s="1">
        <v>190</v>
      </c>
      <c r="X885" s="1">
        <v>1.6521739130434783</v>
      </c>
      <c r="Y885" s="1">
        <v>119</v>
      </c>
      <c r="Z885" s="1">
        <v>190</v>
      </c>
      <c r="AA885" s="1">
        <v>1.596638655462185</v>
      </c>
      <c r="AB885" s="1">
        <v>118.1849902935551</v>
      </c>
      <c r="AC885" s="1">
        <v>189.19824447188381</v>
      </c>
      <c r="AD885" s="1">
        <v>1.6008652537174277</v>
      </c>
      <c r="AE885" t="s">
        <v>4817</v>
      </c>
      <c r="AF885" t="str">
        <f>IF(X885&lt;$AF$1,"Bajo","Alto")</f>
        <v>Bajo</v>
      </c>
      <c r="AG885" t="str">
        <f>LEFT(AE885,1)</f>
        <v>C</v>
      </c>
      <c r="AH885" t="str">
        <f>K885</f>
        <v>M</v>
      </c>
      <c r="AI885" t="str">
        <f>LEFT(AF885,1)</f>
        <v>B</v>
      </c>
      <c r="AJ885" t="str">
        <f>LEFT(M885,1)</f>
        <v>J</v>
      </c>
      <c r="AK885" t="str">
        <f>_xlfn.CONCAT(AG885,AH885,AI885,AJ885)</f>
        <v>CMBJ</v>
      </c>
    </row>
    <row r="886" spans="1:37" ht="15.75" hidden="1" customHeight="1" x14ac:dyDescent="0.2">
      <c r="A886" s="1">
        <v>10118101</v>
      </c>
      <c r="B886" s="1" t="s">
        <v>29</v>
      </c>
      <c r="C886" s="1" t="s">
        <v>30</v>
      </c>
      <c r="D886" s="1" t="s">
        <v>307</v>
      </c>
      <c r="E886" s="1" t="s">
        <v>308</v>
      </c>
      <c r="F886" s="1" t="s">
        <v>32</v>
      </c>
      <c r="G886" s="1" t="s">
        <v>309</v>
      </c>
      <c r="H886" s="1">
        <v>1524</v>
      </c>
      <c r="I886" s="1" t="s">
        <v>39</v>
      </c>
      <c r="J886" s="1">
        <v>11</v>
      </c>
      <c r="K886" s="1" t="s">
        <v>35</v>
      </c>
      <c r="L886" s="1">
        <v>44</v>
      </c>
      <c r="M886" s="1" t="str">
        <f>IF(L886&lt;=45,"Joven","Mayor")</f>
        <v>Joven</v>
      </c>
      <c r="N886" s="1">
        <v>31</v>
      </c>
      <c r="O886" s="1" t="s">
        <v>36</v>
      </c>
      <c r="P886" s="1">
        <v>0.68200000000000005</v>
      </c>
      <c r="Q886" s="1">
        <v>91.159000000000006</v>
      </c>
      <c r="R886" s="1">
        <v>3.6538746</v>
      </c>
      <c r="S886" s="1">
        <v>5.6675680000000002</v>
      </c>
      <c r="T886" s="1">
        <v>5.4211793000000004</v>
      </c>
      <c r="U886" s="1">
        <v>0.29499999999999998</v>
      </c>
      <c r="V886" s="1">
        <v>89</v>
      </c>
      <c r="W886" s="1">
        <v>169</v>
      </c>
      <c r="X886" s="1">
        <v>1.898876404494382</v>
      </c>
      <c r="Y886" s="1">
        <v>101</v>
      </c>
      <c r="Z886" s="1">
        <v>169</v>
      </c>
      <c r="AA886" s="1">
        <v>1.6732673267326732</v>
      </c>
      <c r="AB886" s="1">
        <v>96.958138102780595</v>
      </c>
      <c r="AC886" s="1">
        <v>169.944655188398</v>
      </c>
      <c r="AD886" s="1">
        <v>1.7527631874309297</v>
      </c>
      <c r="AE886" t="s">
        <v>4816</v>
      </c>
      <c r="AF886" t="str">
        <f>IF(X886&lt;$AF$1,"Bajo","Alto")</f>
        <v>Alto</v>
      </c>
      <c r="AG886" t="str">
        <f>LEFT(AE886,1)</f>
        <v>D</v>
      </c>
      <c r="AH886" t="str">
        <f>K886</f>
        <v>M</v>
      </c>
      <c r="AI886" t="str">
        <f>LEFT(AF886,1)</f>
        <v>A</v>
      </c>
      <c r="AJ886" t="str">
        <f>LEFT(M886,1)</f>
        <v>J</v>
      </c>
      <c r="AK886" t="str">
        <f>_xlfn.CONCAT(AG886,AH886,AI886,AJ886)</f>
        <v>DMAJ</v>
      </c>
    </row>
    <row r="887" spans="1:37" ht="15.75" hidden="1" customHeight="1" x14ac:dyDescent="0.2">
      <c r="A887" s="1">
        <v>10730706</v>
      </c>
      <c r="B887" s="1" t="s">
        <v>1067</v>
      </c>
      <c r="C887" s="1" t="s">
        <v>1068</v>
      </c>
      <c r="D887" s="1" t="s">
        <v>1373</v>
      </c>
      <c r="E887" s="1" t="s">
        <v>1374</v>
      </c>
      <c r="F887" s="1" t="s">
        <v>88</v>
      </c>
      <c r="G887" s="1" t="s">
        <v>1379</v>
      </c>
      <c r="H887" s="1">
        <v>2220</v>
      </c>
      <c r="I887" s="1" t="s">
        <v>1380</v>
      </c>
      <c r="J887" s="1">
        <v>3764</v>
      </c>
      <c r="K887" s="1" t="s">
        <v>49</v>
      </c>
      <c r="L887" s="1">
        <v>52</v>
      </c>
      <c r="M887" s="1" t="str">
        <f>IF(L887&lt;=45,"Joven","Mayor")</f>
        <v>Mayor</v>
      </c>
      <c r="N887" s="1">
        <v>53</v>
      </c>
      <c r="O887" s="1" t="s">
        <v>50</v>
      </c>
      <c r="P887" s="1">
        <v>0.54100000000000004</v>
      </c>
      <c r="Q887" s="1">
        <v>85.052000000000007</v>
      </c>
      <c r="R887" s="1">
        <v>8.0033910000000006</v>
      </c>
      <c r="S887" s="1">
        <v>-5.0591780000000002</v>
      </c>
      <c r="T887" s="1">
        <v>-14.810814000000001</v>
      </c>
      <c r="U887" s="1">
        <v>24.111000000000001</v>
      </c>
      <c r="V887" s="1">
        <v>68</v>
      </c>
      <c r="W887" s="1">
        <v>130</v>
      </c>
      <c r="X887" s="1">
        <v>1.911764705882353</v>
      </c>
      <c r="Y887" s="1">
        <v>79</v>
      </c>
      <c r="Z887" s="1">
        <v>130</v>
      </c>
      <c r="AA887" s="1">
        <v>1.6455696202531647</v>
      </c>
      <c r="AB887" s="1">
        <v>76.221468276303767</v>
      </c>
      <c r="AC887" s="1">
        <v>129.2595658564519</v>
      </c>
      <c r="AD887" s="1">
        <v>1.6958419823124422</v>
      </c>
      <c r="AE887" t="s">
        <v>4817</v>
      </c>
      <c r="AF887" t="str">
        <f>IF(X887&lt;$AF$1,"Bajo","Alto")</f>
        <v>Alto</v>
      </c>
      <c r="AG887" t="str">
        <f>LEFT(AE887,1)</f>
        <v>C</v>
      </c>
      <c r="AH887" t="str">
        <f>K887</f>
        <v>F</v>
      </c>
      <c r="AI887" t="str">
        <f>LEFT(AF887,1)</f>
        <v>A</v>
      </c>
      <c r="AJ887" t="str">
        <f>LEFT(M887,1)</f>
        <v>M</v>
      </c>
      <c r="AK887" t="str">
        <f>_xlfn.CONCAT(AG887,AH887,AI887,AJ887)</f>
        <v>CFAM</v>
      </c>
    </row>
    <row r="888" spans="1:37" ht="15.75" hidden="1" customHeight="1" x14ac:dyDescent="0.2">
      <c r="A888" s="1">
        <v>525002</v>
      </c>
      <c r="B888" s="1" t="s">
        <v>4529</v>
      </c>
      <c r="C888" s="1" t="s">
        <v>685</v>
      </c>
      <c r="D888" s="1" t="s">
        <v>4268</v>
      </c>
      <c r="E888" s="1" t="s">
        <v>1001</v>
      </c>
      <c r="F888" s="1" t="s">
        <v>37</v>
      </c>
      <c r="G888" s="1" t="s">
        <v>4646</v>
      </c>
      <c r="H888" s="1">
        <v>1351</v>
      </c>
      <c r="I888" s="1" t="s">
        <v>294</v>
      </c>
      <c r="J888" s="1">
        <v>16</v>
      </c>
      <c r="K888" s="1" t="s">
        <v>35</v>
      </c>
      <c r="L888" s="1">
        <v>36</v>
      </c>
      <c r="M888" s="1" t="str">
        <f>IF(L888&lt;=45,"Joven","Mayor")</f>
        <v>Joven</v>
      </c>
      <c r="N888" s="1">
        <v>37</v>
      </c>
      <c r="O888" s="1" t="s">
        <v>36</v>
      </c>
      <c r="P888" s="1">
        <v>0.39700000000000002</v>
      </c>
      <c r="Q888" s="1">
        <v>93.947000000000003</v>
      </c>
      <c r="R888" s="1">
        <v>0.45937972999999999</v>
      </c>
      <c r="S888" s="1">
        <v>4.1587167000000003</v>
      </c>
      <c r="T888" s="1">
        <v>-3.5465520000000001</v>
      </c>
      <c r="U888" s="1">
        <v>27.99</v>
      </c>
      <c r="V888" s="1">
        <v>85</v>
      </c>
      <c r="W888" s="1">
        <v>163</v>
      </c>
      <c r="X888" s="1">
        <v>1.9176470588235295</v>
      </c>
      <c r="Y888" s="1">
        <v>85</v>
      </c>
      <c r="Z888" s="1">
        <v>163</v>
      </c>
      <c r="AA888" s="1">
        <v>1.9176470588235295</v>
      </c>
      <c r="AB888" s="1">
        <v>87.620890800955749</v>
      </c>
      <c r="AC888" s="1">
        <v>163.0589904068934</v>
      </c>
      <c r="AD888" s="1">
        <v>1.8609601992897655</v>
      </c>
      <c r="AE888" t="s">
        <v>4817</v>
      </c>
      <c r="AF888" t="str">
        <f>IF(X888&lt;$AF$1,"Bajo","Alto")</f>
        <v>Alto</v>
      </c>
      <c r="AG888" t="str">
        <f>LEFT(AE888,1)</f>
        <v>C</v>
      </c>
      <c r="AH888" t="str">
        <f>K888</f>
        <v>M</v>
      </c>
      <c r="AI888" t="str">
        <f>LEFT(AF888,1)</f>
        <v>A</v>
      </c>
      <c r="AJ888" t="str">
        <f>LEFT(M888,1)</f>
        <v>J</v>
      </c>
      <c r="AK888" t="str">
        <f>_xlfn.CONCAT(AG888,AH888,AI888,AJ888)</f>
        <v>CMAJ</v>
      </c>
    </row>
    <row r="889" spans="1:37" ht="15.75" hidden="1" customHeight="1" x14ac:dyDescent="0.2">
      <c r="A889" s="1">
        <v>10724102</v>
      </c>
      <c r="B889" s="1" t="s">
        <v>1067</v>
      </c>
      <c r="C889" s="1" t="s">
        <v>1068</v>
      </c>
      <c r="D889" s="1" t="s">
        <v>1268</v>
      </c>
      <c r="E889" s="1" t="s">
        <v>487</v>
      </c>
      <c r="F889" s="1" t="s">
        <v>37</v>
      </c>
      <c r="G889" s="1" t="s">
        <v>1269</v>
      </c>
      <c r="H889" s="1">
        <v>1646</v>
      </c>
      <c r="I889" s="1" t="s">
        <v>91</v>
      </c>
      <c r="J889" s="1">
        <v>6</v>
      </c>
      <c r="K889" s="1" t="s">
        <v>35</v>
      </c>
      <c r="L889" s="1">
        <v>47</v>
      </c>
      <c r="M889" s="1" t="str">
        <f>IF(L889&lt;=45,"Joven","Mayor")</f>
        <v>Mayor</v>
      </c>
      <c r="N889" s="1">
        <v>35</v>
      </c>
      <c r="O889" s="1" t="s">
        <v>36</v>
      </c>
      <c r="P889" s="1">
        <v>0.36199999999999999</v>
      </c>
      <c r="Q889" s="1">
        <v>94.408000000000001</v>
      </c>
      <c r="R889" s="1">
        <v>-0.61530779999999996</v>
      </c>
      <c r="S889" s="1">
        <v>1.6377153</v>
      </c>
      <c r="T889" s="1">
        <v>-3.6756747000000001</v>
      </c>
      <c r="U889" s="1">
        <v>76.355999999999995</v>
      </c>
      <c r="V889" s="1">
        <v>77</v>
      </c>
      <c r="W889" s="1">
        <v>147</v>
      </c>
      <c r="X889" s="1">
        <v>1.9090909090909092</v>
      </c>
      <c r="Y889" s="1">
        <v>85</v>
      </c>
      <c r="Z889" s="1">
        <v>147</v>
      </c>
      <c r="AA889" s="1">
        <v>1.7294117647058824</v>
      </c>
      <c r="AB889" s="1">
        <v>83.222432935549477</v>
      </c>
      <c r="AC889" s="1">
        <v>147.72334820776629</v>
      </c>
      <c r="AD889" s="1">
        <v>1.7750424134099601</v>
      </c>
      <c r="AE889" t="s">
        <v>4817</v>
      </c>
      <c r="AF889" t="str">
        <f>IF(X889&lt;$AF$1,"Bajo","Alto")</f>
        <v>Alto</v>
      </c>
      <c r="AG889" t="str">
        <f>LEFT(AE889,1)</f>
        <v>C</v>
      </c>
      <c r="AH889" t="str">
        <f>K889</f>
        <v>M</v>
      </c>
      <c r="AI889" t="str">
        <f>LEFT(AF889,1)</f>
        <v>A</v>
      </c>
      <c r="AJ889" t="str">
        <f>LEFT(M889,1)</f>
        <v>M</v>
      </c>
      <c r="AK889" t="str">
        <f>_xlfn.CONCAT(AG889,AH889,AI889,AJ889)</f>
        <v>CMAM</v>
      </c>
    </row>
    <row r="890" spans="1:37" ht="15.75" hidden="1" customHeight="1" x14ac:dyDescent="0.2">
      <c r="A890" s="1">
        <v>293701</v>
      </c>
      <c r="B890" s="1" t="s">
        <v>3890</v>
      </c>
      <c r="C890" s="1" t="s">
        <v>1695</v>
      </c>
      <c r="D890" s="1" t="s">
        <v>4002</v>
      </c>
      <c r="E890" s="1" t="s">
        <v>647</v>
      </c>
      <c r="F890" s="1" t="s">
        <v>32</v>
      </c>
      <c r="G890" s="1" t="s">
        <v>4003</v>
      </c>
      <c r="H890" s="1">
        <v>1514</v>
      </c>
      <c r="I890" s="1" t="s">
        <v>134</v>
      </c>
      <c r="J890" s="1">
        <v>8</v>
      </c>
      <c r="K890" s="1" t="s">
        <v>35</v>
      </c>
      <c r="L890" s="1">
        <v>61</v>
      </c>
      <c r="M890" s="1" t="str">
        <f>IF(L890&lt;=45,"Joven","Mayor")</f>
        <v>Mayor</v>
      </c>
      <c r="N890" s="1">
        <v>61</v>
      </c>
      <c r="O890" s="1" t="s">
        <v>36</v>
      </c>
      <c r="P890" s="1">
        <v>0.36199999999999999</v>
      </c>
      <c r="Q890" s="1">
        <v>65.262</v>
      </c>
      <c r="R890" s="1">
        <v>13.766833</v>
      </c>
      <c r="S890" s="1">
        <v>-1.8731639</v>
      </c>
      <c r="T890" s="1">
        <v>-5.7969046000000004</v>
      </c>
      <c r="U890" s="1">
        <v>2.1110000000000002</v>
      </c>
      <c r="V890" s="1">
        <v>98</v>
      </c>
      <c r="W890" s="1">
        <v>187</v>
      </c>
      <c r="X890" s="1">
        <v>1.9081632653061225</v>
      </c>
      <c r="Y890" s="1">
        <v>99</v>
      </c>
      <c r="Z890" s="1">
        <v>187</v>
      </c>
      <c r="AA890" s="1">
        <v>1.8888888888888888</v>
      </c>
      <c r="AB890" s="1">
        <v>104.4528808989146</v>
      </c>
      <c r="AC890" s="1">
        <v>186.04371321692909</v>
      </c>
      <c r="AD890" s="1">
        <v>1.7811257249761727</v>
      </c>
      <c r="AE890" t="s">
        <v>4817</v>
      </c>
      <c r="AF890" t="str">
        <f>IF(X890&lt;$AF$1,"Bajo","Alto")</f>
        <v>Alto</v>
      </c>
      <c r="AG890" t="str">
        <f>LEFT(AE890,1)</f>
        <v>C</v>
      </c>
      <c r="AH890" t="str">
        <f>K890</f>
        <v>M</v>
      </c>
      <c r="AI890" t="str">
        <f>LEFT(AF890,1)</f>
        <v>A</v>
      </c>
      <c r="AJ890" t="str">
        <f>LEFT(M890,1)</f>
        <v>M</v>
      </c>
      <c r="AK890" t="str">
        <f>_xlfn.CONCAT(AG890,AH890,AI890,AJ890)</f>
        <v>CMAM</v>
      </c>
    </row>
    <row r="891" spans="1:37" ht="15.75" hidden="1" customHeight="1" x14ac:dyDescent="0.2">
      <c r="A891" s="1">
        <v>2312004</v>
      </c>
      <c r="B891" s="1" t="s">
        <v>319</v>
      </c>
      <c r="C891" s="1" t="s">
        <v>1989</v>
      </c>
      <c r="D891" s="1" t="s">
        <v>2261</v>
      </c>
      <c r="E891" s="1" t="s">
        <v>1564</v>
      </c>
      <c r="F891" s="1" t="s">
        <v>61</v>
      </c>
      <c r="G891" s="1" t="s">
        <v>2950</v>
      </c>
      <c r="H891" s="1">
        <v>3092</v>
      </c>
      <c r="I891" s="1" t="s">
        <v>65</v>
      </c>
      <c r="J891" s="1">
        <v>2</v>
      </c>
      <c r="K891" s="1" t="s">
        <v>49</v>
      </c>
      <c r="L891" s="1">
        <v>45</v>
      </c>
      <c r="M891" s="1" t="str">
        <f>IF(L891&lt;=45,"Joven","Mayor")</f>
        <v>Joven</v>
      </c>
      <c r="N891" s="1">
        <v>64</v>
      </c>
      <c r="O891" s="1" t="s">
        <v>50</v>
      </c>
      <c r="P891" s="1">
        <v>0.84399999999999997</v>
      </c>
      <c r="Q891" s="1">
        <v>53.414999999999999</v>
      </c>
      <c r="R891" s="1">
        <v>15.590198000000001</v>
      </c>
      <c r="S891" s="1">
        <v>0.72802129999999998</v>
      </c>
      <c r="T891" s="1">
        <v>-6.5836233999999996</v>
      </c>
      <c r="U891" s="1">
        <v>9.7919999999999998</v>
      </c>
      <c r="V891" s="1">
        <v>84</v>
      </c>
      <c r="W891" s="1">
        <v>138</v>
      </c>
      <c r="X891" s="1">
        <v>1.6428571428571428</v>
      </c>
      <c r="Y891" s="1">
        <v>94</v>
      </c>
      <c r="Z891" s="1">
        <v>138</v>
      </c>
      <c r="AA891" s="1">
        <v>1.4680851063829787</v>
      </c>
      <c r="AB891" s="1">
        <v>89.367261732569204</v>
      </c>
      <c r="AC891" s="1">
        <v>137.2046228406393</v>
      </c>
      <c r="AD891" s="1">
        <v>1.5352895476558632</v>
      </c>
      <c r="AE891" t="s">
        <v>4817</v>
      </c>
      <c r="AF891" t="str">
        <f>IF(X891&lt;$AF$1,"Bajo","Alto")</f>
        <v>Bajo</v>
      </c>
      <c r="AG891" t="str">
        <f>LEFT(AE891,1)</f>
        <v>C</v>
      </c>
      <c r="AH891" t="str">
        <f>K891</f>
        <v>F</v>
      </c>
      <c r="AI891" t="str">
        <f>LEFT(AF891,1)</f>
        <v>B</v>
      </c>
      <c r="AJ891" t="str">
        <f>LEFT(M891,1)</f>
        <v>J</v>
      </c>
      <c r="AK891" t="str">
        <f>_xlfn.CONCAT(AG891,AH891,AI891,AJ891)</f>
        <v>CFBJ</v>
      </c>
    </row>
    <row r="892" spans="1:37" ht="15.75" hidden="1" customHeight="1" x14ac:dyDescent="0.2">
      <c r="A892" s="1">
        <v>524105</v>
      </c>
      <c r="B892" s="1" t="s">
        <v>4529</v>
      </c>
      <c r="C892" s="1" t="s">
        <v>685</v>
      </c>
      <c r="D892" s="1" t="s">
        <v>4604</v>
      </c>
      <c r="E892" s="1" t="s">
        <v>988</v>
      </c>
      <c r="F892" s="1" t="s">
        <v>40</v>
      </c>
      <c r="G892" s="1" t="s">
        <v>4607</v>
      </c>
      <c r="H892" s="1">
        <v>3203</v>
      </c>
      <c r="I892" s="1" t="s">
        <v>4608</v>
      </c>
      <c r="J892" s="1">
        <v>3455</v>
      </c>
      <c r="K892" s="1" t="s">
        <v>35</v>
      </c>
      <c r="L892" s="1">
        <v>50</v>
      </c>
      <c r="M892" s="1" t="str">
        <f>IF(L892&lt;=45,"Joven","Mayor")</f>
        <v>Mayor</v>
      </c>
      <c r="N892" s="1">
        <v>44</v>
      </c>
      <c r="O892" s="1" t="s">
        <v>36</v>
      </c>
      <c r="P892" s="1">
        <v>0.10199999999999999</v>
      </c>
      <c r="Q892" s="1">
        <v>85.337000000000003</v>
      </c>
      <c r="R892" s="1">
        <v>7.7861133000000002</v>
      </c>
      <c r="S892" s="1">
        <v>5.7504815999999996</v>
      </c>
      <c r="T892" s="1">
        <v>-7.1995535000000004</v>
      </c>
      <c r="U892" s="1">
        <v>4.4509999999999996</v>
      </c>
      <c r="V892" s="1">
        <v>98</v>
      </c>
      <c r="W892" s="1">
        <v>187</v>
      </c>
      <c r="X892" s="1">
        <v>1.9081632653061225</v>
      </c>
      <c r="Y892" s="1">
        <v>107</v>
      </c>
      <c r="Z892" s="1">
        <v>187</v>
      </c>
      <c r="AA892" s="1">
        <v>1.7476635514018692</v>
      </c>
      <c r="AB892" s="1">
        <v>103.8695880554021</v>
      </c>
      <c r="AC892" s="1">
        <v>187.28018881431441</v>
      </c>
      <c r="AD892" s="1">
        <v>1.8030319780841206</v>
      </c>
      <c r="AE892" t="s">
        <v>4817</v>
      </c>
      <c r="AF892" t="str">
        <f>IF(X892&lt;$AF$1,"Bajo","Alto")</f>
        <v>Alto</v>
      </c>
      <c r="AG892" t="str">
        <f>LEFT(AE892,1)</f>
        <v>C</v>
      </c>
      <c r="AH892" t="str">
        <f>K892</f>
        <v>M</v>
      </c>
      <c r="AI892" t="str">
        <f>LEFT(AF892,1)</f>
        <v>A</v>
      </c>
      <c r="AJ892" t="str">
        <f>LEFT(M892,1)</f>
        <v>M</v>
      </c>
      <c r="AK892" t="str">
        <f>_xlfn.CONCAT(AG892,AH892,AI892,AJ892)</f>
        <v>CMAM</v>
      </c>
    </row>
    <row r="893" spans="1:37" ht="15.75" hidden="1" customHeight="1" x14ac:dyDescent="0.2">
      <c r="A893" s="1">
        <v>10123101</v>
      </c>
      <c r="B893" s="1" t="s">
        <v>29</v>
      </c>
      <c r="C893" s="1" t="s">
        <v>30</v>
      </c>
      <c r="D893" s="1" t="s">
        <v>455</v>
      </c>
      <c r="E893" s="1" t="s">
        <v>456</v>
      </c>
      <c r="F893" s="1" t="s">
        <v>32</v>
      </c>
      <c r="G893" s="1" t="s">
        <v>457</v>
      </c>
      <c r="H893" s="1">
        <v>3779</v>
      </c>
      <c r="I893" s="1" t="s">
        <v>39</v>
      </c>
      <c r="J893" s="1">
        <v>11</v>
      </c>
      <c r="K893" s="1" t="s">
        <v>35</v>
      </c>
      <c r="L893" s="1">
        <v>55</v>
      </c>
      <c r="M893" s="1" t="str">
        <f>IF(L893&lt;=45,"Joven","Mayor")</f>
        <v>Mayor</v>
      </c>
      <c r="N893" s="1">
        <v>53</v>
      </c>
      <c r="O893" s="1" t="s">
        <v>36</v>
      </c>
      <c r="P893" s="1">
        <v>0.27500000000000002</v>
      </c>
      <c r="Q893" s="1">
        <v>59.222999999999999</v>
      </c>
      <c r="R893" s="1">
        <v>14.862527999999999</v>
      </c>
      <c r="S893" s="1">
        <v>0.44269446000000001</v>
      </c>
      <c r="T893" s="1">
        <v>-12.793507999999999</v>
      </c>
      <c r="U893" s="1">
        <v>0.85299999999999998</v>
      </c>
      <c r="V893" s="1">
        <v>58</v>
      </c>
      <c r="W893" s="1">
        <v>111</v>
      </c>
      <c r="X893" s="1">
        <v>1.9137931034482758</v>
      </c>
      <c r="Y893" s="1">
        <v>65</v>
      </c>
      <c r="Z893" s="1">
        <v>111</v>
      </c>
      <c r="AA893" s="1">
        <v>1.7076923076923076</v>
      </c>
      <c r="AB893" s="1">
        <v>64.753324348766455</v>
      </c>
      <c r="AC893" s="1">
        <v>111.1230581272648</v>
      </c>
      <c r="AD893" s="1">
        <v>1.7160981192061637</v>
      </c>
      <c r="AE893" t="s">
        <v>4816</v>
      </c>
      <c r="AF893" t="str">
        <f>IF(X893&lt;$AF$1,"Bajo","Alto")</f>
        <v>Alto</v>
      </c>
      <c r="AG893" t="str">
        <f>LEFT(AE893,1)</f>
        <v>D</v>
      </c>
      <c r="AH893" t="str">
        <f>K893</f>
        <v>M</v>
      </c>
      <c r="AI893" t="str">
        <f>LEFT(AF893,1)</f>
        <v>A</v>
      </c>
      <c r="AJ893" t="str">
        <f>LEFT(M893,1)</f>
        <v>M</v>
      </c>
      <c r="AK893" t="str">
        <f>_xlfn.CONCAT(AG893,AH893,AI893,AJ893)</f>
        <v>DMAM</v>
      </c>
    </row>
    <row r="894" spans="1:37" ht="15.75" hidden="1" customHeight="1" x14ac:dyDescent="0.2">
      <c r="A894" s="1">
        <v>255201</v>
      </c>
      <c r="B894" s="1" t="s">
        <v>3169</v>
      </c>
      <c r="C894" s="1" t="s">
        <v>821</v>
      </c>
      <c r="D894" s="1" t="s">
        <v>3268</v>
      </c>
      <c r="E894" s="1" t="s">
        <v>685</v>
      </c>
      <c r="F894" s="1" t="s">
        <v>32</v>
      </c>
      <c r="G894" s="1" t="s">
        <v>3269</v>
      </c>
      <c r="H894" s="1">
        <v>1667</v>
      </c>
      <c r="I894" s="1" t="s">
        <v>65</v>
      </c>
      <c r="J894" s="1">
        <v>2</v>
      </c>
      <c r="K894" s="1" t="s">
        <v>35</v>
      </c>
      <c r="L894" s="1">
        <v>40</v>
      </c>
      <c r="M894" s="1" t="str">
        <f>IF(L894&lt;=45,"Joven","Mayor")</f>
        <v>Joven</v>
      </c>
      <c r="N894" s="1">
        <v>38</v>
      </c>
      <c r="O894" s="1" t="s">
        <v>36</v>
      </c>
      <c r="P894" s="1">
        <v>0.47299999999999998</v>
      </c>
      <c r="Q894" s="1">
        <v>44.344999999999999</v>
      </c>
      <c r="R894" s="1">
        <v>-16.695076</v>
      </c>
      <c r="S894" s="1">
        <v>2.1395873999999999</v>
      </c>
      <c r="T894" s="1">
        <v>3.9656649000000002</v>
      </c>
      <c r="U894" s="1">
        <v>58.984000000000002</v>
      </c>
      <c r="V894" s="1">
        <v>109</v>
      </c>
      <c r="W894" s="1">
        <v>209</v>
      </c>
      <c r="X894" s="1">
        <v>1.9174311926605505</v>
      </c>
      <c r="Y894" s="1">
        <v>118</v>
      </c>
      <c r="Z894" s="1">
        <v>209</v>
      </c>
      <c r="AA894" s="1">
        <v>1.771186440677966</v>
      </c>
      <c r="AB894" s="1">
        <v>120.55297454563041</v>
      </c>
      <c r="AC894" s="1">
        <v>207.3930471814015</v>
      </c>
      <c r="AD894" s="1">
        <v>1.7203478218855672</v>
      </c>
      <c r="AE894" t="s">
        <v>4817</v>
      </c>
      <c r="AF894" t="str">
        <f>IF(X894&lt;$AF$1,"Bajo","Alto")</f>
        <v>Alto</v>
      </c>
      <c r="AG894" t="str">
        <f>LEFT(AE894,1)</f>
        <v>C</v>
      </c>
      <c r="AH894" t="str">
        <f>K894</f>
        <v>M</v>
      </c>
      <c r="AI894" t="str">
        <f>LEFT(AF894,1)</f>
        <v>A</v>
      </c>
      <c r="AJ894" t="str">
        <f>LEFT(M894,1)</f>
        <v>J</v>
      </c>
      <c r="AK894" t="str">
        <f>_xlfn.CONCAT(AG894,AH894,AI894,AJ894)</f>
        <v>CMAJ</v>
      </c>
    </row>
    <row r="895" spans="1:37" ht="15.75" hidden="1" customHeight="1" x14ac:dyDescent="0.2">
      <c r="A895" s="1">
        <v>1091302</v>
      </c>
      <c r="B895" s="1" t="s">
        <v>719</v>
      </c>
      <c r="C895" s="1" t="s">
        <v>98</v>
      </c>
      <c r="D895" s="1" t="s">
        <v>1585</v>
      </c>
      <c r="E895" s="1" t="s">
        <v>163</v>
      </c>
      <c r="F895" s="1" t="s">
        <v>37</v>
      </c>
      <c r="G895" s="1" t="s">
        <v>1588</v>
      </c>
      <c r="H895" s="1">
        <v>2967</v>
      </c>
      <c r="I895" s="1" t="s">
        <v>1589</v>
      </c>
      <c r="J895" s="1">
        <v>3902</v>
      </c>
      <c r="K895" s="1" t="s">
        <v>35</v>
      </c>
      <c r="L895" s="1">
        <v>59</v>
      </c>
      <c r="M895" s="1" t="str">
        <f>IF(L895&lt;=45,"Joven","Mayor")</f>
        <v>Mayor</v>
      </c>
      <c r="N895" s="1">
        <v>67</v>
      </c>
      <c r="O895" s="1" t="s">
        <v>36</v>
      </c>
      <c r="P895" s="1">
        <v>0.35299999999999998</v>
      </c>
      <c r="Q895" s="1">
        <v>86.094999999999999</v>
      </c>
      <c r="R895" s="1">
        <v>-6.6361017000000002</v>
      </c>
      <c r="S895" s="1">
        <v>-7.9287570000000001</v>
      </c>
      <c r="T895" s="1">
        <v>4.4525256000000004</v>
      </c>
      <c r="U895" s="1">
        <v>2.194</v>
      </c>
      <c r="V895" s="1">
        <v>65</v>
      </c>
      <c r="W895" s="1">
        <v>124</v>
      </c>
      <c r="X895" s="1">
        <v>1.9076923076923078</v>
      </c>
      <c r="Y895" s="1">
        <v>69</v>
      </c>
      <c r="Z895" s="1">
        <v>124</v>
      </c>
      <c r="AA895" s="1">
        <v>1.7971014492753623</v>
      </c>
      <c r="AB895" s="1">
        <v>67.598619485600011</v>
      </c>
      <c r="AC895" s="1">
        <v>124.01393337941271</v>
      </c>
      <c r="AD895" s="1">
        <v>1.8345631068076826</v>
      </c>
      <c r="AE895" t="s">
        <v>4817</v>
      </c>
      <c r="AF895" t="str">
        <f>IF(X895&lt;$AF$1,"Bajo","Alto")</f>
        <v>Alto</v>
      </c>
      <c r="AG895" t="str">
        <f>LEFT(AE895,1)</f>
        <v>C</v>
      </c>
      <c r="AH895" t="str">
        <f>K895</f>
        <v>M</v>
      </c>
      <c r="AI895" t="str">
        <f>LEFT(AF895,1)</f>
        <v>A</v>
      </c>
      <c r="AJ895" t="str">
        <f>LEFT(M895,1)</f>
        <v>M</v>
      </c>
      <c r="AK895" t="str">
        <f>_xlfn.CONCAT(AG895,AH895,AI895,AJ895)</f>
        <v>CMAM</v>
      </c>
    </row>
    <row r="896" spans="1:37" ht="15.75" hidden="1" customHeight="1" x14ac:dyDescent="0.2">
      <c r="A896" s="1">
        <v>600106</v>
      </c>
      <c r="B896" s="1" t="s">
        <v>4700</v>
      </c>
      <c r="C896" s="1" t="s">
        <v>1458</v>
      </c>
      <c r="D896" s="1" t="s">
        <v>4701</v>
      </c>
      <c r="E896" s="1" t="s">
        <v>32</v>
      </c>
      <c r="F896" s="1" t="s">
        <v>88</v>
      </c>
      <c r="G896" s="1" t="s">
        <v>4706</v>
      </c>
      <c r="H896" s="1">
        <v>740</v>
      </c>
      <c r="I896" s="1" t="s">
        <v>108</v>
      </c>
      <c r="J896" s="1">
        <v>3</v>
      </c>
      <c r="K896" s="1" t="s">
        <v>49</v>
      </c>
      <c r="L896" s="1">
        <v>54</v>
      </c>
      <c r="M896" s="1" t="str">
        <f>IF(L896&lt;=45,"Joven","Mayor")</f>
        <v>Mayor</v>
      </c>
      <c r="N896" s="1">
        <v>27</v>
      </c>
      <c r="O896" s="1" t="s">
        <v>50</v>
      </c>
      <c r="P896" s="1">
        <v>8.7999999999999995E-2</v>
      </c>
      <c r="Q896" s="1">
        <v>86.948999999999998</v>
      </c>
      <c r="R896" s="1">
        <v>5.6943489999999999</v>
      </c>
      <c r="S896" s="1">
        <v>9.1608789999999996</v>
      </c>
      <c r="T896" s="1">
        <v>5.550027</v>
      </c>
      <c r="U896" s="1">
        <v>85.408000000000001</v>
      </c>
      <c r="V896" s="1">
        <v>115</v>
      </c>
      <c r="W896" s="1">
        <v>188</v>
      </c>
      <c r="X896" s="1">
        <v>1.6347826086956523</v>
      </c>
      <c r="Y896" s="1">
        <v>121</v>
      </c>
      <c r="Z896" s="1">
        <v>188</v>
      </c>
      <c r="AA896" s="1">
        <v>1.5537190082644627</v>
      </c>
      <c r="AB896" s="1">
        <v>121.8112224790068</v>
      </c>
      <c r="AC896" s="1">
        <v>189.72998138997079</v>
      </c>
      <c r="AD896" s="1">
        <v>1.5575739043475181</v>
      </c>
      <c r="AE896" t="s">
        <v>4817</v>
      </c>
      <c r="AF896" t="str">
        <f>IF(X896&lt;$AF$1,"Bajo","Alto")</f>
        <v>Bajo</v>
      </c>
      <c r="AG896" t="str">
        <f>LEFT(AE896,1)</f>
        <v>C</v>
      </c>
      <c r="AH896" t="str">
        <f>K896</f>
        <v>F</v>
      </c>
      <c r="AI896" t="str">
        <f>LEFT(AF896,1)</f>
        <v>B</v>
      </c>
      <c r="AJ896" t="str">
        <f>LEFT(M896,1)</f>
        <v>M</v>
      </c>
      <c r="AK896" t="str">
        <f>_xlfn.CONCAT(AG896,AH896,AI896,AJ896)</f>
        <v>CFBM</v>
      </c>
    </row>
    <row r="897" spans="1:37" ht="15.75" hidden="1" customHeight="1" x14ac:dyDescent="0.2">
      <c r="A897" s="1">
        <v>1070705</v>
      </c>
      <c r="B897" s="1" t="s">
        <v>1067</v>
      </c>
      <c r="C897" s="1" t="s">
        <v>1068</v>
      </c>
      <c r="D897" s="1" t="s">
        <v>1078</v>
      </c>
      <c r="E897" s="1" t="s">
        <v>43</v>
      </c>
      <c r="F897" s="1" t="s">
        <v>40</v>
      </c>
      <c r="G897" s="1" t="s">
        <v>1080</v>
      </c>
      <c r="H897" s="1">
        <v>43</v>
      </c>
      <c r="I897" s="1" t="s">
        <v>91</v>
      </c>
      <c r="J897" s="1">
        <v>6</v>
      </c>
      <c r="K897" s="1" t="s">
        <v>35</v>
      </c>
      <c r="L897" s="1">
        <v>44</v>
      </c>
      <c r="M897" s="1" t="str">
        <f>IF(L897&lt;=45,"Joven","Mayor")</f>
        <v>Joven</v>
      </c>
      <c r="N897" s="1">
        <v>48</v>
      </c>
      <c r="O897" s="1" t="s">
        <v>36</v>
      </c>
      <c r="P897" s="1">
        <v>0.39200000000000002</v>
      </c>
      <c r="Q897" s="1">
        <v>94.073999999999998</v>
      </c>
      <c r="R897" s="1">
        <v>-8.8412530000000003E-2</v>
      </c>
      <c r="S897" s="1">
        <v>-4.3661846999999998</v>
      </c>
      <c r="T897" s="1">
        <v>1.4727460000000001</v>
      </c>
      <c r="U897" s="1">
        <v>3.9289999999999998</v>
      </c>
      <c r="V897" s="1">
        <v>48</v>
      </c>
      <c r="W897" s="1">
        <v>92</v>
      </c>
      <c r="X897" s="1">
        <v>1.9166666666666667</v>
      </c>
      <c r="Y897" s="1">
        <v>49</v>
      </c>
      <c r="Z897" s="1">
        <v>92</v>
      </c>
      <c r="AA897" s="1">
        <v>1.8775510204081634</v>
      </c>
      <c r="AB897" s="1">
        <v>48.575276884771711</v>
      </c>
      <c r="AC897" s="1">
        <v>91.943907607892925</v>
      </c>
      <c r="AD897" s="1">
        <v>1.8928128361676355</v>
      </c>
      <c r="AE897" t="s">
        <v>4817</v>
      </c>
      <c r="AF897" t="str">
        <f>IF(X897&lt;$AF$1,"Bajo","Alto")</f>
        <v>Alto</v>
      </c>
      <c r="AG897" t="str">
        <f>LEFT(AE897,1)</f>
        <v>C</v>
      </c>
      <c r="AH897" t="str">
        <f>K897</f>
        <v>M</v>
      </c>
      <c r="AI897" t="str">
        <f>LEFT(AF897,1)</f>
        <v>A</v>
      </c>
      <c r="AJ897" t="str">
        <f>LEFT(M897,1)</f>
        <v>J</v>
      </c>
      <c r="AK897" t="str">
        <f>_xlfn.CONCAT(AG897,AH897,AI897,AJ897)</f>
        <v>CMAJ</v>
      </c>
    </row>
    <row r="898" spans="1:37" ht="15.75" hidden="1" customHeight="1" x14ac:dyDescent="0.2">
      <c r="A898" s="1">
        <v>524807</v>
      </c>
      <c r="B898" s="1" t="s">
        <v>4529</v>
      </c>
      <c r="C898" s="1" t="s">
        <v>685</v>
      </c>
      <c r="D898" s="1" t="s">
        <v>4634</v>
      </c>
      <c r="E898" s="1" t="s">
        <v>2650</v>
      </c>
      <c r="F898" s="1" t="s">
        <v>43</v>
      </c>
      <c r="G898" s="1" t="s">
        <v>4639</v>
      </c>
      <c r="H898" s="1">
        <v>1389</v>
      </c>
      <c r="I898" s="1" t="s">
        <v>4640</v>
      </c>
      <c r="J898" s="1">
        <v>2157</v>
      </c>
      <c r="K898" s="1" t="s">
        <v>49</v>
      </c>
      <c r="L898" s="1">
        <v>36</v>
      </c>
      <c r="M898" s="1" t="str">
        <f>IF(L898&lt;=45,"Joven","Mayor")</f>
        <v>Joven</v>
      </c>
      <c r="N898" s="1">
        <v>36</v>
      </c>
      <c r="O898" s="1" t="s">
        <v>50</v>
      </c>
      <c r="P898" s="1">
        <v>8.1000000000000003E-2</v>
      </c>
      <c r="Q898" s="1">
        <v>36.146000000000001</v>
      </c>
      <c r="R898" s="1">
        <v>17.464437</v>
      </c>
      <c r="S898" s="1">
        <v>5.3995632999999996</v>
      </c>
      <c r="T898" s="1">
        <v>-8.5709579999999992</v>
      </c>
      <c r="U898" s="1">
        <v>59.186</v>
      </c>
      <c r="V898" s="1">
        <v>76</v>
      </c>
      <c r="W898" s="1">
        <v>125</v>
      </c>
      <c r="X898" s="1">
        <v>1.6447368421052631</v>
      </c>
      <c r="Y898" s="1">
        <v>85</v>
      </c>
      <c r="Z898" s="1">
        <v>125</v>
      </c>
      <c r="AA898" s="1">
        <v>1.4705882352941178</v>
      </c>
      <c r="AB898" s="1">
        <v>80.665499181876157</v>
      </c>
      <c r="AC898" s="1">
        <v>124.9453135888234</v>
      </c>
      <c r="AD898" s="1">
        <v>1.5489312637501904</v>
      </c>
      <c r="AE898" t="s">
        <v>4817</v>
      </c>
      <c r="AF898" t="str">
        <f>IF(X898&lt;$AF$1,"Bajo","Alto")</f>
        <v>Bajo</v>
      </c>
      <c r="AG898" t="str">
        <f>LEFT(AE898,1)</f>
        <v>C</v>
      </c>
      <c r="AH898" t="str">
        <f>K898</f>
        <v>F</v>
      </c>
      <c r="AI898" t="str">
        <f>LEFT(AF898,1)</f>
        <v>B</v>
      </c>
      <c r="AJ898" t="str">
        <f>LEFT(M898,1)</f>
        <v>J</v>
      </c>
      <c r="AK898" t="str">
        <f>_xlfn.CONCAT(AG898,AH898,AI898,AJ898)</f>
        <v>CFBJ</v>
      </c>
    </row>
    <row r="899" spans="1:37" ht="15.75" hidden="1" customHeight="1" x14ac:dyDescent="0.2">
      <c r="A899" s="1">
        <v>116410</v>
      </c>
      <c r="B899" s="1" t="s">
        <v>1648</v>
      </c>
      <c r="C899" s="1" t="s">
        <v>51</v>
      </c>
      <c r="D899" s="1" t="s">
        <v>1742</v>
      </c>
      <c r="E899" s="1" t="s">
        <v>710</v>
      </c>
      <c r="F899" s="1" t="s">
        <v>75</v>
      </c>
      <c r="G899" s="1" t="s">
        <v>1747</v>
      </c>
      <c r="H899" s="1">
        <v>791</v>
      </c>
      <c r="I899" s="1" t="s">
        <v>93</v>
      </c>
      <c r="J899" s="1">
        <v>9</v>
      </c>
      <c r="K899" s="1" t="s">
        <v>35</v>
      </c>
      <c r="L899" s="1">
        <v>30</v>
      </c>
      <c r="M899" s="1" t="str">
        <f>IF(L899&lt;=45,"Joven","Mayor")</f>
        <v>Joven</v>
      </c>
      <c r="N899" s="1">
        <v>37</v>
      </c>
      <c r="O899" s="1" t="s">
        <v>36</v>
      </c>
      <c r="P899" s="1">
        <v>0.35799999999999998</v>
      </c>
      <c r="Q899" s="1">
        <v>93.12</v>
      </c>
      <c r="R899" s="1">
        <v>-1.453635E-2</v>
      </c>
      <c r="S899" s="1">
        <v>7.6115522000000002</v>
      </c>
      <c r="T899" s="1">
        <v>-2.3081204999999998</v>
      </c>
      <c r="U899" s="1">
        <v>0.54900000000000004</v>
      </c>
      <c r="V899" s="1">
        <v>125</v>
      </c>
      <c r="W899" s="1">
        <v>203</v>
      </c>
      <c r="X899" s="1">
        <v>1.6240000000000001</v>
      </c>
      <c r="Y899" s="1">
        <v>127</v>
      </c>
      <c r="Z899" s="1">
        <v>203</v>
      </c>
      <c r="AA899" s="1">
        <v>1.5984251968503937</v>
      </c>
      <c r="AB899" s="1">
        <v>127.0733511529977</v>
      </c>
      <c r="AC899" s="1">
        <v>203.0769459804574</v>
      </c>
      <c r="AD899" s="1">
        <v>1.5981080544255934</v>
      </c>
      <c r="AE899" t="s">
        <v>4815</v>
      </c>
      <c r="AF899" t="str">
        <f>IF(X899&lt;$AF$1,"Bajo","Alto")</f>
        <v>Bajo</v>
      </c>
      <c r="AG899" t="str">
        <f>LEFT(AE899,1)</f>
        <v>I</v>
      </c>
      <c r="AH899" t="str">
        <f>K899</f>
        <v>M</v>
      </c>
      <c r="AI899" t="str">
        <f>LEFT(AF899,1)</f>
        <v>B</v>
      </c>
      <c r="AJ899" t="str">
        <f>LEFT(M899,1)</f>
        <v>J</v>
      </c>
      <c r="AK899" t="str">
        <f>_xlfn.CONCAT(AG899,AH899,AI899,AJ899)</f>
        <v>IMBJ</v>
      </c>
    </row>
    <row r="900" spans="1:37" ht="15.75" hidden="1" customHeight="1" x14ac:dyDescent="0.2">
      <c r="A900" s="1">
        <v>127508</v>
      </c>
      <c r="B900" s="1" t="s">
        <v>1798</v>
      </c>
      <c r="C900" s="1" t="s">
        <v>54</v>
      </c>
      <c r="D900" s="1" t="s">
        <v>1911</v>
      </c>
      <c r="E900" s="1" t="s">
        <v>1912</v>
      </c>
      <c r="F900" s="1" t="s">
        <v>46</v>
      </c>
      <c r="G900" s="1" t="s">
        <v>1920</v>
      </c>
      <c r="H900" s="1">
        <v>14741</v>
      </c>
      <c r="I900" s="1" t="s">
        <v>1921</v>
      </c>
      <c r="J900" s="1">
        <v>4021</v>
      </c>
      <c r="K900" s="1" t="s">
        <v>35</v>
      </c>
      <c r="L900" s="1">
        <v>32</v>
      </c>
      <c r="M900" s="1" t="str">
        <f>IF(L900&lt;=45,"Joven","Mayor")</f>
        <v>Joven</v>
      </c>
      <c r="N900" s="1">
        <v>30</v>
      </c>
      <c r="O900" s="1" t="s">
        <v>36</v>
      </c>
      <c r="P900" s="1">
        <v>0.34499999999999997</v>
      </c>
      <c r="Q900" s="1">
        <v>91.876000000000005</v>
      </c>
      <c r="R900" s="1">
        <v>4.0935829999999997</v>
      </c>
      <c r="S900" s="1">
        <v>2.4938310000000001</v>
      </c>
      <c r="T900" s="1">
        <v>-6.3855104000000003</v>
      </c>
      <c r="U900" s="1">
        <v>22.224</v>
      </c>
      <c r="V900" s="1">
        <v>107</v>
      </c>
      <c r="W900" s="1">
        <v>205</v>
      </c>
      <c r="X900" s="1">
        <v>1.9158878504672898</v>
      </c>
      <c r="Y900" s="1">
        <v>115</v>
      </c>
      <c r="Z900" s="1">
        <v>205</v>
      </c>
      <c r="AA900" s="1">
        <v>1.7826086956521738</v>
      </c>
      <c r="AB900" s="1">
        <v>113.78776032959129</v>
      </c>
      <c r="AC900" s="1">
        <v>205.06280712549099</v>
      </c>
      <c r="AD900" s="1">
        <v>1.8021517123767747</v>
      </c>
      <c r="AE900" t="s">
        <v>4817</v>
      </c>
      <c r="AF900" t="str">
        <f>IF(X900&lt;$AF$1,"Bajo","Alto")</f>
        <v>Alto</v>
      </c>
      <c r="AG900" t="str">
        <f>LEFT(AE900,1)</f>
        <v>C</v>
      </c>
      <c r="AH900" t="str">
        <f>K900</f>
        <v>M</v>
      </c>
      <c r="AI900" t="str">
        <f>LEFT(AF900,1)</f>
        <v>A</v>
      </c>
      <c r="AJ900" t="str">
        <f>LEFT(M900,1)</f>
        <v>J</v>
      </c>
      <c r="AK900" t="str">
        <f>_xlfn.CONCAT(AG900,AH900,AI900,AJ900)</f>
        <v>CMAJ</v>
      </c>
    </row>
    <row r="901" spans="1:37" ht="15.75" hidden="1" customHeight="1" x14ac:dyDescent="0.2">
      <c r="A901" s="1">
        <v>1093404</v>
      </c>
      <c r="B901" s="1" t="s">
        <v>719</v>
      </c>
      <c r="C901" s="1" t="s">
        <v>98</v>
      </c>
      <c r="D901" s="1" t="s">
        <v>1597</v>
      </c>
      <c r="E901" s="1" t="s">
        <v>634</v>
      </c>
      <c r="F901" s="1" t="s">
        <v>61</v>
      </c>
      <c r="G901" s="1" t="s">
        <v>1598</v>
      </c>
      <c r="H901" s="1">
        <v>448</v>
      </c>
      <c r="I901" s="1" t="s">
        <v>48</v>
      </c>
      <c r="J901" s="1">
        <v>4</v>
      </c>
      <c r="K901" s="1" t="s">
        <v>35</v>
      </c>
      <c r="L901" s="1">
        <v>46</v>
      </c>
      <c r="M901" s="1" t="str">
        <f>IF(L901&lt;=45,"Joven","Mayor")</f>
        <v>Mayor</v>
      </c>
      <c r="N901" s="1">
        <v>58</v>
      </c>
      <c r="O901" s="1" t="s">
        <v>36</v>
      </c>
      <c r="P901" s="1">
        <v>0.35199999999999998</v>
      </c>
      <c r="Q901" s="1">
        <v>93.436000000000007</v>
      </c>
      <c r="R901" s="1">
        <v>2.1068929999999999</v>
      </c>
      <c r="S901" s="1">
        <v>2.4247657999999999</v>
      </c>
      <c r="T901" s="1">
        <v>-5.5143304000000004</v>
      </c>
      <c r="U901" s="1">
        <v>11.583</v>
      </c>
      <c r="V901" s="1">
        <v>104</v>
      </c>
      <c r="W901" s="1">
        <v>169</v>
      </c>
      <c r="X901" s="1">
        <v>1.625</v>
      </c>
      <c r="Y901" s="1">
        <v>108</v>
      </c>
      <c r="Z901" s="1">
        <v>169</v>
      </c>
      <c r="AA901" s="1">
        <v>1.5648148148148149</v>
      </c>
      <c r="AB901" s="1">
        <v>108.0351596832197</v>
      </c>
      <c r="AC901" s="1">
        <v>169.17884806160461</v>
      </c>
      <c r="AD901" s="1">
        <v>1.5659610126709693</v>
      </c>
      <c r="AE901" t="s">
        <v>4817</v>
      </c>
      <c r="AF901" t="str">
        <f>IF(X901&lt;$AF$1,"Bajo","Alto")</f>
        <v>Bajo</v>
      </c>
      <c r="AG901" t="str">
        <f>LEFT(AE901,1)</f>
        <v>C</v>
      </c>
      <c r="AH901" t="str">
        <f>K901</f>
        <v>M</v>
      </c>
      <c r="AI901" t="str">
        <f>LEFT(AF901,1)</f>
        <v>B</v>
      </c>
      <c r="AJ901" t="str">
        <f>LEFT(M901,1)</f>
        <v>M</v>
      </c>
      <c r="AK901" t="str">
        <f>_xlfn.CONCAT(AG901,AH901,AI901,AJ901)</f>
        <v>CMBM</v>
      </c>
    </row>
    <row r="902" spans="1:37" ht="15.75" hidden="1" customHeight="1" x14ac:dyDescent="0.2">
      <c r="A902" s="1">
        <v>194003</v>
      </c>
      <c r="B902" s="1" t="s">
        <v>2656</v>
      </c>
      <c r="C902" s="1" t="s">
        <v>323</v>
      </c>
      <c r="D902" s="1" t="s">
        <v>2715</v>
      </c>
      <c r="E902" s="1" t="s">
        <v>657</v>
      </c>
      <c r="F902" s="1" t="s">
        <v>63</v>
      </c>
      <c r="G902" s="1" t="s">
        <v>2718</v>
      </c>
      <c r="H902" s="1">
        <v>2071</v>
      </c>
      <c r="I902" s="1" t="s">
        <v>65</v>
      </c>
      <c r="J902" s="1">
        <v>2</v>
      </c>
      <c r="K902" s="1" t="s">
        <v>35</v>
      </c>
      <c r="L902" s="1">
        <v>43</v>
      </c>
      <c r="M902" s="1" t="str">
        <f>IF(L902&lt;=45,"Joven","Mayor")</f>
        <v>Joven</v>
      </c>
      <c r="N902" s="1">
        <v>45</v>
      </c>
      <c r="O902" s="1" t="s">
        <v>36</v>
      </c>
      <c r="P902" s="1">
        <v>0.33900000000000002</v>
      </c>
      <c r="Q902" s="1">
        <v>91.26</v>
      </c>
      <c r="R902" s="1">
        <v>1.7169037</v>
      </c>
      <c r="S902" s="1">
        <v>9.3285789999999995</v>
      </c>
      <c r="T902" s="1">
        <v>2.1308923000000002</v>
      </c>
      <c r="U902" s="1">
        <v>3.6539999999999999</v>
      </c>
      <c r="V902" s="1">
        <v>107</v>
      </c>
      <c r="W902" s="1">
        <v>205</v>
      </c>
      <c r="X902" s="1">
        <v>1.9158878504672898</v>
      </c>
      <c r="Y902" s="1">
        <v>115</v>
      </c>
      <c r="Z902" s="1">
        <v>205</v>
      </c>
      <c r="AA902" s="1">
        <v>1.7826086956521738</v>
      </c>
      <c r="AB902" s="1">
        <v>113.2100808684809</v>
      </c>
      <c r="AC902" s="1">
        <v>205.08133578766271</v>
      </c>
      <c r="AD902" s="1">
        <v>1.8115112560153634</v>
      </c>
      <c r="AE902" t="s">
        <v>4817</v>
      </c>
      <c r="AF902" t="str">
        <f>IF(X902&lt;$AF$1,"Bajo","Alto")</f>
        <v>Alto</v>
      </c>
      <c r="AG902" t="str">
        <f>LEFT(AE902,1)</f>
        <v>C</v>
      </c>
      <c r="AH902" t="str">
        <f>K902</f>
        <v>M</v>
      </c>
      <c r="AI902" t="str">
        <f>LEFT(AF902,1)</f>
        <v>A</v>
      </c>
      <c r="AJ902" t="str">
        <f>LEFT(M902,1)</f>
        <v>J</v>
      </c>
      <c r="AK902" t="str">
        <f>_xlfn.CONCAT(AG902,AH902,AI902,AJ902)</f>
        <v>CMAJ</v>
      </c>
    </row>
    <row r="903" spans="1:37" ht="15.75" hidden="1" customHeight="1" x14ac:dyDescent="0.2">
      <c r="A903" s="1">
        <v>523505</v>
      </c>
      <c r="B903" s="1" t="s">
        <v>4529</v>
      </c>
      <c r="C903" s="1" t="s">
        <v>685</v>
      </c>
      <c r="D903" s="1" t="s">
        <v>175</v>
      </c>
      <c r="E903" s="1" t="s">
        <v>640</v>
      </c>
      <c r="F903" s="1" t="s">
        <v>40</v>
      </c>
      <c r="G903" s="1" t="s">
        <v>4588</v>
      </c>
      <c r="H903" s="1">
        <v>12947</v>
      </c>
      <c r="I903" s="1" t="s">
        <v>4589</v>
      </c>
      <c r="J903" s="1">
        <v>3434</v>
      </c>
      <c r="K903" s="1" t="s">
        <v>35</v>
      </c>
      <c r="L903" s="1">
        <v>56</v>
      </c>
      <c r="M903" s="1" t="str">
        <f>IF(L903&lt;=45,"Joven","Mayor")</f>
        <v>Mayor</v>
      </c>
      <c r="N903" s="1">
        <v>48</v>
      </c>
      <c r="O903" s="1" t="s">
        <v>36</v>
      </c>
      <c r="P903" s="1">
        <v>0.318</v>
      </c>
      <c r="Q903" s="1">
        <v>90.352999999999994</v>
      </c>
      <c r="R903" s="1">
        <v>-5.8026933999999999</v>
      </c>
      <c r="S903" s="1">
        <v>1.2108737999999999</v>
      </c>
      <c r="T903" s="1">
        <v>-1.5109488</v>
      </c>
      <c r="U903" s="1">
        <v>14.79</v>
      </c>
      <c r="V903" s="1">
        <v>108</v>
      </c>
      <c r="W903" s="1">
        <v>206</v>
      </c>
      <c r="X903" s="1">
        <v>1.9074074074074074</v>
      </c>
      <c r="Y903" s="1">
        <v>112</v>
      </c>
      <c r="Z903" s="1">
        <v>206</v>
      </c>
      <c r="AA903" s="1">
        <v>1.8392857142857142</v>
      </c>
      <c r="AB903" s="1">
        <v>110.77449923127161</v>
      </c>
      <c r="AC903" s="1">
        <v>206.40299827666831</v>
      </c>
      <c r="AD903" s="1">
        <v>1.8632717792363607</v>
      </c>
      <c r="AE903" t="s">
        <v>4817</v>
      </c>
      <c r="AF903" t="str">
        <f>IF(X903&lt;$AF$1,"Bajo","Alto")</f>
        <v>Alto</v>
      </c>
      <c r="AG903" t="str">
        <f>LEFT(AE903,1)</f>
        <v>C</v>
      </c>
      <c r="AH903" t="str">
        <f>K903</f>
        <v>M</v>
      </c>
      <c r="AI903" t="str">
        <f>LEFT(AF903,1)</f>
        <v>A</v>
      </c>
      <c r="AJ903" t="str">
        <f>LEFT(M903,1)</f>
        <v>M</v>
      </c>
      <c r="AK903" t="str">
        <f>_xlfn.CONCAT(AG903,AH903,AI903,AJ903)</f>
        <v>CMAM</v>
      </c>
    </row>
    <row r="904" spans="1:37" ht="15.75" hidden="1" customHeight="1" x14ac:dyDescent="0.2">
      <c r="A904" s="1">
        <v>231302</v>
      </c>
      <c r="B904" s="1" t="s">
        <v>319</v>
      </c>
      <c r="C904" s="1" t="s">
        <v>1989</v>
      </c>
      <c r="D904" s="1" t="s">
        <v>2971</v>
      </c>
      <c r="E904" s="1" t="s">
        <v>163</v>
      </c>
      <c r="F904" s="1" t="s">
        <v>37</v>
      </c>
      <c r="G904" s="1" t="s">
        <v>2973</v>
      </c>
      <c r="H904" s="1">
        <v>0</v>
      </c>
      <c r="I904" s="1" t="s">
        <v>85</v>
      </c>
      <c r="J904" s="1">
        <v>12</v>
      </c>
      <c r="K904" s="1" t="s">
        <v>35</v>
      </c>
      <c r="L904" s="1">
        <v>68</v>
      </c>
      <c r="M904" s="1" t="str">
        <f>IF(L904&lt;=45,"Joven","Mayor")</f>
        <v>Mayor</v>
      </c>
      <c r="N904" s="1">
        <v>48</v>
      </c>
      <c r="O904" s="1" t="s">
        <v>50</v>
      </c>
      <c r="P904" s="1">
        <v>0.372</v>
      </c>
      <c r="Q904" s="1">
        <v>0</v>
      </c>
      <c r="R904" s="1">
        <v>-0.78575859999999997</v>
      </c>
      <c r="S904" s="1">
        <v>3.7681415</v>
      </c>
      <c r="T904" s="1">
        <v>2.6186661999999998</v>
      </c>
      <c r="U904" s="1">
        <v>51.030999999999999</v>
      </c>
      <c r="V904" s="1">
        <v>49</v>
      </c>
      <c r="W904" s="1">
        <v>92</v>
      </c>
      <c r="X904" s="1">
        <v>1.8775510204081634</v>
      </c>
      <c r="Y904" s="1">
        <v>50</v>
      </c>
      <c r="Z904" s="1">
        <v>92</v>
      </c>
      <c r="AA904" s="1">
        <v>1.84</v>
      </c>
      <c r="AB904" s="1">
        <v>50.045353655710187</v>
      </c>
      <c r="AC904" s="1">
        <v>91.949616344145852</v>
      </c>
      <c r="AD904" s="1">
        <v>1.8373257381038486</v>
      </c>
      <c r="AE904" t="s">
        <v>4815</v>
      </c>
      <c r="AF904" t="str">
        <f>IF(X904&lt;$AF$1,"Bajo","Alto")</f>
        <v>Alto</v>
      </c>
      <c r="AG904" t="str">
        <f>LEFT(AE904,1)</f>
        <v>I</v>
      </c>
      <c r="AH904" t="str">
        <f>K904</f>
        <v>M</v>
      </c>
      <c r="AI904" t="str">
        <f>LEFT(AF904,1)</f>
        <v>A</v>
      </c>
      <c r="AJ904" t="str">
        <f>LEFT(M904,1)</f>
        <v>M</v>
      </c>
      <c r="AK904" t="str">
        <f>_xlfn.CONCAT(AG904,AH904,AI904,AJ904)</f>
        <v>IMAM</v>
      </c>
    </row>
    <row r="905" spans="1:37" ht="15.75" hidden="1" customHeight="1" x14ac:dyDescent="0.2">
      <c r="A905" s="1">
        <v>238002</v>
      </c>
      <c r="B905" s="1" t="s">
        <v>319</v>
      </c>
      <c r="C905" s="1" t="s">
        <v>1989</v>
      </c>
      <c r="D905" s="1" t="s">
        <v>3086</v>
      </c>
      <c r="E905" s="1" t="s">
        <v>744</v>
      </c>
      <c r="F905" s="1" t="s">
        <v>37</v>
      </c>
      <c r="G905" s="1" t="s">
        <v>3088</v>
      </c>
      <c r="H905" s="1">
        <v>1897</v>
      </c>
      <c r="I905" s="1" t="s">
        <v>65</v>
      </c>
      <c r="J905" s="1">
        <v>2</v>
      </c>
      <c r="K905" s="1" t="s">
        <v>35</v>
      </c>
      <c r="L905" s="1">
        <v>29</v>
      </c>
      <c r="M905" s="1" t="str">
        <f>IF(L905&lt;=45,"Joven","Mayor")</f>
        <v>Joven</v>
      </c>
      <c r="N905" s="1">
        <v>32</v>
      </c>
      <c r="O905" s="1" t="s">
        <v>36</v>
      </c>
      <c r="P905" s="1">
        <v>0.73599999999999999</v>
      </c>
      <c r="Q905" s="1">
        <v>86.995000000000005</v>
      </c>
      <c r="R905" s="1">
        <v>6.9079075000000003</v>
      </c>
      <c r="S905" s="1">
        <v>5.2868089999999999</v>
      </c>
      <c r="T905" s="1">
        <v>-2.7916881999999998</v>
      </c>
      <c r="U905" s="1">
        <v>9.8740000000000006</v>
      </c>
      <c r="V905" s="1">
        <v>91</v>
      </c>
      <c r="W905" s="1">
        <v>174</v>
      </c>
      <c r="X905" s="1">
        <v>1.9120879120879122</v>
      </c>
      <c r="Y905" s="1">
        <v>96</v>
      </c>
      <c r="Z905" s="1">
        <v>174</v>
      </c>
      <c r="AA905" s="1">
        <v>1.8125</v>
      </c>
      <c r="AB905" s="1">
        <v>94.083988139528856</v>
      </c>
      <c r="AC905" s="1">
        <v>174.37795761909089</v>
      </c>
      <c r="AD905" s="1">
        <v>1.853428634003951</v>
      </c>
      <c r="AE905" t="s">
        <v>4817</v>
      </c>
      <c r="AF905" t="str">
        <f>IF(X905&lt;$AF$1,"Bajo","Alto")</f>
        <v>Alto</v>
      </c>
      <c r="AG905" t="str">
        <f>LEFT(AE905,1)</f>
        <v>C</v>
      </c>
      <c r="AH905" t="str">
        <f>K905</f>
        <v>M</v>
      </c>
      <c r="AI905" t="str">
        <f>LEFT(AF905,1)</f>
        <v>A</v>
      </c>
      <c r="AJ905" t="str">
        <f>LEFT(M905,1)</f>
        <v>J</v>
      </c>
      <c r="AK905" t="str">
        <f>_xlfn.CONCAT(AG905,AH905,AI905,AJ905)</f>
        <v>CMAJ</v>
      </c>
    </row>
    <row r="906" spans="1:37" ht="15.75" hidden="1" customHeight="1" x14ac:dyDescent="0.2">
      <c r="A906" s="1">
        <v>1050406</v>
      </c>
      <c r="B906" s="1" t="s">
        <v>694</v>
      </c>
      <c r="C906" s="1" t="s">
        <v>879</v>
      </c>
      <c r="D906" s="1" t="s">
        <v>886</v>
      </c>
      <c r="E906" s="1" t="s">
        <v>61</v>
      </c>
      <c r="F906" s="1" t="s">
        <v>88</v>
      </c>
      <c r="G906" s="1" t="s">
        <v>889</v>
      </c>
      <c r="H906" s="1">
        <v>5</v>
      </c>
      <c r="I906" s="1" t="s">
        <v>134</v>
      </c>
      <c r="J906" s="1">
        <v>8</v>
      </c>
      <c r="K906" s="1" t="s">
        <v>35</v>
      </c>
      <c r="L906" s="1">
        <v>60</v>
      </c>
      <c r="M906" s="1" t="str">
        <f>IF(L906&lt;=45,"Joven","Mayor")</f>
        <v>Mayor</v>
      </c>
      <c r="N906" s="1">
        <v>66</v>
      </c>
      <c r="O906" s="1" t="s">
        <v>36</v>
      </c>
      <c r="P906" s="1">
        <v>0.35899999999999999</v>
      </c>
      <c r="Q906" s="1">
        <v>84.167000000000002</v>
      </c>
      <c r="R906" s="1">
        <v>8.9996299999999998</v>
      </c>
      <c r="S906" s="1">
        <v>2.3566799999999999</v>
      </c>
      <c r="T906" s="1">
        <v>-1.3251409999999999</v>
      </c>
      <c r="U906" s="1">
        <v>19.853999999999999</v>
      </c>
      <c r="V906" s="1">
        <v>75</v>
      </c>
      <c r="W906" s="1">
        <v>143</v>
      </c>
      <c r="X906" s="1">
        <v>1.9066666666666667</v>
      </c>
      <c r="Y906" s="1">
        <v>79</v>
      </c>
      <c r="Z906" s="1">
        <v>143</v>
      </c>
      <c r="AA906" s="1">
        <v>1.8101265822784811</v>
      </c>
      <c r="AB906" s="1">
        <v>78.215713699550633</v>
      </c>
      <c r="AC906" s="1">
        <v>143.12363787987579</v>
      </c>
      <c r="AD906" s="1">
        <v>1.8298578522169524</v>
      </c>
      <c r="AE906" t="s">
        <v>4817</v>
      </c>
      <c r="AF906" t="str">
        <f>IF(X906&lt;$AF$1,"Bajo","Alto")</f>
        <v>Alto</v>
      </c>
      <c r="AG906" t="str">
        <f>LEFT(AE906,1)</f>
        <v>C</v>
      </c>
      <c r="AH906" t="str">
        <f>K906</f>
        <v>M</v>
      </c>
      <c r="AI906" t="str">
        <f>LEFT(AF906,1)</f>
        <v>A</v>
      </c>
      <c r="AJ906" t="str">
        <f>LEFT(M906,1)</f>
        <v>M</v>
      </c>
      <c r="AK906" t="str">
        <f>_xlfn.CONCAT(AG906,AH906,AI906,AJ906)</f>
        <v>CMAM</v>
      </c>
    </row>
    <row r="907" spans="1:37" ht="15.75" hidden="1" customHeight="1" x14ac:dyDescent="0.2">
      <c r="A907" s="1">
        <v>271004</v>
      </c>
      <c r="B907" s="1" t="s">
        <v>3409</v>
      </c>
      <c r="C907" s="1" t="s">
        <v>973</v>
      </c>
      <c r="D907" s="1" t="s">
        <v>3427</v>
      </c>
      <c r="E907" s="1" t="s">
        <v>75</v>
      </c>
      <c r="F907" s="1" t="s">
        <v>61</v>
      </c>
      <c r="G907" s="1" t="s">
        <v>3431</v>
      </c>
      <c r="H907" s="1">
        <v>4</v>
      </c>
      <c r="I907" s="1" t="s">
        <v>91</v>
      </c>
      <c r="J907" s="1">
        <v>6</v>
      </c>
      <c r="K907" s="1" t="s">
        <v>35</v>
      </c>
      <c r="L907" s="1">
        <v>64</v>
      </c>
      <c r="M907" s="1" t="str">
        <f>IF(L907&lt;=45,"Joven","Mayor")</f>
        <v>Mayor</v>
      </c>
      <c r="N907" s="1">
        <v>67</v>
      </c>
      <c r="O907" s="1" t="s">
        <v>36</v>
      </c>
      <c r="P907" s="1">
        <v>0.75700000000000001</v>
      </c>
      <c r="Q907" s="1">
        <v>76.149000000000001</v>
      </c>
      <c r="R907" s="1">
        <v>-10.870153999999999</v>
      </c>
      <c r="S907" s="1">
        <v>5.6428799999999999</v>
      </c>
      <c r="T907" s="1">
        <v>-0.24874236</v>
      </c>
      <c r="U907" s="1">
        <v>0.46100000000000002</v>
      </c>
      <c r="V907" s="1">
        <v>104</v>
      </c>
      <c r="W907" s="1">
        <v>169</v>
      </c>
      <c r="X907" s="1">
        <v>1.625</v>
      </c>
      <c r="Y907" s="1">
        <v>106</v>
      </c>
      <c r="Z907" s="1">
        <v>169</v>
      </c>
      <c r="AA907" s="1">
        <v>1.5943396226415094</v>
      </c>
      <c r="AB907" s="1">
        <v>105.83837078020341</v>
      </c>
      <c r="AC907" s="1">
        <v>169.04182098231419</v>
      </c>
      <c r="AD907" s="1">
        <v>1.597169530636168</v>
      </c>
      <c r="AE907" t="s">
        <v>4817</v>
      </c>
      <c r="AF907" t="str">
        <f>IF(X907&lt;$AF$1,"Bajo","Alto")</f>
        <v>Bajo</v>
      </c>
      <c r="AG907" t="str">
        <f>LEFT(AE907,1)</f>
        <v>C</v>
      </c>
      <c r="AH907" t="str">
        <f>K907</f>
        <v>M</v>
      </c>
      <c r="AI907" t="str">
        <f>LEFT(AF907,1)</f>
        <v>B</v>
      </c>
      <c r="AJ907" t="str">
        <f>LEFT(M907,1)</f>
        <v>M</v>
      </c>
      <c r="AK907" t="str">
        <f>_xlfn.CONCAT(AG907,AH907,AI907,AJ907)</f>
        <v>CMBM</v>
      </c>
    </row>
    <row r="908" spans="1:37" ht="15.75" hidden="1" customHeight="1" x14ac:dyDescent="0.2">
      <c r="A908" s="1">
        <v>277101</v>
      </c>
      <c r="B908" s="1" t="s">
        <v>3409</v>
      </c>
      <c r="C908" s="1" t="s">
        <v>973</v>
      </c>
      <c r="D908" s="1" t="s">
        <v>2584</v>
      </c>
      <c r="E908" s="1" t="s">
        <v>3709</v>
      </c>
      <c r="F908" s="1" t="s">
        <v>32</v>
      </c>
      <c r="G908" s="1" t="s">
        <v>3710</v>
      </c>
      <c r="H908" s="1">
        <v>176</v>
      </c>
      <c r="I908" s="1" t="s">
        <v>85</v>
      </c>
      <c r="J908" s="1">
        <v>12</v>
      </c>
      <c r="K908" s="1" t="s">
        <v>35</v>
      </c>
      <c r="L908" s="1">
        <v>46</v>
      </c>
      <c r="M908" s="1" t="str">
        <f>IF(L908&lt;=45,"Joven","Mayor")</f>
        <v>Mayor</v>
      </c>
      <c r="N908" s="1">
        <v>48</v>
      </c>
      <c r="O908" s="1" t="s">
        <v>36</v>
      </c>
      <c r="P908" s="1">
        <v>0.26</v>
      </c>
      <c r="Q908" s="1">
        <v>94.468000000000004</v>
      </c>
      <c r="R908" s="1">
        <v>0.80273163000000003</v>
      </c>
      <c r="S908" s="1">
        <v>0.89307194999999995</v>
      </c>
      <c r="T908" s="1">
        <v>-3.1615856</v>
      </c>
      <c r="U908" s="1">
        <v>1.972</v>
      </c>
      <c r="V908" s="1">
        <v>132</v>
      </c>
      <c r="W908" s="1">
        <v>215</v>
      </c>
      <c r="X908" s="1">
        <v>1.6287878787878789</v>
      </c>
      <c r="Y908" s="1">
        <v>137</v>
      </c>
      <c r="Z908" s="1">
        <v>215</v>
      </c>
      <c r="AA908" s="1">
        <v>1.5693430656934306</v>
      </c>
      <c r="AB908" s="1">
        <v>139.32847699194011</v>
      </c>
      <c r="AC908" s="1">
        <v>214.17639391157039</v>
      </c>
      <c r="AD908" s="1">
        <v>1.5372047304009508</v>
      </c>
      <c r="AE908" t="s">
        <v>4815</v>
      </c>
      <c r="AF908" t="str">
        <f>IF(X908&lt;$AF$1,"Bajo","Alto")</f>
        <v>Bajo</v>
      </c>
      <c r="AG908" t="str">
        <f>LEFT(AE908,1)</f>
        <v>I</v>
      </c>
      <c r="AH908" t="str">
        <f>K908</f>
        <v>M</v>
      </c>
      <c r="AI908" t="str">
        <f>LEFT(AF908,1)</f>
        <v>B</v>
      </c>
      <c r="AJ908" t="str">
        <f>LEFT(M908,1)</f>
        <v>M</v>
      </c>
      <c r="AK908" t="str">
        <f>_xlfn.CONCAT(AG908,AH908,AI908,AJ908)</f>
        <v>IMBM</v>
      </c>
    </row>
    <row r="909" spans="1:37" ht="15.75" hidden="1" customHeight="1" x14ac:dyDescent="0.2">
      <c r="A909" s="1">
        <v>10110905</v>
      </c>
      <c r="B909" s="1" t="s">
        <v>29</v>
      </c>
      <c r="C909" s="1" t="s">
        <v>30</v>
      </c>
      <c r="D909" s="1" t="s">
        <v>97</v>
      </c>
      <c r="E909" s="1" t="s">
        <v>98</v>
      </c>
      <c r="F909" s="1" t="s">
        <v>40</v>
      </c>
      <c r="G909" s="1" t="s">
        <v>103</v>
      </c>
      <c r="H909" s="1">
        <v>2603</v>
      </c>
      <c r="I909" s="1" t="s">
        <v>104</v>
      </c>
      <c r="J909" s="1">
        <v>3729</v>
      </c>
      <c r="K909" s="1" t="s">
        <v>35</v>
      </c>
      <c r="L909" s="1">
        <v>49</v>
      </c>
      <c r="M909" s="1" t="str">
        <f>IF(L909&lt;=45,"Joven","Mayor")</f>
        <v>Mayor</v>
      </c>
      <c r="N909" s="1">
        <v>56</v>
      </c>
      <c r="O909" s="1" t="s">
        <v>36</v>
      </c>
      <c r="P909" s="1">
        <v>0.34899999999999998</v>
      </c>
      <c r="Q909" s="1">
        <v>89.465999999999994</v>
      </c>
      <c r="R909" s="1">
        <v>5.6157560000000002</v>
      </c>
      <c r="S909" s="1">
        <v>-4.5982770000000004</v>
      </c>
      <c r="T909" s="1">
        <v>0.36017293</v>
      </c>
      <c r="U909" s="1">
        <v>1.145</v>
      </c>
      <c r="V909" s="1">
        <v>64</v>
      </c>
      <c r="W909" s="1">
        <v>122</v>
      </c>
      <c r="X909" s="1">
        <v>1.90625</v>
      </c>
      <c r="Y909" s="1">
        <v>65</v>
      </c>
      <c r="Z909" s="1">
        <v>122</v>
      </c>
      <c r="AA909" s="1">
        <v>1.8769230769230769</v>
      </c>
      <c r="AB909" s="1">
        <v>64.784986211177511</v>
      </c>
      <c r="AC909" s="1">
        <v>121.99758951031301</v>
      </c>
      <c r="AD909" s="1">
        <v>1.8831151574632035</v>
      </c>
      <c r="AE909" t="s">
        <v>4817</v>
      </c>
      <c r="AF909" t="str">
        <f>IF(X909&lt;$AF$1,"Bajo","Alto")</f>
        <v>Alto</v>
      </c>
      <c r="AG909" t="str">
        <f>LEFT(AE909,1)</f>
        <v>C</v>
      </c>
      <c r="AH909" t="str">
        <f>K909</f>
        <v>M</v>
      </c>
      <c r="AI909" t="str">
        <f>LEFT(AF909,1)</f>
        <v>A</v>
      </c>
      <c r="AJ909" t="str">
        <f>LEFT(M909,1)</f>
        <v>M</v>
      </c>
      <c r="AK909" t="str">
        <f>_xlfn.CONCAT(AG909,AH909,AI909,AJ909)</f>
        <v>CMAM</v>
      </c>
    </row>
    <row r="910" spans="1:37" ht="15.75" hidden="1" customHeight="1" x14ac:dyDescent="0.2">
      <c r="A910" s="1">
        <v>2311201</v>
      </c>
      <c r="B910" s="1" t="s">
        <v>319</v>
      </c>
      <c r="C910" s="1" t="s">
        <v>1989</v>
      </c>
      <c r="D910" s="1" t="s">
        <v>2941</v>
      </c>
      <c r="E910" s="1" t="s">
        <v>106</v>
      </c>
      <c r="F910" s="1" t="s">
        <v>32</v>
      </c>
      <c r="G910" s="1" t="s">
        <v>2942</v>
      </c>
      <c r="H910" s="1">
        <v>2824</v>
      </c>
      <c r="I910" s="1" t="s">
        <v>65</v>
      </c>
      <c r="J910" s="1">
        <v>2</v>
      </c>
      <c r="K910" s="1" t="s">
        <v>35</v>
      </c>
      <c r="L910" s="1">
        <v>52</v>
      </c>
      <c r="M910" s="1" t="str">
        <f>IF(L910&lt;=45,"Joven","Mayor")</f>
        <v>Mayor</v>
      </c>
      <c r="N910" s="1">
        <v>48</v>
      </c>
      <c r="O910" s="1" t="s">
        <v>36</v>
      </c>
      <c r="P910" s="1">
        <v>0.35499999999999998</v>
      </c>
      <c r="Q910" s="1">
        <v>83.516000000000005</v>
      </c>
      <c r="R910" s="1">
        <v>9.207122</v>
      </c>
      <c r="S910" s="1">
        <v>-2.6391935000000002</v>
      </c>
      <c r="T910" s="1">
        <v>-8.6043380000000003</v>
      </c>
      <c r="U910" s="1">
        <v>4.6959999999999997</v>
      </c>
      <c r="V910" s="1">
        <v>102</v>
      </c>
      <c r="W910" s="1">
        <v>166</v>
      </c>
      <c r="X910" s="1">
        <v>1.6274509803921569</v>
      </c>
      <c r="Y910" s="1">
        <v>111</v>
      </c>
      <c r="Z910" s="1">
        <v>166</v>
      </c>
      <c r="AA910" s="1">
        <v>1.4954954954954955</v>
      </c>
      <c r="AB910" s="1">
        <v>108.3325059724996</v>
      </c>
      <c r="AC910" s="1">
        <v>165.77739163023989</v>
      </c>
      <c r="AD910" s="1">
        <v>1.53026453271858</v>
      </c>
      <c r="AE910" t="s">
        <v>4817</v>
      </c>
      <c r="AF910" t="str">
        <f>IF(X910&lt;$AF$1,"Bajo","Alto")</f>
        <v>Bajo</v>
      </c>
      <c r="AG910" t="str">
        <f>LEFT(AE910,1)</f>
        <v>C</v>
      </c>
      <c r="AH910" t="str">
        <f>K910</f>
        <v>M</v>
      </c>
      <c r="AI910" t="str">
        <f>LEFT(AF910,1)</f>
        <v>B</v>
      </c>
      <c r="AJ910" t="str">
        <f>LEFT(M910,1)</f>
        <v>M</v>
      </c>
      <c r="AK910" t="str">
        <f>_xlfn.CONCAT(AG910,AH910,AI910,AJ910)</f>
        <v>CMBM</v>
      </c>
    </row>
    <row r="911" spans="1:37" ht="15.75" hidden="1" customHeight="1" x14ac:dyDescent="0.2">
      <c r="A911" s="1">
        <v>10111704</v>
      </c>
      <c r="B911" s="1" t="s">
        <v>29</v>
      </c>
      <c r="C911" s="1" t="s">
        <v>30</v>
      </c>
      <c r="D911" s="1" t="s">
        <v>119</v>
      </c>
      <c r="E911" s="1" t="s">
        <v>120</v>
      </c>
      <c r="F911" s="1" t="s">
        <v>61</v>
      </c>
      <c r="G911" s="1" t="s">
        <v>123</v>
      </c>
      <c r="H911" s="1">
        <v>3560</v>
      </c>
      <c r="I911" s="1" t="s">
        <v>85</v>
      </c>
      <c r="J911" s="1">
        <v>12</v>
      </c>
      <c r="K911" s="1" t="s">
        <v>35</v>
      </c>
      <c r="L911" s="1">
        <v>35</v>
      </c>
      <c r="M911" s="1" t="str">
        <f>IF(L911&lt;=45,"Joven","Mayor")</f>
        <v>Joven</v>
      </c>
      <c r="N911" s="1">
        <v>34</v>
      </c>
      <c r="O911" s="1" t="s">
        <v>36</v>
      </c>
      <c r="P911" s="1">
        <v>0.36399999999999999</v>
      </c>
      <c r="Q911" s="1">
        <v>87.927999999999997</v>
      </c>
      <c r="R911" s="1">
        <v>-6.2988780000000002</v>
      </c>
      <c r="S911" s="1">
        <v>5.7792596999999999</v>
      </c>
      <c r="T911" s="1">
        <v>8.5853289999999998</v>
      </c>
      <c r="U911" s="1">
        <v>1.6990000000000001</v>
      </c>
      <c r="V911" s="1">
        <v>90</v>
      </c>
      <c r="W911" s="1">
        <v>168</v>
      </c>
      <c r="X911" s="1">
        <v>1.8666666666666667</v>
      </c>
      <c r="Y911" s="1">
        <v>103</v>
      </c>
      <c r="Z911" s="1">
        <v>168</v>
      </c>
      <c r="AA911" s="1">
        <v>1.6310679611650485</v>
      </c>
      <c r="AB911" s="1">
        <v>97.068818609330265</v>
      </c>
      <c r="AC911" s="1">
        <v>168.35673162915961</v>
      </c>
      <c r="AD911" s="1">
        <v>1.7344058992490627</v>
      </c>
      <c r="AE911" t="s">
        <v>4815</v>
      </c>
      <c r="AF911" t="str">
        <f>IF(X911&lt;$AF$1,"Bajo","Alto")</f>
        <v>Alto</v>
      </c>
      <c r="AG911" t="str">
        <f>LEFT(AE911,1)</f>
        <v>I</v>
      </c>
      <c r="AH911" t="str">
        <f>K911</f>
        <v>M</v>
      </c>
      <c r="AI911" t="str">
        <f>LEFT(AF911,1)</f>
        <v>A</v>
      </c>
      <c r="AJ911" t="str">
        <f>LEFT(M911,1)</f>
        <v>J</v>
      </c>
      <c r="AK911" t="str">
        <f>_xlfn.CONCAT(AG911,AH911,AI911,AJ911)</f>
        <v>IMAJ</v>
      </c>
    </row>
    <row r="912" spans="1:37" ht="15.75" hidden="1" customHeight="1" x14ac:dyDescent="0.2">
      <c r="A912" s="1">
        <v>190107</v>
      </c>
      <c r="B912" s="1" t="s">
        <v>2656</v>
      </c>
      <c r="C912" s="1" t="s">
        <v>323</v>
      </c>
      <c r="D912" s="1" t="s">
        <v>2657</v>
      </c>
      <c r="E912" s="1" t="s">
        <v>32</v>
      </c>
      <c r="F912" s="1" t="s">
        <v>43</v>
      </c>
      <c r="G912" s="1" t="s">
        <v>2664</v>
      </c>
      <c r="H912" s="1">
        <v>11796</v>
      </c>
      <c r="I912" s="1" t="s">
        <v>2665</v>
      </c>
      <c r="J912" s="1">
        <v>3604</v>
      </c>
      <c r="K912" s="1" t="s">
        <v>35</v>
      </c>
      <c r="L912" s="1">
        <v>49</v>
      </c>
      <c r="M912" s="1" t="str">
        <f>IF(L912&lt;=45,"Joven","Mayor")</f>
        <v>Mayor</v>
      </c>
      <c r="N912" s="1">
        <v>53</v>
      </c>
      <c r="O912" s="1" t="s">
        <v>36</v>
      </c>
      <c r="P912" s="1">
        <v>0.46100000000000002</v>
      </c>
      <c r="Q912" s="1">
        <v>86.599000000000004</v>
      </c>
      <c r="R912" s="1">
        <v>6.2281404</v>
      </c>
      <c r="S912" s="1">
        <v>8.1713439999999995</v>
      </c>
      <c r="T912" s="1">
        <v>-3.1077278000000002</v>
      </c>
      <c r="U912" s="1">
        <v>6.931</v>
      </c>
      <c r="V912" s="1">
        <v>85</v>
      </c>
      <c r="W912" s="1">
        <v>162</v>
      </c>
      <c r="X912" s="1">
        <v>1.9058823529411764</v>
      </c>
      <c r="Y912" s="1">
        <v>88</v>
      </c>
      <c r="Z912" s="1">
        <v>162</v>
      </c>
      <c r="AA912" s="1">
        <v>1.8409090909090908</v>
      </c>
      <c r="AB912" s="1">
        <v>87.314603303943841</v>
      </c>
      <c r="AC912" s="1">
        <v>162.14125194285771</v>
      </c>
      <c r="AD912" s="1">
        <v>1.8569774792246474</v>
      </c>
      <c r="AE912" t="s">
        <v>4817</v>
      </c>
      <c r="AF912" t="str">
        <f>IF(X912&lt;$AF$1,"Bajo","Alto")</f>
        <v>Alto</v>
      </c>
      <c r="AG912" t="str">
        <f>LEFT(AE912,1)</f>
        <v>C</v>
      </c>
      <c r="AH912" t="str">
        <f>K912</f>
        <v>M</v>
      </c>
      <c r="AI912" t="str">
        <f>LEFT(AF912,1)</f>
        <v>A</v>
      </c>
      <c r="AJ912" t="str">
        <f>LEFT(M912,1)</f>
        <v>M</v>
      </c>
      <c r="AK912" t="str">
        <f>_xlfn.CONCAT(AG912,AH912,AI912,AJ912)</f>
        <v>CMAM</v>
      </c>
    </row>
    <row r="913" spans="1:37" ht="15.75" hidden="1" customHeight="1" x14ac:dyDescent="0.2">
      <c r="A913" s="1">
        <v>522803</v>
      </c>
      <c r="B913" s="1" t="s">
        <v>4529</v>
      </c>
      <c r="C913" s="1" t="s">
        <v>685</v>
      </c>
      <c r="D913" s="1" t="s">
        <v>4578</v>
      </c>
      <c r="E913" s="1" t="s">
        <v>561</v>
      </c>
      <c r="F913" s="1" t="s">
        <v>63</v>
      </c>
      <c r="G913" s="1" t="s">
        <v>4580</v>
      </c>
      <c r="H913" s="1">
        <v>857</v>
      </c>
      <c r="I913" s="1" t="s">
        <v>4578</v>
      </c>
      <c r="J913" s="1">
        <v>3395</v>
      </c>
      <c r="K913" s="1" t="s">
        <v>35</v>
      </c>
      <c r="L913" s="1">
        <v>36</v>
      </c>
      <c r="M913" s="1" t="str">
        <f>IF(L913&lt;=45,"Joven","Mayor")</f>
        <v>Joven</v>
      </c>
      <c r="N913" s="1">
        <v>38</v>
      </c>
      <c r="O913" s="1" t="s">
        <v>36</v>
      </c>
      <c r="P913" s="1">
        <v>0.36099999999999999</v>
      </c>
      <c r="Q913" s="1">
        <v>91.578000000000003</v>
      </c>
      <c r="R913" s="1">
        <v>4.5310540000000001</v>
      </c>
      <c r="S913" s="1">
        <v>-1.9849673999999999</v>
      </c>
      <c r="T913" s="1">
        <v>-6.8033020000000004</v>
      </c>
      <c r="U913" s="1">
        <v>8.0909999999999993</v>
      </c>
      <c r="V913" s="1">
        <v>91</v>
      </c>
      <c r="W913" s="1">
        <v>174</v>
      </c>
      <c r="X913" s="1">
        <v>1.9120879120879122</v>
      </c>
      <c r="Y913" s="1">
        <v>97</v>
      </c>
      <c r="Z913" s="1">
        <v>174</v>
      </c>
      <c r="AA913" s="1">
        <v>1.7938144329896908</v>
      </c>
      <c r="AB913" s="1">
        <v>96.756144577680061</v>
      </c>
      <c r="AC913" s="1">
        <v>174.19634511945611</v>
      </c>
      <c r="AD913" s="1">
        <v>1.800364678437592</v>
      </c>
      <c r="AE913" t="s">
        <v>4817</v>
      </c>
      <c r="AF913" t="str">
        <f>IF(X913&lt;$AF$1,"Bajo","Alto")</f>
        <v>Alto</v>
      </c>
      <c r="AG913" t="str">
        <f>LEFT(AE913,1)</f>
        <v>C</v>
      </c>
      <c r="AH913" t="str">
        <f>K913</f>
        <v>M</v>
      </c>
      <c r="AI913" t="str">
        <f>LEFT(AF913,1)</f>
        <v>A</v>
      </c>
      <c r="AJ913" t="str">
        <f>LEFT(M913,1)</f>
        <v>J</v>
      </c>
      <c r="AK913" t="str">
        <f>_xlfn.CONCAT(AG913,AH913,AI913,AJ913)</f>
        <v>CMAJ</v>
      </c>
    </row>
    <row r="914" spans="1:37" ht="15.75" hidden="1" customHeight="1" x14ac:dyDescent="0.2">
      <c r="A914" s="1">
        <v>4656008</v>
      </c>
      <c r="B914" s="1" t="s">
        <v>4382</v>
      </c>
      <c r="C914" s="1" t="s">
        <v>669</v>
      </c>
      <c r="D914" s="1" t="s">
        <v>4417</v>
      </c>
      <c r="E914" s="1" t="s">
        <v>4418</v>
      </c>
      <c r="F914" s="1" t="s">
        <v>46</v>
      </c>
      <c r="G914" s="1" t="s">
        <v>4421</v>
      </c>
      <c r="H914" s="1">
        <v>602</v>
      </c>
      <c r="I914" s="1" t="s">
        <v>4422</v>
      </c>
      <c r="J914" s="1">
        <v>2784</v>
      </c>
      <c r="K914" s="1" t="s">
        <v>49</v>
      </c>
      <c r="L914" s="1">
        <v>51</v>
      </c>
      <c r="M914" s="1" t="str">
        <f>IF(L914&lt;=45,"Joven","Mayor")</f>
        <v>Mayor</v>
      </c>
      <c r="N914" s="1">
        <v>30</v>
      </c>
      <c r="O914" s="1" t="s">
        <v>50</v>
      </c>
      <c r="P914" s="1">
        <v>0.35499999999999998</v>
      </c>
      <c r="Q914" s="1">
        <v>85.164000000000001</v>
      </c>
      <c r="R914" s="1">
        <v>8.5771250000000006</v>
      </c>
      <c r="S914" s="1">
        <v>2.3739474</v>
      </c>
      <c r="T914" s="1">
        <v>-0.19876619000000001</v>
      </c>
      <c r="U914" s="1">
        <v>1.835</v>
      </c>
      <c r="V914" s="1">
        <v>107</v>
      </c>
      <c r="W914" s="1">
        <v>204</v>
      </c>
      <c r="X914" s="1">
        <v>1.9065420560747663</v>
      </c>
      <c r="Y914" s="1">
        <v>110</v>
      </c>
      <c r="Z914" s="1">
        <v>204</v>
      </c>
      <c r="AA914" s="1">
        <v>1.8545454545454545</v>
      </c>
      <c r="AB914" s="1">
        <v>109.8085366228843</v>
      </c>
      <c r="AC914" s="1">
        <v>203.9779577441395</v>
      </c>
      <c r="AD914" s="1">
        <v>1.8575783269443016</v>
      </c>
      <c r="AE914" t="s">
        <v>4817</v>
      </c>
      <c r="AF914" t="str">
        <f>IF(X914&lt;$AF$1,"Bajo","Alto")</f>
        <v>Alto</v>
      </c>
      <c r="AG914" t="str">
        <f>LEFT(AE914,1)</f>
        <v>C</v>
      </c>
      <c r="AH914" t="str">
        <f>K914</f>
        <v>F</v>
      </c>
      <c r="AI914" t="str">
        <f>LEFT(AF914,1)</f>
        <v>A</v>
      </c>
      <c r="AJ914" t="str">
        <f>LEFT(M914,1)</f>
        <v>M</v>
      </c>
      <c r="AK914" t="str">
        <f>_xlfn.CONCAT(AG914,AH914,AI914,AJ914)</f>
        <v>CFAM</v>
      </c>
    </row>
    <row r="915" spans="1:37" ht="15.75" hidden="1" customHeight="1" x14ac:dyDescent="0.2">
      <c r="A915" s="1">
        <v>2711803</v>
      </c>
      <c r="B915" s="1" t="s">
        <v>3409</v>
      </c>
      <c r="C915" s="1" t="s">
        <v>973</v>
      </c>
      <c r="D915" s="1" t="s">
        <v>1925</v>
      </c>
      <c r="E915" s="1" t="s">
        <v>129</v>
      </c>
      <c r="F915" s="1" t="s">
        <v>63</v>
      </c>
      <c r="G915" s="1" t="s">
        <v>3454</v>
      </c>
      <c r="H915" s="1">
        <v>1433</v>
      </c>
      <c r="I915" s="1" t="s">
        <v>3455</v>
      </c>
      <c r="J915" s="1">
        <v>4563</v>
      </c>
      <c r="K915" s="1" t="s">
        <v>35</v>
      </c>
      <c r="L915" s="1">
        <v>27</v>
      </c>
      <c r="M915" s="1" t="str">
        <f>IF(L915&lt;=45,"Joven","Mayor")</f>
        <v>Joven</v>
      </c>
      <c r="N915" s="1">
        <v>45</v>
      </c>
      <c r="O915" s="1" t="s">
        <v>36</v>
      </c>
      <c r="P915" s="1">
        <v>0.46</v>
      </c>
      <c r="Q915" s="1">
        <v>86.082999999999998</v>
      </c>
      <c r="R915" s="1">
        <v>6.0968150000000003</v>
      </c>
      <c r="S915" s="1">
        <v>9.2016969999999993</v>
      </c>
      <c r="T915" s="1">
        <v>-0.2286068</v>
      </c>
      <c r="U915" s="1">
        <v>6.5739999999999998</v>
      </c>
      <c r="V915" s="1">
        <v>102</v>
      </c>
      <c r="W915" s="1">
        <v>195</v>
      </c>
      <c r="X915" s="1">
        <v>1.911764705882353</v>
      </c>
      <c r="Y915" s="1">
        <v>104</v>
      </c>
      <c r="Z915" s="1">
        <v>195</v>
      </c>
      <c r="AA915" s="1">
        <v>1.875</v>
      </c>
      <c r="AB915" s="1">
        <v>104.2186183723675</v>
      </c>
      <c r="AC915" s="1">
        <v>194.99844783793921</v>
      </c>
      <c r="AD915" s="1">
        <v>1.8710519375839381</v>
      </c>
      <c r="AE915" t="s">
        <v>4817</v>
      </c>
      <c r="AF915" t="str">
        <f>IF(X915&lt;$AF$1,"Bajo","Alto")</f>
        <v>Alto</v>
      </c>
      <c r="AG915" t="str">
        <f>LEFT(AE915,1)</f>
        <v>C</v>
      </c>
      <c r="AH915" t="str">
        <f>K915</f>
        <v>M</v>
      </c>
      <c r="AI915" t="str">
        <f>LEFT(AF915,1)</f>
        <v>A</v>
      </c>
      <c r="AJ915" t="str">
        <f>LEFT(M915,1)</f>
        <v>J</v>
      </c>
      <c r="AK915" t="str">
        <f>_xlfn.CONCAT(AG915,AH915,AI915,AJ915)</f>
        <v>CMAJ</v>
      </c>
    </row>
    <row r="916" spans="1:37" ht="15.75" hidden="1" customHeight="1" x14ac:dyDescent="0.2">
      <c r="A916" s="1">
        <v>2718704</v>
      </c>
      <c r="B916" s="1" t="s">
        <v>3409</v>
      </c>
      <c r="C916" s="1" t="s">
        <v>973</v>
      </c>
      <c r="D916" s="1" t="s">
        <v>3586</v>
      </c>
      <c r="E916" s="1" t="s">
        <v>316</v>
      </c>
      <c r="F916" s="1" t="s">
        <v>61</v>
      </c>
      <c r="G916" s="1" t="s">
        <v>3589</v>
      </c>
      <c r="H916" s="1">
        <v>964</v>
      </c>
      <c r="I916" s="1" t="s">
        <v>91</v>
      </c>
      <c r="J916" s="1">
        <v>6</v>
      </c>
      <c r="K916" s="1" t="s">
        <v>35</v>
      </c>
      <c r="L916" s="1">
        <v>48</v>
      </c>
      <c r="M916" s="1" t="str">
        <f>IF(L916&lt;=45,"Joven","Mayor")</f>
        <v>Mayor</v>
      </c>
      <c r="N916" s="1">
        <v>58</v>
      </c>
      <c r="O916" s="1" t="s">
        <v>36</v>
      </c>
      <c r="P916" s="1">
        <v>0.35699999999999998</v>
      </c>
      <c r="Q916" s="1">
        <v>93.096000000000004</v>
      </c>
      <c r="R916" s="1">
        <v>2.5342962999999998</v>
      </c>
      <c r="S916" s="1">
        <v>2.6620482999999999</v>
      </c>
      <c r="T916" s="1">
        <v>-2.8759960000000002</v>
      </c>
      <c r="U916" s="1">
        <v>33.390999999999998</v>
      </c>
      <c r="V916" s="1">
        <v>86</v>
      </c>
      <c r="W916" s="1">
        <v>140</v>
      </c>
      <c r="X916" s="1">
        <v>1.6279069767441861</v>
      </c>
      <c r="Y916" s="1">
        <v>87</v>
      </c>
      <c r="Z916" s="1">
        <v>140</v>
      </c>
      <c r="AA916" s="1">
        <v>1.6091954022988506</v>
      </c>
      <c r="AB916" s="1">
        <v>87.798311910438088</v>
      </c>
      <c r="AC916" s="1">
        <v>139.87383967795719</v>
      </c>
      <c r="AD916" s="1">
        <v>1.5931267541981977</v>
      </c>
      <c r="AE916" t="s">
        <v>4817</v>
      </c>
      <c r="AF916" t="str">
        <f>IF(X916&lt;$AF$1,"Bajo","Alto")</f>
        <v>Bajo</v>
      </c>
      <c r="AG916" t="str">
        <f>LEFT(AE916,1)</f>
        <v>C</v>
      </c>
      <c r="AH916" t="str">
        <f>K916</f>
        <v>M</v>
      </c>
      <c r="AI916" t="str">
        <f>LEFT(AF916,1)</f>
        <v>B</v>
      </c>
      <c r="AJ916" t="str">
        <f>LEFT(M916,1)</f>
        <v>M</v>
      </c>
      <c r="AK916" t="str">
        <f>_xlfn.CONCAT(AG916,AH916,AI916,AJ916)</f>
        <v>CMBM</v>
      </c>
    </row>
    <row r="917" spans="1:37" ht="15.75" hidden="1" customHeight="1" x14ac:dyDescent="0.2">
      <c r="A917" s="1">
        <v>520804</v>
      </c>
      <c r="B917" s="1" t="s">
        <v>4529</v>
      </c>
      <c r="C917" s="1" t="s">
        <v>685</v>
      </c>
      <c r="D917" s="1" t="s">
        <v>4546</v>
      </c>
      <c r="E917" s="1" t="s">
        <v>46</v>
      </c>
      <c r="F917" s="1" t="s">
        <v>61</v>
      </c>
      <c r="G917" s="1" t="s">
        <v>4549</v>
      </c>
      <c r="H917" s="1">
        <v>51</v>
      </c>
      <c r="I917" s="1" t="s">
        <v>294</v>
      </c>
      <c r="J917" s="1">
        <v>16</v>
      </c>
      <c r="K917" s="1" t="s">
        <v>35</v>
      </c>
      <c r="L917" s="1">
        <v>43</v>
      </c>
      <c r="M917" s="1" t="str">
        <f>IF(L917&lt;=45,"Joven","Mayor")</f>
        <v>Joven</v>
      </c>
      <c r="N917" s="1">
        <v>35</v>
      </c>
      <c r="O917" s="1" t="s">
        <v>36</v>
      </c>
      <c r="P917" s="1">
        <v>0.23300000000000001</v>
      </c>
      <c r="Q917" s="1">
        <v>93.084000000000003</v>
      </c>
      <c r="R917" s="1">
        <v>2.5368287999999999</v>
      </c>
      <c r="S917" s="1">
        <v>2.8426439999999999</v>
      </c>
      <c r="T917" s="1">
        <v>0.26905054</v>
      </c>
      <c r="U917" s="1">
        <v>1.7989999999999999</v>
      </c>
      <c r="V917" s="1">
        <v>102</v>
      </c>
      <c r="W917" s="1">
        <v>195</v>
      </c>
      <c r="X917" s="1">
        <v>1.911764705882353</v>
      </c>
      <c r="Y917" s="1">
        <v>103</v>
      </c>
      <c r="Z917" s="1">
        <v>195</v>
      </c>
      <c r="AA917" s="1">
        <v>1.8932038834951457</v>
      </c>
      <c r="AB917" s="1">
        <v>102.7640743648199</v>
      </c>
      <c r="AC917" s="1">
        <v>195.01193746181119</v>
      </c>
      <c r="AD917" s="1">
        <v>1.8976664624010984</v>
      </c>
      <c r="AE917" t="s">
        <v>4817</v>
      </c>
      <c r="AF917" t="str">
        <f>IF(X917&lt;$AF$1,"Bajo","Alto")</f>
        <v>Alto</v>
      </c>
      <c r="AG917" t="str">
        <f>LEFT(AE917,1)</f>
        <v>C</v>
      </c>
      <c r="AH917" t="str">
        <f>K917</f>
        <v>M</v>
      </c>
      <c r="AI917" t="str">
        <f>LEFT(AF917,1)</f>
        <v>A</v>
      </c>
      <c r="AJ917" t="str">
        <f>LEFT(M917,1)</f>
        <v>J</v>
      </c>
      <c r="AK917" t="str">
        <f>_xlfn.CONCAT(AG917,AH917,AI917,AJ917)</f>
        <v>CMAJ</v>
      </c>
    </row>
    <row r="918" spans="1:37" ht="15.75" hidden="1" customHeight="1" x14ac:dyDescent="0.2">
      <c r="A918" s="1">
        <v>1057601</v>
      </c>
      <c r="B918" s="1" t="s">
        <v>694</v>
      </c>
      <c r="C918" s="1" t="s">
        <v>879</v>
      </c>
      <c r="D918" s="1" t="s">
        <v>1024</v>
      </c>
      <c r="E918" s="1" t="s">
        <v>727</v>
      </c>
      <c r="F918" s="1" t="s">
        <v>32</v>
      </c>
      <c r="G918" s="1" t="s">
        <v>1025</v>
      </c>
      <c r="H918" s="1">
        <v>6397</v>
      </c>
      <c r="I918" s="1" t="s">
        <v>100</v>
      </c>
      <c r="J918" s="1">
        <v>1</v>
      </c>
      <c r="K918" s="1" t="s">
        <v>35</v>
      </c>
      <c r="L918" s="1">
        <v>41</v>
      </c>
      <c r="M918" s="1" t="str">
        <f>IF(L918&lt;=45,"Joven","Mayor")</f>
        <v>Joven</v>
      </c>
      <c r="N918" s="1">
        <v>45</v>
      </c>
      <c r="O918" s="1" t="s">
        <v>36</v>
      </c>
      <c r="P918" s="1">
        <v>8.2000000000000003E-2</v>
      </c>
      <c r="Q918" s="1">
        <v>85.412999999999997</v>
      </c>
      <c r="R918" s="1">
        <v>8.5870420000000003</v>
      </c>
      <c r="S918" s="1">
        <v>2.0320537000000001</v>
      </c>
      <c r="T918" s="1">
        <v>-4.6627096999999997</v>
      </c>
      <c r="U918" s="1">
        <v>0.40799999999999997</v>
      </c>
      <c r="V918" s="1">
        <v>90</v>
      </c>
      <c r="W918" s="1">
        <v>172</v>
      </c>
      <c r="X918" s="1">
        <v>1.9111111111111112</v>
      </c>
      <c r="Y918" s="1">
        <v>94</v>
      </c>
      <c r="Z918" s="1">
        <v>172</v>
      </c>
      <c r="AA918" s="1">
        <v>1.8297872340425532</v>
      </c>
      <c r="AB918" s="1">
        <v>93.441478103129612</v>
      </c>
      <c r="AC918" s="1">
        <v>171.755926133847</v>
      </c>
      <c r="AD918" s="1">
        <v>1.8381122561469243</v>
      </c>
      <c r="AE918" t="s">
        <v>4817</v>
      </c>
      <c r="AF918" t="str">
        <f>IF(X918&lt;$AF$1,"Bajo","Alto")</f>
        <v>Alto</v>
      </c>
      <c r="AG918" t="str">
        <f>LEFT(AE918,1)</f>
        <v>C</v>
      </c>
      <c r="AH918" t="str">
        <f>K918</f>
        <v>M</v>
      </c>
      <c r="AI918" t="str">
        <f>LEFT(AF918,1)</f>
        <v>A</v>
      </c>
      <c r="AJ918" t="str">
        <f>LEFT(M918,1)</f>
        <v>J</v>
      </c>
      <c r="AK918" t="str">
        <f>_xlfn.CONCAT(AG918,AH918,AI918,AJ918)</f>
        <v>CMAJ</v>
      </c>
    </row>
    <row r="919" spans="1:37" ht="15.75" hidden="1" customHeight="1" x14ac:dyDescent="0.2">
      <c r="A919" s="1">
        <v>116705</v>
      </c>
      <c r="B919" s="1" t="s">
        <v>1648</v>
      </c>
      <c r="C919" s="1" t="s">
        <v>51</v>
      </c>
      <c r="D919" s="1" t="s">
        <v>1750</v>
      </c>
      <c r="E919" s="1" t="s">
        <v>715</v>
      </c>
      <c r="F919" s="1" t="s">
        <v>40</v>
      </c>
      <c r="G919" s="1" t="s">
        <v>1754</v>
      </c>
      <c r="H919" s="1">
        <v>1482</v>
      </c>
      <c r="I919" s="1" t="s">
        <v>134</v>
      </c>
      <c r="J919" s="1">
        <v>8</v>
      </c>
      <c r="K919" s="1" t="s">
        <v>35</v>
      </c>
      <c r="L919" s="1">
        <v>61</v>
      </c>
      <c r="M919" s="1" t="str">
        <f>IF(L919&lt;=45,"Joven","Mayor")</f>
        <v>Mayor</v>
      </c>
      <c r="N919" s="1">
        <v>72</v>
      </c>
      <c r="O919" s="1" t="s">
        <v>36</v>
      </c>
      <c r="P919" s="1">
        <v>0.58899999999999997</v>
      </c>
      <c r="Q919" s="1">
        <v>90.278000000000006</v>
      </c>
      <c r="R919" s="1">
        <v>-5.6020383999999996</v>
      </c>
      <c r="S919" s="1">
        <v>2.0487305999999998</v>
      </c>
      <c r="T919" s="1">
        <v>-0.84475960000000005</v>
      </c>
      <c r="U919" s="1">
        <v>0.27900000000000003</v>
      </c>
      <c r="V919" s="1">
        <v>105</v>
      </c>
      <c r="W919" s="1">
        <v>171</v>
      </c>
      <c r="X919" s="1">
        <v>1.6285714285714286</v>
      </c>
      <c r="Y919" s="1">
        <v>106</v>
      </c>
      <c r="Z919" s="1">
        <v>171</v>
      </c>
      <c r="AA919" s="1">
        <v>1.6132075471698113</v>
      </c>
      <c r="AB919" s="1">
        <v>106.5929544229186</v>
      </c>
      <c r="AC919" s="1">
        <v>171.01090089029231</v>
      </c>
      <c r="AD919" s="1">
        <v>1.6043358758196047</v>
      </c>
      <c r="AE919" t="s">
        <v>4817</v>
      </c>
      <c r="AF919" t="str">
        <f>IF(X919&lt;$AF$1,"Bajo","Alto")</f>
        <v>Bajo</v>
      </c>
      <c r="AG919" t="str">
        <f>LEFT(AE919,1)</f>
        <v>C</v>
      </c>
      <c r="AH919" t="str">
        <f>K919</f>
        <v>M</v>
      </c>
      <c r="AI919" t="str">
        <f>LEFT(AF919,1)</f>
        <v>B</v>
      </c>
      <c r="AJ919" t="str">
        <f>LEFT(M919,1)</f>
        <v>M</v>
      </c>
      <c r="AK919" t="str">
        <f>_xlfn.CONCAT(AG919,AH919,AI919,AJ919)</f>
        <v>CMBM</v>
      </c>
    </row>
    <row r="920" spans="1:37" ht="15.75" hidden="1" customHeight="1" x14ac:dyDescent="0.2">
      <c r="A920" s="1">
        <v>1510903</v>
      </c>
      <c r="B920" s="1" t="s">
        <v>2077</v>
      </c>
      <c r="C920" s="1" t="s">
        <v>57</v>
      </c>
      <c r="D920" s="1" t="s">
        <v>2110</v>
      </c>
      <c r="E920" s="1" t="s">
        <v>98</v>
      </c>
      <c r="F920" s="1" t="s">
        <v>63</v>
      </c>
      <c r="G920" s="1" t="s">
        <v>2112</v>
      </c>
      <c r="H920" s="1">
        <v>3206</v>
      </c>
      <c r="I920" s="1" t="s">
        <v>87</v>
      </c>
      <c r="J920" s="1">
        <v>14</v>
      </c>
      <c r="K920" s="1" t="s">
        <v>49</v>
      </c>
      <c r="L920" s="1">
        <v>55</v>
      </c>
      <c r="M920" s="1" t="str">
        <f>IF(L920&lt;=45,"Joven","Mayor")</f>
        <v>Mayor</v>
      </c>
      <c r="N920" s="1">
        <v>52</v>
      </c>
      <c r="O920" s="1" t="s">
        <v>50</v>
      </c>
      <c r="P920" s="1">
        <v>1.077</v>
      </c>
      <c r="Q920" s="1">
        <v>92.866</v>
      </c>
      <c r="R920" s="1">
        <v>2.2546172000000002</v>
      </c>
      <c r="S920" s="1">
        <v>3.5755338999999999</v>
      </c>
      <c r="T920" s="1">
        <v>-4.6749134000000003</v>
      </c>
      <c r="U920" s="1">
        <v>17.937999999999999</v>
      </c>
      <c r="V920" s="1">
        <v>71</v>
      </c>
      <c r="W920" s="1">
        <v>132</v>
      </c>
      <c r="X920" s="1">
        <v>1.8591549295774648</v>
      </c>
      <c r="Y920" s="1">
        <v>73</v>
      </c>
      <c r="Z920" s="1">
        <v>132</v>
      </c>
      <c r="AA920" s="1">
        <v>1.8082191780821917</v>
      </c>
      <c r="AB920" s="1">
        <v>73.453365163713215</v>
      </c>
      <c r="AC920" s="1">
        <v>131.96836876333691</v>
      </c>
      <c r="AD920" s="1">
        <v>1.7966279484841188</v>
      </c>
      <c r="AE920" t="s">
        <v>4816</v>
      </c>
      <c r="AF920" t="str">
        <f>IF(X920&lt;$AF$1,"Bajo","Alto")</f>
        <v>Alto</v>
      </c>
      <c r="AG920" t="str">
        <f>LEFT(AE920,1)</f>
        <v>D</v>
      </c>
      <c r="AH920" t="str">
        <f>K920</f>
        <v>F</v>
      </c>
      <c r="AI920" t="str">
        <f>LEFT(AF920,1)</f>
        <v>A</v>
      </c>
      <c r="AJ920" t="str">
        <f>LEFT(M920,1)</f>
        <v>M</v>
      </c>
      <c r="AK920" t="str">
        <f>_xlfn.CONCAT(AG920,AH920,AI920,AJ920)</f>
        <v>DFAM</v>
      </c>
    </row>
    <row r="921" spans="1:37" ht="15.75" hidden="1" customHeight="1" x14ac:dyDescent="0.2">
      <c r="A921" s="1">
        <v>214007</v>
      </c>
      <c r="B921" s="1" t="s">
        <v>2816</v>
      </c>
      <c r="C921" s="1" t="s">
        <v>2817</v>
      </c>
      <c r="D921" s="1" t="s">
        <v>2867</v>
      </c>
      <c r="E921" s="1" t="s">
        <v>657</v>
      </c>
      <c r="F921" s="1" t="s">
        <v>43</v>
      </c>
      <c r="G921" s="1" t="s">
        <v>2870</v>
      </c>
      <c r="H921" s="1">
        <v>1278</v>
      </c>
      <c r="I921" s="1" t="s">
        <v>108</v>
      </c>
      <c r="J921" s="1">
        <v>3</v>
      </c>
      <c r="K921" s="1" t="s">
        <v>35</v>
      </c>
      <c r="L921" s="1">
        <v>50</v>
      </c>
      <c r="M921" s="1" t="str">
        <f>IF(L921&lt;=45,"Joven","Mayor")</f>
        <v>Mayor</v>
      </c>
      <c r="N921" s="1">
        <v>40</v>
      </c>
      <c r="O921" s="1" t="s">
        <v>36</v>
      </c>
      <c r="P921" s="1">
        <v>0.33400000000000002</v>
      </c>
      <c r="Q921" s="1">
        <v>93.590999999999994</v>
      </c>
      <c r="R921" s="1">
        <v>-0.80572750000000004</v>
      </c>
      <c r="S921" s="1">
        <v>-4.8997359999999999</v>
      </c>
      <c r="T921" s="1">
        <v>-3.6583480000000002</v>
      </c>
      <c r="U921" s="1">
        <v>18.829000000000001</v>
      </c>
      <c r="V921" s="1">
        <v>73</v>
      </c>
      <c r="W921" s="1">
        <v>139</v>
      </c>
      <c r="X921" s="1">
        <v>1.904109589041096</v>
      </c>
      <c r="Y921" s="1">
        <v>77</v>
      </c>
      <c r="Z921" s="1">
        <v>139</v>
      </c>
      <c r="AA921" s="1">
        <v>1.8051948051948052</v>
      </c>
      <c r="AB921" s="1">
        <v>75.4673260332886</v>
      </c>
      <c r="AC921" s="1">
        <v>138.90817567789509</v>
      </c>
      <c r="AD921" s="1">
        <v>1.8406399561132292</v>
      </c>
      <c r="AE921" t="s">
        <v>4817</v>
      </c>
      <c r="AF921" t="str">
        <f>IF(X921&lt;$AF$1,"Bajo","Alto")</f>
        <v>Alto</v>
      </c>
      <c r="AG921" t="str">
        <f>LEFT(AE921,1)</f>
        <v>C</v>
      </c>
      <c r="AH921" t="str">
        <f>K921</f>
        <v>M</v>
      </c>
      <c r="AI921" t="str">
        <f>LEFT(AF921,1)</f>
        <v>A</v>
      </c>
      <c r="AJ921" t="str">
        <f>LEFT(M921,1)</f>
        <v>M</v>
      </c>
      <c r="AK921" t="str">
        <f>_xlfn.CONCAT(AG921,AH921,AI921,AJ921)</f>
        <v>CMAM</v>
      </c>
    </row>
    <row r="922" spans="1:37" ht="15.75" hidden="1" customHeight="1" x14ac:dyDescent="0.2">
      <c r="A922" s="1">
        <v>10733702</v>
      </c>
      <c r="B922" s="1" t="s">
        <v>1067</v>
      </c>
      <c r="C922" s="1" t="s">
        <v>1068</v>
      </c>
      <c r="D922" s="1" t="s">
        <v>1427</v>
      </c>
      <c r="E922" s="1" t="s">
        <v>1428</v>
      </c>
      <c r="F922" s="1" t="s">
        <v>37</v>
      </c>
      <c r="G922" s="1" t="s">
        <v>1429</v>
      </c>
      <c r="H922" s="1">
        <v>2562</v>
      </c>
      <c r="I922" s="1" t="s">
        <v>85</v>
      </c>
      <c r="J922" s="1">
        <v>12</v>
      </c>
      <c r="K922" s="1" t="s">
        <v>35</v>
      </c>
      <c r="L922" s="1">
        <v>29</v>
      </c>
      <c r="M922" s="1" t="str">
        <f>IF(L922&lt;=45,"Joven","Mayor")</f>
        <v>Joven</v>
      </c>
      <c r="N922" s="1">
        <v>30</v>
      </c>
      <c r="O922" s="1" t="s">
        <v>36</v>
      </c>
      <c r="P922" s="1">
        <v>1.0609999999999999</v>
      </c>
      <c r="Q922" s="1">
        <v>81.966999999999999</v>
      </c>
      <c r="R922" s="1">
        <v>8.8721099999999993</v>
      </c>
      <c r="S922" s="1">
        <v>6.2000957000000003</v>
      </c>
      <c r="T922" s="1">
        <v>-2.5259065999999999</v>
      </c>
      <c r="U922" s="1">
        <v>6.0309999999999997</v>
      </c>
      <c r="V922" s="1">
        <v>105</v>
      </c>
      <c r="W922" s="1">
        <v>196</v>
      </c>
      <c r="X922" s="1">
        <v>1.8666666666666667</v>
      </c>
      <c r="Y922" s="1">
        <v>112</v>
      </c>
      <c r="Z922" s="1">
        <v>196</v>
      </c>
      <c r="AA922" s="1">
        <v>1.75</v>
      </c>
      <c r="AB922" s="1">
        <v>109.9520516795405</v>
      </c>
      <c r="AC922" s="1">
        <v>196.073992403798</v>
      </c>
      <c r="AD922" s="1">
        <v>1.7832681556071661</v>
      </c>
      <c r="AE922" t="s">
        <v>4815</v>
      </c>
      <c r="AF922" t="str">
        <f>IF(X922&lt;$AF$1,"Bajo","Alto")</f>
        <v>Alto</v>
      </c>
      <c r="AG922" t="str">
        <f>LEFT(AE922,1)</f>
        <v>I</v>
      </c>
      <c r="AH922" t="str">
        <f>K922</f>
        <v>M</v>
      </c>
      <c r="AI922" t="str">
        <f>LEFT(AF922,1)</f>
        <v>A</v>
      </c>
      <c r="AJ922" t="str">
        <f>LEFT(M922,1)</f>
        <v>J</v>
      </c>
      <c r="AK922" t="str">
        <f>_xlfn.CONCAT(AG922,AH922,AI922,AJ922)</f>
        <v>IMAJ</v>
      </c>
    </row>
    <row r="923" spans="1:37" ht="15.75" hidden="1" customHeight="1" x14ac:dyDescent="0.2">
      <c r="A923" s="1">
        <v>134603</v>
      </c>
      <c r="B923" s="1" t="s">
        <v>956</v>
      </c>
      <c r="C923" s="1" t="s">
        <v>163</v>
      </c>
      <c r="D923" s="1" t="s">
        <v>2045</v>
      </c>
      <c r="E923" s="1" t="s">
        <v>669</v>
      </c>
      <c r="F923" s="1" t="s">
        <v>63</v>
      </c>
      <c r="G923" s="1" t="s">
        <v>2046</v>
      </c>
      <c r="H923" s="1">
        <v>119</v>
      </c>
      <c r="I923" s="1" t="s">
        <v>48</v>
      </c>
      <c r="J923" s="1">
        <v>4</v>
      </c>
      <c r="K923" s="1" t="s">
        <v>35</v>
      </c>
      <c r="L923" s="1">
        <v>63</v>
      </c>
      <c r="M923" s="1" t="str">
        <f>IF(L923&lt;=45,"Joven","Mayor")</f>
        <v>Mayor</v>
      </c>
      <c r="N923" s="1">
        <v>58</v>
      </c>
      <c r="O923" s="1" t="s">
        <v>36</v>
      </c>
      <c r="P923" s="1">
        <v>18.318000000000001</v>
      </c>
      <c r="Q923" s="1">
        <v>81.888000000000005</v>
      </c>
      <c r="R923" s="1">
        <v>4.7443039999999996</v>
      </c>
      <c r="S923" s="1">
        <v>1.3301487000000001</v>
      </c>
      <c r="T923" s="1">
        <v>-4.7204759999999997</v>
      </c>
      <c r="U923" s="1">
        <v>27.172999999999998</v>
      </c>
      <c r="V923" s="1">
        <v>100</v>
      </c>
      <c r="W923" s="1">
        <v>163</v>
      </c>
      <c r="X923" s="1">
        <v>1.63</v>
      </c>
      <c r="Y923" s="1">
        <v>102</v>
      </c>
      <c r="Z923" s="1">
        <v>163</v>
      </c>
      <c r="AA923" s="1">
        <v>1.5980392156862746</v>
      </c>
      <c r="AB923" s="1">
        <v>105.0281018196829</v>
      </c>
      <c r="AC923" s="1">
        <v>162.44711060381221</v>
      </c>
      <c r="AD923" s="1">
        <v>1.5467013855273601</v>
      </c>
      <c r="AE923" t="s">
        <v>4817</v>
      </c>
      <c r="AF923" t="str">
        <f>IF(X923&lt;$AF$1,"Bajo","Alto")</f>
        <v>Bajo</v>
      </c>
      <c r="AG923" t="str">
        <f>LEFT(AE923,1)</f>
        <v>C</v>
      </c>
      <c r="AH923" t="str">
        <f>K923</f>
        <v>M</v>
      </c>
      <c r="AI923" t="str">
        <f>LEFT(AF923,1)</f>
        <v>B</v>
      </c>
      <c r="AJ923" t="str">
        <f>LEFT(M923,1)</f>
        <v>M</v>
      </c>
      <c r="AK923" t="str">
        <f>_xlfn.CONCAT(AG923,AH923,AI923,AJ923)</f>
        <v>CMBM</v>
      </c>
    </row>
    <row r="924" spans="1:37" ht="15.75" hidden="1" customHeight="1" x14ac:dyDescent="0.2">
      <c r="A924" s="1">
        <v>110602</v>
      </c>
      <c r="B924" s="1" t="s">
        <v>1648</v>
      </c>
      <c r="C924" s="1" t="s">
        <v>51</v>
      </c>
      <c r="D924" s="1" t="s">
        <v>1659</v>
      </c>
      <c r="E924" s="1" t="s">
        <v>88</v>
      </c>
      <c r="F924" s="1" t="s">
        <v>37</v>
      </c>
      <c r="G924" s="1" t="s">
        <v>1661</v>
      </c>
      <c r="H924" s="1">
        <v>6416</v>
      </c>
      <c r="I924" s="1" t="s">
        <v>1662</v>
      </c>
      <c r="J924" s="1">
        <v>3922</v>
      </c>
      <c r="K924" s="1" t="s">
        <v>35</v>
      </c>
      <c r="L924" s="1">
        <v>37</v>
      </c>
      <c r="M924" s="1" t="str">
        <f>IF(L924&lt;=45,"Joven","Mayor")</f>
        <v>Joven</v>
      </c>
      <c r="N924" s="1">
        <v>39</v>
      </c>
      <c r="O924" s="1" t="s">
        <v>36</v>
      </c>
      <c r="P924" s="1">
        <v>0.36199999999999999</v>
      </c>
      <c r="Q924" s="1">
        <v>91.388000000000005</v>
      </c>
      <c r="R924" s="1">
        <v>4.5429363</v>
      </c>
      <c r="S924" s="1">
        <v>2.6452715000000002</v>
      </c>
      <c r="T924" s="1">
        <v>-2.4379529999999998</v>
      </c>
      <c r="U924" s="1">
        <v>4.1760000000000002</v>
      </c>
      <c r="V924" s="1">
        <v>90</v>
      </c>
      <c r="W924" s="1">
        <v>172</v>
      </c>
      <c r="X924" s="1">
        <v>1.9111111111111112</v>
      </c>
      <c r="Y924" s="1">
        <v>96</v>
      </c>
      <c r="Z924" s="1">
        <v>172</v>
      </c>
      <c r="AA924" s="1">
        <v>1.7916666666666667</v>
      </c>
      <c r="AB924" s="1">
        <v>97.6996814048548</v>
      </c>
      <c r="AC924" s="1">
        <v>171.50401828412441</v>
      </c>
      <c r="AD924" s="1">
        <v>1.755420445778467</v>
      </c>
      <c r="AE924" t="s">
        <v>4817</v>
      </c>
      <c r="AF924" t="str">
        <f>IF(X924&lt;$AF$1,"Bajo","Alto")</f>
        <v>Alto</v>
      </c>
      <c r="AG924" t="str">
        <f>LEFT(AE924,1)</f>
        <v>C</v>
      </c>
      <c r="AH924" t="str">
        <f>K924</f>
        <v>M</v>
      </c>
      <c r="AI924" t="str">
        <f>LEFT(AF924,1)</f>
        <v>A</v>
      </c>
      <c r="AJ924" t="str">
        <f>LEFT(M924,1)</f>
        <v>J</v>
      </c>
      <c r="AK924" t="str">
        <f>_xlfn.CONCAT(AG924,AH924,AI924,AJ924)</f>
        <v>CMAJ</v>
      </c>
    </row>
    <row r="925" spans="1:37" ht="15.75" hidden="1" customHeight="1" x14ac:dyDescent="0.2">
      <c r="A925" s="1">
        <v>296103</v>
      </c>
      <c r="B925" s="1" t="s">
        <v>3890</v>
      </c>
      <c r="C925" s="1" t="s">
        <v>1695</v>
      </c>
      <c r="D925" s="1" t="s">
        <v>4045</v>
      </c>
      <c r="E925" s="1" t="s">
        <v>701</v>
      </c>
      <c r="F925" s="1" t="s">
        <v>63</v>
      </c>
      <c r="G925" s="1" t="s">
        <v>4046</v>
      </c>
      <c r="H925" s="1">
        <v>1383</v>
      </c>
      <c r="I925" s="1" t="s">
        <v>91</v>
      </c>
      <c r="J925" s="1">
        <v>6</v>
      </c>
      <c r="K925" s="1" t="s">
        <v>49</v>
      </c>
      <c r="L925" s="1">
        <v>19</v>
      </c>
      <c r="M925" s="1" t="str">
        <f>IF(L925&lt;=45,"Joven","Mayor")</f>
        <v>Joven</v>
      </c>
      <c r="N925" s="1">
        <v>25</v>
      </c>
      <c r="O925" s="1" t="s">
        <v>50</v>
      </c>
      <c r="P925" s="1">
        <v>0.36799999999999999</v>
      </c>
      <c r="Q925" s="1">
        <v>92.075999999999993</v>
      </c>
      <c r="R925" s="1">
        <v>-3.3431358000000002</v>
      </c>
      <c r="S925" s="1">
        <v>4.1154380000000002</v>
      </c>
      <c r="T925" s="1">
        <v>-2.0296105999999998</v>
      </c>
      <c r="U925" s="1">
        <v>63.286000000000001</v>
      </c>
      <c r="V925" s="1">
        <v>96</v>
      </c>
      <c r="W925" s="1">
        <v>159</v>
      </c>
      <c r="X925" s="1">
        <v>1.65625</v>
      </c>
      <c r="Y925" s="1">
        <v>97</v>
      </c>
      <c r="Z925" s="1">
        <v>159</v>
      </c>
      <c r="AA925" s="1">
        <v>1.6391752577319587</v>
      </c>
      <c r="AB925" s="1">
        <v>98.674530772416801</v>
      </c>
      <c r="AC925" s="1">
        <v>159.04191644730639</v>
      </c>
      <c r="AD925" s="1">
        <v>1.6117828501674976</v>
      </c>
      <c r="AE925" t="s">
        <v>4817</v>
      </c>
      <c r="AF925" t="str">
        <f>IF(X925&lt;$AF$1,"Bajo","Alto")</f>
        <v>Bajo</v>
      </c>
      <c r="AG925" t="str">
        <f>LEFT(AE925,1)</f>
        <v>C</v>
      </c>
      <c r="AH925" t="str">
        <f>K925</f>
        <v>F</v>
      </c>
      <c r="AI925" t="str">
        <f>LEFT(AF925,1)</f>
        <v>B</v>
      </c>
      <c r="AJ925" t="str">
        <f>LEFT(M925,1)</f>
        <v>J</v>
      </c>
      <c r="AK925" t="str">
        <f>_xlfn.CONCAT(AG925,AH925,AI925,AJ925)</f>
        <v>CFBJ</v>
      </c>
    </row>
    <row r="926" spans="1:37" ht="15.75" hidden="1" customHeight="1" x14ac:dyDescent="0.2">
      <c r="A926" s="1">
        <v>150702</v>
      </c>
      <c r="B926" s="1" t="s">
        <v>2077</v>
      </c>
      <c r="C926" s="1" t="s">
        <v>57</v>
      </c>
      <c r="D926" s="1" t="s">
        <v>2086</v>
      </c>
      <c r="E926" s="1" t="s">
        <v>43</v>
      </c>
      <c r="F926" s="1" t="s">
        <v>37</v>
      </c>
      <c r="G926" s="1" t="s">
        <v>2088</v>
      </c>
      <c r="H926" s="1">
        <v>690</v>
      </c>
      <c r="I926" s="1" t="s">
        <v>48</v>
      </c>
      <c r="J926" s="1">
        <v>4</v>
      </c>
      <c r="K926" s="1" t="s">
        <v>35</v>
      </c>
      <c r="L926" s="1">
        <v>38</v>
      </c>
      <c r="M926" s="1" t="str">
        <f>IF(L926&lt;=45,"Joven","Mayor")</f>
        <v>Joven</v>
      </c>
      <c r="N926" s="1">
        <v>48</v>
      </c>
      <c r="O926" s="1" t="s">
        <v>36</v>
      </c>
      <c r="P926" s="1">
        <v>0.34699999999999998</v>
      </c>
      <c r="Q926" s="1">
        <v>74.882999999999996</v>
      </c>
      <c r="R926" s="1">
        <v>10.755015999999999</v>
      </c>
      <c r="S926" s="1">
        <v>7.8702034999999997</v>
      </c>
      <c r="T926" s="1">
        <v>-0.86014060000000003</v>
      </c>
      <c r="U926" s="1">
        <v>2.6110000000000002</v>
      </c>
      <c r="V926" s="1">
        <v>69</v>
      </c>
      <c r="W926" s="1">
        <v>114</v>
      </c>
      <c r="X926" s="1">
        <v>1.6521739130434783</v>
      </c>
      <c r="Y926" s="1">
        <v>73</v>
      </c>
      <c r="Z926" s="1">
        <v>114</v>
      </c>
      <c r="AA926" s="1">
        <v>1.5616438356164384</v>
      </c>
      <c r="AB926" s="1">
        <v>73.382078958559305</v>
      </c>
      <c r="AC926" s="1">
        <v>113.8970838947084</v>
      </c>
      <c r="AD926" s="1">
        <v>1.5521103450752456</v>
      </c>
      <c r="AE926" t="s">
        <v>4817</v>
      </c>
      <c r="AF926" t="str">
        <f>IF(X926&lt;$AF$1,"Bajo","Alto")</f>
        <v>Bajo</v>
      </c>
      <c r="AG926" t="str">
        <f>LEFT(AE926,1)</f>
        <v>C</v>
      </c>
      <c r="AH926" t="str">
        <f>K926</f>
        <v>M</v>
      </c>
      <c r="AI926" t="str">
        <f>LEFT(AF926,1)</f>
        <v>B</v>
      </c>
      <c r="AJ926" t="str">
        <f>LEFT(M926,1)</f>
        <v>J</v>
      </c>
      <c r="AK926" t="str">
        <f>_xlfn.CONCAT(AG926,AH926,AI926,AJ926)</f>
        <v>CMBJ</v>
      </c>
    </row>
    <row r="927" spans="1:37" ht="15.75" hidden="1" customHeight="1" x14ac:dyDescent="0.2">
      <c r="A927" s="1">
        <v>252502</v>
      </c>
      <c r="B927" s="1" t="s">
        <v>3169</v>
      </c>
      <c r="C927" s="1" t="s">
        <v>821</v>
      </c>
      <c r="D927" s="1" t="s">
        <v>3212</v>
      </c>
      <c r="E927" s="1" t="s">
        <v>821</v>
      </c>
      <c r="F927" s="1" t="s">
        <v>37</v>
      </c>
      <c r="G927" s="1" t="s">
        <v>3214</v>
      </c>
      <c r="H927" s="1">
        <v>1889</v>
      </c>
      <c r="I927" s="1" t="s">
        <v>108</v>
      </c>
      <c r="J927" s="1">
        <v>3</v>
      </c>
      <c r="K927" s="1" t="s">
        <v>35</v>
      </c>
      <c r="L927" s="1">
        <v>37</v>
      </c>
      <c r="M927" s="1" t="str">
        <f>IF(L927&lt;=45,"Joven","Mayor")</f>
        <v>Joven</v>
      </c>
      <c r="N927" s="1">
        <v>41</v>
      </c>
      <c r="O927" s="1" t="s">
        <v>36</v>
      </c>
      <c r="P927" s="1">
        <v>0.34499999999999997</v>
      </c>
      <c r="Q927" s="1">
        <v>94.340999999999994</v>
      </c>
      <c r="R927" s="1">
        <v>-3.5054237000000002E-2</v>
      </c>
      <c r="S927" s="1">
        <v>3.3591318000000001</v>
      </c>
      <c r="T927" s="1">
        <v>10.486867</v>
      </c>
      <c r="U927" s="1">
        <v>36.801000000000002</v>
      </c>
      <c r="V927" s="1">
        <v>90</v>
      </c>
      <c r="W927" s="1">
        <v>172</v>
      </c>
      <c r="X927" s="1">
        <v>1.9111111111111112</v>
      </c>
      <c r="Y927" s="1">
        <v>107</v>
      </c>
      <c r="Z927" s="1">
        <v>172</v>
      </c>
      <c r="AA927" s="1">
        <v>1.6074766355140186</v>
      </c>
      <c r="AB927" s="1">
        <v>99.963337865699941</v>
      </c>
      <c r="AC927" s="1">
        <v>173.4952677375363</v>
      </c>
      <c r="AD927" s="1">
        <v>1.7355889813385983</v>
      </c>
      <c r="AE927" t="s">
        <v>4817</v>
      </c>
      <c r="AF927" t="str">
        <f>IF(X927&lt;$AF$1,"Bajo","Alto")</f>
        <v>Alto</v>
      </c>
      <c r="AG927" t="str">
        <f>LEFT(AE927,1)</f>
        <v>C</v>
      </c>
      <c r="AH927" t="str">
        <f>K927</f>
        <v>M</v>
      </c>
      <c r="AI927" t="str">
        <f>LEFT(AF927,1)</f>
        <v>A</v>
      </c>
      <c r="AJ927" t="str">
        <f>LEFT(M927,1)</f>
        <v>J</v>
      </c>
      <c r="AK927" t="str">
        <f>_xlfn.CONCAT(AG927,AH927,AI927,AJ927)</f>
        <v>CMAJ</v>
      </c>
    </row>
    <row r="928" spans="1:37" ht="15.75" hidden="1" customHeight="1" x14ac:dyDescent="0.2">
      <c r="A928" s="1">
        <v>10123705</v>
      </c>
      <c r="B928" s="1" t="s">
        <v>29</v>
      </c>
      <c r="C928" s="1" t="s">
        <v>30</v>
      </c>
      <c r="D928" s="1" t="s">
        <v>472</v>
      </c>
      <c r="E928" s="1" t="s">
        <v>473</v>
      </c>
      <c r="F928" s="1" t="s">
        <v>40</v>
      </c>
      <c r="G928" s="1" t="s">
        <v>475</v>
      </c>
      <c r="H928" s="1">
        <v>4871</v>
      </c>
      <c r="I928" s="1" t="s">
        <v>476</v>
      </c>
      <c r="J928" s="1">
        <v>2542</v>
      </c>
      <c r="K928" s="1" t="s">
        <v>35</v>
      </c>
      <c r="L928" s="1">
        <v>44</v>
      </c>
      <c r="M928" s="1" t="str">
        <f>IF(L928&lt;=45,"Joven","Mayor")</f>
        <v>Joven</v>
      </c>
      <c r="N928" s="1">
        <v>48</v>
      </c>
      <c r="O928" s="1" t="s">
        <v>36</v>
      </c>
      <c r="P928" s="1">
        <v>0.42299999999999999</v>
      </c>
      <c r="Q928" s="1">
        <v>87.948999999999998</v>
      </c>
      <c r="R928" s="1">
        <v>4.5471896999999997</v>
      </c>
      <c r="S928" s="1">
        <v>9.8952770000000001</v>
      </c>
      <c r="T928" s="1">
        <v>-1.6961898</v>
      </c>
      <c r="U928" s="1">
        <v>5.0279999999999996</v>
      </c>
      <c r="V928" s="1">
        <v>95</v>
      </c>
      <c r="W928" s="1">
        <v>157</v>
      </c>
      <c r="X928" s="1">
        <v>1.6526315789473685</v>
      </c>
      <c r="Y928" s="1">
        <v>96</v>
      </c>
      <c r="Z928" s="1">
        <v>157</v>
      </c>
      <c r="AA928" s="1">
        <v>1.6354166666666667</v>
      </c>
      <c r="AB928" s="1">
        <v>96.112765056782564</v>
      </c>
      <c r="AC928" s="1">
        <v>156.9608071974117</v>
      </c>
      <c r="AD928" s="1">
        <v>1.6330901218446963</v>
      </c>
      <c r="AE928" t="s">
        <v>4817</v>
      </c>
      <c r="AF928" t="str">
        <f>IF(X928&lt;$AF$1,"Bajo","Alto")</f>
        <v>Bajo</v>
      </c>
      <c r="AG928" t="str">
        <f>LEFT(AE928,1)</f>
        <v>C</v>
      </c>
      <c r="AH928" t="str">
        <f>K928</f>
        <v>M</v>
      </c>
      <c r="AI928" t="str">
        <f>LEFT(AF928,1)</f>
        <v>B</v>
      </c>
      <c r="AJ928" t="str">
        <f>LEFT(M928,1)</f>
        <v>J</v>
      </c>
      <c r="AK928" t="str">
        <f>_xlfn.CONCAT(AG928,AH928,AI928,AJ928)</f>
        <v>CMBJ</v>
      </c>
    </row>
    <row r="929" spans="1:37" ht="15.75" hidden="1" customHeight="1" x14ac:dyDescent="0.2">
      <c r="A929" s="1">
        <v>280101</v>
      </c>
      <c r="B929" s="1" t="s">
        <v>1775</v>
      </c>
      <c r="C929" s="1" t="s">
        <v>561</v>
      </c>
      <c r="D929" s="1" t="s">
        <v>3768</v>
      </c>
      <c r="E929" s="1" t="s">
        <v>32</v>
      </c>
      <c r="F929" s="1" t="s">
        <v>32</v>
      </c>
      <c r="G929" s="1" t="s">
        <v>3769</v>
      </c>
      <c r="H929" s="1">
        <v>39645</v>
      </c>
      <c r="I929" s="1" t="s">
        <v>100</v>
      </c>
      <c r="J929" s="1">
        <v>1</v>
      </c>
      <c r="K929" s="1" t="s">
        <v>35</v>
      </c>
      <c r="L929" s="1">
        <v>40</v>
      </c>
      <c r="M929" s="1" t="str">
        <f>IF(L929&lt;=45,"Joven","Mayor")</f>
        <v>Joven</v>
      </c>
      <c r="N929" s="1">
        <v>46</v>
      </c>
      <c r="O929" s="1" t="s">
        <v>36</v>
      </c>
      <c r="P929" s="1">
        <v>0.115</v>
      </c>
      <c r="Q929" s="1">
        <v>89.765000000000001</v>
      </c>
      <c r="R929" s="1">
        <v>4.9029593</v>
      </c>
      <c r="S929" s="1">
        <v>6.2135959999999999</v>
      </c>
      <c r="T929" s="1">
        <v>-8.6568509999999996</v>
      </c>
      <c r="U929" s="1">
        <v>3.504</v>
      </c>
      <c r="V929" s="1">
        <v>98</v>
      </c>
      <c r="W929" s="1">
        <v>162</v>
      </c>
      <c r="X929" s="1">
        <v>1.653061224489796</v>
      </c>
      <c r="Y929" s="1">
        <v>106</v>
      </c>
      <c r="Z929" s="1">
        <v>162</v>
      </c>
      <c r="AA929" s="1">
        <v>1.5283018867924529</v>
      </c>
      <c r="AB929" s="1">
        <v>105.1619362179661</v>
      </c>
      <c r="AC929" s="1">
        <v>163.31526157043339</v>
      </c>
      <c r="AD929" s="1">
        <v>1.5529883477224551</v>
      </c>
      <c r="AE929" t="s">
        <v>4817</v>
      </c>
      <c r="AF929" t="str">
        <f>IF(X929&lt;$AF$1,"Bajo","Alto")</f>
        <v>Bajo</v>
      </c>
      <c r="AG929" t="str">
        <f>LEFT(AE929,1)</f>
        <v>C</v>
      </c>
      <c r="AH929" t="str">
        <f>K929</f>
        <v>M</v>
      </c>
      <c r="AI929" t="str">
        <f>LEFT(AF929,1)</f>
        <v>B</v>
      </c>
      <c r="AJ929" t="str">
        <f>LEFT(M929,1)</f>
        <v>J</v>
      </c>
      <c r="AK929" t="str">
        <f>_xlfn.CONCAT(AG929,AH929,AI929,AJ929)</f>
        <v>CMBJ</v>
      </c>
    </row>
    <row r="930" spans="1:37" ht="15.75" hidden="1" customHeight="1" x14ac:dyDescent="0.2">
      <c r="A930" s="1">
        <v>1013504</v>
      </c>
      <c r="B930" s="1" t="s">
        <v>29</v>
      </c>
      <c r="C930" s="1" t="s">
        <v>30</v>
      </c>
      <c r="D930" s="1" t="s">
        <v>639</v>
      </c>
      <c r="E930" s="1" t="s">
        <v>640</v>
      </c>
      <c r="F930" s="1" t="s">
        <v>61</v>
      </c>
      <c r="G930" s="1" t="s">
        <v>644</v>
      </c>
      <c r="H930" s="1">
        <v>18555</v>
      </c>
      <c r="I930" s="1" t="s">
        <v>645</v>
      </c>
      <c r="J930" s="1">
        <v>2355</v>
      </c>
      <c r="K930" s="1" t="s">
        <v>35</v>
      </c>
      <c r="L930" s="1">
        <v>45</v>
      </c>
      <c r="M930" s="1" t="str">
        <f>IF(L930&lt;=45,"Joven","Mayor")</f>
        <v>Joven</v>
      </c>
      <c r="N930" s="1">
        <v>45</v>
      </c>
      <c r="O930" s="1" t="s">
        <v>36</v>
      </c>
      <c r="P930" s="1">
        <v>6.3879999999999999</v>
      </c>
      <c r="Q930" s="1">
        <v>76.177000000000007</v>
      </c>
      <c r="R930" s="1">
        <v>10.647601999999999</v>
      </c>
      <c r="S930" s="1">
        <v>0.49600917</v>
      </c>
      <c r="T930" s="1">
        <v>2.4350588000000002</v>
      </c>
      <c r="U930" s="1">
        <v>5.0439999999999996</v>
      </c>
      <c r="V930" s="1">
        <v>101</v>
      </c>
      <c r="W930" s="1">
        <v>193</v>
      </c>
      <c r="X930" s="1">
        <v>1.9108910891089108</v>
      </c>
      <c r="Y930" s="1">
        <v>117</v>
      </c>
      <c r="Z930" s="1">
        <v>193</v>
      </c>
      <c r="AA930" s="1">
        <v>1.6495726495726495</v>
      </c>
      <c r="AB930" s="1">
        <v>115.44979328446949</v>
      </c>
      <c r="AC930" s="1">
        <v>193.8878998179166</v>
      </c>
      <c r="AD930" s="1">
        <v>1.679413139702856</v>
      </c>
      <c r="AE930" t="s">
        <v>4817</v>
      </c>
      <c r="AF930" t="str">
        <f>IF(X930&lt;$AF$1,"Bajo","Alto")</f>
        <v>Alto</v>
      </c>
      <c r="AG930" t="str">
        <f>LEFT(AE930,1)</f>
        <v>C</v>
      </c>
      <c r="AH930" t="str">
        <f>K930</f>
        <v>M</v>
      </c>
      <c r="AI930" t="str">
        <f>LEFT(AF930,1)</f>
        <v>A</v>
      </c>
      <c r="AJ930" t="str">
        <f>LEFT(M930,1)</f>
        <v>J</v>
      </c>
      <c r="AK930" t="str">
        <f>_xlfn.CONCAT(AG930,AH930,AI930,AJ930)</f>
        <v>CMAJ</v>
      </c>
    </row>
    <row r="931" spans="1:37" ht="15.75" hidden="1" customHeight="1" x14ac:dyDescent="0.2">
      <c r="A931" s="1">
        <v>280105</v>
      </c>
      <c r="B931" s="1" t="s">
        <v>1775</v>
      </c>
      <c r="C931" s="1" t="s">
        <v>561</v>
      </c>
      <c r="D931" s="1" t="s">
        <v>3768</v>
      </c>
      <c r="E931" s="1" t="s">
        <v>32</v>
      </c>
      <c r="F931" s="1" t="s">
        <v>40</v>
      </c>
      <c r="G931" s="1" t="s">
        <v>3773</v>
      </c>
      <c r="H931" s="1">
        <v>2205</v>
      </c>
      <c r="I931" s="1" t="s">
        <v>48</v>
      </c>
      <c r="J931" s="1">
        <v>4</v>
      </c>
      <c r="K931" s="1" t="s">
        <v>35</v>
      </c>
      <c r="L931" s="1">
        <v>36</v>
      </c>
      <c r="M931" s="1" t="str">
        <f>IF(L931&lt;=45,"Joven","Mayor")</f>
        <v>Joven</v>
      </c>
      <c r="N931" s="1">
        <v>46</v>
      </c>
      <c r="O931" s="1" t="s">
        <v>36</v>
      </c>
      <c r="P931" s="1">
        <v>7.3999999999999996E-2</v>
      </c>
      <c r="Q931" s="1">
        <v>89.766999999999996</v>
      </c>
      <c r="R931" s="1">
        <v>4.9029680000000004</v>
      </c>
      <c r="S931" s="1">
        <v>6.2423460000000004</v>
      </c>
      <c r="T931" s="1">
        <v>-8.6841679999999997</v>
      </c>
      <c r="U931" s="1">
        <v>3.4689999999999999</v>
      </c>
      <c r="V931" s="1">
        <v>98</v>
      </c>
      <c r="W931" s="1">
        <v>162</v>
      </c>
      <c r="X931" s="1">
        <v>1.653061224489796</v>
      </c>
      <c r="Y931" s="1">
        <v>106</v>
      </c>
      <c r="Z931" s="1">
        <v>162</v>
      </c>
      <c r="AA931" s="1">
        <v>1.5283018867924529</v>
      </c>
      <c r="AB931" s="1">
        <v>105.1808152957974</v>
      </c>
      <c r="AC931" s="1">
        <v>163.31351571736701</v>
      </c>
      <c r="AD931" s="1">
        <v>1.5526930006967949</v>
      </c>
      <c r="AE931" t="s">
        <v>4817</v>
      </c>
      <c r="AF931" t="str">
        <f>IF(X931&lt;$AF$1,"Bajo","Alto")</f>
        <v>Bajo</v>
      </c>
      <c r="AG931" t="str">
        <f>LEFT(AE931,1)</f>
        <v>C</v>
      </c>
      <c r="AH931" t="str">
        <f>K931</f>
        <v>M</v>
      </c>
      <c r="AI931" t="str">
        <f>LEFT(AF931,1)</f>
        <v>B</v>
      </c>
      <c r="AJ931" t="str">
        <f>LEFT(M931,1)</f>
        <v>J</v>
      </c>
      <c r="AK931" t="str">
        <f>_xlfn.CONCAT(AG931,AH931,AI931,AJ931)</f>
        <v>CMBJ</v>
      </c>
    </row>
    <row r="932" spans="1:37" ht="15.75" hidden="1" customHeight="1" x14ac:dyDescent="0.2">
      <c r="A932" s="1">
        <v>10128002</v>
      </c>
      <c r="B932" s="1" t="s">
        <v>29</v>
      </c>
      <c r="C932" s="1" t="s">
        <v>30</v>
      </c>
      <c r="D932" s="1" t="s">
        <v>555</v>
      </c>
      <c r="E932" s="1" t="s">
        <v>556</v>
      </c>
      <c r="F932" s="1" t="s">
        <v>37</v>
      </c>
      <c r="G932" s="1" t="s">
        <v>557</v>
      </c>
      <c r="H932" s="1">
        <v>358</v>
      </c>
      <c r="I932" s="1" t="s">
        <v>87</v>
      </c>
      <c r="J932" s="1">
        <v>14</v>
      </c>
      <c r="K932" s="1" t="s">
        <v>35</v>
      </c>
      <c r="L932" s="1">
        <v>51</v>
      </c>
      <c r="M932" s="1" t="str">
        <f>IF(L932&lt;=45,"Joven","Mayor")</f>
        <v>Mayor</v>
      </c>
      <c r="N932" s="1">
        <v>28</v>
      </c>
      <c r="O932" s="1" t="s">
        <v>36</v>
      </c>
      <c r="P932" s="1">
        <v>0.36199999999999999</v>
      </c>
      <c r="Q932" s="1">
        <v>61.459000000000003</v>
      </c>
      <c r="R932" s="1">
        <v>13.192382</v>
      </c>
      <c r="S932" s="1">
        <v>-9.3060600000000004</v>
      </c>
      <c r="T932" s="1">
        <v>-1.47132</v>
      </c>
      <c r="U932" s="1">
        <v>2.4580000000000002</v>
      </c>
      <c r="V932" s="1">
        <v>77</v>
      </c>
      <c r="W932" s="1">
        <v>147</v>
      </c>
      <c r="X932" s="1">
        <v>1.9090909090909092</v>
      </c>
      <c r="Y932" s="1">
        <v>81</v>
      </c>
      <c r="Z932" s="1">
        <v>147</v>
      </c>
      <c r="AA932" s="1">
        <v>1.8148148148148149</v>
      </c>
      <c r="AB932" s="1">
        <v>81.820620886376901</v>
      </c>
      <c r="AC932" s="1">
        <v>146.66909240601899</v>
      </c>
      <c r="AD932" s="1">
        <v>1.7925688025479081</v>
      </c>
      <c r="AE932" t="s">
        <v>4816</v>
      </c>
      <c r="AF932" t="str">
        <f>IF(X932&lt;$AF$1,"Bajo","Alto")</f>
        <v>Alto</v>
      </c>
      <c r="AG932" t="str">
        <f>LEFT(AE932,1)</f>
        <v>D</v>
      </c>
      <c r="AH932" t="str">
        <f>K932</f>
        <v>M</v>
      </c>
      <c r="AI932" t="str">
        <f>LEFT(AF932,1)</f>
        <v>A</v>
      </c>
      <c r="AJ932" t="str">
        <f>LEFT(M932,1)</f>
        <v>M</v>
      </c>
      <c r="AK932" t="str">
        <f>_xlfn.CONCAT(AG932,AH932,AI932,AJ932)</f>
        <v>DMAM</v>
      </c>
    </row>
    <row r="933" spans="1:37" ht="15.75" hidden="1" customHeight="1" x14ac:dyDescent="0.2">
      <c r="A933" s="1">
        <v>234601</v>
      </c>
      <c r="B933" s="1" t="s">
        <v>319</v>
      </c>
      <c r="C933" s="1" t="s">
        <v>1989</v>
      </c>
      <c r="D933" s="1" t="s">
        <v>3040</v>
      </c>
      <c r="E933" s="1" t="s">
        <v>669</v>
      </c>
      <c r="F933" s="1" t="s">
        <v>32</v>
      </c>
      <c r="G933" s="1" t="s">
        <v>3041</v>
      </c>
      <c r="H933" s="1">
        <v>3760</v>
      </c>
      <c r="I933" s="1" t="s">
        <v>65</v>
      </c>
      <c r="J933" s="1">
        <v>2</v>
      </c>
      <c r="K933" s="1" t="s">
        <v>35</v>
      </c>
      <c r="L933" s="1">
        <v>45</v>
      </c>
      <c r="M933" s="1" t="str">
        <f>IF(L933&lt;=45,"Joven","Mayor")</f>
        <v>Joven</v>
      </c>
      <c r="N933" s="1">
        <v>41</v>
      </c>
      <c r="O933" s="1" t="s">
        <v>36</v>
      </c>
      <c r="P933" s="1">
        <v>0.36099999999999999</v>
      </c>
      <c r="Q933" s="1">
        <v>85.801000000000002</v>
      </c>
      <c r="R933" s="1">
        <v>-8.3671260000000007</v>
      </c>
      <c r="S933" s="1">
        <v>1.9425588</v>
      </c>
      <c r="T933" s="1">
        <v>6.8988800000000001</v>
      </c>
      <c r="U933" s="1">
        <v>6.7910000000000004</v>
      </c>
      <c r="V933" s="1">
        <v>78</v>
      </c>
      <c r="W933" s="1">
        <v>149</v>
      </c>
      <c r="X933" s="1">
        <v>1.9102564102564104</v>
      </c>
      <c r="Y933" s="1">
        <v>84</v>
      </c>
      <c r="Z933" s="1">
        <v>149</v>
      </c>
      <c r="AA933" s="1">
        <v>1.7738095238095237</v>
      </c>
      <c r="AB933" s="1">
        <v>82.119835706049571</v>
      </c>
      <c r="AC933" s="1">
        <v>148.2815461285422</v>
      </c>
      <c r="AD933" s="1">
        <v>1.8056727081057551</v>
      </c>
      <c r="AE933" t="s">
        <v>4817</v>
      </c>
      <c r="AF933" t="str">
        <f>IF(X933&lt;$AF$1,"Bajo","Alto")</f>
        <v>Alto</v>
      </c>
      <c r="AG933" t="str">
        <f>LEFT(AE933,1)</f>
        <v>C</v>
      </c>
      <c r="AH933" t="str">
        <f>K933</f>
        <v>M</v>
      </c>
      <c r="AI933" t="str">
        <f>LEFT(AF933,1)</f>
        <v>A</v>
      </c>
      <c r="AJ933" t="str">
        <f>LEFT(M933,1)</f>
        <v>J</v>
      </c>
      <c r="AK933" t="str">
        <f>_xlfn.CONCAT(AG933,AH933,AI933,AJ933)</f>
        <v>CMAJ</v>
      </c>
    </row>
    <row r="934" spans="1:37" ht="15.75" hidden="1" customHeight="1" x14ac:dyDescent="0.2">
      <c r="A934" s="1">
        <v>1275003</v>
      </c>
      <c r="B934" s="1" t="s">
        <v>1798</v>
      </c>
      <c r="C934" s="1" t="s">
        <v>54</v>
      </c>
      <c r="D934" s="1" t="s">
        <v>1906</v>
      </c>
      <c r="E934" s="1" t="s">
        <v>1907</v>
      </c>
      <c r="F934" s="1" t="s">
        <v>63</v>
      </c>
      <c r="G934" s="1" t="s">
        <v>1910</v>
      </c>
      <c r="H934" s="1">
        <v>4316</v>
      </c>
      <c r="I934" s="1" t="s">
        <v>108</v>
      </c>
      <c r="J934" s="1">
        <v>3</v>
      </c>
      <c r="K934" s="1" t="s">
        <v>35</v>
      </c>
      <c r="L934" s="1">
        <v>42</v>
      </c>
      <c r="M934" s="1" t="str">
        <f>IF(L934&lt;=45,"Joven","Mayor")</f>
        <v>Joven</v>
      </c>
      <c r="N934" s="1">
        <v>45</v>
      </c>
      <c r="O934" s="1" t="s">
        <v>36</v>
      </c>
      <c r="P934" s="1">
        <v>0.44800000000000001</v>
      </c>
      <c r="Q934" s="1">
        <v>90.477000000000004</v>
      </c>
      <c r="R934" s="1">
        <v>5.3609</v>
      </c>
      <c r="S934" s="1">
        <v>-2.5444083000000002</v>
      </c>
      <c r="T934" s="1">
        <v>-4.1432169999999999</v>
      </c>
      <c r="U934" s="1">
        <v>1.8879999999999999</v>
      </c>
      <c r="V934" s="1">
        <v>89</v>
      </c>
      <c r="W934" s="1">
        <v>170</v>
      </c>
      <c r="X934" s="1">
        <v>1.9101123595505618</v>
      </c>
      <c r="Y934" s="1">
        <v>92</v>
      </c>
      <c r="Z934" s="1">
        <v>170</v>
      </c>
      <c r="AA934" s="1">
        <v>1.8478260869565217</v>
      </c>
      <c r="AB934" s="1">
        <v>91.585145873504189</v>
      </c>
      <c r="AC934" s="1">
        <v>169.33896761292411</v>
      </c>
      <c r="AD934" s="1">
        <v>1.8489785215477208</v>
      </c>
      <c r="AE934" t="s">
        <v>4817</v>
      </c>
      <c r="AF934" t="str">
        <f>IF(X934&lt;$AF$1,"Bajo","Alto")</f>
        <v>Alto</v>
      </c>
      <c r="AG934" t="str">
        <f>LEFT(AE934,1)</f>
        <v>C</v>
      </c>
      <c r="AH934" t="str">
        <f>K934</f>
        <v>M</v>
      </c>
      <c r="AI934" t="str">
        <f>LEFT(AF934,1)</f>
        <v>A</v>
      </c>
      <c r="AJ934" t="str">
        <f>LEFT(M934,1)</f>
        <v>J</v>
      </c>
      <c r="AK934" t="str">
        <f>_xlfn.CONCAT(AG934,AH934,AI934,AJ934)</f>
        <v>CMAJ</v>
      </c>
    </row>
    <row r="935" spans="1:37" ht="15.75" hidden="1" customHeight="1" x14ac:dyDescent="0.2">
      <c r="A935" s="1">
        <v>1070802</v>
      </c>
      <c r="B935" s="1" t="s">
        <v>1067</v>
      </c>
      <c r="C935" s="1" t="s">
        <v>1068</v>
      </c>
      <c r="D935" s="1" t="s">
        <v>1082</v>
      </c>
      <c r="E935" s="1" t="s">
        <v>46</v>
      </c>
      <c r="F935" s="1" t="s">
        <v>37</v>
      </c>
      <c r="G935" s="1" t="s">
        <v>1083</v>
      </c>
      <c r="H935" s="1">
        <v>203</v>
      </c>
      <c r="I935" s="1" t="s">
        <v>85</v>
      </c>
      <c r="J935" s="1">
        <v>12</v>
      </c>
      <c r="K935" s="1" t="s">
        <v>35</v>
      </c>
      <c r="L935" s="1">
        <v>40</v>
      </c>
      <c r="M935" s="1" t="str">
        <f>IF(L935&lt;=45,"Joven","Mayor")</f>
        <v>Joven</v>
      </c>
      <c r="N935" s="1">
        <v>50</v>
      </c>
      <c r="O935" s="1" t="s">
        <v>36</v>
      </c>
      <c r="P935" s="1">
        <v>0.36</v>
      </c>
      <c r="Q935" s="1">
        <v>43.238</v>
      </c>
      <c r="R935" s="1">
        <v>16.735890000000001</v>
      </c>
      <c r="S935" s="1">
        <v>3.3855062</v>
      </c>
      <c r="T935" s="1">
        <v>-11.032924</v>
      </c>
      <c r="U935" s="1">
        <v>3.3730000000000002</v>
      </c>
      <c r="V935" s="1">
        <v>64</v>
      </c>
      <c r="W935" s="1">
        <v>119</v>
      </c>
      <c r="X935" s="1">
        <v>1.859375</v>
      </c>
      <c r="Y935" s="1">
        <v>75</v>
      </c>
      <c r="Z935" s="1">
        <v>119</v>
      </c>
      <c r="AA935" s="1">
        <v>1.5866666666666667</v>
      </c>
      <c r="AB935" s="1">
        <v>70.08928754960607</v>
      </c>
      <c r="AC935" s="1">
        <v>118.90567121349341</v>
      </c>
      <c r="AD935" s="1">
        <v>1.6964885130175889</v>
      </c>
      <c r="AE935" t="s">
        <v>4815</v>
      </c>
      <c r="AF935" t="str">
        <f>IF(X935&lt;$AF$1,"Bajo","Alto")</f>
        <v>Alto</v>
      </c>
      <c r="AG935" t="str">
        <f>LEFT(AE935,1)</f>
        <v>I</v>
      </c>
      <c r="AH935" t="str">
        <f>K935</f>
        <v>M</v>
      </c>
      <c r="AI935" t="str">
        <f>LEFT(AF935,1)</f>
        <v>A</v>
      </c>
      <c r="AJ935" t="str">
        <f>LEFT(M935,1)</f>
        <v>J</v>
      </c>
      <c r="AK935" t="str">
        <f>_xlfn.CONCAT(AG935,AH935,AI935,AJ935)</f>
        <v>IMAJ</v>
      </c>
    </row>
    <row r="936" spans="1:37" ht="15.75" hidden="1" customHeight="1" x14ac:dyDescent="0.2">
      <c r="A936" s="1">
        <v>1036105</v>
      </c>
      <c r="B936" s="1" t="s">
        <v>783</v>
      </c>
      <c r="C936" s="1" t="s">
        <v>81</v>
      </c>
      <c r="D936" s="1" t="s">
        <v>875</v>
      </c>
      <c r="E936" s="1" t="s">
        <v>701</v>
      </c>
      <c r="F936" s="1" t="s">
        <v>40</v>
      </c>
      <c r="G936" s="1" t="s">
        <v>877</v>
      </c>
      <c r="H936" s="1">
        <v>2497</v>
      </c>
      <c r="I936" s="1" t="s">
        <v>108</v>
      </c>
      <c r="J936" s="1">
        <v>3</v>
      </c>
      <c r="K936" s="1" t="s">
        <v>49</v>
      </c>
      <c r="L936" s="1">
        <v>36</v>
      </c>
      <c r="M936" s="1" t="str">
        <f>IF(L936&lt;=45,"Joven","Mayor")</f>
        <v>Joven</v>
      </c>
      <c r="N936" s="1">
        <v>24</v>
      </c>
      <c r="O936" s="1" t="s">
        <v>50</v>
      </c>
      <c r="P936" s="1">
        <v>1.0760000000000001</v>
      </c>
      <c r="Q936" s="1">
        <v>92.084000000000003</v>
      </c>
      <c r="R936" s="1">
        <v>-4.1313376000000002</v>
      </c>
      <c r="S936" s="1">
        <v>-0.52111953</v>
      </c>
      <c r="T936" s="1">
        <v>8.3899000000000008</v>
      </c>
      <c r="U936" s="1">
        <v>57.348999999999997</v>
      </c>
      <c r="V936" s="1">
        <v>80</v>
      </c>
      <c r="W936" s="1">
        <v>156</v>
      </c>
      <c r="X936" s="1">
        <v>1.95</v>
      </c>
      <c r="Y936" s="1">
        <v>93</v>
      </c>
      <c r="Z936" s="1">
        <v>156</v>
      </c>
      <c r="AA936" s="1">
        <v>1.6774193548387097</v>
      </c>
      <c r="AB936" s="1">
        <v>86.147460184796273</v>
      </c>
      <c r="AC936" s="1">
        <v>156.66503696669039</v>
      </c>
      <c r="AD936" s="1">
        <v>1.8185682622636321</v>
      </c>
      <c r="AE936" t="s">
        <v>4817</v>
      </c>
      <c r="AF936" t="str">
        <f>IF(X936&lt;$AF$1,"Bajo","Alto")</f>
        <v>Alto</v>
      </c>
      <c r="AG936" t="str">
        <f>LEFT(AE936,1)</f>
        <v>C</v>
      </c>
      <c r="AH936" t="str">
        <f>K936</f>
        <v>F</v>
      </c>
      <c r="AI936" t="str">
        <f>LEFT(AF936,1)</f>
        <v>A</v>
      </c>
      <c r="AJ936" t="str">
        <f>LEFT(M936,1)</f>
        <v>J</v>
      </c>
      <c r="AK936" t="str">
        <f>_xlfn.CONCAT(AG936,AH936,AI936,AJ936)</f>
        <v>CFAJ</v>
      </c>
    </row>
    <row r="937" spans="1:37" ht="15.75" hidden="1" customHeight="1" x14ac:dyDescent="0.2">
      <c r="A937" s="1">
        <v>10115401</v>
      </c>
      <c r="B937" s="1" t="s">
        <v>29</v>
      </c>
      <c r="C937" s="1" t="s">
        <v>30</v>
      </c>
      <c r="D937" s="1" t="s">
        <v>220</v>
      </c>
      <c r="E937" s="1" t="s">
        <v>221</v>
      </c>
      <c r="F937" s="1" t="s">
        <v>32</v>
      </c>
      <c r="G937" s="1" t="s">
        <v>222</v>
      </c>
      <c r="H937" s="1">
        <v>609</v>
      </c>
      <c r="I937" s="1" t="s">
        <v>100</v>
      </c>
      <c r="J937" s="1">
        <v>1</v>
      </c>
      <c r="K937" s="1" t="s">
        <v>35</v>
      </c>
      <c r="L937" s="1">
        <v>49</v>
      </c>
      <c r="M937" s="1" t="str">
        <f>IF(L937&lt;=45,"Joven","Mayor")</f>
        <v>Mayor</v>
      </c>
      <c r="N937" s="1">
        <v>48</v>
      </c>
      <c r="O937" s="1" t="s">
        <v>36</v>
      </c>
      <c r="P937" s="1">
        <v>2.2530000000000001</v>
      </c>
      <c r="Q937" s="1">
        <v>93.257000000000005</v>
      </c>
      <c r="R937" s="1">
        <v>0.86632067000000001</v>
      </c>
      <c r="S937" s="1">
        <v>-4.1779156000000004</v>
      </c>
      <c r="T937" s="1">
        <v>-5.8448677</v>
      </c>
      <c r="U937" s="1">
        <v>0.48899999999999999</v>
      </c>
      <c r="V937" s="1">
        <v>92</v>
      </c>
      <c r="W937" s="1">
        <v>150</v>
      </c>
      <c r="X937" s="1">
        <v>1.6304347826086956</v>
      </c>
      <c r="Y937" s="1">
        <v>92</v>
      </c>
      <c r="Z937" s="1">
        <v>150</v>
      </c>
      <c r="AA937" s="1">
        <v>1.6304347826086956</v>
      </c>
      <c r="AB937" s="1">
        <v>95.798801175842755</v>
      </c>
      <c r="AC937" s="1">
        <v>149.52569619527819</v>
      </c>
      <c r="AD937" s="1">
        <v>1.560830556958823</v>
      </c>
      <c r="AE937" t="s">
        <v>4817</v>
      </c>
      <c r="AF937" t="str">
        <f>IF(X937&lt;$AF$1,"Bajo","Alto")</f>
        <v>Bajo</v>
      </c>
      <c r="AG937" t="str">
        <f>LEFT(AE937,1)</f>
        <v>C</v>
      </c>
      <c r="AH937" t="str">
        <f>K937</f>
        <v>M</v>
      </c>
      <c r="AI937" t="str">
        <f>LEFT(AF937,1)</f>
        <v>B</v>
      </c>
      <c r="AJ937" t="str">
        <f>LEFT(M937,1)</f>
        <v>M</v>
      </c>
      <c r="AK937" t="str">
        <f>_xlfn.CONCAT(AG937,AH937,AI937,AJ937)</f>
        <v>CMBM</v>
      </c>
    </row>
    <row r="938" spans="1:37" ht="15.75" hidden="1" customHeight="1" x14ac:dyDescent="0.2">
      <c r="A938" s="1">
        <v>10111708</v>
      </c>
      <c r="B938" s="1" t="s">
        <v>29</v>
      </c>
      <c r="C938" s="1" t="s">
        <v>30</v>
      </c>
      <c r="D938" s="1" t="s">
        <v>119</v>
      </c>
      <c r="E938" s="1" t="s">
        <v>120</v>
      </c>
      <c r="F938" s="1" t="s">
        <v>46</v>
      </c>
      <c r="G938" s="1" t="s">
        <v>126</v>
      </c>
      <c r="H938" s="1">
        <v>177</v>
      </c>
      <c r="I938" s="1" t="s">
        <v>91</v>
      </c>
      <c r="J938" s="1">
        <v>6</v>
      </c>
      <c r="K938" s="1" t="s">
        <v>35</v>
      </c>
      <c r="L938" s="1">
        <v>34</v>
      </c>
      <c r="M938" s="1" t="str">
        <f>IF(L938&lt;=45,"Joven","Mayor")</f>
        <v>Joven</v>
      </c>
      <c r="N938" s="1">
        <v>40</v>
      </c>
      <c r="O938" s="1" t="s">
        <v>36</v>
      </c>
      <c r="P938" s="1">
        <v>0.32200000000000001</v>
      </c>
      <c r="Q938" s="1">
        <v>93.322000000000003</v>
      </c>
      <c r="R938" s="1">
        <v>-0.57959192999999998</v>
      </c>
      <c r="S938" s="1">
        <v>6.2096049999999998</v>
      </c>
      <c r="T938" s="1">
        <v>-2.1325302000000002</v>
      </c>
      <c r="U938" s="1">
        <v>81.206999999999994</v>
      </c>
      <c r="V938" s="1">
        <v>84</v>
      </c>
      <c r="W938" s="1">
        <v>139</v>
      </c>
      <c r="X938" s="1">
        <v>1.6547619047619047</v>
      </c>
      <c r="Y938" s="1">
        <v>84</v>
      </c>
      <c r="Z938" s="1">
        <v>139</v>
      </c>
      <c r="AA938" s="1">
        <v>1.6547619047619047</v>
      </c>
      <c r="AB938" s="1">
        <v>85.169789603108029</v>
      </c>
      <c r="AC938" s="1">
        <v>138.86652139947449</v>
      </c>
      <c r="AD938" s="1">
        <v>1.6304668832292966</v>
      </c>
      <c r="AE938" t="s">
        <v>4817</v>
      </c>
      <c r="AF938" t="str">
        <f>IF(X938&lt;$AF$1,"Bajo","Alto")</f>
        <v>Bajo</v>
      </c>
      <c r="AG938" t="str">
        <f>LEFT(AE938,1)</f>
        <v>C</v>
      </c>
      <c r="AH938" t="str">
        <f>K938</f>
        <v>M</v>
      </c>
      <c r="AI938" t="str">
        <f>LEFT(AF938,1)</f>
        <v>B</v>
      </c>
      <c r="AJ938" t="str">
        <f>LEFT(M938,1)</f>
        <v>J</v>
      </c>
      <c r="AK938" t="str">
        <f>_xlfn.CONCAT(AG938,AH938,AI938,AJ938)</f>
        <v>CMBJ</v>
      </c>
    </row>
    <row r="939" spans="1:37" ht="15.75" hidden="1" customHeight="1" x14ac:dyDescent="0.2">
      <c r="A939" s="1">
        <v>270701</v>
      </c>
      <c r="B939" s="1" t="s">
        <v>3409</v>
      </c>
      <c r="C939" s="1" t="s">
        <v>973</v>
      </c>
      <c r="D939" s="1" t="s">
        <v>3420</v>
      </c>
      <c r="E939" s="1" t="s">
        <v>43</v>
      </c>
      <c r="F939" s="1" t="s">
        <v>32</v>
      </c>
      <c r="G939" s="1" t="s">
        <v>3421</v>
      </c>
      <c r="H939" s="1">
        <v>1551</v>
      </c>
      <c r="I939" s="1" t="s">
        <v>39</v>
      </c>
      <c r="J939" s="1">
        <v>11</v>
      </c>
      <c r="K939" s="1" t="s">
        <v>35</v>
      </c>
      <c r="L939" s="1">
        <v>54</v>
      </c>
      <c r="M939" s="1" t="str">
        <f>IF(L939&lt;=45,"Joven","Mayor")</f>
        <v>Mayor</v>
      </c>
      <c r="N939" s="1">
        <v>51</v>
      </c>
      <c r="O939" s="1" t="s">
        <v>36</v>
      </c>
      <c r="P939" s="1">
        <v>0.78900000000000003</v>
      </c>
      <c r="Q939" s="1">
        <v>83.456999999999994</v>
      </c>
      <c r="R939" s="1">
        <v>-9.1933740000000004</v>
      </c>
      <c r="S939" s="1">
        <v>2.3457618</v>
      </c>
      <c r="T939" s="1">
        <v>2.9852449999999999</v>
      </c>
      <c r="U939" s="1">
        <v>39.567</v>
      </c>
      <c r="V939" s="1">
        <v>75</v>
      </c>
      <c r="W939" s="1">
        <v>122</v>
      </c>
      <c r="X939" s="1">
        <v>1.6266666666666667</v>
      </c>
      <c r="Y939" s="1">
        <v>78</v>
      </c>
      <c r="Z939" s="1">
        <v>122</v>
      </c>
      <c r="AA939" s="1">
        <v>1.5641025641025641</v>
      </c>
      <c r="AB939" s="1">
        <v>76.408508191863802</v>
      </c>
      <c r="AC939" s="1">
        <v>121.9906798355219</v>
      </c>
      <c r="AD939" s="1">
        <v>1.5965588482528681</v>
      </c>
      <c r="AE939" t="s">
        <v>4816</v>
      </c>
      <c r="AF939" t="str">
        <f>IF(X939&lt;$AF$1,"Bajo","Alto")</f>
        <v>Bajo</v>
      </c>
      <c r="AG939" t="str">
        <f>LEFT(AE939,1)</f>
        <v>D</v>
      </c>
      <c r="AH939" t="str">
        <f>K939</f>
        <v>M</v>
      </c>
      <c r="AI939" t="str">
        <f>LEFT(AF939,1)</f>
        <v>B</v>
      </c>
      <c r="AJ939" t="str">
        <f>LEFT(M939,1)</f>
        <v>M</v>
      </c>
      <c r="AK939" t="str">
        <f>_xlfn.CONCAT(AG939,AH939,AI939,AJ939)</f>
        <v>DMBM</v>
      </c>
    </row>
    <row r="940" spans="1:37" ht="15.75" hidden="1" customHeight="1" x14ac:dyDescent="0.2">
      <c r="A940" s="1">
        <v>135504</v>
      </c>
      <c r="B940" s="1" t="s">
        <v>956</v>
      </c>
      <c r="C940" s="1" t="s">
        <v>163</v>
      </c>
      <c r="D940" s="1" t="s">
        <v>2060</v>
      </c>
      <c r="E940" s="1" t="s">
        <v>690</v>
      </c>
      <c r="F940" s="1" t="s">
        <v>61</v>
      </c>
      <c r="G940" s="1" t="s">
        <v>2063</v>
      </c>
      <c r="H940" s="1">
        <v>154</v>
      </c>
      <c r="I940" s="1" t="s">
        <v>91</v>
      </c>
      <c r="J940" s="1">
        <v>6</v>
      </c>
      <c r="K940" s="1" t="s">
        <v>35</v>
      </c>
      <c r="L940" s="1">
        <v>55</v>
      </c>
      <c r="M940" s="1" t="str">
        <f>IF(L940&lt;=45,"Joven","Mayor")</f>
        <v>Mayor</v>
      </c>
      <c r="N940" s="1">
        <v>53</v>
      </c>
      <c r="O940" s="1" t="s">
        <v>36</v>
      </c>
      <c r="P940" s="1">
        <v>0.35699999999999998</v>
      </c>
      <c r="Q940" s="1">
        <v>93.332999999999998</v>
      </c>
      <c r="R940" s="1">
        <v>1.9113396</v>
      </c>
      <c r="S940" s="1">
        <v>3.3957741000000001</v>
      </c>
      <c r="T940" s="1">
        <v>-3.117337</v>
      </c>
      <c r="U940" s="1">
        <v>6.5449999999999999</v>
      </c>
      <c r="V940" s="1">
        <v>84</v>
      </c>
      <c r="W940" s="1">
        <v>137</v>
      </c>
      <c r="X940" s="1">
        <v>1.6309523809523809</v>
      </c>
      <c r="Y940" s="1">
        <v>85</v>
      </c>
      <c r="Z940" s="1">
        <v>137</v>
      </c>
      <c r="AA940" s="1">
        <v>1.611764705882353</v>
      </c>
      <c r="AB940" s="1">
        <v>87.04946040546406</v>
      </c>
      <c r="AC940" s="1">
        <v>136.85165671634101</v>
      </c>
      <c r="AD940" s="1">
        <v>1.5721137854146985</v>
      </c>
      <c r="AE940" t="s">
        <v>4817</v>
      </c>
      <c r="AF940" t="str">
        <f>IF(X940&lt;$AF$1,"Bajo","Alto")</f>
        <v>Bajo</v>
      </c>
      <c r="AG940" t="str">
        <f>LEFT(AE940,1)</f>
        <v>C</v>
      </c>
      <c r="AH940" t="str">
        <f>K940</f>
        <v>M</v>
      </c>
      <c r="AI940" t="str">
        <f>LEFT(AF940,1)</f>
        <v>B</v>
      </c>
      <c r="AJ940" t="str">
        <f>LEFT(M940,1)</f>
        <v>M</v>
      </c>
      <c r="AK940" t="str">
        <f>_xlfn.CONCAT(AG940,AH940,AI940,AJ940)</f>
        <v>CMBM</v>
      </c>
    </row>
    <row r="941" spans="1:37" ht="15.75" hidden="1" customHeight="1" x14ac:dyDescent="0.2">
      <c r="A941" s="1">
        <v>250101</v>
      </c>
      <c r="B941" s="1" t="s">
        <v>3169</v>
      </c>
      <c r="C941" s="1" t="s">
        <v>821</v>
      </c>
      <c r="D941" s="1" t="s">
        <v>3170</v>
      </c>
      <c r="E941" s="1" t="s">
        <v>32</v>
      </c>
      <c r="F941" s="1" t="s">
        <v>32</v>
      </c>
      <c r="G941" s="1" t="s">
        <v>3171</v>
      </c>
      <c r="H941" s="1">
        <v>17925</v>
      </c>
      <c r="I941" s="1" t="s">
        <v>100</v>
      </c>
      <c r="J941" s="1">
        <v>1</v>
      </c>
      <c r="K941" s="1" t="s">
        <v>35</v>
      </c>
      <c r="L941" s="1">
        <v>45</v>
      </c>
      <c r="M941" s="1" t="str">
        <f>IF(L941&lt;=45,"Joven","Mayor")</f>
        <v>Joven</v>
      </c>
      <c r="N941" s="1">
        <v>39</v>
      </c>
      <c r="O941" s="1" t="s">
        <v>36</v>
      </c>
      <c r="P941" s="1">
        <v>0.36399999999999999</v>
      </c>
      <c r="Q941" s="1">
        <v>40.904000000000003</v>
      </c>
      <c r="R941" s="1">
        <v>13.598632</v>
      </c>
      <c r="S941" s="1">
        <v>18.052050000000001</v>
      </c>
      <c r="T941" s="1">
        <v>2.0465863</v>
      </c>
      <c r="U941" s="1">
        <v>5.2779999999999996</v>
      </c>
      <c r="V941" s="1">
        <v>119</v>
      </c>
      <c r="W941" s="1">
        <v>197</v>
      </c>
      <c r="X941" s="1">
        <v>1.6554621848739495</v>
      </c>
      <c r="Y941" s="1">
        <v>128</v>
      </c>
      <c r="Z941" s="1">
        <v>197</v>
      </c>
      <c r="AA941" s="1">
        <v>1.5390625</v>
      </c>
      <c r="AB941" s="1">
        <v>126.5612926005426</v>
      </c>
      <c r="AC941" s="1">
        <v>197.69571543013129</v>
      </c>
      <c r="AD941" s="1">
        <v>1.5620551226045531</v>
      </c>
      <c r="AE941" t="s">
        <v>4817</v>
      </c>
      <c r="AF941" t="str">
        <f>IF(X941&lt;$AF$1,"Bajo","Alto")</f>
        <v>Bajo</v>
      </c>
      <c r="AG941" t="str">
        <f>LEFT(AE941,1)</f>
        <v>C</v>
      </c>
      <c r="AH941" t="str">
        <f>K941</f>
        <v>M</v>
      </c>
      <c r="AI941" t="str">
        <f>LEFT(AF941,1)</f>
        <v>B</v>
      </c>
      <c r="AJ941" t="str">
        <f>LEFT(M941,1)</f>
        <v>J</v>
      </c>
      <c r="AK941" t="str">
        <f>_xlfn.CONCAT(AG941,AH941,AI941,AJ941)</f>
        <v>CMBJ</v>
      </c>
    </row>
    <row r="942" spans="1:37" ht="15.75" hidden="1" customHeight="1" x14ac:dyDescent="0.2">
      <c r="A942" s="1">
        <v>642303</v>
      </c>
      <c r="B942" s="1" t="s">
        <v>4718</v>
      </c>
      <c r="C942" s="1" t="s">
        <v>710</v>
      </c>
      <c r="D942" s="1" t="s">
        <v>4760</v>
      </c>
      <c r="E942" s="1" t="s">
        <v>1989</v>
      </c>
      <c r="F942" s="1" t="s">
        <v>63</v>
      </c>
      <c r="G942" s="1" t="s">
        <v>4762</v>
      </c>
      <c r="H942" s="1">
        <v>144</v>
      </c>
      <c r="I942" s="1" t="s">
        <v>65</v>
      </c>
      <c r="J942" s="1">
        <v>2</v>
      </c>
      <c r="K942" s="1" t="s">
        <v>35</v>
      </c>
      <c r="L942" s="1">
        <v>39</v>
      </c>
      <c r="M942" s="1" t="str">
        <f>IF(L942&lt;=45,"Joven","Mayor")</f>
        <v>Joven</v>
      </c>
      <c r="N942" s="1">
        <v>42</v>
      </c>
      <c r="O942" s="1" t="s">
        <v>36</v>
      </c>
      <c r="P942" s="1">
        <v>0.29199999999999998</v>
      </c>
      <c r="Q942" s="1">
        <v>79.421999999999997</v>
      </c>
      <c r="R942" s="1">
        <v>10.84521</v>
      </c>
      <c r="S942" s="1">
        <v>0.85206693</v>
      </c>
      <c r="T942" s="1">
        <v>2.3414934000000001</v>
      </c>
      <c r="U942" s="1">
        <v>9.3170000000000002</v>
      </c>
      <c r="V942" s="1">
        <v>89</v>
      </c>
      <c r="W942" s="1">
        <v>170</v>
      </c>
      <c r="X942" s="1">
        <v>1.9101123595505618</v>
      </c>
      <c r="Y942" s="1">
        <v>99</v>
      </c>
      <c r="Z942" s="1">
        <v>170</v>
      </c>
      <c r="AA942" s="1">
        <v>1.7171717171717171</v>
      </c>
      <c r="AB942" s="1">
        <v>97.691680060528597</v>
      </c>
      <c r="AC942" s="1">
        <v>170.92030213479569</v>
      </c>
      <c r="AD942" s="1">
        <v>1.7495891362385774</v>
      </c>
      <c r="AE942" t="s">
        <v>4817</v>
      </c>
      <c r="AF942" t="str">
        <f>IF(X942&lt;$AF$1,"Bajo","Alto")</f>
        <v>Alto</v>
      </c>
      <c r="AG942" t="str">
        <f>LEFT(AE942,1)</f>
        <v>C</v>
      </c>
      <c r="AH942" t="str">
        <f>K942</f>
        <v>M</v>
      </c>
      <c r="AI942" t="str">
        <f>LEFT(AF942,1)</f>
        <v>A</v>
      </c>
      <c r="AJ942" t="str">
        <f>LEFT(M942,1)</f>
        <v>J</v>
      </c>
      <c r="AK942" t="str">
        <f>_xlfn.CONCAT(AG942,AH942,AI942,AJ942)</f>
        <v>CMAJ</v>
      </c>
    </row>
    <row r="943" spans="1:37" ht="15.75" hidden="1" customHeight="1" x14ac:dyDescent="0.2">
      <c r="A943" s="1">
        <v>298002</v>
      </c>
      <c r="B943" s="1" t="s">
        <v>3890</v>
      </c>
      <c r="C943" s="1" t="s">
        <v>1695</v>
      </c>
      <c r="D943" s="1" t="s">
        <v>4076</v>
      </c>
      <c r="E943" s="1" t="s">
        <v>744</v>
      </c>
      <c r="F943" s="1" t="s">
        <v>37</v>
      </c>
      <c r="G943" s="1" t="s">
        <v>4078</v>
      </c>
      <c r="H943" s="1">
        <v>15</v>
      </c>
      <c r="I943" s="1" t="s">
        <v>93</v>
      </c>
      <c r="J943" s="1">
        <v>9</v>
      </c>
      <c r="K943" s="1" t="s">
        <v>35</v>
      </c>
      <c r="L943" s="1">
        <v>37</v>
      </c>
      <c r="M943" s="1" t="str">
        <f>IF(L943&lt;=45,"Joven","Mayor")</f>
        <v>Joven</v>
      </c>
      <c r="N943" s="1">
        <v>40</v>
      </c>
      <c r="O943" s="1" t="s">
        <v>36</v>
      </c>
      <c r="P943" s="1">
        <v>0.85299999999999998</v>
      </c>
      <c r="Q943" s="1">
        <v>93.896000000000001</v>
      </c>
      <c r="R943" s="1">
        <v>0.87336343999999999</v>
      </c>
      <c r="S943" s="1">
        <v>3.0107480999999998</v>
      </c>
      <c r="T943" s="1">
        <v>-2.5005023</v>
      </c>
      <c r="U943" s="1">
        <v>0.8</v>
      </c>
      <c r="V943" s="1">
        <v>83</v>
      </c>
      <c r="W943" s="1">
        <v>135</v>
      </c>
      <c r="X943" s="1">
        <v>1.6265060240963856</v>
      </c>
      <c r="Y943" s="1">
        <v>83</v>
      </c>
      <c r="Z943" s="1">
        <v>135</v>
      </c>
      <c r="AA943" s="1">
        <v>1.6265060240963856</v>
      </c>
      <c r="AB943" s="1">
        <v>84.578840189466291</v>
      </c>
      <c r="AC943" s="1">
        <v>134.95871457572051</v>
      </c>
      <c r="AD943" s="1">
        <v>1.5956557724532225</v>
      </c>
      <c r="AE943" t="s">
        <v>4815</v>
      </c>
      <c r="AF943" t="str">
        <f>IF(X943&lt;$AF$1,"Bajo","Alto")</f>
        <v>Bajo</v>
      </c>
      <c r="AG943" t="str">
        <f>LEFT(AE943,1)</f>
        <v>I</v>
      </c>
      <c r="AH943" t="str">
        <f>K943</f>
        <v>M</v>
      </c>
      <c r="AI943" t="str">
        <f>LEFT(AF943,1)</f>
        <v>B</v>
      </c>
      <c r="AJ943" t="str">
        <f>LEFT(M943,1)</f>
        <v>J</v>
      </c>
      <c r="AK943" t="str">
        <f>_xlfn.CONCAT(AG943,AH943,AI943,AJ943)</f>
        <v>IMBJ</v>
      </c>
    </row>
    <row r="944" spans="1:37" ht="15.75" hidden="1" customHeight="1" x14ac:dyDescent="0.2">
      <c r="A944" s="1">
        <v>134605</v>
      </c>
      <c r="B944" s="1" t="s">
        <v>956</v>
      </c>
      <c r="C944" s="1" t="s">
        <v>163</v>
      </c>
      <c r="D944" s="1" t="s">
        <v>2045</v>
      </c>
      <c r="E944" s="1" t="s">
        <v>669</v>
      </c>
      <c r="F944" s="1" t="s">
        <v>40</v>
      </c>
      <c r="G944" s="1" t="s">
        <v>2047</v>
      </c>
      <c r="H944" s="1">
        <v>6792</v>
      </c>
      <c r="I944" s="1" t="s">
        <v>2048</v>
      </c>
      <c r="J944" s="1">
        <v>4063</v>
      </c>
      <c r="K944" s="1" t="s">
        <v>35</v>
      </c>
      <c r="L944" s="1">
        <v>37</v>
      </c>
      <c r="M944" s="1" t="str">
        <f>IF(L944&lt;=45,"Joven","Mayor")</f>
        <v>Joven</v>
      </c>
      <c r="N944" s="1">
        <v>31</v>
      </c>
      <c r="O944" s="1" t="s">
        <v>36</v>
      </c>
      <c r="P944" s="1">
        <v>0.36199999999999999</v>
      </c>
      <c r="Q944" s="1">
        <v>91.445999999999998</v>
      </c>
      <c r="R944" s="1">
        <v>3.7176054000000001</v>
      </c>
      <c r="S944" s="1">
        <v>5.0124120000000003</v>
      </c>
      <c r="T944" s="1">
        <v>-6.8307039999999999</v>
      </c>
      <c r="U944" s="1">
        <v>1.474</v>
      </c>
      <c r="V944" s="1">
        <v>77</v>
      </c>
      <c r="W944" s="1">
        <v>147</v>
      </c>
      <c r="X944" s="1">
        <v>1.9090909090909092</v>
      </c>
      <c r="Y944" s="1">
        <v>84</v>
      </c>
      <c r="Z944" s="1">
        <v>147</v>
      </c>
      <c r="AA944" s="1">
        <v>1.75</v>
      </c>
      <c r="AB944" s="1">
        <v>82.162378657206091</v>
      </c>
      <c r="AC944" s="1">
        <v>146.9080699738229</v>
      </c>
      <c r="AD944" s="1">
        <v>1.7880211402684147</v>
      </c>
      <c r="AE944" t="s">
        <v>4817</v>
      </c>
      <c r="AF944" t="str">
        <f>IF(X944&lt;$AF$1,"Bajo","Alto")</f>
        <v>Alto</v>
      </c>
      <c r="AG944" t="str">
        <f>LEFT(AE944,1)</f>
        <v>C</v>
      </c>
      <c r="AH944" t="str">
        <f>K944</f>
        <v>M</v>
      </c>
      <c r="AI944" t="str">
        <f>LEFT(AF944,1)</f>
        <v>A</v>
      </c>
      <c r="AJ944" t="str">
        <f>LEFT(M944,1)</f>
        <v>J</v>
      </c>
      <c r="AK944" t="str">
        <f>_xlfn.CONCAT(AG944,AH944,AI944,AJ944)</f>
        <v>CMAJ</v>
      </c>
    </row>
    <row r="945" spans="1:37" ht="15.75" hidden="1" customHeight="1" x14ac:dyDescent="0.2">
      <c r="A945" s="1">
        <v>1241503</v>
      </c>
      <c r="B945" s="1" t="s">
        <v>1798</v>
      </c>
      <c r="C945" s="1" t="s">
        <v>54</v>
      </c>
      <c r="D945" s="1" t="s">
        <v>1844</v>
      </c>
      <c r="E945" s="1" t="s">
        <v>1845</v>
      </c>
      <c r="F945" s="1" t="s">
        <v>63</v>
      </c>
      <c r="G945" s="1" t="s">
        <v>1847</v>
      </c>
      <c r="H945" s="1">
        <v>5083</v>
      </c>
      <c r="I945" s="1" t="s">
        <v>85</v>
      </c>
      <c r="J945" s="1">
        <v>12</v>
      </c>
      <c r="K945" s="1" t="s">
        <v>35</v>
      </c>
      <c r="L945" s="1">
        <v>42</v>
      </c>
      <c r="M945" s="1" t="str">
        <f>IF(L945&lt;=45,"Joven","Mayor")</f>
        <v>Joven</v>
      </c>
      <c r="N945" s="1">
        <v>44</v>
      </c>
      <c r="O945" s="1" t="s">
        <v>36</v>
      </c>
      <c r="P945" s="1">
        <v>0.36099999999999999</v>
      </c>
      <c r="Q945" s="1">
        <v>93.27</v>
      </c>
      <c r="R945" s="1">
        <v>2.8587482</v>
      </c>
      <c r="S945" s="1">
        <v>0.74208719999999995</v>
      </c>
      <c r="T945" s="1">
        <v>-6.2958464999999997</v>
      </c>
      <c r="U945" s="1">
        <v>30.504999999999999</v>
      </c>
      <c r="V945" s="1">
        <v>102</v>
      </c>
      <c r="W945" s="1">
        <v>166</v>
      </c>
      <c r="X945" s="1">
        <v>1.6274509803921569</v>
      </c>
      <c r="Y945" s="1">
        <v>108</v>
      </c>
      <c r="Z945" s="1">
        <v>166</v>
      </c>
      <c r="AA945" s="1">
        <v>1.537037037037037</v>
      </c>
      <c r="AB945" s="1">
        <v>106.7582791490006</v>
      </c>
      <c r="AC945" s="1">
        <v>166.09546124664891</v>
      </c>
      <c r="AD945" s="1">
        <v>1.5558087163884731</v>
      </c>
      <c r="AE945" t="s">
        <v>4815</v>
      </c>
      <c r="AF945" t="str">
        <f>IF(X945&lt;$AF$1,"Bajo","Alto")</f>
        <v>Bajo</v>
      </c>
      <c r="AG945" t="str">
        <f>LEFT(AE945,1)</f>
        <v>I</v>
      </c>
      <c r="AH945" t="str">
        <f>K945</f>
        <v>M</v>
      </c>
      <c r="AI945" t="str">
        <f>LEFT(AF945,1)</f>
        <v>B</v>
      </c>
      <c r="AJ945" t="str">
        <f>LEFT(M945,1)</f>
        <v>J</v>
      </c>
      <c r="AK945" t="str">
        <f>_xlfn.CONCAT(AG945,AH945,AI945,AJ945)</f>
        <v>IMBJ</v>
      </c>
    </row>
    <row r="946" spans="1:37" ht="15.75" hidden="1" customHeight="1" x14ac:dyDescent="0.2">
      <c r="A946" s="1">
        <v>1512102</v>
      </c>
      <c r="B946" s="1" t="s">
        <v>2077</v>
      </c>
      <c r="C946" s="1" t="s">
        <v>57</v>
      </c>
      <c r="D946" s="1" t="s">
        <v>2128</v>
      </c>
      <c r="E946" s="1" t="s">
        <v>136</v>
      </c>
      <c r="F946" s="1" t="s">
        <v>37</v>
      </c>
      <c r="G946" s="1" t="s">
        <v>2129</v>
      </c>
      <c r="H946" s="1">
        <v>5</v>
      </c>
      <c r="I946" s="1" t="s">
        <v>2130</v>
      </c>
      <c r="J946" s="1">
        <v>2084</v>
      </c>
      <c r="K946" s="1" t="s">
        <v>49</v>
      </c>
      <c r="L946" s="1">
        <v>30</v>
      </c>
      <c r="M946" s="1" t="str">
        <f>IF(L946&lt;=45,"Joven","Mayor")</f>
        <v>Joven</v>
      </c>
      <c r="N946" s="1">
        <v>22</v>
      </c>
      <c r="O946" s="1" t="s">
        <v>50</v>
      </c>
      <c r="P946" s="1">
        <v>0.34499999999999997</v>
      </c>
      <c r="Q946" s="1">
        <v>92.117999999999995</v>
      </c>
      <c r="R946" s="1">
        <v>-2.5158002000000002</v>
      </c>
      <c r="S946" s="1">
        <v>-6.0147320000000004</v>
      </c>
      <c r="T946" s="1">
        <v>-1.7822480999999999</v>
      </c>
      <c r="U946" s="1">
        <v>42.978999999999999</v>
      </c>
      <c r="V946" s="1">
        <v>80</v>
      </c>
      <c r="W946" s="1">
        <v>156</v>
      </c>
      <c r="X946" s="1">
        <v>1.95</v>
      </c>
      <c r="Y946" s="1">
        <v>81</v>
      </c>
      <c r="Z946" s="1">
        <v>156</v>
      </c>
      <c r="AA946" s="1">
        <v>1.9259259259259258</v>
      </c>
      <c r="AB946" s="1">
        <v>82.578072023527966</v>
      </c>
      <c r="AC946" s="1">
        <v>156.17334277092101</v>
      </c>
      <c r="AD946" s="1">
        <v>1.8912205013266044</v>
      </c>
      <c r="AE946" t="s">
        <v>4817</v>
      </c>
      <c r="AF946" t="str">
        <f>IF(X946&lt;$AF$1,"Bajo","Alto")</f>
        <v>Alto</v>
      </c>
      <c r="AG946" t="str">
        <f>LEFT(AE946,1)</f>
        <v>C</v>
      </c>
      <c r="AH946" t="str">
        <f>K946</f>
        <v>F</v>
      </c>
      <c r="AI946" t="str">
        <f>LEFT(AF946,1)</f>
        <v>A</v>
      </c>
      <c r="AJ946" t="str">
        <f>LEFT(M946,1)</f>
        <v>J</v>
      </c>
      <c r="AK946" t="str">
        <f>_xlfn.CONCAT(AG946,AH946,AI946,AJ946)</f>
        <v>CFAJ</v>
      </c>
    </row>
    <row r="947" spans="1:37" ht="15.75" hidden="1" customHeight="1" x14ac:dyDescent="0.2">
      <c r="A947" s="1">
        <v>524801</v>
      </c>
      <c r="B947" s="1" t="s">
        <v>4529</v>
      </c>
      <c r="C947" s="1" t="s">
        <v>685</v>
      </c>
      <c r="D947" s="1" t="s">
        <v>4634</v>
      </c>
      <c r="E947" s="1" t="s">
        <v>2650</v>
      </c>
      <c r="F947" s="1" t="s">
        <v>32</v>
      </c>
      <c r="G947" s="1" t="s">
        <v>4635</v>
      </c>
      <c r="H947" s="1">
        <v>974</v>
      </c>
      <c r="I947" s="1" t="s">
        <v>100</v>
      </c>
      <c r="J947" s="1">
        <v>1</v>
      </c>
      <c r="K947" s="1" t="s">
        <v>49</v>
      </c>
      <c r="L947" s="1">
        <v>33</v>
      </c>
      <c r="M947" s="1" t="str">
        <f>IF(L947&lt;=45,"Joven","Mayor")</f>
        <v>Joven</v>
      </c>
      <c r="N947" s="1">
        <v>39</v>
      </c>
      <c r="O947" s="1" t="s">
        <v>50</v>
      </c>
      <c r="P947" s="1">
        <v>0.55700000000000005</v>
      </c>
      <c r="Q947" s="1">
        <v>91.811999999999998</v>
      </c>
      <c r="R947" s="1">
        <v>0.51326053999999999</v>
      </c>
      <c r="S947" s="1">
        <v>9.7531400000000001</v>
      </c>
      <c r="T947" s="1">
        <v>-1.9144379</v>
      </c>
      <c r="U947" s="1">
        <v>62.954999999999998</v>
      </c>
      <c r="V947" s="1">
        <v>108</v>
      </c>
      <c r="W947" s="1">
        <v>179</v>
      </c>
      <c r="X947" s="1">
        <v>1.6574074074074074</v>
      </c>
      <c r="Y947" s="1">
        <v>108</v>
      </c>
      <c r="Z947" s="1">
        <v>179</v>
      </c>
      <c r="AA947" s="1">
        <v>1.6574074074074074</v>
      </c>
      <c r="AB947" s="1">
        <v>109.5432549120496</v>
      </c>
      <c r="AC947" s="1">
        <v>178.8666804480581</v>
      </c>
      <c r="AD947" s="1">
        <v>1.6328406581643671</v>
      </c>
      <c r="AE947" t="s">
        <v>4817</v>
      </c>
      <c r="AF947" t="str">
        <f>IF(X947&lt;$AF$1,"Bajo","Alto")</f>
        <v>Bajo</v>
      </c>
      <c r="AG947" t="str">
        <f>LEFT(AE947,1)</f>
        <v>C</v>
      </c>
      <c r="AH947" t="str">
        <f>K947</f>
        <v>F</v>
      </c>
      <c r="AI947" t="str">
        <f>LEFT(AF947,1)</f>
        <v>B</v>
      </c>
      <c r="AJ947" t="str">
        <f>LEFT(M947,1)</f>
        <v>J</v>
      </c>
      <c r="AK947" t="str">
        <f>_xlfn.CONCAT(AG947,AH947,AI947,AJ947)</f>
        <v>CFBJ</v>
      </c>
    </row>
    <row r="948" spans="1:37" ht="15.75" customHeight="1" x14ac:dyDescent="0.2">
      <c r="A948" s="1">
        <v>116105</v>
      </c>
      <c r="B948" s="1" t="s">
        <v>1648</v>
      </c>
      <c r="C948" s="1" t="s">
        <v>51</v>
      </c>
      <c r="D948" s="1" t="s">
        <v>1738</v>
      </c>
      <c r="E948" s="1" t="s">
        <v>701</v>
      </c>
      <c r="F948" s="1" t="s">
        <v>40</v>
      </c>
      <c r="G948" s="1" t="s">
        <v>1740</v>
      </c>
      <c r="H948" s="1">
        <v>5620</v>
      </c>
      <c r="I948" s="1" t="s">
        <v>1741</v>
      </c>
      <c r="J948" s="1">
        <v>3477</v>
      </c>
      <c r="K948" s="1" t="s">
        <v>35</v>
      </c>
      <c r="L948" s="1">
        <v>46</v>
      </c>
      <c r="M948" s="1" t="str">
        <f>IF(L948&lt;=45,"Joven","Mayor")</f>
        <v>Mayor</v>
      </c>
      <c r="N948" s="1">
        <v>34</v>
      </c>
      <c r="O948" s="1" t="s">
        <v>36</v>
      </c>
      <c r="P948" s="1">
        <v>0.35899999999999999</v>
      </c>
      <c r="Q948" s="1">
        <v>52.941000000000003</v>
      </c>
      <c r="R948" s="1">
        <v>15.725655</v>
      </c>
      <c r="S948" s="1">
        <v>-0.50073480000000004</v>
      </c>
      <c r="T948" s="1">
        <v>-1.2595212</v>
      </c>
      <c r="U948" s="1">
        <v>18.443000000000001</v>
      </c>
      <c r="V948" s="1">
        <v>135</v>
      </c>
      <c r="W948" s="1">
        <v>241</v>
      </c>
      <c r="X948" s="1">
        <v>1.7851851851851852</v>
      </c>
      <c r="Y948" s="1">
        <v>136</v>
      </c>
      <c r="Z948" s="1">
        <v>241</v>
      </c>
      <c r="AA948" s="1">
        <v>1.7720588235294117</v>
      </c>
      <c r="AB948" s="1">
        <v>137.26402105674131</v>
      </c>
      <c r="AC948" s="1">
        <v>240.67799928868001</v>
      </c>
      <c r="AD948" s="1">
        <v>1.7533946436640531</v>
      </c>
      <c r="AE948" t="s">
        <v>4818</v>
      </c>
      <c r="AF948" t="str">
        <f>IF(X948&lt;$AF$1,"Bajo","Alto")</f>
        <v>Alto</v>
      </c>
      <c r="AG948" t="str">
        <f>LEFT(AE948,1)</f>
        <v>S</v>
      </c>
      <c r="AH948" t="str">
        <f>K948</f>
        <v>M</v>
      </c>
      <c r="AI948" t="str">
        <f>LEFT(AF948,1)</f>
        <v>A</v>
      </c>
      <c r="AJ948" t="str">
        <f>LEFT(M948,1)</f>
        <v>M</v>
      </c>
      <c r="AK948" t="str">
        <f>_xlfn.CONCAT(AG948,AH948,AI948,AJ948)</f>
        <v>SMAM</v>
      </c>
    </row>
    <row r="949" spans="1:37" ht="15.75" hidden="1" customHeight="1" x14ac:dyDescent="0.2">
      <c r="A949" s="1">
        <v>312502</v>
      </c>
      <c r="B949" s="1" t="s">
        <v>4122</v>
      </c>
      <c r="C949" s="1" t="s">
        <v>628</v>
      </c>
      <c r="D949" s="1" t="s">
        <v>4191</v>
      </c>
      <c r="E949" s="1" t="s">
        <v>821</v>
      </c>
      <c r="F949" s="1" t="s">
        <v>37</v>
      </c>
      <c r="G949" s="1" t="s">
        <v>4193</v>
      </c>
      <c r="H949" s="1">
        <v>20</v>
      </c>
      <c r="I949" s="1" t="s">
        <v>85</v>
      </c>
      <c r="J949" s="1">
        <v>12</v>
      </c>
      <c r="K949" s="1" t="s">
        <v>35</v>
      </c>
      <c r="L949" s="1">
        <v>40</v>
      </c>
      <c r="M949" s="1" t="str">
        <f>IF(L949&lt;=45,"Joven","Mayor")</f>
        <v>Joven</v>
      </c>
      <c r="N949" s="1">
        <v>46</v>
      </c>
      <c r="O949" s="1" t="s">
        <v>36</v>
      </c>
      <c r="P949" s="1">
        <v>0.35799999999999998</v>
      </c>
      <c r="Q949" s="1">
        <v>94.38</v>
      </c>
      <c r="R949" s="1">
        <v>9.6572039999999998E-2</v>
      </c>
      <c r="S949" s="1">
        <v>-3.0290368000000001</v>
      </c>
      <c r="T949" s="1">
        <v>-2.8066072000000002</v>
      </c>
      <c r="U949" s="1">
        <v>5.2729999999999997</v>
      </c>
      <c r="V949" s="1">
        <v>102</v>
      </c>
      <c r="W949" s="1">
        <v>166</v>
      </c>
      <c r="X949" s="1">
        <v>1.6274509803921569</v>
      </c>
      <c r="Y949" s="1">
        <v>102</v>
      </c>
      <c r="Z949" s="1">
        <v>166</v>
      </c>
      <c r="AA949" s="1">
        <v>1.6274509803921569</v>
      </c>
      <c r="AB949" s="1">
        <v>104.2769332525572</v>
      </c>
      <c r="AC949" s="1">
        <v>166.04570732633829</v>
      </c>
      <c r="AD949" s="1">
        <v>1.5923531901746479</v>
      </c>
      <c r="AE949" t="s">
        <v>4815</v>
      </c>
      <c r="AF949" t="str">
        <f>IF(X949&lt;$AF$1,"Bajo","Alto")</f>
        <v>Bajo</v>
      </c>
      <c r="AG949" t="str">
        <f>LEFT(AE949,1)</f>
        <v>I</v>
      </c>
      <c r="AH949" t="str">
        <f>K949</f>
        <v>M</v>
      </c>
      <c r="AI949" t="str">
        <f>LEFT(AF949,1)</f>
        <v>B</v>
      </c>
      <c r="AJ949" t="str">
        <f>LEFT(M949,1)</f>
        <v>J</v>
      </c>
      <c r="AK949" t="str">
        <f>_xlfn.CONCAT(AG949,AH949,AI949,AJ949)</f>
        <v>IMBJ</v>
      </c>
    </row>
    <row r="950" spans="1:37" ht="15.75" hidden="1" customHeight="1" x14ac:dyDescent="0.2">
      <c r="A950" s="1">
        <v>1078801</v>
      </c>
      <c r="B950" s="1" t="s">
        <v>1067</v>
      </c>
      <c r="C950" s="1" t="s">
        <v>1068</v>
      </c>
      <c r="D950" s="1" t="s">
        <v>1511</v>
      </c>
      <c r="E950" s="1" t="s">
        <v>763</v>
      </c>
      <c r="F950" s="1" t="s">
        <v>32</v>
      </c>
      <c r="G950" s="1" t="s">
        <v>1512</v>
      </c>
      <c r="H950" s="1">
        <v>1431</v>
      </c>
      <c r="I950" s="1" t="s">
        <v>39</v>
      </c>
      <c r="J950" s="1">
        <v>11</v>
      </c>
      <c r="K950" s="1" t="s">
        <v>49</v>
      </c>
      <c r="L950" s="1">
        <v>35</v>
      </c>
      <c r="M950" s="1" t="str">
        <f>IF(L950&lt;=45,"Joven","Mayor")</f>
        <v>Joven</v>
      </c>
      <c r="N950" s="1">
        <v>35</v>
      </c>
      <c r="O950" s="1" t="s">
        <v>50</v>
      </c>
      <c r="P950" s="1">
        <v>0.36299999999999999</v>
      </c>
      <c r="Q950" s="1">
        <v>82.658000000000001</v>
      </c>
      <c r="R950" s="1">
        <v>9.8105580000000003</v>
      </c>
      <c r="S950" s="1">
        <v>-0.80568993</v>
      </c>
      <c r="T950" s="1">
        <v>-6.4854419999999999</v>
      </c>
      <c r="U950" s="1">
        <v>48.652999999999999</v>
      </c>
      <c r="V950" s="1">
        <v>99</v>
      </c>
      <c r="W950" s="1">
        <v>198</v>
      </c>
      <c r="X950" s="1">
        <v>2</v>
      </c>
      <c r="Y950" s="1">
        <v>109</v>
      </c>
      <c r="Z950" s="1">
        <v>198</v>
      </c>
      <c r="AA950" s="1">
        <v>1.8165137614678899</v>
      </c>
      <c r="AB950" s="1">
        <v>104.465799050274</v>
      </c>
      <c r="AC950" s="1">
        <v>198.3142268129009</v>
      </c>
      <c r="AD950" s="1">
        <v>1.8983650976283875</v>
      </c>
      <c r="AE950" t="s">
        <v>4816</v>
      </c>
      <c r="AF950" t="str">
        <f>IF(X950&lt;$AF$1,"Bajo","Alto")</f>
        <v>Alto</v>
      </c>
      <c r="AG950" t="str">
        <f>LEFT(AE950,1)</f>
        <v>D</v>
      </c>
      <c r="AH950" t="str">
        <f>K950</f>
        <v>F</v>
      </c>
      <c r="AI950" t="str">
        <f>LEFT(AF950,1)</f>
        <v>A</v>
      </c>
      <c r="AJ950" t="str">
        <f>LEFT(M950,1)</f>
        <v>J</v>
      </c>
      <c r="AK950" t="str">
        <f>_xlfn.CONCAT(AG950,AH950,AI950,AJ950)</f>
        <v>DFAJ</v>
      </c>
    </row>
    <row r="951" spans="1:37" ht="15.75" hidden="1" customHeight="1" x14ac:dyDescent="0.2">
      <c r="A951" s="1">
        <v>1241005</v>
      </c>
      <c r="B951" s="1" t="s">
        <v>1798</v>
      </c>
      <c r="C951" s="1" t="s">
        <v>54</v>
      </c>
      <c r="D951" s="1" t="s">
        <v>1837</v>
      </c>
      <c r="E951" s="1" t="s">
        <v>1838</v>
      </c>
      <c r="F951" s="1" t="s">
        <v>40</v>
      </c>
      <c r="G951" s="1" t="s">
        <v>1841</v>
      </c>
      <c r="H951" s="1">
        <v>1540</v>
      </c>
      <c r="I951" s="1" t="s">
        <v>108</v>
      </c>
      <c r="J951" s="1">
        <v>3</v>
      </c>
      <c r="K951" s="1" t="s">
        <v>35</v>
      </c>
      <c r="L951" s="1">
        <v>59</v>
      </c>
      <c r="M951" s="1" t="str">
        <f>IF(L951&lt;=45,"Joven","Mayor")</f>
        <v>Mayor</v>
      </c>
      <c r="N951" s="1">
        <v>62</v>
      </c>
      <c r="O951" s="1" t="s">
        <v>36</v>
      </c>
      <c r="P951" s="1">
        <v>0.34300000000000003</v>
      </c>
      <c r="Q951" s="1">
        <v>88.216999999999999</v>
      </c>
      <c r="R951" s="1">
        <v>6.6981539999999997</v>
      </c>
      <c r="S951" s="1">
        <v>3.7519360000000002</v>
      </c>
      <c r="T951" s="1">
        <v>-6.4158545</v>
      </c>
      <c r="U951" s="1">
        <v>1.621</v>
      </c>
      <c r="V951" s="1">
        <v>76</v>
      </c>
      <c r="W951" s="1">
        <v>124</v>
      </c>
      <c r="X951" s="1">
        <v>1.631578947368421</v>
      </c>
      <c r="Y951" s="1">
        <v>78</v>
      </c>
      <c r="Z951" s="1">
        <v>124</v>
      </c>
      <c r="AA951" s="1">
        <v>1.5897435897435896</v>
      </c>
      <c r="AB951" s="1">
        <v>79.099820083376244</v>
      </c>
      <c r="AC951" s="1">
        <v>123.44688032046589</v>
      </c>
      <c r="AD951" s="1">
        <v>1.5606467902246177</v>
      </c>
      <c r="AE951" t="s">
        <v>4817</v>
      </c>
      <c r="AF951" t="str">
        <f>IF(X951&lt;$AF$1,"Bajo","Alto")</f>
        <v>Bajo</v>
      </c>
      <c r="AG951" t="str">
        <f>LEFT(AE951,1)</f>
        <v>C</v>
      </c>
      <c r="AH951" t="str">
        <f>K951</f>
        <v>M</v>
      </c>
      <c r="AI951" t="str">
        <f>LEFT(AF951,1)</f>
        <v>B</v>
      </c>
      <c r="AJ951" t="str">
        <f>LEFT(M951,1)</f>
        <v>M</v>
      </c>
      <c r="AK951" t="str">
        <f>_xlfn.CONCAT(AG951,AH951,AI951,AJ951)</f>
        <v>CMBM</v>
      </c>
    </row>
    <row r="952" spans="1:37" ht="15.75" hidden="1" customHeight="1" x14ac:dyDescent="0.2">
      <c r="A952" s="1">
        <v>1050901</v>
      </c>
      <c r="B952" s="1" t="s">
        <v>694</v>
      </c>
      <c r="C952" s="1" t="s">
        <v>879</v>
      </c>
      <c r="D952" s="1" t="s">
        <v>901</v>
      </c>
      <c r="E952" s="1" t="s">
        <v>189</v>
      </c>
      <c r="F952" s="1" t="s">
        <v>32</v>
      </c>
      <c r="G952" s="1" t="s">
        <v>902</v>
      </c>
      <c r="H952" s="1">
        <v>4094</v>
      </c>
      <c r="I952" s="1" t="s">
        <v>65</v>
      </c>
      <c r="J952" s="1">
        <v>2</v>
      </c>
      <c r="K952" s="1" t="s">
        <v>49</v>
      </c>
      <c r="L952" s="1">
        <v>50</v>
      </c>
      <c r="M952" s="1" t="str">
        <f>IF(L952&lt;=45,"Joven","Mayor")</f>
        <v>Mayor</v>
      </c>
      <c r="N952" s="1">
        <v>42</v>
      </c>
      <c r="O952" s="1" t="s">
        <v>50</v>
      </c>
      <c r="P952" s="1">
        <v>6.3E-2</v>
      </c>
      <c r="Q952" s="1">
        <v>90.064999999999998</v>
      </c>
      <c r="R952" s="1">
        <v>6.1280966000000001</v>
      </c>
      <c r="S952" s="1">
        <v>1.0330149</v>
      </c>
      <c r="T952" s="1">
        <v>3.1191428000000001</v>
      </c>
      <c r="U952" s="1">
        <v>28.3</v>
      </c>
      <c r="V952" s="1">
        <v>63</v>
      </c>
      <c r="W952" s="1">
        <v>103</v>
      </c>
      <c r="X952" s="1">
        <v>1.6349206349206349</v>
      </c>
      <c r="Y952" s="1">
        <v>65</v>
      </c>
      <c r="Z952" s="1">
        <v>103</v>
      </c>
      <c r="AA952" s="1">
        <v>1.5846153846153845</v>
      </c>
      <c r="AB952" s="1">
        <v>66.590490733186925</v>
      </c>
      <c r="AC952" s="1">
        <v>103.0650600035115</v>
      </c>
      <c r="AD952" s="1">
        <v>1.5477444131846085</v>
      </c>
      <c r="AE952" t="s">
        <v>4817</v>
      </c>
      <c r="AF952" t="str">
        <f>IF(X952&lt;$AF$1,"Bajo","Alto")</f>
        <v>Bajo</v>
      </c>
      <c r="AG952" t="str">
        <f>LEFT(AE952,1)</f>
        <v>C</v>
      </c>
      <c r="AH952" t="str">
        <f>K952</f>
        <v>F</v>
      </c>
      <c r="AI952" t="str">
        <f>LEFT(AF952,1)</f>
        <v>B</v>
      </c>
      <c r="AJ952" t="str">
        <f>LEFT(M952,1)</f>
        <v>M</v>
      </c>
      <c r="AK952" t="str">
        <f>_xlfn.CONCAT(AG952,AH952,AI952,AJ952)</f>
        <v>CFBM</v>
      </c>
    </row>
    <row r="953" spans="1:37" ht="15.75" hidden="1" customHeight="1" x14ac:dyDescent="0.2">
      <c r="A953" s="1">
        <v>215501</v>
      </c>
      <c r="B953" s="1" t="s">
        <v>2816</v>
      </c>
      <c r="C953" s="1" t="s">
        <v>2817</v>
      </c>
      <c r="D953" s="1" t="s">
        <v>2890</v>
      </c>
      <c r="E953" s="1" t="s">
        <v>690</v>
      </c>
      <c r="F953" s="1" t="s">
        <v>32</v>
      </c>
      <c r="G953" s="1" t="s">
        <v>2891</v>
      </c>
      <c r="H953" s="1">
        <v>1114</v>
      </c>
      <c r="I953" s="1" t="s">
        <v>85</v>
      </c>
      <c r="J953" s="1">
        <v>12</v>
      </c>
      <c r="K953" s="1" t="s">
        <v>35</v>
      </c>
      <c r="L953" s="1">
        <v>30</v>
      </c>
      <c r="M953" s="1" t="str">
        <f>IF(L953&lt;=45,"Joven","Mayor")</f>
        <v>Joven</v>
      </c>
      <c r="N953" s="1">
        <v>29</v>
      </c>
      <c r="O953" s="1" t="s">
        <v>36</v>
      </c>
      <c r="P953" s="1">
        <v>0.45100000000000001</v>
      </c>
      <c r="Q953" s="1">
        <v>94.028999999999996</v>
      </c>
      <c r="R953" s="1">
        <v>0.70261390000000001</v>
      </c>
      <c r="S953" s="1">
        <v>-3.2379150000000001</v>
      </c>
      <c r="T953" s="1">
        <v>1.9175754999999999E-2</v>
      </c>
      <c r="U953" s="1">
        <v>30.384</v>
      </c>
      <c r="V953" s="1">
        <v>62</v>
      </c>
      <c r="W953" s="1">
        <v>101</v>
      </c>
      <c r="X953" s="1">
        <v>1.6290322580645162</v>
      </c>
      <c r="Y953" s="1">
        <v>64</v>
      </c>
      <c r="Z953" s="1">
        <v>101</v>
      </c>
      <c r="AA953" s="1">
        <v>1.578125</v>
      </c>
      <c r="AB953" s="1">
        <v>63.990290694059688</v>
      </c>
      <c r="AC953" s="1">
        <v>100.9999943434577</v>
      </c>
      <c r="AD953" s="1">
        <v>1.5783643619677084</v>
      </c>
      <c r="AE953" t="s">
        <v>4815</v>
      </c>
      <c r="AF953" t="str">
        <f>IF(X953&lt;$AF$1,"Bajo","Alto")</f>
        <v>Bajo</v>
      </c>
      <c r="AG953" t="str">
        <f>LEFT(AE953,1)</f>
        <v>I</v>
      </c>
      <c r="AH953" t="str">
        <f>K953</f>
        <v>M</v>
      </c>
      <c r="AI953" t="str">
        <f>LEFT(AF953,1)</f>
        <v>B</v>
      </c>
      <c r="AJ953" t="str">
        <f>LEFT(M953,1)</f>
        <v>J</v>
      </c>
      <c r="AK953" t="str">
        <f>_xlfn.CONCAT(AG953,AH953,AI953,AJ953)</f>
        <v>IMBJ</v>
      </c>
    </row>
    <row r="954" spans="1:37" ht="15.75" hidden="1" customHeight="1" x14ac:dyDescent="0.2">
      <c r="A954" s="1">
        <v>290704</v>
      </c>
      <c r="B954" s="1" t="s">
        <v>3890</v>
      </c>
      <c r="C954" s="1" t="s">
        <v>1695</v>
      </c>
      <c r="D954" s="1" t="s">
        <v>3908</v>
      </c>
      <c r="E954" s="1" t="s">
        <v>43</v>
      </c>
      <c r="F954" s="1" t="s">
        <v>61</v>
      </c>
      <c r="G954" s="1" t="s">
        <v>3912</v>
      </c>
      <c r="H954" s="1">
        <v>2443</v>
      </c>
      <c r="I954" s="1" t="s">
        <v>3913</v>
      </c>
      <c r="J954" s="1">
        <v>4284</v>
      </c>
      <c r="K954" s="1" t="s">
        <v>35</v>
      </c>
      <c r="L954" s="1">
        <v>53</v>
      </c>
      <c r="M954" s="1" t="str">
        <f>IF(L954&lt;=45,"Joven","Mayor")</f>
        <v>Mayor</v>
      </c>
      <c r="N954" s="1">
        <v>53</v>
      </c>
      <c r="O954" s="1" t="s">
        <v>36</v>
      </c>
      <c r="P954" s="1">
        <v>4.9000000000000002E-2</v>
      </c>
      <c r="Q954" s="1">
        <v>93.037000000000006</v>
      </c>
      <c r="R954" s="1">
        <v>2.9068676999999998</v>
      </c>
      <c r="S954" s="1">
        <v>-2.1172209999999998</v>
      </c>
      <c r="T954" s="1">
        <v>2.2674591999999998</v>
      </c>
      <c r="U954" s="1">
        <v>0.50600000000000001</v>
      </c>
      <c r="V954" s="1">
        <v>111</v>
      </c>
      <c r="W954" s="1">
        <v>211</v>
      </c>
      <c r="X954" s="1">
        <v>1.9009009009009008</v>
      </c>
      <c r="Y954" s="1">
        <v>113</v>
      </c>
      <c r="Z954" s="1">
        <v>211</v>
      </c>
      <c r="AA954" s="1">
        <v>1.8672566371681416</v>
      </c>
      <c r="AB954" s="1">
        <v>115.1666890763759</v>
      </c>
      <c r="AC954" s="1">
        <v>210.63697111026431</v>
      </c>
      <c r="AD954" s="1">
        <v>1.828974791231297</v>
      </c>
      <c r="AE954" t="s">
        <v>4817</v>
      </c>
      <c r="AF954" t="str">
        <f>IF(X954&lt;$AF$1,"Bajo","Alto")</f>
        <v>Alto</v>
      </c>
      <c r="AG954" t="str">
        <f>LEFT(AE954,1)</f>
        <v>C</v>
      </c>
      <c r="AH954" t="str">
        <f>K954</f>
        <v>M</v>
      </c>
      <c r="AI954" t="str">
        <f>LEFT(AF954,1)</f>
        <v>A</v>
      </c>
      <c r="AJ954" t="str">
        <f>LEFT(M954,1)</f>
        <v>M</v>
      </c>
      <c r="AK954" t="str">
        <f>_xlfn.CONCAT(AG954,AH954,AI954,AJ954)</f>
        <v>CMAM</v>
      </c>
    </row>
    <row r="955" spans="1:37" ht="15.75" hidden="1" customHeight="1" x14ac:dyDescent="0.2">
      <c r="A955" s="1">
        <v>2312401</v>
      </c>
      <c r="B955" s="1" t="s">
        <v>319</v>
      </c>
      <c r="C955" s="1" t="s">
        <v>1989</v>
      </c>
      <c r="D955" s="1" t="s">
        <v>1046</v>
      </c>
      <c r="E955" s="1" t="s">
        <v>145</v>
      </c>
      <c r="F955" s="1" t="s">
        <v>32</v>
      </c>
      <c r="G955" s="1" t="s">
        <v>2960</v>
      </c>
      <c r="H955" s="1">
        <v>284</v>
      </c>
      <c r="I955" s="1" t="s">
        <v>48</v>
      </c>
      <c r="J955" s="1">
        <v>4</v>
      </c>
      <c r="K955" s="1" t="s">
        <v>35</v>
      </c>
      <c r="L955" s="1">
        <v>61</v>
      </c>
      <c r="M955" s="1" t="str">
        <f>IF(L955&lt;=45,"Joven","Mayor")</f>
        <v>Mayor</v>
      </c>
      <c r="N955" s="1">
        <v>66</v>
      </c>
      <c r="O955" s="1" t="s">
        <v>36</v>
      </c>
      <c r="P955" s="1">
        <v>0.35599999999999998</v>
      </c>
      <c r="Q955" s="1">
        <v>93.23</v>
      </c>
      <c r="R955" s="1">
        <v>-2.9149837000000001</v>
      </c>
      <c r="S955" s="1">
        <v>0.75041579999999997</v>
      </c>
      <c r="T955" s="1">
        <v>-0.96245139999999996</v>
      </c>
      <c r="U955" s="1">
        <v>28.073</v>
      </c>
      <c r="V955" s="1">
        <v>125</v>
      </c>
      <c r="W955" s="1">
        <v>204</v>
      </c>
      <c r="X955" s="1">
        <v>1.6319999999999999</v>
      </c>
      <c r="Y955" s="1">
        <v>127</v>
      </c>
      <c r="Z955" s="1">
        <v>204</v>
      </c>
      <c r="AA955" s="1">
        <v>1.6062992125984252</v>
      </c>
      <c r="AB955" s="1">
        <v>126.1422247713795</v>
      </c>
      <c r="AC955" s="1">
        <v>204.05520501566841</v>
      </c>
      <c r="AD955" s="1">
        <v>1.6176597914417523</v>
      </c>
      <c r="AE955" t="s">
        <v>4817</v>
      </c>
      <c r="AF955" t="str">
        <f>IF(X955&lt;$AF$1,"Bajo","Alto")</f>
        <v>Bajo</v>
      </c>
      <c r="AG955" t="str">
        <f>LEFT(AE955,1)</f>
        <v>C</v>
      </c>
      <c r="AH955" t="str">
        <f>K955</f>
        <v>M</v>
      </c>
      <c r="AI955" t="str">
        <f>LEFT(AF955,1)</f>
        <v>B</v>
      </c>
      <c r="AJ955" t="str">
        <f>LEFT(M955,1)</f>
        <v>M</v>
      </c>
      <c r="AK955" t="str">
        <f>_xlfn.CONCAT(AG955,AH955,AI955,AJ955)</f>
        <v>CMBM</v>
      </c>
    </row>
    <row r="956" spans="1:37" ht="15.75" hidden="1" customHeight="1" x14ac:dyDescent="0.2">
      <c r="A956" s="1">
        <v>1218006</v>
      </c>
      <c r="B956" s="1" t="s">
        <v>1798</v>
      </c>
      <c r="C956" s="1" t="s">
        <v>54</v>
      </c>
      <c r="D956" s="1" t="s">
        <v>1808</v>
      </c>
      <c r="E956" s="1" t="s">
        <v>1809</v>
      </c>
      <c r="F956" s="1" t="s">
        <v>88</v>
      </c>
      <c r="G956" s="1" t="s">
        <v>1812</v>
      </c>
      <c r="H956" s="1">
        <v>6060</v>
      </c>
      <c r="I956" s="1" t="s">
        <v>134</v>
      </c>
      <c r="J956" s="1">
        <v>8</v>
      </c>
      <c r="K956" s="1" t="s">
        <v>35</v>
      </c>
      <c r="L956" s="1">
        <v>47</v>
      </c>
      <c r="M956" s="1" t="str">
        <f>IF(L956&lt;=45,"Joven","Mayor")</f>
        <v>Mayor</v>
      </c>
      <c r="N956" s="1">
        <v>46</v>
      </c>
      <c r="O956" s="1" t="s">
        <v>36</v>
      </c>
      <c r="P956" s="1">
        <v>1.1120000000000001</v>
      </c>
      <c r="Q956" s="1">
        <v>91.903999999999996</v>
      </c>
      <c r="R956" s="1">
        <v>-2.7640289999999998</v>
      </c>
      <c r="S956" s="1">
        <v>5.4172339999999997</v>
      </c>
      <c r="T956" s="1">
        <v>3.215322</v>
      </c>
      <c r="U956" s="1">
        <v>23.954000000000001</v>
      </c>
      <c r="V956" s="1">
        <v>80</v>
      </c>
      <c r="W956" s="1">
        <v>152</v>
      </c>
      <c r="X956" s="1">
        <v>1.9</v>
      </c>
      <c r="Y956" s="1">
        <v>86</v>
      </c>
      <c r="Z956" s="1">
        <v>152</v>
      </c>
      <c r="AA956" s="1">
        <v>1.7674418604651163</v>
      </c>
      <c r="AB956" s="1">
        <v>83.84543266945866</v>
      </c>
      <c r="AC956" s="1">
        <v>152.20942975407209</v>
      </c>
      <c r="AD956" s="1">
        <v>1.8153574369891174</v>
      </c>
      <c r="AE956" t="s">
        <v>4817</v>
      </c>
      <c r="AF956" t="str">
        <f>IF(X956&lt;$AF$1,"Bajo","Alto")</f>
        <v>Alto</v>
      </c>
      <c r="AG956" t="str">
        <f>LEFT(AE956,1)</f>
        <v>C</v>
      </c>
      <c r="AH956" t="str">
        <f>K956</f>
        <v>M</v>
      </c>
      <c r="AI956" t="str">
        <f>LEFT(AF956,1)</f>
        <v>A</v>
      </c>
      <c r="AJ956" t="str">
        <f>LEFT(M956,1)</f>
        <v>M</v>
      </c>
      <c r="AK956" t="str">
        <f>_xlfn.CONCAT(AG956,AH956,AI956,AJ956)</f>
        <v>CMAM</v>
      </c>
    </row>
    <row r="957" spans="1:37" ht="15.75" hidden="1" customHeight="1" x14ac:dyDescent="0.2">
      <c r="A957" s="1">
        <v>1270006</v>
      </c>
      <c r="B957" s="1" t="s">
        <v>1798</v>
      </c>
      <c r="C957" s="1" t="s">
        <v>54</v>
      </c>
      <c r="D957" s="1" t="s">
        <v>1892</v>
      </c>
      <c r="E957" s="1" t="s">
        <v>1893</v>
      </c>
      <c r="F957" s="1" t="s">
        <v>88</v>
      </c>
      <c r="G957" s="1" t="s">
        <v>1897</v>
      </c>
      <c r="H957" s="1">
        <v>4046</v>
      </c>
      <c r="I957" s="1" t="s">
        <v>1898</v>
      </c>
      <c r="J957" s="1">
        <v>5045</v>
      </c>
      <c r="K957" s="1" t="s">
        <v>35</v>
      </c>
      <c r="L957" s="1">
        <v>44</v>
      </c>
      <c r="M957" s="1" t="str">
        <f>IF(L957&lt;=45,"Joven","Mayor")</f>
        <v>Joven</v>
      </c>
      <c r="N957" s="1">
        <v>41</v>
      </c>
      <c r="O957" s="1" t="s">
        <v>36</v>
      </c>
      <c r="P957" s="1">
        <v>0.36399999999999999</v>
      </c>
      <c r="Q957" s="1">
        <v>93.281999999999996</v>
      </c>
      <c r="R957" s="1">
        <v>2.1079509999999999</v>
      </c>
      <c r="S957" s="1">
        <v>3.0768626000000001</v>
      </c>
      <c r="T957" s="1">
        <v>-4.1007967000000001</v>
      </c>
      <c r="U957" s="1">
        <v>0.20100000000000001</v>
      </c>
      <c r="V957" s="1">
        <v>93</v>
      </c>
      <c r="W957" s="1">
        <v>154</v>
      </c>
      <c r="X957" s="1">
        <v>1.6559139784946237</v>
      </c>
      <c r="Y957" s="1">
        <v>94</v>
      </c>
      <c r="Z957" s="1">
        <v>154</v>
      </c>
      <c r="AA957" s="1">
        <v>1.6382978723404256</v>
      </c>
      <c r="AB957" s="1">
        <v>95.622352896480379</v>
      </c>
      <c r="AC957" s="1">
        <v>153.82026139494661</v>
      </c>
      <c r="AD957" s="1">
        <v>1.6086224270330454</v>
      </c>
      <c r="AE957" t="s">
        <v>4817</v>
      </c>
      <c r="AF957" t="str">
        <f>IF(X957&lt;$AF$1,"Bajo","Alto")</f>
        <v>Bajo</v>
      </c>
      <c r="AG957" t="str">
        <f>LEFT(AE957,1)</f>
        <v>C</v>
      </c>
      <c r="AH957" t="str">
        <f>K957</f>
        <v>M</v>
      </c>
      <c r="AI957" t="str">
        <f>LEFT(AF957,1)</f>
        <v>B</v>
      </c>
      <c r="AJ957" t="str">
        <f>LEFT(M957,1)</f>
        <v>J</v>
      </c>
      <c r="AK957" t="str">
        <f>_xlfn.CONCAT(AG957,AH957,AI957,AJ957)</f>
        <v>CMBJ</v>
      </c>
    </row>
    <row r="958" spans="1:37" ht="15.75" hidden="1" customHeight="1" x14ac:dyDescent="0.2">
      <c r="A958" s="1">
        <v>170601</v>
      </c>
      <c r="B958" s="1" t="s">
        <v>2551</v>
      </c>
      <c r="C958" s="1" t="s">
        <v>2552</v>
      </c>
      <c r="D958" s="1" t="s">
        <v>2570</v>
      </c>
      <c r="E958" s="1" t="s">
        <v>88</v>
      </c>
      <c r="F958" s="1" t="s">
        <v>32</v>
      </c>
      <c r="G958" s="1" t="s">
        <v>2571</v>
      </c>
      <c r="H958" s="1">
        <v>14</v>
      </c>
      <c r="I958" s="1" t="s">
        <v>100</v>
      </c>
      <c r="J958" s="1">
        <v>1</v>
      </c>
      <c r="K958" s="1" t="s">
        <v>35</v>
      </c>
      <c r="L958" s="1">
        <v>48</v>
      </c>
      <c r="M958" s="1" t="str">
        <f>IF(L958&lt;=45,"Joven","Mayor")</f>
        <v>Mayor</v>
      </c>
      <c r="N958" s="1">
        <v>34</v>
      </c>
      <c r="O958" s="1" t="s">
        <v>36</v>
      </c>
      <c r="P958" s="1">
        <v>0.99</v>
      </c>
      <c r="Q958" s="1">
        <v>93.989000000000004</v>
      </c>
      <c r="R958" s="1">
        <v>-1.6635146999999999</v>
      </c>
      <c r="S958" s="1">
        <v>-3.5779091999999998E-2</v>
      </c>
      <c r="T958" s="1">
        <v>0.40532020000000002</v>
      </c>
      <c r="U958" s="1">
        <v>13.997999999999999</v>
      </c>
      <c r="V958" s="1">
        <v>98</v>
      </c>
      <c r="W958" s="1">
        <v>160</v>
      </c>
      <c r="X958" s="1">
        <v>1.6326530612244898</v>
      </c>
      <c r="Y958" s="1">
        <v>99</v>
      </c>
      <c r="Z958" s="1">
        <v>160</v>
      </c>
      <c r="AA958" s="1">
        <v>1.6161616161616161</v>
      </c>
      <c r="AB958" s="1">
        <v>98.721632429341071</v>
      </c>
      <c r="AC958" s="1">
        <v>160.00307061693181</v>
      </c>
      <c r="AD958" s="1">
        <v>1.6207498466098831</v>
      </c>
      <c r="AE958" t="s">
        <v>4817</v>
      </c>
      <c r="AF958" t="str">
        <f>IF(X958&lt;$AF$1,"Bajo","Alto")</f>
        <v>Bajo</v>
      </c>
      <c r="AG958" t="str">
        <f>LEFT(AE958,1)</f>
        <v>C</v>
      </c>
      <c r="AH958" t="str">
        <f>K958</f>
        <v>M</v>
      </c>
      <c r="AI958" t="str">
        <f>LEFT(AF958,1)</f>
        <v>B</v>
      </c>
      <c r="AJ958" t="str">
        <f>LEFT(M958,1)</f>
        <v>M</v>
      </c>
      <c r="AK958" t="str">
        <f>_xlfn.CONCAT(AG958,AH958,AI958,AJ958)</f>
        <v>CMBM</v>
      </c>
    </row>
    <row r="959" spans="1:37" ht="15.75" hidden="1" customHeight="1" x14ac:dyDescent="0.2">
      <c r="A959" s="1">
        <v>1074304</v>
      </c>
      <c r="B959" s="1" t="s">
        <v>1067</v>
      </c>
      <c r="C959" s="1" t="s">
        <v>1068</v>
      </c>
      <c r="D959" s="1" t="s">
        <v>1447</v>
      </c>
      <c r="E959" s="1" t="s">
        <v>665</v>
      </c>
      <c r="F959" s="1" t="s">
        <v>61</v>
      </c>
      <c r="G959" s="1" t="s">
        <v>1450</v>
      </c>
      <c r="H959" s="1">
        <v>611</v>
      </c>
      <c r="I959" s="1" t="s">
        <v>48</v>
      </c>
      <c r="J959" s="1">
        <v>4</v>
      </c>
      <c r="K959" s="1" t="s">
        <v>35</v>
      </c>
      <c r="L959" s="1">
        <v>67</v>
      </c>
      <c r="M959" s="1" t="str">
        <f>IF(L959&lt;=45,"Joven","Mayor")</f>
        <v>Mayor</v>
      </c>
      <c r="N959" s="1">
        <v>55</v>
      </c>
      <c r="O959" s="1" t="s">
        <v>36</v>
      </c>
      <c r="P959" s="1">
        <v>3.2000000000000001E-2</v>
      </c>
      <c r="Q959" s="1">
        <v>1.766</v>
      </c>
      <c r="R959" s="1">
        <v>24.604053</v>
      </c>
      <c r="S959" s="1">
        <v>-9.5428119999999996</v>
      </c>
      <c r="T959" s="1">
        <v>-1.0103698000000001</v>
      </c>
      <c r="U959" s="1">
        <v>1.619</v>
      </c>
      <c r="V959" s="1">
        <v>79</v>
      </c>
      <c r="W959" s="1">
        <v>129</v>
      </c>
      <c r="X959" s="1">
        <v>1.6329113924050633</v>
      </c>
      <c r="Y959" s="1">
        <v>85</v>
      </c>
      <c r="Z959" s="1">
        <v>129</v>
      </c>
      <c r="AA959" s="1">
        <v>1.5176470588235293</v>
      </c>
      <c r="AB959" s="1">
        <v>84.387249775054897</v>
      </c>
      <c r="AC959" s="1">
        <v>129.01520982687589</v>
      </c>
      <c r="AD959" s="1">
        <v>1.5288471916170105</v>
      </c>
      <c r="AE959" t="s">
        <v>4817</v>
      </c>
      <c r="AF959" t="str">
        <f>IF(X959&lt;$AF$1,"Bajo","Alto")</f>
        <v>Bajo</v>
      </c>
      <c r="AG959" t="str">
        <f>LEFT(AE959,1)</f>
        <v>C</v>
      </c>
      <c r="AH959" t="str">
        <f>K959</f>
        <v>M</v>
      </c>
      <c r="AI959" t="str">
        <f>LEFT(AF959,1)</f>
        <v>B</v>
      </c>
      <c r="AJ959" t="str">
        <f>LEFT(M959,1)</f>
        <v>M</v>
      </c>
      <c r="AK959" t="str">
        <f>_xlfn.CONCAT(AG959,AH959,AI959,AJ959)</f>
        <v>CMBM</v>
      </c>
    </row>
    <row r="960" spans="1:37" ht="15.75" hidden="1" customHeight="1" x14ac:dyDescent="0.2">
      <c r="A960" s="1">
        <v>280102</v>
      </c>
      <c r="B960" s="1" t="s">
        <v>1775</v>
      </c>
      <c r="C960" s="1" t="s">
        <v>561</v>
      </c>
      <c r="D960" s="1" t="s">
        <v>3768</v>
      </c>
      <c r="E960" s="1" t="s">
        <v>32</v>
      </c>
      <c r="F960" s="1" t="s">
        <v>37</v>
      </c>
      <c r="G960" s="1" t="s">
        <v>3770</v>
      </c>
      <c r="H960" s="1">
        <v>8016</v>
      </c>
      <c r="I960" s="1" t="s">
        <v>87</v>
      </c>
      <c r="J960" s="1">
        <v>14</v>
      </c>
      <c r="K960" s="1" t="s">
        <v>49</v>
      </c>
      <c r="L960" s="1">
        <v>42</v>
      </c>
      <c r="M960" s="1" t="str">
        <f>IF(L960&lt;=45,"Joven","Mayor")</f>
        <v>Joven</v>
      </c>
      <c r="N960" s="1">
        <v>62</v>
      </c>
      <c r="O960" s="1" t="s">
        <v>50</v>
      </c>
      <c r="P960" s="1">
        <v>0.19600000000000001</v>
      </c>
      <c r="Q960" s="1">
        <v>83.558999999999997</v>
      </c>
      <c r="R960" s="1">
        <v>9.0517710000000005</v>
      </c>
      <c r="S960" s="1">
        <v>-3.5430845999999998</v>
      </c>
      <c r="T960" s="1">
        <v>-2.8485133999999999</v>
      </c>
      <c r="U960" s="1">
        <v>28.925000000000001</v>
      </c>
      <c r="V960" s="1">
        <v>71</v>
      </c>
      <c r="W960" s="1">
        <v>137</v>
      </c>
      <c r="X960" s="1">
        <v>1.9295774647887325</v>
      </c>
      <c r="Y960" s="1">
        <v>73</v>
      </c>
      <c r="Z960" s="1">
        <v>137</v>
      </c>
      <c r="AA960" s="1">
        <v>1.8767123287671232</v>
      </c>
      <c r="AB960" s="1">
        <v>72.502528344534312</v>
      </c>
      <c r="AC960" s="1">
        <v>136.58224787089469</v>
      </c>
      <c r="AD960" s="1">
        <v>1.883827378017102</v>
      </c>
      <c r="AE960" t="s">
        <v>4816</v>
      </c>
      <c r="AF960" t="str">
        <f>IF(X960&lt;$AF$1,"Bajo","Alto")</f>
        <v>Alto</v>
      </c>
      <c r="AG960" t="str">
        <f>LEFT(AE960,1)</f>
        <v>D</v>
      </c>
      <c r="AH960" t="str">
        <f>K960</f>
        <v>F</v>
      </c>
      <c r="AI960" t="str">
        <f>LEFT(AF960,1)</f>
        <v>A</v>
      </c>
      <c r="AJ960" t="str">
        <f>LEFT(M960,1)</f>
        <v>J</v>
      </c>
      <c r="AK960" t="str">
        <f>_xlfn.CONCAT(AG960,AH960,AI960,AJ960)</f>
        <v>DFAJ</v>
      </c>
    </row>
    <row r="961" spans="1:37" ht="15.75" hidden="1" customHeight="1" x14ac:dyDescent="0.2">
      <c r="A961" s="1">
        <v>1514801</v>
      </c>
      <c r="B961" s="1" t="s">
        <v>2077</v>
      </c>
      <c r="C961" s="1" t="s">
        <v>57</v>
      </c>
      <c r="D961" s="1" t="s">
        <v>2170</v>
      </c>
      <c r="E961" s="1" t="s">
        <v>201</v>
      </c>
      <c r="F961" s="1" t="s">
        <v>32</v>
      </c>
      <c r="G961" s="1" t="s">
        <v>2171</v>
      </c>
      <c r="H961" s="1">
        <v>1590</v>
      </c>
      <c r="I961" s="1" t="s">
        <v>2172</v>
      </c>
      <c r="J961" s="1">
        <v>2450</v>
      </c>
      <c r="K961" s="1" t="s">
        <v>35</v>
      </c>
      <c r="L961" s="1">
        <v>47</v>
      </c>
      <c r="M961" s="1" t="str">
        <f>IF(L961&lt;=45,"Joven","Mayor")</f>
        <v>Mayor</v>
      </c>
      <c r="N961" s="1">
        <v>57</v>
      </c>
      <c r="O961" s="1" t="s">
        <v>36</v>
      </c>
      <c r="P961" s="1">
        <v>4.5999999999999999E-2</v>
      </c>
      <c r="Q961" s="1">
        <v>90.182000000000002</v>
      </c>
      <c r="R961" s="1">
        <v>2.9344171999999999</v>
      </c>
      <c r="S961" s="1">
        <v>9.5351210000000002</v>
      </c>
      <c r="T961" s="1">
        <v>-4.3956679999999997</v>
      </c>
      <c r="U961" s="1">
        <v>1.667</v>
      </c>
      <c r="V961" s="1">
        <v>79</v>
      </c>
      <c r="W961" s="1">
        <v>150</v>
      </c>
      <c r="X961" s="1">
        <v>1.8987341772151898</v>
      </c>
      <c r="Y961" s="1">
        <v>86</v>
      </c>
      <c r="Z961" s="1">
        <v>150</v>
      </c>
      <c r="AA961" s="1">
        <v>1.7441860465116279</v>
      </c>
      <c r="AB961" s="1">
        <v>83.217795071817818</v>
      </c>
      <c r="AC961" s="1">
        <v>150.32521891931719</v>
      </c>
      <c r="AD961" s="1">
        <v>1.8064071367137879</v>
      </c>
      <c r="AE961" t="s">
        <v>4817</v>
      </c>
      <c r="AF961" t="str">
        <f>IF(X961&lt;$AF$1,"Bajo","Alto")</f>
        <v>Alto</v>
      </c>
      <c r="AG961" t="str">
        <f>LEFT(AE961,1)</f>
        <v>C</v>
      </c>
      <c r="AH961" t="str">
        <f>K961</f>
        <v>M</v>
      </c>
      <c r="AI961" t="str">
        <f>LEFT(AF961,1)</f>
        <v>A</v>
      </c>
      <c r="AJ961" t="str">
        <f>LEFT(M961,1)</f>
        <v>M</v>
      </c>
      <c r="AK961" t="str">
        <f>_xlfn.CONCAT(AG961,AH961,AI961,AJ961)</f>
        <v>CMAM</v>
      </c>
    </row>
    <row r="962" spans="1:37" ht="15.75" hidden="1" customHeight="1" x14ac:dyDescent="0.2">
      <c r="A962" s="1">
        <v>10116904</v>
      </c>
      <c r="B962" s="1" t="s">
        <v>29</v>
      </c>
      <c r="C962" s="1" t="s">
        <v>30</v>
      </c>
      <c r="D962" s="1" t="s">
        <v>278</v>
      </c>
      <c r="E962" s="1" t="s">
        <v>279</v>
      </c>
      <c r="F962" s="1" t="s">
        <v>61</v>
      </c>
      <c r="G962" s="1" t="s">
        <v>282</v>
      </c>
      <c r="H962" s="1">
        <v>2637</v>
      </c>
      <c r="I962" s="1" t="s">
        <v>108</v>
      </c>
      <c r="J962" s="1">
        <v>3</v>
      </c>
      <c r="K962" s="1" t="s">
        <v>35</v>
      </c>
      <c r="L962" s="1">
        <v>52</v>
      </c>
      <c r="M962" s="1" t="str">
        <f>IF(L962&lt;=45,"Joven","Mayor")</f>
        <v>Mayor</v>
      </c>
      <c r="N962" s="1">
        <v>47</v>
      </c>
      <c r="O962" s="1" t="s">
        <v>36</v>
      </c>
      <c r="P962" s="1">
        <v>0.42399999999999999</v>
      </c>
      <c r="Q962" s="1">
        <v>92.087000000000003</v>
      </c>
      <c r="R962" s="1">
        <v>3.2350525999999999</v>
      </c>
      <c r="S962" s="1">
        <v>4.3218160000000001</v>
      </c>
      <c r="T962" s="1">
        <v>-3.2415821999999999</v>
      </c>
      <c r="U962" s="1">
        <v>74.813999999999993</v>
      </c>
      <c r="V962" s="1">
        <v>104</v>
      </c>
      <c r="W962" s="1">
        <v>170</v>
      </c>
      <c r="X962" s="1">
        <v>1.6346153846153846</v>
      </c>
      <c r="Y962" s="1">
        <v>108</v>
      </c>
      <c r="Z962" s="1">
        <v>170</v>
      </c>
      <c r="AA962" s="1">
        <v>1.5740740740740742</v>
      </c>
      <c r="AB962" s="1">
        <v>106.4912657863367</v>
      </c>
      <c r="AC962" s="1">
        <v>169.95418254825151</v>
      </c>
      <c r="AD962" s="1">
        <v>1.5959448063022028</v>
      </c>
      <c r="AE962" t="s">
        <v>4817</v>
      </c>
      <c r="AF962" t="str">
        <f>IF(X962&lt;$AF$1,"Bajo","Alto")</f>
        <v>Bajo</v>
      </c>
      <c r="AG962" t="str">
        <f>LEFT(AE962,1)</f>
        <v>C</v>
      </c>
      <c r="AH962" t="str">
        <f>K962</f>
        <v>M</v>
      </c>
      <c r="AI962" t="str">
        <f>LEFT(AF962,1)</f>
        <v>B</v>
      </c>
      <c r="AJ962" t="str">
        <f>LEFT(M962,1)</f>
        <v>M</v>
      </c>
      <c r="AK962" t="str">
        <f>_xlfn.CONCAT(AG962,AH962,AI962,AJ962)</f>
        <v>CMBM</v>
      </c>
    </row>
    <row r="963" spans="1:37" ht="15.75" hidden="1" customHeight="1" x14ac:dyDescent="0.2">
      <c r="A963" s="1">
        <v>2312103</v>
      </c>
      <c r="B963" s="1" t="s">
        <v>319</v>
      </c>
      <c r="C963" s="1" t="s">
        <v>1989</v>
      </c>
      <c r="D963" s="1" t="s">
        <v>2952</v>
      </c>
      <c r="E963" s="1" t="s">
        <v>136</v>
      </c>
      <c r="F963" s="1" t="s">
        <v>63</v>
      </c>
      <c r="G963" s="1" t="s">
        <v>2955</v>
      </c>
      <c r="H963" s="1">
        <v>3309</v>
      </c>
      <c r="I963" s="1" t="s">
        <v>108</v>
      </c>
      <c r="J963" s="1">
        <v>3</v>
      </c>
      <c r="K963" s="1" t="s">
        <v>35</v>
      </c>
      <c r="L963" s="1">
        <v>52</v>
      </c>
      <c r="M963" s="1" t="str">
        <f>IF(L963&lt;=45,"Joven","Mayor")</f>
        <v>Mayor</v>
      </c>
      <c r="N963" s="1">
        <v>49</v>
      </c>
      <c r="O963" s="1" t="s">
        <v>36</v>
      </c>
      <c r="P963" s="1">
        <v>0.35299999999999998</v>
      </c>
      <c r="Q963" s="1">
        <v>92.872</v>
      </c>
      <c r="R963" s="1">
        <v>3.1680994</v>
      </c>
      <c r="S963" s="1">
        <v>-1.6042620000000001</v>
      </c>
      <c r="T963" s="1">
        <v>1.2697723000000001</v>
      </c>
      <c r="U963" s="1">
        <v>57.976999999999997</v>
      </c>
      <c r="V963" s="1">
        <v>97</v>
      </c>
      <c r="W963" s="1">
        <v>184</v>
      </c>
      <c r="X963" s="1">
        <v>1.8969072164948453</v>
      </c>
      <c r="Y963" s="1">
        <v>104</v>
      </c>
      <c r="Z963" s="1">
        <v>184</v>
      </c>
      <c r="AA963" s="1">
        <v>1.7692307692307692</v>
      </c>
      <c r="AB963" s="1">
        <v>102.99942639196119</v>
      </c>
      <c r="AC963" s="1">
        <v>184.17641578550999</v>
      </c>
      <c r="AD963" s="1">
        <v>1.7881304997236802</v>
      </c>
      <c r="AE963" t="s">
        <v>4817</v>
      </c>
      <c r="AF963" t="str">
        <f>IF(X963&lt;$AF$1,"Bajo","Alto")</f>
        <v>Alto</v>
      </c>
      <c r="AG963" t="str">
        <f>LEFT(AE963,1)</f>
        <v>C</v>
      </c>
      <c r="AH963" t="str">
        <f>K963</f>
        <v>M</v>
      </c>
      <c r="AI963" t="str">
        <f>LEFT(AF963,1)</f>
        <v>A</v>
      </c>
      <c r="AJ963" t="str">
        <f>LEFT(M963,1)</f>
        <v>M</v>
      </c>
      <c r="AK963" t="str">
        <f>_xlfn.CONCAT(AG963,AH963,AI963,AJ963)</f>
        <v>CMAM</v>
      </c>
    </row>
    <row r="964" spans="1:37" ht="15.75" hidden="1" customHeight="1" x14ac:dyDescent="0.2">
      <c r="A964" s="1">
        <v>1532502</v>
      </c>
      <c r="B964" s="1" t="s">
        <v>2077</v>
      </c>
      <c r="C964" s="1" t="s">
        <v>57</v>
      </c>
      <c r="D964" s="1" t="s">
        <v>2412</v>
      </c>
      <c r="E964" s="1" t="s">
        <v>1412</v>
      </c>
      <c r="F964" s="1" t="s">
        <v>37</v>
      </c>
      <c r="G964" s="1" t="s">
        <v>2413</v>
      </c>
      <c r="H964" s="1">
        <v>5210</v>
      </c>
      <c r="I964" s="1" t="s">
        <v>2414</v>
      </c>
      <c r="J964" s="1">
        <v>3214</v>
      </c>
      <c r="K964" s="1" t="s">
        <v>35</v>
      </c>
      <c r="L964" s="1">
        <v>43</v>
      </c>
      <c r="M964" s="1" t="str">
        <f>IF(L964&lt;=45,"Joven","Mayor")</f>
        <v>Joven</v>
      </c>
      <c r="N964" s="1">
        <v>43</v>
      </c>
      <c r="O964" s="1" t="s">
        <v>36</v>
      </c>
      <c r="P964" s="1">
        <v>0.36099999999999999</v>
      </c>
      <c r="Q964" s="1">
        <v>92.474999999999994</v>
      </c>
      <c r="R964" s="1">
        <v>2.5863399999999999</v>
      </c>
      <c r="S964" s="1">
        <v>4.7905726</v>
      </c>
      <c r="T964" s="1">
        <v>-1.0187953999999999</v>
      </c>
      <c r="U964" s="1">
        <v>6.3760000000000003</v>
      </c>
      <c r="V964" s="1">
        <v>88</v>
      </c>
      <c r="W964" s="1">
        <v>168</v>
      </c>
      <c r="X964" s="1">
        <v>1.9090909090909092</v>
      </c>
      <c r="Y964" s="1">
        <v>93</v>
      </c>
      <c r="Z964" s="1">
        <v>168</v>
      </c>
      <c r="AA964" s="1">
        <v>1.8064516129032258</v>
      </c>
      <c r="AB964" s="1">
        <v>93.732074890700915</v>
      </c>
      <c r="AC964" s="1">
        <v>167.95566153175699</v>
      </c>
      <c r="AD964" s="1">
        <v>1.791869663907544</v>
      </c>
      <c r="AE964" t="s">
        <v>4817</v>
      </c>
      <c r="AF964" t="str">
        <f>IF(X964&lt;$AF$1,"Bajo","Alto")</f>
        <v>Alto</v>
      </c>
      <c r="AG964" t="str">
        <f>LEFT(AE964,1)</f>
        <v>C</v>
      </c>
      <c r="AH964" t="str">
        <f>K964</f>
        <v>M</v>
      </c>
      <c r="AI964" t="str">
        <f>LEFT(AF964,1)</f>
        <v>A</v>
      </c>
      <c r="AJ964" t="str">
        <f>LEFT(M964,1)</f>
        <v>J</v>
      </c>
      <c r="AK964" t="str">
        <f>_xlfn.CONCAT(AG964,AH964,AI964,AJ964)</f>
        <v>CMAJ</v>
      </c>
    </row>
    <row r="965" spans="1:37" ht="15.75" hidden="1" customHeight="1" x14ac:dyDescent="0.2">
      <c r="A965" s="1">
        <v>2310904</v>
      </c>
      <c r="B965" s="1" t="s">
        <v>319</v>
      </c>
      <c r="C965" s="1" t="s">
        <v>1989</v>
      </c>
      <c r="D965" s="1" t="s">
        <v>2253</v>
      </c>
      <c r="E965" s="1" t="s">
        <v>98</v>
      </c>
      <c r="F965" s="1" t="s">
        <v>61</v>
      </c>
      <c r="G965" s="1" t="s">
        <v>2937</v>
      </c>
      <c r="H965" s="1">
        <v>1652</v>
      </c>
      <c r="I965" s="1" t="s">
        <v>108</v>
      </c>
      <c r="J965" s="1">
        <v>3</v>
      </c>
      <c r="K965" s="1" t="s">
        <v>35</v>
      </c>
      <c r="L965" s="1">
        <v>34</v>
      </c>
      <c r="M965" s="1" t="str">
        <f>IF(L965&lt;=45,"Joven","Mayor")</f>
        <v>Joven</v>
      </c>
      <c r="N965" s="1">
        <v>31</v>
      </c>
      <c r="O965" s="1" t="s">
        <v>36</v>
      </c>
      <c r="P965" s="1">
        <v>0.67</v>
      </c>
      <c r="Q965" s="1">
        <v>93.45</v>
      </c>
      <c r="R965" s="1">
        <v>6.7050256000000003E-2</v>
      </c>
      <c r="S965" s="1">
        <v>6.3632645999999999</v>
      </c>
      <c r="T965" s="1">
        <v>-1.8384708999999999</v>
      </c>
      <c r="U965" s="1">
        <v>1.502</v>
      </c>
      <c r="V965" s="1">
        <v>67</v>
      </c>
      <c r="W965" s="1">
        <v>111</v>
      </c>
      <c r="X965" s="1">
        <v>1.6567164179104477</v>
      </c>
      <c r="Y965" s="1">
        <v>67</v>
      </c>
      <c r="Z965" s="1">
        <v>111</v>
      </c>
      <c r="AA965" s="1">
        <v>1.6567164179104477</v>
      </c>
      <c r="AB965" s="1">
        <v>67.799639858430282</v>
      </c>
      <c r="AC965" s="1">
        <v>110.9749440038286</v>
      </c>
      <c r="AD965" s="1">
        <v>1.6368072785570977</v>
      </c>
      <c r="AE965" t="s">
        <v>4817</v>
      </c>
      <c r="AF965" t="str">
        <f>IF(X965&lt;$AF$1,"Bajo","Alto")</f>
        <v>Bajo</v>
      </c>
      <c r="AG965" t="str">
        <f>LEFT(AE965,1)</f>
        <v>C</v>
      </c>
      <c r="AH965" t="str">
        <f>K965</f>
        <v>M</v>
      </c>
      <c r="AI965" t="str">
        <f>LEFT(AF965,1)</f>
        <v>B</v>
      </c>
      <c r="AJ965" t="str">
        <f>LEFT(M965,1)</f>
        <v>J</v>
      </c>
      <c r="AK965" t="str">
        <f>_xlfn.CONCAT(AG965,AH965,AI965,AJ965)</f>
        <v>CMBJ</v>
      </c>
    </row>
    <row r="966" spans="1:37" ht="15.75" hidden="1" customHeight="1" x14ac:dyDescent="0.2">
      <c r="A966" s="1">
        <v>2713001</v>
      </c>
      <c r="B966" s="1" t="s">
        <v>3409</v>
      </c>
      <c r="C966" s="1" t="s">
        <v>973</v>
      </c>
      <c r="D966" s="1" t="s">
        <v>3476</v>
      </c>
      <c r="E966" s="1" t="s">
        <v>158</v>
      </c>
      <c r="F966" s="1" t="s">
        <v>32</v>
      </c>
      <c r="G966" s="1" t="s">
        <v>3477</v>
      </c>
      <c r="H966" s="1">
        <v>17</v>
      </c>
      <c r="I966" s="1" t="s">
        <v>34</v>
      </c>
      <c r="J966" s="1">
        <v>10</v>
      </c>
      <c r="K966" s="1" t="s">
        <v>35</v>
      </c>
      <c r="L966" s="1">
        <v>29</v>
      </c>
      <c r="M966" s="1" t="str">
        <f>IF(L966&lt;=45,"Joven","Mayor")</f>
        <v>Joven</v>
      </c>
      <c r="N966" s="1">
        <v>29</v>
      </c>
      <c r="O966" s="1" t="s">
        <v>36</v>
      </c>
      <c r="P966" s="1">
        <v>0.33200000000000002</v>
      </c>
      <c r="Q966" s="1">
        <v>88.983999999999995</v>
      </c>
      <c r="R966" s="1">
        <v>4.8210899999999999</v>
      </c>
      <c r="S966" s="1">
        <v>7.7839499999999999</v>
      </c>
      <c r="T966" s="1">
        <v>-3.7799692</v>
      </c>
      <c r="U966" s="1">
        <v>31.940999999999999</v>
      </c>
      <c r="V966" s="1">
        <v>102</v>
      </c>
      <c r="W966" s="1">
        <v>167</v>
      </c>
      <c r="X966" s="1">
        <v>1.6372549019607843</v>
      </c>
      <c r="Y966" s="1">
        <v>105</v>
      </c>
      <c r="Z966" s="1">
        <v>167</v>
      </c>
      <c r="AA966" s="1">
        <v>1.5904761904761904</v>
      </c>
      <c r="AB966" s="1">
        <v>104.87658473671991</v>
      </c>
      <c r="AC966" s="1">
        <v>167.0322547110477</v>
      </c>
      <c r="AD966" s="1">
        <v>1.592655358966562</v>
      </c>
      <c r="AE966" t="s">
        <v>4815</v>
      </c>
      <c r="AF966" t="str">
        <f>IF(X966&lt;$AF$1,"Bajo","Alto")</f>
        <v>Bajo</v>
      </c>
      <c r="AG966" t="str">
        <f>LEFT(AE966,1)</f>
        <v>I</v>
      </c>
      <c r="AH966" t="str">
        <f>K966</f>
        <v>M</v>
      </c>
      <c r="AI966" t="str">
        <f>LEFT(AF966,1)</f>
        <v>B</v>
      </c>
      <c r="AJ966" t="str">
        <f>LEFT(M966,1)</f>
        <v>J</v>
      </c>
      <c r="AK966" t="str">
        <f>_xlfn.CONCAT(AG966,AH966,AI966,AJ966)</f>
        <v>IMBJ</v>
      </c>
    </row>
    <row r="967" spans="1:37" ht="15.75" hidden="1" customHeight="1" x14ac:dyDescent="0.2">
      <c r="A967" s="1">
        <v>1529205</v>
      </c>
      <c r="B967" s="1" t="s">
        <v>2077</v>
      </c>
      <c r="C967" s="1" t="s">
        <v>57</v>
      </c>
      <c r="D967" s="1" t="s">
        <v>2366</v>
      </c>
      <c r="E967" s="1" t="s">
        <v>594</v>
      </c>
      <c r="F967" s="1" t="s">
        <v>40</v>
      </c>
      <c r="G967" s="1" t="s">
        <v>2368</v>
      </c>
      <c r="H967" s="1">
        <v>1745</v>
      </c>
      <c r="I967" s="1" t="s">
        <v>2369</v>
      </c>
      <c r="J967" s="1">
        <v>2800</v>
      </c>
      <c r="K967" s="1" t="s">
        <v>35</v>
      </c>
      <c r="L967" s="1">
        <v>51</v>
      </c>
      <c r="M967" s="1" t="str">
        <f>IF(L967&lt;=45,"Joven","Mayor")</f>
        <v>Mayor</v>
      </c>
      <c r="N967" s="1">
        <v>61</v>
      </c>
      <c r="O967" s="1" t="s">
        <v>36</v>
      </c>
      <c r="P967" s="1">
        <v>0.63500000000000001</v>
      </c>
      <c r="Q967" s="1">
        <v>93.73</v>
      </c>
      <c r="R967" s="1">
        <v>-1.7572061000000001</v>
      </c>
      <c r="S967" s="1">
        <v>1.7039468</v>
      </c>
      <c r="T967" s="1">
        <v>2.2953006999999999</v>
      </c>
      <c r="U967" s="1">
        <v>2.1080000000000001</v>
      </c>
      <c r="V967" s="1">
        <v>151</v>
      </c>
      <c r="W967" s="1">
        <v>247</v>
      </c>
      <c r="X967" s="1">
        <v>1.6357615894039734</v>
      </c>
      <c r="Y967" s="1">
        <v>151</v>
      </c>
      <c r="Z967" s="1">
        <v>247</v>
      </c>
      <c r="AA967" s="1">
        <v>1.6357615894039734</v>
      </c>
      <c r="AB967" s="1">
        <v>153.52213963144871</v>
      </c>
      <c r="AC967" s="1">
        <v>246.921977294101</v>
      </c>
      <c r="AD967" s="1">
        <v>1.6083802498250195</v>
      </c>
      <c r="AE967" t="s">
        <v>4817</v>
      </c>
      <c r="AF967" t="str">
        <f>IF(X967&lt;$AF$1,"Bajo","Alto")</f>
        <v>Bajo</v>
      </c>
      <c r="AG967" t="str">
        <f>LEFT(AE967,1)</f>
        <v>C</v>
      </c>
      <c r="AH967" t="str">
        <f>K967</f>
        <v>M</v>
      </c>
      <c r="AI967" t="str">
        <f>LEFT(AF967,1)</f>
        <v>B</v>
      </c>
      <c r="AJ967" t="str">
        <f>LEFT(M967,1)</f>
        <v>M</v>
      </c>
      <c r="AK967" t="str">
        <f>_xlfn.CONCAT(AG967,AH967,AI967,AJ967)</f>
        <v>CMBM</v>
      </c>
    </row>
    <row r="968" spans="1:37" ht="15.75" hidden="1" customHeight="1" x14ac:dyDescent="0.2">
      <c r="A968" s="1">
        <v>1032503</v>
      </c>
      <c r="B968" s="1" t="s">
        <v>783</v>
      </c>
      <c r="C968" s="1" t="s">
        <v>81</v>
      </c>
      <c r="D968" s="1" t="s">
        <v>820</v>
      </c>
      <c r="E968" s="1" t="s">
        <v>821</v>
      </c>
      <c r="F968" s="1" t="s">
        <v>63</v>
      </c>
      <c r="G968" s="1" t="s">
        <v>823</v>
      </c>
      <c r="H968" s="1">
        <v>321</v>
      </c>
      <c r="I968" s="1" t="s">
        <v>85</v>
      </c>
      <c r="J968" s="1">
        <v>12</v>
      </c>
      <c r="K968" s="1" t="s">
        <v>35</v>
      </c>
      <c r="L968" s="1">
        <v>49</v>
      </c>
      <c r="M968" s="1" t="str">
        <f>IF(L968&lt;=45,"Joven","Mayor")</f>
        <v>Mayor</v>
      </c>
      <c r="N968" s="1">
        <v>50</v>
      </c>
      <c r="O968" s="1" t="s">
        <v>36</v>
      </c>
      <c r="P968" s="1">
        <v>0.48299999999999998</v>
      </c>
      <c r="Q968" s="1">
        <v>92.391000000000005</v>
      </c>
      <c r="R968" s="1">
        <v>4.028715</v>
      </c>
      <c r="S968" s="1">
        <v>0.32491037</v>
      </c>
      <c r="T968" s="1">
        <v>-8.4806209999999993</v>
      </c>
      <c r="U968" s="1">
        <v>1.631</v>
      </c>
      <c r="V968" s="1">
        <v>102</v>
      </c>
      <c r="W968" s="1">
        <v>168</v>
      </c>
      <c r="X968" s="1">
        <v>1.6470588235294117</v>
      </c>
      <c r="Y968" s="1">
        <v>105</v>
      </c>
      <c r="Z968" s="1">
        <v>168</v>
      </c>
      <c r="AA968" s="1">
        <v>1.6</v>
      </c>
      <c r="AB968" s="1">
        <v>108.8483556825236</v>
      </c>
      <c r="AC968" s="1">
        <v>166.90042884838391</v>
      </c>
      <c r="AD968" s="1">
        <v>1.5333298128561532</v>
      </c>
      <c r="AE968" t="s">
        <v>4815</v>
      </c>
      <c r="AF968" t="str">
        <f>IF(X968&lt;$AF$1,"Bajo","Alto")</f>
        <v>Bajo</v>
      </c>
      <c r="AG968" t="str">
        <f>LEFT(AE968,1)</f>
        <v>I</v>
      </c>
      <c r="AH968" t="str">
        <f>K968</f>
        <v>M</v>
      </c>
      <c r="AI968" t="str">
        <f>LEFT(AF968,1)</f>
        <v>B</v>
      </c>
      <c r="AJ968" t="str">
        <f>LEFT(M968,1)</f>
        <v>M</v>
      </c>
      <c r="AK968" t="str">
        <f>_xlfn.CONCAT(AG968,AH968,AI968,AJ968)</f>
        <v>IMBM</v>
      </c>
    </row>
    <row r="969" spans="1:37" ht="15.75" hidden="1" customHeight="1" x14ac:dyDescent="0.2">
      <c r="A969" s="1">
        <v>10125904</v>
      </c>
      <c r="B969" s="1" t="s">
        <v>29</v>
      </c>
      <c r="C969" s="1" t="s">
        <v>30</v>
      </c>
      <c r="D969" s="1" t="s">
        <v>516</v>
      </c>
      <c r="E969" s="1" t="s">
        <v>517</v>
      </c>
      <c r="F969" s="1" t="s">
        <v>61</v>
      </c>
      <c r="G969" s="1" t="s">
        <v>520</v>
      </c>
      <c r="H969" s="1">
        <v>1692</v>
      </c>
      <c r="I969" s="1" t="s">
        <v>521</v>
      </c>
      <c r="J969" s="1">
        <v>3179</v>
      </c>
      <c r="K969" s="1" t="s">
        <v>35</v>
      </c>
      <c r="L969" s="1">
        <v>50</v>
      </c>
      <c r="M969" s="1" t="str">
        <f>IF(L969&lt;=45,"Joven","Mayor")</f>
        <v>Mayor</v>
      </c>
      <c r="N969" s="1">
        <v>51</v>
      </c>
      <c r="O969" s="1" t="s">
        <v>36</v>
      </c>
      <c r="P969" s="1">
        <v>0.49099999999999999</v>
      </c>
      <c r="Q969" s="1">
        <v>91.209000000000003</v>
      </c>
      <c r="R969" s="1">
        <v>-3.9675023999999999</v>
      </c>
      <c r="S969" s="1">
        <v>4.8833859999999998</v>
      </c>
      <c r="T969" s="1">
        <v>-0.33409559999999999</v>
      </c>
      <c r="U969" s="1">
        <v>79.063000000000002</v>
      </c>
      <c r="V969" s="1">
        <v>87</v>
      </c>
      <c r="W969" s="1">
        <v>165</v>
      </c>
      <c r="X969" s="1">
        <v>1.896551724137931</v>
      </c>
      <c r="Y969" s="1">
        <v>87</v>
      </c>
      <c r="Z969" s="1">
        <v>165</v>
      </c>
      <c r="AA969" s="1">
        <v>1.896551724137931</v>
      </c>
      <c r="AB969" s="1">
        <v>87.266748564023374</v>
      </c>
      <c r="AC969" s="1">
        <v>165.02051903678381</v>
      </c>
      <c r="AD969" s="1">
        <v>1.8909896581710761</v>
      </c>
      <c r="AE969" t="s">
        <v>4817</v>
      </c>
      <c r="AF969" t="str">
        <f>IF(X969&lt;$AF$1,"Bajo","Alto")</f>
        <v>Alto</v>
      </c>
      <c r="AG969" t="str">
        <f>LEFT(AE969,1)</f>
        <v>C</v>
      </c>
      <c r="AH969" t="str">
        <f>K969</f>
        <v>M</v>
      </c>
      <c r="AI969" t="str">
        <f>LEFT(AF969,1)</f>
        <v>A</v>
      </c>
      <c r="AJ969" t="str">
        <f>LEFT(M969,1)</f>
        <v>M</v>
      </c>
      <c r="AK969" t="str">
        <f>_xlfn.CONCAT(AG969,AH969,AI969,AJ969)</f>
        <v>CMAM</v>
      </c>
    </row>
    <row r="970" spans="1:37" ht="15.75" hidden="1" customHeight="1" x14ac:dyDescent="0.2">
      <c r="A970" s="1">
        <v>318204</v>
      </c>
      <c r="B970" s="1" t="s">
        <v>4122</v>
      </c>
      <c r="C970" s="1" t="s">
        <v>628</v>
      </c>
      <c r="D970" s="1" t="s">
        <v>4265</v>
      </c>
      <c r="E970" s="1" t="s">
        <v>752</v>
      </c>
      <c r="F970" s="1" t="s">
        <v>61</v>
      </c>
      <c r="G970" s="1" t="s">
        <v>4266</v>
      </c>
      <c r="H970" s="1">
        <v>3188</v>
      </c>
      <c r="I970" s="1" t="s">
        <v>108</v>
      </c>
      <c r="J970" s="1">
        <v>3</v>
      </c>
      <c r="K970" s="1" t="s">
        <v>49</v>
      </c>
      <c r="L970" s="1">
        <v>48</v>
      </c>
      <c r="M970" s="1" t="str">
        <f>IF(L970&lt;=45,"Joven","Mayor")</f>
        <v>Mayor</v>
      </c>
      <c r="N970" s="1">
        <v>60</v>
      </c>
      <c r="O970" s="1" t="s">
        <v>50</v>
      </c>
      <c r="P970" s="1">
        <v>1.0680000000000001</v>
      </c>
      <c r="Q970" s="1">
        <v>90.114000000000004</v>
      </c>
      <c r="R970" s="1">
        <v>5.4329599999999996</v>
      </c>
      <c r="S970" s="1">
        <v>2.7222504999999999</v>
      </c>
      <c r="T970" s="1">
        <v>-4.8485674999999997</v>
      </c>
      <c r="U970" s="1">
        <v>18.396000000000001</v>
      </c>
      <c r="V970" s="1">
        <v>93</v>
      </c>
      <c r="W970" s="1">
        <v>177</v>
      </c>
      <c r="X970" s="1">
        <v>1.903225806451613</v>
      </c>
      <c r="Y970" s="1">
        <v>94</v>
      </c>
      <c r="Z970" s="1">
        <v>177</v>
      </c>
      <c r="AA970" s="1">
        <v>1.8829787234042554</v>
      </c>
      <c r="AB970" s="1">
        <v>97.889752795890672</v>
      </c>
      <c r="AC970" s="1">
        <v>176.11305049726801</v>
      </c>
      <c r="AD970" s="1">
        <v>1.7990958753821786</v>
      </c>
      <c r="AE970" t="s">
        <v>4817</v>
      </c>
      <c r="AF970" t="str">
        <f>IF(X970&lt;$AF$1,"Bajo","Alto")</f>
        <v>Alto</v>
      </c>
      <c r="AG970" t="str">
        <f>LEFT(AE970,1)</f>
        <v>C</v>
      </c>
      <c r="AH970" t="str">
        <f>K970</f>
        <v>F</v>
      </c>
      <c r="AI970" t="str">
        <f>LEFT(AF970,1)</f>
        <v>A</v>
      </c>
      <c r="AJ970" t="str">
        <f>LEFT(M970,1)</f>
        <v>M</v>
      </c>
      <c r="AK970" t="str">
        <f>_xlfn.CONCAT(AG970,AH970,AI970,AJ970)</f>
        <v>CFAM</v>
      </c>
    </row>
    <row r="971" spans="1:37" ht="15.75" hidden="1" customHeight="1" x14ac:dyDescent="0.2">
      <c r="A971" s="1">
        <v>110108</v>
      </c>
      <c r="B971" s="1" t="s">
        <v>1648</v>
      </c>
      <c r="C971" s="1" t="s">
        <v>51</v>
      </c>
      <c r="D971" s="1" t="s">
        <v>1649</v>
      </c>
      <c r="E971" s="1" t="s">
        <v>32</v>
      </c>
      <c r="F971" s="1" t="s">
        <v>46</v>
      </c>
      <c r="G971" s="1" t="s">
        <v>1652</v>
      </c>
      <c r="H971" s="1">
        <v>28671</v>
      </c>
      <c r="I971" s="1" t="s">
        <v>134</v>
      </c>
      <c r="J971" s="1">
        <v>8</v>
      </c>
      <c r="K971" s="1" t="s">
        <v>49</v>
      </c>
      <c r="L971" s="1">
        <v>36</v>
      </c>
      <c r="M971" s="1" t="str">
        <f>IF(L971&lt;=45,"Joven","Mayor")</f>
        <v>Joven</v>
      </c>
      <c r="N971" s="1">
        <v>32</v>
      </c>
      <c r="O971" s="1" t="s">
        <v>50</v>
      </c>
      <c r="P971" s="1">
        <v>0.35399999999999998</v>
      </c>
      <c r="Q971" s="1">
        <v>64.897999999999996</v>
      </c>
      <c r="R971" s="1">
        <v>14.008305</v>
      </c>
      <c r="S971" s="1">
        <v>-1.0946232E-2</v>
      </c>
      <c r="T971" s="1">
        <v>0.61671209999999999</v>
      </c>
      <c r="U971" s="1">
        <v>71.349999999999994</v>
      </c>
      <c r="V971" s="1">
        <v>91</v>
      </c>
      <c r="W971" s="1">
        <v>151</v>
      </c>
      <c r="X971" s="1">
        <v>1.6593406593406594</v>
      </c>
      <c r="Y971" s="1">
        <v>94</v>
      </c>
      <c r="Z971" s="1">
        <v>151</v>
      </c>
      <c r="AA971" s="1">
        <v>1.6063829787234043</v>
      </c>
      <c r="AB971" s="1">
        <v>93.671651340923745</v>
      </c>
      <c r="AC971" s="1">
        <v>151.12041431953321</v>
      </c>
      <c r="AD971" s="1">
        <v>1.6132993510440117</v>
      </c>
      <c r="AE971" t="s">
        <v>4817</v>
      </c>
      <c r="AF971" t="str">
        <f>IF(X971&lt;$AF$1,"Bajo","Alto")</f>
        <v>Bajo</v>
      </c>
      <c r="AG971" t="str">
        <f>LEFT(AE971,1)</f>
        <v>C</v>
      </c>
      <c r="AH971" t="str">
        <f>K971</f>
        <v>F</v>
      </c>
      <c r="AI971" t="str">
        <f>LEFT(AF971,1)</f>
        <v>B</v>
      </c>
      <c r="AJ971" t="str">
        <f>LEFT(M971,1)</f>
        <v>J</v>
      </c>
      <c r="AK971" t="str">
        <f>_xlfn.CONCAT(AG971,AH971,AI971,AJ971)</f>
        <v>CFBJ</v>
      </c>
    </row>
    <row r="972" spans="1:37" ht="15.75" hidden="1" customHeight="1" x14ac:dyDescent="0.2">
      <c r="A972" s="1">
        <v>10718404</v>
      </c>
      <c r="B972" s="1" t="s">
        <v>1067</v>
      </c>
      <c r="C972" s="1" t="s">
        <v>1068</v>
      </c>
      <c r="D972" s="1" t="s">
        <v>1198</v>
      </c>
      <c r="E972" s="1" t="s">
        <v>312</v>
      </c>
      <c r="F972" s="1" t="s">
        <v>61</v>
      </c>
      <c r="G972" s="1" t="s">
        <v>1199</v>
      </c>
      <c r="H972" s="1">
        <v>572</v>
      </c>
      <c r="I972" s="1" t="s">
        <v>134</v>
      </c>
      <c r="J972" s="1">
        <v>8</v>
      </c>
      <c r="K972" s="1" t="s">
        <v>35</v>
      </c>
      <c r="L972" s="1">
        <v>51</v>
      </c>
      <c r="M972" s="1" t="str">
        <f>IF(L972&lt;=45,"Joven","Mayor")</f>
        <v>Mayor</v>
      </c>
      <c r="N972" s="1">
        <v>55</v>
      </c>
      <c r="O972" s="1" t="s">
        <v>36</v>
      </c>
      <c r="P972" s="1">
        <v>0.35299999999999998</v>
      </c>
      <c r="Q972" s="1">
        <v>93.680999999999997</v>
      </c>
      <c r="R972" s="1">
        <v>0.1074551</v>
      </c>
      <c r="S972" s="1">
        <v>-5.8142113999999996</v>
      </c>
      <c r="T972" s="1">
        <v>0.95600099999999999</v>
      </c>
      <c r="U972" s="1">
        <v>84.343999999999994</v>
      </c>
      <c r="V972" s="1">
        <v>66</v>
      </c>
      <c r="W972" s="1">
        <v>108</v>
      </c>
      <c r="X972" s="1">
        <v>1.6363636363636365</v>
      </c>
      <c r="Y972" s="1">
        <v>67</v>
      </c>
      <c r="Z972" s="1">
        <v>108</v>
      </c>
      <c r="AA972" s="1">
        <v>1.6119402985074627</v>
      </c>
      <c r="AB972" s="1">
        <v>67.4578423146163</v>
      </c>
      <c r="AC972" s="1">
        <v>107.9515974908991</v>
      </c>
      <c r="AD972" s="1">
        <v>1.6002823954466876</v>
      </c>
      <c r="AE972" t="s">
        <v>4817</v>
      </c>
      <c r="AF972" t="str">
        <f>IF(X972&lt;$AF$1,"Bajo","Alto")</f>
        <v>Bajo</v>
      </c>
      <c r="AG972" t="str">
        <f>LEFT(AE972,1)</f>
        <v>C</v>
      </c>
      <c r="AH972" t="str">
        <f>K972</f>
        <v>M</v>
      </c>
      <c r="AI972" t="str">
        <f>LEFT(AF972,1)</f>
        <v>B</v>
      </c>
      <c r="AJ972" t="str">
        <f>LEFT(M972,1)</f>
        <v>M</v>
      </c>
      <c r="AK972" t="str">
        <f>_xlfn.CONCAT(AG972,AH972,AI972,AJ972)</f>
        <v>CMBM</v>
      </c>
    </row>
    <row r="973" spans="1:37" ht="15.75" hidden="1" customHeight="1" x14ac:dyDescent="0.2">
      <c r="A973" s="1">
        <v>157608</v>
      </c>
      <c r="B973" s="1" t="s">
        <v>2077</v>
      </c>
      <c r="C973" s="1" t="s">
        <v>57</v>
      </c>
      <c r="D973" s="1" t="s">
        <v>2513</v>
      </c>
      <c r="E973" s="1" t="s">
        <v>727</v>
      </c>
      <c r="F973" s="1" t="s">
        <v>46</v>
      </c>
      <c r="G973" s="1" t="s">
        <v>2518</v>
      </c>
      <c r="H973" s="1">
        <v>10533</v>
      </c>
      <c r="I973" s="1" t="s">
        <v>2519</v>
      </c>
      <c r="J973" s="1">
        <v>2046</v>
      </c>
      <c r="K973" s="1" t="s">
        <v>35</v>
      </c>
      <c r="L973" s="1">
        <v>39</v>
      </c>
      <c r="M973" s="1" t="str">
        <f>IF(L973&lt;=45,"Joven","Mayor")</f>
        <v>Joven</v>
      </c>
      <c r="N973" s="1">
        <v>43</v>
      </c>
      <c r="O973" s="1" t="s">
        <v>36</v>
      </c>
      <c r="P973" s="1">
        <v>0.40400000000000003</v>
      </c>
      <c r="Q973" s="1">
        <v>74.016000000000005</v>
      </c>
      <c r="R973" s="1">
        <v>10.822032999999999</v>
      </c>
      <c r="S973" s="1">
        <v>8.4166930000000004</v>
      </c>
      <c r="T973" s="1">
        <v>-5.9658175</v>
      </c>
      <c r="U973" s="1">
        <v>3.4990000000000001</v>
      </c>
      <c r="V973" s="1">
        <v>99</v>
      </c>
      <c r="W973" s="1">
        <v>189</v>
      </c>
      <c r="X973" s="1">
        <v>1.9090909090909092</v>
      </c>
      <c r="Y973" s="1">
        <v>102</v>
      </c>
      <c r="Z973" s="1">
        <v>189</v>
      </c>
      <c r="AA973" s="1">
        <v>1.8529411764705883</v>
      </c>
      <c r="AB973" s="1">
        <v>103.6605796838669</v>
      </c>
      <c r="AC973" s="1">
        <v>188.60000176931911</v>
      </c>
      <c r="AD973" s="1">
        <v>1.8193994510207399</v>
      </c>
      <c r="AE973" t="s">
        <v>4817</v>
      </c>
      <c r="AF973" t="str">
        <f>IF(X973&lt;$AF$1,"Bajo","Alto")</f>
        <v>Alto</v>
      </c>
      <c r="AG973" t="str">
        <f>LEFT(AE973,1)</f>
        <v>C</v>
      </c>
      <c r="AH973" t="str">
        <f>K973</f>
        <v>M</v>
      </c>
      <c r="AI973" t="str">
        <f>LEFT(AF973,1)</f>
        <v>A</v>
      </c>
      <c r="AJ973" t="str">
        <f>LEFT(M973,1)</f>
        <v>J</v>
      </c>
      <c r="AK973" t="str">
        <f>_xlfn.CONCAT(AG973,AH973,AI973,AJ973)</f>
        <v>CMAJ</v>
      </c>
    </row>
    <row r="974" spans="1:37" ht="15.75" hidden="1" customHeight="1" x14ac:dyDescent="0.2">
      <c r="A974" s="1">
        <v>10116303</v>
      </c>
      <c r="B974" s="1" t="s">
        <v>29</v>
      </c>
      <c r="C974" s="1" t="s">
        <v>30</v>
      </c>
      <c r="D974" s="1" t="s">
        <v>250</v>
      </c>
      <c r="E974" s="1" t="s">
        <v>251</v>
      </c>
      <c r="F974" s="1" t="s">
        <v>63</v>
      </c>
      <c r="G974" s="1" t="s">
        <v>254</v>
      </c>
      <c r="H974" s="1">
        <v>1010</v>
      </c>
      <c r="I974" s="1" t="s">
        <v>108</v>
      </c>
      <c r="J974" s="1">
        <v>3</v>
      </c>
      <c r="K974" s="1" t="s">
        <v>49</v>
      </c>
      <c r="L974" s="1">
        <v>43</v>
      </c>
      <c r="M974" s="1" t="str">
        <f>IF(L974&lt;=45,"Joven","Mayor")</f>
        <v>Joven</v>
      </c>
      <c r="N974" s="1">
        <v>34</v>
      </c>
      <c r="O974" s="1" t="s">
        <v>50</v>
      </c>
      <c r="P974" s="1">
        <v>0.35799999999999998</v>
      </c>
      <c r="Q974" s="1">
        <v>92.762</v>
      </c>
      <c r="R974" s="1">
        <v>1.1037824000000001</v>
      </c>
      <c r="S974" s="1">
        <v>6.9186259999999997</v>
      </c>
      <c r="T974" s="1">
        <v>0.67719923999999998</v>
      </c>
      <c r="U974" s="1">
        <v>28.446999999999999</v>
      </c>
      <c r="V974" s="1">
        <v>76</v>
      </c>
      <c r="W974" s="1">
        <v>148</v>
      </c>
      <c r="X974" s="1">
        <v>1.9473684210526316</v>
      </c>
      <c r="Y974" s="1">
        <v>79</v>
      </c>
      <c r="Z974" s="1">
        <v>148</v>
      </c>
      <c r="AA974" s="1">
        <v>1.8734177215189873</v>
      </c>
      <c r="AB974" s="1">
        <v>78.498080613148886</v>
      </c>
      <c r="AC974" s="1">
        <v>147.9778434473055</v>
      </c>
      <c r="AD974" s="1">
        <v>1.8851141619189904</v>
      </c>
      <c r="AE974" t="s">
        <v>4817</v>
      </c>
      <c r="AF974" t="str">
        <f>IF(X974&lt;$AF$1,"Bajo","Alto")</f>
        <v>Alto</v>
      </c>
      <c r="AG974" t="str">
        <f>LEFT(AE974,1)</f>
        <v>C</v>
      </c>
      <c r="AH974" t="str">
        <f>K974</f>
        <v>F</v>
      </c>
      <c r="AI974" t="str">
        <f>LEFT(AF974,1)</f>
        <v>A</v>
      </c>
      <c r="AJ974" t="str">
        <f>LEFT(M974,1)</f>
        <v>J</v>
      </c>
      <c r="AK974" t="str">
        <f>_xlfn.CONCAT(AG974,AH974,AI974,AJ974)</f>
        <v>CFAJ</v>
      </c>
    </row>
    <row r="975" spans="1:37" ht="15.75" hidden="1" customHeight="1" x14ac:dyDescent="0.2">
      <c r="A975" s="1">
        <v>1078202</v>
      </c>
      <c r="B975" s="1" t="s">
        <v>1067</v>
      </c>
      <c r="C975" s="1" t="s">
        <v>1068</v>
      </c>
      <c r="D975" s="1" t="s">
        <v>1502</v>
      </c>
      <c r="E975" s="1" t="s">
        <v>752</v>
      </c>
      <c r="F975" s="1" t="s">
        <v>37</v>
      </c>
      <c r="G975" s="1" t="s">
        <v>1503</v>
      </c>
      <c r="H975" s="1">
        <v>564</v>
      </c>
      <c r="I975" s="1" t="s">
        <v>65</v>
      </c>
      <c r="J975" s="1">
        <v>2</v>
      </c>
      <c r="K975" s="1" t="s">
        <v>35</v>
      </c>
      <c r="L975" s="1">
        <v>51</v>
      </c>
      <c r="M975" s="1" t="str">
        <f>IF(L975&lt;=45,"Joven","Mayor")</f>
        <v>Mayor</v>
      </c>
      <c r="N975" s="1">
        <v>56</v>
      </c>
      <c r="O975" s="1" t="s">
        <v>36</v>
      </c>
      <c r="P975" s="1">
        <v>0.314</v>
      </c>
      <c r="Q975" s="1">
        <v>83.637</v>
      </c>
      <c r="R975" s="1">
        <v>8.3807500000000008</v>
      </c>
      <c r="S975" s="1">
        <v>6.1708429999999996</v>
      </c>
      <c r="T975" s="1">
        <v>-5.3933353000000004</v>
      </c>
      <c r="U975" s="1">
        <v>45.58</v>
      </c>
      <c r="V975" s="1">
        <v>88</v>
      </c>
      <c r="W975" s="1">
        <v>144</v>
      </c>
      <c r="X975" s="1">
        <v>1.6363636363636365</v>
      </c>
      <c r="Y975" s="1">
        <v>91</v>
      </c>
      <c r="Z975" s="1">
        <v>144</v>
      </c>
      <c r="AA975" s="1">
        <v>1.5824175824175823</v>
      </c>
      <c r="AB975" s="1">
        <v>91.464108434416858</v>
      </c>
      <c r="AC975" s="1">
        <v>143.83246080753091</v>
      </c>
      <c r="AD975" s="1">
        <v>1.5725563094584154</v>
      </c>
      <c r="AE975" t="s">
        <v>4817</v>
      </c>
      <c r="AF975" t="str">
        <f>IF(X975&lt;$AF$1,"Bajo","Alto")</f>
        <v>Bajo</v>
      </c>
      <c r="AG975" t="str">
        <f>LEFT(AE975,1)</f>
        <v>C</v>
      </c>
      <c r="AH975" t="str">
        <f>K975</f>
        <v>M</v>
      </c>
      <c r="AI975" t="str">
        <f>LEFT(AF975,1)</f>
        <v>B</v>
      </c>
      <c r="AJ975" t="str">
        <f>LEFT(M975,1)</f>
        <v>M</v>
      </c>
      <c r="AK975" t="str">
        <f>_xlfn.CONCAT(AG975,AH975,AI975,AJ975)</f>
        <v>CMBM</v>
      </c>
    </row>
    <row r="976" spans="1:37" ht="15.75" hidden="1" customHeight="1" x14ac:dyDescent="0.2">
      <c r="A976" s="1">
        <v>291905</v>
      </c>
      <c r="B976" s="1" t="s">
        <v>3890</v>
      </c>
      <c r="C976" s="1" t="s">
        <v>1695</v>
      </c>
      <c r="D976" s="1" t="s">
        <v>3971</v>
      </c>
      <c r="E976" s="1" t="s">
        <v>323</v>
      </c>
      <c r="F976" s="1" t="s">
        <v>40</v>
      </c>
      <c r="G976" s="1" t="s">
        <v>3975</v>
      </c>
      <c r="H976" s="1">
        <v>1114</v>
      </c>
      <c r="I976" s="1" t="s">
        <v>3976</v>
      </c>
      <c r="J976" s="1">
        <v>2312</v>
      </c>
      <c r="K976" s="1" t="s">
        <v>49</v>
      </c>
      <c r="L976" s="1">
        <v>52</v>
      </c>
      <c r="M976" s="1" t="str">
        <f>IF(L976&lt;=45,"Joven","Mayor")</f>
        <v>Mayor</v>
      </c>
      <c r="N976" s="1">
        <v>55</v>
      </c>
      <c r="O976" s="1" t="s">
        <v>50</v>
      </c>
      <c r="P976" s="1">
        <v>0.10299999999999999</v>
      </c>
      <c r="Q976" s="1">
        <v>87.525999999999996</v>
      </c>
      <c r="R976" s="1">
        <v>7.6083920000000003</v>
      </c>
      <c r="S976" s="1">
        <v>-1.6750859</v>
      </c>
      <c r="T976" s="1">
        <v>-7.1280627000000001</v>
      </c>
      <c r="U976" s="1">
        <v>5.4359999999999999</v>
      </c>
      <c r="V976" s="1">
        <v>81</v>
      </c>
      <c r="W976" s="1">
        <v>154</v>
      </c>
      <c r="X976" s="1">
        <v>1.9012345679012346</v>
      </c>
      <c r="Y976" s="1">
        <v>89</v>
      </c>
      <c r="Z976" s="1">
        <v>154</v>
      </c>
      <c r="AA976" s="1">
        <v>1.7303370786516854</v>
      </c>
      <c r="AB976" s="1">
        <v>86.578348357323648</v>
      </c>
      <c r="AC976" s="1">
        <v>154.0506521279581</v>
      </c>
      <c r="AD976" s="1">
        <v>1.7793207545628467</v>
      </c>
      <c r="AE976" t="s">
        <v>4817</v>
      </c>
      <c r="AF976" t="str">
        <f>IF(X976&lt;$AF$1,"Bajo","Alto")</f>
        <v>Alto</v>
      </c>
      <c r="AG976" t="str">
        <f>LEFT(AE976,1)</f>
        <v>C</v>
      </c>
      <c r="AH976" t="str">
        <f>K976</f>
        <v>F</v>
      </c>
      <c r="AI976" t="str">
        <f>LEFT(AF976,1)</f>
        <v>A</v>
      </c>
      <c r="AJ976" t="str">
        <f>LEFT(M976,1)</f>
        <v>M</v>
      </c>
      <c r="AK976" t="str">
        <f>_xlfn.CONCAT(AG976,AH976,AI976,AJ976)</f>
        <v>CFAM</v>
      </c>
    </row>
    <row r="977" spans="1:37" ht="15.75" hidden="1" customHeight="1" x14ac:dyDescent="0.2">
      <c r="A977" s="1">
        <v>277904</v>
      </c>
      <c r="B977" s="1" t="s">
        <v>3409</v>
      </c>
      <c r="C977" s="1" t="s">
        <v>973</v>
      </c>
      <c r="D977" s="1" t="s">
        <v>3731</v>
      </c>
      <c r="E977" s="1" t="s">
        <v>739</v>
      </c>
      <c r="F977" s="1" t="s">
        <v>61</v>
      </c>
      <c r="G977" s="1" t="s">
        <v>3734</v>
      </c>
      <c r="H977" s="1">
        <v>517</v>
      </c>
      <c r="I977" s="1" t="s">
        <v>3735</v>
      </c>
      <c r="J977" s="1">
        <v>3921</v>
      </c>
      <c r="K977" s="1" t="s">
        <v>35</v>
      </c>
      <c r="L977" s="1">
        <v>49</v>
      </c>
      <c r="M977" s="1" t="str">
        <f>IF(L977&lt;=45,"Joven","Mayor")</f>
        <v>Mayor</v>
      </c>
      <c r="N977" s="1">
        <v>59</v>
      </c>
      <c r="O977" s="1" t="s">
        <v>36</v>
      </c>
      <c r="P977" s="1">
        <v>0.35499999999999998</v>
      </c>
      <c r="Q977" s="1">
        <v>90.484999999999999</v>
      </c>
      <c r="R977" s="1">
        <v>3.2277927000000002</v>
      </c>
      <c r="S977" s="1">
        <v>8.3008240000000004</v>
      </c>
      <c r="T977" s="1">
        <v>-3.7613056</v>
      </c>
      <c r="U977" s="1">
        <v>17.462</v>
      </c>
      <c r="V977" s="1">
        <v>110</v>
      </c>
      <c r="W977" s="1">
        <v>180</v>
      </c>
      <c r="X977" s="1">
        <v>1.6363636363636365</v>
      </c>
      <c r="Y977" s="1">
        <v>113</v>
      </c>
      <c r="Z977" s="1">
        <v>180</v>
      </c>
      <c r="AA977" s="1">
        <v>1.5929203539823009</v>
      </c>
      <c r="AB977" s="1">
        <v>116.1021991237649</v>
      </c>
      <c r="AC977" s="1">
        <v>179.61227972477951</v>
      </c>
      <c r="AD977" s="1">
        <v>1.5470187565811124</v>
      </c>
      <c r="AE977" t="s">
        <v>4817</v>
      </c>
      <c r="AF977" t="str">
        <f>IF(X977&lt;$AF$1,"Bajo","Alto")</f>
        <v>Bajo</v>
      </c>
      <c r="AG977" t="str">
        <f>LEFT(AE977,1)</f>
        <v>C</v>
      </c>
      <c r="AH977" t="str">
        <f>K977</f>
        <v>M</v>
      </c>
      <c r="AI977" t="str">
        <f>LEFT(AF977,1)</f>
        <v>B</v>
      </c>
      <c r="AJ977" t="str">
        <f>LEFT(M977,1)</f>
        <v>M</v>
      </c>
      <c r="AK977" t="str">
        <f>_xlfn.CONCAT(AG977,AH977,AI977,AJ977)</f>
        <v>CMBM</v>
      </c>
    </row>
    <row r="978" spans="1:37" ht="15.75" hidden="1" customHeight="1" x14ac:dyDescent="0.2">
      <c r="A978" s="1">
        <v>131904</v>
      </c>
      <c r="B978" s="1" t="s">
        <v>956</v>
      </c>
      <c r="C978" s="1" t="s">
        <v>163</v>
      </c>
      <c r="D978" s="1" t="s">
        <v>1979</v>
      </c>
      <c r="E978" s="1" t="s">
        <v>323</v>
      </c>
      <c r="F978" s="1" t="s">
        <v>61</v>
      </c>
      <c r="G978" s="1" t="s">
        <v>1981</v>
      </c>
      <c r="H978" s="1">
        <v>16947</v>
      </c>
      <c r="I978" s="1" t="s">
        <v>73</v>
      </c>
      <c r="J978" s="1">
        <v>5</v>
      </c>
      <c r="K978" s="1" t="s">
        <v>35</v>
      </c>
      <c r="L978" s="1">
        <v>47</v>
      </c>
      <c r="M978" s="1" t="str">
        <f>IF(L978&lt;=45,"Joven","Mayor")</f>
        <v>Mayor</v>
      </c>
      <c r="N978" s="1">
        <v>57</v>
      </c>
      <c r="O978" s="1" t="s">
        <v>36</v>
      </c>
      <c r="P978" s="1">
        <v>0.36099999999999999</v>
      </c>
      <c r="Q978" s="1">
        <v>63.411000000000001</v>
      </c>
      <c r="R978" s="1">
        <v>13.250415</v>
      </c>
      <c r="S978" s="1">
        <v>-7.4558697</v>
      </c>
      <c r="T978" s="1">
        <v>-2.806467</v>
      </c>
      <c r="U978" s="1">
        <v>11.5</v>
      </c>
      <c r="V978" s="1">
        <v>106</v>
      </c>
      <c r="W978" s="1">
        <v>201</v>
      </c>
      <c r="X978" s="1">
        <v>1.8962264150943395</v>
      </c>
      <c r="Y978" s="1">
        <v>110</v>
      </c>
      <c r="Z978" s="1">
        <v>201</v>
      </c>
      <c r="AA978" s="1">
        <v>1.8272727272727274</v>
      </c>
      <c r="AB978" s="1">
        <v>108.3699531960397</v>
      </c>
      <c r="AC978" s="1">
        <v>200.90581158961689</v>
      </c>
      <c r="AD978" s="1">
        <v>1.8538885148928794</v>
      </c>
      <c r="AE978" t="s">
        <v>4817</v>
      </c>
      <c r="AF978" t="str">
        <f>IF(X978&lt;$AF$1,"Bajo","Alto")</f>
        <v>Alto</v>
      </c>
      <c r="AG978" t="str">
        <f>LEFT(AE978,1)</f>
        <v>C</v>
      </c>
      <c r="AH978" t="str">
        <f>K978</f>
        <v>M</v>
      </c>
      <c r="AI978" t="str">
        <f>LEFT(AF978,1)</f>
        <v>A</v>
      </c>
      <c r="AJ978" t="str">
        <f>LEFT(M978,1)</f>
        <v>M</v>
      </c>
      <c r="AK978" t="str">
        <f>_xlfn.CONCAT(AG978,AH978,AI978,AJ978)</f>
        <v>CMAM</v>
      </c>
    </row>
    <row r="979" spans="1:37" ht="15.75" hidden="1" customHeight="1" x14ac:dyDescent="0.2">
      <c r="A979" s="1">
        <v>2313602</v>
      </c>
      <c r="B979" s="1" t="s">
        <v>319</v>
      </c>
      <c r="C979" s="1" t="s">
        <v>1989</v>
      </c>
      <c r="D979" s="1" t="s">
        <v>2984</v>
      </c>
      <c r="E979" s="1" t="s">
        <v>1130</v>
      </c>
      <c r="F979" s="1" t="s">
        <v>37</v>
      </c>
      <c r="G979" s="1" t="s">
        <v>2985</v>
      </c>
      <c r="H979" s="1">
        <v>2829</v>
      </c>
      <c r="I979" s="1" t="s">
        <v>134</v>
      </c>
      <c r="J979" s="1">
        <v>8</v>
      </c>
      <c r="K979" s="1" t="s">
        <v>49</v>
      </c>
      <c r="L979" s="1">
        <v>38</v>
      </c>
      <c r="M979" s="1" t="str">
        <f>IF(L979&lt;=45,"Joven","Mayor")</f>
        <v>Joven</v>
      </c>
      <c r="N979" s="1">
        <v>45</v>
      </c>
      <c r="O979" s="1" t="s">
        <v>50</v>
      </c>
      <c r="P979" s="1">
        <v>7.2999999999999995E-2</v>
      </c>
      <c r="Q979" s="1">
        <v>29.747</v>
      </c>
      <c r="R979" s="1">
        <v>18.478055999999999</v>
      </c>
      <c r="S979" s="1">
        <v>-3.3737328</v>
      </c>
      <c r="T979" s="1">
        <v>-7.599545</v>
      </c>
      <c r="U979" s="1">
        <v>51.107999999999997</v>
      </c>
      <c r="V979" s="1">
        <v>94</v>
      </c>
      <c r="W979" s="1">
        <v>156</v>
      </c>
      <c r="X979" s="1">
        <v>1.6595744680851063</v>
      </c>
      <c r="Y979" s="1">
        <v>96</v>
      </c>
      <c r="Z979" s="1">
        <v>156</v>
      </c>
      <c r="AA979" s="1">
        <v>1.625</v>
      </c>
      <c r="AB979" s="1">
        <v>99.520993807331251</v>
      </c>
      <c r="AC979" s="1">
        <v>153.5717999680555</v>
      </c>
      <c r="AD979" s="1">
        <v>1.543109590177169</v>
      </c>
      <c r="AE979" t="s">
        <v>4817</v>
      </c>
      <c r="AF979" t="str">
        <f>IF(X979&lt;$AF$1,"Bajo","Alto")</f>
        <v>Bajo</v>
      </c>
      <c r="AG979" t="str">
        <f>LEFT(AE979,1)</f>
        <v>C</v>
      </c>
      <c r="AH979" t="str">
        <f>K979</f>
        <v>F</v>
      </c>
      <c r="AI979" t="str">
        <f>LEFT(AF979,1)</f>
        <v>B</v>
      </c>
      <c r="AJ979" t="str">
        <f>LEFT(M979,1)</f>
        <v>J</v>
      </c>
      <c r="AK979" t="str">
        <f>_xlfn.CONCAT(AG979,AH979,AI979,AJ979)</f>
        <v>CFBJ</v>
      </c>
    </row>
    <row r="980" spans="1:37" ht="15.75" hidden="1" customHeight="1" x14ac:dyDescent="0.2">
      <c r="A980" s="1">
        <v>1078501</v>
      </c>
      <c r="B980" s="1" t="s">
        <v>1067</v>
      </c>
      <c r="C980" s="1" t="s">
        <v>1068</v>
      </c>
      <c r="D980" s="1" t="s">
        <v>1506</v>
      </c>
      <c r="E980" s="1" t="s">
        <v>755</v>
      </c>
      <c r="F980" s="1" t="s">
        <v>32</v>
      </c>
      <c r="G980" s="1" t="s">
        <v>1507</v>
      </c>
      <c r="H980" s="1">
        <v>861</v>
      </c>
      <c r="I980" s="1" t="s">
        <v>65</v>
      </c>
      <c r="J980" s="1">
        <v>2</v>
      </c>
      <c r="K980" s="1" t="s">
        <v>35</v>
      </c>
      <c r="L980" s="1">
        <v>47</v>
      </c>
      <c r="M980" s="1" t="str">
        <f>IF(L980&lt;=45,"Joven","Mayor")</f>
        <v>Mayor</v>
      </c>
      <c r="N980" s="1">
        <v>54</v>
      </c>
      <c r="O980" s="1" t="s">
        <v>36</v>
      </c>
      <c r="P980" s="1">
        <v>0.33200000000000002</v>
      </c>
      <c r="Q980" s="1">
        <v>87.382000000000005</v>
      </c>
      <c r="R980" s="1">
        <v>6.1518569999999997</v>
      </c>
      <c r="S980" s="1">
        <v>7.2291999999999996</v>
      </c>
      <c r="T980" s="1">
        <v>-5.7687270000000002</v>
      </c>
      <c r="U980" s="1">
        <v>2.3919999999999999</v>
      </c>
      <c r="V980" s="1">
        <v>102</v>
      </c>
      <c r="W980" s="1">
        <v>167</v>
      </c>
      <c r="X980" s="1">
        <v>1.6372549019607843</v>
      </c>
      <c r="Y980" s="1">
        <v>106</v>
      </c>
      <c r="Z980" s="1">
        <v>167</v>
      </c>
      <c r="AA980" s="1">
        <v>1.5754716981132075</v>
      </c>
      <c r="AB980" s="1">
        <v>105.906026742962</v>
      </c>
      <c r="AC980" s="1">
        <v>167.05888438494691</v>
      </c>
      <c r="AD980" s="1">
        <v>1.5774256623790188</v>
      </c>
      <c r="AE980" t="s">
        <v>4817</v>
      </c>
      <c r="AF980" t="str">
        <f>IF(X980&lt;$AF$1,"Bajo","Alto")</f>
        <v>Bajo</v>
      </c>
      <c r="AG980" t="str">
        <f>LEFT(AE980,1)</f>
        <v>C</v>
      </c>
      <c r="AH980" t="str">
        <f>K980</f>
        <v>M</v>
      </c>
      <c r="AI980" t="str">
        <f>LEFT(AF980,1)</f>
        <v>B</v>
      </c>
      <c r="AJ980" t="str">
        <f>LEFT(M980,1)</f>
        <v>M</v>
      </c>
      <c r="AK980" t="str">
        <f>_xlfn.CONCAT(AG980,AH980,AI980,AJ980)</f>
        <v>CMBM</v>
      </c>
    </row>
    <row r="981" spans="1:37" ht="15.75" hidden="1" customHeight="1" x14ac:dyDescent="0.2">
      <c r="A981" s="1">
        <v>310105</v>
      </c>
      <c r="B981" s="1" t="s">
        <v>4122</v>
      </c>
      <c r="C981" s="1" t="s">
        <v>628</v>
      </c>
      <c r="D981" s="1" t="s">
        <v>4123</v>
      </c>
      <c r="E981" s="1" t="s">
        <v>32</v>
      </c>
      <c r="F981" s="1" t="s">
        <v>40</v>
      </c>
      <c r="G981" s="1" t="s">
        <v>4125</v>
      </c>
      <c r="H981" s="1">
        <v>22072</v>
      </c>
      <c r="I981" s="1" t="s">
        <v>91</v>
      </c>
      <c r="J981" s="1">
        <v>6</v>
      </c>
      <c r="K981" s="1" t="s">
        <v>35</v>
      </c>
      <c r="L981" s="1">
        <v>39</v>
      </c>
      <c r="M981" s="1" t="str">
        <f>IF(L981&lt;=45,"Joven","Mayor")</f>
        <v>Joven</v>
      </c>
      <c r="N981" s="1">
        <v>40</v>
      </c>
      <c r="O981" s="1" t="s">
        <v>36</v>
      </c>
      <c r="P981" s="1">
        <v>0.20799999999999999</v>
      </c>
      <c r="Q981" s="1">
        <v>86.828000000000003</v>
      </c>
      <c r="R981" s="1">
        <v>-7.4220223000000001</v>
      </c>
      <c r="S981" s="1">
        <v>4.1774316000000002</v>
      </c>
      <c r="T981" s="1">
        <v>4.6577067000000003</v>
      </c>
      <c r="U981" s="1">
        <v>30.358000000000001</v>
      </c>
      <c r="V981" s="1">
        <v>102</v>
      </c>
      <c r="W981" s="1">
        <v>169</v>
      </c>
      <c r="X981" s="1">
        <v>1.6568627450980393</v>
      </c>
      <c r="Y981" s="1">
        <v>106</v>
      </c>
      <c r="Z981" s="1">
        <v>169</v>
      </c>
      <c r="AA981" s="1">
        <v>1.5943396226415094</v>
      </c>
      <c r="AB981" s="1">
        <v>105.72329563652259</v>
      </c>
      <c r="AC981" s="1">
        <v>169.1727194980808</v>
      </c>
      <c r="AD981" s="1">
        <v>1.6001461028957871</v>
      </c>
      <c r="AE981" t="s">
        <v>4817</v>
      </c>
      <c r="AF981" t="str">
        <f>IF(X981&lt;$AF$1,"Bajo","Alto")</f>
        <v>Bajo</v>
      </c>
      <c r="AG981" t="str">
        <f>LEFT(AE981,1)</f>
        <v>C</v>
      </c>
      <c r="AH981" t="str">
        <f>K981</f>
        <v>M</v>
      </c>
      <c r="AI981" t="str">
        <f>LEFT(AF981,1)</f>
        <v>B</v>
      </c>
      <c r="AJ981" t="str">
        <f>LEFT(M981,1)</f>
        <v>J</v>
      </c>
      <c r="AK981" t="str">
        <f>_xlfn.CONCAT(AG981,AH981,AI981,AJ981)</f>
        <v>CMBJ</v>
      </c>
    </row>
    <row r="982" spans="1:37" ht="15.75" hidden="1" customHeight="1" x14ac:dyDescent="0.2">
      <c r="A982" s="1">
        <v>295804</v>
      </c>
      <c r="B982" s="1" t="s">
        <v>3890</v>
      </c>
      <c r="C982" s="1" t="s">
        <v>1695</v>
      </c>
      <c r="D982" s="1" t="s">
        <v>4035</v>
      </c>
      <c r="E982" s="1" t="s">
        <v>695</v>
      </c>
      <c r="F982" s="1" t="s">
        <v>61</v>
      </c>
      <c r="G982" s="1" t="s">
        <v>4039</v>
      </c>
      <c r="H982" s="1">
        <v>982</v>
      </c>
      <c r="I982" s="1" t="s">
        <v>42</v>
      </c>
      <c r="J982" s="1">
        <v>15</v>
      </c>
      <c r="K982" s="1" t="s">
        <v>35</v>
      </c>
      <c r="L982" s="1">
        <v>52</v>
      </c>
      <c r="M982" s="1" t="str">
        <f>IF(L982&lt;=45,"Joven","Mayor")</f>
        <v>Mayor</v>
      </c>
      <c r="N982" s="1">
        <v>70</v>
      </c>
      <c r="O982" s="1" t="s">
        <v>36</v>
      </c>
      <c r="P982" s="1">
        <v>0.36399999999999999</v>
      </c>
      <c r="Q982" s="1">
        <v>92.813000000000002</v>
      </c>
      <c r="R982" s="1">
        <v>-1.8196154</v>
      </c>
      <c r="S982" s="1">
        <v>5.4359570000000001</v>
      </c>
      <c r="T982" s="1">
        <v>2.7632081999999998</v>
      </c>
      <c r="U982" s="1">
        <v>3.234</v>
      </c>
      <c r="V982" s="1">
        <v>102</v>
      </c>
      <c r="W982" s="1">
        <v>167</v>
      </c>
      <c r="X982" s="1">
        <v>1.6372549019607843</v>
      </c>
      <c r="Y982" s="1">
        <v>108</v>
      </c>
      <c r="Z982" s="1">
        <v>167</v>
      </c>
      <c r="AA982" s="1">
        <v>1.5462962962962963</v>
      </c>
      <c r="AB982" s="1">
        <v>105.7532592815555</v>
      </c>
      <c r="AC982" s="1">
        <v>166.9986626050509</v>
      </c>
      <c r="AD982" s="1">
        <v>1.5791349008018445</v>
      </c>
      <c r="AE982" t="s">
        <v>4817</v>
      </c>
      <c r="AF982" t="str">
        <f>IF(X982&lt;$AF$1,"Bajo","Alto")</f>
        <v>Bajo</v>
      </c>
      <c r="AG982" t="str">
        <f>LEFT(AE982,1)</f>
        <v>C</v>
      </c>
      <c r="AH982" t="str">
        <f>K982</f>
        <v>M</v>
      </c>
      <c r="AI982" t="str">
        <f>LEFT(AF982,1)</f>
        <v>B</v>
      </c>
      <c r="AJ982" t="str">
        <f>LEFT(M982,1)</f>
        <v>M</v>
      </c>
      <c r="AK982" t="str">
        <f>_xlfn.CONCAT(AG982,AH982,AI982,AJ982)</f>
        <v>CMBM</v>
      </c>
    </row>
    <row r="983" spans="1:37" ht="15.75" hidden="1" customHeight="1" x14ac:dyDescent="0.2">
      <c r="A983" s="1">
        <v>2312002</v>
      </c>
      <c r="B983" s="1" t="s">
        <v>319</v>
      </c>
      <c r="C983" s="1" t="s">
        <v>1989</v>
      </c>
      <c r="D983" s="1" t="s">
        <v>2261</v>
      </c>
      <c r="E983" s="1" t="s">
        <v>1564</v>
      </c>
      <c r="F983" s="1" t="s">
        <v>37</v>
      </c>
      <c r="G983" s="1" t="s">
        <v>2949</v>
      </c>
      <c r="H983" s="1">
        <v>2120</v>
      </c>
      <c r="I983" s="1" t="s">
        <v>39</v>
      </c>
      <c r="J983" s="1">
        <v>11</v>
      </c>
      <c r="K983" s="1" t="s">
        <v>35</v>
      </c>
      <c r="L983" s="1">
        <v>29</v>
      </c>
      <c r="M983" s="1" t="str">
        <f>IF(L983&lt;=45,"Joven","Mayor")</f>
        <v>Joven</v>
      </c>
      <c r="N983" s="1">
        <v>37</v>
      </c>
      <c r="O983" s="1" t="s">
        <v>36</v>
      </c>
      <c r="P983" s="1">
        <v>0.23499999999999999</v>
      </c>
      <c r="Q983" s="1">
        <v>92.876000000000005</v>
      </c>
      <c r="R983" s="1">
        <v>-0.20717415</v>
      </c>
      <c r="S983" s="1">
        <v>8.0558689999999995</v>
      </c>
      <c r="T983" s="1">
        <v>-0.86418830000000002</v>
      </c>
      <c r="U983" s="1">
        <v>14.122</v>
      </c>
      <c r="V983" s="1">
        <v>98</v>
      </c>
      <c r="W983" s="1">
        <v>163</v>
      </c>
      <c r="X983" s="1">
        <v>1.6632653061224489</v>
      </c>
      <c r="Y983" s="1">
        <v>99</v>
      </c>
      <c r="Z983" s="1">
        <v>163</v>
      </c>
      <c r="AA983" s="1">
        <v>1.6464646464646464</v>
      </c>
      <c r="AB983" s="1">
        <v>98.652476775433115</v>
      </c>
      <c r="AC983" s="1">
        <v>163.02670660215611</v>
      </c>
      <c r="AD983" s="1">
        <v>1.6525353638435336</v>
      </c>
      <c r="AE983" t="s">
        <v>4816</v>
      </c>
      <c r="AF983" t="str">
        <f>IF(X983&lt;$AF$1,"Bajo","Alto")</f>
        <v>Bajo</v>
      </c>
      <c r="AG983" t="str">
        <f>LEFT(AE983,1)</f>
        <v>D</v>
      </c>
      <c r="AH983" t="str">
        <f>K983</f>
        <v>M</v>
      </c>
      <c r="AI983" t="str">
        <f>LEFT(AF983,1)</f>
        <v>B</v>
      </c>
      <c r="AJ983" t="str">
        <f>LEFT(M983,1)</f>
        <v>J</v>
      </c>
      <c r="AK983" t="str">
        <f>_xlfn.CONCAT(AG983,AH983,AI983,AJ983)</f>
        <v>DMBJ</v>
      </c>
    </row>
    <row r="984" spans="1:37" ht="15.75" hidden="1" customHeight="1" x14ac:dyDescent="0.2">
      <c r="A984" s="1">
        <v>264001</v>
      </c>
      <c r="B984" s="1" t="s">
        <v>3358</v>
      </c>
      <c r="C984" s="1" t="s">
        <v>968</v>
      </c>
      <c r="D984" s="1" t="s">
        <v>3389</v>
      </c>
      <c r="E984" s="1" t="s">
        <v>657</v>
      </c>
      <c r="F984" s="1" t="s">
        <v>32</v>
      </c>
      <c r="G984" s="1" t="s">
        <v>3390</v>
      </c>
      <c r="H984" s="1">
        <v>61</v>
      </c>
      <c r="I984" s="1" t="s">
        <v>48</v>
      </c>
      <c r="J984" s="1">
        <v>4</v>
      </c>
      <c r="K984" s="1" t="s">
        <v>49</v>
      </c>
      <c r="L984" s="1">
        <v>64</v>
      </c>
      <c r="M984" s="1" t="str">
        <f>IF(L984&lt;=45,"Joven","Mayor")</f>
        <v>Mayor</v>
      </c>
      <c r="N984" s="1">
        <v>62</v>
      </c>
      <c r="O984" s="1" t="s">
        <v>50</v>
      </c>
      <c r="P984" s="1">
        <v>0.32900000000000001</v>
      </c>
      <c r="Q984" s="1">
        <v>79.555999999999997</v>
      </c>
      <c r="R984" s="1">
        <v>10.897303000000001</v>
      </c>
      <c r="S984" s="1">
        <v>4.3194969999999999E-2</v>
      </c>
      <c r="T984" s="1">
        <v>-5.0132719999999997</v>
      </c>
      <c r="U984" s="1">
        <v>1.095</v>
      </c>
      <c r="V984" s="1">
        <v>99</v>
      </c>
      <c r="W984" s="1">
        <v>162</v>
      </c>
      <c r="X984" s="1">
        <v>1.6363636363636365</v>
      </c>
      <c r="Y984" s="1">
        <v>105</v>
      </c>
      <c r="Z984" s="1">
        <v>162</v>
      </c>
      <c r="AA984" s="1">
        <v>1.5428571428571429</v>
      </c>
      <c r="AB984" s="1">
        <v>102.6410527335393</v>
      </c>
      <c r="AC984" s="1">
        <v>161.55503917939271</v>
      </c>
      <c r="AD984" s="1">
        <v>1.5739807306808975</v>
      </c>
      <c r="AE984" t="s">
        <v>4817</v>
      </c>
      <c r="AF984" t="str">
        <f>IF(X984&lt;$AF$1,"Bajo","Alto")</f>
        <v>Bajo</v>
      </c>
      <c r="AG984" t="str">
        <f>LEFT(AE984,1)</f>
        <v>C</v>
      </c>
      <c r="AH984" t="str">
        <f>K984</f>
        <v>F</v>
      </c>
      <c r="AI984" t="str">
        <f>LEFT(AF984,1)</f>
        <v>B</v>
      </c>
      <c r="AJ984" t="str">
        <f>LEFT(M984,1)</f>
        <v>M</v>
      </c>
      <c r="AK984" t="str">
        <f>_xlfn.CONCAT(AG984,AH984,AI984,AJ984)</f>
        <v>CFBM</v>
      </c>
    </row>
    <row r="985" spans="1:37" ht="15.75" hidden="1" customHeight="1" x14ac:dyDescent="0.2">
      <c r="A985" s="1">
        <v>285501</v>
      </c>
      <c r="B985" s="1" t="s">
        <v>1775</v>
      </c>
      <c r="C985" s="1" t="s">
        <v>561</v>
      </c>
      <c r="D985" s="1" t="s">
        <v>3877</v>
      </c>
      <c r="E985" s="1" t="s">
        <v>690</v>
      </c>
      <c r="F985" s="1" t="s">
        <v>32</v>
      </c>
      <c r="G985" s="1" t="s">
        <v>3878</v>
      </c>
      <c r="H985" s="1">
        <v>6745</v>
      </c>
      <c r="I985" s="1" t="s">
        <v>100</v>
      </c>
      <c r="J985" s="1">
        <v>1</v>
      </c>
      <c r="K985" s="1" t="s">
        <v>49</v>
      </c>
      <c r="L985" s="1">
        <v>47</v>
      </c>
      <c r="M985" s="1" t="str">
        <f>IF(L985&lt;=45,"Joven","Mayor")</f>
        <v>Mayor</v>
      </c>
      <c r="N985" s="1">
        <v>40</v>
      </c>
      <c r="O985" s="1" t="s">
        <v>50</v>
      </c>
      <c r="P985" s="1">
        <v>0.35199999999999998</v>
      </c>
      <c r="Q985" s="1">
        <v>91.034000000000006</v>
      </c>
      <c r="R985" s="1">
        <v>4.6928473000000004</v>
      </c>
      <c r="S985" s="1">
        <v>-3.3145688</v>
      </c>
      <c r="T985" s="1">
        <v>-1.5664861000000001</v>
      </c>
      <c r="U985" s="1">
        <v>23.818000000000001</v>
      </c>
      <c r="V985" s="1">
        <v>100</v>
      </c>
      <c r="W985" s="1">
        <v>190</v>
      </c>
      <c r="X985" s="1">
        <v>1.9</v>
      </c>
      <c r="Y985" s="1">
        <v>100</v>
      </c>
      <c r="Z985" s="1">
        <v>190</v>
      </c>
      <c r="AA985" s="1">
        <v>1.9</v>
      </c>
      <c r="AB985" s="1">
        <v>101.411485127273</v>
      </c>
      <c r="AC985" s="1">
        <v>189.9016555403141</v>
      </c>
      <c r="AD985" s="1">
        <v>1.8725852925039461</v>
      </c>
      <c r="AE985" t="s">
        <v>4817</v>
      </c>
      <c r="AF985" t="str">
        <f>IF(X985&lt;$AF$1,"Bajo","Alto")</f>
        <v>Alto</v>
      </c>
      <c r="AG985" t="str">
        <f>LEFT(AE985,1)</f>
        <v>C</v>
      </c>
      <c r="AH985" t="str">
        <f>K985</f>
        <v>F</v>
      </c>
      <c r="AI985" t="str">
        <f>LEFT(AF985,1)</f>
        <v>A</v>
      </c>
      <c r="AJ985" t="str">
        <f>LEFT(M985,1)</f>
        <v>M</v>
      </c>
      <c r="AK985" t="str">
        <f>_xlfn.CONCAT(AG985,AH985,AI985,AJ985)</f>
        <v>CFAM</v>
      </c>
    </row>
    <row r="986" spans="1:37" ht="15.75" hidden="1" customHeight="1" x14ac:dyDescent="0.2">
      <c r="A986" s="1">
        <v>10119302</v>
      </c>
      <c r="B986" s="1" t="s">
        <v>29</v>
      </c>
      <c r="C986" s="1" t="s">
        <v>30</v>
      </c>
      <c r="D986" s="1" t="s">
        <v>341</v>
      </c>
      <c r="E986" s="1" t="s">
        <v>342</v>
      </c>
      <c r="F986" s="1" t="s">
        <v>37</v>
      </c>
      <c r="G986" s="1" t="s">
        <v>343</v>
      </c>
      <c r="H986" s="1">
        <v>1439</v>
      </c>
      <c r="I986" s="1" t="s">
        <v>344</v>
      </c>
      <c r="J986" s="1">
        <v>2838</v>
      </c>
      <c r="K986" s="1" t="s">
        <v>35</v>
      </c>
      <c r="L986" s="1">
        <v>30</v>
      </c>
      <c r="M986" s="1" t="str">
        <f>IF(L986&lt;=45,"Joven","Mayor")</f>
        <v>Joven</v>
      </c>
      <c r="N986" s="1">
        <v>33</v>
      </c>
      <c r="O986" s="1" t="s">
        <v>36</v>
      </c>
      <c r="P986" s="1">
        <v>0.82699999999999996</v>
      </c>
      <c r="Q986" s="1">
        <v>92.433999999999997</v>
      </c>
      <c r="R986" s="1">
        <v>3.7184849</v>
      </c>
      <c r="S986" s="1">
        <v>0.9474129</v>
      </c>
      <c r="T986" s="1">
        <v>-2.8382200000000002</v>
      </c>
      <c r="U986" s="1">
        <v>41.753</v>
      </c>
      <c r="V986" s="1">
        <v>98</v>
      </c>
      <c r="W986" s="1">
        <v>187</v>
      </c>
      <c r="X986" s="1">
        <v>1.9081632653061225</v>
      </c>
      <c r="Y986" s="1">
        <v>100</v>
      </c>
      <c r="Z986" s="1">
        <v>187</v>
      </c>
      <c r="AA986" s="1">
        <v>1.87</v>
      </c>
      <c r="AB986" s="1">
        <v>100.55365173350719</v>
      </c>
      <c r="AC986" s="1">
        <v>186.96867666185429</v>
      </c>
      <c r="AD986" s="1">
        <v>1.8593922094184001</v>
      </c>
      <c r="AE986" t="s">
        <v>4817</v>
      </c>
      <c r="AF986" t="str">
        <f>IF(X986&lt;$AF$1,"Bajo","Alto")</f>
        <v>Alto</v>
      </c>
      <c r="AG986" t="str">
        <f>LEFT(AE986,1)</f>
        <v>C</v>
      </c>
      <c r="AH986" t="str">
        <f>K986</f>
        <v>M</v>
      </c>
      <c r="AI986" t="str">
        <f>LEFT(AF986,1)</f>
        <v>A</v>
      </c>
      <c r="AJ986" t="str">
        <f>LEFT(M986,1)</f>
        <v>J</v>
      </c>
      <c r="AK986" t="str">
        <f>_xlfn.CONCAT(AG986,AH986,AI986,AJ986)</f>
        <v>CMAJ</v>
      </c>
    </row>
    <row r="987" spans="1:37" ht="15.75" hidden="1" customHeight="1" x14ac:dyDescent="0.2">
      <c r="A987" s="1">
        <v>150404</v>
      </c>
      <c r="B987" s="1" t="s">
        <v>2077</v>
      </c>
      <c r="C987" s="1" t="s">
        <v>57</v>
      </c>
      <c r="D987" s="1" t="s">
        <v>2078</v>
      </c>
      <c r="E987" s="1" t="s">
        <v>61</v>
      </c>
      <c r="F987" s="1" t="s">
        <v>61</v>
      </c>
      <c r="G987" s="1" t="s">
        <v>2084</v>
      </c>
      <c r="H987" s="1">
        <v>1051</v>
      </c>
      <c r="I987" s="1" t="s">
        <v>2085</v>
      </c>
      <c r="J987" s="1">
        <v>4434</v>
      </c>
      <c r="K987" s="1" t="s">
        <v>35</v>
      </c>
      <c r="L987" s="1">
        <v>44</v>
      </c>
      <c r="M987" s="1" t="str">
        <f>IF(L987&lt;=45,"Joven","Mayor")</f>
        <v>Joven</v>
      </c>
      <c r="N987" s="1">
        <v>55</v>
      </c>
      <c r="O987" s="1" t="s">
        <v>36</v>
      </c>
      <c r="P987" s="1">
        <v>2.87</v>
      </c>
      <c r="Q987" s="1">
        <v>93.049000000000007</v>
      </c>
      <c r="R987" s="1">
        <v>0.31371912000000002</v>
      </c>
      <c r="S987" s="1">
        <v>5.364217</v>
      </c>
      <c r="T987" s="1">
        <v>-3.8880922999999998</v>
      </c>
      <c r="U987" s="1">
        <v>1.095</v>
      </c>
      <c r="V987" s="1">
        <v>70</v>
      </c>
      <c r="W987" s="1">
        <v>116</v>
      </c>
      <c r="X987" s="1">
        <v>1.6571428571428573</v>
      </c>
      <c r="Y987" s="1">
        <v>71</v>
      </c>
      <c r="Z987" s="1">
        <v>116</v>
      </c>
      <c r="AA987" s="1">
        <v>1.6338028169014085</v>
      </c>
      <c r="AB987" s="1">
        <v>72.144357521273378</v>
      </c>
      <c r="AC987" s="1">
        <v>115.86862944974111</v>
      </c>
      <c r="AD987" s="1">
        <v>1.6060664122703519</v>
      </c>
      <c r="AE987" t="s">
        <v>4817</v>
      </c>
      <c r="AF987" t="str">
        <f>IF(X987&lt;$AF$1,"Bajo","Alto")</f>
        <v>Bajo</v>
      </c>
      <c r="AG987" t="str">
        <f>LEFT(AE987,1)</f>
        <v>C</v>
      </c>
      <c r="AH987" t="str">
        <f>K987</f>
        <v>M</v>
      </c>
      <c r="AI987" t="str">
        <f>LEFT(AF987,1)</f>
        <v>B</v>
      </c>
      <c r="AJ987" t="str">
        <f>LEFT(M987,1)</f>
        <v>J</v>
      </c>
      <c r="AK987" t="str">
        <f>_xlfn.CONCAT(AG987,AH987,AI987,AJ987)</f>
        <v>CMBJ</v>
      </c>
    </row>
    <row r="988" spans="1:37" ht="15.75" hidden="1" customHeight="1" x14ac:dyDescent="0.2">
      <c r="A988" s="1">
        <v>4688001</v>
      </c>
      <c r="B988" s="1" t="s">
        <v>4382</v>
      </c>
      <c r="C988" s="1" t="s">
        <v>669</v>
      </c>
      <c r="D988" s="1" t="s">
        <v>929</v>
      </c>
      <c r="E988" s="1" t="s">
        <v>4457</v>
      </c>
      <c r="F988" s="1" t="s">
        <v>32</v>
      </c>
      <c r="G988" s="1" t="s">
        <v>4458</v>
      </c>
      <c r="H988" s="1">
        <v>5713</v>
      </c>
      <c r="I988" s="1" t="s">
        <v>39</v>
      </c>
      <c r="J988" s="1">
        <v>11</v>
      </c>
      <c r="K988" s="1" t="s">
        <v>35</v>
      </c>
      <c r="L988" s="1">
        <v>45</v>
      </c>
      <c r="M988" s="1" t="str">
        <f>IF(L988&lt;=45,"Joven","Mayor")</f>
        <v>Joven</v>
      </c>
      <c r="N988" s="1">
        <v>33</v>
      </c>
      <c r="O988" s="1" t="s">
        <v>36</v>
      </c>
      <c r="P988" s="1">
        <v>0.36</v>
      </c>
      <c r="Q988" s="1">
        <v>94.191000000000003</v>
      </c>
      <c r="R988" s="1">
        <v>-0.4674624</v>
      </c>
      <c r="S988" s="1">
        <v>3.1169465000000001</v>
      </c>
      <c r="T988" s="1">
        <v>-1.3321542</v>
      </c>
      <c r="U988" s="1">
        <v>34.649000000000001</v>
      </c>
      <c r="V988" s="1">
        <v>70</v>
      </c>
      <c r="W988" s="1">
        <v>131</v>
      </c>
      <c r="X988" s="1">
        <v>1.8714285714285714</v>
      </c>
      <c r="Y988" s="1">
        <v>72</v>
      </c>
      <c r="Z988" s="1">
        <v>131</v>
      </c>
      <c r="AA988" s="1">
        <v>1.8194444444444444</v>
      </c>
      <c r="AB988" s="1">
        <v>71.236591598450104</v>
      </c>
      <c r="AC988" s="1">
        <v>131.034338445229</v>
      </c>
      <c r="AD988" s="1">
        <v>1.8394245921232413</v>
      </c>
      <c r="AE988" t="s">
        <v>4816</v>
      </c>
      <c r="AF988" t="str">
        <f>IF(X988&lt;$AF$1,"Bajo","Alto")</f>
        <v>Alto</v>
      </c>
      <c r="AG988" t="str">
        <f>LEFT(AE988,1)</f>
        <v>D</v>
      </c>
      <c r="AH988" t="str">
        <f>K988</f>
        <v>M</v>
      </c>
      <c r="AI988" t="str">
        <f>LEFT(AF988,1)</f>
        <v>A</v>
      </c>
      <c r="AJ988" t="str">
        <f>LEFT(M988,1)</f>
        <v>J</v>
      </c>
      <c r="AK988" t="str">
        <f>_xlfn.CONCAT(AG988,AH988,AI988,AJ988)</f>
        <v>DMAJ</v>
      </c>
    </row>
    <row r="989" spans="1:37" ht="15.75" hidden="1" customHeight="1" x14ac:dyDescent="0.2">
      <c r="A989" s="1">
        <v>170202</v>
      </c>
      <c r="B989" s="1" t="s">
        <v>2551</v>
      </c>
      <c r="C989" s="1" t="s">
        <v>2552</v>
      </c>
      <c r="D989" s="1" t="s">
        <v>2558</v>
      </c>
      <c r="E989" s="1" t="s">
        <v>37</v>
      </c>
      <c r="F989" s="1" t="s">
        <v>37</v>
      </c>
      <c r="G989" s="1" t="s">
        <v>2560</v>
      </c>
      <c r="H989" s="1">
        <v>2390</v>
      </c>
      <c r="I989" s="1" t="s">
        <v>108</v>
      </c>
      <c r="J989" s="1">
        <v>3</v>
      </c>
      <c r="K989" s="1" t="s">
        <v>35</v>
      </c>
      <c r="L989" s="1">
        <v>51</v>
      </c>
      <c r="M989" s="1" t="str">
        <f>IF(L989&lt;=45,"Joven","Mayor")</f>
        <v>Mayor</v>
      </c>
      <c r="N989" s="1">
        <v>41</v>
      </c>
      <c r="O989" s="1" t="s">
        <v>36</v>
      </c>
      <c r="P989" s="1">
        <v>0.40699999999999997</v>
      </c>
      <c r="Q989" s="1">
        <v>64.293999999999997</v>
      </c>
      <c r="R989" s="1">
        <v>13.811529999999999</v>
      </c>
      <c r="S989" s="1">
        <v>2.8548539000000002</v>
      </c>
      <c r="T989" s="1">
        <v>-8.6527270000000005</v>
      </c>
      <c r="U989" s="1">
        <v>2.8210000000000002</v>
      </c>
      <c r="V989" s="1">
        <v>85</v>
      </c>
      <c r="W989" s="1">
        <v>161</v>
      </c>
      <c r="X989" s="1">
        <v>1.8941176470588235</v>
      </c>
      <c r="Y989" s="1">
        <v>93</v>
      </c>
      <c r="Z989" s="1">
        <v>161</v>
      </c>
      <c r="AA989" s="1">
        <v>1.7311827956989247</v>
      </c>
      <c r="AB989" s="1">
        <v>91.253929087188226</v>
      </c>
      <c r="AC989" s="1">
        <v>160.07022567202921</v>
      </c>
      <c r="AD989" s="1">
        <v>1.7541187242369665</v>
      </c>
      <c r="AE989" t="s">
        <v>4817</v>
      </c>
      <c r="AF989" t="str">
        <f>IF(X989&lt;$AF$1,"Bajo","Alto")</f>
        <v>Alto</v>
      </c>
      <c r="AG989" t="str">
        <f>LEFT(AE989,1)</f>
        <v>C</v>
      </c>
      <c r="AH989" t="str">
        <f>K989</f>
        <v>M</v>
      </c>
      <c r="AI989" t="str">
        <f>LEFT(AF989,1)</f>
        <v>A</v>
      </c>
      <c r="AJ989" t="str">
        <f>LEFT(M989,1)</f>
        <v>M</v>
      </c>
      <c r="AK989" t="str">
        <f>_xlfn.CONCAT(AG989,AH989,AI989,AJ989)</f>
        <v>CMAM</v>
      </c>
    </row>
    <row r="990" spans="1:37" ht="15.75" hidden="1" customHeight="1" x14ac:dyDescent="0.2">
      <c r="A990" s="1">
        <v>2716606</v>
      </c>
      <c r="B990" s="1" t="s">
        <v>3409</v>
      </c>
      <c r="C990" s="1" t="s">
        <v>973</v>
      </c>
      <c r="D990" s="1" t="s">
        <v>3538</v>
      </c>
      <c r="E990" s="1" t="s">
        <v>265</v>
      </c>
      <c r="F990" s="1" t="s">
        <v>88</v>
      </c>
      <c r="G990" s="1" t="s">
        <v>3540</v>
      </c>
      <c r="H990" s="1">
        <v>2984</v>
      </c>
      <c r="I990" s="1" t="s">
        <v>3541</v>
      </c>
      <c r="J990" s="1">
        <v>2536</v>
      </c>
      <c r="K990" s="1" t="s">
        <v>49</v>
      </c>
      <c r="L990" s="1">
        <v>38</v>
      </c>
      <c r="M990" s="1" t="str">
        <f>IF(L990&lt;=45,"Joven","Mayor")</f>
        <v>Joven</v>
      </c>
      <c r="N990" s="1">
        <v>37</v>
      </c>
      <c r="O990" s="1" t="s">
        <v>50</v>
      </c>
      <c r="P990" s="1">
        <v>0.44900000000000001</v>
      </c>
      <c r="Q990" s="1">
        <v>90.971999999999994</v>
      </c>
      <c r="R990" s="1">
        <v>4.0521946</v>
      </c>
      <c r="S990" s="1">
        <v>-5.3307036999999999</v>
      </c>
      <c r="T990" s="1">
        <v>2.506113</v>
      </c>
      <c r="U990" s="1">
        <v>17.896000000000001</v>
      </c>
      <c r="V990" s="1">
        <v>91</v>
      </c>
      <c r="W990" s="1">
        <v>177</v>
      </c>
      <c r="X990" s="1">
        <v>1.945054945054945</v>
      </c>
      <c r="Y990" s="1">
        <v>94</v>
      </c>
      <c r="Z990" s="1">
        <v>177</v>
      </c>
      <c r="AA990" s="1">
        <v>1.8829787234042554</v>
      </c>
      <c r="AB990" s="1">
        <v>92.968085091893499</v>
      </c>
      <c r="AC990" s="1">
        <v>177.22424428201381</v>
      </c>
      <c r="AD990" s="1">
        <v>1.9062912192591472</v>
      </c>
      <c r="AE990" t="s">
        <v>4817</v>
      </c>
      <c r="AF990" t="str">
        <f>IF(X990&lt;$AF$1,"Bajo","Alto")</f>
        <v>Alto</v>
      </c>
      <c r="AG990" t="str">
        <f>LEFT(AE990,1)</f>
        <v>C</v>
      </c>
      <c r="AH990" t="str">
        <f>K990</f>
        <v>F</v>
      </c>
      <c r="AI990" t="str">
        <f>LEFT(AF990,1)</f>
        <v>A</v>
      </c>
      <c r="AJ990" t="str">
        <f>LEFT(M990,1)</f>
        <v>J</v>
      </c>
      <c r="AK990" t="str">
        <f>_xlfn.CONCAT(AG990,AH990,AI990,AJ990)</f>
        <v>CFAJ</v>
      </c>
    </row>
    <row r="991" spans="1:37" ht="15.75" hidden="1" customHeight="1" x14ac:dyDescent="0.2">
      <c r="A991" s="1">
        <v>10714202</v>
      </c>
      <c r="B991" s="1" t="s">
        <v>1067</v>
      </c>
      <c r="C991" s="1" t="s">
        <v>1068</v>
      </c>
      <c r="D991" s="1" t="s">
        <v>1138</v>
      </c>
      <c r="E991" s="1" t="s">
        <v>181</v>
      </c>
      <c r="F991" s="1" t="s">
        <v>37</v>
      </c>
      <c r="G991" s="1" t="s">
        <v>1139</v>
      </c>
      <c r="H991" s="1">
        <v>930</v>
      </c>
      <c r="I991" s="1" t="s">
        <v>65</v>
      </c>
      <c r="J991" s="1">
        <v>2</v>
      </c>
      <c r="K991" s="1" t="s">
        <v>35</v>
      </c>
      <c r="L991" s="1">
        <v>46</v>
      </c>
      <c r="M991" s="1" t="str">
        <f>IF(L991&lt;=45,"Joven","Mayor")</f>
        <v>Mayor</v>
      </c>
      <c r="N991" s="1">
        <v>50</v>
      </c>
      <c r="O991" s="1" t="s">
        <v>36</v>
      </c>
      <c r="P991" s="1">
        <v>0.35499999999999998</v>
      </c>
      <c r="Q991" s="1">
        <v>93.263000000000005</v>
      </c>
      <c r="R991" s="1">
        <v>0.35989290000000002</v>
      </c>
      <c r="S991" s="1">
        <v>6.7124343</v>
      </c>
      <c r="T991" s="1">
        <v>4.6678990000000002</v>
      </c>
      <c r="U991" s="1">
        <v>6.8840000000000003</v>
      </c>
      <c r="V991" s="1">
        <v>84</v>
      </c>
      <c r="W991" s="1">
        <v>159</v>
      </c>
      <c r="X991" s="1">
        <v>1.8928571428571428</v>
      </c>
      <c r="Y991" s="1">
        <v>85</v>
      </c>
      <c r="Z991" s="1">
        <v>159</v>
      </c>
      <c r="AA991" s="1">
        <v>1.8705882352941177</v>
      </c>
      <c r="AB991" s="1">
        <v>87.709009055482056</v>
      </c>
      <c r="AC991" s="1">
        <v>158.87951948886169</v>
      </c>
      <c r="AD991" s="1">
        <v>1.8114389981120336</v>
      </c>
      <c r="AE991" t="s">
        <v>4817</v>
      </c>
      <c r="AF991" t="str">
        <f>IF(X991&lt;$AF$1,"Bajo","Alto")</f>
        <v>Alto</v>
      </c>
      <c r="AG991" t="str">
        <f>LEFT(AE991,1)</f>
        <v>C</v>
      </c>
      <c r="AH991" t="str">
        <f>K991</f>
        <v>M</v>
      </c>
      <c r="AI991" t="str">
        <f>LEFT(AF991,1)</f>
        <v>A</v>
      </c>
      <c r="AJ991" t="str">
        <f>LEFT(M991,1)</f>
        <v>M</v>
      </c>
      <c r="AK991" t="str">
        <f>_xlfn.CONCAT(AG991,AH991,AI991,AJ991)</f>
        <v>CMAM</v>
      </c>
    </row>
    <row r="992" spans="1:37" ht="15.75" hidden="1" customHeight="1" x14ac:dyDescent="0.2">
      <c r="A992" s="1">
        <v>315202</v>
      </c>
      <c r="B992" s="1" t="s">
        <v>4122</v>
      </c>
      <c r="C992" s="1" t="s">
        <v>628</v>
      </c>
      <c r="D992" s="1" t="s">
        <v>4227</v>
      </c>
      <c r="E992" s="1" t="s">
        <v>685</v>
      </c>
      <c r="F992" s="1" t="s">
        <v>37</v>
      </c>
      <c r="G992" s="1" t="s">
        <v>4228</v>
      </c>
      <c r="H992" s="1">
        <v>997</v>
      </c>
      <c r="I992" s="1" t="s">
        <v>85</v>
      </c>
      <c r="J992" s="1">
        <v>12</v>
      </c>
      <c r="K992" s="1" t="s">
        <v>35</v>
      </c>
      <c r="L992" s="1">
        <v>33</v>
      </c>
      <c r="M992" s="1" t="str">
        <f>IF(L992&lt;=45,"Joven","Mayor")</f>
        <v>Joven</v>
      </c>
      <c r="N992" s="1">
        <v>37</v>
      </c>
      <c r="O992" s="1" t="s">
        <v>36</v>
      </c>
      <c r="P992" s="1">
        <v>0.23699999999999999</v>
      </c>
      <c r="Q992" s="1">
        <v>66.602999999999994</v>
      </c>
      <c r="R992" s="1">
        <v>-13.601876000000001</v>
      </c>
      <c r="S992" s="1">
        <v>-1.4159588000000001</v>
      </c>
      <c r="T992" s="1">
        <v>4.8213366999999998</v>
      </c>
      <c r="U992" s="1">
        <v>19.494</v>
      </c>
      <c r="V992" s="1">
        <v>83</v>
      </c>
      <c r="W992" s="1">
        <v>136</v>
      </c>
      <c r="X992" s="1">
        <v>1.6385542168674698</v>
      </c>
      <c r="Y992" s="1">
        <v>83</v>
      </c>
      <c r="Z992" s="1">
        <v>136</v>
      </c>
      <c r="AA992" s="1">
        <v>1.6385542168674698</v>
      </c>
      <c r="AB992" s="1">
        <v>85.311831939162175</v>
      </c>
      <c r="AC992" s="1">
        <v>135.09853689303421</v>
      </c>
      <c r="AD992" s="1">
        <v>1.5835849942757774</v>
      </c>
      <c r="AE992" t="s">
        <v>4815</v>
      </c>
      <c r="AF992" t="str">
        <f>IF(X992&lt;$AF$1,"Bajo","Alto")</f>
        <v>Bajo</v>
      </c>
      <c r="AG992" t="str">
        <f>LEFT(AE992,1)</f>
        <v>I</v>
      </c>
      <c r="AH992" t="str">
        <f>K992</f>
        <v>M</v>
      </c>
      <c r="AI992" t="str">
        <f>LEFT(AF992,1)</f>
        <v>B</v>
      </c>
      <c r="AJ992" t="str">
        <f>LEFT(M992,1)</f>
        <v>J</v>
      </c>
      <c r="AK992" t="str">
        <f>_xlfn.CONCAT(AG992,AH992,AI992,AJ992)</f>
        <v>IMBJ</v>
      </c>
    </row>
    <row r="993" spans="1:37" ht="15.75" hidden="1" customHeight="1" x14ac:dyDescent="0.2">
      <c r="A993" s="1">
        <v>214205</v>
      </c>
      <c r="B993" s="1" t="s">
        <v>2816</v>
      </c>
      <c r="C993" s="1" t="s">
        <v>2817</v>
      </c>
      <c r="D993" s="1" t="s">
        <v>2871</v>
      </c>
      <c r="E993" s="1" t="s">
        <v>2872</v>
      </c>
      <c r="F993" s="1" t="s">
        <v>40</v>
      </c>
      <c r="G993" s="1" t="s">
        <v>2876</v>
      </c>
      <c r="H993" s="1">
        <v>2260</v>
      </c>
      <c r="I993" s="1" t="s">
        <v>91</v>
      </c>
      <c r="J993" s="1">
        <v>6</v>
      </c>
      <c r="K993" s="1" t="s">
        <v>35</v>
      </c>
      <c r="L993" s="1">
        <v>38</v>
      </c>
      <c r="M993" s="1" t="str">
        <f>IF(L993&lt;=45,"Joven","Mayor")</f>
        <v>Joven</v>
      </c>
      <c r="N993" s="1">
        <v>39</v>
      </c>
      <c r="O993" s="1" t="s">
        <v>36</v>
      </c>
      <c r="P993" s="1">
        <v>1.3560000000000001</v>
      </c>
      <c r="Q993" s="1">
        <v>90.62</v>
      </c>
      <c r="R993" s="1">
        <v>0.20388539999999999</v>
      </c>
      <c r="S993" s="1">
        <v>11.612285999999999</v>
      </c>
      <c r="T993" s="1">
        <v>-3.2594585</v>
      </c>
      <c r="U993" s="1">
        <v>5.5380000000000003</v>
      </c>
      <c r="V993" s="1">
        <v>105</v>
      </c>
      <c r="W993" s="1">
        <v>174</v>
      </c>
      <c r="X993" s="1">
        <v>1.6571428571428573</v>
      </c>
      <c r="Y993" s="1">
        <v>106</v>
      </c>
      <c r="Z993" s="1">
        <v>174</v>
      </c>
      <c r="AA993" s="1">
        <v>1.6415094339622642</v>
      </c>
      <c r="AB993" s="1">
        <v>107.559306245679</v>
      </c>
      <c r="AC993" s="1">
        <v>173.94595026437449</v>
      </c>
      <c r="AD993" s="1">
        <v>1.6172096709796551</v>
      </c>
      <c r="AE993" t="s">
        <v>4817</v>
      </c>
      <c r="AF993" t="str">
        <f>IF(X993&lt;$AF$1,"Bajo","Alto")</f>
        <v>Bajo</v>
      </c>
      <c r="AG993" t="str">
        <f>LEFT(AE993,1)</f>
        <v>C</v>
      </c>
      <c r="AH993" t="str">
        <f>K993</f>
        <v>M</v>
      </c>
      <c r="AI993" t="str">
        <f>LEFT(AF993,1)</f>
        <v>B</v>
      </c>
      <c r="AJ993" t="str">
        <f>LEFT(M993,1)</f>
        <v>J</v>
      </c>
      <c r="AK993" t="str">
        <f>_xlfn.CONCAT(AG993,AH993,AI993,AJ993)</f>
        <v>CMBJ</v>
      </c>
    </row>
    <row r="994" spans="1:37" ht="15.75" hidden="1" customHeight="1" x14ac:dyDescent="0.2">
      <c r="A994" s="1">
        <v>1011602</v>
      </c>
      <c r="B994" s="1" t="s">
        <v>29</v>
      </c>
      <c r="C994" s="1" t="s">
        <v>30</v>
      </c>
      <c r="D994" s="1" t="s">
        <v>243</v>
      </c>
      <c r="E994" s="1" t="s">
        <v>244</v>
      </c>
      <c r="F994" s="1" t="s">
        <v>37</v>
      </c>
      <c r="G994" s="1" t="s">
        <v>246</v>
      </c>
      <c r="H994" s="1">
        <v>5893</v>
      </c>
      <c r="I994" s="1" t="s">
        <v>247</v>
      </c>
      <c r="J994" s="1">
        <v>2830</v>
      </c>
      <c r="K994" s="1" t="s">
        <v>35</v>
      </c>
      <c r="L994" s="1">
        <v>35</v>
      </c>
      <c r="M994" s="1" t="str">
        <f>IF(L994&lt;=45,"Joven","Mayor")</f>
        <v>Joven</v>
      </c>
      <c r="N994" s="1">
        <v>48</v>
      </c>
      <c r="O994" s="1" t="s">
        <v>36</v>
      </c>
      <c r="P994" s="1">
        <v>0.16600000000000001</v>
      </c>
      <c r="Q994" s="1">
        <v>91.498999999999995</v>
      </c>
      <c r="R994" s="1">
        <v>-2.7434402000000002</v>
      </c>
      <c r="S994" s="1">
        <v>7.2364280000000001</v>
      </c>
      <c r="T994" s="1">
        <v>-0.41403538000000001</v>
      </c>
      <c r="U994" s="1">
        <v>1.881</v>
      </c>
      <c r="V994" s="1">
        <v>87</v>
      </c>
      <c r="W994" s="1">
        <v>166</v>
      </c>
      <c r="X994" s="1">
        <v>1.9080459770114941</v>
      </c>
      <c r="Y994" s="1">
        <v>89</v>
      </c>
      <c r="Z994" s="1">
        <v>166</v>
      </c>
      <c r="AA994" s="1">
        <v>1.8651685393258426</v>
      </c>
      <c r="AB994" s="1">
        <v>89.293951184846492</v>
      </c>
      <c r="AC994" s="1">
        <v>165.98843961325159</v>
      </c>
      <c r="AD994" s="1">
        <v>1.8588990341533955</v>
      </c>
      <c r="AE994" t="s">
        <v>4817</v>
      </c>
      <c r="AF994" t="str">
        <f>IF(X994&lt;$AF$1,"Bajo","Alto")</f>
        <v>Alto</v>
      </c>
      <c r="AG994" t="str">
        <f>LEFT(AE994,1)</f>
        <v>C</v>
      </c>
      <c r="AH994" t="str">
        <f>K994</f>
        <v>M</v>
      </c>
      <c r="AI994" t="str">
        <f>LEFT(AF994,1)</f>
        <v>A</v>
      </c>
      <c r="AJ994" t="str">
        <f>LEFT(M994,1)</f>
        <v>J</v>
      </c>
      <c r="AK994" t="str">
        <f>_xlfn.CONCAT(AG994,AH994,AI994,AJ994)</f>
        <v>CMAJ</v>
      </c>
    </row>
    <row r="995" spans="1:37" ht="15.75" hidden="1" customHeight="1" x14ac:dyDescent="0.2">
      <c r="A995" s="1">
        <v>10732801</v>
      </c>
      <c r="B995" s="1" t="s">
        <v>1067</v>
      </c>
      <c r="C995" s="1" t="s">
        <v>1068</v>
      </c>
      <c r="D995" s="1" t="s">
        <v>1419</v>
      </c>
      <c r="E995" s="1" t="s">
        <v>1420</v>
      </c>
      <c r="F995" s="1" t="s">
        <v>32</v>
      </c>
      <c r="G995" s="1" t="s">
        <v>1421</v>
      </c>
      <c r="H995" s="1">
        <v>250</v>
      </c>
      <c r="I995" s="1" t="s">
        <v>42</v>
      </c>
      <c r="J995" s="1">
        <v>15</v>
      </c>
      <c r="K995" s="1" t="s">
        <v>49</v>
      </c>
      <c r="L995" s="1">
        <v>43</v>
      </c>
      <c r="M995" s="1" t="str">
        <f>IF(L995&lt;=45,"Joven","Mayor")</f>
        <v>Joven</v>
      </c>
      <c r="N995" s="1">
        <v>45</v>
      </c>
      <c r="O995" s="1" t="s">
        <v>50</v>
      </c>
      <c r="P995" s="1">
        <v>0.28100000000000003</v>
      </c>
      <c r="Q995" s="1">
        <v>91.965000000000003</v>
      </c>
      <c r="R995" s="1">
        <v>0.44048654999999998</v>
      </c>
      <c r="S995" s="1">
        <v>9.7096630000000008</v>
      </c>
      <c r="T995" s="1">
        <v>2.9819124000000001</v>
      </c>
      <c r="U995" s="1">
        <v>46.701000000000001</v>
      </c>
      <c r="V995" s="1">
        <v>97</v>
      </c>
      <c r="W995" s="1">
        <v>161</v>
      </c>
      <c r="X995" s="1">
        <v>1.6597938144329898</v>
      </c>
      <c r="Y995" s="1">
        <v>99</v>
      </c>
      <c r="Z995" s="1">
        <v>161</v>
      </c>
      <c r="AA995" s="1">
        <v>1.6262626262626263</v>
      </c>
      <c r="AB995" s="1">
        <v>99.261614775931093</v>
      </c>
      <c r="AC995" s="1">
        <v>160.93806919483859</v>
      </c>
      <c r="AD995" s="1">
        <v>1.6213525193815683</v>
      </c>
      <c r="AE995" t="s">
        <v>4817</v>
      </c>
      <c r="AF995" t="str">
        <f>IF(X995&lt;$AF$1,"Bajo","Alto")</f>
        <v>Bajo</v>
      </c>
      <c r="AG995" t="str">
        <f>LEFT(AE995,1)</f>
        <v>C</v>
      </c>
      <c r="AH995" t="str">
        <f>K995</f>
        <v>F</v>
      </c>
      <c r="AI995" t="str">
        <f>LEFT(AF995,1)</f>
        <v>B</v>
      </c>
      <c r="AJ995" t="str">
        <f>LEFT(M995,1)</f>
        <v>J</v>
      </c>
      <c r="AK995" t="str">
        <f>_xlfn.CONCAT(AG995,AH995,AI995,AJ995)</f>
        <v>CFBJ</v>
      </c>
    </row>
    <row r="996" spans="1:37" ht="15.75" hidden="1" customHeight="1" x14ac:dyDescent="0.2">
      <c r="A996" s="1">
        <v>10912704</v>
      </c>
      <c r="B996" s="1" t="s">
        <v>719</v>
      </c>
      <c r="C996" s="1" t="s">
        <v>98</v>
      </c>
      <c r="D996" s="1" t="s">
        <v>1575</v>
      </c>
      <c r="E996" s="1" t="s">
        <v>153</v>
      </c>
      <c r="F996" s="1" t="s">
        <v>61</v>
      </c>
      <c r="G996" s="1" t="s">
        <v>1578</v>
      </c>
      <c r="H996" s="1">
        <v>1281</v>
      </c>
      <c r="I996" s="1" t="s">
        <v>134</v>
      </c>
      <c r="J996" s="1">
        <v>8</v>
      </c>
      <c r="K996" s="1" t="s">
        <v>35</v>
      </c>
      <c r="L996" s="1">
        <v>52</v>
      </c>
      <c r="M996" s="1" t="str">
        <f>IF(L996&lt;=45,"Joven","Mayor")</f>
        <v>Mayor</v>
      </c>
      <c r="N996" s="1">
        <v>47</v>
      </c>
      <c r="O996" s="1" t="s">
        <v>36</v>
      </c>
      <c r="P996" s="1">
        <v>0.52200000000000002</v>
      </c>
      <c r="Q996" s="1">
        <v>91.92</v>
      </c>
      <c r="R996" s="1">
        <v>2.8957646000000001</v>
      </c>
      <c r="S996" s="1">
        <v>5.5749288000000004</v>
      </c>
      <c r="T996" s="1">
        <v>-4.1735306000000003</v>
      </c>
      <c r="U996" s="1">
        <v>7.9729999999999999</v>
      </c>
      <c r="V996" s="1">
        <v>102</v>
      </c>
      <c r="W996" s="1">
        <v>193</v>
      </c>
      <c r="X996" s="1">
        <v>1.892156862745098</v>
      </c>
      <c r="Y996" s="1">
        <v>105</v>
      </c>
      <c r="Z996" s="1">
        <v>193</v>
      </c>
      <c r="AA996" s="1">
        <v>1.838095238095238</v>
      </c>
      <c r="AB996" s="1">
        <v>105.8050542360243</v>
      </c>
      <c r="AC996" s="1">
        <v>193.14320067887681</v>
      </c>
      <c r="AD996" s="1">
        <v>1.825462895638456</v>
      </c>
      <c r="AE996" t="s">
        <v>4817</v>
      </c>
      <c r="AF996" t="str">
        <f>IF(X996&lt;$AF$1,"Bajo","Alto")</f>
        <v>Alto</v>
      </c>
      <c r="AG996" t="str">
        <f>LEFT(AE996,1)</f>
        <v>C</v>
      </c>
      <c r="AH996" t="str">
        <f>K996</f>
        <v>M</v>
      </c>
      <c r="AI996" t="str">
        <f>LEFT(AF996,1)</f>
        <v>A</v>
      </c>
      <c r="AJ996" t="str">
        <f>LEFT(M996,1)</f>
        <v>M</v>
      </c>
      <c r="AK996" t="str">
        <f>_xlfn.CONCAT(AG996,AH996,AI996,AJ996)</f>
        <v>CMAM</v>
      </c>
    </row>
    <row r="997" spans="1:37" ht="15.75" hidden="1" customHeight="1" x14ac:dyDescent="0.2">
      <c r="A997" s="1">
        <v>254302</v>
      </c>
      <c r="B997" s="1" t="s">
        <v>3169</v>
      </c>
      <c r="C997" s="1" t="s">
        <v>821</v>
      </c>
      <c r="D997" s="1" t="s">
        <v>3252</v>
      </c>
      <c r="E997" s="1" t="s">
        <v>665</v>
      </c>
      <c r="F997" s="1" t="s">
        <v>37</v>
      </c>
      <c r="G997" s="1" t="s">
        <v>3254</v>
      </c>
      <c r="H997" s="1">
        <v>2587</v>
      </c>
      <c r="I997" s="1" t="s">
        <v>3255</v>
      </c>
      <c r="J997" s="1">
        <v>4526</v>
      </c>
      <c r="K997" s="1" t="s">
        <v>35</v>
      </c>
      <c r="L997" s="1">
        <v>49</v>
      </c>
      <c r="M997" s="1" t="str">
        <f>IF(L997&lt;=45,"Joven","Mayor")</f>
        <v>Mayor</v>
      </c>
      <c r="N997" s="1">
        <v>47</v>
      </c>
      <c r="O997" s="1" t="s">
        <v>36</v>
      </c>
      <c r="P997" s="1">
        <v>0.56999999999999995</v>
      </c>
      <c r="Q997" s="1">
        <v>89.462000000000003</v>
      </c>
      <c r="R997" s="1">
        <v>-6.365354</v>
      </c>
      <c r="S997" s="1">
        <v>-1.3527889</v>
      </c>
      <c r="T997" s="1">
        <v>2.2390083999999999</v>
      </c>
      <c r="U997" s="1">
        <v>14.433999999999999</v>
      </c>
      <c r="V997" s="1">
        <v>108</v>
      </c>
      <c r="W997" s="1">
        <v>178</v>
      </c>
      <c r="X997" s="1">
        <v>1.6481481481481481</v>
      </c>
      <c r="Y997" s="1">
        <v>109</v>
      </c>
      <c r="Z997" s="1">
        <v>178</v>
      </c>
      <c r="AA997" s="1">
        <v>1.6330275229357798</v>
      </c>
      <c r="AB997" s="1">
        <v>109.5193403961653</v>
      </c>
      <c r="AC997" s="1">
        <v>177.5906289372638</v>
      </c>
      <c r="AD997" s="1">
        <v>1.6215458228187241</v>
      </c>
      <c r="AE997" t="s">
        <v>4815</v>
      </c>
      <c r="AF997" t="str">
        <f>IF(X997&lt;$AF$1,"Bajo","Alto")</f>
        <v>Bajo</v>
      </c>
      <c r="AG997" t="str">
        <f>LEFT(AE997,1)</f>
        <v>I</v>
      </c>
      <c r="AH997" t="str">
        <f>K997</f>
        <v>M</v>
      </c>
      <c r="AI997" t="str">
        <f>LEFT(AF997,1)</f>
        <v>B</v>
      </c>
      <c r="AJ997" t="str">
        <f>LEFT(M997,1)</f>
        <v>M</v>
      </c>
      <c r="AK997" t="str">
        <f>_xlfn.CONCAT(AG997,AH997,AI997,AJ997)</f>
        <v>IMBM</v>
      </c>
    </row>
    <row r="998" spans="1:37" ht="15.75" hidden="1" customHeight="1" x14ac:dyDescent="0.2">
      <c r="A998" s="1">
        <v>259702</v>
      </c>
      <c r="B998" s="1" t="s">
        <v>3169</v>
      </c>
      <c r="C998" s="1" t="s">
        <v>821</v>
      </c>
      <c r="D998" s="1" t="s">
        <v>3356</v>
      </c>
      <c r="E998" s="1" t="s">
        <v>781</v>
      </c>
      <c r="F998" s="1" t="s">
        <v>37</v>
      </c>
      <c r="G998" s="1" t="s">
        <v>3357</v>
      </c>
      <c r="H998" s="1">
        <v>1566</v>
      </c>
      <c r="I998" s="1" t="s">
        <v>65</v>
      </c>
      <c r="J998" s="1">
        <v>2</v>
      </c>
      <c r="K998" s="1" t="s">
        <v>35</v>
      </c>
      <c r="L998" s="1">
        <v>51</v>
      </c>
      <c r="M998" s="1" t="str">
        <f>IF(L998&lt;=45,"Joven","Mayor")</f>
        <v>Mayor</v>
      </c>
      <c r="N998" s="1">
        <v>57</v>
      </c>
      <c r="O998" s="1" t="s">
        <v>36</v>
      </c>
      <c r="P998" s="1">
        <v>0.35899999999999999</v>
      </c>
      <c r="Q998" s="1">
        <v>92.712999999999994</v>
      </c>
      <c r="R998" s="1">
        <v>-2.7369473000000002</v>
      </c>
      <c r="S998" s="1">
        <v>3.5928420000000001</v>
      </c>
      <c r="T998" s="1">
        <v>2.2555589999999999</v>
      </c>
      <c r="U998" s="1">
        <v>39.988</v>
      </c>
      <c r="V998" s="1">
        <v>109</v>
      </c>
      <c r="W998" s="1">
        <v>206</v>
      </c>
      <c r="X998" s="1">
        <v>1.8899082568807339</v>
      </c>
      <c r="Y998" s="1">
        <v>116</v>
      </c>
      <c r="Z998" s="1">
        <v>206</v>
      </c>
      <c r="AA998" s="1">
        <v>1.7758620689655173</v>
      </c>
      <c r="AB998" s="1">
        <v>114.09971467604031</v>
      </c>
      <c r="AC998" s="1">
        <v>206.0765364040476</v>
      </c>
      <c r="AD998" s="1">
        <v>1.8061091299759526</v>
      </c>
      <c r="AE998" t="s">
        <v>4817</v>
      </c>
      <c r="AF998" t="str">
        <f>IF(X998&lt;$AF$1,"Bajo","Alto")</f>
        <v>Alto</v>
      </c>
      <c r="AG998" t="str">
        <f>LEFT(AE998,1)</f>
        <v>C</v>
      </c>
      <c r="AH998" t="str">
        <f>K998</f>
        <v>M</v>
      </c>
      <c r="AI998" t="str">
        <f>LEFT(AF998,1)</f>
        <v>A</v>
      </c>
      <c r="AJ998" t="str">
        <f>LEFT(M998,1)</f>
        <v>M</v>
      </c>
      <c r="AK998" t="str">
        <f>_xlfn.CONCAT(AG998,AH998,AI998,AJ998)</f>
        <v>CMAM</v>
      </c>
    </row>
    <row r="999" spans="1:37" ht="15.75" hidden="1" customHeight="1" x14ac:dyDescent="0.2">
      <c r="A999" s="1">
        <v>441201</v>
      </c>
      <c r="B999" s="1" t="s">
        <v>4314</v>
      </c>
      <c r="C999" s="1" t="s">
        <v>995</v>
      </c>
      <c r="D999" s="1" t="s">
        <v>4346</v>
      </c>
      <c r="E999" s="1" t="s">
        <v>54</v>
      </c>
      <c r="F999" s="1" t="s">
        <v>32</v>
      </c>
      <c r="G999" s="1" t="s">
        <v>4347</v>
      </c>
      <c r="H999" s="1">
        <v>1047</v>
      </c>
      <c r="I999" s="1" t="s">
        <v>100</v>
      </c>
      <c r="J999" s="1">
        <v>1</v>
      </c>
      <c r="K999" s="1" t="s">
        <v>35</v>
      </c>
      <c r="L999" s="1">
        <v>49</v>
      </c>
      <c r="M999" s="1" t="str">
        <f>IF(L999&lt;=45,"Joven","Mayor")</f>
        <v>Mayor</v>
      </c>
      <c r="N999" s="1">
        <v>66</v>
      </c>
      <c r="O999" s="1" t="s">
        <v>36</v>
      </c>
      <c r="P999" s="1">
        <v>0.35499999999999998</v>
      </c>
      <c r="Q999" s="1">
        <v>94.277000000000001</v>
      </c>
      <c r="R999" s="1">
        <v>1.3578228000000001</v>
      </c>
      <c r="S999" s="1">
        <v>-0.20488518</v>
      </c>
      <c r="T999" s="1">
        <v>-0.96069939999999998</v>
      </c>
      <c r="U999" s="1">
        <v>1.081</v>
      </c>
      <c r="V999" s="1">
        <v>91</v>
      </c>
      <c r="W999" s="1">
        <v>149</v>
      </c>
      <c r="X999" s="1">
        <v>1.6373626373626373</v>
      </c>
      <c r="Y999" s="1">
        <v>92</v>
      </c>
      <c r="Z999" s="1">
        <v>149</v>
      </c>
      <c r="AA999" s="1">
        <v>1.6195652173913044</v>
      </c>
      <c r="AB999" s="1">
        <v>92.657730930050548</v>
      </c>
      <c r="AC999" s="1">
        <v>148.99582179866411</v>
      </c>
      <c r="AD999" s="1">
        <v>1.6080236403710824</v>
      </c>
      <c r="AE999" t="s">
        <v>4817</v>
      </c>
      <c r="AF999" t="str">
        <f>IF(X999&lt;$AF$1,"Bajo","Alto")</f>
        <v>Bajo</v>
      </c>
      <c r="AG999" t="str">
        <f>LEFT(AE999,1)</f>
        <v>C</v>
      </c>
      <c r="AH999" t="str">
        <f>K999</f>
        <v>M</v>
      </c>
      <c r="AI999" t="str">
        <f>LEFT(AF999,1)</f>
        <v>B</v>
      </c>
      <c r="AJ999" t="str">
        <f>LEFT(M999,1)</f>
        <v>M</v>
      </c>
      <c r="AK999" t="str">
        <f>_xlfn.CONCAT(AG999,AH999,AI999,AJ999)</f>
        <v>CMBM</v>
      </c>
    </row>
    <row r="1000" spans="1:37" ht="15.75" hidden="1" customHeight="1" x14ac:dyDescent="0.2">
      <c r="A1000" s="1">
        <v>2712102</v>
      </c>
      <c r="B1000" s="1" t="s">
        <v>3409</v>
      </c>
      <c r="C1000" s="1" t="s">
        <v>973</v>
      </c>
      <c r="D1000" s="1" t="s">
        <v>3464</v>
      </c>
      <c r="E1000" s="1" t="s">
        <v>136</v>
      </c>
      <c r="F1000" s="1" t="s">
        <v>37</v>
      </c>
      <c r="G1000" s="1" t="s">
        <v>3466</v>
      </c>
      <c r="H1000" s="1">
        <v>5884</v>
      </c>
      <c r="I1000" s="1" t="s">
        <v>643</v>
      </c>
      <c r="J1000" s="1">
        <v>3448</v>
      </c>
      <c r="K1000" s="1" t="s">
        <v>35</v>
      </c>
      <c r="L1000" s="1">
        <v>50</v>
      </c>
      <c r="M1000" s="1" t="str">
        <f>IF(L1000&lt;=45,"Joven","Mayor")</f>
        <v>Mayor</v>
      </c>
      <c r="N1000" s="1">
        <v>48</v>
      </c>
      <c r="O1000" s="1" t="s">
        <v>36</v>
      </c>
      <c r="P1000" s="1">
        <v>0.32900000000000001</v>
      </c>
      <c r="Q1000" s="1">
        <v>32.496000000000002</v>
      </c>
      <c r="R1000" s="1">
        <v>18.263442999999999</v>
      </c>
      <c r="S1000" s="1">
        <v>-1.0938426999999999</v>
      </c>
      <c r="T1000" s="1">
        <v>-5.599361</v>
      </c>
      <c r="U1000" s="1">
        <v>15.061999999999999</v>
      </c>
      <c r="V1000" s="1">
        <v>99</v>
      </c>
      <c r="W1000" s="1">
        <v>187</v>
      </c>
      <c r="X1000" s="1">
        <v>1.8888888888888888</v>
      </c>
      <c r="Y1000" s="1">
        <v>103</v>
      </c>
      <c r="Z1000" s="1">
        <v>187</v>
      </c>
      <c r="AA1000" s="1">
        <v>1.8155339805825244</v>
      </c>
      <c r="AB1000" s="1">
        <v>102.7232077486283</v>
      </c>
      <c r="AC1000" s="1">
        <v>185.91258369802929</v>
      </c>
      <c r="AD1000" s="1">
        <v>1.809840130313803</v>
      </c>
      <c r="AE1000" t="s">
        <v>4817</v>
      </c>
      <c r="AF1000" t="str">
        <f>IF(X1000&lt;$AF$1,"Bajo","Alto")</f>
        <v>Alto</v>
      </c>
      <c r="AG1000" t="str">
        <f>LEFT(AE1000,1)</f>
        <v>C</v>
      </c>
      <c r="AH1000" t="str">
        <f>K1000</f>
        <v>M</v>
      </c>
      <c r="AI1000" t="str">
        <f>LEFT(AF1000,1)</f>
        <v>A</v>
      </c>
      <c r="AJ1000" t="str">
        <f>LEFT(M1000,1)</f>
        <v>M</v>
      </c>
      <c r="AK1000" t="str">
        <f>_xlfn.CONCAT(AG1000,AH1000,AI1000,AJ1000)</f>
        <v>CMAM</v>
      </c>
    </row>
    <row r="1001" spans="1:37" ht="15.75" hidden="1" customHeight="1" x14ac:dyDescent="0.2">
      <c r="A1001" s="1">
        <v>1013401</v>
      </c>
      <c r="B1001" s="1" t="s">
        <v>29</v>
      </c>
      <c r="C1001" s="1" t="s">
        <v>30</v>
      </c>
      <c r="D1001" s="1" t="s">
        <v>633</v>
      </c>
      <c r="E1001" s="1" t="s">
        <v>634</v>
      </c>
      <c r="F1001" s="1" t="s">
        <v>32</v>
      </c>
      <c r="G1001" s="1" t="s">
        <v>635</v>
      </c>
      <c r="H1001" s="1">
        <v>2199</v>
      </c>
      <c r="I1001" s="1" t="s">
        <v>636</v>
      </c>
      <c r="J1001" s="1">
        <v>2585</v>
      </c>
      <c r="K1001" s="1" t="s">
        <v>35</v>
      </c>
      <c r="L1001" s="1">
        <v>39</v>
      </c>
      <c r="M1001" s="1" t="str">
        <f>IF(L1001&lt;=45,"Joven","Mayor")</f>
        <v>Joven</v>
      </c>
      <c r="N1001" s="1">
        <v>22</v>
      </c>
      <c r="O1001" s="1" t="s">
        <v>36</v>
      </c>
      <c r="P1001" s="1">
        <v>0.45700000000000002</v>
      </c>
      <c r="Q1001" s="1">
        <v>93.899000000000001</v>
      </c>
      <c r="R1001" s="1">
        <v>-1.5570807</v>
      </c>
      <c r="S1001" s="1">
        <v>-1.6519664999999999</v>
      </c>
      <c r="T1001" s="1">
        <v>-4.6365459999999997E-2</v>
      </c>
      <c r="U1001" s="1">
        <v>1.931</v>
      </c>
      <c r="V1001" s="1">
        <v>119</v>
      </c>
      <c r="W1001" s="1">
        <v>227</v>
      </c>
      <c r="X1001" s="1">
        <v>1.9075630252100841</v>
      </c>
      <c r="Y1001" s="1">
        <v>126</v>
      </c>
      <c r="Z1001" s="1">
        <v>227</v>
      </c>
      <c r="AA1001" s="1">
        <v>1.8015873015873016</v>
      </c>
      <c r="AB1001" s="1">
        <v>125.948977263841</v>
      </c>
      <c r="AC1001" s="1">
        <v>227.0080179726574</v>
      </c>
      <c r="AD1001" s="1">
        <v>1.8023807966071486</v>
      </c>
      <c r="AE1001" t="s">
        <v>4817</v>
      </c>
      <c r="AF1001" t="str">
        <f>IF(X1001&lt;$AF$1,"Bajo","Alto")</f>
        <v>Alto</v>
      </c>
      <c r="AG1001" t="str">
        <f>LEFT(AE1001,1)</f>
        <v>C</v>
      </c>
      <c r="AH1001" t="str">
        <f>K1001</f>
        <v>M</v>
      </c>
      <c r="AI1001" t="str">
        <f>LEFT(AF1001,1)</f>
        <v>A</v>
      </c>
      <c r="AJ1001" t="str">
        <f>LEFT(M1001,1)</f>
        <v>J</v>
      </c>
      <c r="AK1001" t="str">
        <f>_xlfn.CONCAT(AG1001,AH1001,AI1001,AJ1001)</f>
        <v>CMAJ</v>
      </c>
    </row>
    <row r="1002" spans="1:37" ht="15.75" hidden="1" customHeight="1" x14ac:dyDescent="0.2">
      <c r="A1002" s="1">
        <v>1093701</v>
      </c>
      <c r="B1002" s="1" t="s">
        <v>719</v>
      </c>
      <c r="C1002" s="1" t="s">
        <v>98</v>
      </c>
      <c r="D1002" s="1" t="s">
        <v>1602</v>
      </c>
      <c r="E1002" s="1" t="s">
        <v>647</v>
      </c>
      <c r="F1002" s="1" t="s">
        <v>32</v>
      </c>
      <c r="G1002" s="1" t="s">
        <v>1603</v>
      </c>
      <c r="H1002" s="1">
        <v>2428</v>
      </c>
      <c r="I1002" s="1" t="s">
        <v>100</v>
      </c>
      <c r="J1002" s="1">
        <v>1</v>
      </c>
      <c r="K1002" s="1" t="s">
        <v>49</v>
      </c>
      <c r="L1002" s="1">
        <v>52</v>
      </c>
      <c r="M1002" s="1" t="str">
        <f>IF(L1002&lt;=45,"Joven","Mayor")</f>
        <v>Mayor</v>
      </c>
      <c r="N1002" s="1">
        <v>61</v>
      </c>
      <c r="O1002" s="1" t="s">
        <v>50</v>
      </c>
      <c r="P1002" s="1">
        <v>8.8999999999999996E-2</v>
      </c>
      <c r="Q1002" s="1">
        <v>78.183000000000007</v>
      </c>
      <c r="R1002" s="1">
        <v>11.210366</v>
      </c>
      <c r="S1002" s="1">
        <v>-0.96026736000000001</v>
      </c>
      <c r="T1002" s="1">
        <v>-15.137095</v>
      </c>
      <c r="U1002" s="1">
        <v>70.960999999999999</v>
      </c>
      <c r="V1002" s="1">
        <v>68</v>
      </c>
      <c r="W1002" s="1">
        <v>129</v>
      </c>
      <c r="X1002" s="1">
        <v>1.8970588235294117</v>
      </c>
      <c r="Y1002" s="1">
        <v>78</v>
      </c>
      <c r="Z1002" s="1">
        <v>129</v>
      </c>
      <c r="AA1002" s="1">
        <v>1.6538461538461537</v>
      </c>
      <c r="AB1002" s="1">
        <v>76.085837563023688</v>
      </c>
      <c r="AC1002" s="1">
        <v>127.9188702359793</v>
      </c>
      <c r="AD1002" s="1">
        <v>1.6812441622926355</v>
      </c>
      <c r="AE1002" t="s">
        <v>4817</v>
      </c>
      <c r="AF1002" t="str">
        <f>IF(X1002&lt;$AF$1,"Bajo","Alto")</f>
        <v>Alto</v>
      </c>
      <c r="AG1002" t="str">
        <f>LEFT(AE1002,1)</f>
        <v>C</v>
      </c>
      <c r="AH1002" t="str">
        <f>K1002</f>
        <v>F</v>
      </c>
      <c r="AI1002" t="str">
        <f>LEFT(AF1002,1)</f>
        <v>A</v>
      </c>
      <c r="AJ1002" t="str">
        <f>LEFT(M1002,1)</f>
        <v>M</v>
      </c>
      <c r="AK1002" t="str">
        <f>_xlfn.CONCAT(AG1002,AH1002,AI1002,AJ1002)</f>
        <v>CFAM</v>
      </c>
    </row>
    <row r="1003" spans="1:37" ht="15.75" hidden="1" customHeight="1" x14ac:dyDescent="0.2">
      <c r="A1003" s="1">
        <v>252202</v>
      </c>
      <c r="B1003" s="1" t="s">
        <v>3169</v>
      </c>
      <c r="C1003" s="1" t="s">
        <v>821</v>
      </c>
      <c r="D1003" s="1" t="s">
        <v>3208</v>
      </c>
      <c r="E1003" s="1" t="s">
        <v>418</v>
      </c>
      <c r="F1003" s="1" t="s">
        <v>37</v>
      </c>
      <c r="G1003" s="1" t="s">
        <v>3210</v>
      </c>
      <c r="H1003" s="1">
        <v>2469</v>
      </c>
      <c r="I1003" s="1" t="s">
        <v>48</v>
      </c>
      <c r="J1003" s="1">
        <v>4</v>
      </c>
      <c r="K1003" s="1" t="s">
        <v>35</v>
      </c>
      <c r="L1003" s="1">
        <v>40</v>
      </c>
      <c r="M1003" s="1" t="str">
        <f>IF(L1003&lt;=45,"Joven","Mayor")</f>
        <v>Joven</v>
      </c>
      <c r="N1003" s="1">
        <v>38</v>
      </c>
      <c r="O1003" s="1" t="s">
        <v>36</v>
      </c>
      <c r="P1003" s="1">
        <v>1.242</v>
      </c>
      <c r="Q1003" s="1">
        <v>91.236000000000004</v>
      </c>
      <c r="R1003" s="1">
        <v>2.3819218000000002</v>
      </c>
      <c r="S1003" s="1">
        <v>7.7248559999999999</v>
      </c>
      <c r="T1003" s="1">
        <v>-6.8895692999999998</v>
      </c>
      <c r="U1003" s="1">
        <v>1.9239999999999999</v>
      </c>
      <c r="V1003" s="1">
        <v>97</v>
      </c>
      <c r="W1003" s="1">
        <v>185</v>
      </c>
      <c r="X1003" s="1">
        <v>1.9072164948453609</v>
      </c>
      <c r="Y1003" s="1">
        <v>107</v>
      </c>
      <c r="Z1003" s="1">
        <v>185</v>
      </c>
      <c r="AA1003" s="1">
        <v>1.7289719626168225</v>
      </c>
      <c r="AB1003" s="1">
        <v>103.3769922639442</v>
      </c>
      <c r="AC1003" s="1">
        <v>185.82336122902959</v>
      </c>
      <c r="AD1003" s="1">
        <v>1.7975311252486594</v>
      </c>
      <c r="AE1003" t="s">
        <v>4817</v>
      </c>
      <c r="AF1003" t="str">
        <f>IF(X1003&lt;$AF$1,"Bajo","Alto")</f>
        <v>Alto</v>
      </c>
      <c r="AG1003" t="str">
        <f>LEFT(AE1003,1)</f>
        <v>C</v>
      </c>
      <c r="AH1003" t="str">
        <f>K1003</f>
        <v>M</v>
      </c>
      <c r="AI1003" t="str">
        <f>LEFT(AF1003,1)</f>
        <v>A</v>
      </c>
      <c r="AJ1003" t="str">
        <f>LEFT(M1003,1)</f>
        <v>J</v>
      </c>
      <c r="AK1003" t="str">
        <f>_xlfn.CONCAT(AG1003,AH1003,AI1003,AJ1003)</f>
        <v>CMAJ</v>
      </c>
    </row>
    <row r="1004" spans="1:37" ht="15.75" hidden="1" customHeight="1" x14ac:dyDescent="0.2">
      <c r="A1004" s="1">
        <v>10713602</v>
      </c>
      <c r="B1004" s="1" t="s">
        <v>1067</v>
      </c>
      <c r="C1004" s="1" t="s">
        <v>1068</v>
      </c>
      <c r="D1004" s="1" t="s">
        <v>1129</v>
      </c>
      <c r="E1004" s="1" t="s">
        <v>1130</v>
      </c>
      <c r="F1004" s="1" t="s">
        <v>37</v>
      </c>
      <c r="G1004" s="1" t="s">
        <v>1131</v>
      </c>
      <c r="H1004" s="1">
        <v>545</v>
      </c>
      <c r="I1004" s="1" t="s">
        <v>48</v>
      </c>
      <c r="J1004" s="1">
        <v>4</v>
      </c>
      <c r="K1004" s="1" t="s">
        <v>35</v>
      </c>
      <c r="L1004" s="1">
        <v>32</v>
      </c>
      <c r="M1004" s="1" t="str">
        <f>IF(L1004&lt;=45,"Joven","Mayor")</f>
        <v>Joven</v>
      </c>
      <c r="N1004" s="1">
        <v>40</v>
      </c>
      <c r="O1004" s="1" t="s">
        <v>36</v>
      </c>
      <c r="P1004" s="1">
        <v>0.36099999999999999</v>
      </c>
      <c r="Q1004" s="1">
        <v>75.144000000000005</v>
      </c>
      <c r="R1004" s="1">
        <v>10.669387</v>
      </c>
      <c r="S1004" s="1">
        <v>7.9303393</v>
      </c>
      <c r="T1004" s="1">
        <v>-7.7980266</v>
      </c>
      <c r="U1004" s="1">
        <v>40.64</v>
      </c>
      <c r="V1004" s="1">
        <v>108</v>
      </c>
      <c r="W1004" s="1">
        <v>179</v>
      </c>
      <c r="X1004" s="1">
        <v>1.6574074074074074</v>
      </c>
      <c r="Y1004" s="1">
        <v>113</v>
      </c>
      <c r="Z1004" s="1">
        <v>179</v>
      </c>
      <c r="AA1004" s="1">
        <v>1.584070796460177</v>
      </c>
      <c r="AB1004" s="1">
        <v>113.3782996268862</v>
      </c>
      <c r="AC1004" s="1">
        <v>178.7015145365954</v>
      </c>
      <c r="AD1004" s="1">
        <v>1.5761527128619826</v>
      </c>
      <c r="AE1004" t="s">
        <v>4817</v>
      </c>
      <c r="AF1004" t="str">
        <f>IF(X1004&lt;$AF$1,"Bajo","Alto")</f>
        <v>Bajo</v>
      </c>
      <c r="AG1004" t="str">
        <f>LEFT(AE1004,1)</f>
        <v>C</v>
      </c>
      <c r="AH1004" t="str">
        <f>K1004</f>
        <v>M</v>
      </c>
      <c r="AI1004" t="str">
        <f>LEFT(AF1004,1)</f>
        <v>B</v>
      </c>
      <c r="AJ1004" t="str">
        <f>LEFT(M1004,1)</f>
        <v>J</v>
      </c>
      <c r="AK1004" t="str">
        <f>_xlfn.CONCAT(AG1004,AH1004,AI1004,AJ1004)</f>
        <v>CMBJ</v>
      </c>
    </row>
    <row r="1005" spans="1:37" ht="15.75" hidden="1" customHeight="1" x14ac:dyDescent="0.2">
      <c r="A1005" s="1">
        <v>1079704</v>
      </c>
      <c r="B1005" s="1" t="s">
        <v>1067</v>
      </c>
      <c r="C1005" s="1" t="s">
        <v>1068</v>
      </c>
      <c r="D1005" s="1" t="s">
        <v>1526</v>
      </c>
      <c r="E1005" s="1" t="s">
        <v>781</v>
      </c>
      <c r="F1005" s="1" t="s">
        <v>61</v>
      </c>
      <c r="G1005" s="1" t="s">
        <v>1528</v>
      </c>
      <c r="H1005" s="1">
        <v>1521</v>
      </c>
      <c r="I1005" s="1" t="s">
        <v>1529</v>
      </c>
      <c r="J1005" s="1">
        <v>2016</v>
      </c>
      <c r="K1005" s="1" t="s">
        <v>35</v>
      </c>
      <c r="L1005" s="1">
        <v>38</v>
      </c>
      <c r="M1005" s="1" t="str">
        <f>IF(L1005&lt;=45,"Joven","Mayor")</f>
        <v>Joven</v>
      </c>
      <c r="N1005" s="1">
        <v>53</v>
      </c>
      <c r="O1005" s="1" t="s">
        <v>36</v>
      </c>
      <c r="P1005" s="1">
        <v>3.9E-2</v>
      </c>
      <c r="Q1005" s="1">
        <v>67.748000000000005</v>
      </c>
      <c r="R1005" s="1">
        <v>-13.328194</v>
      </c>
      <c r="S1005" s="1">
        <v>-2.2882747999999999</v>
      </c>
      <c r="T1005" s="1">
        <v>0.81816420000000001</v>
      </c>
      <c r="U1005" s="1">
        <v>42.472999999999999</v>
      </c>
      <c r="V1005" s="1">
        <v>114</v>
      </c>
      <c r="W1005" s="1">
        <v>189</v>
      </c>
      <c r="X1005" s="1">
        <v>1.6578947368421053</v>
      </c>
      <c r="Y1005" s="1">
        <v>119</v>
      </c>
      <c r="Z1005" s="1">
        <v>189</v>
      </c>
      <c r="AA1005" s="1">
        <v>1.588235294117647</v>
      </c>
      <c r="AB1005" s="1">
        <v>119.4590803768842</v>
      </c>
      <c r="AC1005" s="1">
        <v>188.8093808727385</v>
      </c>
      <c r="AD1005" s="1">
        <v>1.5805360318952686</v>
      </c>
      <c r="AE1005" t="s">
        <v>4817</v>
      </c>
      <c r="AF1005" t="str">
        <f>IF(X1005&lt;$AF$1,"Bajo","Alto")</f>
        <v>Bajo</v>
      </c>
      <c r="AG1005" t="str">
        <f>LEFT(AE1005,1)</f>
        <v>C</v>
      </c>
      <c r="AH1005" t="str">
        <f>K1005</f>
        <v>M</v>
      </c>
      <c r="AI1005" t="str">
        <f>LEFT(AF1005,1)</f>
        <v>B</v>
      </c>
      <c r="AJ1005" t="str">
        <f>LEFT(M1005,1)</f>
        <v>J</v>
      </c>
      <c r="AK1005" t="str">
        <f>_xlfn.CONCAT(AG1005,AH1005,AI1005,AJ1005)</f>
        <v>CMBJ</v>
      </c>
    </row>
    <row r="1006" spans="1:37" ht="15.75" hidden="1" customHeight="1" x14ac:dyDescent="0.2">
      <c r="A1006" s="1">
        <v>114901</v>
      </c>
      <c r="B1006" s="1" t="s">
        <v>1648</v>
      </c>
      <c r="C1006" s="1" t="s">
        <v>51</v>
      </c>
      <c r="D1006" s="1" t="s">
        <v>1717</v>
      </c>
      <c r="E1006" s="1" t="s">
        <v>673</v>
      </c>
      <c r="F1006" s="1" t="s">
        <v>32</v>
      </c>
      <c r="G1006" s="1" t="s">
        <v>1718</v>
      </c>
      <c r="H1006" s="1">
        <v>300</v>
      </c>
      <c r="I1006" s="1" t="s">
        <v>39</v>
      </c>
      <c r="J1006" s="1">
        <v>11</v>
      </c>
      <c r="K1006" s="1" t="s">
        <v>35</v>
      </c>
      <c r="L1006" s="1">
        <v>58</v>
      </c>
      <c r="M1006" s="1" t="str">
        <f>IF(L1006&lt;=45,"Joven","Mayor")</f>
        <v>Mayor</v>
      </c>
      <c r="N1006" s="1">
        <v>61</v>
      </c>
      <c r="O1006" s="1" t="s">
        <v>36</v>
      </c>
      <c r="P1006" s="1">
        <v>0.44700000000000001</v>
      </c>
      <c r="Q1006" s="1">
        <v>88.879000000000005</v>
      </c>
      <c r="R1006" s="1">
        <v>6.8071656000000003</v>
      </c>
      <c r="S1006" s="1">
        <v>1.2430559000000001</v>
      </c>
      <c r="T1006" s="1">
        <v>-4.3346777000000003</v>
      </c>
      <c r="U1006" s="1">
        <v>3.468</v>
      </c>
      <c r="V1006" s="1">
        <v>91</v>
      </c>
      <c r="W1006" s="1">
        <v>173</v>
      </c>
      <c r="X1006" s="1">
        <v>1.901098901098901</v>
      </c>
      <c r="Y1006" s="1">
        <v>91</v>
      </c>
      <c r="Z1006" s="1">
        <v>173</v>
      </c>
      <c r="AA1006" s="1">
        <v>1.901098901098901</v>
      </c>
      <c r="AB1006" s="1">
        <v>94.216484412689852</v>
      </c>
      <c r="AC1006" s="1">
        <v>172.8830569882648</v>
      </c>
      <c r="AD1006" s="1">
        <v>1.8349555076901116</v>
      </c>
      <c r="AE1006" t="s">
        <v>4816</v>
      </c>
      <c r="AF1006" t="str">
        <f>IF(X1006&lt;$AF$1,"Bajo","Alto")</f>
        <v>Alto</v>
      </c>
      <c r="AG1006" t="str">
        <f>LEFT(AE1006,1)</f>
        <v>D</v>
      </c>
      <c r="AH1006" t="str">
        <f>K1006</f>
        <v>M</v>
      </c>
      <c r="AI1006" t="str">
        <f>LEFT(AF1006,1)</f>
        <v>A</v>
      </c>
      <c r="AJ1006" t="str">
        <f>LEFT(M1006,1)</f>
        <v>M</v>
      </c>
      <c r="AK1006" t="str">
        <f>_xlfn.CONCAT(AG1006,AH1006,AI1006,AJ1006)</f>
        <v>DMAM</v>
      </c>
    </row>
    <row r="1007" spans="1:37" ht="15.75" hidden="1" customHeight="1" x14ac:dyDescent="0.2">
      <c r="A1007" s="1">
        <v>1520803</v>
      </c>
      <c r="B1007" s="1" t="s">
        <v>2077</v>
      </c>
      <c r="C1007" s="1" t="s">
        <v>57</v>
      </c>
      <c r="D1007" s="1" t="s">
        <v>2237</v>
      </c>
      <c r="E1007" s="1" t="s">
        <v>378</v>
      </c>
      <c r="F1007" s="1" t="s">
        <v>63</v>
      </c>
      <c r="G1007" s="1" t="s">
        <v>2240</v>
      </c>
      <c r="H1007" s="1">
        <v>1590</v>
      </c>
      <c r="I1007" s="1" t="s">
        <v>2241</v>
      </c>
      <c r="J1007" s="1">
        <v>2660</v>
      </c>
      <c r="K1007" s="1" t="s">
        <v>35</v>
      </c>
      <c r="L1007" s="1">
        <v>51</v>
      </c>
      <c r="M1007" s="1" t="str">
        <f>IF(L1007&lt;=45,"Joven","Mayor")</f>
        <v>Mayor</v>
      </c>
      <c r="N1007" s="1">
        <v>58</v>
      </c>
      <c r="O1007" s="1" t="s">
        <v>36</v>
      </c>
      <c r="P1007" s="1">
        <v>0.36199999999999999</v>
      </c>
      <c r="Q1007" s="1">
        <v>93.965000000000003</v>
      </c>
      <c r="R1007" s="1">
        <v>0.70600766000000004</v>
      </c>
      <c r="S1007" s="1">
        <v>3.6062539</v>
      </c>
      <c r="T1007" s="1">
        <v>-2.4497797000000001</v>
      </c>
      <c r="U1007" s="1">
        <v>55.075000000000003</v>
      </c>
      <c r="V1007" s="1">
        <v>100</v>
      </c>
      <c r="W1007" s="1">
        <v>164</v>
      </c>
      <c r="X1007" s="1">
        <v>1.64</v>
      </c>
      <c r="Y1007" s="1">
        <v>101</v>
      </c>
      <c r="Z1007" s="1">
        <v>164</v>
      </c>
      <c r="AA1007" s="1">
        <v>1.6237623762376239</v>
      </c>
      <c r="AB1007" s="1">
        <v>102.4892098615417</v>
      </c>
      <c r="AC1007" s="1">
        <v>163.50816601852969</v>
      </c>
      <c r="AD1007" s="1">
        <v>1.5953695636781848</v>
      </c>
      <c r="AE1007" t="s">
        <v>4817</v>
      </c>
      <c r="AF1007" t="str">
        <f>IF(X1007&lt;$AF$1,"Bajo","Alto")</f>
        <v>Bajo</v>
      </c>
      <c r="AG1007" t="str">
        <f>LEFT(AE1007,1)</f>
        <v>C</v>
      </c>
      <c r="AH1007" t="str">
        <f>K1007</f>
        <v>M</v>
      </c>
      <c r="AI1007" t="str">
        <f>LEFT(AF1007,1)</f>
        <v>B</v>
      </c>
      <c r="AJ1007" t="str">
        <f>LEFT(M1007,1)</f>
        <v>M</v>
      </c>
      <c r="AK1007" t="str">
        <f>_xlfn.CONCAT(AG1007,AH1007,AI1007,AJ1007)</f>
        <v>CMBM</v>
      </c>
    </row>
    <row r="1008" spans="1:37" ht="15.75" hidden="1" customHeight="1" x14ac:dyDescent="0.2">
      <c r="A1008" s="1">
        <v>195803</v>
      </c>
      <c r="B1008" s="1" t="s">
        <v>2656</v>
      </c>
      <c r="C1008" s="1" t="s">
        <v>323</v>
      </c>
      <c r="D1008" s="1" t="s">
        <v>2756</v>
      </c>
      <c r="E1008" s="1" t="s">
        <v>695</v>
      </c>
      <c r="F1008" s="1" t="s">
        <v>63</v>
      </c>
      <c r="G1008" s="1" t="s">
        <v>2759</v>
      </c>
      <c r="H1008" s="1">
        <v>2657</v>
      </c>
      <c r="I1008" s="1" t="s">
        <v>65</v>
      </c>
      <c r="J1008" s="1">
        <v>2</v>
      </c>
      <c r="K1008" s="1" t="s">
        <v>35</v>
      </c>
      <c r="L1008" s="1">
        <v>48</v>
      </c>
      <c r="M1008" s="1" t="str">
        <f>IF(L1008&lt;=45,"Joven","Mayor")</f>
        <v>Mayor</v>
      </c>
      <c r="N1008" s="1">
        <v>47</v>
      </c>
      <c r="O1008" s="1" t="s">
        <v>36</v>
      </c>
      <c r="P1008" s="1">
        <v>0.73699999999999999</v>
      </c>
      <c r="Q1008" s="1">
        <v>92.894000000000005</v>
      </c>
      <c r="R1008" s="1">
        <v>-2.7515869999999998</v>
      </c>
      <c r="S1008" s="1">
        <v>2.4259875000000002</v>
      </c>
      <c r="T1008" s="1">
        <v>0.85256726000000005</v>
      </c>
      <c r="U1008" s="1">
        <v>38.933</v>
      </c>
      <c r="V1008" s="1">
        <v>100</v>
      </c>
      <c r="W1008" s="1">
        <v>164</v>
      </c>
      <c r="X1008" s="1">
        <v>1.64</v>
      </c>
      <c r="Y1008" s="1">
        <v>102</v>
      </c>
      <c r="Z1008" s="1">
        <v>164</v>
      </c>
      <c r="AA1008" s="1">
        <v>1.607843137254902</v>
      </c>
      <c r="AB1008" s="1">
        <v>101.3637665333347</v>
      </c>
      <c r="AC1008" s="1">
        <v>163.9967236527327</v>
      </c>
      <c r="AD1008" s="1">
        <v>1.6179028193353528</v>
      </c>
      <c r="AE1008" t="s">
        <v>4817</v>
      </c>
      <c r="AF1008" t="str">
        <f>IF(X1008&lt;$AF$1,"Bajo","Alto")</f>
        <v>Bajo</v>
      </c>
      <c r="AG1008" t="str">
        <f>LEFT(AE1008,1)</f>
        <v>C</v>
      </c>
      <c r="AH1008" t="str">
        <f>K1008</f>
        <v>M</v>
      </c>
      <c r="AI1008" t="str">
        <f>LEFT(AF1008,1)</f>
        <v>B</v>
      </c>
      <c r="AJ1008" t="str">
        <f>LEFT(M1008,1)</f>
        <v>M</v>
      </c>
      <c r="AK1008" t="str">
        <f>_xlfn.CONCAT(AG1008,AH1008,AI1008,AJ1008)</f>
        <v>CMBM</v>
      </c>
    </row>
    <row r="1009" spans="1:37" ht="15.75" hidden="1" customHeight="1" x14ac:dyDescent="0.2">
      <c r="A1009" s="1">
        <v>295504</v>
      </c>
      <c r="B1009" s="1" t="s">
        <v>3890</v>
      </c>
      <c r="C1009" s="1" t="s">
        <v>1695</v>
      </c>
      <c r="D1009" s="1" t="s">
        <v>4030</v>
      </c>
      <c r="E1009" s="1" t="s">
        <v>690</v>
      </c>
      <c r="F1009" s="1" t="s">
        <v>61</v>
      </c>
      <c r="G1009" s="1" t="s">
        <v>4033</v>
      </c>
      <c r="H1009" s="1">
        <v>1611</v>
      </c>
      <c r="I1009" s="1" t="s">
        <v>4034</v>
      </c>
      <c r="J1009" s="1">
        <v>2059</v>
      </c>
      <c r="K1009" s="1" t="s">
        <v>35</v>
      </c>
      <c r="L1009" s="1">
        <v>63</v>
      </c>
      <c r="M1009" s="1" t="str">
        <f>IF(L1009&lt;=45,"Joven","Mayor")</f>
        <v>Mayor</v>
      </c>
      <c r="N1009" s="1">
        <v>68</v>
      </c>
      <c r="O1009" s="1" t="s">
        <v>36</v>
      </c>
      <c r="P1009" s="1">
        <v>0.45200000000000001</v>
      </c>
      <c r="Q1009" s="1">
        <v>92.397999999999996</v>
      </c>
      <c r="R1009" s="1">
        <v>-3.4097189999999999</v>
      </c>
      <c r="S1009" s="1">
        <v>-2.6819343999999998</v>
      </c>
      <c r="T1009" s="1">
        <v>2.0468313999999999</v>
      </c>
      <c r="U1009" s="1">
        <v>1.5880000000000001</v>
      </c>
      <c r="V1009" s="1">
        <v>108</v>
      </c>
      <c r="W1009" s="1">
        <v>204</v>
      </c>
      <c r="X1009" s="1">
        <v>1.8888888888888888</v>
      </c>
      <c r="Y1009" s="1">
        <v>115</v>
      </c>
      <c r="Z1009" s="1">
        <v>204</v>
      </c>
      <c r="AA1009" s="1">
        <v>1.7739130434782608</v>
      </c>
      <c r="AB1009" s="1">
        <v>112.99794342598901</v>
      </c>
      <c r="AC1009" s="1">
        <v>203.86984140236109</v>
      </c>
      <c r="AD1009" s="1">
        <v>1.8041907243727053</v>
      </c>
      <c r="AE1009" t="s">
        <v>4817</v>
      </c>
      <c r="AF1009" t="str">
        <f>IF(X1009&lt;$AF$1,"Bajo","Alto")</f>
        <v>Alto</v>
      </c>
      <c r="AG1009" t="str">
        <f>LEFT(AE1009,1)</f>
        <v>C</v>
      </c>
      <c r="AH1009" t="str">
        <f>K1009</f>
        <v>M</v>
      </c>
      <c r="AI1009" t="str">
        <f>LEFT(AF1009,1)</f>
        <v>A</v>
      </c>
      <c r="AJ1009" t="str">
        <f>LEFT(M1009,1)</f>
        <v>M</v>
      </c>
      <c r="AK1009" t="str">
        <f>_xlfn.CONCAT(AG1009,AH1009,AI1009,AJ1009)</f>
        <v>CMAM</v>
      </c>
    </row>
    <row r="1010" spans="1:37" ht="15.75" hidden="1" customHeight="1" x14ac:dyDescent="0.2">
      <c r="A1010" s="1">
        <v>256107</v>
      </c>
      <c r="B1010" s="1" t="s">
        <v>3169</v>
      </c>
      <c r="C1010" s="1" t="s">
        <v>821</v>
      </c>
      <c r="D1010" s="1" t="s">
        <v>3285</v>
      </c>
      <c r="E1010" s="1" t="s">
        <v>701</v>
      </c>
      <c r="F1010" s="1" t="s">
        <v>43</v>
      </c>
      <c r="G1010" s="1" t="s">
        <v>3291</v>
      </c>
      <c r="H1010" s="1">
        <v>12816</v>
      </c>
      <c r="I1010" s="1" t="s">
        <v>3292</v>
      </c>
      <c r="J1010" s="1">
        <v>2824</v>
      </c>
      <c r="K1010" s="1" t="s">
        <v>35</v>
      </c>
      <c r="L1010" s="1">
        <v>38</v>
      </c>
      <c r="M1010" s="1" t="str">
        <f>IF(L1010&lt;=45,"Joven","Mayor")</f>
        <v>Joven</v>
      </c>
      <c r="N1010" s="1">
        <v>40</v>
      </c>
      <c r="O1010" s="1" t="s">
        <v>36</v>
      </c>
      <c r="P1010" s="1">
        <v>0.19900000000000001</v>
      </c>
      <c r="Q1010" s="1">
        <v>89.507999999999996</v>
      </c>
      <c r="R1010" s="1">
        <v>4.7031064000000002</v>
      </c>
      <c r="S1010" s="1">
        <v>7.1806153999999998</v>
      </c>
      <c r="T1010" s="1">
        <v>-2.0002677000000002</v>
      </c>
      <c r="U1010" s="1">
        <v>1.508</v>
      </c>
      <c r="V1010" s="1">
        <v>114</v>
      </c>
      <c r="W1010" s="1">
        <v>189</v>
      </c>
      <c r="X1010" s="1">
        <v>1.6578947368421053</v>
      </c>
      <c r="Y1010" s="1">
        <v>116</v>
      </c>
      <c r="Z1010" s="1">
        <v>189</v>
      </c>
      <c r="AA1010" s="1">
        <v>1.6293103448275863</v>
      </c>
      <c r="AB1010" s="1">
        <v>117.8141419876256</v>
      </c>
      <c r="AC1010" s="1">
        <v>188.78012298808019</v>
      </c>
      <c r="AD1010" s="1">
        <v>1.6023553692553172</v>
      </c>
      <c r="AE1010" t="s">
        <v>4817</v>
      </c>
      <c r="AF1010" t="str">
        <f>IF(X1010&lt;$AF$1,"Bajo","Alto")</f>
        <v>Bajo</v>
      </c>
      <c r="AG1010" t="str">
        <f>LEFT(AE1010,1)</f>
        <v>C</v>
      </c>
      <c r="AH1010" t="str">
        <f>K1010</f>
        <v>M</v>
      </c>
      <c r="AI1010" t="str">
        <f>LEFT(AF1010,1)</f>
        <v>B</v>
      </c>
      <c r="AJ1010" t="str">
        <f>LEFT(M1010,1)</f>
        <v>J</v>
      </c>
      <c r="AK1010" t="str">
        <f>_xlfn.CONCAT(AG1010,AH1010,AI1010,AJ1010)</f>
        <v>CMBJ</v>
      </c>
    </row>
    <row r="1011" spans="1:37" ht="15.75" hidden="1" customHeight="1" x14ac:dyDescent="0.2">
      <c r="A1011" s="1">
        <v>257903</v>
      </c>
      <c r="B1011" s="1" t="s">
        <v>3169</v>
      </c>
      <c r="C1011" s="1" t="s">
        <v>821</v>
      </c>
      <c r="D1011" s="1" t="s">
        <v>2266</v>
      </c>
      <c r="E1011" s="1" t="s">
        <v>739</v>
      </c>
      <c r="F1011" s="1" t="s">
        <v>63</v>
      </c>
      <c r="G1011" s="1" t="s">
        <v>3325</v>
      </c>
      <c r="H1011" s="1">
        <v>7</v>
      </c>
      <c r="I1011" s="1" t="s">
        <v>87</v>
      </c>
      <c r="J1011" s="1">
        <v>14</v>
      </c>
      <c r="K1011" s="1" t="s">
        <v>49</v>
      </c>
      <c r="L1011" s="1">
        <v>51</v>
      </c>
      <c r="M1011" s="1" t="str">
        <f>IF(L1011&lt;=45,"Joven","Mayor")</f>
        <v>Mayor</v>
      </c>
      <c r="N1011" s="1">
        <v>61</v>
      </c>
      <c r="O1011" s="1" t="s">
        <v>50</v>
      </c>
      <c r="P1011" s="1">
        <v>0.435</v>
      </c>
      <c r="Q1011" s="1">
        <v>71.55</v>
      </c>
      <c r="R1011" s="1">
        <v>-11.286364000000001</v>
      </c>
      <c r="S1011" s="1">
        <v>8.878304</v>
      </c>
      <c r="T1011" s="1">
        <v>7.0241765999999997</v>
      </c>
      <c r="U1011" s="1">
        <v>83.748000000000005</v>
      </c>
      <c r="V1011" s="1">
        <v>100</v>
      </c>
      <c r="W1011" s="1">
        <v>163</v>
      </c>
      <c r="X1011" s="1">
        <v>1.63</v>
      </c>
      <c r="Y1011" s="1">
        <v>102</v>
      </c>
      <c r="Z1011" s="1">
        <v>163</v>
      </c>
      <c r="AA1011" s="1">
        <v>1.5980392156862746</v>
      </c>
      <c r="AB1011" s="1">
        <v>104.3855661541149</v>
      </c>
      <c r="AC1011" s="1">
        <v>161.2874735851133</v>
      </c>
      <c r="AD1011" s="1">
        <v>1.5451127921937828</v>
      </c>
      <c r="AE1011" t="s">
        <v>4816</v>
      </c>
      <c r="AF1011" t="str">
        <f>IF(X1011&lt;$AF$1,"Bajo","Alto")</f>
        <v>Bajo</v>
      </c>
      <c r="AG1011" t="str">
        <f>LEFT(AE1011,1)</f>
        <v>D</v>
      </c>
      <c r="AH1011" t="str">
        <f>K1011</f>
        <v>F</v>
      </c>
      <c r="AI1011" t="str">
        <f>LEFT(AF1011,1)</f>
        <v>B</v>
      </c>
      <c r="AJ1011" t="str">
        <f>LEFT(M1011,1)</f>
        <v>M</v>
      </c>
      <c r="AK1011" t="str">
        <f>_xlfn.CONCAT(AG1011,AH1011,AI1011,AJ1011)</f>
        <v>DFBM</v>
      </c>
    </row>
    <row r="1012" spans="1:37" ht="15.75" hidden="1" customHeight="1" x14ac:dyDescent="0.2">
      <c r="A1012" s="1">
        <v>2314206</v>
      </c>
      <c r="B1012" s="1" t="s">
        <v>319</v>
      </c>
      <c r="C1012" s="1" t="s">
        <v>1989</v>
      </c>
      <c r="D1012" s="1" t="s">
        <v>2997</v>
      </c>
      <c r="E1012" s="1" t="s">
        <v>181</v>
      </c>
      <c r="F1012" s="1" t="s">
        <v>88</v>
      </c>
      <c r="G1012" s="1" t="s">
        <v>2999</v>
      </c>
      <c r="H1012" s="1">
        <v>9835</v>
      </c>
      <c r="I1012" s="1" t="s">
        <v>3000</v>
      </c>
      <c r="J1012" s="1">
        <v>3069</v>
      </c>
      <c r="K1012" s="1" t="s">
        <v>35</v>
      </c>
      <c r="L1012" s="1">
        <v>41</v>
      </c>
      <c r="M1012" s="1" t="str">
        <f>IF(L1012&lt;=45,"Joven","Mayor")</f>
        <v>Joven</v>
      </c>
      <c r="N1012" s="1">
        <v>38</v>
      </c>
      <c r="O1012" s="1" t="s">
        <v>36</v>
      </c>
      <c r="P1012" s="1">
        <v>0.36</v>
      </c>
      <c r="Q1012" s="1">
        <v>92.858000000000004</v>
      </c>
      <c r="R1012" s="1">
        <v>-1.8323767</v>
      </c>
      <c r="S1012" s="1">
        <v>5.272608</v>
      </c>
      <c r="T1012" s="1">
        <v>0.20621173000000001</v>
      </c>
      <c r="U1012" s="1">
        <v>1.855</v>
      </c>
      <c r="V1012" s="1">
        <v>116</v>
      </c>
      <c r="W1012" s="1">
        <v>191</v>
      </c>
      <c r="X1012" s="1">
        <v>1.646551724137931</v>
      </c>
      <c r="Y1012" s="1">
        <v>117</v>
      </c>
      <c r="Z1012" s="1">
        <v>191</v>
      </c>
      <c r="AA1012" s="1">
        <v>1.6324786324786325</v>
      </c>
      <c r="AB1012" s="1">
        <v>116.84088333246019</v>
      </c>
      <c r="AC1012" s="1">
        <v>191.03115455108761</v>
      </c>
      <c r="AD1012" s="1">
        <v>1.6349684211777626</v>
      </c>
      <c r="AE1012" t="s">
        <v>4815</v>
      </c>
      <c r="AF1012" t="str">
        <f>IF(X1012&lt;$AF$1,"Bajo","Alto")</f>
        <v>Bajo</v>
      </c>
      <c r="AG1012" t="str">
        <f>LEFT(AE1012,1)</f>
        <v>I</v>
      </c>
      <c r="AH1012" t="str">
        <f>K1012</f>
        <v>M</v>
      </c>
      <c r="AI1012" t="str">
        <f>LEFT(AF1012,1)</f>
        <v>B</v>
      </c>
      <c r="AJ1012" t="str">
        <f>LEFT(M1012,1)</f>
        <v>J</v>
      </c>
      <c r="AK1012" t="str">
        <f>_xlfn.CONCAT(AG1012,AH1012,AI1012,AJ1012)</f>
        <v>IMBJ</v>
      </c>
    </row>
    <row r="1013" spans="1:37" ht="15.75" hidden="1" customHeight="1" x14ac:dyDescent="0.2">
      <c r="A1013" s="1">
        <v>1034302</v>
      </c>
      <c r="B1013" s="1" t="s">
        <v>783</v>
      </c>
      <c r="C1013" s="1" t="s">
        <v>81</v>
      </c>
      <c r="D1013" s="1" t="s">
        <v>844</v>
      </c>
      <c r="E1013" s="1" t="s">
        <v>665</v>
      </c>
      <c r="F1013" s="1" t="s">
        <v>37</v>
      </c>
      <c r="G1013" s="1" t="s">
        <v>846</v>
      </c>
      <c r="H1013" s="1">
        <v>153</v>
      </c>
      <c r="I1013" s="1" t="s">
        <v>87</v>
      </c>
      <c r="J1013" s="1">
        <v>14</v>
      </c>
      <c r="K1013" s="1" t="s">
        <v>35</v>
      </c>
      <c r="L1013" s="1">
        <v>54</v>
      </c>
      <c r="M1013" s="1" t="str">
        <f>IF(L1013&lt;=45,"Joven","Mayor")</f>
        <v>Mayor</v>
      </c>
      <c r="N1013" s="1">
        <v>58</v>
      </c>
      <c r="O1013" s="1" t="s">
        <v>36</v>
      </c>
      <c r="P1013" s="1">
        <v>3.4000000000000002E-2</v>
      </c>
      <c r="Q1013" s="1">
        <v>91.171000000000006</v>
      </c>
      <c r="R1013" s="1">
        <v>4.7791030000000001</v>
      </c>
      <c r="S1013" s="1">
        <v>2.8997061</v>
      </c>
      <c r="T1013" s="1">
        <v>-6.5954556000000002</v>
      </c>
      <c r="U1013" s="1">
        <v>1.7230000000000001</v>
      </c>
      <c r="V1013" s="1">
        <v>108</v>
      </c>
      <c r="W1013" s="1">
        <v>177</v>
      </c>
      <c r="X1013" s="1">
        <v>1.6388888888888888</v>
      </c>
      <c r="Y1013" s="1">
        <v>109</v>
      </c>
      <c r="Z1013" s="1">
        <v>177</v>
      </c>
      <c r="AA1013" s="1">
        <v>1.6238532110091743</v>
      </c>
      <c r="AB1013" s="1">
        <v>113.5621093840177</v>
      </c>
      <c r="AC1013" s="1">
        <v>175.8285925274777</v>
      </c>
      <c r="AD1013" s="1">
        <v>1.5483033335784722</v>
      </c>
      <c r="AE1013" t="s">
        <v>4816</v>
      </c>
      <c r="AF1013" t="str">
        <f>IF(X1013&lt;$AF$1,"Bajo","Alto")</f>
        <v>Bajo</v>
      </c>
      <c r="AG1013" t="str">
        <f>LEFT(AE1013,1)</f>
        <v>D</v>
      </c>
      <c r="AH1013" t="str">
        <f>K1013</f>
        <v>M</v>
      </c>
      <c r="AI1013" t="str">
        <f>LEFT(AF1013,1)</f>
        <v>B</v>
      </c>
      <c r="AJ1013" t="str">
        <f>LEFT(M1013,1)</f>
        <v>M</v>
      </c>
      <c r="AK1013" t="str">
        <f>_xlfn.CONCAT(AG1013,AH1013,AI1013,AJ1013)</f>
        <v>DMBM</v>
      </c>
    </row>
    <row r="1014" spans="1:37" ht="15.75" hidden="1" customHeight="1" x14ac:dyDescent="0.2">
      <c r="A1014" s="1">
        <v>1519006</v>
      </c>
      <c r="B1014" s="1" t="s">
        <v>2077</v>
      </c>
      <c r="C1014" s="1" t="s">
        <v>57</v>
      </c>
      <c r="D1014" s="1" t="s">
        <v>2218</v>
      </c>
      <c r="E1014" s="1" t="s">
        <v>320</v>
      </c>
      <c r="F1014" s="1" t="s">
        <v>88</v>
      </c>
      <c r="G1014" s="1" t="s">
        <v>2220</v>
      </c>
      <c r="H1014" s="1">
        <v>2468</v>
      </c>
      <c r="I1014" s="1" t="s">
        <v>108</v>
      </c>
      <c r="J1014" s="1">
        <v>3</v>
      </c>
      <c r="K1014" s="1" t="s">
        <v>35</v>
      </c>
      <c r="L1014" s="1">
        <v>41</v>
      </c>
      <c r="M1014" s="1" t="str">
        <f>IF(L1014&lt;=45,"Joven","Mayor")</f>
        <v>Joven</v>
      </c>
      <c r="N1014" s="1">
        <v>50</v>
      </c>
      <c r="O1014" s="1" t="s">
        <v>36</v>
      </c>
      <c r="P1014" s="1">
        <v>7.6999999999999999E-2</v>
      </c>
      <c r="Q1014" s="1">
        <v>75.92</v>
      </c>
      <c r="R1014" s="1">
        <v>10.397574000000001</v>
      </c>
      <c r="S1014" s="1">
        <v>8.3587319999999998</v>
      </c>
      <c r="T1014" s="1">
        <v>-5.3047414000000002</v>
      </c>
      <c r="U1014" s="1">
        <v>9.0069999999999997</v>
      </c>
      <c r="V1014" s="1">
        <v>86</v>
      </c>
      <c r="W1014" s="1">
        <v>164</v>
      </c>
      <c r="X1014" s="1">
        <v>1.9069767441860466</v>
      </c>
      <c r="Y1014" s="1">
        <v>92</v>
      </c>
      <c r="Z1014" s="1">
        <v>164</v>
      </c>
      <c r="AA1014" s="1">
        <v>1.7826086956521738</v>
      </c>
      <c r="AB1014" s="1">
        <v>89.514691799061666</v>
      </c>
      <c r="AC1014" s="1">
        <v>163.66740828132879</v>
      </c>
      <c r="AD1014" s="1">
        <v>1.8283859888466312</v>
      </c>
      <c r="AE1014" t="s">
        <v>4817</v>
      </c>
      <c r="AF1014" t="str">
        <f>IF(X1014&lt;$AF$1,"Bajo","Alto")</f>
        <v>Alto</v>
      </c>
      <c r="AG1014" t="str">
        <f>LEFT(AE1014,1)</f>
        <v>C</v>
      </c>
      <c r="AH1014" t="str">
        <f>K1014</f>
        <v>M</v>
      </c>
      <c r="AI1014" t="str">
        <f>LEFT(AF1014,1)</f>
        <v>A</v>
      </c>
      <c r="AJ1014" t="str">
        <f>LEFT(M1014,1)</f>
        <v>J</v>
      </c>
      <c r="AK1014" t="str">
        <f>_xlfn.CONCAT(AG1014,AH1014,AI1014,AJ1014)</f>
        <v>CMAJ</v>
      </c>
    </row>
    <row r="1015" spans="1:37" ht="15.75" hidden="1" customHeight="1" x14ac:dyDescent="0.2">
      <c r="A1015" s="1">
        <v>1070108</v>
      </c>
      <c r="B1015" s="1" t="s">
        <v>1067</v>
      </c>
      <c r="C1015" s="1" t="s">
        <v>1068</v>
      </c>
      <c r="D1015" s="1" t="s">
        <v>1069</v>
      </c>
      <c r="E1015" s="1" t="s">
        <v>32</v>
      </c>
      <c r="F1015" s="1" t="s">
        <v>46</v>
      </c>
      <c r="G1015" s="1" t="s">
        <v>1076</v>
      </c>
      <c r="H1015" s="1">
        <v>12056</v>
      </c>
      <c r="I1015" s="1" t="s">
        <v>1077</v>
      </c>
      <c r="J1015" s="1">
        <v>3569</v>
      </c>
      <c r="K1015" s="1" t="s">
        <v>35</v>
      </c>
      <c r="L1015" s="1">
        <v>49</v>
      </c>
      <c r="M1015" s="1" t="str">
        <f>IF(L1015&lt;=45,"Joven","Mayor")</f>
        <v>Mayor</v>
      </c>
      <c r="N1015" s="1">
        <v>58</v>
      </c>
      <c r="O1015" s="1" t="s">
        <v>36</v>
      </c>
      <c r="P1015" s="1">
        <v>3.9E-2</v>
      </c>
      <c r="Q1015" s="1">
        <v>90.718000000000004</v>
      </c>
      <c r="R1015" s="1">
        <v>4.6048819999999999</v>
      </c>
      <c r="S1015" s="1">
        <v>4.817672</v>
      </c>
      <c r="T1015" s="1">
        <v>-2.2294497</v>
      </c>
      <c r="U1015" s="1">
        <v>18.488</v>
      </c>
      <c r="V1015" s="1">
        <v>114</v>
      </c>
      <c r="W1015" s="1">
        <v>187</v>
      </c>
      <c r="X1015" s="1">
        <v>1.6403508771929824</v>
      </c>
      <c r="Y1015" s="1">
        <v>116</v>
      </c>
      <c r="Z1015" s="1">
        <v>187</v>
      </c>
      <c r="AA1015" s="1">
        <v>1.6120689655172413</v>
      </c>
      <c r="AB1015" s="1">
        <v>118.09067366747441</v>
      </c>
      <c r="AC1015" s="1">
        <v>186.93625380611269</v>
      </c>
      <c r="AD1015" s="1">
        <v>1.5829891387739652</v>
      </c>
      <c r="AE1015" t="s">
        <v>4817</v>
      </c>
      <c r="AF1015" t="str">
        <f>IF(X1015&lt;$AF$1,"Bajo","Alto")</f>
        <v>Bajo</v>
      </c>
      <c r="AG1015" t="str">
        <f>LEFT(AE1015,1)</f>
        <v>C</v>
      </c>
      <c r="AH1015" t="str">
        <f>K1015</f>
        <v>M</v>
      </c>
      <c r="AI1015" t="str">
        <f>LEFT(AF1015,1)</f>
        <v>B</v>
      </c>
      <c r="AJ1015" t="str">
        <f>LEFT(M1015,1)</f>
        <v>M</v>
      </c>
      <c r="AK1015" t="str">
        <f>_xlfn.CONCAT(AG1015,AH1015,AI1015,AJ1015)</f>
        <v>CMBM</v>
      </c>
    </row>
    <row r="1016" spans="1:37" ht="15.75" hidden="1" customHeight="1" x14ac:dyDescent="0.2">
      <c r="A1016" s="1">
        <v>10710301</v>
      </c>
      <c r="B1016" s="1" t="s">
        <v>1067</v>
      </c>
      <c r="C1016" s="1" t="s">
        <v>1068</v>
      </c>
      <c r="D1016" s="1" t="s">
        <v>1098</v>
      </c>
      <c r="E1016" s="1" t="s">
        <v>81</v>
      </c>
      <c r="F1016" s="1" t="s">
        <v>32</v>
      </c>
      <c r="G1016" s="1" t="s">
        <v>1099</v>
      </c>
      <c r="H1016" s="1">
        <v>733</v>
      </c>
      <c r="I1016" s="1" t="s">
        <v>65</v>
      </c>
      <c r="J1016" s="1">
        <v>2</v>
      </c>
      <c r="K1016" s="1" t="s">
        <v>35</v>
      </c>
      <c r="L1016" s="1">
        <v>49</v>
      </c>
      <c r="M1016" s="1" t="str">
        <f>IF(L1016&lt;=45,"Joven","Mayor")</f>
        <v>Mayor</v>
      </c>
      <c r="N1016" s="1">
        <v>42</v>
      </c>
      <c r="O1016" s="1" t="s">
        <v>36</v>
      </c>
      <c r="P1016" s="1">
        <v>1.7070000000000001</v>
      </c>
      <c r="Q1016" s="1">
        <v>90.643000000000001</v>
      </c>
      <c r="R1016" s="1">
        <v>-4.2064833999999998</v>
      </c>
      <c r="S1016" s="1">
        <v>4.6398289999999998</v>
      </c>
      <c r="T1016" s="1">
        <v>-1.7425086000000001</v>
      </c>
      <c r="U1016" s="1">
        <v>5.7880000000000003</v>
      </c>
      <c r="V1016" s="1">
        <v>81</v>
      </c>
      <c r="W1016" s="1">
        <v>133</v>
      </c>
      <c r="X1016" s="1">
        <v>1.6419753086419753</v>
      </c>
      <c r="Y1016" s="1">
        <v>83</v>
      </c>
      <c r="Z1016" s="1">
        <v>133</v>
      </c>
      <c r="AA1016" s="1">
        <v>1.6024096385542168</v>
      </c>
      <c r="AB1016" s="1">
        <v>84.086708241316728</v>
      </c>
      <c r="AC1016" s="1">
        <v>133.15135227078599</v>
      </c>
      <c r="AD1016" s="1">
        <v>1.5835005918968883</v>
      </c>
      <c r="AE1016" t="s">
        <v>4817</v>
      </c>
      <c r="AF1016" t="str">
        <f>IF(X1016&lt;$AF$1,"Bajo","Alto")</f>
        <v>Bajo</v>
      </c>
      <c r="AG1016" t="str">
        <f>LEFT(AE1016,1)</f>
        <v>C</v>
      </c>
      <c r="AH1016" t="str">
        <f>K1016</f>
        <v>M</v>
      </c>
      <c r="AI1016" t="str">
        <f>LEFT(AF1016,1)</f>
        <v>B</v>
      </c>
      <c r="AJ1016" t="str">
        <f>LEFT(M1016,1)</f>
        <v>M</v>
      </c>
      <c r="AK1016" t="str">
        <f>_xlfn.CONCAT(AG1016,AH1016,AI1016,AJ1016)</f>
        <v>CMBM</v>
      </c>
    </row>
    <row r="1017" spans="1:37" ht="15.75" hidden="1" customHeight="1" x14ac:dyDescent="0.2">
      <c r="A1017" s="1">
        <v>257908</v>
      </c>
      <c r="B1017" s="1" t="s">
        <v>3169</v>
      </c>
      <c r="C1017" s="1" t="s">
        <v>821</v>
      </c>
      <c r="D1017" s="1" t="s">
        <v>2266</v>
      </c>
      <c r="E1017" s="1" t="s">
        <v>739</v>
      </c>
      <c r="F1017" s="1" t="s">
        <v>46</v>
      </c>
      <c r="G1017" s="1" t="s">
        <v>3329</v>
      </c>
      <c r="H1017" s="1">
        <v>1393</v>
      </c>
      <c r="I1017" s="1" t="s">
        <v>3330</v>
      </c>
      <c r="J1017" s="1">
        <v>3181</v>
      </c>
      <c r="K1017" s="1" t="s">
        <v>35</v>
      </c>
      <c r="L1017" s="1">
        <v>58</v>
      </c>
      <c r="M1017" s="1" t="str">
        <f>IF(L1017&lt;=45,"Joven","Mayor")</f>
        <v>Mayor</v>
      </c>
      <c r="N1017" s="1">
        <v>64</v>
      </c>
      <c r="O1017" s="1" t="s">
        <v>36</v>
      </c>
      <c r="P1017" s="1">
        <v>0.36599999999999999</v>
      </c>
      <c r="Q1017" s="1">
        <v>81.798000000000002</v>
      </c>
      <c r="R1017" s="1">
        <v>10.184355999999999</v>
      </c>
      <c r="S1017" s="1">
        <v>0.18300466000000001</v>
      </c>
      <c r="T1017" s="1">
        <v>-6.2258614999999997</v>
      </c>
      <c r="U1017" s="1">
        <v>7.9850000000000003</v>
      </c>
      <c r="V1017" s="1">
        <v>98</v>
      </c>
      <c r="W1017" s="1">
        <v>185</v>
      </c>
      <c r="X1017" s="1">
        <v>1.8877551020408163</v>
      </c>
      <c r="Y1017" s="1">
        <v>105</v>
      </c>
      <c r="Z1017" s="1">
        <v>185</v>
      </c>
      <c r="AA1017" s="1">
        <v>1.7619047619047619</v>
      </c>
      <c r="AB1017" s="1">
        <v>102.73596286532209</v>
      </c>
      <c r="AC1017" s="1">
        <v>184.23423553358541</v>
      </c>
      <c r="AD1017" s="1">
        <v>1.7932789102789688</v>
      </c>
      <c r="AE1017" t="s">
        <v>4817</v>
      </c>
      <c r="AF1017" t="str">
        <f>IF(X1017&lt;$AF$1,"Bajo","Alto")</f>
        <v>Alto</v>
      </c>
      <c r="AG1017" t="str">
        <f>LEFT(AE1017,1)</f>
        <v>C</v>
      </c>
      <c r="AH1017" t="str">
        <f>K1017</f>
        <v>M</v>
      </c>
      <c r="AI1017" t="str">
        <f>LEFT(AF1017,1)</f>
        <v>A</v>
      </c>
      <c r="AJ1017" t="str">
        <f>LEFT(M1017,1)</f>
        <v>M</v>
      </c>
      <c r="AK1017" t="str">
        <f>_xlfn.CONCAT(AG1017,AH1017,AI1017,AJ1017)</f>
        <v>CMAM</v>
      </c>
    </row>
    <row r="1018" spans="1:37" ht="15.75" hidden="1" customHeight="1" x14ac:dyDescent="0.2">
      <c r="A1018" s="1">
        <v>2719603</v>
      </c>
      <c r="B1018" s="1" t="s">
        <v>3409</v>
      </c>
      <c r="C1018" s="1" t="s">
        <v>973</v>
      </c>
      <c r="D1018" s="1" t="s">
        <v>3611</v>
      </c>
      <c r="E1018" s="1" t="s">
        <v>346</v>
      </c>
      <c r="F1018" s="1" t="s">
        <v>63</v>
      </c>
      <c r="G1018" s="1" t="s">
        <v>3614</v>
      </c>
      <c r="H1018" s="1">
        <v>1631</v>
      </c>
      <c r="I1018" s="1" t="s">
        <v>42</v>
      </c>
      <c r="J1018" s="1">
        <v>15</v>
      </c>
      <c r="K1018" s="1" t="s">
        <v>35</v>
      </c>
      <c r="L1018" s="1">
        <v>50</v>
      </c>
      <c r="M1018" s="1" t="str">
        <f>IF(L1018&lt;=45,"Joven","Mayor")</f>
        <v>Mayor</v>
      </c>
      <c r="N1018" s="1">
        <v>49</v>
      </c>
      <c r="O1018" s="1" t="s">
        <v>36</v>
      </c>
      <c r="P1018" s="1">
        <v>6.0190000000000001</v>
      </c>
      <c r="Q1018" s="1">
        <v>64.597999999999999</v>
      </c>
      <c r="R1018" s="1">
        <v>12.911751000000001</v>
      </c>
      <c r="S1018" s="1">
        <v>-3.0319986000000001</v>
      </c>
      <c r="T1018" s="1">
        <v>-6.3792920000000004</v>
      </c>
      <c r="U1018" s="1">
        <v>16.123999999999999</v>
      </c>
      <c r="V1018" s="1">
        <v>98</v>
      </c>
      <c r="W1018" s="1">
        <v>185</v>
      </c>
      <c r="X1018" s="1">
        <v>1.8877551020408163</v>
      </c>
      <c r="Y1018" s="1">
        <v>101</v>
      </c>
      <c r="Z1018" s="1">
        <v>185</v>
      </c>
      <c r="AA1018" s="1">
        <v>1.8316831683168318</v>
      </c>
      <c r="AB1018" s="1">
        <v>102.9486856115889</v>
      </c>
      <c r="AC1018" s="1">
        <v>183.8545062080384</v>
      </c>
      <c r="AD1018" s="1">
        <v>1.7858849301067905</v>
      </c>
      <c r="AE1018" t="s">
        <v>4817</v>
      </c>
      <c r="AF1018" t="str">
        <f>IF(X1018&lt;$AF$1,"Bajo","Alto")</f>
        <v>Alto</v>
      </c>
      <c r="AG1018" t="str">
        <f>LEFT(AE1018,1)</f>
        <v>C</v>
      </c>
      <c r="AH1018" t="str">
        <f>K1018</f>
        <v>M</v>
      </c>
      <c r="AI1018" t="str">
        <f>LEFT(AF1018,1)</f>
        <v>A</v>
      </c>
      <c r="AJ1018" t="str">
        <f>LEFT(M1018,1)</f>
        <v>M</v>
      </c>
      <c r="AK1018" t="str">
        <f>_xlfn.CONCAT(AG1018,AH1018,AI1018,AJ1018)</f>
        <v>CMAM</v>
      </c>
    </row>
    <row r="1019" spans="1:37" ht="15.75" hidden="1" customHeight="1" x14ac:dyDescent="0.2">
      <c r="A1019" s="1">
        <v>277404</v>
      </c>
      <c r="B1019" s="1" t="s">
        <v>3409</v>
      </c>
      <c r="C1019" s="1" t="s">
        <v>973</v>
      </c>
      <c r="D1019" s="1" t="s">
        <v>3718</v>
      </c>
      <c r="E1019" s="1" t="s">
        <v>2786</v>
      </c>
      <c r="F1019" s="1" t="s">
        <v>61</v>
      </c>
      <c r="G1019" s="1" t="s">
        <v>3720</v>
      </c>
      <c r="H1019" s="1">
        <v>271</v>
      </c>
      <c r="I1019" s="1" t="s">
        <v>91</v>
      </c>
      <c r="J1019" s="1">
        <v>6</v>
      </c>
      <c r="K1019" s="1" t="s">
        <v>35</v>
      </c>
      <c r="L1019" s="1">
        <v>51</v>
      </c>
      <c r="M1019" s="1" t="str">
        <f>IF(L1019&lt;=45,"Joven","Mayor")</f>
        <v>Mayor</v>
      </c>
      <c r="N1019" s="1">
        <v>62</v>
      </c>
      <c r="O1019" s="1" t="s">
        <v>36</v>
      </c>
      <c r="P1019" s="1">
        <v>0.32200000000000001</v>
      </c>
      <c r="Q1019" s="1">
        <v>79.28</v>
      </c>
      <c r="R1019" s="1">
        <v>10.415647999999999</v>
      </c>
      <c r="S1019" s="1">
        <v>3.8918024999999998</v>
      </c>
      <c r="T1019" s="1">
        <v>-11.524012000000001</v>
      </c>
      <c r="U1019" s="1">
        <v>11.266</v>
      </c>
      <c r="V1019" s="1">
        <v>80</v>
      </c>
      <c r="W1019" s="1">
        <v>151</v>
      </c>
      <c r="X1019" s="1">
        <v>1.8875</v>
      </c>
      <c r="Y1019" s="1">
        <v>90</v>
      </c>
      <c r="Z1019" s="1">
        <v>151</v>
      </c>
      <c r="AA1019" s="1">
        <v>1.6777777777777778</v>
      </c>
      <c r="AB1019" s="1">
        <v>87.776879086974532</v>
      </c>
      <c r="AC1019" s="1">
        <v>150.95267981146571</v>
      </c>
      <c r="AD1019" s="1">
        <v>1.7197316808438001</v>
      </c>
      <c r="AE1019" t="s">
        <v>4817</v>
      </c>
      <c r="AF1019" t="str">
        <f>IF(X1019&lt;$AF$1,"Bajo","Alto")</f>
        <v>Alto</v>
      </c>
      <c r="AG1019" t="str">
        <f>LEFT(AE1019,1)</f>
        <v>C</v>
      </c>
      <c r="AH1019" t="str">
        <f>K1019</f>
        <v>M</v>
      </c>
      <c r="AI1019" t="str">
        <f>LEFT(AF1019,1)</f>
        <v>A</v>
      </c>
      <c r="AJ1019" t="str">
        <f>LEFT(M1019,1)</f>
        <v>M</v>
      </c>
      <c r="AK1019" t="str">
        <f>_xlfn.CONCAT(AG1019,AH1019,AI1019,AJ1019)</f>
        <v>CMAM</v>
      </c>
    </row>
    <row r="1020" spans="1:37" ht="15.75" hidden="1" customHeight="1" x14ac:dyDescent="0.2">
      <c r="A1020" s="1">
        <v>257602</v>
      </c>
      <c r="B1020" s="1" t="s">
        <v>3169</v>
      </c>
      <c r="C1020" s="1" t="s">
        <v>821</v>
      </c>
      <c r="D1020" s="1" t="s">
        <v>3315</v>
      </c>
      <c r="E1020" s="1" t="s">
        <v>727</v>
      </c>
      <c r="F1020" s="1" t="s">
        <v>37</v>
      </c>
      <c r="G1020" s="1" t="s">
        <v>3316</v>
      </c>
      <c r="H1020" s="1">
        <v>47</v>
      </c>
      <c r="I1020" s="1" t="s">
        <v>85</v>
      </c>
      <c r="J1020" s="1">
        <v>12</v>
      </c>
      <c r="K1020" s="1" t="s">
        <v>35</v>
      </c>
      <c r="L1020" s="1">
        <v>33</v>
      </c>
      <c r="M1020" s="1" t="str">
        <f>IF(L1020&lt;=45,"Joven","Mayor")</f>
        <v>Joven</v>
      </c>
      <c r="N1020" s="1">
        <v>49</v>
      </c>
      <c r="O1020" s="1" t="s">
        <v>50</v>
      </c>
      <c r="P1020" s="1">
        <v>0.36</v>
      </c>
      <c r="Q1020" s="1">
        <v>92.241</v>
      </c>
      <c r="R1020" s="1">
        <v>-3.2291254999999999</v>
      </c>
      <c r="S1020" s="1">
        <v>3.8924546000000002</v>
      </c>
      <c r="T1020" s="1">
        <v>4.2798375999999996</v>
      </c>
      <c r="U1020" s="1">
        <v>44.002000000000002</v>
      </c>
      <c r="V1020" s="1">
        <v>95</v>
      </c>
      <c r="W1020" s="1">
        <v>158</v>
      </c>
      <c r="X1020" s="1">
        <v>1.6631578947368422</v>
      </c>
      <c r="Y1020" s="1">
        <v>98</v>
      </c>
      <c r="Z1020" s="1">
        <v>158</v>
      </c>
      <c r="AA1020" s="1">
        <v>1.6122448979591837</v>
      </c>
      <c r="AB1020" s="1">
        <v>97.8694565215892</v>
      </c>
      <c r="AC1020" s="1">
        <v>157.9325492392891</v>
      </c>
      <c r="AD1020" s="1">
        <v>1.6137062046977901</v>
      </c>
      <c r="AE1020" t="s">
        <v>4815</v>
      </c>
      <c r="AF1020" t="str">
        <f>IF(X1020&lt;$AF$1,"Bajo","Alto")</f>
        <v>Bajo</v>
      </c>
      <c r="AG1020" t="str">
        <f>LEFT(AE1020,1)</f>
        <v>I</v>
      </c>
      <c r="AH1020" t="str">
        <f>K1020</f>
        <v>M</v>
      </c>
      <c r="AI1020" t="str">
        <f>LEFT(AF1020,1)</f>
        <v>B</v>
      </c>
      <c r="AJ1020" t="str">
        <f>LEFT(M1020,1)</f>
        <v>J</v>
      </c>
      <c r="AK1020" t="str">
        <f>_xlfn.CONCAT(AG1020,AH1020,AI1020,AJ1020)</f>
        <v>IMBJ</v>
      </c>
    </row>
    <row r="1021" spans="1:37" ht="15.75" hidden="1" customHeight="1" x14ac:dyDescent="0.2">
      <c r="A1021" s="1">
        <v>10732503</v>
      </c>
      <c r="B1021" s="1" t="s">
        <v>1067</v>
      </c>
      <c r="C1021" s="1" t="s">
        <v>1068</v>
      </c>
      <c r="D1021" s="1" t="s">
        <v>1411</v>
      </c>
      <c r="E1021" s="1" t="s">
        <v>1412</v>
      </c>
      <c r="F1021" s="1" t="s">
        <v>63</v>
      </c>
      <c r="G1021" s="1" t="s">
        <v>1415</v>
      </c>
      <c r="H1021" s="1">
        <v>36</v>
      </c>
      <c r="I1021" s="1" t="s">
        <v>91</v>
      </c>
      <c r="J1021" s="1">
        <v>6</v>
      </c>
      <c r="K1021" s="1" t="s">
        <v>35</v>
      </c>
      <c r="L1021" s="1">
        <v>34</v>
      </c>
      <c r="M1021" s="1" t="str">
        <f>IF(L1021&lt;=45,"Joven","Mayor")</f>
        <v>Joven</v>
      </c>
      <c r="N1021" s="1">
        <v>43</v>
      </c>
      <c r="O1021" s="1" t="s">
        <v>36</v>
      </c>
      <c r="P1021" s="1">
        <v>0.35799999999999998</v>
      </c>
      <c r="Q1021" s="1">
        <v>92.709000000000003</v>
      </c>
      <c r="R1021" s="1">
        <v>1.9322007000000001</v>
      </c>
      <c r="S1021" s="1">
        <v>-5.5279182999999996</v>
      </c>
      <c r="T1021" s="1">
        <v>-0.46354931999999999</v>
      </c>
      <c r="U1021" s="1">
        <v>1.5149999999999999</v>
      </c>
      <c r="V1021" s="1">
        <v>85</v>
      </c>
      <c r="W1021" s="1">
        <v>141</v>
      </c>
      <c r="X1021" s="1">
        <v>1.6588235294117648</v>
      </c>
      <c r="Y1021" s="1">
        <v>86</v>
      </c>
      <c r="Z1021" s="1">
        <v>141</v>
      </c>
      <c r="AA1021" s="1">
        <v>1.6395348837209303</v>
      </c>
      <c r="AB1021" s="1">
        <v>85.730203096278274</v>
      </c>
      <c r="AC1021" s="1">
        <v>141.01156615448241</v>
      </c>
      <c r="AD1021" s="1">
        <v>1.6448294890439146</v>
      </c>
      <c r="AE1021" t="s">
        <v>4817</v>
      </c>
      <c r="AF1021" t="str">
        <f>IF(X1021&lt;$AF$1,"Bajo","Alto")</f>
        <v>Bajo</v>
      </c>
      <c r="AG1021" t="str">
        <f>LEFT(AE1021,1)</f>
        <v>C</v>
      </c>
      <c r="AH1021" t="str">
        <f>K1021</f>
        <v>M</v>
      </c>
      <c r="AI1021" t="str">
        <f>LEFT(AF1021,1)</f>
        <v>B</v>
      </c>
      <c r="AJ1021" t="str">
        <f>LEFT(M1021,1)</f>
        <v>J</v>
      </c>
      <c r="AK1021" t="str">
        <f>_xlfn.CONCAT(AG1021,AH1021,AI1021,AJ1021)</f>
        <v>CMBJ</v>
      </c>
    </row>
    <row r="1022" spans="1:37" ht="15.75" hidden="1" customHeight="1" x14ac:dyDescent="0.2">
      <c r="A1022" s="1">
        <v>297303</v>
      </c>
      <c r="B1022" s="1" t="s">
        <v>3890</v>
      </c>
      <c r="C1022" s="1" t="s">
        <v>1695</v>
      </c>
      <c r="D1022" s="1" t="s">
        <v>4055</v>
      </c>
      <c r="E1022" s="1" t="s">
        <v>1021</v>
      </c>
      <c r="F1022" s="1" t="s">
        <v>63</v>
      </c>
      <c r="G1022" s="1" t="s">
        <v>4058</v>
      </c>
      <c r="H1022" s="1">
        <v>135</v>
      </c>
      <c r="I1022" s="1" t="s">
        <v>42</v>
      </c>
      <c r="J1022" s="1">
        <v>15</v>
      </c>
      <c r="K1022" s="1" t="s">
        <v>35</v>
      </c>
      <c r="L1022" s="1">
        <v>68</v>
      </c>
      <c r="M1022" s="1" t="str">
        <f>IF(L1022&lt;=45,"Joven","Mayor")</f>
        <v>Mayor</v>
      </c>
      <c r="N1022" s="1">
        <v>77</v>
      </c>
      <c r="O1022" s="1" t="s">
        <v>36</v>
      </c>
      <c r="P1022" s="1">
        <v>0.35799999999999998</v>
      </c>
      <c r="Q1022" s="1">
        <v>91.766999999999996</v>
      </c>
      <c r="R1022" s="1">
        <v>4.4325323000000001</v>
      </c>
      <c r="S1022" s="1">
        <v>1.6281061999999999</v>
      </c>
      <c r="T1022" s="1">
        <v>3.3718347999999998</v>
      </c>
      <c r="U1022" s="1">
        <v>0.60899999999999999</v>
      </c>
      <c r="V1022" s="1">
        <v>71</v>
      </c>
      <c r="W1022" s="1">
        <v>134</v>
      </c>
      <c r="X1022" s="1">
        <v>1.8873239436619718</v>
      </c>
      <c r="Y1022" s="1">
        <v>72</v>
      </c>
      <c r="Z1022" s="1">
        <v>134</v>
      </c>
      <c r="AA1022" s="1">
        <v>1.8611111111111112</v>
      </c>
      <c r="AB1022" s="1">
        <v>73.992721606366104</v>
      </c>
      <c r="AC1022" s="1">
        <v>133.70921170047041</v>
      </c>
      <c r="AD1022" s="1">
        <v>1.807058975500186</v>
      </c>
      <c r="AE1022" t="s">
        <v>4817</v>
      </c>
      <c r="AF1022" t="str">
        <f>IF(X1022&lt;$AF$1,"Bajo","Alto")</f>
        <v>Alto</v>
      </c>
      <c r="AG1022" t="str">
        <f>LEFT(AE1022,1)</f>
        <v>C</v>
      </c>
      <c r="AH1022" t="str">
        <f>K1022</f>
        <v>M</v>
      </c>
      <c r="AI1022" t="str">
        <f>LEFT(AF1022,1)</f>
        <v>A</v>
      </c>
      <c r="AJ1022" t="str">
        <f>LEFT(M1022,1)</f>
        <v>M</v>
      </c>
      <c r="AK1022" t="str">
        <f>_xlfn.CONCAT(AG1022,AH1022,AI1022,AJ1022)</f>
        <v>CMAM</v>
      </c>
    </row>
    <row r="1023" spans="1:37" ht="15.75" hidden="1" customHeight="1" x14ac:dyDescent="0.2">
      <c r="A1023" s="1">
        <v>1522903</v>
      </c>
      <c r="B1023" s="1" t="s">
        <v>2077</v>
      </c>
      <c r="C1023" s="1" t="s">
        <v>57</v>
      </c>
      <c r="D1023" s="1" t="s">
        <v>438</v>
      </c>
      <c r="E1023" s="1" t="s">
        <v>443</v>
      </c>
      <c r="F1023" s="1" t="s">
        <v>63</v>
      </c>
      <c r="G1023" s="1" t="s">
        <v>2271</v>
      </c>
      <c r="H1023" s="1">
        <v>710</v>
      </c>
      <c r="I1023" s="1" t="s">
        <v>91</v>
      </c>
      <c r="J1023" s="1">
        <v>6</v>
      </c>
      <c r="K1023" s="1" t="s">
        <v>35</v>
      </c>
      <c r="L1023" s="1">
        <v>38</v>
      </c>
      <c r="M1023" s="1" t="str">
        <f>IF(L1023&lt;=45,"Joven","Mayor")</f>
        <v>Joven</v>
      </c>
      <c r="N1023" s="1">
        <v>46</v>
      </c>
      <c r="O1023" s="1" t="s">
        <v>36</v>
      </c>
      <c r="P1023" s="1">
        <v>0.36799999999999999</v>
      </c>
      <c r="Q1023" s="1">
        <v>91.126000000000005</v>
      </c>
      <c r="R1023" s="1">
        <v>-0.64034813999999995</v>
      </c>
      <c r="S1023" s="1">
        <v>10.898121</v>
      </c>
      <c r="T1023" s="1">
        <v>-2.9304993000000001</v>
      </c>
      <c r="U1023" s="1">
        <v>19.474</v>
      </c>
      <c r="V1023" s="1">
        <v>86</v>
      </c>
      <c r="W1023" s="1">
        <v>164</v>
      </c>
      <c r="X1023" s="1">
        <v>1.9069767441860466</v>
      </c>
      <c r="Y1023" s="1">
        <v>91</v>
      </c>
      <c r="Z1023" s="1">
        <v>164</v>
      </c>
      <c r="AA1023" s="1">
        <v>1.8021978021978022</v>
      </c>
      <c r="AB1023" s="1">
        <v>88.989388997983042</v>
      </c>
      <c r="AC1023" s="1">
        <v>164.2456557207656</v>
      </c>
      <c r="AD1023" s="1">
        <v>1.845676856197858</v>
      </c>
      <c r="AE1023" t="s">
        <v>4817</v>
      </c>
      <c r="AF1023" t="str">
        <f>IF(X1023&lt;$AF$1,"Bajo","Alto")</f>
        <v>Alto</v>
      </c>
      <c r="AG1023" t="str">
        <f>LEFT(AE1023,1)</f>
        <v>C</v>
      </c>
      <c r="AH1023" t="str">
        <f>K1023</f>
        <v>M</v>
      </c>
      <c r="AI1023" t="str">
        <f>LEFT(AF1023,1)</f>
        <v>A</v>
      </c>
      <c r="AJ1023" t="str">
        <f>LEFT(M1023,1)</f>
        <v>J</v>
      </c>
      <c r="AK1023" t="str">
        <f>_xlfn.CONCAT(AG1023,AH1023,AI1023,AJ1023)</f>
        <v>CMAJ</v>
      </c>
    </row>
    <row r="1024" spans="1:37" ht="15.75" hidden="1" customHeight="1" x14ac:dyDescent="0.2">
      <c r="A1024" s="1">
        <v>135201</v>
      </c>
      <c r="B1024" s="1" t="s">
        <v>956</v>
      </c>
      <c r="C1024" s="1" t="s">
        <v>163</v>
      </c>
      <c r="D1024" s="1" t="s">
        <v>2058</v>
      </c>
      <c r="E1024" s="1" t="s">
        <v>685</v>
      </c>
      <c r="F1024" s="1" t="s">
        <v>32</v>
      </c>
      <c r="G1024" s="1" t="s">
        <v>2059</v>
      </c>
      <c r="H1024" s="1">
        <v>2629</v>
      </c>
      <c r="I1024" s="1" t="s">
        <v>134</v>
      </c>
      <c r="J1024" s="1">
        <v>8</v>
      </c>
      <c r="K1024" s="1" t="s">
        <v>35</v>
      </c>
      <c r="L1024" s="1">
        <v>41</v>
      </c>
      <c r="M1024" s="1" t="str">
        <f>IF(L1024&lt;=45,"Joven","Mayor")</f>
        <v>Joven</v>
      </c>
      <c r="N1024" s="1">
        <v>45</v>
      </c>
      <c r="O1024" s="1" t="s">
        <v>36</v>
      </c>
      <c r="P1024" s="1">
        <v>0.40500000000000003</v>
      </c>
      <c r="Q1024" s="1">
        <v>90.224999999999994</v>
      </c>
      <c r="R1024" s="1">
        <v>-4.2013182999999996</v>
      </c>
      <c r="S1024" s="1">
        <v>6.7528319999999997</v>
      </c>
      <c r="T1024" s="1">
        <v>-0.33102745</v>
      </c>
      <c r="U1024" s="1">
        <v>0.24</v>
      </c>
      <c r="V1024" s="1">
        <v>85</v>
      </c>
      <c r="W1024" s="1">
        <v>141</v>
      </c>
      <c r="X1024" s="1">
        <v>1.6588235294117648</v>
      </c>
      <c r="Y1024" s="1">
        <v>87</v>
      </c>
      <c r="Z1024" s="1">
        <v>141</v>
      </c>
      <c r="AA1024" s="1">
        <v>1.6206896551724137</v>
      </c>
      <c r="AB1024" s="1">
        <v>86.779003488557237</v>
      </c>
      <c r="AC1024" s="1">
        <v>141.02075668304499</v>
      </c>
      <c r="AD1024" s="1">
        <v>1.6250561888699278</v>
      </c>
      <c r="AE1024" t="s">
        <v>4817</v>
      </c>
      <c r="AF1024" t="str">
        <f>IF(X1024&lt;$AF$1,"Bajo","Alto")</f>
        <v>Bajo</v>
      </c>
      <c r="AG1024" t="str">
        <f>LEFT(AE1024,1)</f>
        <v>C</v>
      </c>
      <c r="AH1024" t="str">
        <f>K1024</f>
        <v>M</v>
      </c>
      <c r="AI1024" t="str">
        <f>LEFT(AF1024,1)</f>
        <v>B</v>
      </c>
      <c r="AJ1024" t="str">
        <f>LEFT(M1024,1)</f>
        <v>J</v>
      </c>
      <c r="AK1024" t="str">
        <f>_xlfn.CONCAT(AG1024,AH1024,AI1024,AJ1024)</f>
        <v>CMBJ</v>
      </c>
    </row>
    <row r="1025" spans="1:37" ht="15.75" hidden="1" customHeight="1" x14ac:dyDescent="0.2">
      <c r="A1025" s="1">
        <v>480902</v>
      </c>
      <c r="B1025" s="1" t="s">
        <v>4465</v>
      </c>
      <c r="C1025" s="1" t="s">
        <v>2650</v>
      </c>
      <c r="D1025" s="1" t="s">
        <v>4494</v>
      </c>
      <c r="E1025" s="1" t="s">
        <v>189</v>
      </c>
      <c r="F1025" s="1" t="s">
        <v>37</v>
      </c>
      <c r="G1025" s="1" t="s">
        <v>4495</v>
      </c>
      <c r="H1025" s="1">
        <v>5144</v>
      </c>
      <c r="I1025" s="1" t="s">
        <v>134</v>
      </c>
      <c r="J1025" s="1">
        <v>8</v>
      </c>
      <c r="K1025" s="1" t="s">
        <v>35</v>
      </c>
      <c r="L1025" s="1">
        <v>39</v>
      </c>
      <c r="M1025" s="1" t="str">
        <f>IF(L1025&lt;=45,"Joven","Mayor")</f>
        <v>Joven</v>
      </c>
      <c r="N1025" s="1">
        <v>48</v>
      </c>
      <c r="O1025" s="1" t="s">
        <v>36</v>
      </c>
      <c r="P1025" s="1">
        <v>9.2999999999999999E-2</v>
      </c>
      <c r="Q1025" s="1">
        <v>15.875</v>
      </c>
      <c r="R1025" s="1">
        <v>20.44097</v>
      </c>
      <c r="S1025" s="1">
        <v>4.4484725000000003</v>
      </c>
      <c r="T1025" s="1">
        <v>-9.9683770000000003</v>
      </c>
      <c r="U1025" s="1">
        <v>1.4430000000000001</v>
      </c>
      <c r="V1025" s="1">
        <v>86</v>
      </c>
      <c r="W1025" s="1">
        <v>164</v>
      </c>
      <c r="X1025" s="1">
        <v>1.9069767441860466</v>
      </c>
      <c r="Y1025" s="1">
        <v>102</v>
      </c>
      <c r="Z1025" s="1">
        <v>164</v>
      </c>
      <c r="AA1025" s="1">
        <v>1.607843137254902</v>
      </c>
      <c r="AB1025" s="1">
        <v>96.132536004846088</v>
      </c>
      <c r="AC1025" s="1">
        <v>164.64004778719709</v>
      </c>
      <c r="AD1025" s="1">
        <v>1.7126360608951117</v>
      </c>
      <c r="AE1025" t="s">
        <v>4817</v>
      </c>
      <c r="AF1025" t="str">
        <f>IF(X1025&lt;$AF$1,"Bajo","Alto")</f>
        <v>Alto</v>
      </c>
      <c r="AG1025" t="str">
        <f>LEFT(AE1025,1)</f>
        <v>C</v>
      </c>
      <c r="AH1025" t="str">
        <f>K1025</f>
        <v>M</v>
      </c>
      <c r="AI1025" t="str">
        <f>LEFT(AF1025,1)</f>
        <v>A</v>
      </c>
      <c r="AJ1025" t="str">
        <f>LEFT(M1025,1)</f>
        <v>J</v>
      </c>
      <c r="AK1025" t="str">
        <f>_xlfn.CONCAT(AG1025,AH1025,AI1025,AJ1025)</f>
        <v>CMAJ</v>
      </c>
    </row>
    <row r="1026" spans="1:37" ht="15.75" hidden="1" customHeight="1" x14ac:dyDescent="0.2">
      <c r="A1026" s="1">
        <v>196106</v>
      </c>
      <c r="B1026" s="1" t="s">
        <v>2656</v>
      </c>
      <c r="C1026" s="1" t="s">
        <v>323</v>
      </c>
      <c r="D1026" s="1" t="s">
        <v>2760</v>
      </c>
      <c r="E1026" s="1" t="s">
        <v>701</v>
      </c>
      <c r="F1026" s="1" t="s">
        <v>88</v>
      </c>
      <c r="G1026" s="1" t="s">
        <v>2763</v>
      </c>
      <c r="H1026" s="1">
        <v>23122</v>
      </c>
      <c r="I1026" s="1" t="s">
        <v>2764</v>
      </c>
      <c r="J1026" s="1">
        <v>4120</v>
      </c>
      <c r="K1026" s="1" t="s">
        <v>35</v>
      </c>
      <c r="L1026" s="1">
        <v>46</v>
      </c>
      <c r="M1026" s="1" t="str">
        <f>IF(L1026&lt;=45,"Joven","Mayor")</f>
        <v>Mayor</v>
      </c>
      <c r="N1026" s="1">
        <v>33</v>
      </c>
      <c r="O1026" s="1" t="s">
        <v>36</v>
      </c>
      <c r="P1026" s="1">
        <v>0.28299999999999997</v>
      </c>
      <c r="Q1026" s="1">
        <v>84.498000000000005</v>
      </c>
      <c r="R1026" s="1">
        <v>-8.1130809999999993</v>
      </c>
      <c r="S1026" s="1">
        <v>5.8163980000000004</v>
      </c>
      <c r="T1026" s="1">
        <v>-2.0910733000000001</v>
      </c>
      <c r="U1026" s="1">
        <v>4.6619999999999999</v>
      </c>
      <c r="V1026" s="1">
        <v>326</v>
      </c>
      <c r="W1026" s="1">
        <v>614</v>
      </c>
      <c r="X1026" s="1">
        <v>1.8834355828220859</v>
      </c>
      <c r="Y1026" s="1">
        <v>325.99999999999989</v>
      </c>
      <c r="Z1026" s="1">
        <v>614</v>
      </c>
      <c r="AA1026" s="1">
        <v>1.8834355828220866</v>
      </c>
      <c r="AB1026" s="1">
        <v>332.42373187665902</v>
      </c>
      <c r="AC1026" s="1">
        <v>614.9047001744209</v>
      </c>
      <c r="AD1026" s="1">
        <v>1.8497617384386151</v>
      </c>
      <c r="AE1026" t="s">
        <v>4817</v>
      </c>
      <c r="AF1026" t="str">
        <f>IF(X1026&lt;$AF$1,"Bajo","Alto")</f>
        <v>Alto</v>
      </c>
      <c r="AG1026" t="str">
        <f>LEFT(AE1026,1)</f>
        <v>C</v>
      </c>
      <c r="AH1026" t="str">
        <f>K1026</f>
        <v>M</v>
      </c>
      <c r="AI1026" t="str">
        <f>LEFT(AF1026,1)</f>
        <v>A</v>
      </c>
      <c r="AJ1026" t="str">
        <f>LEFT(M1026,1)</f>
        <v>M</v>
      </c>
      <c r="AK1026" t="str">
        <f>_xlfn.CONCAT(AG1026,AH1026,AI1026,AJ1026)</f>
        <v>CMAM</v>
      </c>
    </row>
    <row r="1027" spans="1:37" ht="15.75" hidden="1" customHeight="1" x14ac:dyDescent="0.2">
      <c r="A1027" s="1">
        <v>10128007</v>
      </c>
      <c r="B1027" s="1" t="s">
        <v>29</v>
      </c>
      <c r="C1027" s="1" t="s">
        <v>30</v>
      </c>
      <c r="D1027" s="1" t="s">
        <v>555</v>
      </c>
      <c r="E1027" s="1" t="s">
        <v>556</v>
      </c>
      <c r="F1027" s="1" t="s">
        <v>43</v>
      </c>
      <c r="G1027" s="1" t="s">
        <v>558</v>
      </c>
      <c r="H1027" s="1">
        <v>16636</v>
      </c>
      <c r="I1027" s="1" t="s">
        <v>559</v>
      </c>
      <c r="J1027" s="1">
        <v>2676</v>
      </c>
      <c r="K1027" s="1" t="s">
        <v>35</v>
      </c>
      <c r="L1027" s="1">
        <v>30</v>
      </c>
      <c r="M1027" s="1" t="str">
        <f>IF(L1027&lt;=45,"Joven","Mayor")</f>
        <v>Joven</v>
      </c>
      <c r="N1027" s="1">
        <v>36</v>
      </c>
      <c r="O1027" s="1" t="s">
        <v>36</v>
      </c>
      <c r="P1027" s="1">
        <v>0.36099999999999999</v>
      </c>
      <c r="Q1027" s="1">
        <v>86.012</v>
      </c>
      <c r="R1027" s="1">
        <v>7.4044337000000002</v>
      </c>
      <c r="S1027" s="1">
        <v>-5.7112970000000001</v>
      </c>
      <c r="T1027" s="1">
        <v>-3.0032356</v>
      </c>
      <c r="U1027" s="1">
        <v>23.256</v>
      </c>
      <c r="V1027" s="1">
        <v>129</v>
      </c>
      <c r="W1027" s="1">
        <v>214</v>
      </c>
      <c r="X1027" s="1">
        <v>1.6589147286821706</v>
      </c>
      <c r="Y1027" s="1">
        <v>134</v>
      </c>
      <c r="Z1027" s="1">
        <v>214</v>
      </c>
      <c r="AA1027" s="1">
        <v>1.5970149253731343</v>
      </c>
      <c r="AB1027" s="1">
        <v>132.07115425688289</v>
      </c>
      <c r="AC1027" s="1">
        <v>213.86326466960551</v>
      </c>
      <c r="AD1027" s="1">
        <v>1.619303366226619</v>
      </c>
      <c r="AE1027" t="s">
        <v>4817</v>
      </c>
      <c r="AF1027" t="str">
        <f>IF(X1027&lt;$AF$1,"Bajo","Alto")</f>
        <v>Bajo</v>
      </c>
      <c r="AG1027" t="str">
        <f>LEFT(AE1027,1)</f>
        <v>C</v>
      </c>
      <c r="AH1027" t="str">
        <f>K1027</f>
        <v>M</v>
      </c>
      <c r="AI1027" t="str">
        <f>LEFT(AF1027,1)</f>
        <v>B</v>
      </c>
      <c r="AJ1027" t="str">
        <f>LEFT(M1027,1)</f>
        <v>J</v>
      </c>
      <c r="AK1027" t="str">
        <f>_xlfn.CONCAT(AG1027,AH1027,AI1027,AJ1027)</f>
        <v>CMBJ</v>
      </c>
    </row>
    <row r="1028" spans="1:37" ht="15.75" hidden="1" customHeight="1" x14ac:dyDescent="0.2">
      <c r="A1028" s="1">
        <v>231301</v>
      </c>
      <c r="B1028" s="1" t="s">
        <v>319</v>
      </c>
      <c r="C1028" s="1" t="s">
        <v>1989</v>
      </c>
      <c r="D1028" s="1" t="s">
        <v>2971</v>
      </c>
      <c r="E1028" s="1" t="s">
        <v>163</v>
      </c>
      <c r="F1028" s="1" t="s">
        <v>32</v>
      </c>
      <c r="G1028" s="1" t="s">
        <v>2972</v>
      </c>
      <c r="H1028" s="1">
        <v>2562</v>
      </c>
      <c r="I1028" s="1" t="s">
        <v>39</v>
      </c>
      <c r="J1028" s="1">
        <v>11</v>
      </c>
      <c r="K1028" s="1" t="s">
        <v>35</v>
      </c>
      <c r="L1028" s="1">
        <v>54</v>
      </c>
      <c r="M1028" s="1" t="str">
        <f>IF(L1028&lt;=45,"Joven","Mayor")</f>
        <v>Mayor</v>
      </c>
      <c r="N1028" s="1">
        <v>54</v>
      </c>
      <c r="O1028" s="1" t="s">
        <v>36</v>
      </c>
      <c r="P1028" s="1">
        <v>0.36</v>
      </c>
      <c r="Q1028" s="1">
        <v>54.4</v>
      </c>
      <c r="R1028" s="1">
        <v>14.896132</v>
      </c>
      <c r="S1028" s="1">
        <v>6.1913486000000004</v>
      </c>
      <c r="T1028" s="1">
        <v>-6.1294526999999999</v>
      </c>
      <c r="U1028" s="1">
        <v>11.327999999999999</v>
      </c>
      <c r="V1028" s="1">
        <v>77</v>
      </c>
      <c r="W1028" s="1">
        <v>146</v>
      </c>
      <c r="X1028" s="1">
        <v>1.8961038961038961</v>
      </c>
      <c r="Y1028" s="1">
        <v>77</v>
      </c>
      <c r="Z1028" s="1">
        <v>146</v>
      </c>
      <c r="AA1028" s="1">
        <v>1.8961038961038961</v>
      </c>
      <c r="AB1028" s="1">
        <v>80.830813214116006</v>
      </c>
      <c r="AC1028" s="1">
        <v>145.1653454594443</v>
      </c>
      <c r="AD1028" s="1">
        <v>1.7959159346190166</v>
      </c>
      <c r="AE1028" t="s">
        <v>4816</v>
      </c>
      <c r="AF1028" t="str">
        <f>IF(X1028&lt;$AF$1,"Bajo","Alto")</f>
        <v>Alto</v>
      </c>
      <c r="AG1028" t="str">
        <f>LEFT(AE1028,1)</f>
        <v>D</v>
      </c>
      <c r="AH1028" t="str">
        <f>K1028</f>
        <v>M</v>
      </c>
      <c r="AI1028" t="str">
        <f>LEFT(AF1028,1)</f>
        <v>A</v>
      </c>
      <c r="AJ1028" t="str">
        <f>LEFT(M1028,1)</f>
        <v>M</v>
      </c>
      <c r="AK1028" t="str">
        <f>_xlfn.CONCAT(AG1028,AH1028,AI1028,AJ1028)</f>
        <v>DMAM</v>
      </c>
    </row>
    <row r="1029" spans="1:37" ht="15.75" hidden="1" customHeight="1" x14ac:dyDescent="0.2">
      <c r="A1029" s="1">
        <v>2310601</v>
      </c>
      <c r="B1029" s="1" t="s">
        <v>319</v>
      </c>
      <c r="C1029" s="1" t="s">
        <v>1989</v>
      </c>
      <c r="D1029" s="1" t="s">
        <v>2931</v>
      </c>
      <c r="E1029" s="1" t="s">
        <v>95</v>
      </c>
      <c r="F1029" s="1" t="s">
        <v>32</v>
      </c>
      <c r="G1029" s="1" t="s">
        <v>2932</v>
      </c>
      <c r="H1029" s="1">
        <v>4209</v>
      </c>
      <c r="I1029" s="1" t="s">
        <v>65</v>
      </c>
      <c r="J1029" s="1">
        <v>2</v>
      </c>
      <c r="K1029" s="1" t="s">
        <v>35</v>
      </c>
      <c r="L1029" s="1">
        <v>38</v>
      </c>
      <c r="M1029" s="1" t="str">
        <f>IF(L1029&lt;=45,"Joven","Mayor")</f>
        <v>Joven</v>
      </c>
      <c r="N1029" s="1">
        <v>42</v>
      </c>
      <c r="O1029" s="1" t="s">
        <v>36</v>
      </c>
      <c r="P1029" s="1">
        <v>0.36699999999999999</v>
      </c>
      <c r="Q1029" s="1">
        <v>83.873999999999995</v>
      </c>
      <c r="R1029" s="1">
        <v>8.8330839999999995</v>
      </c>
      <c r="S1029" s="1">
        <v>3.8279489999999998</v>
      </c>
      <c r="T1029" s="1">
        <v>4.4664039999999998</v>
      </c>
      <c r="U1029" s="1">
        <v>1.298</v>
      </c>
      <c r="V1029" s="1">
        <v>97</v>
      </c>
      <c r="W1029" s="1">
        <v>161</v>
      </c>
      <c r="X1029" s="1">
        <v>1.6597938144329898</v>
      </c>
      <c r="Y1029" s="1">
        <v>102</v>
      </c>
      <c r="Z1029" s="1">
        <v>161</v>
      </c>
      <c r="AA1029" s="1">
        <v>1.5784313725490196</v>
      </c>
      <c r="AB1029" s="1">
        <v>100.6770282456048</v>
      </c>
      <c r="AC1029" s="1">
        <v>161.91281152036481</v>
      </c>
      <c r="AD1029" s="1">
        <v>1.6082398769794175</v>
      </c>
      <c r="AE1029" t="s">
        <v>4817</v>
      </c>
      <c r="AF1029" t="str">
        <f>IF(X1029&lt;$AF$1,"Bajo","Alto")</f>
        <v>Bajo</v>
      </c>
      <c r="AG1029" t="str">
        <f>LEFT(AE1029,1)</f>
        <v>C</v>
      </c>
      <c r="AH1029" t="str">
        <f>K1029</f>
        <v>M</v>
      </c>
      <c r="AI1029" t="str">
        <f>LEFT(AF1029,1)</f>
        <v>B</v>
      </c>
      <c r="AJ1029" t="str">
        <f>LEFT(M1029,1)</f>
        <v>J</v>
      </c>
      <c r="AK1029" t="str">
        <f>_xlfn.CONCAT(AG1029,AH1029,AI1029,AJ1029)</f>
        <v>CMBJ</v>
      </c>
    </row>
    <row r="1030" spans="1:37" ht="15.75" hidden="1" customHeight="1" x14ac:dyDescent="0.2">
      <c r="A1030" s="1">
        <v>1096104</v>
      </c>
      <c r="B1030" s="1" t="s">
        <v>719</v>
      </c>
      <c r="C1030" s="1" t="s">
        <v>98</v>
      </c>
      <c r="D1030" s="1" t="s">
        <v>1625</v>
      </c>
      <c r="E1030" s="1" t="s">
        <v>701</v>
      </c>
      <c r="F1030" s="1" t="s">
        <v>61</v>
      </c>
      <c r="G1030" s="1" t="s">
        <v>1628</v>
      </c>
      <c r="H1030" s="1">
        <v>902</v>
      </c>
      <c r="I1030" s="1" t="s">
        <v>108</v>
      </c>
      <c r="J1030" s="1">
        <v>3</v>
      </c>
      <c r="K1030" s="1" t="s">
        <v>35</v>
      </c>
      <c r="L1030" s="1">
        <v>47</v>
      </c>
      <c r="M1030" s="1" t="str">
        <f>IF(L1030&lt;=45,"Joven","Mayor")</f>
        <v>Mayor</v>
      </c>
      <c r="N1030" s="1">
        <v>48</v>
      </c>
      <c r="O1030" s="1" t="s">
        <v>36</v>
      </c>
      <c r="P1030" s="1">
        <v>0.35899999999999999</v>
      </c>
      <c r="Q1030" s="1">
        <v>88.37</v>
      </c>
      <c r="R1030" s="1">
        <v>6.783582</v>
      </c>
      <c r="S1030" s="1">
        <v>2.9884564999999998</v>
      </c>
      <c r="T1030" s="1">
        <v>7.4210319999999996E-2</v>
      </c>
      <c r="U1030" s="1">
        <v>2.1949999999999998</v>
      </c>
      <c r="V1030" s="1">
        <v>81</v>
      </c>
      <c r="W1030" s="1">
        <v>133</v>
      </c>
      <c r="X1030" s="1">
        <v>1.6419753086419753</v>
      </c>
      <c r="Y1030" s="1">
        <v>82</v>
      </c>
      <c r="Z1030" s="1">
        <v>133</v>
      </c>
      <c r="AA1030" s="1">
        <v>1.6219512195121952</v>
      </c>
      <c r="AB1030" s="1">
        <v>81.953303513023457</v>
      </c>
      <c r="AC1030" s="1">
        <v>133.00247886904029</v>
      </c>
      <c r="AD1030" s="1">
        <v>1.6229056446504861</v>
      </c>
      <c r="AE1030" t="s">
        <v>4817</v>
      </c>
      <c r="AF1030" t="str">
        <f>IF(X1030&lt;$AF$1,"Bajo","Alto")</f>
        <v>Bajo</v>
      </c>
      <c r="AG1030" t="str">
        <f>LEFT(AE1030,1)</f>
        <v>C</v>
      </c>
      <c r="AH1030" t="str">
        <f>K1030</f>
        <v>M</v>
      </c>
      <c r="AI1030" t="str">
        <f>LEFT(AF1030,1)</f>
        <v>B</v>
      </c>
      <c r="AJ1030" t="str">
        <f>LEFT(M1030,1)</f>
        <v>M</v>
      </c>
      <c r="AK1030" t="str">
        <f>_xlfn.CONCAT(AG1030,AH1030,AI1030,AJ1030)</f>
        <v>CMBM</v>
      </c>
    </row>
    <row r="1031" spans="1:37" ht="15.75" hidden="1" customHeight="1" x14ac:dyDescent="0.2">
      <c r="A1031" s="1">
        <v>278204</v>
      </c>
      <c r="B1031" s="1" t="s">
        <v>3409</v>
      </c>
      <c r="C1031" s="1" t="s">
        <v>973</v>
      </c>
      <c r="D1031" s="1" t="s">
        <v>3742</v>
      </c>
      <c r="E1031" s="1" t="s">
        <v>752</v>
      </c>
      <c r="F1031" s="1" t="s">
        <v>61</v>
      </c>
      <c r="G1031" s="1" t="s">
        <v>3743</v>
      </c>
      <c r="H1031" s="1">
        <v>7091</v>
      </c>
      <c r="I1031" s="1" t="s">
        <v>42</v>
      </c>
      <c r="J1031" s="1">
        <v>15</v>
      </c>
      <c r="K1031" s="1" t="s">
        <v>35</v>
      </c>
      <c r="L1031" s="1">
        <v>39</v>
      </c>
      <c r="M1031" s="1" t="str">
        <f>IF(L1031&lt;=45,"Joven","Mayor")</f>
        <v>Joven</v>
      </c>
      <c r="N1031" s="1">
        <v>47</v>
      </c>
      <c r="O1031" s="1" t="s">
        <v>36</v>
      </c>
      <c r="P1031" s="1">
        <v>0.35799999999999998</v>
      </c>
      <c r="Q1031" s="1">
        <v>73.697999999999993</v>
      </c>
      <c r="R1031" s="1">
        <v>12.056585999999999</v>
      </c>
      <c r="S1031" s="1">
        <v>2.5373424999999998</v>
      </c>
      <c r="T1031" s="1">
        <v>-5.5306635000000002</v>
      </c>
      <c r="U1031" s="1">
        <v>4.516</v>
      </c>
      <c r="V1031" s="1">
        <v>75</v>
      </c>
      <c r="W1031" s="1">
        <v>143</v>
      </c>
      <c r="X1031" s="1">
        <v>1.9066666666666667</v>
      </c>
      <c r="Y1031" s="1">
        <v>79</v>
      </c>
      <c r="Z1031" s="1">
        <v>143</v>
      </c>
      <c r="AA1031" s="1">
        <v>1.8101265822784811</v>
      </c>
      <c r="AB1031" s="1">
        <v>78.409616792637735</v>
      </c>
      <c r="AC1031" s="1">
        <v>142.3343008492084</v>
      </c>
      <c r="AD1031" s="1">
        <v>1.8152658649719722</v>
      </c>
      <c r="AE1031" t="s">
        <v>4817</v>
      </c>
      <c r="AF1031" t="str">
        <f>IF(X1031&lt;$AF$1,"Bajo","Alto")</f>
        <v>Alto</v>
      </c>
      <c r="AG1031" t="str">
        <f>LEFT(AE1031,1)</f>
        <v>C</v>
      </c>
      <c r="AH1031" t="str">
        <f>K1031</f>
        <v>M</v>
      </c>
      <c r="AI1031" t="str">
        <f>LEFT(AF1031,1)</f>
        <v>A</v>
      </c>
      <c r="AJ1031" t="str">
        <f>LEFT(M1031,1)</f>
        <v>J</v>
      </c>
      <c r="AK1031" t="str">
        <f>_xlfn.CONCAT(AG1031,AH1031,AI1031,AJ1031)</f>
        <v>CMAJ</v>
      </c>
    </row>
    <row r="1032" spans="1:37" ht="15.75" hidden="1" customHeight="1" x14ac:dyDescent="0.2">
      <c r="A1032" s="1">
        <v>1030705</v>
      </c>
      <c r="B1032" s="1" t="s">
        <v>783</v>
      </c>
      <c r="C1032" s="1" t="s">
        <v>81</v>
      </c>
      <c r="D1032" s="1" t="s">
        <v>792</v>
      </c>
      <c r="E1032" s="1" t="s">
        <v>43</v>
      </c>
      <c r="F1032" s="1" t="s">
        <v>40</v>
      </c>
      <c r="G1032" s="1" t="s">
        <v>797</v>
      </c>
      <c r="H1032" s="1">
        <v>158</v>
      </c>
      <c r="I1032" s="1" t="s">
        <v>91</v>
      </c>
      <c r="J1032" s="1">
        <v>6</v>
      </c>
      <c r="K1032" s="1" t="s">
        <v>35</v>
      </c>
      <c r="L1032" s="1">
        <v>54</v>
      </c>
      <c r="M1032" s="1" t="str">
        <f>IF(L1032&lt;=45,"Joven","Mayor")</f>
        <v>Mayor</v>
      </c>
      <c r="N1032" s="1">
        <v>54</v>
      </c>
      <c r="O1032" s="1" t="s">
        <v>36</v>
      </c>
      <c r="P1032" s="1">
        <v>0.35199999999999998</v>
      </c>
      <c r="Q1032" s="1">
        <v>91.096000000000004</v>
      </c>
      <c r="R1032" s="1">
        <v>4.1454643999999998</v>
      </c>
      <c r="S1032" s="1">
        <v>4.8279579999999997</v>
      </c>
      <c r="T1032" s="1">
        <v>-0.77250859999999999</v>
      </c>
      <c r="U1032" s="1">
        <v>8.5980000000000008</v>
      </c>
      <c r="V1032" s="1">
        <v>94</v>
      </c>
      <c r="W1032" s="1">
        <v>177</v>
      </c>
      <c r="X1032" s="1">
        <v>1.8829787234042554</v>
      </c>
      <c r="Y1032" s="1">
        <v>96</v>
      </c>
      <c r="Z1032" s="1">
        <v>177</v>
      </c>
      <c r="AA1032" s="1">
        <v>1.84375</v>
      </c>
      <c r="AB1032" s="1">
        <v>96.597982838516373</v>
      </c>
      <c r="AC1032" s="1">
        <v>176.97042973754199</v>
      </c>
      <c r="AD1032" s="1">
        <v>1.8320302819716732</v>
      </c>
      <c r="AE1032" t="s">
        <v>4817</v>
      </c>
      <c r="AF1032" t="str">
        <f>IF(X1032&lt;$AF$1,"Bajo","Alto")</f>
        <v>Alto</v>
      </c>
      <c r="AG1032" t="str">
        <f>LEFT(AE1032,1)</f>
        <v>C</v>
      </c>
      <c r="AH1032" t="str">
        <f>K1032</f>
        <v>M</v>
      </c>
      <c r="AI1032" t="str">
        <f>LEFT(AF1032,1)</f>
        <v>A</v>
      </c>
      <c r="AJ1032" t="str">
        <f>LEFT(M1032,1)</f>
        <v>M</v>
      </c>
      <c r="AK1032" t="str">
        <f>_xlfn.CONCAT(AG1032,AH1032,AI1032,AJ1032)</f>
        <v>CMAM</v>
      </c>
    </row>
    <row r="1033" spans="1:37" ht="15.75" hidden="1" customHeight="1" x14ac:dyDescent="0.2">
      <c r="A1033" s="1">
        <v>10121701</v>
      </c>
      <c r="B1033" s="1" t="s">
        <v>29</v>
      </c>
      <c r="C1033" s="1" t="s">
        <v>30</v>
      </c>
      <c r="D1033" s="1" t="s">
        <v>403</v>
      </c>
      <c r="E1033" s="1" t="s">
        <v>404</v>
      </c>
      <c r="F1033" s="1" t="s">
        <v>32</v>
      </c>
      <c r="G1033" s="1" t="s">
        <v>405</v>
      </c>
      <c r="H1033" s="1">
        <v>1605</v>
      </c>
      <c r="I1033" s="1" t="s">
        <v>100</v>
      </c>
      <c r="J1033" s="1">
        <v>1</v>
      </c>
      <c r="K1033" s="1" t="s">
        <v>35</v>
      </c>
      <c r="L1033" s="1">
        <v>67</v>
      </c>
      <c r="M1033" s="1" t="str">
        <f>IF(L1033&lt;=45,"Joven","Mayor")</f>
        <v>Mayor</v>
      </c>
      <c r="N1033" s="1">
        <v>65</v>
      </c>
      <c r="O1033" s="1" t="s">
        <v>36</v>
      </c>
      <c r="P1033" s="1">
        <v>1.8680000000000001</v>
      </c>
      <c r="Q1033" s="1">
        <v>93.031000000000006</v>
      </c>
      <c r="R1033" s="1">
        <v>2.6571661999999998</v>
      </c>
      <c r="S1033" s="1">
        <v>0.62776779999999999</v>
      </c>
      <c r="T1033" s="1">
        <v>-2.6595230000000001</v>
      </c>
      <c r="U1033" s="1">
        <v>0.64</v>
      </c>
      <c r="V1033" s="1">
        <v>109</v>
      </c>
      <c r="W1033" s="1">
        <v>179</v>
      </c>
      <c r="X1033" s="1">
        <v>1.6422018348623852</v>
      </c>
      <c r="Y1033" s="1">
        <v>114</v>
      </c>
      <c r="Z1033" s="1">
        <v>179</v>
      </c>
      <c r="AA1033" s="1">
        <v>1.5701754385964912</v>
      </c>
      <c r="AB1033" s="1">
        <v>115.8260432851973</v>
      </c>
      <c r="AC1033" s="1">
        <v>178.66799758384701</v>
      </c>
      <c r="AD1033" s="1">
        <v>1.5425546148020839</v>
      </c>
      <c r="AE1033" t="s">
        <v>4817</v>
      </c>
      <c r="AF1033" t="str">
        <f>IF(X1033&lt;$AF$1,"Bajo","Alto")</f>
        <v>Bajo</v>
      </c>
      <c r="AG1033" t="str">
        <f>LEFT(AE1033,1)</f>
        <v>C</v>
      </c>
      <c r="AH1033" t="str">
        <f>K1033</f>
        <v>M</v>
      </c>
      <c r="AI1033" t="str">
        <f>LEFT(AF1033,1)</f>
        <v>B</v>
      </c>
      <c r="AJ1033" t="str">
        <f>LEFT(M1033,1)</f>
        <v>M</v>
      </c>
      <c r="AK1033" t="str">
        <f>_xlfn.CONCAT(AG1033,AH1033,AI1033,AJ1033)</f>
        <v>CMBM</v>
      </c>
    </row>
    <row r="1034" spans="1:37" ht="15.75" hidden="1" customHeight="1" x14ac:dyDescent="0.2">
      <c r="A1034" s="1">
        <v>210104</v>
      </c>
      <c r="B1034" s="1" t="s">
        <v>2816</v>
      </c>
      <c r="C1034" s="1" t="s">
        <v>2817</v>
      </c>
      <c r="D1034" s="1" t="s">
        <v>2818</v>
      </c>
      <c r="E1034" s="1" t="s">
        <v>32</v>
      </c>
      <c r="F1034" s="1" t="s">
        <v>61</v>
      </c>
      <c r="G1034" s="1" t="s">
        <v>2819</v>
      </c>
      <c r="H1034" s="1">
        <v>3025</v>
      </c>
      <c r="I1034" s="1" t="s">
        <v>2820</v>
      </c>
      <c r="J1034" s="1">
        <v>658</v>
      </c>
      <c r="K1034" s="1" t="s">
        <v>35</v>
      </c>
      <c r="L1034" s="1">
        <v>57</v>
      </c>
      <c r="M1034" s="1" t="str">
        <f>IF(L1034&lt;=45,"Joven","Mayor")</f>
        <v>Mayor</v>
      </c>
      <c r="N1034" s="1">
        <v>49</v>
      </c>
      <c r="O1034" s="1" t="s">
        <v>36</v>
      </c>
      <c r="P1034" s="1">
        <v>2.161</v>
      </c>
      <c r="Q1034" s="1">
        <v>87.335999999999999</v>
      </c>
      <c r="R1034" s="1">
        <v>-6.4829173000000004</v>
      </c>
      <c r="S1034" s="1">
        <v>-4.7917949999999996</v>
      </c>
      <c r="T1034" s="1">
        <v>-5.6567825999999997</v>
      </c>
      <c r="U1034" s="1">
        <v>4.4820000000000002</v>
      </c>
      <c r="V1034" s="1">
        <v>94</v>
      </c>
      <c r="W1034" s="1">
        <v>177</v>
      </c>
      <c r="X1034" s="1">
        <v>1.8829787234042554</v>
      </c>
      <c r="Y1034" s="1">
        <v>99</v>
      </c>
      <c r="Z1034" s="1">
        <v>177</v>
      </c>
      <c r="AA1034" s="1">
        <v>1.7878787878787878</v>
      </c>
      <c r="AB1034" s="1">
        <v>98.864973941513881</v>
      </c>
      <c r="AC1034" s="1">
        <v>177.41944496756381</v>
      </c>
      <c r="AD1034" s="1">
        <v>1.7945632097422171</v>
      </c>
      <c r="AE1034" t="s">
        <v>4817</v>
      </c>
      <c r="AF1034" t="str">
        <f>IF(X1034&lt;$AF$1,"Bajo","Alto")</f>
        <v>Alto</v>
      </c>
      <c r="AG1034" t="str">
        <f>LEFT(AE1034,1)</f>
        <v>C</v>
      </c>
      <c r="AH1034" t="str">
        <f>K1034</f>
        <v>M</v>
      </c>
      <c r="AI1034" t="str">
        <f>LEFT(AF1034,1)</f>
        <v>A</v>
      </c>
      <c r="AJ1034" t="str">
        <f>LEFT(M1034,1)</f>
        <v>M</v>
      </c>
      <c r="AK1034" t="str">
        <f>_xlfn.CONCAT(AG1034,AH1034,AI1034,AJ1034)</f>
        <v>CMAM</v>
      </c>
    </row>
    <row r="1035" spans="1:37" ht="15.75" hidden="1" customHeight="1" x14ac:dyDescent="0.2">
      <c r="A1035" s="1">
        <v>235503</v>
      </c>
      <c r="B1035" s="1" t="s">
        <v>319</v>
      </c>
      <c r="C1035" s="1" t="s">
        <v>1989</v>
      </c>
      <c r="D1035" s="1" t="s">
        <v>3053</v>
      </c>
      <c r="E1035" s="1" t="s">
        <v>690</v>
      </c>
      <c r="F1035" s="1" t="s">
        <v>63</v>
      </c>
      <c r="G1035" s="1" t="s">
        <v>3054</v>
      </c>
      <c r="H1035" s="1">
        <v>577</v>
      </c>
      <c r="I1035" s="1" t="s">
        <v>3055</v>
      </c>
      <c r="J1035" s="1">
        <v>2782</v>
      </c>
      <c r="K1035" s="1" t="s">
        <v>35</v>
      </c>
      <c r="L1035" s="1">
        <v>31</v>
      </c>
      <c r="M1035" s="1" t="str">
        <f>IF(L1035&lt;=45,"Joven","Mayor")</f>
        <v>Joven</v>
      </c>
      <c r="N1035" s="1">
        <v>38</v>
      </c>
      <c r="O1035" s="1" t="s">
        <v>36</v>
      </c>
      <c r="P1035" s="1">
        <v>0.32700000000000001</v>
      </c>
      <c r="Q1035" s="1">
        <v>94.730999999999995</v>
      </c>
      <c r="R1035" s="1">
        <v>-5.7638254999999999E-3</v>
      </c>
      <c r="S1035" s="1">
        <v>1.3592280999999999</v>
      </c>
      <c r="T1035" s="1">
        <v>2.1636107</v>
      </c>
      <c r="U1035" s="1">
        <v>6.5819999999999999</v>
      </c>
      <c r="V1035" s="1">
        <v>96</v>
      </c>
      <c r="W1035" s="1">
        <v>183</v>
      </c>
      <c r="X1035" s="1">
        <v>1.90625</v>
      </c>
      <c r="Y1035" s="1">
        <v>106</v>
      </c>
      <c r="Z1035" s="1">
        <v>183</v>
      </c>
      <c r="AA1035" s="1">
        <v>1.7264150943396226</v>
      </c>
      <c r="AB1035" s="1">
        <v>104.22554008122189</v>
      </c>
      <c r="AC1035" s="1">
        <v>183.47358897443021</v>
      </c>
      <c r="AD1035" s="1">
        <v>1.7603515302626509</v>
      </c>
      <c r="AE1035" t="s">
        <v>4817</v>
      </c>
      <c r="AF1035" t="str">
        <f>IF(X1035&lt;$AF$1,"Bajo","Alto")</f>
        <v>Alto</v>
      </c>
      <c r="AG1035" t="str">
        <f>LEFT(AE1035,1)</f>
        <v>C</v>
      </c>
      <c r="AH1035" t="str">
        <f>K1035</f>
        <v>M</v>
      </c>
      <c r="AI1035" t="str">
        <f>LEFT(AF1035,1)</f>
        <v>A</v>
      </c>
      <c r="AJ1035" t="str">
        <f>LEFT(M1035,1)</f>
        <v>J</v>
      </c>
      <c r="AK1035" t="str">
        <f>_xlfn.CONCAT(AG1035,AH1035,AI1035,AJ1035)</f>
        <v>CMAJ</v>
      </c>
    </row>
    <row r="1036" spans="1:37" ht="15.75" hidden="1" customHeight="1" x14ac:dyDescent="0.2">
      <c r="A1036" s="1">
        <v>2713302</v>
      </c>
      <c r="B1036" s="1" t="s">
        <v>3409</v>
      </c>
      <c r="C1036" s="1" t="s">
        <v>973</v>
      </c>
      <c r="D1036" s="1" t="s">
        <v>3490</v>
      </c>
      <c r="E1036" s="1" t="s">
        <v>169</v>
      </c>
      <c r="F1036" s="1" t="s">
        <v>37</v>
      </c>
      <c r="G1036" s="1" t="s">
        <v>3491</v>
      </c>
      <c r="H1036" s="1">
        <v>58</v>
      </c>
      <c r="I1036" s="1" t="s">
        <v>48</v>
      </c>
      <c r="J1036" s="1">
        <v>4</v>
      </c>
      <c r="K1036" s="1" t="s">
        <v>49</v>
      </c>
      <c r="L1036" s="1">
        <v>50</v>
      </c>
      <c r="M1036" s="1" t="str">
        <f>IF(L1036&lt;=45,"Joven","Mayor")</f>
        <v>Mayor</v>
      </c>
      <c r="N1036" s="1">
        <v>36</v>
      </c>
      <c r="O1036" s="1" t="s">
        <v>50</v>
      </c>
      <c r="P1036" s="1">
        <v>0.51600000000000001</v>
      </c>
      <c r="Q1036" s="1">
        <v>94.626000000000005</v>
      </c>
      <c r="R1036" s="1">
        <v>0.57681625999999997</v>
      </c>
      <c r="S1036" s="1">
        <v>-0.16892081</v>
      </c>
      <c r="T1036" s="1">
        <v>-1.8830205</v>
      </c>
      <c r="U1036" s="1">
        <v>3.8660000000000001</v>
      </c>
      <c r="V1036" s="1">
        <v>93</v>
      </c>
      <c r="W1036" s="1">
        <v>176</v>
      </c>
      <c r="X1036" s="1">
        <v>1.89247311827957</v>
      </c>
      <c r="Y1036" s="1">
        <v>97</v>
      </c>
      <c r="Z1036" s="1">
        <v>176</v>
      </c>
      <c r="AA1036" s="1">
        <v>1.8144329896907216</v>
      </c>
      <c r="AB1036" s="1">
        <v>98.360556402965813</v>
      </c>
      <c r="AC1036" s="1">
        <v>175.57636964868789</v>
      </c>
      <c r="AD1036" s="1">
        <v>1.785028227467345</v>
      </c>
      <c r="AE1036" t="s">
        <v>4817</v>
      </c>
      <c r="AF1036" t="str">
        <f>IF(X1036&lt;$AF$1,"Bajo","Alto")</f>
        <v>Alto</v>
      </c>
      <c r="AG1036" t="str">
        <f>LEFT(AE1036,1)</f>
        <v>C</v>
      </c>
      <c r="AH1036" t="str">
        <f>K1036</f>
        <v>F</v>
      </c>
      <c r="AI1036" t="str">
        <f>LEFT(AF1036,1)</f>
        <v>A</v>
      </c>
      <c r="AJ1036" t="str">
        <f>LEFT(M1036,1)</f>
        <v>M</v>
      </c>
      <c r="AK1036" t="str">
        <f>_xlfn.CONCAT(AG1036,AH1036,AI1036,AJ1036)</f>
        <v>CFAM</v>
      </c>
    </row>
    <row r="1037" spans="1:37" ht="15.75" hidden="1" customHeight="1" x14ac:dyDescent="0.2">
      <c r="A1037" s="1">
        <v>1098503</v>
      </c>
      <c r="B1037" s="1" t="s">
        <v>719</v>
      </c>
      <c r="C1037" s="1" t="s">
        <v>98</v>
      </c>
      <c r="D1037" s="1" t="s">
        <v>1643</v>
      </c>
      <c r="E1037" s="1" t="s">
        <v>755</v>
      </c>
      <c r="F1037" s="1" t="s">
        <v>63</v>
      </c>
      <c r="G1037" s="1" t="s">
        <v>1646</v>
      </c>
      <c r="H1037" s="1">
        <v>4309</v>
      </c>
      <c r="I1037" s="1" t="s">
        <v>1647</v>
      </c>
      <c r="J1037" s="1">
        <v>1530</v>
      </c>
      <c r="K1037" s="1" t="s">
        <v>35</v>
      </c>
      <c r="L1037" s="1">
        <v>36</v>
      </c>
      <c r="M1037" s="1" t="str">
        <f>IF(L1037&lt;=45,"Joven","Mayor")</f>
        <v>Joven</v>
      </c>
      <c r="N1037" s="1">
        <v>44</v>
      </c>
      <c r="O1037" s="1" t="s">
        <v>36</v>
      </c>
      <c r="P1037" s="1">
        <v>1.0329999999999999</v>
      </c>
      <c r="Q1037" s="1">
        <v>91.712999999999994</v>
      </c>
      <c r="R1037" s="1">
        <v>3.6904537999999998</v>
      </c>
      <c r="S1037" s="1">
        <v>-3.6357849</v>
      </c>
      <c r="T1037" s="1">
        <v>-1.7749520000000001</v>
      </c>
      <c r="U1037" s="1">
        <v>75.372</v>
      </c>
      <c r="V1037" s="1">
        <v>85</v>
      </c>
      <c r="W1037" s="1">
        <v>162</v>
      </c>
      <c r="X1037" s="1">
        <v>1.9058823529411764</v>
      </c>
      <c r="Y1037" s="1">
        <v>87</v>
      </c>
      <c r="Z1037" s="1">
        <v>162</v>
      </c>
      <c r="AA1037" s="1">
        <v>1.8620689655172413</v>
      </c>
      <c r="AB1037" s="1">
        <v>86.291090193946275</v>
      </c>
      <c r="AC1037" s="1">
        <v>162.04616707192281</v>
      </c>
      <c r="AD1037" s="1">
        <v>1.877901492584122</v>
      </c>
      <c r="AE1037" t="s">
        <v>4817</v>
      </c>
      <c r="AF1037" t="str">
        <f>IF(X1037&lt;$AF$1,"Bajo","Alto")</f>
        <v>Alto</v>
      </c>
      <c r="AG1037" t="str">
        <f>LEFT(AE1037,1)</f>
        <v>C</v>
      </c>
      <c r="AH1037" t="str">
        <f>K1037</f>
        <v>M</v>
      </c>
      <c r="AI1037" t="str">
        <f>LEFT(AF1037,1)</f>
        <v>A</v>
      </c>
      <c r="AJ1037" t="str">
        <f>LEFT(M1037,1)</f>
        <v>J</v>
      </c>
      <c r="AK1037" t="str">
        <f>_xlfn.CONCAT(AG1037,AH1037,AI1037,AJ1037)</f>
        <v>CMAJ</v>
      </c>
    </row>
    <row r="1038" spans="1:37" ht="15.75" hidden="1" customHeight="1" x14ac:dyDescent="0.2">
      <c r="A1038" s="1">
        <v>298206</v>
      </c>
      <c r="B1038" s="1" t="s">
        <v>3890</v>
      </c>
      <c r="C1038" s="1" t="s">
        <v>1695</v>
      </c>
      <c r="D1038" s="1" t="s">
        <v>4081</v>
      </c>
      <c r="E1038" s="1" t="s">
        <v>752</v>
      </c>
      <c r="F1038" s="1" t="s">
        <v>88</v>
      </c>
      <c r="G1038" s="1" t="s">
        <v>4083</v>
      </c>
      <c r="H1038" s="1">
        <v>1190</v>
      </c>
      <c r="I1038" s="1" t="s">
        <v>91</v>
      </c>
      <c r="J1038" s="1">
        <v>6</v>
      </c>
      <c r="K1038" s="1" t="s">
        <v>35</v>
      </c>
      <c r="L1038" s="1">
        <v>37</v>
      </c>
      <c r="M1038" s="1" t="str">
        <f>IF(L1038&lt;=45,"Joven","Mayor")</f>
        <v>Joven</v>
      </c>
      <c r="N1038" s="1">
        <v>47</v>
      </c>
      <c r="O1038" s="1" t="s">
        <v>36</v>
      </c>
      <c r="P1038" s="1">
        <v>0.39500000000000002</v>
      </c>
      <c r="Q1038" s="1">
        <v>94.197000000000003</v>
      </c>
      <c r="R1038" s="1">
        <v>0.33771785999999998</v>
      </c>
      <c r="S1038" s="1">
        <v>-3.3367753000000002</v>
      </c>
      <c r="T1038" s="1">
        <v>2.1038234</v>
      </c>
      <c r="U1038" s="1">
        <v>13.696</v>
      </c>
      <c r="V1038" s="1">
        <v>85</v>
      </c>
      <c r="W1038" s="1">
        <v>162</v>
      </c>
      <c r="X1038" s="1">
        <v>1.9058823529411764</v>
      </c>
      <c r="Y1038" s="1">
        <v>88</v>
      </c>
      <c r="Z1038" s="1">
        <v>162</v>
      </c>
      <c r="AA1038" s="1">
        <v>1.8409090909090908</v>
      </c>
      <c r="AB1038" s="1">
        <v>86.545688273494306</v>
      </c>
      <c r="AC1038" s="1">
        <v>162.1110656665787</v>
      </c>
      <c r="AD1038" s="1">
        <v>1.8731270026334428</v>
      </c>
      <c r="AE1038" t="s">
        <v>4817</v>
      </c>
      <c r="AF1038" t="str">
        <f>IF(X1038&lt;$AF$1,"Bajo","Alto")</f>
        <v>Alto</v>
      </c>
      <c r="AG1038" t="str">
        <f>LEFT(AE1038,1)</f>
        <v>C</v>
      </c>
      <c r="AH1038" t="str">
        <f>K1038</f>
        <v>M</v>
      </c>
      <c r="AI1038" t="str">
        <f>LEFT(AF1038,1)</f>
        <v>A</v>
      </c>
      <c r="AJ1038" t="str">
        <f>LEFT(M1038,1)</f>
        <v>J</v>
      </c>
      <c r="AK1038" t="str">
        <f>_xlfn.CONCAT(AG1038,AH1038,AI1038,AJ1038)</f>
        <v>CMAJ</v>
      </c>
    </row>
    <row r="1039" spans="1:37" ht="15.75" hidden="1" customHeight="1" x14ac:dyDescent="0.2">
      <c r="A1039" s="1">
        <v>1533404</v>
      </c>
      <c r="B1039" s="1" t="s">
        <v>2077</v>
      </c>
      <c r="C1039" s="1" t="s">
        <v>57</v>
      </c>
      <c r="D1039" s="1" t="s">
        <v>2426</v>
      </c>
      <c r="E1039" s="1" t="s">
        <v>1423</v>
      </c>
      <c r="F1039" s="1" t="s">
        <v>61</v>
      </c>
      <c r="G1039" s="1" t="s">
        <v>2429</v>
      </c>
      <c r="H1039" s="1">
        <v>3316</v>
      </c>
      <c r="I1039" s="1" t="s">
        <v>2430</v>
      </c>
      <c r="J1039" s="1">
        <v>84</v>
      </c>
      <c r="K1039" s="1" t="s">
        <v>49</v>
      </c>
      <c r="L1039" s="1">
        <v>38</v>
      </c>
      <c r="M1039" s="1" t="str">
        <f>IF(L1039&lt;=45,"Joven","Mayor")</f>
        <v>Joven</v>
      </c>
      <c r="N1039" s="1">
        <v>32</v>
      </c>
      <c r="O1039" s="1" t="s">
        <v>50</v>
      </c>
      <c r="P1039" s="1">
        <v>8.2000000000000003E-2</v>
      </c>
      <c r="Q1039" s="1">
        <v>43.7</v>
      </c>
      <c r="R1039" s="1">
        <v>16.643612000000001</v>
      </c>
      <c r="S1039" s="1">
        <v>-4.0060750000000001</v>
      </c>
      <c r="T1039" s="1">
        <v>6.8358355</v>
      </c>
      <c r="U1039" s="1">
        <v>19.803000000000001</v>
      </c>
      <c r="V1039" s="1">
        <v>83</v>
      </c>
      <c r="W1039" s="1">
        <v>160</v>
      </c>
      <c r="X1039" s="1">
        <v>1.927710843373494</v>
      </c>
      <c r="Y1039" s="1">
        <v>94</v>
      </c>
      <c r="Z1039" s="1">
        <v>160</v>
      </c>
      <c r="AA1039" s="1">
        <v>1.7021276595744681</v>
      </c>
      <c r="AB1039" s="1">
        <v>91.665428392603189</v>
      </c>
      <c r="AC1039" s="1">
        <v>162.90945110677239</v>
      </c>
      <c r="AD1039" s="1">
        <v>1.7772180195245577</v>
      </c>
      <c r="AE1039" t="s">
        <v>4817</v>
      </c>
      <c r="AF1039" t="str">
        <f>IF(X1039&lt;$AF$1,"Bajo","Alto")</f>
        <v>Alto</v>
      </c>
      <c r="AG1039" t="str">
        <f>LEFT(AE1039,1)</f>
        <v>C</v>
      </c>
      <c r="AH1039" t="str">
        <f>K1039</f>
        <v>F</v>
      </c>
      <c r="AI1039" t="str">
        <f>LEFT(AF1039,1)</f>
        <v>A</v>
      </c>
      <c r="AJ1039" t="str">
        <f>LEFT(M1039,1)</f>
        <v>J</v>
      </c>
      <c r="AK1039" t="str">
        <f>_xlfn.CONCAT(AG1039,AH1039,AI1039,AJ1039)</f>
        <v>CFAJ</v>
      </c>
    </row>
    <row r="1040" spans="1:37" ht="15.75" hidden="1" customHeight="1" x14ac:dyDescent="0.2">
      <c r="A1040" s="1">
        <v>1528904</v>
      </c>
      <c r="B1040" s="1" t="s">
        <v>2077</v>
      </c>
      <c r="C1040" s="1" t="s">
        <v>57</v>
      </c>
      <c r="D1040" s="1" t="s">
        <v>2360</v>
      </c>
      <c r="E1040" s="1" t="s">
        <v>580</v>
      </c>
      <c r="F1040" s="1" t="s">
        <v>61</v>
      </c>
      <c r="G1040" s="1" t="s">
        <v>2364</v>
      </c>
      <c r="H1040" s="1">
        <v>3363</v>
      </c>
      <c r="I1040" s="1" t="s">
        <v>2365</v>
      </c>
      <c r="J1040" s="1">
        <v>3218</v>
      </c>
      <c r="K1040" s="1" t="s">
        <v>35</v>
      </c>
      <c r="L1040" s="1">
        <v>31</v>
      </c>
      <c r="M1040" s="1" t="str">
        <f>IF(L1040&lt;=45,"Joven","Mayor")</f>
        <v>Joven</v>
      </c>
      <c r="N1040" s="1">
        <v>40</v>
      </c>
      <c r="O1040" s="1" t="s">
        <v>36</v>
      </c>
      <c r="P1040" s="1">
        <v>0.35899999999999999</v>
      </c>
      <c r="Q1040" s="1">
        <v>89.23</v>
      </c>
      <c r="R1040" s="1">
        <v>5.0097895000000001</v>
      </c>
      <c r="S1040" s="1">
        <v>6.8533005999999999</v>
      </c>
      <c r="T1040" s="1">
        <v>-7.8818064000000003</v>
      </c>
      <c r="U1040" s="1">
        <v>12.224</v>
      </c>
      <c r="V1040" s="1">
        <v>53</v>
      </c>
      <c r="W1040" s="1">
        <v>101</v>
      </c>
      <c r="X1040" s="1">
        <v>1.9056603773584906</v>
      </c>
      <c r="Y1040" s="1">
        <v>59</v>
      </c>
      <c r="Z1040" s="1">
        <v>101</v>
      </c>
      <c r="AA1040" s="1">
        <v>1.7118644067796611</v>
      </c>
      <c r="AB1040" s="1">
        <v>56.47608245193328</v>
      </c>
      <c r="AC1040" s="1">
        <v>100.8686388639553</v>
      </c>
      <c r="AD1040" s="1">
        <v>1.7860417097769568</v>
      </c>
      <c r="AE1040" t="s">
        <v>4817</v>
      </c>
      <c r="AF1040" t="str">
        <f>IF(X1040&lt;$AF$1,"Bajo","Alto")</f>
        <v>Alto</v>
      </c>
      <c r="AG1040" t="str">
        <f>LEFT(AE1040,1)</f>
        <v>C</v>
      </c>
      <c r="AH1040" t="str">
        <f>K1040</f>
        <v>M</v>
      </c>
      <c r="AI1040" t="str">
        <f>LEFT(AF1040,1)</f>
        <v>A</v>
      </c>
      <c r="AJ1040" t="str">
        <f>LEFT(M1040,1)</f>
        <v>J</v>
      </c>
      <c r="AK1040" t="str">
        <f>_xlfn.CONCAT(AG1040,AH1040,AI1040,AJ1040)</f>
        <v>CMAJ</v>
      </c>
    </row>
    <row r="1041" spans="1:37" ht="15.75" hidden="1" customHeight="1" x14ac:dyDescent="0.2">
      <c r="A1041" s="1">
        <v>2716702</v>
      </c>
      <c r="B1041" s="1" t="s">
        <v>3409</v>
      </c>
      <c r="C1041" s="1" t="s">
        <v>973</v>
      </c>
      <c r="D1041" s="1" t="s">
        <v>3543</v>
      </c>
      <c r="E1041" s="1" t="s">
        <v>3544</v>
      </c>
      <c r="F1041" s="1" t="s">
        <v>37</v>
      </c>
      <c r="G1041" s="1" t="s">
        <v>3546</v>
      </c>
      <c r="H1041" s="1">
        <v>338</v>
      </c>
      <c r="I1041" s="1" t="s">
        <v>45</v>
      </c>
      <c r="J1041" s="1">
        <v>17</v>
      </c>
      <c r="K1041" s="1" t="s">
        <v>35</v>
      </c>
      <c r="L1041" s="1">
        <v>23</v>
      </c>
      <c r="M1041" s="1" t="str">
        <f>IF(L1041&lt;=45,"Joven","Mayor")</f>
        <v>Joven</v>
      </c>
      <c r="N1041" s="1">
        <v>30</v>
      </c>
      <c r="O1041" s="1" t="s">
        <v>36</v>
      </c>
      <c r="P1041" s="1">
        <v>0.98599999999999999</v>
      </c>
      <c r="Q1041" s="1">
        <v>93.149000000000001</v>
      </c>
      <c r="R1041" s="1">
        <v>2.9302730000000001</v>
      </c>
      <c r="S1041" s="1">
        <v>0.22007039</v>
      </c>
      <c r="T1041" s="1">
        <v>-3.0558106999999999</v>
      </c>
      <c r="U1041" s="1">
        <v>89.914000000000001</v>
      </c>
      <c r="V1041" s="1">
        <v>97</v>
      </c>
      <c r="W1041" s="1">
        <v>161</v>
      </c>
      <c r="X1041" s="1">
        <v>1.6597938144329898</v>
      </c>
      <c r="Y1041" s="1">
        <v>99</v>
      </c>
      <c r="Z1041" s="1">
        <v>161</v>
      </c>
      <c r="AA1041" s="1">
        <v>1.6262626262626263</v>
      </c>
      <c r="AB1041" s="1">
        <v>99.420890397550693</v>
      </c>
      <c r="AC1041" s="1">
        <v>161.03761451566379</v>
      </c>
      <c r="AD1041" s="1">
        <v>1.6197563094811216</v>
      </c>
      <c r="AE1041" t="s">
        <v>4817</v>
      </c>
      <c r="AF1041" t="str">
        <f>IF(X1041&lt;$AF$1,"Bajo","Alto")</f>
        <v>Bajo</v>
      </c>
      <c r="AG1041" t="str">
        <f>LEFT(AE1041,1)</f>
        <v>C</v>
      </c>
      <c r="AH1041" t="str">
        <f>K1041</f>
        <v>M</v>
      </c>
      <c r="AI1041" t="str">
        <f>LEFT(AF1041,1)</f>
        <v>B</v>
      </c>
      <c r="AJ1041" t="str">
        <f>LEFT(M1041,1)</f>
        <v>J</v>
      </c>
      <c r="AK1041" t="str">
        <f>_xlfn.CONCAT(AG1041,AH1041,AI1041,AJ1041)</f>
        <v>CMBJ</v>
      </c>
    </row>
    <row r="1042" spans="1:37" ht="15.75" hidden="1" customHeight="1" x14ac:dyDescent="0.2">
      <c r="A1042" s="1">
        <v>219505</v>
      </c>
      <c r="B1042" s="1" t="s">
        <v>2816</v>
      </c>
      <c r="C1042" s="1" t="s">
        <v>2817</v>
      </c>
      <c r="D1042" s="1" t="s">
        <v>2913</v>
      </c>
      <c r="E1042" s="1" t="s">
        <v>1056</v>
      </c>
      <c r="F1042" s="1" t="s">
        <v>40</v>
      </c>
      <c r="G1042" s="1" t="s">
        <v>2915</v>
      </c>
      <c r="H1042" s="1">
        <v>6663</v>
      </c>
      <c r="I1042" s="1" t="s">
        <v>65</v>
      </c>
      <c r="J1042" s="1">
        <v>2</v>
      </c>
      <c r="K1042" s="1" t="s">
        <v>35</v>
      </c>
      <c r="L1042" s="1">
        <v>54</v>
      </c>
      <c r="M1042" s="1" t="str">
        <f>IF(L1042&lt;=45,"Joven","Mayor")</f>
        <v>Mayor</v>
      </c>
      <c r="N1042" s="1">
        <v>56</v>
      </c>
      <c r="O1042" s="1" t="s">
        <v>36</v>
      </c>
      <c r="P1042" s="1">
        <v>0.36</v>
      </c>
      <c r="Q1042" s="1">
        <v>93.072999999999993</v>
      </c>
      <c r="R1042" s="1">
        <v>-1.4685102999999999</v>
      </c>
      <c r="S1042" s="1">
        <v>5.3329963999999999</v>
      </c>
      <c r="T1042" s="1">
        <v>2.4522664999999999</v>
      </c>
      <c r="U1042" s="1">
        <v>12.946</v>
      </c>
      <c r="V1042" s="1">
        <v>94</v>
      </c>
      <c r="W1042" s="1">
        <v>177</v>
      </c>
      <c r="X1042" s="1">
        <v>1.8829787234042554</v>
      </c>
      <c r="Y1042" s="1">
        <v>96</v>
      </c>
      <c r="Z1042" s="1">
        <v>177</v>
      </c>
      <c r="AA1042" s="1">
        <v>1.84375</v>
      </c>
      <c r="AB1042" s="1">
        <v>97.794715164914123</v>
      </c>
      <c r="AC1042" s="1">
        <v>176.66675772890221</v>
      </c>
      <c r="AD1042" s="1">
        <v>1.8065061842143906</v>
      </c>
      <c r="AE1042" t="s">
        <v>4817</v>
      </c>
      <c r="AF1042" t="str">
        <f>IF(X1042&lt;$AF$1,"Bajo","Alto")</f>
        <v>Alto</v>
      </c>
      <c r="AG1042" t="str">
        <f>LEFT(AE1042,1)</f>
        <v>C</v>
      </c>
      <c r="AH1042" t="str">
        <f>K1042</f>
        <v>M</v>
      </c>
      <c r="AI1042" t="str">
        <f>LEFT(AF1042,1)</f>
        <v>A</v>
      </c>
      <c r="AJ1042" t="str">
        <f>LEFT(M1042,1)</f>
        <v>M</v>
      </c>
      <c r="AK1042" t="str">
        <f>_xlfn.CONCAT(AG1042,AH1042,AI1042,AJ1042)</f>
        <v>CMAM</v>
      </c>
    </row>
    <row r="1043" spans="1:37" ht="15.75" hidden="1" customHeight="1" x14ac:dyDescent="0.2">
      <c r="A1043" s="1">
        <v>242503</v>
      </c>
      <c r="B1043" s="1" t="s">
        <v>1548</v>
      </c>
      <c r="C1043" s="1" t="s">
        <v>1993</v>
      </c>
      <c r="D1043" s="1" t="s">
        <v>3134</v>
      </c>
      <c r="E1043" s="1" t="s">
        <v>821</v>
      </c>
      <c r="F1043" s="1" t="s">
        <v>63</v>
      </c>
      <c r="G1043" s="1" t="s">
        <v>3136</v>
      </c>
      <c r="H1043" s="1">
        <v>1648</v>
      </c>
      <c r="I1043" s="1" t="s">
        <v>85</v>
      </c>
      <c r="J1043" s="1">
        <v>12</v>
      </c>
      <c r="K1043" s="1" t="s">
        <v>35</v>
      </c>
      <c r="L1043" s="1">
        <v>49</v>
      </c>
      <c r="M1043" s="1" t="str">
        <f>IF(L1043&lt;=45,"Joven","Mayor")</f>
        <v>Mayor</v>
      </c>
      <c r="N1043" s="1">
        <v>52</v>
      </c>
      <c r="O1043" s="1" t="s">
        <v>36</v>
      </c>
      <c r="P1043" s="1">
        <v>1.111</v>
      </c>
      <c r="Q1043" s="1">
        <v>91.004000000000005</v>
      </c>
      <c r="R1043" s="1">
        <v>4.9210820000000002</v>
      </c>
      <c r="S1043" s="1">
        <v>1.6773321999999999</v>
      </c>
      <c r="T1043" s="1">
        <v>-1.9676070999999999</v>
      </c>
      <c r="U1043" s="1">
        <v>1.776</v>
      </c>
      <c r="V1043" s="1">
        <v>89</v>
      </c>
      <c r="W1043" s="1">
        <v>147</v>
      </c>
      <c r="X1043" s="1">
        <v>1.651685393258427</v>
      </c>
      <c r="Y1043" s="1">
        <v>90</v>
      </c>
      <c r="Z1043" s="1">
        <v>147</v>
      </c>
      <c r="AA1043" s="1">
        <v>1.6333333333333333</v>
      </c>
      <c r="AB1043" s="1">
        <v>90.976970019612054</v>
      </c>
      <c r="AC1043" s="1">
        <v>146.91332853152429</v>
      </c>
      <c r="AD1043" s="1">
        <v>1.6148408602732531</v>
      </c>
      <c r="AE1043" t="s">
        <v>4815</v>
      </c>
      <c r="AF1043" t="str">
        <f>IF(X1043&lt;$AF$1,"Bajo","Alto")</f>
        <v>Bajo</v>
      </c>
      <c r="AG1043" t="str">
        <f>LEFT(AE1043,1)</f>
        <v>I</v>
      </c>
      <c r="AH1043" t="str">
        <f>K1043</f>
        <v>M</v>
      </c>
      <c r="AI1043" t="str">
        <f>LEFT(AF1043,1)</f>
        <v>B</v>
      </c>
      <c r="AJ1043" t="str">
        <f>LEFT(M1043,1)</f>
        <v>M</v>
      </c>
      <c r="AK1043" t="str">
        <f>_xlfn.CONCAT(AG1043,AH1043,AI1043,AJ1043)</f>
        <v>IMBM</v>
      </c>
    </row>
    <row r="1044" spans="1:37" ht="15.75" hidden="1" customHeight="1" x14ac:dyDescent="0.2">
      <c r="A1044" s="1">
        <v>1077602</v>
      </c>
      <c r="B1044" s="1" t="s">
        <v>1067</v>
      </c>
      <c r="C1044" s="1" t="s">
        <v>1068</v>
      </c>
      <c r="D1044" s="1" t="s">
        <v>1488</v>
      </c>
      <c r="E1044" s="1" t="s">
        <v>727</v>
      </c>
      <c r="F1044" s="1" t="s">
        <v>37</v>
      </c>
      <c r="G1044" s="1" t="s">
        <v>1490</v>
      </c>
      <c r="H1044" s="1">
        <v>395</v>
      </c>
      <c r="I1044" s="1" t="s">
        <v>1491</v>
      </c>
      <c r="J1044" s="1">
        <v>2641</v>
      </c>
      <c r="K1044" s="1" t="s">
        <v>49</v>
      </c>
      <c r="L1044" s="1">
        <v>32</v>
      </c>
      <c r="M1044" s="1" t="str">
        <f>IF(L1044&lt;=45,"Joven","Mayor")</f>
        <v>Joven</v>
      </c>
      <c r="N1044" s="1">
        <v>30</v>
      </c>
      <c r="O1044" s="1" t="s">
        <v>50</v>
      </c>
      <c r="P1044" s="1">
        <v>0.311</v>
      </c>
      <c r="Q1044" s="1">
        <v>83.585999999999999</v>
      </c>
      <c r="R1044" s="1">
        <v>-8.7819800000000008</v>
      </c>
      <c r="S1044" s="1">
        <v>4.6477599999999999</v>
      </c>
      <c r="T1044" s="1">
        <v>-0.46094980000000002</v>
      </c>
      <c r="U1044" s="1">
        <v>19.029</v>
      </c>
      <c r="V1044" s="1">
        <v>73</v>
      </c>
      <c r="W1044" s="1">
        <v>140</v>
      </c>
      <c r="X1044" s="1">
        <v>1.9178082191780821</v>
      </c>
      <c r="Y1044" s="1">
        <v>75</v>
      </c>
      <c r="Z1044" s="1">
        <v>140</v>
      </c>
      <c r="AA1044" s="1">
        <v>1.8666666666666667</v>
      </c>
      <c r="AB1044" s="1">
        <v>75.287193058667526</v>
      </c>
      <c r="AC1044" s="1">
        <v>140.05178441379439</v>
      </c>
      <c r="AD1044" s="1">
        <v>1.8602338422241227</v>
      </c>
      <c r="AE1044" t="s">
        <v>4817</v>
      </c>
      <c r="AF1044" t="str">
        <f>IF(X1044&lt;$AF$1,"Bajo","Alto")</f>
        <v>Alto</v>
      </c>
      <c r="AG1044" t="str">
        <f>LEFT(AE1044,1)</f>
        <v>C</v>
      </c>
      <c r="AH1044" t="str">
        <f>K1044</f>
        <v>F</v>
      </c>
      <c r="AI1044" t="str">
        <f>LEFT(AF1044,1)</f>
        <v>A</v>
      </c>
      <c r="AJ1044" t="str">
        <f>LEFT(M1044,1)</f>
        <v>J</v>
      </c>
      <c r="AK1044" t="str">
        <f>_xlfn.CONCAT(AG1044,AH1044,AI1044,AJ1044)</f>
        <v>CFAJ</v>
      </c>
    </row>
    <row r="1045" spans="1:37" ht="15.75" hidden="1" customHeight="1" x14ac:dyDescent="0.2">
      <c r="A1045" s="1">
        <v>284802</v>
      </c>
      <c r="B1045" s="1" t="s">
        <v>1775</v>
      </c>
      <c r="C1045" s="1" t="s">
        <v>561</v>
      </c>
      <c r="D1045" s="1" t="s">
        <v>3869</v>
      </c>
      <c r="E1045" s="1" t="s">
        <v>2650</v>
      </c>
      <c r="F1045" s="1" t="s">
        <v>37</v>
      </c>
      <c r="G1045" s="1" t="s">
        <v>3870</v>
      </c>
      <c r="H1045" s="1">
        <v>145</v>
      </c>
      <c r="I1045" s="1" t="s">
        <v>34</v>
      </c>
      <c r="J1045" s="1">
        <v>10</v>
      </c>
      <c r="K1045" s="1" t="s">
        <v>35</v>
      </c>
      <c r="L1045" s="1">
        <v>48</v>
      </c>
      <c r="M1045" s="1" t="str">
        <f>IF(L1045&lt;=45,"Joven","Mayor")</f>
        <v>Mayor</v>
      </c>
      <c r="N1045" s="1">
        <v>53</v>
      </c>
      <c r="O1045" s="1" t="s">
        <v>36</v>
      </c>
      <c r="P1045" s="1">
        <v>0.308</v>
      </c>
      <c r="Q1045" s="1">
        <v>93.813000000000002</v>
      </c>
      <c r="R1045" s="1">
        <v>2.1979658999999998</v>
      </c>
      <c r="S1045" s="1">
        <v>0.19910172000000001</v>
      </c>
      <c r="T1045" s="1">
        <v>1.8864177</v>
      </c>
      <c r="U1045" s="1">
        <v>1.371</v>
      </c>
      <c r="V1045" s="1">
        <v>84</v>
      </c>
      <c r="W1045" s="1">
        <v>157</v>
      </c>
      <c r="X1045" s="1">
        <v>1.8690476190476191</v>
      </c>
      <c r="Y1045" s="1">
        <v>86</v>
      </c>
      <c r="Z1045" s="1">
        <v>157</v>
      </c>
      <c r="AA1045" s="1">
        <v>1.8255813953488371</v>
      </c>
      <c r="AB1045" s="1">
        <v>87.07261264976114</v>
      </c>
      <c r="AC1045" s="1">
        <v>156.81615869990171</v>
      </c>
      <c r="AD1045" s="1">
        <v>1.8009814329412095</v>
      </c>
      <c r="AE1045" t="s">
        <v>4815</v>
      </c>
      <c r="AF1045" t="str">
        <f>IF(X1045&lt;$AF$1,"Bajo","Alto")</f>
        <v>Alto</v>
      </c>
      <c r="AG1045" t="str">
        <f>LEFT(AE1045,1)</f>
        <v>I</v>
      </c>
      <c r="AH1045" t="str">
        <f>K1045</f>
        <v>M</v>
      </c>
      <c r="AI1045" t="str">
        <f>LEFT(AF1045,1)</f>
        <v>A</v>
      </c>
      <c r="AJ1045" t="str">
        <f>LEFT(M1045,1)</f>
        <v>M</v>
      </c>
      <c r="AK1045" t="str">
        <f>_xlfn.CONCAT(AG1045,AH1045,AI1045,AJ1045)</f>
        <v>IMAM</v>
      </c>
    </row>
    <row r="1046" spans="1:37" ht="15.75" hidden="1" customHeight="1" x14ac:dyDescent="0.2">
      <c r="A1046" s="1">
        <v>10123002</v>
      </c>
      <c r="B1046" s="1" t="s">
        <v>29</v>
      </c>
      <c r="C1046" s="1" t="s">
        <v>30</v>
      </c>
      <c r="D1046" s="1" t="s">
        <v>449</v>
      </c>
      <c r="E1046" s="1" t="s">
        <v>450</v>
      </c>
      <c r="F1046" s="1" t="s">
        <v>37</v>
      </c>
      <c r="G1046" s="1" t="s">
        <v>453</v>
      </c>
      <c r="H1046" s="1">
        <v>588</v>
      </c>
      <c r="I1046" s="1" t="s">
        <v>454</v>
      </c>
      <c r="J1046" s="1">
        <v>4306</v>
      </c>
      <c r="K1046" s="1" t="s">
        <v>35</v>
      </c>
      <c r="L1046" s="1">
        <v>53</v>
      </c>
      <c r="M1046" s="1" t="str">
        <f>IF(L1046&lt;=45,"Joven","Mayor")</f>
        <v>Mayor</v>
      </c>
      <c r="N1046" s="1">
        <v>61</v>
      </c>
      <c r="O1046" s="1" t="s">
        <v>36</v>
      </c>
      <c r="P1046" s="1">
        <v>5.4870000000000001</v>
      </c>
      <c r="Q1046" s="1">
        <v>77.268000000000001</v>
      </c>
      <c r="R1046" s="1">
        <v>-10.166059499999999</v>
      </c>
      <c r="S1046" s="1">
        <v>-2.9853934999999998</v>
      </c>
      <c r="T1046" s="1">
        <v>-4.1349549999999997</v>
      </c>
      <c r="U1046" s="1">
        <v>4.5979999999999999</v>
      </c>
      <c r="V1046" s="1">
        <v>85</v>
      </c>
      <c r="W1046" s="1">
        <v>160</v>
      </c>
      <c r="X1046" s="1">
        <v>1.8823529411764706</v>
      </c>
      <c r="Y1046" s="1">
        <v>92</v>
      </c>
      <c r="Z1046" s="1">
        <v>160</v>
      </c>
      <c r="AA1046" s="1">
        <v>1.7391304347826086</v>
      </c>
      <c r="AB1046" s="1">
        <v>89.308919707796804</v>
      </c>
      <c r="AC1046" s="1">
        <v>161.31405929395439</v>
      </c>
      <c r="AD1046" s="1">
        <v>1.8062480189184442</v>
      </c>
      <c r="AE1046" t="s">
        <v>4817</v>
      </c>
      <c r="AF1046" t="str">
        <f>IF(X1046&lt;$AF$1,"Bajo","Alto")</f>
        <v>Alto</v>
      </c>
      <c r="AG1046" t="str">
        <f>LEFT(AE1046,1)</f>
        <v>C</v>
      </c>
      <c r="AH1046" t="str">
        <f>K1046</f>
        <v>M</v>
      </c>
      <c r="AI1046" t="str">
        <f>LEFT(AF1046,1)</f>
        <v>A</v>
      </c>
      <c r="AJ1046" t="str">
        <f>LEFT(M1046,1)</f>
        <v>M</v>
      </c>
      <c r="AK1046" t="str">
        <f>_xlfn.CONCAT(AG1046,AH1046,AI1046,AJ1046)</f>
        <v>CMAM</v>
      </c>
    </row>
    <row r="1047" spans="1:37" ht="15.75" hidden="1" customHeight="1" x14ac:dyDescent="0.2">
      <c r="A1047" s="1">
        <v>290105</v>
      </c>
      <c r="B1047" s="1" t="s">
        <v>3890</v>
      </c>
      <c r="C1047" s="1" t="s">
        <v>1695</v>
      </c>
      <c r="D1047" s="1" t="s">
        <v>3891</v>
      </c>
      <c r="E1047" s="1" t="s">
        <v>32</v>
      </c>
      <c r="F1047" s="1" t="s">
        <v>40</v>
      </c>
      <c r="G1047" s="1" t="s">
        <v>3895</v>
      </c>
      <c r="H1047" s="1">
        <v>46640</v>
      </c>
      <c r="I1047" s="1" t="s">
        <v>65</v>
      </c>
      <c r="J1047" s="1">
        <v>2</v>
      </c>
      <c r="K1047" s="1" t="s">
        <v>35</v>
      </c>
      <c r="L1047" s="1">
        <v>40</v>
      </c>
      <c r="M1047" s="1" t="str">
        <f>IF(L1047&lt;=45,"Joven","Mayor")</f>
        <v>Joven</v>
      </c>
      <c r="N1047" s="1">
        <v>32</v>
      </c>
      <c r="O1047" s="1" t="s">
        <v>36</v>
      </c>
      <c r="P1047" s="1">
        <v>0.34699999999999998</v>
      </c>
      <c r="Q1047" s="1">
        <v>93.384</v>
      </c>
      <c r="R1047" s="1">
        <v>2.116854</v>
      </c>
      <c r="S1047" s="1">
        <v>-2.6370342</v>
      </c>
      <c r="T1047" s="1">
        <v>-2.5078182</v>
      </c>
      <c r="U1047" s="1">
        <v>11.068</v>
      </c>
      <c r="V1047" s="1">
        <v>73</v>
      </c>
      <c r="W1047" s="1">
        <v>139</v>
      </c>
      <c r="X1047" s="1">
        <v>1.904109589041096</v>
      </c>
      <c r="Y1047" s="1">
        <v>76</v>
      </c>
      <c r="Z1047" s="1">
        <v>139</v>
      </c>
      <c r="AA1047" s="1">
        <v>1.8289473684210527</v>
      </c>
      <c r="AB1047" s="1">
        <v>74.767824837245598</v>
      </c>
      <c r="AC1047" s="1">
        <v>139.17316415048481</v>
      </c>
      <c r="AD1047" s="1">
        <v>1.861404480516005</v>
      </c>
      <c r="AE1047" t="s">
        <v>4817</v>
      </c>
      <c r="AF1047" t="str">
        <f>IF(X1047&lt;$AF$1,"Bajo","Alto")</f>
        <v>Alto</v>
      </c>
      <c r="AG1047" t="str">
        <f>LEFT(AE1047,1)</f>
        <v>C</v>
      </c>
      <c r="AH1047" t="str">
        <f>K1047</f>
        <v>M</v>
      </c>
      <c r="AI1047" t="str">
        <f>LEFT(AF1047,1)</f>
        <v>A</v>
      </c>
      <c r="AJ1047" t="str">
        <f>LEFT(M1047,1)</f>
        <v>J</v>
      </c>
      <c r="AK1047" t="str">
        <f>_xlfn.CONCAT(AG1047,AH1047,AI1047,AJ1047)</f>
        <v>CMAJ</v>
      </c>
    </row>
    <row r="1048" spans="1:37" ht="15.75" hidden="1" customHeight="1" x14ac:dyDescent="0.2">
      <c r="A1048" s="1">
        <v>116405</v>
      </c>
      <c r="B1048" s="1" t="s">
        <v>1648</v>
      </c>
      <c r="C1048" s="1" t="s">
        <v>51</v>
      </c>
      <c r="D1048" s="1" t="s">
        <v>1742</v>
      </c>
      <c r="E1048" s="1" t="s">
        <v>710</v>
      </c>
      <c r="F1048" s="1" t="s">
        <v>40</v>
      </c>
      <c r="G1048" s="1" t="s">
        <v>1745</v>
      </c>
      <c r="H1048" s="1">
        <v>22</v>
      </c>
      <c r="I1048" s="1" t="s">
        <v>65</v>
      </c>
      <c r="J1048" s="1">
        <v>2</v>
      </c>
      <c r="K1048" s="1" t="s">
        <v>35</v>
      </c>
      <c r="L1048" s="1">
        <v>50</v>
      </c>
      <c r="M1048" s="1" t="str">
        <f>IF(L1048&lt;=45,"Joven","Mayor")</f>
        <v>Mayor</v>
      </c>
      <c r="N1048" s="1">
        <v>50</v>
      </c>
      <c r="O1048" s="1" t="s">
        <v>36</v>
      </c>
      <c r="P1048" s="1">
        <v>0.107</v>
      </c>
      <c r="Q1048" s="1">
        <v>86.593000000000004</v>
      </c>
      <c r="R1048" s="1">
        <v>5.7475750000000003</v>
      </c>
      <c r="S1048" s="1">
        <v>9.5130060000000007</v>
      </c>
      <c r="T1048" s="1">
        <v>-3.2812009999999998</v>
      </c>
      <c r="U1048" s="1">
        <v>0.46800000000000003</v>
      </c>
      <c r="V1048" s="1">
        <v>112</v>
      </c>
      <c r="W1048" s="1">
        <v>184</v>
      </c>
      <c r="X1048" s="1">
        <v>1.6428571428571428</v>
      </c>
      <c r="Y1048" s="1">
        <v>115</v>
      </c>
      <c r="Z1048" s="1">
        <v>184</v>
      </c>
      <c r="AA1048" s="1">
        <v>1.6</v>
      </c>
      <c r="AB1048" s="1">
        <v>117.67329791124619</v>
      </c>
      <c r="AC1048" s="1">
        <v>183.52665018929929</v>
      </c>
      <c r="AD1048" s="1">
        <v>1.5596286791224485</v>
      </c>
      <c r="AE1048" t="s">
        <v>4817</v>
      </c>
      <c r="AF1048" t="str">
        <f>IF(X1048&lt;$AF$1,"Bajo","Alto")</f>
        <v>Bajo</v>
      </c>
      <c r="AG1048" t="str">
        <f>LEFT(AE1048,1)</f>
        <v>C</v>
      </c>
      <c r="AH1048" t="str">
        <f>K1048</f>
        <v>M</v>
      </c>
      <c r="AI1048" t="str">
        <f>LEFT(AF1048,1)</f>
        <v>B</v>
      </c>
      <c r="AJ1048" t="str">
        <f>LEFT(M1048,1)</f>
        <v>M</v>
      </c>
      <c r="AK1048" t="str">
        <f>_xlfn.CONCAT(AG1048,AH1048,AI1048,AJ1048)</f>
        <v>CMBM</v>
      </c>
    </row>
    <row r="1049" spans="1:37" ht="15.75" hidden="1" customHeight="1" x14ac:dyDescent="0.2">
      <c r="A1049" s="1">
        <v>259306</v>
      </c>
      <c r="B1049" s="1" t="s">
        <v>3169</v>
      </c>
      <c r="C1049" s="1" t="s">
        <v>821</v>
      </c>
      <c r="D1049" s="1" t="s">
        <v>3346</v>
      </c>
      <c r="E1049" s="1" t="s">
        <v>3347</v>
      </c>
      <c r="F1049" s="1" t="s">
        <v>88</v>
      </c>
      <c r="G1049" s="1" t="s">
        <v>3349</v>
      </c>
      <c r="H1049" s="1">
        <v>7065</v>
      </c>
      <c r="I1049" s="1" t="s">
        <v>3350</v>
      </c>
      <c r="J1049" s="1">
        <v>2689</v>
      </c>
      <c r="K1049" s="1" t="s">
        <v>49</v>
      </c>
      <c r="L1049" s="1">
        <v>43</v>
      </c>
      <c r="M1049" s="1" t="str">
        <f>IF(L1049&lt;=45,"Joven","Mayor")</f>
        <v>Joven</v>
      </c>
      <c r="N1049" s="1">
        <v>38</v>
      </c>
      <c r="O1049" s="1" t="s">
        <v>50</v>
      </c>
      <c r="P1049" s="1">
        <v>0.36099999999999999</v>
      </c>
      <c r="Q1049" s="1">
        <v>77.245999999999995</v>
      </c>
      <c r="R1049" s="1">
        <v>11.247111</v>
      </c>
      <c r="S1049" s="1">
        <v>2.2046475000000001</v>
      </c>
      <c r="T1049" s="1">
        <v>-9.3585779999999996</v>
      </c>
      <c r="U1049" s="1">
        <v>69.95</v>
      </c>
      <c r="V1049" s="1">
        <v>97</v>
      </c>
      <c r="W1049" s="1">
        <v>186</v>
      </c>
      <c r="X1049" s="1">
        <v>1.9175257731958764</v>
      </c>
      <c r="Y1049" s="1">
        <v>107</v>
      </c>
      <c r="Z1049" s="1">
        <v>186</v>
      </c>
      <c r="AA1049" s="1">
        <v>1.7383177570093458</v>
      </c>
      <c r="AB1049" s="1">
        <v>103.8395619417377</v>
      </c>
      <c r="AC1049" s="1">
        <v>185.3130757879585</v>
      </c>
      <c r="AD1049" s="1">
        <v>1.7846095680944221</v>
      </c>
      <c r="AE1049" t="s">
        <v>4817</v>
      </c>
      <c r="AF1049" t="str">
        <f>IF(X1049&lt;$AF$1,"Bajo","Alto")</f>
        <v>Alto</v>
      </c>
      <c r="AG1049" t="str">
        <f>LEFT(AE1049,1)</f>
        <v>C</v>
      </c>
      <c r="AH1049" t="str">
        <f>K1049</f>
        <v>F</v>
      </c>
      <c r="AI1049" t="str">
        <f>LEFT(AF1049,1)</f>
        <v>A</v>
      </c>
      <c r="AJ1049" t="str">
        <f>LEFT(M1049,1)</f>
        <v>J</v>
      </c>
      <c r="AK1049" t="str">
        <f>_xlfn.CONCAT(AG1049,AH1049,AI1049,AJ1049)</f>
        <v>CFAJ</v>
      </c>
    </row>
    <row r="1050" spans="1:37" ht="15.75" hidden="1" customHeight="1" x14ac:dyDescent="0.2">
      <c r="A1050" s="1">
        <v>1520802</v>
      </c>
      <c r="B1050" s="1" t="s">
        <v>2077</v>
      </c>
      <c r="C1050" s="1" t="s">
        <v>57</v>
      </c>
      <c r="D1050" s="1" t="s">
        <v>2237</v>
      </c>
      <c r="E1050" s="1" t="s">
        <v>378</v>
      </c>
      <c r="F1050" s="1" t="s">
        <v>37</v>
      </c>
      <c r="G1050" s="1" t="s">
        <v>2239</v>
      </c>
      <c r="H1050" s="1">
        <v>719</v>
      </c>
      <c r="I1050" s="1" t="s">
        <v>85</v>
      </c>
      <c r="J1050" s="1">
        <v>12</v>
      </c>
      <c r="K1050" s="1" t="s">
        <v>35</v>
      </c>
      <c r="L1050" s="1">
        <v>51</v>
      </c>
      <c r="M1050" s="1" t="str">
        <f>IF(L1050&lt;=45,"Joven","Mayor")</f>
        <v>Mayor</v>
      </c>
      <c r="N1050" s="1">
        <v>57</v>
      </c>
      <c r="O1050" s="1" t="s">
        <v>36</v>
      </c>
      <c r="P1050" s="1">
        <v>0.38800000000000001</v>
      </c>
      <c r="Q1050" s="1">
        <v>70.754999999999995</v>
      </c>
      <c r="R1050" s="1">
        <v>11.922784999999999</v>
      </c>
      <c r="S1050" s="1">
        <v>-6.9973669999999997</v>
      </c>
      <c r="T1050" s="1">
        <v>-11.571845</v>
      </c>
      <c r="U1050" s="1">
        <v>1.4119999999999999</v>
      </c>
      <c r="V1050" s="1">
        <v>60</v>
      </c>
      <c r="W1050" s="1">
        <v>112</v>
      </c>
      <c r="X1050" s="1">
        <v>1.8666666666666667</v>
      </c>
      <c r="Y1050" s="1">
        <v>65</v>
      </c>
      <c r="Z1050" s="1">
        <v>112</v>
      </c>
      <c r="AA1050" s="1">
        <v>1.7230769230769232</v>
      </c>
      <c r="AB1050" s="1">
        <v>65.801315193971504</v>
      </c>
      <c r="AC1050" s="1">
        <v>111.5288501613618</v>
      </c>
      <c r="AD1050" s="1">
        <v>1.6949334497736559</v>
      </c>
      <c r="AE1050" t="s">
        <v>4815</v>
      </c>
      <c r="AF1050" t="str">
        <f>IF(X1050&lt;$AF$1,"Bajo","Alto")</f>
        <v>Alto</v>
      </c>
      <c r="AG1050" t="str">
        <f>LEFT(AE1050,1)</f>
        <v>I</v>
      </c>
      <c r="AH1050" t="str">
        <f>K1050</f>
        <v>M</v>
      </c>
      <c r="AI1050" t="str">
        <f>LEFT(AF1050,1)</f>
        <v>A</v>
      </c>
      <c r="AJ1050" t="str">
        <f>LEFT(M1050,1)</f>
        <v>M</v>
      </c>
      <c r="AK1050" t="str">
        <f>_xlfn.CONCAT(AG1050,AH1050,AI1050,AJ1050)</f>
        <v>IMAM</v>
      </c>
    </row>
    <row r="1051" spans="1:37" ht="15.75" hidden="1" customHeight="1" x14ac:dyDescent="0.2">
      <c r="A1051" s="1">
        <v>10129202</v>
      </c>
      <c r="B1051" s="1" t="s">
        <v>29</v>
      </c>
      <c r="C1051" s="1" t="s">
        <v>30</v>
      </c>
      <c r="D1051" s="1" t="s">
        <v>593</v>
      </c>
      <c r="E1051" s="1" t="s">
        <v>594</v>
      </c>
      <c r="F1051" s="1" t="s">
        <v>37</v>
      </c>
      <c r="G1051" s="1" t="s">
        <v>595</v>
      </c>
      <c r="H1051" s="1">
        <v>558</v>
      </c>
      <c r="I1051" s="1" t="s">
        <v>596</v>
      </c>
      <c r="J1051" s="1">
        <v>2366</v>
      </c>
      <c r="K1051" s="1" t="s">
        <v>35</v>
      </c>
      <c r="L1051" s="1">
        <v>37</v>
      </c>
      <c r="M1051" s="1" t="str">
        <f>IF(L1051&lt;=45,"Joven","Mayor")</f>
        <v>Joven</v>
      </c>
      <c r="N1051" s="1">
        <v>67</v>
      </c>
      <c r="O1051" s="1" t="s">
        <v>36</v>
      </c>
      <c r="P1051" s="1">
        <v>0.35799999999999998</v>
      </c>
      <c r="Q1051" s="1">
        <v>94.272999999999996</v>
      </c>
      <c r="R1051" s="1">
        <v>-1.2842088</v>
      </c>
      <c r="S1051" s="1">
        <v>0.47902334000000002</v>
      </c>
      <c r="T1051" s="1">
        <v>-5.7239404</v>
      </c>
      <c r="U1051" s="1">
        <v>1.4990000000000001</v>
      </c>
      <c r="V1051" s="1">
        <v>93</v>
      </c>
      <c r="W1051" s="1">
        <v>177</v>
      </c>
      <c r="X1051" s="1">
        <v>1.903225806451613</v>
      </c>
      <c r="Y1051" s="1">
        <v>98</v>
      </c>
      <c r="Z1051" s="1">
        <v>177</v>
      </c>
      <c r="AA1051" s="1">
        <v>1.8061224489795917</v>
      </c>
      <c r="AB1051" s="1">
        <v>97.124134100202127</v>
      </c>
      <c r="AC1051" s="1">
        <v>176.81562366858631</v>
      </c>
      <c r="AD1051" s="1">
        <v>1.8205117122194074</v>
      </c>
      <c r="AE1051" t="s">
        <v>4817</v>
      </c>
      <c r="AF1051" t="str">
        <f>IF(X1051&lt;$AF$1,"Bajo","Alto")</f>
        <v>Alto</v>
      </c>
      <c r="AG1051" t="str">
        <f>LEFT(AE1051,1)</f>
        <v>C</v>
      </c>
      <c r="AH1051" t="str">
        <f>K1051</f>
        <v>M</v>
      </c>
      <c r="AI1051" t="str">
        <f>LEFT(AF1051,1)</f>
        <v>A</v>
      </c>
      <c r="AJ1051" t="str">
        <f>LEFT(M1051,1)</f>
        <v>J</v>
      </c>
      <c r="AK1051" t="str">
        <f>_xlfn.CONCAT(AG1051,AH1051,AI1051,AJ1051)</f>
        <v>CMAJ</v>
      </c>
    </row>
    <row r="1052" spans="1:37" ht="15.75" hidden="1" customHeight="1" x14ac:dyDescent="0.2">
      <c r="A1052" s="1">
        <v>2912708</v>
      </c>
      <c r="B1052" s="1" t="s">
        <v>3890</v>
      </c>
      <c r="C1052" s="1" t="s">
        <v>1695</v>
      </c>
      <c r="D1052" s="1" t="s">
        <v>3959</v>
      </c>
      <c r="E1052" s="1" t="s">
        <v>153</v>
      </c>
      <c r="F1052" s="1" t="s">
        <v>46</v>
      </c>
      <c r="G1052" s="1" t="s">
        <v>3967</v>
      </c>
      <c r="H1052" s="1">
        <v>552</v>
      </c>
      <c r="I1052" s="1" t="s">
        <v>134</v>
      </c>
      <c r="J1052" s="1">
        <v>8</v>
      </c>
      <c r="K1052" s="1" t="s">
        <v>35</v>
      </c>
      <c r="L1052" s="1">
        <v>49</v>
      </c>
      <c r="M1052" s="1" t="str">
        <f>IF(L1052&lt;=45,"Joven","Mayor")</f>
        <v>Mayor</v>
      </c>
      <c r="N1052" s="1">
        <v>54</v>
      </c>
      <c r="O1052" s="1" t="s">
        <v>36</v>
      </c>
      <c r="P1052" s="1">
        <v>0.36399999999999999</v>
      </c>
      <c r="Q1052" s="1">
        <v>72.495000000000005</v>
      </c>
      <c r="R1052" s="1">
        <v>11.963881499999999</v>
      </c>
      <c r="S1052" s="1">
        <v>4.8493656999999999</v>
      </c>
      <c r="T1052" s="1">
        <v>-13.572767000000001</v>
      </c>
      <c r="U1052" s="1">
        <v>3.1429999999999998</v>
      </c>
      <c r="V1052" s="1">
        <v>102</v>
      </c>
      <c r="W1052" s="1">
        <v>192</v>
      </c>
      <c r="X1052" s="1">
        <v>1.8823529411764706</v>
      </c>
      <c r="Y1052" s="1">
        <v>118</v>
      </c>
      <c r="Z1052" s="1">
        <v>192</v>
      </c>
      <c r="AA1052" s="1">
        <v>1.6271186440677967</v>
      </c>
      <c r="AB1052" s="1">
        <v>112.9975372029153</v>
      </c>
      <c r="AC1052" s="1">
        <v>193.44367292031211</v>
      </c>
      <c r="AD1052" s="1">
        <v>1.7119282217004048</v>
      </c>
      <c r="AE1052" t="s">
        <v>4817</v>
      </c>
      <c r="AF1052" t="str">
        <f>IF(X1052&lt;$AF$1,"Bajo","Alto")</f>
        <v>Alto</v>
      </c>
      <c r="AG1052" t="str">
        <f>LEFT(AE1052,1)</f>
        <v>C</v>
      </c>
      <c r="AH1052" t="str">
        <f>K1052</f>
        <v>M</v>
      </c>
      <c r="AI1052" t="str">
        <f>LEFT(AF1052,1)</f>
        <v>A</v>
      </c>
      <c r="AJ1052" t="str">
        <f>LEFT(M1052,1)</f>
        <v>M</v>
      </c>
      <c r="AK1052" t="str">
        <f>_xlfn.CONCAT(AG1052,AH1052,AI1052,AJ1052)</f>
        <v>CMAM</v>
      </c>
    </row>
    <row r="1053" spans="1:37" ht="15.75" hidden="1" customHeight="1" x14ac:dyDescent="0.2">
      <c r="A1053" s="1">
        <v>10727105</v>
      </c>
      <c r="B1053" s="1" t="s">
        <v>1067</v>
      </c>
      <c r="C1053" s="1" t="s">
        <v>1068</v>
      </c>
      <c r="D1053" s="1" t="s">
        <v>1317</v>
      </c>
      <c r="E1053" s="1" t="s">
        <v>546</v>
      </c>
      <c r="F1053" s="1" t="s">
        <v>40</v>
      </c>
      <c r="G1053" s="1" t="s">
        <v>1320</v>
      </c>
      <c r="H1053" s="1">
        <v>868</v>
      </c>
      <c r="I1053" s="1" t="s">
        <v>1321</v>
      </c>
      <c r="J1053" s="1">
        <v>4133</v>
      </c>
      <c r="K1053" s="1" t="s">
        <v>35</v>
      </c>
      <c r="L1053" s="1">
        <v>42</v>
      </c>
      <c r="M1053" s="1" t="str">
        <f>IF(L1053&lt;=45,"Joven","Mayor")</f>
        <v>Joven</v>
      </c>
      <c r="N1053" s="1">
        <v>51</v>
      </c>
      <c r="O1053" s="1" t="s">
        <v>36</v>
      </c>
      <c r="P1053" s="1">
        <v>0.111</v>
      </c>
      <c r="Q1053" s="1">
        <v>20.312000000000001</v>
      </c>
      <c r="R1053" s="1">
        <v>19.927347000000001</v>
      </c>
      <c r="S1053" s="1">
        <v>-1.0104770000000001</v>
      </c>
      <c r="T1053" s="1">
        <v>-10.068832</v>
      </c>
      <c r="U1053" s="1">
        <v>8.6229999999999993</v>
      </c>
      <c r="V1053" s="1">
        <v>82</v>
      </c>
      <c r="W1053" s="1">
        <v>156</v>
      </c>
      <c r="X1053" s="1">
        <v>1.9024390243902438</v>
      </c>
      <c r="Y1053" s="1">
        <v>90</v>
      </c>
      <c r="Z1053" s="1">
        <v>156</v>
      </c>
      <c r="AA1053" s="1">
        <v>1.7333333333333334</v>
      </c>
      <c r="AB1053" s="1">
        <v>87.205823745977796</v>
      </c>
      <c r="AC1053" s="1">
        <v>154.82117326331169</v>
      </c>
      <c r="AD1053" s="1">
        <v>1.7753536015471962</v>
      </c>
      <c r="AE1053" t="s">
        <v>4817</v>
      </c>
      <c r="AF1053" t="str">
        <f>IF(X1053&lt;$AF$1,"Bajo","Alto")</f>
        <v>Alto</v>
      </c>
      <c r="AG1053" t="str">
        <f>LEFT(AE1053,1)</f>
        <v>C</v>
      </c>
      <c r="AH1053" t="str">
        <f>K1053</f>
        <v>M</v>
      </c>
      <c r="AI1053" t="str">
        <f>LEFT(AF1053,1)</f>
        <v>A</v>
      </c>
      <c r="AJ1053" t="str">
        <f>LEFT(M1053,1)</f>
        <v>J</v>
      </c>
      <c r="AK1053" t="str">
        <f>_xlfn.CONCAT(AG1053,AH1053,AI1053,AJ1053)</f>
        <v>CMAJ</v>
      </c>
    </row>
    <row r="1054" spans="1:37" ht="15.75" hidden="1" customHeight="1" x14ac:dyDescent="0.2">
      <c r="A1054" s="1">
        <v>10729803</v>
      </c>
      <c r="B1054" s="1" t="s">
        <v>1067</v>
      </c>
      <c r="C1054" s="1" t="s">
        <v>1068</v>
      </c>
      <c r="D1054" s="1" t="s">
        <v>1356</v>
      </c>
      <c r="E1054" s="1" t="s">
        <v>608</v>
      </c>
      <c r="F1054" s="1" t="s">
        <v>63</v>
      </c>
      <c r="G1054" s="1" t="s">
        <v>1359</v>
      </c>
      <c r="H1054" s="1">
        <v>1697</v>
      </c>
      <c r="I1054" s="1" t="s">
        <v>1360</v>
      </c>
      <c r="J1054" s="1">
        <v>3556</v>
      </c>
      <c r="K1054" s="1" t="s">
        <v>35</v>
      </c>
      <c r="L1054" s="1">
        <v>38</v>
      </c>
      <c r="M1054" s="1" t="str">
        <f>IF(L1054&lt;=45,"Joven","Mayor")</f>
        <v>Joven</v>
      </c>
      <c r="N1054" s="1">
        <v>59</v>
      </c>
      <c r="O1054" s="1" t="s">
        <v>36</v>
      </c>
      <c r="P1054" s="1">
        <v>8.1000000000000003E-2</v>
      </c>
      <c r="Q1054" s="1">
        <v>90.555999999999997</v>
      </c>
      <c r="R1054" s="1">
        <v>4.1329209999999996</v>
      </c>
      <c r="S1054" s="1">
        <v>6.4364299999999997</v>
      </c>
      <c r="T1054" s="1">
        <v>-11.797594999999999</v>
      </c>
      <c r="U1054" s="1">
        <v>50.875999999999998</v>
      </c>
      <c r="V1054" s="1">
        <v>81</v>
      </c>
      <c r="W1054" s="1">
        <v>154</v>
      </c>
      <c r="X1054" s="1">
        <v>1.9012345679012346</v>
      </c>
      <c r="Y1054" s="1">
        <v>94</v>
      </c>
      <c r="Z1054" s="1">
        <v>154</v>
      </c>
      <c r="AA1054" s="1">
        <v>1.6382978723404256</v>
      </c>
      <c r="AB1054" s="1">
        <v>89.511701881004683</v>
      </c>
      <c r="AC1054" s="1">
        <v>154.83599890572029</v>
      </c>
      <c r="AD1054" s="1">
        <v>1.7297849962852523</v>
      </c>
      <c r="AE1054" t="s">
        <v>4817</v>
      </c>
      <c r="AF1054" t="str">
        <f>IF(X1054&lt;$AF$1,"Bajo","Alto")</f>
        <v>Alto</v>
      </c>
      <c r="AG1054" t="str">
        <f>LEFT(AE1054,1)</f>
        <v>C</v>
      </c>
      <c r="AH1054" t="str">
        <f>K1054</f>
        <v>M</v>
      </c>
      <c r="AI1054" t="str">
        <f>LEFT(AF1054,1)</f>
        <v>A</v>
      </c>
      <c r="AJ1054" t="str">
        <f>LEFT(M1054,1)</f>
        <v>J</v>
      </c>
      <c r="AK1054" t="str">
        <f>_xlfn.CONCAT(AG1054,AH1054,AI1054,AJ1054)</f>
        <v>CMAJ</v>
      </c>
    </row>
    <row r="1055" spans="1:37" ht="15.75" hidden="1" customHeight="1" x14ac:dyDescent="0.2">
      <c r="A1055" s="1">
        <v>1526501</v>
      </c>
      <c r="B1055" s="1" t="s">
        <v>2077</v>
      </c>
      <c r="C1055" s="1" t="s">
        <v>57</v>
      </c>
      <c r="D1055" s="1" t="s">
        <v>2321</v>
      </c>
      <c r="E1055" s="1" t="s">
        <v>528</v>
      </c>
      <c r="F1055" s="1" t="s">
        <v>32</v>
      </c>
      <c r="G1055" s="1" t="s">
        <v>2322</v>
      </c>
      <c r="H1055" s="1">
        <v>1404</v>
      </c>
      <c r="I1055" s="1" t="s">
        <v>39</v>
      </c>
      <c r="J1055" s="1">
        <v>11</v>
      </c>
      <c r="K1055" s="1" t="s">
        <v>49</v>
      </c>
      <c r="L1055" s="1">
        <v>33</v>
      </c>
      <c r="M1055" s="1" t="str">
        <f>IF(L1055&lt;=45,"Joven","Mayor")</f>
        <v>Joven</v>
      </c>
      <c r="N1055" s="1">
        <v>46</v>
      </c>
      <c r="O1055" s="1" t="s">
        <v>50</v>
      </c>
      <c r="P1055" s="1">
        <v>0.35599999999999998</v>
      </c>
      <c r="Q1055" s="1">
        <v>93.638000000000005</v>
      </c>
      <c r="R1055" s="1">
        <v>-1.8068010000000001</v>
      </c>
      <c r="S1055" s="1">
        <v>2.3482044000000002</v>
      </c>
      <c r="T1055" s="1">
        <v>-2.3212649999999999</v>
      </c>
      <c r="U1055" s="1">
        <v>2.1059999999999999</v>
      </c>
      <c r="V1055" s="1">
        <v>83</v>
      </c>
      <c r="W1055" s="1">
        <v>132</v>
      </c>
      <c r="X1055" s="1">
        <v>1.5903614457831325</v>
      </c>
      <c r="Y1055" s="1">
        <v>86</v>
      </c>
      <c r="Z1055" s="1">
        <v>132</v>
      </c>
      <c r="AA1055" s="1">
        <v>1.5348837209302326</v>
      </c>
      <c r="AB1055" s="1">
        <v>84.673506130043052</v>
      </c>
      <c r="AC1055" s="1">
        <v>132.1347007829072</v>
      </c>
      <c r="AD1055" s="1">
        <v>1.5605200117728963</v>
      </c>
      <c r="AE1055" t="s">
        <v>4816</v>
      </c>
      <c r="AF1055" t="str">
        <f>IF(X1055&lt;$AF$1,"Bajo","Alto")</f>
        <v>Bajo</v>
      </c>
      <c r="AG1055" t="str">
        <f>LEFT(AE1055,1)</f>
        <v>D</v>
      </c>
      <c r="AH1055" t="str">
        <f>K1055</f>
        <v>F</v>
      </c>
      <c r="AI1055" t="str">
        <f>LEFT(AF1055,1)</f>
        <v>B</v>
      </c>
      <c r="AJ1055" t="str">
        <f>LEFT(M1055,1)</f>
        <v>J</v>
      </c>
      <c r="AK1055" t="str">
        <f>_xlfn.CONCAT(AG1055,AH1055,AI1055,AJ1055)</f>
        <v>DFBJ</v>
      </c>
    </row>
    <row r="1056" spans="1:37" ht="15.75" hidden="1" customHeight="1" x14ac:dyDescent="0.2">
      <c r="A1056" s="1">
        <v>10126501</v>
      </c>
      <c r="B1056" s="1" t="s">
        <v>29</v>
      </c>
      <c r="C1056" s="1" t="s">
        <v>30</v>
      </c>
      <c r="D1056" s="1" t="s">
        <v>527</v>
      </c>
      <c r="E1056" s="1" t="s">
        <v>528</v>
      </c>
      <c r="F1056" s="1" t="s">
        <v>32</v>
      </c>
      <c r="G1056" s="1" t="s">
        <v>529</v>
      </c>
      <c r="H1056" s="1">
        <v>1307</v>
      </c>
      <c r="I1056" s="1" t="s">
        <v>100</v>
      </c>
      <c r="J1056" s="1">
        <v>1</v>
      </c>
      <c r="K1056" s="1" t="s">
        <v>35</v>
      </c>
      <c r="L1056" s="1">
        <v>55</v>
      </c>
      <c r="M1056" s="1" t="str">
        <f>IF(L1056&lt;=45,"Joven","Mayor")</f>
        <v>Mayor</v>
      </c>
      <c r="N1056" s="1">
        <v>49</v>
      </c>
      <c r="O1056" s="1" t="s">
        <v>36</v>
      </c>
      <c r="P1056" s="1">
        <v>0.29699999999999999</v>
      </c>
      <c r="Q1056" s="1">
        <v>93.364999999999995</v>
      </c>
      <c r="R1056" s="1">
        <v>2.5184766999999999</v>
      </c>
      <c r="S1056" s="1">
        <v>1.5505544</v>
      </c>
      <c r="T1056" s="1">
        <v>-5.2831086999999997</v>
      </c>
      <c r="U1056" s="1">
        <v>0.88200000000000001</v>
      </c>
      <c r="V1056" s="1">
        <v>76</v>
      </c>
      <c r="W1056" s="1">
        <v>143</v>
      </c>
      <c r="X1056" s="1">
        <v>1.881578947368421</v>
      </c>
      <c r="Y1056" s="1">
        <v>81</v>
      </c>
      <c r="Z1056" s="1">
        <v>143</v>
      </c>
      <c r="AA1056" s="1">
        <v>1.7654320987654322</v>
      </c>
      <c r="AB1056" s="1">
        <v>79.268147746070781</v>
      </c>
      <c r="AC1056" s="1">
        <v>142.66875088545339</v>
      </c>
      <c r="AD1056" s="1">
        <v>1.7998244558770493</v>
      </c>
      <c r="AE1056" t="s">
        <v>4817</v>
      </c>
      <c r="AF1056" t="str">
        <f>IF(X1056&lt;$AF$1,"Bajo","Alto")</f>
        <v>Alto</v>
      </c>
      <c r="AG1056" t="str">
        <f>LEFT(AE1056,1)</f>
        <v>C</v>
      </c>
      <c r="AH1056" t="str">
        <f>K1056</f>
        <v>M</v>
      </c>
      <c r="AI1056" t="str">
        <f>LEFT(AF1056,1)</f>
        <v>A</v>
      </c>
      <c r="AJ1056" t="str">
        <f>LEFT(M1056,1)</f>
        <v>M</v>
      </c>
      <c r="AK1056" t="str">
        <f>_xlfn.CONCAT(AG1056,AH1056,AI1056,AJ1056)</f>
        <v>CMAM</v>
      </c>
    </row>
    <row r="1057" spans="1:37" ht="15.75" hidden="1" customHeight="1" x14ac:dyDescent="0.2">
      <c r="A1057" s="1">
        <v>2911203</v>
      </c>
      <c r="B1057" s="1" t="s">
        <v>3890</v>
      </c>
      <c r="C1057" s="1" t="s">
        <v>1695</v>
      </c>
      <c r="D1057" s="1" t="s">
        <v>3938</v>
      </c>
      <c r="E1057" s="1" t="s">
        <v>106</v>
      </c>
      <c r="F1057" s="1" t="s">
        <v>63</v>
      </c>
      <c r="G1057" s="1" t="s">
        <v>3941</v>
      </c>
      <c r="H1057" s="1">
        <v>1455</v>
      </c>
      <c r="I1057" s="1" t="s">
        <v>3942</v>
      </c>
      <c r="J1057" s="1">
        <v>4008</v>
      </c>
      <c r="K1057" s="1" t="s">
        <v>35</v>
      </c>
      <c r="L1057" s="1">
        <v>35</v>
      </c>
      <c r="M1057" s="1" t="str">
        <f>IF(L1057&lt;=45,"Joven","Mayor")</f>
        <v>Joven</v>
      </c>
      <c r="N1057" s="1">
        <v>36</v>
      </c>
      <c r="O1057" s="1" t="s">
        <v>36</v>
      </c>
      <c r="P1057" s="1">
        <v>0.38500000000000001</v>
      </c>
      <c r="Q1057" s="1">
        <v>76.671000000000006</v>
      </c>
      <c r="R1057" s="1">
        <v>10.149915</v>
      </c>
      <c r="S1057" s="1">
        <v>8.2973370000000006</v>
      </c>
      <c r="T1057" s="1">
        <v>-4.5783505</v>
      </c>
      <c r="U1057" s="1">
        <v>20.635000000000002</v>
      </c>
      <c r="V1057" s="1">
        <v>90</v>
      </c>
      <c r="W1057" s="1">
        <v>171</v>
      </c>
      <c r="X1057" s="1">
        <v>1.9</v>
      </c>
      <c r="Y1057" s="1">
        <v>91</v>
      </c>
      <c r="Z1057" s="1">
        <v>171</v>
      </c>
      <c r="AA1057" s="1">
        <v>1.8791208791208791</v>
      </c>
      <c r="AB1057" s="1">
        <v>94.541098561245008</v>
      </c>
      <c r="AC1057" s="1">
        <v>170.61400251966009</v>
      </c>
      <c r="AD1057" s="1">
        <v>1.8046543261725907</v>
      </c>
      <c r="AE1057" t="s">
        <v>4817</v>
      </c>
      <c r="AF1057" t="str">
        <f>IF(X1057&lt;$AF$1,"Bajo","Alto")</f>
        <v>Alto</v>
      </c>
      <c r="AG1057" t="str">
        <f>LEFT(AE1057,1)</f>
        <v>C</v>
      </c>
      <c r="AH1057" t="str">
        <f>K1057</f>
        <v>M</v>
      </c>
      <c r="AI1057" t="str">
        <f>LEFT(AF1057,1)</f>
        <v>A</v>
      </c>
      <c r="AJ1057" t="str">
        <f>LEFT(M1057,1)</f>
        <v>J</v>
      </c>
      <c r="AK1057" t="str">
        <f>_xlfn.CONCAT(AG1057,AH1057,AI1057,AJ1057)</f>
        <v>CMAJ</v>
      </c>
    </row>
    <row r="1058" spans="1:37" ht="15.75" hidden="1" customHeight="1" x14ac:dyDescent="0.2">
      <c r="A1058" s="1">
        <v>211204</v>
      </c>
      <c r="B1058" s="1" t="s">
        <v>2816</v>
      </c>
      <c r="C1058" s="1" t="s">
        <v>2817</v>
      </c>
      <c r="D1058" s="1" t="s">
        <v>2830</v>
      </c>
      <c r="E1058" s="1" t="s">
        <v>54</v>
      </c>
      <c r="F1058" s="1" t="s">
        <v>61</v>
      </c>
      <c r="G1058" s="1" t="s">
        <v>2833</v>
      </c>
      <c r="H1058" s="1">
        <v>819</v>
      </c>
      <c r="I1058" s="1" t="s">
        <v>48</v>
      </c>
      <c r="J1058" s="1">
        <v>4</v>
      </c>
      <c r="K1058" s="1" t="s">
        <v>35</v>
      </c>
      <c r="L1058" s="1">
        <v>57</v>
      </c>
      <c r="M1058" s="1" t="str">
        <f>IF(L1058&lt;=45,"Joven","Mayor")</f>
        <v>Mayor</v>
      </c>
      <c r="N1058" s="1">
        <v>54</v>
      </c>
      <c r="O1058" s="1" t="s">
        <v>36</v>
      </c>
      <c r="P1058" s="1">
        <v>0.253</v>
      </c>
      <c r="Q1058" s="1">
        <v>92.488</v>
      </c>
      <c r="R1058" s="1">
        <v>2.5478535</v>
      </c>
      <c r="S1058" s="1">
        <v>-4.9407972999999998</v>
      </c>
      <c r="T1058" s="1">
        <v>-2.6132399999999998</v>
      </c>
      <c r="U1058" s="1">
        <v>10.414</v>
      </c>
      <c r="V1058" s="1">
        <v>112</v>
      </c>
      <c r="W1058" s="1">
        <v>184</v>
      </c>
      <c r="X1058" s="1">
        <v>1.6428571428571428</v>
      </c>
      <c r="Y1058" s="1">
        <v>114</v>
      </c>
      <c r="Z1058" s="1">
        <v>184</v>
      </c>
      <c r="AA1058" s="1">
        <v>1.6140350877192982</v>
      </c>
      <c r="AB1058" s="1">
        <v>116.20673226663961</v>
      </c>
      <c r="AC1058" s="1">
        <v>184.08221412815831</v>
      </c>
      <c r="AD1058" s="1">
        <v>1.5840925094234344</v>
      </c>
      <c r="AE1058" t="s">
        <v>4817</v>
      </c>
      <c r="AF1058" t="str">
        <f>IF(X1058&lt;$AF$1,"Bajo","Alto")</f>
        <v>Bajo</v>
      </c>
      <c r="AG1058" t="str">
        <f>LEFT(AE1058,1)</f>
        <v>C</v>
      </c>
      <c r="AH1058" t="str">
        <f>K1058</f>
        <v>M</v>
      </c>
      <c r="AI1058" t="str">
        <f>LEFT(AF1058,1)</f>
        <v>B</v>
      </c>
      <c r="AJ1058" t="str">
        <f>LEFT(M1058,1)</f>
        <v>M</v>
      </c>
      <c r="AK1058" t="str">
        <f>_xlfn.CONCAT(AG1058,AH1058,AI1058,AJ1058)</f>
        <v>CMBM</v>
      </c>
    </row>
    <row r="1059" spans="1:37" ht="15.75" hidden="1" customHeight="1" x14ac:dyDescent="0.2">
      <c r="A1059" s="1">
        <v>10731601</v>
      </c>
      <c r="B1059" s="1" t="s">
        <v>1067</v>
      </c>
      <c r="C1059" s="1" t="s">
        <v>1068</v>
      </c>
      <c r="D1059" s="1" t="s">
        <v>1394</v>
      </c>
      <c r="E1059" s="1" t="s">
        <v>1395</v>
      </c>
      <c r="F1059" s="1" t="s">
        <v>32</v>
      </c>
      <c r="G1059" s="1" t="s">
        <v>1396</v>
      </c>
      <c r="H1059" s="1">
        <v>32</v>
      </c>
      <c r="I1059" s="1" t="s">
        <v>85</v>
      </c>
      <c r="J1059" s="1">
        <v>12</v>
      </c>
      <c r="K1059" s="1" t="s">
        <v>35</v>
      </c>
      <c r="L1059" s="1">
        <v>64</v>
      </c>
      <c r="M1059" s="1" t="str">
        <f>IF(L1059&lt;=45,"Joven","Mayor")</f>
        <v>Mayor</v>
      </c>
      <c r="N1059" s="1">
        <v>59</v>
      </c>
      <c r="O1059" s="1" t="s">
        <v>36</v>
      </c>
      <c r="P1059" s="1">
        <v>0.55200000000000005</v>
      </c>
      <c r="Q1059" s="1">
        <v>93.98</v>
      </c>
      <c r="R1059" s="1">
        <v>0.14552401000000001</v>
      </c>
      <c r="S1059" s="1">
        <v>-4.4865437000000004</v>
      </c>
      <c r="T1059" s="1">
        <v>0.25584158000000001</v>
      </c>
      <c r="U1059" s="1">
        <v>23.422000000000001</v>
      </c>
      <c r="V1059" s="1">
        <v>99</v>
      </c>
      <c r="W1059" s="1">
        <v>164</v>
      </c>
      <c r="X1059" s="1">
        <v>1.6565656565656566</v>
      </c>
      <c r="Y1059" s="1">
        <v>102</v>
      </c>
      <c r="Z1059" s="1">
        <v>164</v>
      </c>
      <c r="AA1059" s="1">
        <v>1.607843137254902</v>
      </c>
      <c r="AB1059" s="1">
        <v>101.78911576212479</v>
      </c>
      <c r="AC1059" s="1">
        <v>164.02069134421939</v>
      </c>
      <c r="AD1059" s="1">
        <v>1.6113775045214671</v>
      </c>
      <c r="AE1059" t="s">
        <v>4815</v>
      </c>
      <c r="AF1059" t="str">
        <f>IF(X1059&lt;$AF$1,"Bajo","Alto")</f>
        <v>Bajo</v>
      </c>
      <c r="AG1059" t="str">
        <f>LEFT(AE1059,1)</f>
        <v>I</v>
      </c>
      <c r="AH1059" t="str">
        <f>K1059</f>
        <v>M</v>
      </c>
      <c r="AI1059" t="str">
        <f>LEFT(AF1059,1)</f>
        <v>B</v>
      </c>
      <c r="AJ1059" t="str">
        <f>LEFT(M1059,1)</f>
        <v>M</v>
      </c>
      <c r="AK1059" t="str">
        <f>_xlfn.CONCAT(AG1059,AH1059,AI1059,AJ1059)</f>
        <v>IMBM</v>
      </c>
    </row>
    <row r="1060" spans="1:37" ht="15.75" hidden="1" customHeight="1" x14ac:dyDescent="0.2">
      <c r="A1060" s="1">
        <v>2912407</v>
      </c>
      <c r="B1060" s="1" t="s">
        <v>3890</v>
      </c>
      <c r="C1060" s="1" t="s">
        <v>1695</v>
      </c>
      <c r="D1060" s="1" t="s">
        <v>3954</v>
      </c>
      <c r="E1060" s="1" t="s">
        <v>145</v>
      </c>
      <c r="F1060" s="1" t="s">
        <v>43</v>
      </c>
      <c r="G1060" s="1" t="s">
        <v>3958</v>
      </c>
      <c r="H1060" s="1">
        <v>134</v>
      </c>
      <c r="I1060" s="1" t="s">
        <v>93</v>
      </c>
      <c r="J1060" s="1">
        <v>9</v>
      </c>
      <c r="K1060" s="1" t="s">
        <v>49</v>
      </c>
      <c r="L1060" s="1">
        <v>53</v>
      </c>
      <c r="M1060" s="1" t="str">
        <f>IF(L1060&lt;=45,"Joven","Mayor")</f>
        <v>Mayor</v>
      </c>
      <c r="N1060" s="1">
        <v>53</v>
      </c>
      <c r="O1060" s="1" t="s">
        <v>36</v>
      </c>
      <c r="P1060" s="1">
        <v>0.98</v>
      </c>
      <c r="Q1060" s="1">
        <v>89.738</v>
      </c>
      <c r="R1060" s="1">
        <v>-3.035288</v>
      </c>
      <c r="S1060" s="1">
        <v>9.5447980000000001</v>
      </c>
      <c r="T1060" s="1">
        <v>0.32385364</v>
      </c>
      <c r="U1060" s="1">
        <v>3.6659999999999999</v>
      </c>
      <c r="V1060" s="1">
        <v>92</v>
      </c>
      <c r="W1060" s="1">
        <v>152</v>
      </c>
      <c r="X1060" s="1">
        <v>1.6521739130434783</v>
      </c>
      <c r="Y1060" s="1">
        <v>93</v>
      </c>
      <c r="Z1060" s="1">
        <v>152</v>
      </c>
      <c r="AA1060" s="1">
        <v>1.6344086021505377</v>
      </c>
      <c r="AB1060" s="1">
        <v>92.76677082162314</v>
      </c>
      <c r="AC1060" s="1">
        <v>152.00322419245961</v>
      </c>
      <c r="AD1060" s="1">
        <v>1.6385524994153291</v>
      </c>
      <c r="AE1060" t="s">
        <v>4815</v>
      </c>
      <c r="AF1060" t="str">
        <f>IF(X1060&lt;$AF$1,"Bajo","Alto")</f>
        <v>Bajo</v>
      </c>
      <c r="AG1060" t="str">
        <f>LEFT(AE1060,1)</f>
        <v>I</v>
      </c>
      <c r="AH1060" t="str">
        <f>K1060</f>
        <v>F</v>
      </c>
      <c r="AI1060" t="str">
        <f>LEFT(AF1060,1)</f>
        <v>B</v>
      </c>
      <c r="AJ1060" t="str">
        <f>LEFT(M1060,1)</f>
        <v>M</v>
      </c>
      <c r="AK1060" t="str">
        <f>_xlfn.CONCAT(AG1060,AH1060,AI1060,AJ1060)</f>
        <v>IFBM</v>
      </c>
    </row>
    <row r="1061" spans="1:37" ht="15.75" hidden="1" customHeight="1" x14ac:dyDescent="0.2">
      <c r="A1061" s="1">
        <v>640209</v>
      </c>
      <c r="B1061" s="1" t="s">
        <v>4718</v>
      </c>
      <c r="C1061" s="1" t="s">
        <v>710</v>
      </c>
      <c r="D1061" s="1" t="s">
        <v>4725</v>
      </c>
      <c r="E1061" s="1" t="s">
        <v>37</v>
      </c>
      <c r="F1061" s="1" t="s">
        <v>189</v>
      </c>
      <c r="G1061" s="1" t="s">
        <v>4730</v>
      </c>
      <c r="H1061" s="1">
        <v>1882</v>
      </c>
      <c r="I1061" s="1" t="s">
        <v>4731</v>
      </c>
      <c r="J1061" s="1">
        <v>4350</v>
      </c>
      <c r="K1061" s="1" t="s">
        <v>49</v>
      </c>
      <c r="L1061" s="1">
        <v>31</v>
      </c>
      <c r="M1061" s="1" t="str">
        <f>IF(L1061&lt;=45,"Joven","Mayor")</f>
        <v>Joven</v>
      </c>
      <c r="N1061" s="1">
        <v>47</v>
      </c>
      <c r="O1061" s="1" t="s">
        <v>50</v>
      </c>
      <c r="P1061" s="1">
        <v>2.2589999999999999</v>
      </c>
      <c r="Q1061" s="1">
        <v>92.396000000000001</v>
      </c>
      <c r="R1061" s="1">
        <v>-3.0691956999999999</v>
      </c>
      <c r="S1061" s="1">
        <v>1.6478223999999999</v>
      </c>
      <c r="T1061" s="1">
        <v>0.98412036999999997</v>
      </c>
      <c r="U1061" s="1">
        <v>21.945</v>
      </c>
      <c r="V1061" s="1">
        <v>97</v>
      </c>
      <c r="W1061" s="1">
        <v>186</v>
      </c>
      <c r="X1061" s="1">
        <v>1.9175257731958764</v>
      </c>
      <c r="Y1061" s="1">
        <v>99</v>
      </c>
      <c r="Z1061" s="1">
        <v>186</v>
      </c>
      <c r="AA1061" s="1">
        <v>1.8787878787878789</v>
      </c>
      <c r="AB1061" s="1">
        <v>99.689584020812163</v>
      </c>
      <c r="AC1061" s="1">
        <v>185.88668735150989</v>
      </c>
      <c r="AD1061" s="1">
        <v>1.8646550607804964</v>
      </c>
      <c r="AE1061" t="s">
        <v>4817</v>
      </c>
      <c r="AF1061" t="str">
        <f>IF(X1061&lt;$AF$1,"Bajo","Alto")</f>
        <v>Alto</v>
      </c>
      <c r="AG1061" t="str">
        <f>LEFT(AE1061,1)</f>
        <v>C</v>
      </c>
      <c r="AH1061" t="str">
        <f>K1061</f>
        <v>F</v>
      </c>
      <c r="AI1061" t="str">
        <f>LEFT(AF1061,1)</f>
        <v>A</v>
      </c>
      <c r="AJ1061" t="str">
        <f>LEFT(M1061,1)</f>
        <v>J</v>
      </c>
      <c r="AK1061" t="str">
        <f>_xlfn.CONCAT(AG1061,AH1061,AI1061,AJ1061)</f>
        <v>CFAJ</v>
      </c>
    </row>
    <row r="1062" spans="1:37" ht="15.75" hidden="1" customHeight="1" x14ac:dyDescent="0.2">
      <c r="A1062" s="1">
        <v>522801</v>
      </c>
      <c r="B1062" s="1" t="s">
        <v>4529</v>
      </c>
      <c r="C1062" s="1" t="s">
        <v>685</v>
      </c>
      <c r="D1062" s="1" t="s">
        <v>4578</v>
      </c>
      <c r="E1062" s="1" t="s">
        <v>561</v>
      </c>
      <c r="F1062" s="1" t="s">
        <v>32</v>
      </c>
      <c r="G1062" s="1" t="s">
        <v>4579</v>
      </c>
      <c r="H1062" s="1">
        <v>755</v>
      </c>
      <c r="I1062" s="1" t="s">
        <v>73</v>
      </c>
      <c r="J1062" s="1">
        <v>5</v>
      </c>
      <c r="K1062" s="1" t="s">
        <v>35</v>
      </c>
      <c r="L1062" s="1">
        <v>31</v>
      </c>
      <c r="M1062" s="1" t="str">
        <f>IF(L1062&lt;=45,"Joven","Mayor")</f>
        <v>Joven</v>
      </c>
      <c r="N1062" s="1">
        <v>25</v>
      </c>
      <c r="O1062" s="1" t="s">
        <v>36</v>
      </c>
      <c r="P1062" s="1">
        <v>0.36199999999999999</v>
      </c>
      <c r="Q1062" s="1">
        <v>88.817999999999998</v>
      </c>
      <c r="R1062" s="1">
        <v>-6.1339803000000002</v>
      </c>
      <c r="S1062" s="1">
        <v>4.3905599999999998</v>
      </c>
      <c r="T1062" s="1">
        <v>8.4843240000000009</v>
      </c>
      <c r="U1062" s="1">
        <v>28.643999999999998</v>
      </c>
      <c r="V1062" s="1">
        <v>80</v>
      </c>
      <c r="W1062" s="1">
        <v>152</v>
      </c>
      <c r="X1062" s="1">
        <v>1.9</v>
      </c>
      <c r="Y1062" s="1">
        <v>89</v>
      </c>
      <c r="Z1062" s="1">
        <v>152</v>
      </c>
      <c r="AA1062" s="1">
        <v>1.7078651685393258</v>
      </c>
      <c r="AB1062" s="1">
        <v>86.058825546189837</v>
      </c>
      <c r="AC1062" s="1">
        <v>152.4020959171271</v>
      </c>
      <c r="AD1062" s="1">
        <v>1.7709060627992097</v>
      </c>
      <c r="AE1062" t="s">
        <v>4817</v>
      </c>
      <c r="AF1062" t="str">
        <f>IF(X1062&lt;$AF$1,"Bajo","Alto")</f>
        <v>Alto</v>
      </c>
      <c r="AG1062" t="str">
        <f>LEFT(AE1062,1)</f>
        <v>C</v>
      </c>
      <c r="AH1062" t="str">
        <f>K1062</f>
        <v>M</v>
      </c>
      <c r="AI1062" t="str">
        <f>LEFT(AF1062,1)</f>
        <v>A</v>
      </c>
      <c r="AJ1062" t="str">
        <f>LEFT(M1062,1)</f>
        <v>J</v>
      </c>
      <c r="AK1062" t="str">
        <f>_xlfn.CONCAT(AG1062,AH1062,AI1062,AJ1062)</f>
        <v>CMAJ</v>
      </c>
    </row>
    <row r="1063" spans="1:37" ht="15.75" hidden="1" customHeight="1" x14ac:dyDescent="0.2">
      <c r="A1063" s="1">
        <v>113101</v>
      </c>
      <c r="B1063" s="1" t="s">
        <v>1648</v>
      </c>
      <c r="C1063" s="1" t="s">
        <v>51</v>
      </c>
      <c r="D1063" s="1" t="s">
        <v>1700</v>
      </c>
      <c r="E1063" s="1" t="s">
        <v>628</v>
      </c>
      <c r="F1063" s="1" t="s">
        <v>32</v>
      </c>
      <c r="G1063" s="1" t="s">
        <v>1701</v>
      </c>
      <c r="H1063" s="1">
        <v>2778</v>
      </c>
      <c r="I1063" s="1" t="s">
        <v>85</v>
      </c>
      <c r="J1063" s="1">
        <v>12</v>
      </c>
      <c r="K1063" s="1" t="s">
        <v>35</v>
      </c>
      <c r="L1063" s="1">
        <v>35</v>
      </c>
      <c r="M1063" s="1" t="str">
        <f>IF(L1063&lt;=45,"Joven","Mayor")</f>
        <v>Joven</v>
      </c>
      <c r="N1063" s="1">
        <v>52</v>
      </c>
      <c r="O1063" s="1" t="s">
        <v>36</v>
      </c>
      <c r="P1063" s="1">
        <v>0.439</v>
      </c>
      <c r="Q1063" s="1">
        <v>93.667000000000002</v>
      </c>
      <c r="R1063" s="1">
        <v>-0.14820912</v>
      </c>
      <c r="S1063" s="1">
        <v>5.7205873</v>
      </c>
      <c r="T1063" s="1">
        <v>-0.34882590000000002</v>
      </c>
      <c r="U1063" s="1">
        <v>2.512</v>
      </c>
      <c r="V1063" s="1">
        <v>112</v>
      </c>
      <c r="W1063" s="1">
        <v>208</v>
      </c>
      <c r="X1063" s="1">
        <v>1.8571428571428572</v>
      </c>
      <c r="Y1063" s="1">
        <v>112</v>
      </c>
      <c r="Z1063" s="1">
        <v>208</v>
      </c>
      <c r="AA1063" s="1">
        <v>1.8571428571428572</v>
      </c>
      <c r="AB1063" s="1">
        <v>112.3449473304038</v>
      </c>
      <c r="AC1063" s="1">
        <v>208.0204976707669</v>
      </c>
      <c r="AD1063" s="1">
        <v>1.8516230824247359</v>
      </c>
      <c r="AE1063" t="s">
        <v>4815</v>
      </c>
      <c r="AF1063" t="str">
        <f>IF(X1063&lt;$AF$1,"Bajo","Alto")</f>
        <v>Alto</v>
      </c>
      <c r="AG1063" t="str">
        <f>LEFT(AE1063,1)</f>
        <v>I</v>
      </c>
      <c r="AH1063" t="str">
        <f>K1063</f>
        <v>M</v>
      </c>
      <c r="AI1063" t="str">
        <f>LEFT(AF1063,1)</f>
        <v>A</v>
      </c>
      <c r="AJ1063" t="str">
        <f>LEFT(M1063,1)</f>
        <v>J</v>
      </c>
      <c r="AK1063" t="str">
        <f>_xlfn.CONCAT(AG1063,AH1063,AI1063,AJ1063)</f>
        <v>IMAJ</v>
      </c>
    </row>
    <row r="1064" spans="1:37" ht="15.75" hidden="1" customHeight="1" x14ac:dyDescent="0.2">
      <c r="A1064" s="1">
        <v>134908</v>
      </c>
      <c r="B1064" s="1" t="s">
        <v>956</v>
      </c>
      <c r="C1064" s="1" t="s">
        <v>163</v>
      </c>
      <c r="D1064" s="1" t="s">
        <v>430</v>
      </c>
      <c r="E1064" s="1" t="s">
        <v>673</v>
      </c>
      <c r="F1064" s="1" t="s">
        <v>46</v>
      </c>
      <c r="G1064" s="1" t="s">
        <v>2056</v>
      </c>
      <c r="H1064" s="1">
        <v>5426</v>
      </c>
      <c r="I1064" s="1" t="s">
        <v>2057</v>
      </c>
      <c r="J1064" s="1">
        <v>4122</v>
      </c>
      <c r="K1064" s="1" t="s">
        <v>49</v>
      </c>
      <c r="L1064" s="1">
        <v>50</v>
      </c>
      <c r="M1064" s="1" t="str">
        <f>IF(L1064&lt;=45,"Joven","Mayor")</f>
        <v>Mayor</v>
      </c>
      <c r="N1064" s="1">
        <v>52</v>
      </c>
      <c r="O1064" s="1" t="s">
        <v>50</v>
      </c>
      <c r="P1064" s="1">
        <v>0.35499999999999998</v>
      </c>
      <c r="Q1064" s="1">
        <v>57.933999999999997</v>
      </c>
      <c r="R1064" s="1">
        <v>14.585324999999999</v>
      </c>
      <c r="S1064" s="1">
        <v>4.7167086999999999</v>
      </c>
      <c r="T1064" s="1">
        <v>-1.107634</v>
      </c>
      <c r="U1064" s="1">
        <v>45.905000000000001</v>
      </c>
      <c r="V1064" s="1">
        <v>100</v>
      </c>
      <c r="W1064" s="1">
        <v>164</v>
      </c>
      <c r="X1064" s="1">
        <v>1.64</v>
      </c>
      <c r="Y1064" s="1">
        <v>101</v>
      </c>
      <c r="Z1064" s="1">
        <v>164</v>
      </c>
      <c r="AA1064" s="1">
        <v>1.6237623762376239</v>
      </c>
      <c r="AB1064" s="1">
        <v>100.6385568487183</v>
      </c>
      <c r="AC1064" s="1">
        <v>163.81471059833979</v>
      </c>
      <c r="AD1064" s="1">
        <v>1.6277529778630375</v>
      </c>
      <c r="AE1064" t="s">
        <v>4817</v>
      </c>
      <c r="AF1064" t="str">
        <f>IF(X1064&lt;$AF$1,"Bajo","Alto")</f>
        <v>Bajo</v>
      </c>
      <c r="AG1064" t="str">
        <f>LEFT(AE1064,1)</f>
        <v>C</v>
      </c>
      <c r="AH1064" t="str">
        <f>K1064</f>
        <v>F</v>
      </c>
      <c r="AI1064" t="str">
        <f>LEFT(AF1064,1)</f>
        <v>B</v>
      </c>
      <c r="AJ1064" t="str">
        <f>LEFT(M1064,1)</f>
        <v>M</v>
      </c>
      <c r="AK1064" t="str">
        <f>_xlfn.CONCAT(AG1064,AH1064,AI1064,AJ1064)</f>
        <v>CFBM</v>
      </c>
    </row>
    <row r="1065" spans="1:37" ht="15.75" hidden="1" customHeight="1" x14ac:dyDescent="0.2">
      <c r="A1065" s="1">
        <v>132001</v>
      </c>
      <c r="B1065" s="1" t="s">
        <v>956</v>
      </c>
      <c r="C1065" s="1" t="s">
        <v>163</v>
      </c>
      <c r="D1065" s="1" t="s">
        <v>1982</v>
      </c>
      <c r="E1065" s="1" t="s">
        <v>1983</v>
      </c>
      <c r="F1065" s="1" t="s">
        <v>32</v>
      </c>
      <c r="G1065" s="1" t="s">
        <v>1984</v>
      </c>
      <c r="H1065" s="1">
        <v>4981</v>
      </c>
      <c r="I1065" s="1" t="s">
        <v>100</v>
      </c>
      <c r="J1065" s="1">
        <v>1</v>
      </c>
      <c r="K1065" s="1" t="s">
        <v>35</v>
      </c>
      <c r="L1065" s="1">
        <v>38</v>
      </c>
      <c r="M1065" s="1" t="str">
        <f>IF(L1065&lt;=45,"Joven","Mayor")</f>
        <v>Joven</v>
      </c>
      <c r="N1065" s="1">
        <v>41</v>
      </c>
      <c r="O1065" s="1" t="s">
        <v>36</v>
      </c>
      <c r="P1065" s="1">
        <v>0.58299999999999996</v>
      </c>
      <c r="Q1065" s="1">
        <v>91.802999999999997</v>
      </c>
      <c r="R1065" s="1">
        <v>2.7980434999999999</v>
      </c>
      <c r="S1065" s="1">
        <v>6.0588407999999996</v>
      </c>
      <c r="T1065" s="1">
        <v>-2.9796917000000001</v>
      </c>
      <c r="U1065" s="1">
        <v>3.0329999999999999</v>
      </c>
      <c r="V1065" s="1">
        <v>99</v>
      </c>
      <c r="W1065" s="1">
        <v>188</v>
      </c>
      <c r="X1065" s="1">
        <v>1.898989898989899</v>
      </c>
      <c r="Y1065" s="1">
        <v>103</v>
      </c>
      <c r="Z1065" s="1">
        <v>188</v>
      </c>
      <c r="AA1065" s="1">
        <v>1.825242718446602</v>
      </c>
      <c r="AB1065" s="1">
        <v>101.6211997877917</v>
      </c>
      <c r="AC1065" s="1">
        <v>187.9537561663137</v>
      </c>
      <c r="AD1065" s="1">
        <v>1.8495526185363302</v>
      </c>
      <c r="AE1065" t="s">
        <v>4817</v>
      </c>
      <c r="AF1065" t="str">
        <f>IF(X1065&lt;$AF$1,"Bajo","Alto")</f>
        <v>Alto</v>
      </c>
      <c r="AG1065" t="str">
        <f>LEFT(AE1065,1)</f>
        <v>C</v>
      </c>
      <c r="AH1065" t="str">
        <f>K1065</f>
        <v>M</v>
      </c>
      <c r="AI1065" t="str">
        <f>LEFT(AF1065,1)</f>
        <v>A</v>
      </c>
      <c r="AJ1065" t="str">
        <f>LEFT(M1065,1)</f>
        <v>J</v>
      </c>
      <c r="AK1065" t="str">
        <f>_xlfn.CONCAT(AG1065,AH1065,AI1065,AJ1065)</f>
        <v>CMAJ</v>
      </c>
    </row>
    <row r="1066" spans="1:37" ht="15.75" hidden="1" customHeight="1" x14ac:dyDescent="0.2">
      <c r="A1066" s="1">
        <v>680406</v>
      </c>
      <c r="B1066" s="1" t="s">
        <v>4791</v>
      </c>
      <c r="C1066" s="1" t="s">
        <v>1479</v>
      </c>
      <c r="D1066" s="1" t="s">
        <v>4792</v>
      </c>
      <c r="E1066" s="1" t="s">
        <v>61</v>
      </c>
      <c r="F1066" s="1" t="s">
        <v>88</v>
      </c>
      <c r="G1066" s="1" t="s">
        <v>4795</v>
      </c>
      <c r="H1066" s="1">
        <v>68</v>
      </c>
      <c r="I1066" s="1" t="s">
        <v>134</v>
      </c>
      <c r="J1066" s="1">
        <v>8</v>
      </c>
      <c r="K1066" s="1" t="s">
        <v>35</v>
      </c>
      <c r="L1066" s="1">
        <v>43</v>
      </c>
      <c r="M1066" s="1" t="str">
        <f>IF(L1066&lt;=45,"Joven","Mayor")</f>
        <v>Joven</v>
      </c>
      <c r="N1066" s="1">
        <v>43</v>
      </c>
      <c r="O1066" s="1" t="s">
        <v>36</v>
      </c>
      <c r="P1066" s="1">
        <v>0.30199999999999999</v>
      </c>
      <c r="Q1066" s="1">
        <v>92.498000000000005</v>
      </c>
      <c r="R1066" s="1">
        <v>2.8664246000000002</v>
      </c>
      <c r="S1066" s="1">
        <v>4.0632242999999999</v>
      </c>
      <c r="T1066" s="1">
        <v>-2.617937</v>
      </c>
      <c r="U1066" s="1">
        <v>26.936</v>
      </c>
      <c r="V1066" s="1">
        <v>74</v>
      </c>
      <c r="W1066" s="1">
        <v>123</v>
      </c>
      <c r="X1066" s="1">
        <v>1.6621621621621621</v>
      </c>
      <c r="Y1066" s="1">
        <v>75</v>
      </c>
      <c r="Z1066" s="1">
        <v>123</v>
      </c>
      <c r="AA1066" s="1">
        <v>1.64</v>
      </c>
      <c r="AB1066" s="1">
        <v>76.337671386995908</v>
      </c>
      <c r="AC1066" s="1">
        <v>122.7802758535977</v>
      </c>
      <c r="AD1066" s="1">
        <v>1.6083838244313184</v>
      </c>
      <c r="AE1066" t="s">
        <v>4817</v>
      </c>
      <c r="AF1066" t="str">
        <f>IF(X1066&lt;$AF$1,"Bajo","Alto")</f>
        <v>Bajo</v>
      </c>
      <c r="AG1066" t="str">
        <f>LEFT(AE1066,1)</f>
        <v>C</v>
      </c>
      <c r="AH1066" t="str">
        <f>K1066</f>
        <v>M</v>
      </c>
      <c r="AI1066" t="str">
        <f>LEFT(AF1066,1)</f>
        <v>B</v>
      </c>
      <c r="AJ1066" t="str">
        <f>LEFT(M1066,1)</f>
        <v>J</v>
      </c>
      <c r="AK1066" t="str">
        <f>_xlfn.CONCAT(AG1066,AH1066,AI1066,AJ1066)</f>
        <v>CMBJ</v>
      </c>
    </row>
    <row r="1067" spans="1:37" ht="15.75" hidden="1" customHeight="1" x14ac:dyDescent="0.2">
      <c r="A1067" s="1">
        <v>135803</v>
      </c>
      <c r="B1067" s="1" t="s">
        <v>956</v>
      </c>
      <c r="C1067" s="1" t="s">
        <v>163</v>
      </c>
      <c r="D1067" s="1" t="s">
        <v>2065</v>
      </c>
      <c r="E1067" s="1" t="s">
        <v>695</v>
      </c>
      <c r="F1067" s="1" t="s">
        <v>63</v>
      </c>
      <c r="G1067" s="1" t="s">
        <v>2067</v>
      </c>
      <c r="H1067" s="1">
        <v>17254</v>
      </c>
      <c r="I1067" s="1" t="s">
        <v>65</v>
      </c>
      <c r="J1067" s="1">
        <v>2</v>
      </c>
      <c r="K1067" s="1" t="s">
        <v>35</v>
      </c>
      <c r="L1067" s="1">
        <v>34</v>
      </c>
      <c r="M1067" s="1" t="str">
        <f>IF(L1067&lt;=45,"Joven","Mayor")</f>
        <v>Joven</v>
      </c>
      <c r="N1067" s="1">
        <v>29</v>
      </c>
      <c r="O1067" s="1" t="s">
        <v>36</v>
      </c>
      <c r="P1067" s="1">
        <v>0.35799999999999998</v>
      </c>
      <c r="Q1067" s="1">
        <v>93.316000000000003</v>
      </c>
      <c r="R1067" s="1">
        <v>2.4715824</v>
      </c>
      <c r="S1067" s="1">
        <v>1.864493</v>
      </c>
      <c r="T1067" s="1">
        <v>-3.6566643999999999</v>
      </c>
      <c r="U1067" s="1">
        <v>1.1830000000000001</v>
      </c>
      <c r="V1067" s="1">
        <v>86</v>
      </c>
      <c r="W1067" s="1">
        <v>143</v>
      </c>
      <c r="X1067" s="1">
        <v>1.6627906976744187</v>
      </c>
      <c r="Y1067" s="1">
        <v>87</v>
      </c>
      <c r="Z1067" s="1">
        <v>143</v>
      </c>
      <c r="AA1067" s="1">
        <v>1.6436781609195403</v>
      </c>
      <c r="AB1067" s="1">
        <v>88.567349444208276</v>
      </c>
      <c r="AC1067" s="1">
        <v>142.83642730843169</v>
      </c>
      <c r="AD1067" s="1">
        <v>1.6127436149414118</v>
      </c>
      <c r="AE1067" t="s">
        <v>4817</v>
      </c>
      <c r="AF1067" t="str">
        <f>IF(X1067&lt;$AF$1,"Bajo","Alto")</f>
        <v>Bajo</v>
      </c>
      <c r="AG1067" t="str">
        <f>LEFT(AE1067,1)</f>
        <v>C</v>
      </c>
      <c r="AH1067" t="str">
        <f>K1067</f>
        <v>M</v>
      </c>
      <c r="AI1067" t="str">
        <f>LEFT(AF1067,1)</f>
        <v>B</v>
      </c>
      <c r="AJ1067" t="str">
        <f>LEFT(M1067,1)</f>
        <v>J</v>
      </c>
      <c r="AK1067" t="str">
        <f>_xlfn.CONCAT(AG1067,AH1067,AI1067,AJ1067)</f>
        <v>CMBJ</v>
      </c>
    </row>
    <row r="1068" spans="1:37" ht="15.75" hidden="1" customHeight="1" x14ac:dyDescent="0.2">
      <c r="A1068" s="1">
        <v>4685001</v>
      </c>
      <c r="B1068" s="1" t="s">
        <v>4382</v>
      </c>
      <c r="C1068" s="1" t="s">
        <v>669</v>
      </c>
      <c r="D1068" s="1" t="s">
        <v>4448</v>
      </c>
      <c r="E1068" s="1" t="s">
        <v>1932</v>
      </c>
      <c r="F1068" s="1" t="s">
        <v>32</v>
      </c>
      <c r="G1068" s="1" t="s">
        <v>4449</v>
      </c>
      <c r="H1068" s="1">
        <v>2987</v>
      </c>
      <c r="I1068" s="1" t="s">
        <v>100</v>
      </c>
      <c r="J1068" s="1">
        <v>1</v>
      </c>
      <c r="K1068" s="1" t="s">
        <v>35</v>
      </c>
      <c r="L1068" s="1">
        <v>38</v>
      </c>
      <c r="M1068" s="1" t="str">
        <f>IF(L1068&lt;=45,"Joven","Mayor")</f>
        <v>Joven</v>
      </c>
      <c r="N1068" s="1">
        <v>47</v>
      </c>
      <c r="O1068" s="1" t="s">
        <v>36</v>
      </c>
      <c r="P1068" s="1">
        <v>0.35399999999999998</v>
      </c>
      <c r="Q1068" s="1">
        <v>90.998999999999995</v>
      </c>
      <c r="R1068" s="1">
        <v>3.2334933000000001</v>
      </c>
      <c r="S1068" s="1">
        <v>7.2438025000000001</v>
      </c>
      <c r="T1068" s="1">
        <v>-1.8341594000000001</v>
      </c>
      <c r="U1068" s="1">
        <v>1.8180000000000001</v>
      </c>
      <c r="V1068" s="1">
        <v>89</v>
      </c>
      <c r="W1068" s="1">
        <v>148</v>
      </c>
      <c r="X1068" s="1">
        <v>1.6629213483146068</v>
      </c>
      <c r="Y1068" s="1">
        <v>94</v>
      </c>
      <c r="Z1068" s="1">
        <v>148</v>
      </c>
      <c r="AA1068" s="1">
        <v>1.574468085106383</v>
      </c>
      <c r="AB1068" s="1">
        <v>92.799600129624423</v>
      </c>
      <c r="AC1068" s="1">
        <v>148.05219967516899</v>
      </c>
      <c r="AD1068" s="1">
        <v>1.5953969571891105</v>
      </c>
      <c r="AE1068" t="s">
        <v>4817</v>
      </c>
      <c r="AF1068" t="str">
        <f>IF(X1068&lt;$AF$1,"Bajo","Alto")</f>
        <v>Bajo</v>
      </c>
      <c r="AG1068" t="str">
        <f>LEFT(AE1068,1)</f>
        <v>C</v>
      </c>
      <c r="AH1068" t="str">
        <f>K1068</f>
        <v>M</v>
      </c>
      <c r="AI1068" t="str">
        <f>LEFT(AF1068,1)</f>
        <v>B</v>
      </c>
      <c r="AJ1068" t="str">
        <f>LEFT(M1068,1)</f>
        <v>J</v>
      </c>
      <c r="AK1068" t="str">
        <f>_xlfn.CONCAT(AG1068,AH1068,AI1068,AJ1068)</f>
        <v>CMBJ</v>
      </c>
    </row>
    <row r="1069" spans="1:37" ht="15.75" hidden="1" customHeight="1" x14ac:dyDescent="0.2">
      <c r="A1069" s="1">
        <v>255202</v>
      </c>
      <c r="B1069" s="1" t="s">
        <v>3169</v>
      </c>
      <c r="C1069" s="1" t="s">
        <v>821</v>
      </c>
      <c r="D1069" s="1" t="s">
        <v>3268</v>
      </c>
      <c r="E1069" s="1" t="s">
        <v>685</v>
      </c>
      <c r="F1069" s="1" t="s">
        <v>37</v>
      </c>
      <c r="G1069" s="1" t="s">
        <v>3270</v>
      </c>
      <c r="H1069" s="1">
        <v>78</v>
      </c>
      <c r="I1069" s="1" t="s">
        <v>108</v>
      </c>
      <c r="J1069" s="1">
        <v>3</v>
      </c>
      <c r="K1069" s="1" t="s">
        <v>35</v>
      </c>
      <c r="L1069" s="1">
        <v>30</v>
      </c>
      <c r="M1069" s="1" t="str">
        <f>IF(L1069&lt;=45,"Joven","Mayor")</f>
        <v>Joven</v>
      </c>
      <c r="N1069" s="1">
        <v>38</v>
      </c>
      <c r="O1069" s="1" t="s">
        <v>36</v>
      </c>
      <c r="P1069" s="1">
        <v>0.35099999999999998</v>
      </c>
      <c r="Q1069" s="1">
        <v>91.171000000000006</v>
      </c>
      <c r="R1069" s="1">
        <v>2.7399460000000002</v>
      </c>
      <c r="S1069" s="1">
        <v>7.8320955999999997</v>
      </c>
      <c r="T1069" s="1">
        <v>-2.1222908</v>
      </c>
      <c r="U1069" s="1">
        <v>6.1150000000000002</v>
      </c>
      <c r="V1069" s="1">
        <v>95</v>
      </c>
      <c r="W1069" s="1">
        <v>158</v>
      </c>
      <c r="X1069" s="1">
        <v>1.6631578947368422</v>
      </c>
      <c r="Y1069" s="1">
        <v>97</v>
      </c>
      <c r="Z1069" s="1">
        <v>158</v>
      </c>
      <c r="AA1069" s="1">
        <v>1.6288659793814433</v>
      </c>
      <c r="AB1069" s="1">
        <v>96.675363036488534</v>
      </c>
      <c r="AC1069" s="1">
        <v>158.00271927260471</v>
      </c>
      <c r="AD1069" s="1">
        <v>1.6343638576559487</v>
      </c>
      <c r="AE1069" t="s">
        <v>4817</v>
      </c>
      <c r="AF1069" t="str">
        <f>IF(X1069&lt;$AF$1,"Bajo","Alto")</f>
        <v>Bajo</v>
      </c>
      <c r="AG1069" t="str">
        <f>LEFT(AE1069,1)</f>
        <v>C</v>
      </c>
      <c r="AH1069" t="str">
        <f>K1069</f>
        <v>M</v>
      </c>
      <c r="AI1069" t="str">
        <f>LEFT(AF1069,1)</f>
        <v>B</v>
      </c>
      <c r="AJ1069" t="str">
        <f>LEFT(M1069,1)</f>
        <v>J</v>
      </c>
      <c r="AK1069" t="str">
        <f>_xlfn.CONCAT(AG1069,AH1069,AI1069,AJ1069)</f>
        <v>CMBJ</v>
      </c>
    </row>
    <row r="1070" spans="1:37" ht="15.75" hidden="1" customHeight="1" x14ac:dyDescent="0.2">
      <c r="A1070" s="1">
        <v>236702</v>
      </c>
      <c r="B1070" s="1" t="s">
        <v>319</v>
      </c>
      <c r="C1070" s="1" t="s">
        <v>1989</v>
      </c>
      <c r="D1070" s="1" t="s">
        <v>3063</v>
      </c>
      <c r="E1070" s="1" t="s">
        <v>715</v>
      </c>
      <c r="F1070" s="1" t="s">
        <v>37</v>
      </c>
      <c r="G1070" s="1" t="s">
        <v>3064</v>
      </c>
      <c r="H1070" s="1">
        <v>1655</v>
      </c>
      <c r="I1070" s="1" t="s">
        <v>87</v>
      </c>
      <c r="J1070" s="1">
        <v>14</v>
      </c>
      <c r="K1070" s="1" t="s">
        <v>35</v>
      </c>
      <c r="L1070" s="1">
        <v>57</v>
      </c>
      <c r="M1070" s="1" t="str">
        <f>IF(L1070&lt;=45,"Joven","Mayor")</f>
        <v>Mayor</v>
      </c>
      <c r="N1070" s="1">
        <v>47</v>
      </c>
      <c r="O1070" s="1" t="s">
        <v>36</v>
      </c>
      <c r="P1070" s="1">
        <v>0.36</v>
      </c>
      <c r="Q1070" s="1">
        <v>93.561000000000007</v>
      </c>
      <c r="R1070" s="1">
        <v>-0.88118916999999997</v>
      </c>
      <c r="S1070" s="1">
        <v>-4.8342103999999999</v>
      </c>
      <c r="T1070" s="1">
        <v>-3.6388109000000002</v>
      </c>
      <c r="U1070" s="1">
        <v>4.3579999999999997</v>
      </c>
      <c r="V1070" s="1">
        <v>74</v>
      </c>
      <c r="W1070" s="1">
        <v>140</v>
      </c>
      <c r="X1070" s="1">
        <v>1.8918918918918919</v>
      </c>
      <c r="Y1070" s="1">
        <v>78</v>
      </c>
      <c r="Z1070" s="1">
        <v>140</v>
      </c>
      <c r="AA1070" s="1">
        <v>1.7948717948717949</v>
      </c>
      <c r="AB1070" s="1">
        <v>76.579875020259578</v>
      </c>
      <c r="AC1070" s="1">
        <v>139.9716215023432</v>
      </c>
      <c r="AD1070" s="1">
        <v>1.827785974648209</v>
      </c>
      <c r="AE1070" t="s">
        <v>4816</v>
      </c>
      <c r="AF1070" t="str">
        <f>IF(X1070&lt;$AF$1,"Bajo","Alto")</f>
        <v>Alto</v>
      </c>
      <c r="AG1070" t="str">
        <f>LEFT(AE1070,1)</f>
        <v>D</v>
      </c>
      <c r="AH1070" t="str">
        <f>K1070</f>
        <v>M</v>
      </c>
      <c r="AI1070" t="str">
        <f>LEFT(AF1070,1)</f>
        <v>A</v>
      </c>
      <c r="AJ1070" t="str">
        <f>LEFT(M1070,1)</f>
        <v>M</v>
      </c>
      <c r="AK1070" t="str">
        <f>_xlfn.CONCAT(AG1070,AH1070,AI1070,AJ1070)</f>
        <v>DMAM</v>
      </c>
    </row>
    <row r="1071" spans="1:37" ht="15.75" hidden="1" customHeight="1" x14ac:dyDescent="0.2">
      <c r="A1071" s="1">
        <v>1077908</v>
      </c>
      <c r="B1071" s="1" t="s">
        <v>1067</v>
      </c>
      <c r="C1071" s="1" t="s">
        <v>1068</v>
      </c>
      <c r="D1071" s="1" t="s">
        <v>1495</v>
      </c>
      <c r="E1071" s="1" t="s">
        <v>739</v>
      </c>
      <c r="F1071" s="1" t="s">
        <v>46</v>
      </c>
      <c r="G1071" s="1" t="s">
        <v>1500</v>
      </c>
      <c r="H1071" s="1">
        <v>10611</v>
      </c>
      <c r="I1071" s="1" t="s">
        <v>1501</v>
      </c>
      <c r="J1071" s="1">
        <v>3816</v>
      </c>
      <c r="K1071" s="1" t="s">
        <v>35</v>
      </c>
      <c r="L1071" s="1">
        <v>42</v>
      </c>
      <c r="M1071" s="1" t="str">
        <f>IF(L1071&lt;=45,"Joven","Mayor")</f>
        <v>Joven</v>
      </c>
      <c r="N1071" s="1">
        <v>41</v>
      </c>
      <c r="O1071" s="1" t="s">
        <v>36</v>
      </c>
      <c r="P1071" s="1">
        <v>0.37</v>
      </c>
      <c r="Q1071" s="1">
        <v>86.852000000000004</v>
      </c>
      <c r="R1071" s="1">
        <v>5.3120336999999997</v>
      </c>
      <c r="S1071" s="1">
        <v>9.9201189999999997</v>
      </c>
      <c r="T1071" s="1">
        <v>-8.2363839999999993</v>
      </c>
      <c r="U1071" s="1">
        <v>0.58899999999999997</v>
      </c>
      <c r="V1071" s="1">
        <v>89</v>
      </c>
      <c r="W1071" s="1">
        <v>169</v>
      </c>
      <c r="X1071" s="1">
        <v>1.898876404494382</v>
      </c>
      <c r="Y1071" s="1">
        <v>92</v>
      </c>
      <c r="Z1071" s="1">
        <v>169</v>
      </c>
      <c r="AA1071" s="1">
        <v>1.8369565217391304</v>
      </c>
      <c r="AB1071" s="1">
        <v>94.098818048762951</v>
      </c>
      <c r="AC1071" s="1">
        <v>168.40290204321991</v>
      </c>
      <c r="AD1071" s="1">
        <v>1.789638866196511</v>
      </c>
      <c r="AE1071" t="s">
        <v>4817</v>
      </c>
      <c r="AF1071" t="str">
        <f>IF(X1071&lt;$AF$1,"Bajo","Alto")</f>
        <v>Alto</v>
      </c>
      <c r="AG1071" t="str">
        <f>LEFT(AE1071,1)</f>
        <v>C</v>
      </c>
      <c r="AH1071" t="str">
        <f>K1071</f>
        <v>M</v>
      </c>
      <c r="AI1071" t="str">
        <f>LEFT(AF1071,1)</f>
        <v>A</v>
      </c>
      <c r="AJ1071" t="str">
        <f>LEFT(M1071,1)</f>
        <v>J</v>
      </c>
      <c r="AK1071" t="str">
        <f>_xlfn.CONCAT(AG1071,AH1071,AI1071,AJ1071)</f>
        <v>CMAJ</v>
      </c>
    </row>
    <row r="1072" spans="1:37" ht="15.75" hidden="1" customHeight="1" x14ac:dyDescent="0.2">
      <c r="A1072" s="1">
        <v>1050701</v>
      </c>
      <c r="B1072" s="1" t="s">
        <v>694</v>
      </c>
      <c r="C1072" s="1" t="s">
        <v>879</v>
      </c>
      <c r="D1072" s="1" t="s">
        <v>895</v>
      </c>
      <c r="E1072" s="1" t="s">
        <v>43</v>
      </c>
      <c r="F1072" s="1" t="s">
        <v>32</v>
      </c>
      <c r="G1072" s="1" t="s">
        <v>896</v>
      </c>
      <c r="H1072" s="1">
        <v>16378</v>
      </c>
      <c r="I1072" s="1" t="s">
        <v>100</v>
      </c>
      <c r="J1072" s="1">
        <v>1</v>
      </c>
      <c r="K1072" s="1" t="s">
        <v>35</v>
      </c>
      <c r="L1072" s="1">
        <v>44</v>
      </c>
      <c r="M1072" s="1" t="str">
        <f>IF(L1072&lt;=45,"Joven","Mayor")</f>
        <v>Joven</v>
      </c>
      <c r="N1072" s="1">
        <v>35</v>
      </c>
      <c r="O1072" s="1" t="s">
        <v>36</v>
      </c>
      <c r="P1072" s="1">
        <v>0.183</v>
      </c>
      <c r="Q1072" s="1">
        <v>93.222999999999999</v>
      </c>
      <c r="R1072" s="1">
        <v>2.9539369999999998</v>
      </c>
      <c r="S1072" s="1">
        <v>-0.87833499999999998</v>
      </c>
      <c r="T1072" s="1">
        <v>0.32877007000000003</v>
      </c>
      <c r="U1072" s="1">
        <v>39.831000000000003</v>
      </c>
      <c r="V1072" s="1">
        <v>49</v>
      </c>
      <c r="W1072" s="1">
        <v>93</v>
      </c>
      <c r="X1072" s="1">
        <v>1.8979591836734695</v>
      </c>
      <c r="Y1072" s="1">
        <v>51</v>
      </c>
      <c r="Z1072" s="1">
        <v>93</v>
      </c>
      <c r="AA1072" s="1">
        <v>1.8235294117647058</v>
      </c>
      <c r="AB1072" s="1">
        <v>50.855708170838852</v>
      </c>
      <c r="AC1072" s="1">
        <v>93.027159387682786</v>
      </c>
      <c r="AD1072" s="1">
        <v>1.829237321308711</v>
      </c>
      <c r="AE1072" t="s">
        <v>4817</v>
      </c>
      <c r="AF1072" t="str">
        <f>IF(X1072&lt;$AF$1,"Bajo","Alto")</f>
        <v>Alto</v>
      </c>
      <c r="AG1072" t="str">
        <f>LEFT(AE1072,1)</f>
        <v>C</v>
      </c>
      <c r="AH1072" t="str">
        <f>K1072</f>
        <v>M</v>
      </c>
      <c r="AI1072" t="str">
        <f>LEFT(AF1072,1)</f>
        <v>A</v>
      </c>
      <c r="AJ1072" t="str">
        <f>LEFT(M1072,1)</f>
        <v>J</v>
      </c>
      <c r="AK1072" t="str">
        <f>_xlfn.CONCAT(AG1072,AH1072,AI1072,AJ1072)</f>
        <v>CMAJ</v>
      </c>
    </row>
    <row r="1073" spans="1:37" ht="15.75" hidden="1" customHeight="1" x14ac:dyDescent="0.2">
      <c r="A1073" s="1">
        <v>1035205</v>
      </c>
      <c r="B1073" s="1" t="s">
        <v>783</v>
      </c>
      <c r="C1073" s="1" t="s">
        <v>81</v>
      </c>
      <c r="D1073" s="1" t="s">
        <v>865</v>
      </c>
      <c r="E1073" s="1" t="s">
        <v>685</v>
      </c>
      <c r="F1073" s="1" t="s">
        <v>40</v>
      </c>
      <c r="G1073" s="1" t="s">
        <v>866</v>
      </c>
      <c r="H1073" s="1">
        <v>48485</v>
      </c>
      <c r="I1073" s="1" t="s">
        <v>108</v>
      </c>
      <c r="J1073" s="1">
        <v>3</v>
      </c>
      <c r="K1073" s="1" t="s">
        <v>35</v>
      </c>
      <c r="L1073" s="1">
        <v>41</v>
      </c>
      <c r="M1073" s="1" t="str">
        <f>IF(L1073&lt;=45,"Joven","Mayor")</f>
        <v>Joven</v>
      </c>
      <c r="N1073" s="1">
        <v>50</v>
      </c>
      <c r="O1073" s="1" t="s">
        <v>36</v>
      </c>
      <c r="P1073" s="1">
        <v>0.20399999999999999</v>
      </c>
      <c r="Q1073" s="1">
        <v>92.748000000000005</v>
      </c>
      <c r="R1073" s="1">
        <v>2.1531045</v>
      </c>
      <c r="S1073" s="1">
        <v>5.0631174999999997</v>
      </c>
      <c r="T1073" s="1">
        <v>3.5362852</v>
      </c>
      <c r="U1073" s="1">
        <v>4.931</v>
      </c>
      <c r="V1073" s="1">
        <v>88</v>
      </c>
      <c r="W1073" s="1">
        <v>167</v>
      </c>
      <c r="X1073" s="1">
        <v>1.8977272727272727</v>
      </c>
      <c r="Y1073" s="1">
        <v>97</v>
      </c>
      <c r="Z1073" s="1">
        <v>167</v>
      </c>
      <c r="AA1073" s="1">
        <v>1.7216494845360826</v>
      </c>
      <c r="AB1073" s="1">
        <v>94.841525284879481</v>
      </c>
      <c r="AC1073" s="1">
        <v>168.03899551761509</v>
      </c>
      <c r="AD1073" s="1">
        <v>1.7717871471685982</v>
      </c>
      <c r="AE1073" t="s">
        <v>4817</v>
      </c>
      <c r="AF1073" t="str">
        <f>IF(X1073&lt;$AF$1,"Bajo","Alto")</f>
        <v>Alto</v>
      </c>
      <c r="AG1073" t="str">
        <f>LEFT(AE1073,1)</f>
        <v>C</v>
      </c>
      <c r="AH1073" t="str">
        <f>K1073</f>
        <v>M</v>
      </c>
      <c r="AI1073" t="str">
        <f>LEFT(AF1073,1)</f>
        <v>A</v>
      </c>
      <c r="AJ1073" t="str">
        <f>LEFT(M1073,1)</f>
        <v>J</v>
      </c>
      <c r="AK1073" t="str">
        <f>_xlfn.CONCAT(AG1073,AH1073,AI1073,AJ1073)</f>
        <v>CMAJ</v>
      </c>
    </row>
    <row r="1074" spans="1:37" ht="15.75" hidden="1" customHeight="1" x14ac:dyDescent="0.2">
      <c r="A1074" s="1">
        <v>116403</v>
      </c>
      <c r="B1074" s="1" t="s">
        <v>1648</v>
      </c>
      <c r="C1074" s="1" t="s">
        <v>51</v>
      </c>
      <c r="D1074" s="1" t="s">
        <v>1742</v>
      </c>
      <c r="E1074" s="1" t="s">
        <v>710</v>
      </c>
      <c r="F1074" s="1" t="s">
        <v>63</v>
      </c>
      <c r="G1074" s="1" t="s">
        <v>1744</v>
      </c>
      <c r="H1074" s="1">
        <v>674</v>
      </c>
      <c r="I1074" s="1" t="s">
        <v>87</v>
      </c>
      <c r="J1074" s="1">
        <v>14</v>
      </c>
      <c r="K1074" s="1" t="s">
        <v>49</v>
      </c>
      <c r="L1074" s="1">
        <v>31</v>
      </c>
      <c r="M1074" s="1" t="str">
        <f>IF(L1074&lt;=45,"Joven","Mayor")</f>
        <v>Joven</v>
      </c>
      <c r="N1074" s="1">
        <v>26</v>
      </c>
      <c r="O1074" s="1" t="s">
        <v>50</v>
      </c>
      <c r="P1074" s="1">
        <v>3.5840000000000001</v>
      </c>
      <c r="Q1074" s="1">
        <v>92.956999999999994</v>
      </c>
      <c r="R1074" s="1">
        <v>-1.8344343000000001</v>
      </c>
      <c r="S1074" s="1">
        <v>-1.4046702</v>
      </c>
      <c r="T1074" s="1">
        <v>9.1574340000000003</v>
      </c>
      <c r="U1074" s="1">
        <v>2.0760000000000001</v>
      </c>
      <c r="V1074" s="1">
        <v>82</v>
      </c>
      <c r="W1074" s="1">
        <v>157</v>
      </c>
      <c r="X1074" s="1">
        <v>1.9146341463414633</v>
      </c>
      <c r="Y1074" s="1">
        <v>95</v>
      </c>
      <c r="Z1074" s="1">
        <v>157</v>
      </c>
      <c r="AA1074" s="1">
        <v>1.6526315789473685</v>
      </c>
      <c r="AB1074" s="1">
        <v>88.116541484688241</v>
      </c>
      <c r="AC1074" s="1">
        <v>157.22706802780479</v>
      </c>
      <c r="AD1074" s="1">
        <v>1.7843082056860537</v>
      </c>
      <c r="AE1074" t="s">
        <v>4816</v>
      </c>
      <c r="AF1074" t="str">
        <f>IF(X1074&lt;$AF$1,"Bajo","Alto")</f>
        <v>Alto</v>
      </c>
      <c r="AG1074" t="str">
        <f>LEFT(AE1074,1)</f>
        <v>D</v>
      </c>
      <c r="AH1074" t="str">
        <f>K1074</f>
        <v>F</v>
      </c>
      <c r="AI1074" t="str">
        <f>LEFT(AF1074,1)</f>
        <v>A</v>
      </c>
      <c r="AJ1074" t="str">
        <f>LEFT(M1074,1)</f>
        <v>J</v>
      </c>
      <c r="AK1074" t="str">
        <f>_xlfn.CONCAT(AG1074,AH1074,AI1074,AJ1074)</f>
        <v>DFAJ</v>
      </c>
    </row>
    <row r="1075" spans="1:37" ht="15.75" hidden="1" customHeight="1" x14ac:dyDescent="0.2">
      <c r="A1075" s="1">
        <v>1033501</v>
      </c>
      <c r="B1075" s="1" t="s">
        <v>783</v>
      </c>
      <c r="C1075" s="1" t="s">
        <v>81</v>
      </c>
      <c r="D1075" s="1" t="s">
        <v>833</v>
      </c>
      <c r="E1075" s="1" t="s">
        <v>640</v>
      </c>
      <c r="F1075" s="1" t="s">
        <v>32</v>
      </c>
      <c r="G1075" s="1" t="s">
        <v>834</v>
      </c>
      <c r="H1075" s="1">
        <v>3108</v>
      </c>
      <c r="I1075" s="1" t="s">
        <v>85</v>
      </c>
      <c r="J1075" s="1">
        <v>12</v>
      </c>
      <c r="K1075" s="1" t="s">
        <v>49</v>
      </c>
      <c r="L1075" s="1">
        <v>42</v>
      </c>
      <c r="M1075" s="1" t="str">
        <f>IF(L1075&lt;=45,"Joven","Mayor")</f>
        <v>Joven</v>
      </c>
      <c r="N1075" s="1">
        <v>38</v>
      </c>
      <c r="O1075" s="1" t="s">
        <v>50</v>
      </c>
      <c r="P1075" s="1">
        <v>0.33200000000000002</v>
      </c>
      <c r="Q1075" s="1">
        <v>88.097999999999999</v>
      </c>
      <c r="R1075" s="1">
        <v>6.0308000000000002</v>
      </c>
      <c r="S1075" s="1">
        <v>6.2886343</v>
      </c>
      <c r="T1075" s="1">
        <v>-7.8600282999999997</v>
      </c>
      <c r="U1075" s="1">
        <v>12.288</v>
      </c>
      <c r="V1075" s="1">
        <v>74</v>
      </c>
      <c r="W1075" s="1">
        <v>140</v>
      </c>
      <c r="X1075" s="1">
        <v>1.8918918918918919</v>
      </c>
      <c r="Y1075" s="1">
        <v>79</v>
      </c>
      <c r="Z1075" s="1">
        <v>140</v>
      </c>
      <c r="AA1075" s="1">
        <v>1.7721518987341771</v>
      </c>
      <c r="AB1075" s="1">
        <v>78.364657389363629</v>
      </c>
      <c r="AC1075" s="1">
        <v>139.77874318433311</v>
      </c>
      <c r="AD1075" s="1">
        <v>1.7836962202211473</v>
      </c>
      <c r="AE1075" t="s">
        <v>4815</v>
      </c>
      <c r="AF1075" t="str">
        <f>IF(X1075&lt;$AF$1,"Bajo","Alto")</f>
        <v>Alto</v>
      </c>
      <c r="AG1075" t="str">
        <f>LEFT(AE1075,1)</f>
        <v>I</v>
      </c>
      <c r="AH1075" t="str">
        <f>K1075</f>
        <v>F</v>
      </c>
      <c r="AI1075" t="str">
        <f>LEFT(AF1075,1)</f>
        <v>A</v>
      </c>
      <c r="AJ1075" t="str">
        <f>LEFT(M1075,1)</f>
        <v>J</v>
      </c>
      <c r="AK1075" t="str">
        <f>_xlfn.CONCAT(AG1075,AH1075,AI1075,AJ1075)</f>
        <v>IFAJ</v>
      </c>
    </row>
    <row r="1076" spans="1:37" ht="15.75" hidden="1" customHeight="1" x14ac:dyDescent="0.2">
      <c r="A1076" s="1">
        <v>198801</v>
      </c>
      <c r="B1076" s="1" t="s">
        <v>2656</v>
      </c>
      <c r="C1076" s="1" t="s">
        <v>323</v>
      </c>
      <c r="D1076" s="1" t="s">
        <v>2804</v>
      </c>
      <c r="E1076" s="1" t="s">
        <v>763</v>
      </c>
      <c r="F1076" s="1" t="s">
        <v>32</v>
      </c>
      <c r="G1076" s="1" t="s">
        <v>2805</v>
      </c>
      <c r="H1076" s="1">
        <v>3164</v>
      </c>
      <c r="I1076" s="1" t="s">
        <v>39</v>
      </c>
      <c r="J1076" s="1">
        <v>11</v>
      </c>
      <c r="K1076" s="1" t="s">
        <v>35</v>
      </c>
      <c r="L1076" s="1">
        <v>37</v>
      </c>
      <c r="M1076" s="1" t="str">
        <f>IF(L1076&lt;=45,"Joven","Mayor")</f>
        <v>Joven</v>
      </c>
      <c r="N1076" s="1">
        <v>29</v>
      </c>
      <c r="O1076" s="1" t="s">
        <v>36</v>
      </c>
      <c r="P1076" s="1">
        <v>0.38800000000000001</v>
      </c>
      <c r="Q1076" s="1">
        <v>86.378</v>
      </c>
      <c r="R1076" s="1">
        <v>6.4161786999999997</v>
      </c>
      <c r="S1076" s="1">
        <v>8.0664409999999993</v>
      </c>
      <c r="T1076" s="1">
        <v>-1.9924921</v>
      </c>
      <c r="U1076" s="1">
        <v>12.542999999999999</v>
      </c>
      <c r="V1076" s="1">
        <v>91</v>
      </c>
      <c r="W1076" s="1">
        <v>170</v>
      </c>
      <c r="X1076" s="1">
        <v>1.8681318681318682</v>
      </c>
      <c r="Y1076" s="1">
        <v>97</v>
      </c>
      <c r="Z1076" s="1">
        <v>170</v>
      </c>
      <c r="AA1076" s="1">
        <v>1.7525773195876289</v>
      </c>
      <c r="AB1076" s="1">
        <v>98.123483297875509</v>
      </c>
      <c r="AC1076" s="1">
        <v>169.4452255668439</v>
      </c>
      <c r="AD1076" s="1">
        <v>1.7268570159954013</v>
      </c>
      <c r="AE1076" t="s">
        <v>4816</v>
      </c>
      <c r="AF1076" t="str">
        <f>IF(X1076&lt;$AF$1,"Bajo","Alto")</f>
        <v>Alto</v>
      </c>
      <c r="AG1076" t="str">
        <f>LEFT(AE1076,1)</f>
        <v>D</v>
      </c>
      <c r="AH1076" t="str">
        <f>K1076</f>
        <v>M</v>
      </c>
      <c r="AI1076" t="str">
        <f>LEFT(AF1076,1)</f>
        <v>A</v>
      </c>
      <c r="AJ1076" t="str">
        <f>LEFT(M1076,1)</f>
        <v>J</v>
      </c>
      <c r="AK1076" t="str">
        <f>_xlfn.CONCAT(AG1076,AH1076,AI1076,AJ1076)</f>
        <v>DMAJ</v>
      </c>
    </row>
    <row r="1077" spans="1:37" ht="15.75" hidden="1" customHeight="1" x14ac:dyDescent="0.2">
      <c r="A1077" s="1">
        <v>237304</v>
      </c>
      <c r="B1077" s="1" t="s">
        <v>319</v>
      </c>
      <c r="C1077" s="1" t="s">
        <v>1989</v>
      </c>
      <c r="D1077" s="1" t="s">
        <v>3065</v>
      </c>
      <c r="E1077" s="1" t="s">
        <v>1021</v>
      </c>
      <c r="F1077" s="1" t="s">
        <v>61</v>
      </c>
      <c r="G1077" s="1" t="s">
        <v>3070</v>
      </c>
      <c r="H1077" s="1">
        <v>283</v>
      </c>
      <c r="I1077" s="1" t="s">
        <v>3071</v>
      </c>
      <c r="J1077" s="1">
        <v>3225</v>
      </c>
      <c r="K1077" s="1" t="s">
        <v>35</v>
      </c>
      <c r="L1077" s="1">
        <v>43</v>
      </c>
      <c r="M1077" s="1" t="str">
        <f>IF(L1077&lt;=45,"Joven","Mayor")</f>
        <v>Joven</v>
      </c>
      <c r="N1077" s="1">
        <v>47</v>
      </c>
      <c r="O1077" s="1" t="s">
        <v>36</v>
      </c>
      <c r="P1077" s="1">
        <v>0.22900000000000001</v>
      </c>
      <c r="Q1077" s="1">
        <v>38.363999999999997</v>
      </c>
      <c r="R1077" s="1">
        <v>-17.58578</v>
      </c>
      <c r="S1077" s="1">
        <v>-0.41721609999999998</v>
      </c>
      <c r="T1077" s="1">
        <v>-5.1803302999999996</v>
      </c>
      <c r="U1077" s="1">
        <v>27.853000000000002</v>
      </c>
      <c r="V1077" s="1">
        <v>101</v>
      </c>
      <c r="W1077" s="1">
        <v>168</v>
      </c>
      <c r="X1077" s="1">
        <v>1.6633663366336633</v>
      </c>
      <c r="Y1077" s="1">
        <v>103</v>
      </c>
      <c r="Z1077" s="1">
        <v>168</v>
      </c>
      <c r="AA1077" s="1">
        <v>1.6310679611650485</v>
      </c>
      <c r="AB1077" s="1">
        <v>104.3796697154835</v>
      </c>
      <c r="AC1077" s="1">
        <v>168.57786591775269</v>
      </c>
      <c r="AD1077" s="1">
        <v>1.6150450214803289</v>
      </c>
      <c r="AE1077" t="s">
        <v>4817</v>
      </c>
      <c r="AF1077" t="str">
        <f>IF(X1077&lt;$AF$1,"Bajo","Alto")</f>
        <v>Bajo</v>
      </c>
      <c r="AG1077" t="str">
        <f>LEFT(AE1077,1)</f>
        <v>C</v>
      </c>
      <c r="AH1077" t="str">
        <f>K1077</f>
        <v>M</v>
      </c>
      <c r="AI1077" t="str">
        <f>LEFT(AF1077,1)</f>
        <v>B</v>
      </c>
      <c r="AJ1077" t="str">
        <f>LEFT(M1077,1)</f>
        <v>J</v>
      </c>
      <c r="AK1077" t="str">
        <f>_xlfn.CONCAT(AG1077,AH1077,AI1077,AJ1077)</f>
        <v>CMBJ</v>
      </c>
    </row>
    <row r="1078" spans="1:37" ht="15.75" hidden="1" customHeight="1" x14ac:dyDescent="0.2">
      <c r="A1078" s="1">
        <v>481804</v>
      </c>
      <c r="B1078" s="1" t="s">
        <v>4465</v>
      </c>
      <c r="C1078" s="1" t="s">
        <v>2650</v>
      </c>
      <c r="D1078" s="1" t="s">
        <v>4514</v>
      </c>
      <c r="E1078" s="1" t="s">
        <v>959</v>
      </c>
      <c r="F1078" s="1" t="s">
        <v>61</v>
      </c>
      <c r="G1078" s="1" t="s">
        <v>4515</v>
      </c>
      <c r="H1078" s="1">
        <v>3689</v>
      </c>
      <c r="I1078" s="1" t="s">
        <v>4516</v>
      </c>
      <c r="J1078" s="1">
        <v>959</v>
      </c>
      <c r="K1078" s="1" t="s">
        <v>35</v>
      </c>
      <c r="L1078" s="1">
        <v>54</v>
      </c>
      <c r="M1078" s="1" t="str">
        <f>IF(L1078&lt;=45,"Joven","Mayor")</f>
        <v>Mayor</v>
      </c>
      <c r="N1078" s="1">
        <v>53</v>
      </c>
      <c r="O1078" s="1" t="s">
        <v>36</v>
      </c>
      <c r="P1078" s="1">
        <v>0.217</v>
      </c>
      <c r="Q1078" s="1">
        <v>89.563999999999993</v>
      </c>
      <c r="R1078" s="1">
        <v>5.0434330000000003</v>
      </c>
      <c r="S1078" s="1">
        <v>6.1920776000000002</v>
      </c>
      <c r="T1078" s="1">
        <v>-2.5073829999999999</v>
      </c>
      <c r="U1078" s="1">
        <v>8.5779999999999994</v>
      </c>
      <c r="V1078" s="1">
        <v>101</v>
      </c>
      <c r="W1078" s="1">
        <v>190</v>
      </c>
      <c r="X1078" s="1">
        <v>1.8811881188118811</v>
      </c>
      <c r="Y1078" s="1">
        <v>105</v>
      </c>
      <c r="Z1078" s="1">
        <v>190</v>
      </c>
      <c r="AA1078" s="1">
        <v>1.8095238095238095</v>
      </c>
      <c r="AB1078" s="1">
        <v>106.91188583533609</v>
      </c>
      <c r="AC1078" s="1">
        <v>189.73059634910939</v>
      </c>
      <c r="AD1078" s="1">
        <v>1.7746445576811665</v>
      </c>
      <c r="AE1078" t="s">
        <v>4817</v>
      </c>
      <c r="AF1078" t="str">
        <f>IF(X1078&lt;$AF$1,"Bajo","Alto")</f>
        <v>Alto</v>
      </c>
      <c r="AG1078" t="str">
        <f>LEFT(AE1078,1)</f>
        <v>C</v>
      </c>
      <c r="AH1078" t="str">
        <f>K1078</f>
        <v>M</v>
      </c>
      <c r="AI1078" t="str">
        <f>LEFT(AF1078,1)</f>
        <v>A</v>
      </c>
      <c r="AJ1078" t="str">
        <f>LEFT(M1078,1)</f>
        <v>M</v>
      </c>
      <c r="AK1078" t="str">
        <f>_xlfn.CONCAT(AG1078,AH1078,AI1078,AJ1078)</f>
        <v>CMAM</v>
      </c>
    </row>
    <row r="1079" spans="1:37" ht="15.75" hidden="1" customHeight="1" x14ac:dyDescent="0.2">
      <c r="A1079" s="1">
        <v>524204</v>
      </c>
      <c r="B1079" s="1" t="s">
        <v>4529</v>
      </c>
      <c r="C1079" s="1" t="s">
        <v>685</v>
      </c>
      <c r="D1079" s="1" t="s">
        <v>4609</v>
      </c>
      <c r="E1079" s="1" t="s">
        <v>2872</v>
      </c>
      <c r="F1079" s="1" t="s">
        <v>61</v>
      </c>
      <c r="G1079" s="1" t="s">
        <v>4611</v>
      </c>
      <c r="H1079" s="1">
        <v>1641</v>
      </c>
      <c r="I1079" s="1" t="s">
        <v>91</v>
      </c>
      <c r="J1079" s="1">
        <v>6</v>
      </c>
      <c r="K1079" s="1" t="s">
        <v>35</v>
      </c>
      <c r="L1079" s="1">
        <v>47</v>
      </c>
      <c r="M1079" s="1" t="str">
        <f>IF(L1079&lt;=45,"Joven","Mayor")</f>
        <v>Mayor</v>
      </c>
      <c r="N1079" s="1">
        <v>46</v>
      </c>
      <c r="O1079" s="1" t="s">
        <v>36</v>
      </c>
      <c r="P1079" s="1">
        <v>1</v>
      </c>
      <c r="Q1079" s="1">
        <v>91.706999999999994</v>
      </c>
      <c r="R1079" s="1">
        <v>-1.9370757000000001</v>
      </c>
      <c r="S1079" s="1">
        <v>7.6401159999999999</v>
      </c>
      <c r="T1079" s="1">
        <v>5.6348719999999997</v>
      </c>
      <c r="U1079" s="1">
        <v>1.044</v>
      </c>
      <c r="V1079" s="1">
        <v>73</v>
      </c>
      <c r="W1079" s="1">
        <v>120</v>
      </c>
      <c r="X1079" s="1">
        <v>1.6438356164383561</v>
      </c>
      <c r="Y1079" s="1">
        <v>83</v>
      </c>
      <c r="Z1079" s="1">
        <v>120</v>
      </c>
      <c r="AA1079" s="1">
        <v>1.4457831325301205</v>
      </c>
      <c r="AB1079" s="1">
        <v>80.536968592985204</v>
      </c>
      <c r="AC1079" s="1">
        <v>121.0893451764277</v>
      </c>
      <c r="AD1079" s="1">
        <v>1.5035249934521948</v>
      </c>
      <c r="AE1079" t="s">
        <v>4817</v>
      </c>
      <c r="AF1079" t="str">
        <f>IF(X1079&lt;$AF$1,"Bajo","Alto")</f>
        <v>Bajo</v>
      </c>
      <c r="AG1079" t="str">
        <f>LEFT(AE1079,1)</f>
        <v>C</v>
      </c>
      <c r="AH1079" t="str">
        <f>K1079</f>
        <v>M</v>
      </c>
      <c r="AI1079" t="str">
        <f>LEFT(AF1079,1)</f>
        <v>B</v>
      </c>
      <c r="AJ1079" t="str">
        <f>LEFT(M1079,1)</f>
        <v>M</v>
      </c>
      <c r="AK1079" t="str">
        <f>_xlfn.CONCAT(AG1079,AH1079,AI1079,AJ1079)</f>
        <v>CMBM</v>
      </c>
    </row>
    <row r="1080" spans="1:37" ht="15.75" hidden="1" customHeight="1" x14ac:dyDescent="0.2">
      <c r="A1080" s="1">
        <v>10912703</v>
      </c>
      <c r="B1080" s="1" t="s">
        <v>719</v>
      </c>
      <c r="C1080" s="1" t="s">
        <v>98</v>
      </c>
      <c r="D1080" s="1" t="s">
        <v>1575</v>
      </c>
      <c r="E1080" s="1" t="s">
        <v>153</v>
      </c>
      <c r="F1080" s="1" t="s">
        <v>63</v>
      </c>
      <c r="G1080" s="1" t="s">
        <v>1577</v>
      </c>
      <c r="H1080" s="1">
        <v>496</v>
      </c>
      <c r="I1080" s="1" t="s">
        <v>108</v>
      </c>
      <c r="J1080" s="1">
        <v>3</v>
      </c>
      <c r="K1080" s="1" t="s">
        <v>35</v>
      </c>
      <c r="L1080" s="1">
        <v>53</v>
      </c>
      <c r="M1080" s="1" t="str">
        <f>IF(L1080&lt;=45,"Joven","Mayor")</f>
        <v>Mayor</v>
      </c>
      <c r="N1080" s="1">
        <v>51</v>
      </c>
      <c r="O1080" s="1" t="s">
        <v>36</v>
      </c>
      <c r="P1080" s="1">
        <v>0.23599999999999999</v>
      </c>
      <c r="Q1080" s="1">
        <v>77.218000000000004</v>
      </c>
      <c r="R1080" s="1">
        <v>11.397152</v>
      </c>
      <c r="S1080" s="1">
        <v>-1.2978510999999999</v>
      </c>
      <c r="T1080" s="1">
        <v>-6.6886710000000003</v>
      </c>
      <c r="U1080" s="1">
        <v>3.59</v>
      </c>
      <c r="V1080" s="1">
        <v>84</v>
      </c>
      <c r="W1080" s="1">
        <v>158</v>
      </c>
      <c r="X1080" s="1">
        <v>1.8809523809523809</v>
      </c>
      <c r="Y1080" s="1">
        <v>90</v>
      </c>
      <c r="Z1080" s="1">
        <v>158</v>
      </c>
      <c r="AA1080" s="1">
        <v>1.7555555555555555</v>
      </c>
      <c r="AB1080" s="1">
        <v>88.436668079308674</v>
      </c>
      <c r="AC1080" s="1">
        <v>157.62345062024499</v>
      </c>
      <c r="AD1080" s="1">
        <v>1.7823314021610432</v>
      </c>
      <c r="AE1080" t="s">
        <v>4817</v>
      </c>
      <c r="AF1080" t="str">
        <f>IF(X1080&lt;$AF$1,"Bajo","Alto")</f>
        <v>Alto</v>
      </c>
      <c r="AG1080" t="str">
        <f>LEFT(AE1080,1)</f>
        <v>C</v>
      </c>
      <c r="AH1080" t="str">
        <f>K1080</f>
        <v>M</v>
      </c>
      <c r="AI1080" t="str">
        <f>LEFT(AF1080,1)</f>
        <v>A</v>
      </c>
      <c r="AJ1080" t="str">
        <f>LEFT(M1080,1)</f>
        <v>M</v>
      </c>
      <c r="AK1080" t="str">
        <f>_xlfn.CONCAT(AG1080,AH1080,AI1080,AJ1080)</f>
        <v>CMAM</v>
      </c>
    </row>
    <row r="1081" spans="1:37" ht="15.75" hidden="1" customHeight="1" x14ac:dyDescent="0.2">
      <c r="A1081" s="1">
        <v>284501</v>
      </c>
      <c r="B1081" s="1" t="s">
        <v>1775</v>
      </c>
      <c r="C1081" s="1" t="s">
        <v>561</v>
      </c>
      <c r="D1081" s="1" t="s">
        <v>3867</v>
      </c>
      <c r="E1081" s="1" t="s">
        <v>3682</v>
      </c>
      <c r="F1081" s="1" t="s">
        <v>32</v>
      </c>
      <c r="G1081" s="1" t="s">
        <v>3868</v>
      </c>
      <c r="H1081" s="1">
        <v>3</v>
      </c>
      <c r="I1081" s="1" t="s">
        <v>100</v>
      </c>
      <c r="J1081" s="1">
        <v>1</v>
      </c>
      <c r="K1081" s="1" t="s">
        <v>35</v>
      </c>
      <c r="L1081" s="1">
        <v>37</v>
      </c>
      <c r="M1081" s="1" t="str">
        <f>IF(L1081&lt;=45,"Joven","Mayor")</f>
        <v>Joven</v>
      </c>
      <c r="N1081" s="1">
        <v>47</v>
      </c>
      <c r="O1081" s="1" t="s">
        <v>36</v>
      </c>
      <c r="P1081" s="1">
        <v>0.28999999999999998</v>
      </c>
      <c r="Q1081" s="1">
        <v>93.171000000000006</v>
      </c>
      <c r="R1081" s="1">
        <v>0.87645499999999998</v>
      </c>
      <c r="S1081" s="1">
        <v>6.1907740000000002</v>
      </c>
      <c r="T1081" s="1">
        <v>-1.6004205</v>
      </c>
      <c r="U1081" s="1">
        <v>2.2559999999999998</v>
      </c>
      <c r="V1081" s="1">
        <v>88</v>
      </c>
      <c r="W1081" s="1">
        <v>167</v>
      </c>
      <c r="X1081" s="1">
        <v>1.8977272727272727</v>
      </c>
      <c r="Y1081" s="1">
        <v>90</v>
      </c>
      <c r="Z1081" s="1">
        <v>167</v>
      </c>
      <c r="AA1081" s="1">
        <v>1.8555555555555556</v>
      </c>
      <c r="AB1081" s="1">
        <v>89.250404936887435</v>
      </c>
      <c r="AC1081" s="1">
        <v>167.0744998604637</v>
      </c>
      <c r="AD1081" s="1">
        <v>1.8719746983625321</v>
      </c>
      <c r="AE1081" t="s">
        <v>4817</v>
      </c>
      <c r="AF1081" t="str">
        <f>IF(X1081&lt;$AF$1,"Bajo","Alto")</f>
        <v>Alto</v>
      </c>
      <c r="AG1081" t="str">
        <f>LEFT(AE1081,1)</f>
        <v>C</v>
      </c>
      <c r="AH1081" t="str">
        <f>K1081</f>
        <v>M</v>
      </c>
      <c r="AI1081" t="str">
        <f>LEFT(AF1081,1)</f>
        <v>A</v>
      </c>
      <c r="AJ1081" t="str">
        <f>LEFT(M1081,1)</f>
        <v>J</v>
      </c>
      <c r="AK1081" t="str">
        <f>_xlfn.CONCAT(AG1081,AH1081,AI1081,AJ1081)</f>
        <v>CMAJ</v>
      </c>
    </row>
    <row r="1082" spans="1:37" ht="15.75" hidden="1" customHeight="1" x14ac:dyDescent="0.2">
      <c r="A1082" s="1">
        <v>274005</v>
      </c>
      <c r="B1082" s="1" t="s">
        <v>3409</v>
      </c>
      <c r="C1082" s="1" t="s">
        <v>973</v>
      </c>
      <c r="D1082" s="1" t="s">
        <v>3671</v>
      </c>
      <c r="E1082" s="1" t="s">
        <v>657</v>
      </c>
      <c r="F1082" s="1" t="s">
        <v>40</v>
      </c>
      <c r="G1082" s="1" t="s">
        <v>3676</v>
      </c>
      <c r="H1082" s="1">
        <v>655</v>
      </c>
      <c r="I1082" s="1" t="s">
        <v>3677</v>
      </c>
      <c r="J1082" s="1">
        <v>2812</v>
      </c>
      <c r="K1082" s="1" t="s">
        <v>35</v>
      </c>
      <c r="L1082" s="1">
        <v>43</v>
      </c>
      <c r="M1082" s="1" t="str">
        <f>IF(L1082&lt;=45,"Joven","Mayor")</f>
        <v>Joven</v>
      </c>
      <c r="N1082" s="1">
        <v>51</v>
      </c>
      <c r="O1082" s="1" t="s">
        <v>36</v>
      </c>
      <c r="P1082" s="1">
        <v>0.57599999999999996</v>
      </c>
      <c r="Q1082" s="1">
        <v>90.54</v>
      </c>
      <c r="R1082" s="1">
        <v>4.8003419999999997</v>
      </c>
      <c r="S1082" s="1">
        <v>4.2090974000000001</v>
      </c>
      <c r="T1082" s="1">
        <v>0.24247104</v>
      </c>
      <c r="U1082" s="1">
        <v>1.329</v>
      </c>
      <c r="V1082" s="1">
        <v>78</v>
      </c>
      <c r="W1082" s="1">
        <v>148</v>
      </c>
      <c r="X1082" s="1">
        <v>1.8974358974358974</v>
      </c>
      <c r="Y1082" s="1">
        <v>79</v>
      </c>
      <c r="Z1082" s="1">
        <v>148</v>
      </c>
      <c r="AA1082" s="1">
        <v>1.8734177215189873</v>
      </c>
      <c r="AB1082" s="1">
        <v>78.842712092214015</v>
      </c>
      <c r="AC1082" s="1">
        <v>148.00713853708251</v>
      </c>
      <c r="AD1082" s="1">
        <v>1.8772456528889334</v>
      </c>
      <c r="AE1082" t="s">
        <v>4817</v>
      </c>
      <c r="AF1082" t="str">
        <f>IF(X1082&lt;$AF$1,"Bajo","Alto")</f>
        <v>Alto</v>
      </c>
      <c r="AG1082" t="str">
        <f>LEFT(AE1082,1)</f>
        <v>C</v>
      </c>
      <c r="AH1082" t="str">
        <f>K1082</f>
        <v>M</v>
      </c>
      <c r="AI1082" t="str">
        <f>LEFT(AF1082,1)</f>
        <v>A</v>
      </c>
      <c r="AJ1082" t="str">
        <f>LEFT(M1082,1)</f>
        <v>J</v>
      </c>
      <c r="AK1082" t="str">
        <f>_xlfn.CONCAT(AG1082,AH1082,AI1082,AJ1082)</f>
        <v>CMAJ</v>
      </c>
    </row>
    <row r="1083" spans="1:37" ht="15.75" hidden="1" customHeight="1" x14ac:dyDescent="0.2">
      <c r="A1083" s="1">
        <v>1059702</v>
      </c>
      <c r="B1083" s="1" t="s">
        <v>694</v>
      </c>
      <c r="C1083" s="1" t="s">
        <v>879</v>
      </c>
      <c r="D1083" s="1" t="s">
        <v>1060</v>
      </c>
      <c r="E1083" s="1" t="s">
        <v>781</v>
      </c>
      <c r="F1083" s="1" t="s">
        <v>37</v>
      </c>
      <c r="G1083" s="1" t="s">
        <v>1062</v>
      </c>
      <c r="H1083" s="1">
        <v>29</v>
      </c>
      <c r="I1083" s="1" t="s">
        <v>42</v>
      </c>
      <c r="J1083" s="1">
        <v>15</v>
      </c>
      <c r="K1083" s="1" t="s">
        <v>35</v>
      </c>
      <c r="L1083" s="1">
        <v>38</v>
      </c>
      <c r="M1083" s="1" t="str">
        <f>IF(L1083&lt;=45,"Joven","Mayor")</f>
        <v>Joven</v>
      </c>
      <c r="N1083" s="1">
        <v>40</v>
      </c>
      <c r="O1083" s="1" t="s">
        <v>36</v>
      </c>
      <c r="P1083" s="1">
        <v>0.44600000000000001</v>
      </c>
      <c r="Q1083" s="1">
        <v>94.468999999999994</v>
      </c>
      <c r="R1083" s="1">
        <v>0.22515547</v>
      </c>
      <c r="S1083" s="1">
        <v>-2.1818023000000002</v>
      </c>
      <c r="T1083" s="1">
        <v>-0.10668713000000001</v>
      </c>
      <c r="U1083" s="1">
        <v>9.3379999999999992</v>
      </c>
      <c r="V1083" s="1">
        <v>97</v>
      </c>
      <c r="W1083" s="1">
        <v>184</v>
      </c>
      <c r="X1083" s="1">
        <v>1.8969072164948453</v>
      </c>
      <c r="Y1083" s="1">
        <v>99</v>
      </c>
      <c r="Z1083" s="1">
        <v>184</v>
      </c>
      <c r="AA1083" s="1">
        <v>1.8585858585858586</v>
      </c>
      <c r="AB1083" s="1">
        <v>98.903002261863321</v>
      </c>
      <c r="AC1083" s="1">
        <v>184.0015430583735</v>
      </c>
      <c r="AD1083" s="1">
        <v>1.8604242424430821</v>
      </c>
      <c r="AE1083" t="s">
        <v>4817</v>
      </c>
      <c r="AF1083" t="str">
        <f>IF(X1083&lt;$AF$1,"Bajo","Alto")</f>
        <v>Alto</v>
      </c>
      <c r="AG1083" t="str">
        <f>LEFT(AE1083,1)</f>
        <v>C</v>
      </c>
      <c r="AH1083" t="str">
        <f>K1083</f>
        <v>M</v>
      </c>
      <c r="AI1083" t="str">
        <f>LEFT(AF1083,1)</f>
        <v>A</v>
      </c>
      <c r="AJ1083" t="str">
        <f>LEFT(M1083,1)</f>
        <v>J</v>
      </c>
      <c r="AK1083" t="str">
        <f>_xlfn.CONCAT(AG1083,AH1083,AI1083,AJ1083)</f>
        <v>CMAJ</v>
      </c>
    </row>
    <row r="1084" spans="1:37" ht="15.75" hidden="1" customHeight="1" x14ac:dyDescent="0.2">
      <c r="A1084" s="1">
        <v>297608</v>
      </c>
      <c r="B1084" s="1" t="s">
        <v>3890</v>
      </c>
      <c r="C1084" s="1" t="s">
        <v>1695</v>
      </c>
      <c r="D1084" s="1" t="s">
        <v>4064</v>
      </c>
      <c r="E1084" s="1" t="s">
        <v>727</v>
      </c>
      <c r="F1084" s="1" t="s">
        <v>46</v>
      </c>
      <c r="G1084" s="1" t="s">
        <v>4069</v>
      </c>
      <c r="H1084" s="1">
        <v>4696</v>
      </c>
      <c r="I1084" s="1" t="s">
        <v>134</v>
      </c>
      <c r="J1084" s="1">
        <v>8</v>
      </c>
      <c r="K1084" s="1" t="s">
        <v>35</v>
      </c>
      <c r="L1084" s="1">
        <v>43</v>
      </c>
      <c r="M1084" s="1" t="str">
        <f>IF(L1084&lt;=45,"Joven","Mayor")</f>
        <v>Joven</v>
      </c>
      <c r="N1084" s="1">
        <v>55</v>
      </c>
      <c r="O1084" s="1" t="s">
        <v>50</v>
      </c>
      <c r="P1084" s="1">
        <v>9.7000000000000003E-2</v>
      </c>
      <c r="Q1084" s="1">
        <v>72.759</v>
      </c>
      <c r="R1084" s="1">
        <v>12.451681000000001</v>
      </c>
      <c r="S1084" s="1">
        <v>1.337637</v>
      </c>
      <c r="T1084" s="1">
        <v>-9.6391869999999997</v>
      </c>
      <c r="U1084" s="1">
        <v>5.2889999999999997</v>
      </c>
      <c r="V1084" s="1">
        <v>87</v>
      </c>
      <c r="W1084" s="1">
        <v>165</v>
      </c>
      <c r="X1084" s="1">
        <v>1.896551724137931</v>
      </c>
      <c r="Y1084" s="1">
        <v>96</v>
      </c>
      <c r="Z1084" s="1">
        <v>165</v>
      </c>
      <c r="AA1084" s="1">
        <v>1.71875</v>
      </c>
      <c r="AB1084" s="1">
        <v>93.976422451618873</v>
      </c>
      <c r="AC1084" s="1">
        <v>164.67980500055501</v>
      </c>
      <c r="AD1084" s="1">
        <v>1.7523523529035785</v>
      </c>
      <c r="AE1084" t="s">
        <v>4817</v>
      </c>
      <c r="AF1084" t="str">
        <f>IF(X1084&lt;$AF$1,"Bajo","Alto")</f>
        <v>Alto</v>
      </c>
      <c r="AG1084" t="str">
        <f>LEFT(AE1084,1)</f>
        <v>C</v>
      </c>
      <c r="AH1084" t="str">
        <f>K1084</f>
        <v>M</v>
      </c>
      <c r="AI1084" t="str">
        <f>LEFT(AF1084,1)</f>
        <v>A</v>
      </c>
      <c r="AJ1084" t="str">
        <f>LEFT(M1084,1)</f>
        <v>J</v>
      </c>
      <c r="AK1084" t="str">
        <f>_xlfn.CONCAT(AG1084,AH1084,AI1084,AJ1084)</f>
        <v>CMAJ</v>
      </c>
    </row>
    <row r="1085" spans="1:37" ht="15.75" hidden="1" customHeight="1" x14ac:dyDescent="0.2">
      <c r="A1085" s="1">
        <v>115206</v>
      </c>
      <c r="B1085" s="1" t="s">
        <v>1648</v>
      </c>
      <c r="C1085" s="1" t="s">
        <v>51</v>
      </c>
      <c r="D1085" s="1" t="s">
        <v>994</v>
      </c>
      <c r="E1085" s="1" t="s">
        <v>685</v>
      </c>
      <c r="F1085" s="1" t="s">
        <v>88</v>
      </c>
      <c r="G1085" s="1" t="s">
        <v>1725</v>
      </c>
      <c r="H1085" s="1">
        <v>997</v>
      </c>
      <c r="I1085" s="1" t="s">
        <v>48</v>
      </c>
      <c r="J1085" s="1">
        <v>4</v>
      </c>
      <c r="K1085" s="1" t="s">
        <v>35</v>
      </c>
      <c r="L1085" s="1">
        <v>40</v>
      </c>
      <c r="M1085" s="1" t="str">
        <f>IF(L1085&lt;=45,"Joven","Mayor")</f>
        <v>Joven</v>
      </c>
      <c r="N1085" s="1">
        <v>34</v>
      </c>
      <c r="O1085" s="1" t="s">
        <v>36</v>
      </c>
      <c r="P1085" s="1">
        <v>0.46</v>
      </c>
      <c r="Q1085" s="1">
        <v>86.823999999999998</v>
      </c>
      <c r="R1085" s="1">
        <v>5.2899459999999996</v>
      </c>
      <c r="S1085" s="1">
        <v>9.9466450000000002</v>
      </c>
      <c r="T1085" s="1">
        <v>-0.63444655999999999</v>
      </c>
      <c r="U1085" s="1">
        <v>72.195999999999998</v>
      </c>
      <c r="V1085" s="1">
        <v>107</v>
      </c>
      <c r="W1085" s="1">
        <v>178</v>
      </c>
      <c r="X1085" s="1">
        <v>1.6635514018691588</v>
      </c>
      <c r="Y1085" s="1">
        <v>107</v>
      </c>
      <c r="Z1085" s="1">
        <v>178</v>
      </c>
      <c r="AA1085" s="1">
        <v>1.6635514018691588</v>
      </c>
      <c r="AB1085" s="1">
        <v>107.4585042606632</v>
      </c>
      <c r="AC1085" s="1">
        <v>177.96694143546119</v>
      </c>
      <c r="AD1085" s="1">
        <v>1.6561457155942254</v>
      </c>
      <c r="AE1085" t="s">
        <v>4817</v>
      </c>
      <c r="AF1085" t="str">
        <f>IF(X1085&lt;$AF$1,"Bajo","Alto")</f>
        <v>Bajo</v>
      </c>
      <c r="AG1085" t="str">
        <f>LEFT(AE1085,1)</f>
        <v>C</v>
      </c>
      <c r="AH1085" t="str">
        <f>K1085</f>
        <v>M</v>
      </c>
      <c r="AI1085" t="str">
        <f>LEFT(AF1085,1)</f>
        <v>B</v>
      </c>
      <c r="AJ1085" t="str">
        <f>LEFT(M1085,1)</f>
        <v>J</v>
      </c>
      <c r="AK1085" t="str">
        <f>_xlfn.CONCAT(AG1085,AH1085,AI1085,AJ1085)</f>
        <v>CMBJ</v>
      </c>
    </row>
    <row r="1086" spans="1:37" ht="15.75" hidden="1" customHeight="1" x14ac:dyDescent="0.2">
      <c r="A1086" s="1">
        <v>10511803</v>
      </c>
      <c r="B1086" s="1" t="s">
        <v>694</v>
      </c>
      <c r="C1086" s="1" t="s">
        <v>879</v>
      </c>
      <c r="D1086" s="1" t="s">
        <v>921</v>
      </c>
      <c r="E1086" s="1" t="s">
        <v>129</v>
      </c>
      <c r="F1086" s="1" t="s">
        <v>63</v>
      </c>
      <c r="G1086" s="1" t="s">
        <v>923</v>
      </c>
      <c r="H1086" s="1">
        <v>5610</v>
      </c>
      <c r="I1086" s="1" t="s">
        <v>65</v>
      </c>
      <c r="J1086" s="1">
        <v>2</v>
      </c>
      <c r="K1086" s="1" t="s">
        <v>49</v>
      </c>
      <c r="L1086" s="1">
        <v>53</v>
      </c>
      <c r="M1086" s="1" t="str">
        <f>IF(L1086&lt;=45,"Joven","Mayor")</f>
        <v>Mayor</v>
      </c>
      <c r="N1086" s="1">
        <v>61</v>
      </c>
      <c r="O1086" s="1" t="s">
        <v>50</v>
      </c>
      <c r="P1086" s="1">
        <v>5.3959999999999999</v>
      </c>
      <c r="Q1086" s="1">
        <v>92.120999999999995</v>
      </c>
      <c r="R1086" s="1">
        <v>1.1848884</v>
      </c>
      <c r="S1086" s="1">
        <v>-4.1775254999999998</v>
      </c>
      <c r="T1086" s="1">
        <v>-4.5016316999999999</v>
      </c>
      <c r="U1086" s="1">
        <v>10.313000000000001</v>
      </c>
      <c r="V1086" s="1">
        <v>89</v>
      </c>
      <c r="W1086" s="1">
        <v>146</v>
      </c>
      <c r="X1086" s="1">
        <v>1.6404494382022472</v>
      </c>
      <c r="Y1086" s="1">
        <v>89</v>
      </c>
      <c r="Z1086" s="1">
        <v>146</v>
      </c>
      <c r="AA1086" s="1">
        <v>1.6404494382022472</v>
      </c>
      <c r="AB1086" s="1">
        <v>91.707968289500059</v>
      </c>
      <c r="AC1086" s="1">
        <v>145.7850669029026</v>
      </c>
      <c r="AD1086" s="1">
        <v>1.5896663029617459</v>
      </c>
      <c r="AE1086" t="s">
        <v>4817</v>
      </c>
      <c r="AF1086" t="str">
        <f>IF(X1086&lt;$AF$1,"Bajo","Alto")</f>
        <v>Bajo</v>
      </c>
      <c r="AG1086" t="str">
        <f>LEFT(AE1086,1)</f>
        <v>C</v>
      </c>
      <c r="AH1086" t="str">
        <f>K1086</f>
        <v>F</v>
      </c>
      <c r="AI1086" t="str">
        <f>LEFT(AF1086,1)</f>
        <v>B</v>
      </c>
      <c r="AJ1086" t="str">
        <f>LEFT(M1086,1)</f>
        <v>M</v>
      </c>
      <c r="AK1086" t="str">
        <f>_xlfn.CONCAT(AG1086,AH1086,AI1086,AJ1086)</f>
        <v>CFBM</v>
      </c>
    </row>
    <row r="1087" spans="1:37" ht="15.75" hidden="1" customHeight="1" x14ac:dyDescent="0.2">
      <c r="A1087" s="1">
        <v>112902</v>
      </c>
      <c r="B1087" s="1" t="s">
        <v>1648</v>
      </c>
      <c r="C1087" s="1" t="s">
        <v>51</v>
      </c>
      <c r="D1087" s="1" t="s">
        <v>1694</v>
      </c>
      <c r="E1087" s="1" t="s">
        <v>1695</v>
      </c>
      <c r="F1087" s="1" t="s">
        <v>37</v>
      </c>
      <c r="G1087" s="1" t="s">
        <v>1697</v>
      </c>
      <c r="H1087" s="1">
        <v>171</v>
      </c>
      <c r="I1087" s="1" t="s">
        <v>87</v>
      </c>
      <c r="J1087" s="1">
        <v>14</v>
      </c>
      <c r="K1087" s="1" t="s">
        <v>49</v>
      </c>
      <c r="L1087" s="1">
        <v>46</v>
      </c>
      <c r="M1087" s="1" t="str">
        <f>IF(L1087&lt;=45,"Joven","Mayor")</f>
        <v>Mayor</v>
      </c>
      <c r="N1087" s="1">
        <v>54</v>
      </c>
      <c r="O1087" s="1" t="s">
        <v>50</v>
      </c>
      <c r="P1087" s="1">
        <v>0.34599999999999997</v>
      </c>
      <c r="Q1087" s="1">
        <v>90.114999999999995</v>
      </c>
      <c r="R1087" s="1">
        <v>5.7747419999999998</v>
      </c>
      <c r="S1087" s="1">
        <v>2.1493332000000001</v>
      </c>
      <c r="T1087" s="1">
        <v>-4.1870583999999997</v>
      </c>
      <c r="U1087" s="1">
        <v>72.042000000000002</v>
      </c>
      <c r="V1087" s="1">
        <v>80</v>
      </c>
      <c r="W1087" s="1">
        <v>148</v>
      </c>
      <c r="X1087" s="1">
        <v>1.85</v>
      </c>
      <c r="Y1087" s="1">
        <v>83</v>
      </c>
      <c r="Z1087" s="1">
        <v>148</v>
      </c>
      <c r="AA1087" s="1">
        <v>1.7831325301204819</v>
      </c>
      <c r="AB1087" s="1">
        <v>82.341932039460062</v>
      </c>
      <c r="AC1087" s="1">
        <v>147.60498716432539</v>
      </c>
      <c r="AD1087" s="1">
        <v>1.7925859098568375</v>
      </c>
      <c r="AE1087" t="s">
        <v>4816</v>
      </c>
      <c r="AF1087" t="str">
        <f>IF(X1087&lt;$AF$1,"Bajo","Alto")</f>
        <v>Alto</v>
      </c>
      <c r="AG1087" t="str">
        <f>LEFT(AE1087,1)</f>
        <v>D</v>
      </c>
      <c r="AH1087" t="str">
        <f>K1087</f>
        <v>F</v>
      </c>
      <c r="AI1087" t="str">
        <f>LEFT(AF1087,1)</f>
        <v>A</v>
      </c>
      <c r="AJ1087" t="str">
        <f>LEFT(M1087,1)</f>
        <v>M</v>
      </c>
      <c r="AK1087" t="str">
        <f>_xlfn.CONCAT(AG1087,AH1087,AI1087,AJ1087)</f>
        <v>DFAM</v>
      </c>
    </row>
    <row r="1088" spans="1:37" ht="15.75" hidden="1" customHeight="1" x14ac:dyDescent="0.2">
      <c r="A1088" s="1">
        <v>1511201</v>
      </c>
      <c r="B1088" s="1" t="s">
        <v>2077</v>
      </c>
      <c r="C1088" s="1" t="s">
        <v>57</v>
      </c>
      <c r="D1088" s="1" t="s">
        <v>2119</v>
      </c>
      <c r="E1088" s="1" t="s">
        <v>106</v>
      </c>
      <c r="F1088" s="1" t="s">
        <v>32</v>
      </c>
      <c r="G1088" s="1" t="s">
        <v>2120</v>
      </c>
      <c r="H1088" s="1">
        <v>340</v>
      </c>
      <c r="I1088" s="1" t="s">
        <v>65</v>
      </c>
      <c r="J1088" s="1">
        <v>2</v>
      </c>
      <c r="K1088" s="1" t="s">
        <v>35</v>
      </c>
      <c r="L1088" s="1">
        <v>35</v>
      </c>
      <c r="M1088" s="1" t="str">
        <f>IF(L1088&lt;=45,"Joven","Mayor")</f>
        <v>Joven</v>
      </c>
      <c r="N1088" s="1">
        <v>48</v>
      </c>
      <c r="O1088" s="1" t="s">
        <v>36</v>
      </c>
      <c r="P1088" s="1">
        <v>0.36</v>
      </c>
      <c r="Q1088" s="1">
        <v>91.74</v>
      </c>
      <c r="R1088" s="1">
        <v>3.1395217999999998</v>
      </c>
      <c r="S1088" s="1">
        <v>5.6407429999999996</v>
      </c>
      <c r="T1088" s="1">
        <v>-6.4300221999999998</v>
      </c>
      <c r="U1088" s="1">
        <v>1.4930000000000001</v>
      </c>
      <c r="V1088" s="1">
        <v>107</v>
      </c>
      <c r="W1088" s="1">
        <v>178</v>
      </c>
      <c r="X1088" s="1">
        <v>1.6635514018691588</v>
      </c>
      <c r="Y1088" s="1">
        <v>114</v>
      </c>
      <c r="Z1088" s="1">
        <v>178</v>
      </c>
      <c r="AA1088" s="1">
        <v>1.5614035087719298</v>
      </c>
      <c r="AB1088" s="1">
        <v>111.9263849567139</v>
      </c>
      <c r="AC1088" s="1">
        <v>177.55220649573309</v>
      </c>
      <c r="AD1088" s="1">
        <v>1.5863302166365789</v>
      </c>
      <c r="AE1088" t="s">
        <v>4817</v>
      </c>
      <c r="AF1088" t="str">
        <f>IF(X1088&lt;$AF$1,"Bajo","Alto")</f>
        <v>Bajo</v>
      </c>
      <c r="AG1088" t="str">
        <f>LEFT(AE1088,1)</f>
        <v>C</v>
      </c>
      <c r="AH1088" t="str">
        <f>K1088</f>
        <v>M</v>
      </c>
      <c r="AI1088" t="str">
        <f>LEFT(AF1088,1)</f>
        <v>B</v>
      </c>
      <c r="AJ1088" t="str">
        <f>LEFT(M1088,1)</f>
        <v>J</v>
      </c>
      <c r="AK1088" t="str">
        <f>_xlfn.CONCAT(AG1088,AH1088,AI1088,AJ1088)</f>
        <v>CMBJ</v>
      </c>
    </row>
    <row r="1089" spans="1:37" ht="15.75" hidden="1" customHeight="1" x14ac:dyDescent="0.2">
      <c r="A1089" s="1">
        <v>172202</v>
      </c>
      <c r="B1089" s="1" t="s">
        <v>2551</v>
      </c>
      <c r="C1089" s="1" t="s">
        <v>2552</v>
      </c>
      <c r="D1089" s="1" t="s">
        <v>2601</v>
      </c>
      <c r="E1089" s="1" t="s">
        <v>418</v>
      </c>
      <c r="F1089" s="1" t="s">
        <v>37</v>
      </c>
      <c r="G1089" s="1" t="s">
        <v>2603</v>
      </c>
      <c r="H1089" s="1">
        <v>1044</v>
      </c>
      <c r="I1089" s="1" t="s">
        <v>134</v>
      </c>
      <c r="J1089" s="1">
        <v>8</v>
      </c>
      <c r="K1089" s="1" t="s">
        <v>35</v>
      </c>
      <c r="L1089" s="1">
        <v>50</v>
      </c>
      <c r="M1089" s="1" t="str">
        <f>IF(L1089&lt;=45,"Joven","Mayor")</f>
        <v>Mayor</v>
      </c>
      <c r="N1089" s="1">
        <v>52</v>
      </c>
      <c r="O1089" s="1" t="s">
        <v>36</v>
      </c>
      <c r="P1089" s="1">
        <v>0.309</v>
      </c>
      <c r="Q1089" s="1">
        <v>83.921999999999997</v>
      </c>
      <c r="R1089" s="1">
        <v>8.1024469999999997</v>
      </c>
      <c r="S1089" s="1">
        <v>6.7292037000000002</v>
      </c>
      <c r="T1089" s="1">
        <v>-14.331929000000001</v>
      </c>
      <c r="U1089" s="1">
        <v>1.151</v>
      </c>
      <c r="V1089" s="1">
        <v>91</v>
      </c>
      <c r="W1089" s="1">
        <v>171</v>
      </c>
      <c r="X1089" s="1">
        <v>1.8791208791208791</v>
      </c>
      <c r="Y1089" s="1">
        <v>103</v>
      </c>
      <c r="Z1089" s="1">
        <v>171</v>
      </c>
      <c r="AA1089" s="1">
        <v>1.6601941747572815</v>
      </c>
      <c r="AB1089" s="1">
        <v>102.2776137648286</v>
      </c>
      <c r="AC1089" s="1">
        <v>171.61906256222571</v>
      </c>
      <c r="AD1089" s="1">
        <v>1.6779728842406993</v>
      </c>
      <c r="AE1089" t="s">
        <v>4817</v>
      </c>
      <c r="AF1089" t="str">
        <f>IF(X1089&lt;$AF$1,"Bajo","Alto")</f>
        <v>Alto</v>
      </c>
      <c r="AG1089" t="str">
        <f>LEFT(AE1089,1)</f>
        <v>C</v>
      </c>
      <c r="AH1089" t="str">
        <f>K1089</f>
        <v>M</v>
      </c>
      <c r="AI1089" t="str">
        <f>LEFT(AF1089,1)</f>
        <v>A</v>
      </c>
      <c r="AJ1089" t="str">
        <f>LEFT(M1089,1)</f>
        <v>M</v>
      </c>
      <c r="AK1089" t="str">
        <f>_xlfn.CONCAT(AG1089,AH1089,AI1089,AJ1089)</f>
        <v>CMAM</v>
      </c>
    </row>
    <row r="1090" spans="1:37" ht="15.75" hidden="1" customHeight="1" x14ac:dyDescent="0.2">
      <c r="A1090" s="1">
        <v>150403</v>
      </c>
      <c r="B1090" s="1" t="s">
        <v>2077</v>
      </c>
      <c r="C1090" s="1" t="s">
        <v>57</v>
      </c>
      <c r="D1090" s="1" t="s">
        <v>2078</v>
      </c>
      <c r="E1090" s="1" t="s">
        <v>61</v>
      </c>
      <c r="F1090" s="1" t="s">
        <v>63</v>
      </c>
      <c r="G1090" s="1" t="s">
        <v>2082</v>
      </c>
      <c r="H1090" s="1">
        <v>752</v>
      </c>
      <c r="I1090" s="1" t="s">
        <v>2083</v>
      </c>
      <c r="J1090" s="1">
        <v>3074</v>
      </c>
      <c r="K1090" s="1" t="s">
        <v>35</v>
      </c>
      <c r="L1090" s="1">
        <v>35</v>
      </c>
      <c r="M1090" s="1" t="str">
        <f>IF(L1090&lt;=45,"Joven","Mayor")</f>
        <v>Joven</v>
      </c>
      <c r="N1090" s="1">
        <v>52</v>
      </c>
      <c r="O1090" s="1" t="s">
        <v>36</v>
      </c>
      <c r="P1090" s="1">
        <v>0.35699999999999998</v>
      </c>
      <c r="Q1090" s="1">
        <v>93.174000000000007</v>
      </c>
      <c r="R1090" s="1">
        <v>2.9807448000000001</v>
      </c>
      <c r="S1090" s="1">
        <v>-0.79463357000000001</v>
      </c>
      <c r="T1090" s="1">
        <v>1.1010123000000001</v>
      </c>
      <c r="U1090" s="1">
        <v>1.52</v>
      </c>
      <c r="V1090" s="1">
        <v>106</v>
      </c>
      <c r="W1090" s="1">
        <v>201</v>
      </c>
      <c r="X1090" s="1">
        <v>1.8962264150943395</v>
      </c>
      <c r="Y1090" s="1">
        <v>106</v>
      </c>
      <c r="Z1090" s="1">
        <v>201</v>
      </c>
      <c r="AA1090" s="1">
        <v>1.8962264150943395</v>
      </c>
      <c r="AB1090" s="1">
        <v>106.960399977839</v>
      </c>
      <c r="AC1090" s="1">
        <v>201.0973956797061</v>
      </c>
      <c r="AD1090" s="1">
        <v>1.8801107299652136</v>
      </c>
      <c r="AE1090" t="s">
        <v>4817</v>
      </c>
      <c r="AF1090" t="str">
        <f>IF(X1090&lt;$AF$1,"Bajo","Alto")</f>
        <v>Alto</v>
      </c>
      <c r="AG1090" t="str">
        <f>LEFT(AE1090,1)</f>
        <v>C</v>
      </c>
      <c r="AH1090" t="str">
        <f>K1090</f>
        <v>M</v>
      </c>
      <c r="AI1090" t="str">
        <f>LEFT(AF1090,1)</f>
        <v>A</v>
      </c>
      <c r="AJ1090" t="str">
        <f>LEFT(M1090,1)</f>
        <v>J</v>
      </c>
      <c r="AK1090" t="str">
        <f>_xlfn.CONCAT(AG1090,AH1090,AI1090,AJ1090)</f>
        <v>CMAJ</v>
      </c>
    </row>
    <row r="1091" spans="1:37" ht="15.75" hidden="1" customHeight="1" x14ac:dyDescent="0.2">
      <c r="A1091" s="1">
        <v>191601</v>
      </c>
      <c r="B1091" s="1" t="s">
        <v>2656</v>
      </c>
      <c r="C1091" s="1" t="s">
        <v>323</v>
      </c>
      <c r="D1091" s="1" t="s">
        <v>2679</v>
      </c>
      <c r="E1091" s="1" t="s">
        <v>244</v>
      </c>
      <c r="F1091" s="1" t="s">
        <v>32</v>
      </c>
      <c r="G1091" s="1" t="s">
        <v>2680</v>
      </c>
      <c r="H1091" s="1">
        <v>18</v>
      </c>
      <c r="I1091" s="1" t="s">
        <v>39</v>
      </c>
      <c r="J1091" s="1">
        <v>11</v>
      </c>
      <c r="K1091" s="1" t="s">
        <v>35</v>
      </c>
      <c r="L1091" s="1">
        <v>75</v>
      </c>
      <c r="M1091" s="1" t="str">
        <f>IF(L1091&lt;=45,"Joven","Mayor")</f>
        <v>Mayor</v>
      </c>
      <c r="N1091" s="1">
        <v>76</v>
      </c>
      <c r="O1091" s="1" t="s">
        <v>36</v>
      </c>
      <c r="P1091" s="1">
        <v>0.23499999999999999</v>
      </c>
      <c r="Q1091" s="1">
        <v>94.388999999999996</v>
      </c>
      <c r="R1091" s="1">
        <v>0.72318727000000005</v>
      </c>
      <c r="S1091" s="1">
        <v>-1.6164163</v>
      </c>
      <c r="T1091" s="1">
        <v>-2.7969005</v>
      </c>
      <c r="U1091" s="1">
        <v>0.51400000000000001</v>
      </c>
      <c r="V1091" s="1">
        <v>99</v>
      </c>
      <c r="W1091" s="1">
        <v>186</v>
      </c>
      <c r="X1091" s="1">
        <v>1.8787878787878789</v>
      </c>
      <c r="Y1091" s="1">
        <v>107</v>
      </c>
      <c r="Z1091" s="1">
        <v>186</v>
      </c>
      <c r="AA1091" s="1">
        <v>1.7383177570093458</v>
      </c>
      <c r="AB1091" s="1">
        <v>104.48154814386039</v>
      </c>
      <c r="AC1091" s="1">
        <v>186.07120722435229</v>
      </c>
      <c r="AD1091" s="1">
        <v>1.7809001735708518</v>
      </c>
      <c r="AE1091" t="s">
        <v>4816</v>
      </c>
      <c r="AF1091" t="str">
        <f>IF(X1091&lt;$AF$1,"Bajo","Alto")</f>
        <v>Alto</v>
      </c>
      <c r="AG1091" t="str">
        <f>LEFT(AE1091,1)</f>
        <v>D</v>
      </c>
      <c r="AH1091" t="str">
        <f>K1091</f>
        <v>M</v>
      </c>
      <c r="AI1091" t="str">
        <f>LEFT(AF1091,1)</f>
        <v>A</v>
      </c>
      <c r="AJ1091" t="str">
        <f>LEFT(M1091,1)</f>
        <v>M</v>
      </c>
      <c r="AK1091" t="str">
        <f>_xlfn.CONCAT(AG1091,AH1091,AI1091,AJ1091)</f>
        <v>DMAM</v>
      </c>
    </row>
    <row r="1092" spans="1:37" ht="15.75" hidden="1" customHeight="1" x14ac:dyDescent="0.2">
      <c r="A1092" s="1">
        <v>10725602</v>
      </c>
      <c r="B1092" s="1" t="s">
        <v>1067</v>
      </c>
      <c r="C1092" s="1" t="s">
        <v>1068</v>
      </c>
      <c r="D1092" s="1" t="s">
        <v>1298</v>
      </c>
      <c r="E1092" s="1" t="s">
        <v>510</v>
      </c>
      <c r="F1092" s="1" t="s">
        <v>37</v>
      </c>
      <c r="G1092" s="1" t="s">
        <v>1300</v>
      </c>
      <c r="H1092" s="1">
        <v>1219</v>
      </c>
      <c r="I1092" s="1" t="s">
        <v>65</v>
      </c>
      <c r="J1092" s="1">
        <v>2</v>
      </c>
      <c r="K1092" s="1" t="s">
        <v>35</v>
      </c>
      <c r="L1092" s="1">
        <v>51</v>
      </c>
      <c r="M1092" s="1" t="str">
        <f>IF(L1092&lt;=45,"Joven","Mayor")</f>
        <v>Mayor</v>
      </c>
      <c r="N1092" s="1">
        <v>67</v>
      </c>
      <c r="O1092" s="1" t="s">
        <v>36</v>
      </c>
      <c r="P1092" s="1">
        <v>0.36</v>
      </c>
      <c r="Q1092" s="1">
        <v>79.292000000000002</v>
      </c>
      <c r="R1092" s="1">
        <v>10.635742</v>
      </c>
      <c r="S1092" s="1">
        <v>2.5263689999999999</v>
      </c>
      <c r="T1092" s="1">
        <v>-5.5833453999999998</v>
      </c>
      <c r="U1092" s="1">
        <v>20.071000000000002</v>
      </c>
      <c r="V1092" s="1">
        <v>118</v>
      </c>
      <c r="W1092" s="1">
        <v>194</v>
      </c>
      <c r="X1092" s="1">
        <v>1.6440677966101696</v>
      </c>
      <c r="Y1092" s="1">
        <v>125</v>
      </c>
      <c r="Z1092" s="1">
        <v>194</v>
      </c>
      <c r="AA1092" s="1">
        <v>1.552</v>
      </c>
      <c r="AB1092" s="1">
        <v>122.88861722388511</v>
      </c>
      <c r="AC1092" s="1">
        <v>193.46878470268709</v>
      </c>
      <c r="AD1092" s="1">
        <v>1.5743425963546749</v>
      </c>
      <c r="AE1092" t="s">
        <v>4817</v>
      </c>
      <c r="AF1092" t="str">
        <f>IF(X1092&lt;$AF$1,"Bajo","Alto")</f>
        <v>Bajo</v>
      </c>
      <c r="AG1092" t="str">
        <f>LEFT(AE1092,1)</f>
        <v>C</v>
      </c>
      <c r="AH1092" t="str">
        <f>K1092</f>
        <v>M</v>
      </c>
      <c r="AI1092" t="str">
        <f>LEFT(AF1092,1)</f>
        <v>B</v>
      </c>
      <c r="AJ1092" t="str">
        <f>LEFT(M1092,1)</f>
        <v>M</v>
      </c>
      <c r="AK1092" t="str">
        <f>_xlfn.CONCAT(AG1092,AH1092,AI1092,AJ1092)</f>
        <v>CMBM</v>
      </c>
    </row>
    <row r="1093" spans="1:37" ht="15.75" hidden="1" customHeight="1" x14ac:dyDescent="0.2">
      <c r="A1093" s="1">
        <v>263001</v>
      </c>
      <c r="B1093" s="1" t="s">
        <v>3358</v>
      </c>
      <c r="C1093" s="1" t="s">
        <v>968</v>
      </c>
      <c r="D1093" s="1" t="s">
        <v>3383</v>
      </c>
      <c r="E1093" s="1" t="s">
        <v>2381</v>
      </c>
      <c r="F1093" s="1" t="s">
        <v>32</v>
      </c>
      <c r="G1093" s="1" t="s">
        <v>3384</v>
      </c>
      <c r="H1093" s="1">
        <v>3539</v>
      </c>
      <c r="I1093" s="1" t="s">
        <v>39</v>
      </c>
      <c r="J1093" s="1">
        <v>11</v>
      </c>
      <c r="K1093" s="1" t="s">
        <v>35</v>
      </c>
      <c r="L1093" s="1">
        <v>44</v>
      </c>
      <c r="M1093" s="1" t="str">
        <f>IF(L1093&lt;=45,"Joven","Mayor")</f>
        <v>Joven</v>
      </c>
      <c r="N1093" s="1">
        <v>46</v>
      </c>
      <c r="O1093" s="1" t="s">
        <v>36</v>
      </c>
      <c r="P1093" s="1">
        <v>0.36199999999999999</v>
      </c>
      <c r="Q1093" s="1">
        <v>85.661000000000001</v>
      </c>
      <c r="R1093" s="1">
        <v>8.2953299999999999</v>
      </c>
      <c r="S1093" s="1">
        <v>2.6725922</v>
      </c>
      <c r="T1093" s="1">
        <v>-2.3306870000000002</v>
      </c>
      <c r="U1093" s="1">
        <v>6.7210000000000001</v>
      </c>
      <c r="V1093" s="1">
        <v>136</v>
      </c>
      <c r="W1093" s="1">
        <v>254</v>
      </c>
      <c r="X1093" s="1">
        <v>1.8676470588235294</v>
      </c>
      <c r="Y1093" s="1">
        <v>138</v>
      </c>
      <c r="Z1093" s="1">
        <v>254</v>
      </c>
      <c r="AA1093" s="1">
        <v>1.8405797101449275</v>
      </c>
      <c r="AB1093" s="1">
        <v>138.8561819862241</v>
      </c>
      <c r="AC1093" s="1">
        <v>254.11521599856221</v>
      </c>
      <c r="AD1093" s="1">
        <v>1.8300605155899572</v>
      </c>
      <c r="AE1093" t="s">
        <v>4816</v>
      </c>
      <c r="AF1093" t="str">
        <f>IF(X1093&lt;$AF$1,"Bajo","Alto")</f>
        <v>Alto</v>
      </c>
      <c r="AG1093" t="str">
        <f>LEFT(AE1093,1)</f>
        <v>D</v>
      </c>
      <c r="AH1093" t="str">
        <f>K1093</f>
        <v>M</v>
      </c>
      <c r="AI1093" t="str">
        <f>LEFT(AF1093,1)</f>
        <v>A</v>
      </c>
      <c r="AJ1093" t="str">
        <f>LEFT(M1093,1)</f>
        <v>J</v>
      </c>
      <c r="AK1093" t="str">
        <f>_xlfn.CONCAT(AG1093,AH1093,AI1093,AJ1093)</f>
        <v>DMAJ</v>
      </c>
    </row>
    <row r="1094" spans="1:37" ht="15.75" hidden="1" customHeight="1" x14ac:dyDescent="0.2">
      <c r="A1094" s="1">
        <v>541203</v>
      </c>
      <c r="B1094" s="1" t="s">
        <v>4677</v>
      </c>
      <c r="C1094" s="1" t="s">
        <v>3148</v>
      </c>
      <c r="D1094" s="1" t="s">
        <v>4694</v>
      </c>
      <c r="E1094" s="1" t="s">
        <v>54</v>
      </c>
      <c r="F1094" s="1" t="s">
        <v>63</v>
      </c>
      <c r="G1094" s="1" t="s">
        <v>4697</v>
      </c>
      <c r="H1094" s="1">
        <v>742</v>
      </c>
      <c r="I1094" s="1" t="s">
        <v>167</v>
      </c>
      <c r="J1094" s="1">
        <v>2591</v>
      </c>
      <c r="K1094" s="1" t="s">
        <v>35</v>
      </c>
      <c r="L1094" s="1">
        <v>39</v>
      </c>
      <c r="M1094" s="1" t="str">
        <f>IF(L1094&lt;=45,"Joven","Mayor")</f>
        <v>Joven</v>
      </c>
      <c r="N1094" s="1">
        <v>45</v>
      </c>
      <c r="O1094" s="1" t="s">
        <v>36</v>
      </c>
      <c r="P1094" s="1">
        <v>14.769</v>
      </c>
      <c r="Q1094" s="1">
        <v>76.191999999999993</v>
      </c>
      <c r="R1094" s="1">
        <v>-7.2122945999999999</v>
      </c>
      <c r="S1094" s="1">
        <v>6.6508273999999998</v>
      </c>
      <c r="T1094" s="1">
        <v>-0.60658730000000005</v>
      </c>
      <c r="U1094" s="1">
        <v>1.395</v>
      </c>
      <c r="V1094" s="1">
        <v>96</v>
      </c>
      <c r="W1094" s="1">
        <v>182</v>
      </c>
      <c r="X1094" s="1">
        <v>1.8958333333333333</v>
      </c>
      <c r="Y1094" s="1">
        <v>97</v>
      </c>
      <c r="Z1094" s="1">
        <v>182</v>
      </c>
      <c r="AA1094" s="1">
        <v>1.8762886597938144</v>
      </c>
      <c r="AB1094" s="1">
        <v>97.555661639343725</v>
      </c>
      <c r="AC1094" s="1">
        <v>182.0639077390515</v>
      </c>
      <c r="AD1094" s="1">
        <v>1.8662567059626809</v>
      </c>
      <c r="AE1094" t="s">
        <v>4817</v>
      </c>
      <c r="AF1094" t="str">
        <f>IF(X1094&lt;$AF$1,"Bajo","Alto")</f>
        <v>Alto</v>
      </c>
      <c r="AG1094" t="str">
        <f>LEFT(AE1094,1)</f>
        <v>C</v>
      </c>
      <c r="AH1094" t="str">
        <f>K1094</f>
        <v>M</v>
      </c>
      <c r="AI1094" t="str">
        <f>LEFT(AF1094,1)</f>
        <v>A</v>
      </c>
      <c r="AJ1094" t="str">
        <f>LEFT(M1094,1)</f>
        <v>J</v>
      </c>
      <c r="AK1094" t="str">
        <f>_xlfn.CONCAT(AG1094,AH1094,AI1094,AJ1094)</f>
        <v>CMAJ</v>
      </c>
    </row>
    <row r="1095" spans="1:37" ht="15.75" hidden="1" customHeight="1" x14ac:dyDescent="0.2">
      <c r="A1095" s="1">
        <v>1095501</v>
      </c>
      <c r="B1095" s="1" t="s">
        <v>719</v>
      </c>
      <c r="C1095" s="1" t="s">
        <v>98</v>
      </c>
      <c r="D1095" s="1" t="s">
        <v>1621</v>
      </c>
      <c r="E1095" s="1" t="s">
        <v>690</v>
      </c>
      <c r="F1095" s="1" t="s">
        <v>32</v>
      </c>
      <c r="G1095" s="1" t="s">
        <v>1622</v>
      </c>
      <c r="H1095" s="1">
        <v>1842</v>
      </c>
      <c r="I1095" s="1" t="s">
        <v>39</v>
      </c>
      <c r="J1095" s="1">
        <v>11</v>
      </c>
      <c r="K1095" s="1" t="s">
        <v>35</v>
      </c>
      <c r="L1095" s="1">
        <v>50</v>
      </c>
      <c r="M1095" s="1" t="str">
        <f>IF(L1095&lt;=45,"Joven","Mayor")</f>
        <v>Mayor</v>
      </c>
      <c r="N1095" s="1">
        <v>60</v>
      </c>
      <c r="O1095" s="1" t="s">
        <v>36</v>
      </c>
      <c r="P1095" s="1">
        <v>0.35699999999999998</v>
      </c>
      <c r="Q1095" s="1">
        <v>85.308000000000007</v>
      </c>
      <c r="R1095" s="1">
        <v>7.6627846000000002</v>
      </c>
      <c r="S1095" s="1">
        <v>-6.0308970000000004</v>
      </c>
      <c r="T1095" s="1">
        <v>1.7269813000000001</v>
      </c>
      <c r="U1095" s="1">
        <v>2.3199999999999998</v>
      </c>
      <c r="V1095" s="1">
        <v>84</v>
      </c>
      <c r="W1095" s="1">
        <v>157</v>
      </c>
      <c r="X1095" s="1">
        <v>1.8690476190476191</v>
      </c>
      <c r="Y1095" s="1">
        <v>89</v>
      </c>
      <c r="Z1095" s="1">
        <v>157</v>
      </c>
      <c r="AA1095" s="1">
        <v>1.7640449438202248</v>
      </c>
      <c r="AB1095" s="1">
        <v>87.844507335240451</v>
      </c>
      <c r="AC1095" s="1">
        <v>157.1697828843844</v>
      </c>
      <c r="AD1095" s="1">
        <v>1.789181676260968</v>
      </c>
      <c r="AE1095" t="s">
        <v>4816</v>
      </c>
      <c r="AF1095" t="str">
        <f>IF(X1095&lt;$AF$1,"Bajo","Alto")</f>
        <v>Alto</v>
      </c>
      <c r="AG1095" t="str">
        <f>LEFT(AE1095,1)</f>
        <v>D</v>
      </c>
      <c r="AH1095" t="str">
        <f>K1095</f>
        <v>M</v>
      </c>
      <c r="AI1095" t="str">
        <f>LEFT(AF1095,1)</f>
        <v>A</v>
      </c>
      <c r="AJ1095" t="str">
        <f>LEFT(M1095,1)</f>
        <v>M</v>
      </c>
      <c r="AK1095" t="str">
        <f>_xlfn.CONCAT(AG1095,AH1095,AI1095,AJ1095)</f>
        <v>DMAM</v>
      </c>
    </row>
    <row r="1096" spans="1:37" ht="15.75" hidden="1" customHeight="1" x14ac:dyDescent="0.2">
      <c r="A1096" s="1">
        <v>1070803</v>
      </c>
      <c r="B1096" s="1" t="s">
        <v>1067</v>
      </c>
      <c r="C1096" s="1" t="s">
        <v>1068</v>
      </c>
      <c r="D1096" s="1" t="s">
        <v>1082</v>
      </c>
      <c r="E1096" s="1" t="s">
        <v>46</v>
      </c>
      <c r="F1096" s="1" t="s">
        <v>63</v>
      </c>
      <c r="G1096" s="1" t="s">
        <v>1084</v>
      </c>
      <c r="H1096" s="1">
        <v>2744</v>
      </c>
      <c r="I1096" s="1" t="s">
        <v>1085</v>
      </c>
      <c r="J1096" s="1">
        <v>456</v>
      </c>
      <c r="K1096" s="1" t="s">
        <v>35</v>
      </c>
      <c r="L1096" s="1">
        <v>29</v>
      </c>
      <c r="M1096" s="1" t="str">
        <f>IF(L1096&lt;=45,"Joven","Mayor")</f>
        <v>Joven</v>
      </c>
      <c r="N1096" s="1">
        <v>43</v>
      </c>
      <c r="O1096" s="1" t="s">
        <v>36</v>
      </c>
      <c r="P1096" s="1">
        <v>0.18</v>
      </c>
      <c r="Q1096" s="1">
        <v>88.070999999999998</v>
      </c>
      <c r="R1096" s="1">
        <v>6.0368449999999996</v>
      </c>
      <c r="S1096" s="1">
        <v>6.4411797999999996</v>
      </c>
      <c r="T1096" s="1">
        <v>-9.0910440000000001</v>
      </c>
      <c r="U1096" s="1">
        <v>48.274000000000001</v>
      </c>
      <c r="V1096" s="1">
        <v>95</v>
      </c>
      <c r="W1096" s="1">
        <v>180</v>
      </c>
      <c r="X1096" s="1">
        <v>1.8947368421052631</v>
      </c>
      <c r="Y1096" s="1">
        <v>101</v>
      </c>
      <c r="Z1096" s="1">
        <v>180</v>
      </c>
      <c r="AA1096" s="1">
        <v>1.7821782178217822</v>
      </c>
      <c r="AB1096" s="1">
        <v>102.18085629424669</v>
      </c>
      <c r="AC1096" s="1">
        <v>179.47697392666669</v>
      </c>
      <c r="AD1096" s="1">
        <v>1.7564637881858518</v>
      </c>
      <c r="AE1096" t="s">
        <v>4817</v>
      </c>
      <c r="AF1096" t="str">
        <f>IF(X1096&lt;$AF$1,"Bajo","Alto")</f>
        <v>Alto</v>
      </c>
      <c r="AG1096" t="str">
        <f>LEFT(AE1096,1)</f>
        <v>C</v>
      </c>
      <c r="AH1096" t="str">
        <f>K1096</f>
        <v>M</v>
      </c>
      <c r="AI1096" t="str">
        <f>LEFT(AF1096,1)</f>
        <v>A</v>
      </c>
      <c r="AJ1096" t="str">
        <f>LEFT(M1096,1)</f>
        <v>J</v>
      </c>
      <c r="AK1096" t="str">
        <f>_xlfn.CONCAT(AG1096,AH1096,AI1096,AJ1096)</f>
        <v>CMAJ</v>
      </c>
    </row>
    <row r="1097" spans="1:37" ht="15.75" hidden="1" customHeight="1" x14ac:dyDescent="0.2">
      <c r="A1097" s="1">
        <v>10734602</v>
      </c>
      <c r="B1097" s="1" t="s">
        <v>1067</v>
      </c>
      <c r="C1097" s="1" t="s">
        <v>1068</v>
      </c>
      <c r="D1097" s="1" t="s">
        <v>1440</v>
      </c>
      <c r="E1097" s="1" t="s">
        <v>1441</v>
      </c>
      <c r="F1097" s="1" t="s">
        <v>37</v>
      </c>
      <c r="G1097" s="1" t="s">
        <v>1442</v>
      </c>
      <c r="H1097" s="1">
        <v>1992</v>
      </c>
      <c r="I1097" s="1" t="s">
        <v>1443</v>
      </c>
      <c r="J1097" s="1">
        <v>2716</v>
      </c>
      <c r="K1097" s="1" t="s">
        <v>35</v>
      </c>
      <c r="L1097" s="1">
        <v>40</v>
      </c>
      <c r="M1097" s="1" t="str">
        <f>IF(L1097&lt;=45,"Joven","Mayor")</f>
        <v>Joven</v>
      </c>
      <c r="N1097" s="1">
        <v>47</v>
      </c>
      <c r="O1097" s="1" t="s">
        <v>36</v>
      </c>
      <c r="P1097" s="1">
        <v>0.52900000000000003</v>
      </c>
      <c r="Q1097" s="1">
        <v>89.347999999999999</v>
      </c>
      <c r="R1097" s="1">
        <v>5.2443422999999996</v>
      </c>
      <c r="S1097" s="1">
        <v>5.8489633000000003</v>
      </c>
      <c r="T1097" s="1">
        <v>-3.7959526000000001</v>
      </c>
      <c r="U1097" s="1">
        <v>4.95</v>
      </c>
      <c r="V1097" s="1">
        <v>76</v>
      </c>
      <c r="W1097" s="1">
        <v>144</v>
      </c>
      <c r="X1097" s="1">
        <v>1.8947368421052631</v>
      </c>
      <c r="Y1097" s="1">
        <v>81</v>
      </c>
      <c r="Z1097" s="1">
        <v>144</v>
      </c>
      <c r="AA1097" s="1">
        <v>1.7777777777777777</v>
      </c>
      <c r="AB1097" s="1">
        <v>78.505178413170597</v>
      </c>
      <c r="AC1097" s="1">
        <v>144.08130571913401</v>
      </c>
      <c r="AD1097" s="1">
        <v>1.8353095761509903</v>
      </c>
      <c r="AE1097" t="s">
        <v>4817</v>
      </c>
      <c r="AF1097" t="str">
        <f>IF(X1097&lt;$AF$1,"Bajo","Alto")</f>
        <v>Alto</v>
      </c>
      <c r="AG1097" t="str">
        <f>LEFT(AE1097,1)</f>
        <v>C</v>
      </c>
      <c r="AH1097" t="str">
        <f>K1097</f>
        <v>M</v>
      </c>
      <c r="AI1097" t="str">
        <f>LEFT(AF1097,1)</f>
        <v>A</v>
      </c>
      <c r="AJ1097" t="str">
        <f>LEFT(M1097,1)</f>
        <v>J</v>
      </c>
      <c r="AK1097" t="str">
        <f>_xlfn.CONCAT(AG1097,AH1097,AI1097,AJ1097)</f>
        <v>CMAJ</v>
      </c>
    </row>
    <row r="1098" spans="1:37" ht="15.75" hidden="1" customHeight="1" x14ac:dyDescent="0.2">
      <c r="A1098" s="1">
        <v>1215002</v>
      </c>
      <c r="B1098" s="1" t="s">
        <v>1798</v>
      </c>
      <c r="C1098" s="1" t="s">
        <v>54</v>
      </c>
      <c r="D1098" s="1" t="s">
        <v>1799</v>
      </c>
      <c r="E1098" s="1" t="s">
        <v>205</v>
      </c>
      <c r="F1098" s="1" t="s">
        <v>37</v>
      </c>
      <c r="G1098" s="1" t="s">
        <v>1800</v>
      </c>
      <c r="H1098" s="1">
        <v>965</v>
      </c>
      <c r="I1098" s="1" t="s">
        <v>87</v>
      </c>
      <c r="J1098" s="1">
        <v>14</v>
      </c>
      <c r="K1098" s="1" t="s">
        <v>35</v>
      </c>
      <c r="L1098" s="1">
        <v>44</v>
      </c>
      <c r="M1098" s="1" t="str">
        <f>IF(L1098&lt;=45,"Joven","Mayor")</f>
        <v>Joven</v>
      </c>
      <c r="N1098" s="1">
        <v>36</v>
      </c>
      <c r="O1098" s="1" t="s">
        <v>36</v>
      </c>
      <c r="P1098" s="1">
        <v>0.36299999999999999</v>
      </c>
      <c r="Q1098" s="1">
        <v>91.043000000000006</v>
      </c>
      <c r="R1098" s="1">
        <v>3.6719077000000002</v>
      </c>
      <c r="S1098" s="1">
        <v>6.1730045999999996</v>
      </c>
      <c r="T1098" s="1">
        <v>-0.46117701999999999</v>
      </c>
      <c r="U1098" s="1">
        <v>2.0979999999999999</v>
      </c>
      <c r="V1098" s="1">
        <v>113</v>
      </c>
      <c r="W1098" s="1">
        <v>188</v>
      </c>
      <c r="X1098" s="1">
        <v>1.663716814159292</v>
      </c>
      <c r="Y1098" s="1">
        <v>116</v>
      </c>
      <c r="Z1098" s="1">
        <v>188</v>
      </c>
      <c r="AA1098" s="1">
        <v>1.6206896551724137</v>
      </c>
      <c r="AB1098" s="1">
        <v>115.5696469177915</v>
      </c>
      <c r="AC1098" s="1">
        <v>188.01000796531801</v>
      </c>
      <c r="AD1098" s="1">
        <v>1.6268113036553251</v>
      </c>
      <c r="AE1098" t="s">
        <v>4816</v>
      </c>
      <c r="AF1098" t="str">
        <f>IF(X1098&lt;$AF$1,"Bajo","Alto")</f>
        <v>Bajo</v>
      </c>
      <c r="AG1098" t="str">
        <f>LEFT(AE1098,1)</f>
        <v>D</v>
      </c>
      <c r="AH1098" t="str">
        <f>K1098</f>
        <v>M</v>
      </c>
      <c r="AI1098" t="str">
        <f>LEFT(AF1098,1)</f>
        <v>B</v>
      </c>
      <c r="AJ1098" t="str">
        <f>LEFT(M1098,1)</f>
        <v>J</v>
      </c>
      <c r="AK1098" t="str">
        <f>_xlfn.CONCAT(AG1098,AH1098,AI1098,AJ1098)</f>
        <v>DMBJ</v>
      </c>
    </row>
    <row r="1099" spans="1:37" ht="15.75" hidden="1" customHeight="1" x14ac:dyDescent="0.2">
      <c r="A1099" s="1">
        <v>1076706</v>
      </c>
      <c r="B1099" s="1" t="s">
        <v>1067</v>
      </c>
      <c r="C1099" s="1" t="s">
        <v>1068</v>
      </c>
      <c r="D1099" s="1" t="s">
        <v>1467</v>
      </c>
      <c r="E1099" s="1" t="s">
        <v>715</v>
      </c>
      <c r="F1099" s="1" t="s">
        <v>88</v>
      </c>
      <c r="G1099" s="1" t="s">
        <v>1473</v>
      </c>
      <c r="H1099" s="1">
        <v>1243</v>
      </c>
      <c r="I1099" s="1" t="s">
        <v>48</v>
      </c>
      <c r="J1099" s="1">
        <v>4</v>
      </c>
      <c r="K1099" s="1" t="s">
        <v>35</v>
      </c>
      <c r="L1099" s="1">
        <v>39</v>
      </c>
      <c r="M1099" s="1" t="str">
        <f>IF(L1099&lt;=45,"Joven","Mayor")</f>
        <v>Joven</v>
      </c>
      <c r="N1099" s="1">
        <v>50</v>
      </c>
      <c r="O1099" s="1" t="s">
        <v>36</v>
      </c>
      <c r="P1099" s="1">
        <v>3.5999999999999997E-2</v>
      </c>
      <c r="Q1099" s="1">
        <v>86.052999999999997</v>
      </c>
      <c r="R1099" s="1">
        <v>-8.1714280000000006</v>
      </c>
      <c r="S1099" s="1">
        <v>-2.729492</v>
      </c>
      <c r="T1099" s="1">
        <v>1.3840948</v>
      </c>
      <c r="U1099" s="1">
        <v>2.1720000000000002</v>
      </c>
      <c r="V1099" s="1">
        <v>76</v>
      </c>
      <c r="W1099" s="1">
        <v>144</v>
      </c>
      <c r="X1099" s="1">
        <v>1.8947368421052631</v>
      </c>
      <c r="Y1099" s="1">
        <v>76</v>
      </c>
      <c r="Z1099" s="1">
        <v>144</v>
      </c>
      <c r="AA1099" s="1">
        <v>1.8947368421052631</v>
      </c>
      <c r="AB1099" s="1">
        <v>76.630001625997465</v>
      </c>
      <c r="AC1099" s="1">
        <v>143.7647483409892</v>
      </c>
      <c r="AD1099" s="1">
        <v>1.8760895901144758</v>
      </c>
      <c r="AE1099" t="s">
        <v>4817</v>
      </c>
      <c r="AF1099" t="str">
        <f>IF(X1099&lt;$AF$1,"Bajo","Alto")</f>
        <v>Alto</v>
      </c>
      <c r="AG1099" t="str">
        <f>LEFT(AE1099,1)</f>
        <v>C</v>
      </c>
      <c r="AH1099" t="str">
        <f>K1099</f>
        <v>M</v>
      </c>
      <c r="AI1099" t="str">
        <f>LEFT(AF1099,1)</f>
        <v>A</v>
      </c>
      <c r="AJ1099" t="str">
        <f>LEFT(M1099,1)</f>
        <v>J</v>
      </c>
      <c r="AK1099" t="str">
        <f>_xlfn.CONCAT(AG1099,AH1099,AI1099,AJ1099)</f>
        <v>CMAJ</v>
      </c>
    </row>
    <row r="1100" spans="1:37" ht="15.75" hidden="1" customHeight="1" x14ac:dyDescent="0.2">
      <c r="A1100" s="1">
        <v>1010115</v>
      </c>
      <c r="B1100" s="1" t="s">
        <v>29</v>
      </c>
      <c r="C1100" s="1" t="s">
        <v>30</v>
      </c>
      <c r="D1100" s="1" t="s">
        <v>31</v>
      </c>
      <c r="E1100" s="1" t="s">
        <v>32</v>
      </c>
      <c r="F1100" s="1" t="s">
        <v>57</v>
      </c>
      <c r="G1100" s="1" t="s">
        <v>58</v>
      </c>
      <c r="H1100" s="1">
        <v>303420</v>
      </c>
      <c r="I1100" s="1" t="s">
        <v>59</v>
      </c>
      <c r="J1100" s="1">
        <v>169</v>
      </c>
      <c r="K1100" s="1" t="s">
        <v>35</v>
      </c>
      <c r="L1100" s="1">
        <v>39</v>
      </c>
      <c r="M1100" s="1" t="str">
        <f>IF(L1100&lt;=45,"Joven","Mayor")</f>
        <v>Joven</v>
      </c>
      <c r="N1100" s="1">
        <v>33</v>
      </c>
      <c r="O1100" s="1" t="s">
        <v>36</v>
      </c>
      <c r="P1100" s="1">
        <v>0.191</v>
      </c>
      <c r="Q1100" s="1">
        <v>93.875</v>
      </c>
      <c r="R1100" s="1">
        <v>1.6587114000000001</v>
      </c>
      <c r="S1100" s="1">
        <v>1.8058738000000001</v>
      </c>
      <c r="T1100" s="1">
        <v>-1.5878391999999999</v>
      </c>
      <c r="U1100" s="1">
        <v>18.902999999999999</v>
      </c>
      <c r="V1100" s="1">
        <v>125</v>
      </c>
      <c r="W1100" s="1">
        <v>208</v>
      </c>
      <c r="X1100" s="1">
        <v>1.6639999999999999</v>
      </c>
      <c r="Y1100" s="1">
        <v>133</v>
      </c>
      <c r="Z1100" s="1">
        <v>208</v>
      </c>
      <c r="AA1100" s="1">
        <v>1.5639097744360901</v>
      </c>
      <c r="AB1100" s="1">
        <v>131.397199906384</v>
      </c>
      <c r="AC1100" s="1">
        <v>207.9755508561507</v>
      </c>
      <c r="AD1100" s="1">
        <v>1.5828004782775138</v>
      </c>
      <c r="AE1100" t="s">
        <v>4817</v>
      </c>
      <c r="AF1100" t="str">
        <f>IF(X1100&lt;$AF$1,"Bajo","Alto")</f>
        <v>Bajo</v>
      </c>
      <c r="AG1100" t="str">
        <f>LEFT(AE1100,1)</f>
        <v>C</v>
      </c>
      <c r="AH1100" t="str">
        <f>K1100</f>
        <v>M</v>
      </c>
      <c r="AI1100" t="str">
        <f>LEFT(AF1100,1)</f>
        <v>B</v>
      </c>
      <c r="AJ1100" t="str">
        <f>LEFT(M1100,1)</f>
        <v>J</v>
      </c>
      <c r="AK1100" t="str">
        <f>_xlfn.CONCAT(AG1100,AH1100,AI1100,AJ1100)</f>
        <v>CMBJ</v>
      </c>
    </row>
    <row r="1101" spans="1:37" ht="15.75" hidden="1" customHeight="1" x14ac:dyDescent="0.2">
      <c r="A1101" s="1">
        <v>1030702</v>
      </c>
      <c r="B1101" s="1" t="s">
        <v>783</v>
      </c>
      <c r="C1101" s="1" t="s">
        <v>81</v>
      </c>
      <c r="D1101" s="1" t="s">
        <v>792</v>
      </c>
      <c r="E1101" s="1" t="s">
        <v>43</v>
      </c>
      <c r="F1101" s="1" t="s">
        <v>37</v>
      </c>
      <c r="G1101" s="1" t="s">
        <v>794</v>
      </c>
      <c r="H1101" s="1">
        <v>97</v>
      </c>
      <c r="I1101" s="1" t="s">
        <v>34</v>
      </c>
      <c r="J1101" s="1">
        <v>10</v>
      </c>
      <c r="K1101" s="1" t="s">
        <v>35</v>
      </c>
      <c r="L1101" s="1">
        <v>68</v>
      </c>
      <c r="M1101" s="1" t="str">
        <f>IF(L1101&lt;=45,"Joven","Mayor")</f>
        <v>Mayor</v>
      </c>
      <c r="N1101" s="1">
        <v>66</v>
      </c>
      <c r="O1101" s="1" t="s">
        <v>36</v>
      </c>
      <c r="P1101" s="1">
        <v>0.81799999999999995</v>
      </c>
      <c r="Q1101" s="1">
        <v>92.998999999999995</v>
      </c>
      <c r="R1101" s="1">
        <v>2.1139274000000001</v>
      </c>
      <c r="S1101" s="1">
        <v>-3.7074060000000002</v>
      </c>
      <c r="T1101" s="1">
        <v>-5.9246186999999999</v>
      </c>
      <c r="U1101" s="1">
        <v>2.8650000000000002</v>
      </c>
      <c r="V1101" s="1">
        <v>102</v>
      </c>
      <c r="W1101" s="1">
        <v>169</v>
      </c>
      <c r="X1101" s="1">
        <v>1.6568627450980393</v>
      </c>
      <c r="Y1101" s="1">
        <v>103</v>
      </c>
      <c r="Z1101" s="1">
        <v>169</v>
      </c>
      <c r="AA1101" s="1">
        <v>1.6407766990291262</v>
      </c>
      <c r="AB1101" s="1">
        <v>106.2032895968391</v>
      </c>
      <c r="AC1101" s="1">
        <v>168.92305567469879</v>
      </c>
      <c r="AD1101" s="1">
        <v>1.5905633084996871</v>
      </c>
      <c r="AE1101" t="s">
        <v>4815</v>
      </c>
      <c r="AF1101" t="str">
        <f>IF(X1101&lt;$AF$1,"Bajo","Alto")</f>
        <v>Bajo</v>
      </c>
      <c r="AG1101" t="str">
        <f>LEFT(AE1101,1)</f>
        <v>I</v>
      </c>
      <c r="AH1101" t="str">
        <f>K1101</f>
        <v>M</v>
      </c>
      <c r="AI1101" t="str">
        <f>LEFT(AF1101,1)</f>
        <v>B</v>
      </c>
      <c r="AJ1101" t="str">
        <f>LEFT(M1101,1)</f>
        <v>M</v>
      </c>
      <c r="AK1101" t="str">
        <f>_xlfn.CONCAT(AG1101,AH1101,AI1101,AJ1101)</f>
        <v>IMBM</v>
      </c>
    </row>
    <row r="1102" spans="1:37" ht="15.75" hidden="1" customHeight="1" x14ac:dyDescent="0.2">
      <c r="A1102" s="1">
        <v>10722004</v>
      </c>
      <c r="B1102" s="1" t="s">
        <v>1067</v>
      </c>
      <c r="C1102" s="1" t="s">
        <v>1068</v>
      </c>
      <c r="D1102" s="1" t="s">
        <v>1236</v>
      </c>
      <c r="E1102" s="1" t="s">
        <v>414</v>
      </c>
      <c r="F1102" s="1" t="s">
        <v>61</v>
      </c>
      <c r="G1102" s="1" t="s">
        <v>1238</v>
      </c>
      <c r="H1102" s="1">
        <v>1839</v>
      </c>
      <c r="I1102" s="1" t="s">
        <v>1239</v>
      </c>
      <c r="J1102" s="1">
        <v>2029</v>
      </c>
      <c r="K1102" s="1" t="s">
        <v>35</v>
      </c>
      <c r="L1102" s="1">
        <v>41</v>
      </c>
      <c r="M1102" s="1" t="str">
        <f>IF(L1102&lt;=45,"Joven","Mayor")</f>
        <v>Joven</v>
      </c>
      <c r="N1102" s="1">
        <v>58</v>
      </c>
      <c r="O1102" s="1" t="s">
        <v>36</v>
      </c>
      <c r="P1102" s="1">
        <v>0.36499999999999999</v>
      </c>
      <c r="Q1102" s="1">
        <v>87.525999999999996</v>
      </c>
      <c r="R1102" s="1">
        <v>-7.4328174999999996</v>
      </c>
      <c r="S1102" s="1">
        <v>-2.2656043000000001</v>
      </c>
      <c r="T1102" s="1">
        <v>2.4555220000000002</v>
      </c>
      <c r="U1102" s="1">
        <v>1.298</v>
      </c>
      <c r="V1102" s="1">
        <v>63</v>
      </c>
      <c r="W1102" s="1">
        <v>105</v>
      </c>
      <c r="X1102" s="1">
        <v>1.6666666666666667</v>
      </c>
      <c r="Y1102" s="1">
        <v>68</v>
      </c>
      <c r="Z1102" s="1">
        <v>105</v>
      </c>
      <c r="AA1102" s="1">
        <v>1.5441176470588236</v>
      </c>
      <c r="AB1102" s="1">
        <v>67.037840820607016</v>
      </c>
      <c r="AC1102" s="1">
        <v>105.2034938620905</v>
      </c>
      <c r="AD1102" s="1">
        <v>1.5693150700305907</v>
      </c>
      <c r="AE1102" t="s">
        <v>4817</v>
      </c>
      <c r="AF1102" t="str">
        <f>IF(X1102&lt;$AF$1,"Bajo","Alto")</f>
        <v>Bajo</v>
      </c>
      <c r="AG1102" t="str">
        <f>LEFT(AE1102,1)</f>
        <v>C</v>
      </c>
      <c r="AH1102" t="str">
        <f>K1102</f>
        <v>M</v>
      </c>
      <c r="AI1102" t="str">
        <f>LEFT(AF1102,1)</f>
        <v>B</v>
      </c>
      <c r="AJ1102" t="str">
        <f>LEFT(M1102,1)</f>
        <v>J</v>
      </c>
      <c r="AK1102" t="str">
        <f>_xlfn.CONCAT(AG1102,AH1102,AI1102,AJ1102)</f>
        <v>CMBJ</v>
      </c>
    </row>
    <row r="1103" spans="1:37" ht="15.75" hidden="1" customHeight="1" x14ac:dyDescent="0.2">
      <c r="A1103" s="1">
        <v>2310302</v>
      </c>
      <c r="B1103" s="1" t="s">
        <v>319</v>
      </c>
      <c r="C1103" s="1" t="s">
        <v>1989</v>
      </c>
      <c r="D1103" s="1" t="s">
        <v>2927</v>
      </c>
      <c r="E1103" s="1" t="s">
        <v>81</v>
      </c>
      <c r="F1103" s="1" t="s">
        <v>37</v>
      </c>
      <c r="G1103" s="1" t="s">
        <v>2929</v>
      </c>
      <c r="H1103" s="1">
        <v>84</v>
      </c>
      <c r="I1103" s="1" t="s">
        <v>91</v>
      </c>
      <c r="J1103" s="1">
        <v>6</v>
      </c>
      <c r="K1103" s="1" t="s">
        <v>35</v>
      </c>
      <c r="L1103" s="1">
        <v>48</v>
      </c>
      <c r="M1103" s="1" t="str">
        <f>IF(L1103&lt;=45,"Joven","Mayor")</f>
        <v>Mayor</v>
      </c>
      <c r="N1103" s="1">
        <v>48</v>
      </c>
      <c r="O1103" s="1" t="s">
        <v>36</v>
      </c>
      <c r="P1103" s="1">
        <v>35.25</v>
      </c>
      <c r="Q1103" s="1">
        <v>48.485999999999997</v>
      </c>
      <c r="R1103" s="1">
        <v>-6.4193096000000001</v>
      </c>
      <c r="S1103" s="1">
        <v>2.5732677000000002</v>
      </c>
      <c r="T1103" s="1">
        <v>-3.1165997999999999</v>
      </c>
      <c r="U1103" s="1">
        <v>13.224</v>
      </c>
      <c r="V1103" s="1">
        <v>104</v>
      </c>
      <c r="W1103" s="1">
        <v>171</v>
      </c>
      <c r="X1103" s="1">
        <v>1.6442307692307692</v>
      </c>
      <c r="Y1103" s="1">
        <v>107</v>
      </c>
      <c r="Z1103" s="1">
        <v>171</v>
      </c>
      <c r="AA1103" s="1">
        <v>1.5981308411214954</v>
      </c>
      <c r="AB1103" s="1">
        <v>106.83642584229121</v>
      </c>
      <c r="AC1103" s="1">
        <v>171.29076534896191</v>
      </c>
      <c r="AD1103" s="1">
        <v>1.6032992867228291</v>
      </c>
      <c r="AE1103" t="s">
        <v>4817</v>
      </c>
      <c r="AF1103" t="str">
        <f>IF(X1103&lt;$AF$1,"Bajo","Alto")</f>
        <v>Bajo</v>
      </c>
      <c r="AG1103" t="str">
        <f>LEFT(AE1103,1)</f>
        <v>C</v>
      </c>
      <c r="AH1103" t="str">
        <f>K1103</f>
        <v>M</v>
      </c>
      <c r="AI1103" t="str">
        <f>LEFT(AF1103,1)</f>
        <v>B</v>
      </c>
      <c r="AJ1103" t="str">
        <f>LEFT(M1103,1)</f>
        <v>M</v>
      </c>
      <c r="AK1103" t="str">
        <f>_xlfn.CONCAT(AG1103,AH1103,AI1103,AJ1103)</f>
        <v>CMBM</v>
      </c>
    </row>
    <row r="1104" spans="1:37" ht="15.75" hidden="1" customHeight="1" x14ac:dyDescent="0.2">
      <c r="A1104" s="1">
        <v>1517503</v>
      </c>
      <c r="B1104" s="1" t="s">
        <v>2077</v>
      </c>
      <c r="C1104" s="1" t="s">
        <v>57</v>
      </c>
      <c r="D1104" s="1" t="s">
        <v>2199</v>
      </c>
      <c r="E1104" s="1" t="s">
        <v>296</v>
      </c>
      <c r="F1104" s="1" t="s">
        <v>63</v>
      </c>
      <c r="G1104" s="1" t="s">
        <v>2204</v>
      </c>
      <c r="H1104" s="1">
        <v>987</v>
      </c>
      <c r="I1104" s="1" t="s">
        <v>2205</v>
      </c>
      <c r="J1104" s="1">
        <v>3928</v>
      </c>
      <c r="K1104" s="1" t="s">
        <v>35</v>
      </c>
      <c r="L1104" s="1">
        <v>64</v>
      </c>
      <c r="M1104" s="1" t="str">
        <f>IF(L1104&lt;=45,"Joven","Mayor")</f>
        <v>Mayor</v>
      </c>
      <c r="N1104" s="1">
        <v>58</v>
      </c>
      <c r="O1104" s="1" t="s">
        <v>36</v>
      </c>
      <c r="P1104" s="1">
        <v>0.185</v>
      </c>
      <c r="Q1104" s="1">
        <v>90.352000000000004</v>
      </c>
      <c r="R1104" s="1">
        <v>5.2391079999999999</v>
      </c>
      <c r="S1104" s="1">
        <v>3.6660998</v>
      </c>
      <c r="T1104" s="1">
        <v>-2.7275434000000001</v>
      </c>
      <c r="U1104" s="1">
        <v>6.23</v>
      </c>
      <c r="V1104" s="1">
        <v>90</v>
      </c>
      <c r="W1104" s="1">
        <v>148</v>
      </c>
      <c r="X1104" s="1">
        <v>1.6444444444444444</v>
      </c>
      <c r="Y1104" s="1">
        <v>91</v>
      </c>
      <c r="Z1104" s="1">
        <v>148</v>
      </c>
      <c r="AA1104" s="1">
        <v>1.6263736263736264</v>
      </c>
      <c r="AB1104" s="1">
        <v>92.800372793477209</v>
      </c>
      <c r="AC1104" s="1">
        <v>147.92750619873141</v>
      </c>
      <c r="AD1104" s="1">
        <v>1.5940399994721681</v>
      </c>
      <c r="AE1104" t="s">
        <v>4817</v>
      </c>
      <c r="AF1104" t="str">
        <f>IF(X1104&lt;$AF$1,"Bajo","Alto")</f>
        <v>Bajo</v>
      </c>
      <c r="AG1104" t="str">
        <f>LEFT(AE1104,1)</f>
        <v>C</v>
      </c>
      <c r="AH1104" t="str">
        <f>K1104</f>
        <v>M</v>
      </c>
      <c r="AI1104" t="str">
        <f>LEFT(AF1104,1)</f>
        <v>B</v>
      </c>
      <c r="AJ1104" t="str">
        <f>LEFT(M1104,1)</f>
        <v>M</v>
      </c>
      <c r="AK1104" t="str">
        <f>_xlfn.CONCAT(AG1104,AH1104,AI1104,AJ1104)</f>
        <v>CMBM</v>
      </c>
    </row>
    <row r="1105" spans="1:37" ht="15.75" hidden="1" customHeight="1" x14ac:dyDescent="0.2">
      <c r="A1105" s="1">
        <v>440902</v>
      </c>
      <c r="B1105" s="1" t="s">
        <v>4314</v>
      </c>
      <c r="C1105" s="1" t="s">
        <v>995</v>
      </c>
      <c r="D1105" s="1" t="s">
        <v>4341</v>
      </c>
      <c r="E1105" s="1" t="s">
        <v>189</v>
      </c>
      <c r="F1105" s="1" t="s">
        <v>37</v>
      </c>
      <c r="G1105" s="1" t="s">
        <v>4342</v>
      </c>
      <c r="H1105" s="1">
        <v>2560</v>
      </c>
      <c r="I1105" s="1" t="s">
        <v>65</v>
      </c>
      <c r="J1105" s="1">
        <v>2</v>
      </c>
      <c r="K1105" s="1" t="s">
        <v>35</v>
      </c>
      <c r="L1105" s="1">
        <v>53</v>
      </c>
      <c r="M1105" s="1" t="str">
        <f>IF(L1105&lt;=45,"Joven","Mayor")</f>
        <v>Mayor</v>
      </c>
      <c r="N1105" s="1">
        <v>53</v>
      </c>
      <c r="O1105" s="1" t="s">
        <v>36</v>
      </c>
      <c r="P1105" s="1">
        <v>1.1839999999999999</v>
      </c>
      <c r="Q1105" s="1">
        <v>83.608999999999995</v>
      </c>
      <c r="R1105" s="1">
        <v>-8.4760629999999999</v>
      </c>
      <c r="S1105" s="1">
        <v>-5.1131909999999996</v>
      </c>
      <c r="T1105" s="1">
        <v>0.80516416000000002</v>
      </c>
      <c r="U1105" s="1">
        <v>0.184</v>
      </c>
      <c r="V1105" s="1">
        <v>85</v>
      </c>
      <c r="W1105" s="1">
        <v>140</v>
      </c>
      <c r="X1105" s="1">
        <v>1.6470588235294117</v>
      </c>
      <c r="Y1105" s="1">
        <v>86</v>
      </c>
      <c r="Z1105" s="1">
        <v>140</v>
      </c>
      <c r="AA1105" s="1">
        <v>1.6279069767441861</v>
      </c>
      <c r="AB1105" s="1">
        <v>85.525594746198749</v>
      </c>
      <c r="AC1105" s="1">
        <v>139.98617661199711</v>
      </c>
      <c r="AD1105" s="1">
        <v>1.6367752487125371</v>
      </c>
      <c r="AE1105" t="s">
        <v>4817</v>
      </c>
      <c r="AF1105" t="str">
        <f>IF(X1105&lt;$AF$1,"Bajo","Alto")</f>
        <v>Bajo</v>
      </c>
      <c r="AG1105" t="str">
        <f>LEFT(AE1105,1)</f>
        <v>C</v>
      </c>
      <c r="AH1105" t="str">
        <f>K1105</f>
        <v>M</v>
      </c>
      <c r="AI1105" t="str">
        <f>LEFT(AF1105,1)</f>
        <v>B</v>
      </c>
      <c r="AJ1105" t="str">
        <f>LEFT(M1105,1)</f>
        <v>M</v>
      </c>
      <c r="AK1105" t="str">
        <f>_xlfn.CONCAT(AG1105,AH1105,AI1105,AJ1105)</f>
        <v>CMBM</v>
      </c>
    </row>
    <row r="1106" spans="1:37" ht="15.75" hidden="1" customHeight="1" x14ac:dyDescent="0.2">
      <c r="A1106" s="1">
        <v>130703</v>
      </c>
      <c r="B1106" s="1" t="s">
        <v>956</v>
      </c>
      <c r="C1106" s="1" t="s">
        <v>163</v>
      </c>
      <c r="D1106" s="1" t="s">
        <v>1386</v>
      </c>
      <c r="E1106" s="1" t="s">
        <v>43</v>
      </c>
      <c r="F1106" s="1" t="s">
        <v>63</v>
      </c>
      <c r="G1106" s="1" t="s">
        <v>1961</v>
      </c>
      <c r="H1106" s="1">
        <v>767</v>
      </c>
      <c r="I1106" s="1" t="s">
        <v>85</v>
      </c>
      <c r="J1106" s="1">
        <v>12</v>
      </c>
      <c r="K1106" s="1" t="s">
        <v>49</v>
      </c>
      <c r="L1106" s="1">
        <v>38</v>
      </c>
      <c r="M1106" s="1" t="str">
        <f>IF(L1106&lt;=45,"Joven","Mayor")</f>
        <v>Joven</v>
      </c>
      <c r="N1106" s="1">
        <v>39</v>
      </c>
      <c r="O1106" s="1" t="s">
        <v>50</v>
      </c>
      <c r="P1106" s="1">
        <v>0.35899999999999999</v>
      </c>
      <c r="Q1106" s="1">
        <v>92.712999999999994</v>
      </c>
      <c r="R1106" s="1">
        <v>2.1097096999999998</v>
      </c>
      <c r="S1106" s="1">
        <v>5.1338176999999998</v>
      </c>
      <c r="T1106" s="1">
        <v>-6.3253263999999998</v>
      </c>
      <c r="U1106" s="1">
        <v>48.351999999999997</v>
      </c>
      <c r="V1106" s="1">
        <v>77</v>
      </c>
      <c r="W1106" s="1">
        <v>143</v>
      </c>
      <c r="X1106" s="1">
        <v>1.8571428571428572</v>
      </c>
      <c r="Y1106" s="1">
        <v>85</v>
      </c>
      <c r="Z1106" s="1">
        <v>143</v>
      </c>
      <c r="AA1106" s="1">
        <v>1.6823529411764706</v>
      </c>
      <c r="AB1106" s="1">
        <v>81.728208470949312</v>
      </c>
      <c r="AC1106" s="1">
        <v>143.67189766119421</v>
      </c>
      <c r="AD1106" s="1">
        <v>1.757923002952684</v>
      </c>
      <c r="AE1106" t="s">
        <v>4815</v>
      </c>
      <c r="AF1106" t="str">
        <f>IF(X1106&lt;$AF$1,"Bajo","Alto")</f>
        <v>Alto</v>
      </c>
      <c r="AG1106" t="str">
        <f>LEFT(AE1106,1)</f>
        <v>I</v>
      </c>
      <c r="AH1106" t="str">
        <f>K1106</f>
        <v>F</v>
      </c>
      <c r="AI1106" t="str">
        <f>LEFT(AF1106,1)</f>
        <v>A</v>
      </c>
      <c r="AJ1106" t="str">
        <f>LEFT(M1106,1)</f>
        <v>J</v>
      </c>
      <c r="AK1106" t="str">
        <f>_xlfn.CONCAT(AG1106,AH1106,AI1106,AJ1106)</f>
        <v>IFAJ</v>
      </c>
    </row>
    <row r="1107" spans="1:37" ht="15.75" customHeight="1" x14ac:dyDescent="0.2">
      <c r="A1107" s="1">
        <v>132803</v>
      </c>
      <c r="B1107" s="1" t="s">
        <v>956</v>
      </c>
      <c r="C1107" s="1" t="s">
        <v>163</v>
      </c>
      <c r="D1107" s="1" t="s">
        <v>2009</v>
      </c>
      <c r="E1107" s="1" t="s">
        <v>561</v>
      </c>
      <c r="F1107" s="1" t="s">
        <v>63</v>
      </c>
      <c r="G1107" s="1" t="s">
        <v>2011</v>
      </c>
      <c r="H1107" s="1">
        <v>19363</v>
      </c>
      <c r="I1107" s="1" t="s">
        <v>65</v>
      </c>
      <c r="J1107" s="1">
        <v>2</v>
      </c>
      <c r="K1107" s="1" t="s">
        <v>35</v>
      </c>
      <c r="L1107" s="1">
        <v>54</v>
      </c>
      <c r="M1107" s="1" t="str">
        <f>IF(L1107&lt;=45,"Joven","Mayor")</f>
        <v>Mayor</v>
      </c>
      <c r="N1107" s="1">
        <v>49</v>
      </c>
      <c r="O1107" s="1" t="s">
        <v>36</v>
      </c>
      <c r="P1107" s="1">
        <v>0.36099999999999999</v>
      </c>
      <c r="Q1107" s="1">
        <v>93.828999999999994</v>
      </c>
      <c r="R1107" s="1">
        <v>1.8133938000000001</v>
      </c>
      <c r="S1107" s="1">
        <v>-1.3623179000000001</v>
      </c>
      <c r="T1107" s="1">
        <v>0.33872405</v>
      </c>
      <c r="U1107" s="1">
        <v>48.665999999999997</v>
      </c>
      <c r="V1107" s="1">
        <v>77</v>
      </c>
      <c r="W1107" s="1">
        <v>138</v>
      </c>
      <c r="X1107" s="1">
        <v>1.7922077922077921</v>
      </c>
      <c r="Y1107" s="1">
        <v>79</v>
      </c>
      <c r="Z1107" s="1">
        <v>138</v>
      </c>
      <c r="AA1107" s="1">
        <v>1.7468354430379747</v>
      </c>
      <c r="AB1107" s="1">
        <v>79.205533022434111</v>
      </c>
      <c r="AC1107" s="1">
        <v>137.98576482813951</v>
      </c>
      <c r="AD1107" s="1">
        <v>1.7421227982779504</v>
      </c>
      <c r="AE1107" t="s">
        <v>4818</v>
      </c>
      <c r="AF1107" t="str">
        <f>IF(X1107&lt;$AF$1,"Bajo","Alto")</f>
        <v>Alto</v>
      </c>
      <c r="AG1107" t="str">
        <f>LEFT(AE1107,1)</f>
        <v>S</v>
      </c>
      <c r="AH1107" t="str">
        <f>K1107</f>
        <v>M</v>
      </c>
      <c r="AI1107" t="str">
        <f>LEFT(AF1107,1)</f>
        <v>A</v>
      </c>
      <c r="AJ1107" t="str">
        <f>LEFT(M1107,1)</f>
        <v>M</v>
      </c>
      <c r="AK1107" t="str">
        <f>_xlfn.CONCAT(AG1107,AH1107,AI1107,AJ1107)</f>
        <v>SMAM</v>
      </c>
    </row>
    <row r="1108" spans="1:37" ht="15.75" hidden="1" customHeight="1" x14ac:dyDescent="0.2">
      <c r="A1108" s="1">
        <v>10725102</v>
      </c>
      <c r="B1108" s="1" t="s">
        <v>1067</v>
      </c>
      <c r="C1108" s="1" t="s">
        <v>1068</v>
      </c>
      <c r="D1108" s="1" t="s">
        <v>1286</v>
      </c>
      <c r="E1108" s="1" t="s">
        <v>1287</v>
      </c>
      <c r="F1108" s="1" t="s">
        <v>37</v>
      </c>
      <c r="G1108" s="1" t="s">
        <v>1288</v>
      </c>
      <c r="H1108" s="1">
        <v>949</v>
      </c>
      <c r="I1108" s="1" t="s">
        <v>1289</v>
      </c>
      <c r="J1108" s="1">
        <v>2938</v>
      </c>
      <c r="K1108" s="1" t="s">
        <v>35</v>
      </c>
      <c r="L1108" s="1">
        <v>45</v>
      </c>
      <c r="M1108" s="1" t="str">
        <f>IF(L1108&lt;=45,"Joven","Mayor")</f>
        <v>Joven</v>
      </c>
      <c r="N1108" s="1">
        <v>49</v>
      </c>
      <c r="O1108" s="1" t="s">
        <v>36</v>
      </c>
      <c r="P1108" s="1">
        <v>0.36499999999999999</v>
      </c>
      <c r="Q1108" s="1">
        <v>94.537000000000006</v>
      </c>
      <c r="R1108" s="1">
        <v>0.79595183999999997</v>
      </c>
      <c r="S1108" s="1">
        <v>-0.31245127</v>
      </c>
      <c r="T1108" s="1">
        <v>-4.1518283</v>
      </c>
      <c r="U1108" s="1">
        <v>0.54300000000000004</v>
      </c>
      <c r="V1108" s="1">
        <v>84</v>
      </c>
      <c r="W1108" s="1">
        <v>140</v>
      </c>
      <c r="X1108" s="1">
        <v>1.6666666666666667</v>
      </c>
      <c r="Y1108" s="1">
        <v>86</v>
      </c>
      <c r="Z1108" s="1">
        <v>140</v>
      </c>
      <c r="AA1108" s="1">
        <v>1.6279069767441861</v>
      </c>
      <c r="AB1108" s="1">
        <v>88.380698487943619</v>
      </c>
      <c r="AC1108" s="1">
        <v>139.48779866453421</v>
      </c>
      <c r="AD1108" s="1">
        <v>1.5782608765370001</v>
      </c>
      <c r="AE1108" t="s">
        <v>4817</v>
      </c>
      <c r="AF1108" t="str">
        <f>IF(X1108&lt;$AF$1,"Bajo","Alto")</f>
        <v>Bajo</v>
      </c>
      <c r="AG1108" t="str">
        <f>LEFT(AE1108,1)</f>
        <v>C</v>
      </c>
      <c r="AH1108" t="str">
        <f>K1108</f>
        <v>M</v>
      </c>
      <c r="AI1108" t="str">
        <f>LEFT(AF1108,1)</f>
        <v>B</v>
      </c>
      <c r="AJ1108" t="str">
        <f>LEFT(M1108,1)</f>
        <v>J</v>
      </c>
      <c r="AK1108" t="str">
        <f>_xlfn.CONCAT(AG1108,AH1108,AI1108,AJ1108)</f>
        <v>CMBJ</v>
      </c>
    </row>
    <row r="1109" spans="1:37" ht="15.75" hidden="1" customHeight="1" x14ac:dyDescent="0.2">
      <c r="A1109" s="1">
        <v>480208</v>
      </c>
      <c r="B1109" s="1" t="s">
        <v>4465</v>
      </c>
      <c r="C1109" s="1" t="s">
        <v>2650</v>
      </c>
      <c r="D1109" s="1" t="s">
        <v>3420</v>
      </c>
      <c r="E1109" s="1" t="s">
        <v>37</v>
      </c>
      <c r="F1109" s="1" t="s">
        <v>46</v>
      </c>
      <c r="G1109" s="1" t="s">
        <v>4472</v>
      </c>
      <c r="H1109" s="1">
        <v>228</v>
      </c>
      <c r="I1109" s="1" t="s">
        <v>91</v>
      </c>
      <c r="J1109" s="1">
        <v>6</v>
      </c>
      <c r="K1109" s="1" t="s">
        <v>35</v>
      </c>
      <c r="L1109" s="1">
        <v>44</v>
      </c>
      <c r="M1109" s="1" t="str">
        <f>IF(L1109&lt;=45,"Joven","Mayor")</f>
        <v>Joven</v>
      </c>
      <c r="N1109" s="1">
        <v>47</v>
      </c>
      <c r="O1109" s="1" t="s">
        <v>36</v>
      </c>
      <c r="P1109" s="1">
        <v>0.35199999999999998</v>
      </c>
      <c r="Q1109" s="1">
        <v>92.055999999999997</v>
      </c>
      <c r="R1109" s="1">
        <v>-1.8851552</v>
      </c>
      <c r="S1109" s="1">
        <v>7.3807273000000002</v>
      </c>
      <c r="T1109" s="1">
        <v>-1.2568052000000001</v>
      </c>
      <c r="U1109" s="1">
        <v>39.238</v>
      </c>
      <c r="V1109" s="1">
        <v>66</v>
      </c>
      <c r="W1109" s="1">
        <v>125</v>
      </c>
      <c r="X1109" s="1">
        <v>1.893939393939394</v>
      </c>
      <c r="Y1109" s="1">
        <v>68</v>
      </c>
      <c r="Z1109" s="1">
        <v>125</v>
      </c>
      <c r="AA1109" s="1">
        <v>1.838235294117647</v>
      </c>
      <c r="AB1109" s="1">
        <v>67.32563227952005</v>
      </c>
      <c r="AC1109" s="1">
        <v>125.0576631447389</v>
      </c>
      <c r="AD1109" s="1">
        <v>1.8575044735640827</v>
      </c>
      <c r="AE1109" t="s">
        <v>4817</v>
      </c>
      <c r="AF1109" t="str">
        <f>IF(X1109&lt;$AF$1,"Bajo","Alto")</f>
        <v>Alto</v>
      </c>
      <c r="AG1109" t="str">
        <f>LEFT(AE1109,1)</f>
        <v>C</v>
      </c>
      <c r="AH1109" t="str">
        <f>K1109</f>
        <v>M</v>
      </c>
      <c r="AI1109" t="str">
        <f>LEFT(AF1109,1)</f>
        <v>A</v>
      </c>
      <c r="AJ1109" t="str">
        <f>LEFT(M1109,1)</f>
        <v>J</v>
      </c>
      <c r="AK1109" t="str">
        <f>_xlfn.CONCAT(AG1109,AH1109,AI1109,AJ1109)</f>
        <v>CMAJ</v>
      </c>
    </row>
    <row r="1110" spans="1:37" ht="15.75" hidden="1" customHeight="1" x14ac:dyDescent="0.2">
      <c r="A1110" s="1">
        <v>117602</v>
      </c>
      <c r="B1110" s="1" t="s">
        <v>1648</v>
      </c>
      <c r="C1110" s="1" t="s">
        <v>51</v>
      </c>
      <c r="D1110" s="1" t="s">
        <v>1765</v>
      </c>
      <c r="E1110" s="1" t="s">
        <v>727</v>
      </c>
      <c r="F1110" s="1" t="s">
        <v>37</v>
      </c>
      <c r="G1110" s="1" t="s">
        <v>1766</v>
      </c>
      <c r="H1110" s="1">
        <v>1680</v>
      </c>
      <c r="I1110" s="1" t="s">
        <v>85</v>
      </c>
      <c r="J1110" s="1">
        <v>12</v>
      </c>
      <c r="K1110" s="1" t="s">
        <v>35</v>
      </c>
      <c r="L1110" s="1">
        <v>43</v>
      </c>
      <c r="M1110" s="1" t="str">
        <f>IF(L1110&lt;=45,"Joven","Mayor")</f>
        <v>Joven</v>
      </c>
      <c r="N1110" s="1">
        <v>51</v>
      </c>
      <c r="O1110" s="1" t="s">
        <v>36</v>
      </c>
      <c r="P1110" s="1">
        <v>0.84899999999999998</v>
      </c>
      <c r="Q1110" s="1">
        <v>92.861000000000004</v>
      </c>
      <c r="R1110" s="1">
        <v>1.9399017999999999</v>
      </c>
      <c r="S1110" s="1">
        <v>4.5887919999999998</v>
      </c>
      <c r="T1110" s="1">
        <v>-2.8047075000000001</v>
      </c>
      <c r="U1110" s="1">
        <v>31.904</v>
      </c>
      <c r="V1110" s="1">
        <v>111</v>
      </c>
      <c r="W1110" s="1">
        <v>185</v>
      </c>
      <c r="X1110" s="1">
        <v>1.6666666666666667</v>
      </c>
      <c r="Y1110" s="1">
        <v>112</v>
      </c>
      <c r="Z1110" s="1">
        <v>185</v>
      </c>
      <c r="AA1110" s="1">
        <v>1.6517857142857142</v>
      </c>
      <c r="AB1110" s="1">
        <v>114.1656336325125</v>
      </c>
      <c r="AC1110" s="1">
        <v>184.72946044219219</v>
      </c>
      <c r="AD1110" s="1">
        <v>1.6180829078286154</v>
      </c>
      <c r="AE1110" t="s">
        <v>4815</v>
      </c>
      <c r="AF1110" t="str">
        <f>IF(X1110&lt;$AF$1,"Bajo","Alto")</f>
        <v>Bajo</v>
      </c>
      <c r="AG1110" t="str">
        <f>LEFT(AE1110,1)</f>
        <v>I</v>
      </c>
      <c r="AH1110" t="str">
        <f>K1110</f>
        <v>M</v>
      </c>
      <c r="AI1110" t="str">
        <f>LEFT(AF1110,1)</f>
        <v>B</v>
      </c>
      <c r="AJ1110" t="str">
        <f>LEFT(M1110,1)</f>
        <v>J</v>
      </c>
      <c r="AK1110" t="str">
        <f>_xlfn.CONCAT(AG1110,AH1110,AI1110,AJ1110)</f>
        <v>IMBJ</v>
      </c>
    </row>
    <row r="1111" spans="1:37" ht="15.75" hidden="1" customHeight="1" x14ac:dyDescent="0.2">
      <c r="A1111" s="1">
        <v>316406</v>
      </c>
      <c r="B1111" s="1" t="s">
        <v>4122</v>
      </c>
      <c r="C1111" s="1" t="s">
        <v>628</v>
      </c>
      <c r="D1111" s="1" t="s">
        <v>4246</v>
      </c>
      <c r="E1111" s="1" t="s">
        <v>710</v>
      </c>
      <c r="F1111" s="1" t="s">
        <v>88</v>
      </c>
      <c r="G1111" s="1" t="s">
        <v>4247</v>
      </c>
      <c r="H1111" s="1">
        <v>746</v>
      </c>
      <c r="I1111" s="1" t="s">
        <v>42</v>
      </c>
      <c r="J1111" s="1">
        <v>15</v>
      </c>
      <c r="K1111" s="1" t="s">
        <v>35</v>
      </c>
      <c r="L1111" s="1">
        <v>58</v>
      </c>
      <c r="M1111" s="1" t="str">
        <f>IF(L1111&lt;=45,"Joven","Mayor")</f>
        <v>Mayor</v>
      </c>
      <c r="N1111" s="1">
        <v>51</v>
      </c>
      <c r="O1111" s="1" t="s">
        <v>36</v>
      </c>
      <c r="P1111" s="1">
        <v>0.58599999999999997</v>
      </c>
      <c r="Q1111" s="1">
        <v>94.480999999999995</v>
      </c>
      <c r="R1111" s="1">
        <v>0.5560756</v>
      </c>
      <c r="S1111" s="1">
        <v>1.0801867000000001</v>
      </c>
      <c r="T1111" s="1">
        <v>5.7719896999999999E-2</v>
      </c>
      <c r="U1111" s="1">
        <v>0.872</v>
      </c>
      <c r="V1111" s="1">
        <v>91</v>
      </c>
      <c r="W1111" s="1">
        <v>171</v>
      </c>
      <c r="X1111" s="1">
        <v>1.8791208791208791</v>
      </c>
      <c r="Y1111" s="1">
        <v>93</v>
      </c>
      <c r="Z1111" s="1">
        <v>171</v>
      </c>
      <c r="AA1111" s="1">
        <v>1.8387096774193548</v>
      </c>
      <c r="AB1111" s="1">
        <v>92.953612313543317</v>
      </c>
      <c r="AC1111" s="1">
        <v>170.99789842538621</v>
      </c>
      <c r="AD1111" s="1">
        <v>1.8396046605331535</v>
      </c>
      <c r="AE1111" t="s">
        <v>4817</v>
      </c>
      <c r="AF1111" t="str">
        <f>IF(X1111&lt;$AF$1,"Bajo","Alto")</f>
        <v>Alto</v>
      </c>
      <c r="AG1111" t="str">
        <f>LEFT(AE1111,1)</f>
        <v>C</v>
      </c>
      <c r="AH1111" t="str">
        <f>K1111</f>
        <v>M</v>
      </c>
      <c r="AI1111" t="str">
        <f>LEFT(AF1111,1)</f>
        <v>A</v>
      </c>
      <c r="AJ1111" t="str">
        <f>LEFT(M1111,1)</f>
        <v>M</v>
      </c>
      <c r="AK1111" t="str">
        <f>_xlfn.CONCAT(AG1111,AH1111,AI1111,AJ1111)</f>
        <v>CMAM</v>
      </c>
    </row>
    <row r="1112" spans="1:37" ht="15.75" hidden="1" customHeight="1" x14ac:dyDescent="0.2">
      <c r="A1112" s="1">
        <v>172501</v>
      </c>
      <c r="B1112" s="1" t="s">
        <v>2551</v>
      </c>
      <c r="C1112" s="1" t="s">
        <v>2552</v>
      </c>
      <c r="D1112" s="1" t="s">
        <v>2604</v>
      </c>
      <c r="E1112" s="1" t="s">
        <v>821</v>
      </c>
      <c r="F1112" s="1" t="s">
        <v>32</v>
      </c>
      <c r="G1112" s="1" t="s">
        <v>2605</v>
      </c>
      <c r="H1112" s="1">
        <v>605</v>
      </c>
      <c r="I1112" s="1" t="s">
        <v>65</v>
      </c>
      <c r="J1112" s="1">
        <v>2</v>
      </c>
      <c r="K1112" s="1" t="s">
        <v>35</v>
      </c>
      <c r="L1112" s="1">
        <v>29</v>
      </c>
      <c r="M1112" s="1" t="str">
        <f>IF(L1112&lt;=45,"Joven","Mayor")</f>
        <v>Joven</v>
      </c>
      <c r="N1112" s="1">
        <v>27</v>
      </c>
      <c r="O1112" s="1" t="s">
        <v>36</v>
      </c>
      <c r="P1112" s="1">
        <v>0.36199999999999999</v>
      </c>
      <c r="Q1112" s="1">
        <v>93.578000000000003</v>
      </c>
      <c r="R1112" s="1">
        <v>2.5138178</v>
      </c>
      <c r="S1112" s="1">
        <v>0.32924500000000001</v>
      </c>
      <c r="T1112" s="1">
        <v>1.0456186999999999</v>
      </c>
      <c r="U1112" s="1">
        <v>3.2930000000000001</v>
      </c>
      <c r="V1112" s="1">
        <v>75</v>
      </c>
      <c r="W1112" s="1">
        <v>142</v>
      </c>
      <c r="X1112" s="1">
        <v>1.8933333333333333</v>
      </c>
      <c r="Y1112" s="1">
        <v>86</v>
      </c>
      <c r="Z1112" s="1">
        <v>142</v>
      </c>
      <c r="AA1112" s="1">
        <v>1.6511627906976745</v>
      </c>
      <c r="AB1112" s="1">
        <v>85.456473705804228</v>
      </c>
      <c r="AC1112" s="1">
        <v>142.28657863613401</v>
      </c>
      <c r="AD1112" s="1">
        <v>1.6650181369052894</v>
      </c>
      <c r="AE1112" t="s">
        <v>4817</v>
      </c>
      <c r="AF1112" t="str">
        <f>IF(X1112&lt;$AF$1,"Bajo","Alto")</f>
        <v>Alto</v>
      </c>
      <c r="AG1112" t="str">
        <f>LEFT(AE1112,1)</f>
        <v>C</v>
      </c>
      <c r="AH1112" t="str">
        <f>K1112</f>
        <v>M</v>
      </c>
      <c r="AI1112" t="str">
        <f>LEFT(AF1112,1)</f>
        <v>A</v>
      </c>
      <c r="AJ1112" t="str">
        <f>LEFT(M1112,1)</f>
        <v>J</v>
      </c>
      <c r="AK1112" t="str">
        <f>_xlfn.CONCAT(AG1112,AH1112,AI1112,AJ1112)</f>
        <v>CMAJ</v>
      </c>
    </row>
    <row r="1113" spans="1:37" ht="15.75" hidden="1" customHeight="1" x14ac:dyDescent="0.2">
      <c r="A1113" s="1">
        <v>10731602</v>
      </c>
      <c r="B1113" s="1" t="s">
        <v>1067</v>
      </c>
      <c r="C1113" s="1" t="s">
        <v>1068</v>
      </c>
      <c r="D1113" s="1" t="s">
        <v>1394</v>
      </c>
      <c r="E1113" s="1" t="s">
        <v>1395</v>
      </c>
      <c r="F1113" s="1" t="s">
        <v>37</v>
      </c>
      <c r="G1113" s="1" t="s">
        <v>1397</v>
      </c>
      <c r="H1113" s="1">
        <v>47</v>
      </c>
      <c r="I1113" s="1" t="s">
        <v>134</v>
      </c>
      <c r="J1113" s="1">
        <v>8</v>
      </c>
      <c r="K1113" s="1" t="s">
        <v>35</v>
      </c>
      <c r="L1113" s="1">
        <v>38</v>
      </c>
      <c r="M1113" s="1" t="str">
        <f>IF(L1113&lt;=45,"Joven","Mayor")</f>
        <v>Joven</v>
      </c>
      <c r="N1113" s="1">
        <v>44</v>
      </c>
      <c r="O1113" s="1" t="s">
        <v>36</v>
      </c>
      <c r="P1113" s="1">
        <v>0.36899999999999999</v>
      </c>
      <c r="Q1113" s="1">
        <v>90.861000000000004</v>
      </c>
      <c r="R1113" s="1">
        <v>-4.9907019999999997</v>
      </c>
      <c r="S1113" s="1">
        <v>2.7907554999999999</v>
      </c>
      <c r="T1113" s="1">
        <v>-2.6243900999999998</v>
      </c>
      <c r="U1113" s="1">
        <v>2.387</v>
      </c>
      <c r="V1113" s="1">
        <v>69</v>
      </c>
      <c r="W1113" s="1">
        <v>115</v>
      </c>
      <c r="X1113" s="1">
        <v>1.6666666666666667</v>
      </c>
      <c r="Y1113" s="1">
        <v>72</v>
      </c>
      <c r="Z1113" s="1">
        <v>115</v>
      </c>
      <c r="AA1113" s="1">
        <v>1.5972222222222223</v>
      </c>
      <c r="AB1113" s="1">
        <v>70.688201854870158</v>
      </c>
      <c r="AC1113" s="1">
        <v>115.0625373477028</v>
      </c>
      <c r="AD1113" s="1">
        <v>1.6277474080319305</v>
      </c>
      <c r="AE1113" t="s">
        <v>4817</v>
      </c>
      <c r="AF1113" t="str">
        <f>IF(X1113&lt;$AF$1,"Bajo","Alto")</f>
        <v>Bajo</v>
      </c>
      <c r="AG1113" t="str">
        <f>LEFT(AE1113,1)</f>
        <v>C</v>
      </c>
      <c r="AH1113" t="str">
        <f>K1113</f>
        <v>M</v>
      </c>
      <c r="AI1113" t="str">
        <f>LEFT(AF1113,1)</f>
        <v>B</v>
      </c>
      <c r="AJ1113" t="str">
        <f>LEFT(M1113,1)</f>
        <v>J</v>
      </c>
      <c r="AK1113" t="str">
        <f>_xlfn.CONCAT(AG1113,AH1113,AI1113,AJ1113)</f>
        <v>CMBJ</v>
      </c>
    </row>
    <row r="1114" spans="1:37" ht="15.75" hidden="1" customHeight="1" x14ac:dyDescent="0.2">
      <c r="A1114" s="1">
        <v>256108</v>
      </c>
      <c r="B1114" s="1" t="s">
        <v>3169</v>
      </c>
      <c r="C1114" s="1" t="s">
        <v>821</v>
      </c>
      <c r="D1114" s="1" t="s">
        <v>3285</v>
      </c>
      <c r="E1114" s="1" t="s">
        <v>701</v>
      </c>
      <c r="F1114" s="1" t="s">
        <v>46</v>
      </c>
      <c r="G1114" s="1" t="s">
        <v>3293</v>
      </c>
      <c r="H1114" s="1">
        <v>2159</v>
      </c>
      <c r="I1114" s="1" t="s">
        <v>3294</v>
      </c>
      <c r="J1114" s="1">
        <v>3710</v>
      </c>
      <c r="K1114" s="1" t="s">
        <v>35</v>
      </c>
      <c r="L1114" s="1">
        <v>31</v>
      </c>
      <c r="M1114" s="1" t="str">
        <f>IF(L1114&lt;=45,"Joven","Mayor")</f>
        <v>Joven</v>
      </c>
      <c r="N1114" s="1">
        <v>37</v>
      </c>
      <c r="O1114" s="1" t="s">
        <v>36</v>
      </c>
      <c r="P1114" s="1">
        <v>1.0640000000000001</v>
      </c>
      <c r="Q1114" s="1">
        <v>84.988</v>
      </c>
      <c r="R1114" s="1">
        <v>8.7176484999999992</v>
      </c>
      <c r="S1114" s="1">
        <v>1.1097025</v>
      </c>
      <c r="T1114" s="1">
        <v>-9.9319380000000006</v>
      </c>
      <c r="U1114" s="1">
        <v>12.61</v>
      </c>
      <c r="V1114" s="1">
        <v>64</v>
      </c>
      <c r="W1114" s="1">
        <v>121</v>
      </c>
      <c r="X1114" s="1">
        <v>1.890625</v>
      </c>
      <c r="Y1114" s="1">
        <v>76</v>
      </c>
      <c r="Z1114" s="1">
        <v>121</v>
      </c>
      <c r="AA1114" s="1">
        <v>1.5921052631578947</v>
      </c>
      <c r="AB1114" s="1">
        <v>71.238971399212005</v>
      </c>
      <c r="AC1114" s="1">
        <v>121.9462647781138</v>
      </c>
      <c r="AD1114" s="1">
        <v>1.7117914869200748</v>
      </c>
      <c r="AE1114" t="s">
        <v>4817</v>
      </c>
      <c r="AF1114" t="str">
        <f>IF(X1114&lt;$AF$1,"Bajo","Alto")</f>
        <v>Alto</v>
      </c>
      <c r="AG1114" t="str">
        <f>LEFT(AE1114,1)</f>
        <v>C</v>
      </c>
      <c r="AH1114" t="str">
        <f>K1114</f>
        <v>M</v>
      </c>
      <c r="AI1114" t="str">
        <f>LEFT(AF1114,1)</f>
        <v>A</v>
      </c>
      <c r="AJ1114" t="str">
        <f>LEFT(M1114,1)</f>
        <v>J</v>
      </c>
      <c r="AK1114" t="str">
        <f>_xlfn.CONCAT(AG1114,AH1114,AI1114,AJ1114)</f>
        <v>CMAJ</v>
      </c>
    </row>
    <row r="1115" spans="1:37" ht="15.75" hidden="1" customHeight="1" x14ac:dyDescent="0.2">
      <c r="A1115" s="1">
        <v>1058403</v>
      </c>
      <c r="B1115" s="1" t="s">
        <v>694</v>
      </c>
      <c r="C1115" s="1" t="s">
        <v>879</v>
      </c>
      <c r="D1115" s="1" t="s">
        <v>1046</v>
      </c>
      <c r="E1115" s="1" t="s">
        <v>1047</v>
      </c>
      <c r="F1115" s="1" t="s">
        <v>63</v>
      </c>
      <c r="G1115" s="1" t="s">
        <v>1050</v>
      </c>
      <c r="H1115" s="1">
        <v>4324</v>
      </c>
      <c r="I1115" s="1" t="s">
        <v>87</v>
      </c>
      <c r="J1115" s="1">
        <v>14</v>
      </c>
      <c r="K1115" s="1" t="s">
        <v>35</v>
      </c>
      <c r="L1115" s="1">
        <v>38</v>
      </c>
      <c r="M1115" s="1" t="str">
        <f>IF(L1115&lt;=45,"Joven","Mayor")</f>
        <v>Joven</v>
      </c>
      <c r="N1115" s="1">
        <v>43</v>
      </c>
      <c r="O1115" s="1" t="s">
        <v>36</v>
      </c>
      <c r="P1115" s="1">
        <v>4.8000000000000001E-2</v>
      </c>
      <c r="Q1115" s="1">
        <v>94.085999999999999</v>
      </c>
      <c r="R1115" s="1">
        <v>-0.82301563</v>
      </c>
      <c r="S1115" s="1">
        <v>-3.1309141999999999</v>
      </c>
      <c r="T1115" s="1">
        <v>-1.7224702999999999</v>
      </c>
      <c r="U1115" s="1">
        <v>0.77500000000000002</v>
      </c>
      <c r="V1115" s="1">
        <v>109</v>
      </c>
      <c r="W1115" s="1">
        <v>182</v>
      </c>
      <c r="X1115" s="1">
        <v>1.6697247706422018</v>
      </c>
      <c r="Y1115" s="1">
        <v>110</v>
      </c>
      <c r="Z1115" s="1">
        <v>182</v>
      </c>
      <c r="AA1115" s="1">
        <v>1.6545454545454545</v>
      </c>
      <c r="AB1115" s="1">
        <v>110.6640684548659</v>
      </c>
      <c r="AC1115" s="1">
        <v>182.06805431684779</v>
      </c>
      <c r="AD1115" s="1">
        <v>1.6452318883532089</v>
      </c>
      <c r="AE1115" t="s">
        <v>4816</v>
      </c>
      <c r="AF1115" t="str">
        <f>IF(X1115&lt;$AF$1,"Bajo","Alto")</f>
        <v>Bajo</v>
      </c>
      <c r="AG1115" t="str">
        <f>LEFT(AE1115,1)</f>
        <v>D</v>
      </c>
      <c r="AH1115" t="str">
        <f>K1115</f>
        <v>M</v>
      </c>
      <c r="AI1115" t="str">
        <f>LEFT(AF1115,1)</f>
        <v>B</v>
      </c>
      <c r="AJ1115" t="str">
        <f>LEFT(M1115,1)</f>
        <v>J</v>
      </c>
      <c r="AK1115" t="str">
        <f>_xlfn.CONCAT(AG1115,AH1115,AI1115,AJ1115)</f>
        <v>DMBJ</v>
      </c>
    </row>
    <row r="1116" spans="1:37" ht="15.75" hidden="1" customHeight="1" x14ac:dyDescent="0.2">
      <c r="A1116" s="1">
        <v>172803</v>
      </c>
      <c r="B1116" s="1" t="s">
        <v>2551</v>
      </c>
      <c r="C1116" s="1" t="s">
        <v>2552</v>
      </c>
      <c r="D1116" s="1" t="s">
        <v>2615</v>
      </c>
      <c r="E1116" s="1" t="s">
        <v>561</v>
      </c>
      <c r="F1116" s="1" t="s">
        <v>63</v>
      </c>
      <c r="G1116" s="1" t="s">
        <v>2618</v>
      </c>
      <c r="H1116" s="1">
        <v>22</v>
      </c>
      <c r="I1116" s="1" t="s">
        <v>48</v>
      </c>
      <c r="J1116" s="1">
        <v>4</v>
      </c>
      <c r="K1116" s="1" t="s">
        <v>49</v>
      </c>
      <c r="L1116" s="1">
        <v>42</v>
      </c>
      <c r="M1116" s="1" t="str">
        <f>IF(L1116&lt;=45,"Joven","Mayor")</f>
        <v>Joven</v>
      </c>
      <c r="N1116" s="1">
        <v>38</v>
      </c>
      <c r="O1116" s="1" t="s">
        <v>50</v>
      </c>
      <c r="P1116" s="1">
        <v>1.282</v>
      </c>
      <c r="Q1116" s="1">
        <v>76.007000000000005</v>
      </c>
      <c r="R1116" s="1">
        <v>11.623446</v>
      </c>
      <c r="S1116" s="1">
        <v>-0.49463629999999997</v>
      </c>
      <c r="T1116" s="1">
        <v>-18.839382000000001</v>
      </c>
      <c r="U1116" s="1">
        <v>2.3330000000000002</v>
      </c>
      <c r="V1116" s="1">
        <v>70</v>
      </c>
      <c r="W1116" s="1">
        <v>134</v>
      </c>
      <c r="X1116" s="1">
        <v>1.9142857142857144</v>
      </c>
      <c r="Y1116" s="1">
        <v>87</v>
      </c>
      <c r="Z1116" s="1">
        <v>134</v>
      </c>
      <c r="AA1116" s="1">
        <v>1.5402298850574712</v>
      </c>
      <c r="AB1116" s="1">
        <v>81.749909125976046</v>
      </c>
      <c r="AC1116" s="1">
        <v>136.5087776614287</v>
      </c>
      <c r="AD1116" s="1">
        <v>1.6698339988497064</v>
      </c>
      <c r="AE1116" t="s">
        <v>4817</v>
      </c>
      <c r="AF1116" t="str">
        <f>IF(X1116&lt;$AF$1,"Bajo","Alto")</f>
        <v>Alto</v>
      </c>
      <c r="AG1116" t="str">
        <f>LEFT(AE1116,1)</f>
        <v>C</v>
      </c>
      <c r="AH1116" t="str">
        <f>K1116</f>
        <v>F</v>
      </c>
      <c r="AI1116" t="str">
        <f>LEFT(AF1116,1)</f>
        <v>A</v>
      </c>
      <c r="AJ1116" t="str">
        <f>LEFT(M1116,1)</f>
        <v>J</v>
      </c>
      <c r="AK1116" t="str">
        <f>_xlfn.CONCAT(AG1116,AH1116,AI1116,AJ1116)</f>
        <v>CFAJ</v>
      </c>
    </row>
    <row r="1117" spans="1:37" ht="15.75" hidden="1" customHeight="1" x14ac:dyDescent="0.2">
      <c r="A1117" s="1">
        <v>158803</v>
      </c>
      <c r="B1117" s="1" t="s">
        <v>2077</v>
      </c>
      <c r="C1117" s="1" t="s">
        <v>57</v>
      </c>
      <c r="D1117" s="1" t="s">
        <v>2530</v>
      </c>
      <c r="E1117" s="1" t="s">
        <v>763</v>
      </c>
      <c r="F1117" s="1" t="s">
        <v>63</v>
      </c>
      <c r="G1117" s="1" t="s">
        <v>2531</v>
      </c>
      <c r="H1117" s="1">
        <v>18704</v>
      </c>
      <c r="I1117" s="1" t="s">
        <v>2532</v>
      </c>
      <c r="J1117" s="1">
        <v>2456</v>
      </c>
      <c r="K1117" s="1" t="s">
        <v>35</v>
      </c>
      <c r="L1117" s="1">
        <v>30</v>
      </c>
      <c r="M1117" s="1" t="str">
        <f>IF(L1117&lt;=45,"Joven","Mayor")</f>
        <v>Joven</v>
      </c>
      <c r="N1117" s="1">
        <v>22</v>
      </c>
      <c r="O1117" s="1" t="s">
        <v>36</v>
      </c>
      <c r="P1117" s="1">
        <v>1.008</v>
      </c>
      <c r="Q1117" s="1">
        <v>93.215999999999994</v>
      </c>
      <c r="R1117" s="1">
        <v>-0.51256639999999998</v>
      </c>
      <c r="S1117" s="1">
        <v>6.0955969999999997</v>
      </c>
      <c r="T1117" s="1">
        <v>2.0971212000000001</v>
      </c>
      <c r="U1117" s="1">
        <v>6.0019999999999998</v>
      </c>
      <c r="V1117" s="1">
        <v>108</v>
      </c>
      <c r="W1117" s="1">
        <v>180</v>
      </c>
      <c r="X1117" s="1">
        <v>1.6666666666666667</v>
      </c>
      <c r="Y1117" s="1">
        <v>109</v>
      </c>
      <c r="Z1117" s="1">
        <v>180</v>
      </c>
      <c r="AA1117" s="1">
        <v>1.6513761467889909</v>
      </c>
      <c r="AB1117" s="1">
        <v>109.57437263964199</v>
      </c>
      <c r="AC1117" s="1">
        <v>179.84284856156</v>
      </c>
      <c r="AD1117" s="1">
        <v>1.6412856786596484</v>
      </c>
      <c r="AE1117" t="s">
        <v>4817</v>
      </c>
      <c r="AF1117" t="str">
        <f>IF(X1117&lt;$AF$1,"Bajo","Alto")</f>
        <v>Bajo</v>
      </c>
      <c r="AG1117" t="str">
        <f>LEFT(AE1117,1)</f>
        <v>C</v>
      </c>
      <c r="AH1117" t="str">
        <f>K1117</f>
        <v>M</v>
      </c>
      <c r="AI1117" t="str">
        <f>LEFT(AF1117,1)</f>
        <v>B</v>
      </c>
      <c r="AJ1117" t="str">
        <f>LEFT(M1117,1)</f>
        <v>J</v>
      </c>
      <c r="AK1117" t="str">
        <f>_xlfn.CONCAT(AG1117,AH1117,AI1117,AJ1117)</f>
        <v>CMBJ</v>
      </c>
    </row>
    <row r="1118" spans="1:37" ht="15.75" hidden="1" customHeight="1" x14ac:dyDescent="0.2">
      <c r="A1118" s="1">
        <v>1058203</v>
      </c>
      <c r="B1118" s="1" t="s">
        <v>694</v>
      </c>
      <c r="C1118" s="1" t="s">
        <v>879</v>
      </c>
      <c r="D1118" s="1" t="s">
        <v>1041</v>
      </c>
      <c r="E1118" s="1" t="s">
        <v>752</v>
      </c>
      <c r="F1118" s="1" t="s">
        <v>63</v>
      </c>
      <c r="G1118" s="1" t="s">
        <v>1042</v>
      </c>
      <c r="H1118" s="1">
        <v>3102</v>
      </c>
      <c r="I1118" s="1" t="s">
        <v>108</v>
      </c>
      <c r="J1118" s="1">
        <v>3</v>
      </c>
      <c r="K1118" s="1" t="s">
        <v>35</v>
      </c>
      <c r="L1118" s="1">
        <v>45</v>
      </c>
      <c r="M1118" s="1" t="str">
        <f>IF(L1118&lt;=45,"Joven","Mayor")</f>
        <v>Joven</v>
      </c>
      <c r="N1118" s="1">
        <v>52</v>
      </c>
      <c r="O1118" s="1" t="s">
        <v>36</v>
      </c>
      <c r="P1118" s="1">
        <v>0.113</v>
      </c>
      <c r="Q1118" s="1">
        <v>90.087000000000003</v>
      </c>
      <c r="R1118" s="1">
        <v>5.8012769999999998</v>
      </c>
      <c r="S1118" s="1">
        <v>2.4006560000000001</v>
      </c>
      <c r="T1118" s="1">
        <v>-5.7219366999999997</v>
      </c>
      <c r="U1118" s="1">
        <v>1.38</v>
      </c>
      <c r="V1118" s="1">
        <v>82</v>
      </c>
      <c r="W1118" s="1">
        <v>155</v>
      </c>
      <c r="X1118" s="1">
        <v>1.8902439024390243</v>
      </c>
      <c r="Y1118" s="1">
        <v>84</v>
      </c>
      <c r="Z1118" s="1">
        <v>155</v>
      </c>
      <c r="AA1118" s="1">
        <v>1.8452380952380953</v>
      </c>
      <c r="AB1118" s="1">
        <v>85.579461279794714</v>
      </c>
      <c r="AC1118" s="1">
        <v>154.52681011151751</v>
      </c>
      <c r="AD1118" s="1">
        <v>1.8056529896385458</v>
      </c>
      <c r="AE1118" t="s">
        <v>4817</v>
      </c>
      <c r="AF1118" t="str">
        <f>IF(X1118&lt;$AF$1,"Bajo","Alto")</f>
        <v>Alto</v>
      </c>
      <c r="AG1118" t="str">
        <f>LEFT(AE1118,1)</f>
        <v>C</v>
      </c>
      <c r="AH1118" t="str">
        <f>K1118</f>
        <v>M</v>
      </c>
      <c r="AI1118" t="str">
        <f>LEFT(AF1118,1)</f>
        <v>A</v>
      </c>
      <c r="AJ1118" t="str">
        <f>LEFT(M1118,1)</f>
        <v>J</v>
      </c>
      <c r="AK1118" t="str">
        <f>_xlfn.CONCAT(AG1118,AH1118,AI1118,AJ1118)</f>
        <v>CMAJ</v>
      </c>
    </row>
    <row r="1119" spans="1:37" ht="15.75" hidden="1" customHeight="1" x14ac:dyDescent="0.2">
      <c r="A1119" s="1">
        <v>192501</v>
      </c>
      <c r="B1119" s="1" t="s">
        <v>2656</v>
      </c>
      <c r="C1119" s="1" t="s">
        <v>323</v>
      </c>
      <c r="D1119" s="1" t="s">
        <v>2688</v>
      </c>
      <c r="E1119" s="1" t="s">
        <v>821</v>
      </c>
      <c r="F1119" s="1" t="s">
        <v>32</v>
      </c>
      <c r="G1119" s="1" t="s">
        <v>2689</v>
      </c>
      <c r="H1119" s="1">
        <v>265</v>
      </c>
      <c r="I1119" s="1" t="s">
        <v>100</v>
      </c>
      <c r="J1119" s="1">
        <v>1</v>
      </c>
      <c r="K1119" s="1" t="s">
        <v>35</v>
      </c>
      <c r="L1119" s="1">
        <v>27</v>
      </c>
      <c r="M1119" s="1" t="str">
        <f>IF(L1119&lt;=45,"Joven","Mayor")</f>
        <v>Joven</v>
      </c>
      <c r="N1119" s="1">
        <v>37</v>
      </c>
      <c r="O1119" s="1" t="s">
        <v>36</v>
      </c>
      <c r="P1119" s="1">
        <v>0.35699999999999998</v>
      </c>
      <c r="Q1119" s="1">
        <v>91.909000000000006</v>
      </c>
      <c r="R1119" s="1">
        <v>3.4466388000000001</v>
      </c>
      <c r="S1119" s="1">
        <v>4.3755955999999996</v>
      </c>
      <c r="T1119" s="1">
        <v>-4.3721576000000004</v>
      </c>
      <c r="U1119" s="1">
        <v>2.6640000000000001</v>
      </c>
      <c r="V1119" s="1">
        <v>105</v>
      </c>
      <c r="W1119" s="1">
        <v>175</v>
      </c>
      <c r="X1119" s="1">
        <v>1.6666666666666667</v>
      </c>
      <c r="Y1119" s="1">
        <v>108</v>
      </c>
      <c r="Z1119" s="1">
        <v>175</v>
      </c>
      <c r="AA1119" s="1">
        <v>1.6203703703703705</v>
      </c>
      <c r="AB1119" s="1">
        <v>108.50616661038821</v>
      </c>
      <c r="AC1119" s="1">
        <v>174.79567324570141</v>
      </c>
      <c r="AD1119" s="1">
        <v>1.6109284726032036</v>
      </c>
      <c r="AE1119" t="s">
        <v>4817</v>
      </c>
      <c r="AF1119" t="str">
        <f>IF(X1119&lt;$AF$1,"Bajo","Alto")</f>
        <v>Bajo</v>
      </c>
      <c r="AG1119" t="str">
        <f>LEFT(AE1119,1)</f>
        <v>C</v>
      </c>
      <c r="AH1119" t="str">
        <f>K1119</f>
        <v>M</v>
      </c>
      <c r="AI1119" t="str">
        <f>LEFT(AF1119,1)</f>
        <v>B</v>
      </c>
      <c r="AJ1119" t="str">
        <f>LEFT(M1119,1)</f>
        <v>J</v>
      </c>
      <c r="AK1119" t="str">
        <f>_xlfn.CONCAT(AG1119,AH1119,AI1119,AJ1119)</f>
        <v>CMBJ</v>
      </c>
    </row>
    <row r="1120" spans="1:37" ht="15.75" hidden="1" customHeight="1" x14ac:dyDescent="0.2">
      <c r="A1120" s="1">
        <v>525501</v>
      </c>
      <c r="B1120" s="1" t="s">
        <v>4529</v>
      </c>
      <c r="C1120" s="1" t="s">
        <v>685</v>
      </c>
      <c r="D1120" s="1" t="s">
        <v>4651</v>
      </c>
      <c r="E1120" s="1" t="s">
        <v>690</v>
      </c>
      <c r="F1120" s="1" t="s">
        <v>32</v>
      </c>
      <c r="G1120" s="1" t="s">
        <v>4652</v>
      </c>
      <c r="H1120" s="1">
        <v>738</v>
      </c>
      <c r="I1120" s="1" t="s">
        <v>39</v>
      </c>
      <c r="J1120" s="1">
        <v>11</v>
      </c>
      <c r="K1120" s="1" t="s">
        <v>49</v>
      </c>
      <c r="L1120" s="1">
        <v>43</v>
      </c>
      <c r="M1120" s="1" t="str">
        <f>IF(L1120&lt;=45,"Joven","Mayor")</f>
        <v>Joven</v>
      </c>
      <c r="N1120" s="1">
        <v>37</v>
      </c>
      <c r="O1120" s="1" t="s">
        <v>50</v>
      </c>
      <c r="P1120" s="1">
        <v>0.36099999999999999</v>
      </c>
      <c r="Q1120" s="1">
        <v>92.242999999999995</v>
      </c>
      <c r="R1120" s="1">
        <v>1.3360832</v>
      </c>
      <c r="S1120" s="1">
        <v>7.8432426</v>
      </c>
      <c r="T1120" s="1">
        <v>-23.495289</v>
      </c>
      <c r="U1120" s="1">
        <v>62.89</v>
      </c>
      <c r="V1120" s="1">
        <v>79</v>
      </c>
      <c r="W1120" s="1">
        <v>151</v>
      </c>
      <c r="X1120" s="1">
        <v>1.9113924050632911</v>
      </c>
      <c r="Y1120" s="1">
        <v>112</v>
      </c>
      <c r="Z1120" s="1">
        <v>151</v>
      </c>
      <c r="AA1120" s="1">
        <v>1.3482142857142858</v>
      </c>
      <c r="AB1120" s="1">
        <v>104.3442289070786</v>
      </c>
      <c r="AC1120" s="1">
        <v>162.00276768349161</v>
      </c>
      <c r="AD1120" s="1">
        <v>1.5525800456847452</v>
      </c>
      <c r="AE1120" t="s">
        <v>4816</v>
      </c>
      <c r="AF1120" t="str">
        <f>IF(X1120&lt;$AF$1,"Bajo","Alto")</f>
        <v>Alto</v>
      </c>
      <c r="AG1120" t="str">
        <f>LEFT(AE1120,1)</f>
        <v>D</v>
      </c>
      <c r="AH1120" t="str">
        <f>K1120</f>
        <v>F</v>
      </c>
      <c r="AI1120" t="str">
        <f>LEFT(AF1120,1)</f>
        <v>A</v>
      </c>
      <c r="AJ1120" t="str">
        <f>LEFT(M1120,1)</f>
        <v>J</v>
      </c>
      <c r="AK1120" t="str">
        <f>_xlfn.CONCAT(AG1120,AH1120,AI1120,AJ1120)</f>
        <v>DFAJ</v>
      </c>
    </row>
    <row r="1121" spans="1:37" ht="15.75" hidden="1" customHeight="1" x14ac:dyDescent="0.2">
      <c r="A1121" s="1">
        <v>217802</v>
      </c>
      <c r="B1121" s="1" t="s">
        <v>2816</v>
      </c>
      <c r="C1121" s="1" t="s">
        <v>2817</v>
      </c>
      <c r="D1121" s="1" t="s">
        <v>2903</v>
      </c>
      <c r="E1121" s="1" t="s">
        <v>732</v>
      </c>
      <c r="F1121" s="1" t="s">
        <v>37</v>
      </c>
      <c r="G1121" s="1" t="s">
        <v>2904</v>
      </c>
      <c r="H1121" s="1">
        <v>404</v>
      </c>
      <c r="I1121" s="1" t="s">
        <v>65</v>
      </c>
      <c r="J1121" s="1">
        <v>2</v>
      </c>
      <c r="K1121" s="1" t="s">
        <v>35</v>
      </c>
      <c r="L1121" s="1">
        <v>33</v>
      </c>
      <c r="M1121" s="1" t="str">
        <f>IF(L1121&lt;=45,"Joven","Mayor")</f>
        <v>Joven</v>
      </c>
      <c r="N1121" s="1">
        <v>30</v>
      </c>
      <c r="O1121" s="1" t="s">
        <v>36</v>
      </c>
      <c r="P1121" s="1">
        <v>0.34100000000000003</v>
      </c>
      <c r="Q1121" s="1">
        <v>94.259</v>
      </c>
      <c r="R1121" s="1">
        <v>0.76164036999999996</v>
      </c>
      <c r="S1121" s="1">
        <v>2.1013196000000001</v>
      </c>
      <c r="T1121" s="1">
        <v>-0.8216852</v>
      </c>
      <c r="U1121" s="1">
        <v>3.8239999999999998</v>
      </c>
      <c r="V1121" s="1">
        <v>91</v>
      </c>
      <c r="W1121" s="1">
        <v>172</v>
      </c>
      <c r="X1121" s="1">
        <v>1.8901098901098901</v>
      </c>
      <c r="Y1121" s="1">
        <v>93</v>
      </c>
      <c r="Z1121" s="1">
        <v>172</v>
      </c>
      <c r="AA1121" s="1">
        <v>1.8494623655913978</v>
      </c>
      <c r="AB1121" s="1">
        <v>92.388130561044591</v>
      </c>
      <c r="AC1121" s="1">
        <v>172.02533476005689</v>
      </c>
      <c r="AD1121" s="1">
        <v>1.8619852324687181</v>
      </c>
      <c r="AE1121" t="s">
        <v>4817</v>
      </c>
      <c r="AF1121" t="str">
        <f>IF(X1121&lt;$AF$1,"Bajo","Alto")</f>
        <v>Alto</v>
      </c>
      <c r="AG1121" t="str">
        <f>LEFT(AE1121,1)</f>
        <v>C</v>
      </c>
      <c r="AH1121" t="str">
        <f>K1121</f>
        <v>M</v>
      </c>
      <c r="AI1121" t="str">
        <f>LEFT(AF1121,1)</f>
        <v>A</v>
      </c>
      <c r="AJ1121" t="str">
        <f>LEFT(M1121,1)</f>
        <v>J</v>
      </c>
      <c r="AK1121" t="str">
        <f>_xlfn.CONCAT(AG1121,AH1121,AI1121,AJ1121)</f>
        <v>CMAJ</v>
      </c>
    </row>
    <row r="1122" spans="1:37" ht="15.75" hidden="1" customHeight="1" x14ac:dyDescent="0.2">
      <c r="A1122" s="1">
        <v>10130005</v>
      </c>
      <c r="B1122" s="1" t="s">
        <v>29</v>
      </c>
      <c r="C1122" s="1" t="s">
        <v>30</v>
      </c>
      <c r="D1122" s="1" t="s">
        <v>612</v>
      </c>
      <c r="E1122" s="1" t="s">
        <v>613</v>
      </c>
      <c r="F1122" s="1" t="s">
        <v>40</v>
      </c>
      <c r="G1122" s="1" t="s">
        <v>617</v>
      </c>
      <c r="H1122" s="1">
        <v>176</v>
      </c>
      <c r="I1122" s="1" t="s">
        <v>45</v>
      </c>
      <c r="J1122" s="1">
        <v>17</v>
      </c>
      <c r="K1122" s="1" t="s">
        <v>49</v>
      </c>
      <c r="L1122" s="1">
        <v>34</v>
      </c>
      <c r="M1122" s="1" t="str">
        <f>IF(L1122&lt;=45,"Joven","Mayor")</f>
        <v>Joven</v>
      </c>
      <c r="N1122" s="1">
        <v>36</v>
      </c>
      <c r="O1122" s="1" t="s">
        <v>50</v>
      </c>
      <c r="P1122" s="1">
        <v>0.31900000000000001</v>
      </c>
      <c r="Q1122" s="1">
        <v>93.427999999999997</v>
      </c>
      <c r="R1122" s="1">
        <v>-1.2602040999999999</v>
      </c>
      <c r="S1122" s="1">
        <v>4.5801230000000004</v>
      </c>
      <c r="T1122" s="1">
        <v>-2.9140489999999999</v>
      </c>
      <c r="U1122" s="1">
        <v>0.76900000000000002</v>
      </c>
      <c r="V1122" s="1">
        <v>90</v>
      </c>
      <c r="W1122" s="1">
        <v>150</v>
      </c>
      <c r="X1122" s="1">
        <v>1.6666666666666667</v>
      </c>
      <c r="Y1122" s="1">
        <v>97</v>
      </c>
      <c r="Z1122" s="1">
        <v>150</v>
      </c>
      <c r="AA1122" s="1">
        <v>1.5463917525773196</v>
      </c>
      <c r="AB1122" s="1">
        <v>95.298598804293306</v>
      </c>
      <c r="AC1122" s="1">
        <v>150.56860564356339</v>
      </c>
      <c r="AD1122" s="1">
        <v>1.5799666262960848</v>
      </c>
      <c r="AE1122" t="s">
        <v>4817</v>
      </c>
      <c r="AF1122" t="str">
        <f>IF(X1122&lt;$AF$1,"Bajo","Alto")</f>
        <v>Bajo</v>
      </c>
      <c r="AG1122" t="str">
        <f>LEFT(AE1122,1)</f>
        <v>C</v>
      </c>
      <c r="AH1122" t="str">
        <f>K1122</f>
        <v>F</v>
      </c>
      <c r="AI1122" t="str">
        <f>LEFT(AF1122,1)</f>
        <v>B</v>
      </c>
      <c r="AJ1122" t="str">
        <f>LEFT(M1122,1)</f>
        <v>J</v>
      </c>
      <c r="AK1122" t="str">
        <f>_xlfn.CONCAT(AG1122,AH1122,AI1122,AJ1122)</f>
        <v>CFBJ</v>
      </c>
    </row>
    <row r="1123" spans="1:37" ht="15.75" hidden="1" customHeight="1" x14ac:dyDescent="0.2">
      <c r="A1123" s="1">
        <v>2717801</v>
      </c>
      <c r="B1123" s="1" t="s">
        <v>3409</v>
      </c>
      <c r="C1123" s="1" t="s">
        <v>973</v>
      </c>
      <c r="D1123" s="1" t="s">
        <v>3571</v>
      </c>
      <c r="E1123" s="1" t="s">
        <v>300</v>
      </c>
      <c r="F1123" s="1" t="s">
        <v>32</v>
      </c>
      <c r="G1123" s="1" t="s">
        <v>3572</v>
      </c>
      <c r="H1123" s="1">
        <v>1628</v>
      </c>
      <c r="I1123" s="1" t="s">
        <v>3573</v>
      </c>
      <c r="J1123" s="1">
        <v>2944</v>
      </c>
      <c r="K1123" s="1" t="s">
        <v>35</v>
      </c>
      <c r="L1123" s="1">
        <v>34</v>
      </c>
      <c r="M1123" s="1" t="str">
        <f>IF(L1123&lt;=45,"Joven","Mayor")</f>
        <v>Joven</v>
      </c>
      <c r="N1123" s="1">
        <v>39</v>
      </c>
      <c r="O1123" s="1" t="s">
        <v>36</v>
      </c>
      <c r="P1123" s="1">
        <v>0.36</v>
      </c>
      <c r="Q1123" s="1">
        <v>90.561999999999998</v>
      </c>
      <c r="R1123" s="1">
        <v>-4.7833322999999996</v>
      </c>
      <c r="S1123" s="1">
        <v>4.4074200000000001</v>
      </c>
      <c r="T1123" s="1">
        <v>2.8503642</v>
      </c>
      <c r="U1123" s="1">
        <v>11.590999999999999</v>
      </c>
      <c r="V1123" s="1">
        <v>81</v>
      </c>
      <c r="W1123" s="1">
        <v>153</v>
      </c>
      <c r="X1123" s="1">
        <v>1.8888888888888888</v>
      </c>
      <c r="Y1123" s="1">
        <v>86</v>
      </c>
      <c r="Z1123" s="1">
        <v>153</v>
      </c>
      <c r="AA1123" s="1">
        <v>1.7790697674418605</v>
      </c>
      <c r="AB1123" s="1">
        <v>84.103403778337452</v>
      </c>
      <c r="AC1123" s="1">
        <v>153.1588042154394</v>
      </c>
      <c r="AD1123" s="1">
        <v>1.8210773563826745</v>
      </c>
      <c r="AE1123" t="s">
        <v>4817</v>
      </c>
      <c r="AF1123" t="str">
        <f>IF(X1123&lt;$AF$1,"Bajo","Alto")</f>
        <v>Alto</v>
      </c>
      <c r="AG1123" t="str">
        <f>LEFT(AE1123,1)</f>
        <v>C</v>
      </c>
      <c r="AH1123" t="str">
        <f>K1123</f>
        <v>M</v>
      </c>
      <c r="AI1123" t="str">
        <f>LEFT(AF1123,1)</f>
        <v>A</v>
      </c>
      <c r="AJ1123" t="str">
        <f>LEFT(M1123,1)</f>
        <v>J</v>
      </c>
      <c r="AK1123" t="str">
        <f>_xlfn.CONCAT(AG1123,AH1123,AI1123,AJ1123)</f>
        <v>CMAJ</v>
      </c>
    </row>
    <row r="1124" spans="1:37" ht="15.75" hidden="1" customHeight="1" x14ac:dyDescent="0.2">
      <c r="A1124" s="1">
        <v>2717506</v>
      </c>
      <c r="B1124" s="1" t="s">
        <v>3409</v>
      </c>
      <c r="C1124" s="1" t="s">
        <v>973</v>
      </c>
      <c r="D1124" s="1" t="s">
        <v>422</v>
      </c>
      <c r="E1124" s="1" t="s">
        <v>296</v>
      </c>
      <c r="F1124" s="1" t="s">
        <v>88</v>
      </c>
      <c r="G1124" s="1" t="s">
        <v>3569</v>
      </c>
      <c r="H1124" s="1">
        <v>519</v>
      </c>
      <c r="I1124" s="1" t="s">
        <v>3570</v>
      </c>
      <c r="J1124" s="1">
        <v>5000</v>
      </c>
      <c r="K1124" s="1" t="s">
        <v>49</v>
      </c>
      <c r="L1124" s="1">
        <v>48</v>
      </c>
      <c r="M1124" s="1" t="str">
        <f>IF(L1124&lt;=45,"Joven","Mayor")</f>
        <v>Mayor</v>
      </c>
      <c r="N1124" s="1">
        <v>41</v>
      </c>
      <c r="O1124" s="1" t="s">
        <v>50</v>
      </c>
      <c r="P1124" s="1">
        <v>0.19500000000000001</v>
      </c>
      <c r="Q1124" s="1">
        <v>94.573999999999998</v>
      </c>
      <c r="R1124" s="1">
        <v>0.51883480000000004</v>
      </c>
      <c r="S1124" s="1">
        <v>-1.1399064999999999</v>
      </c>
      <c r="T1124" s="1">
        <v>0.82113789999999998</v>
      </c>
      <c r="U1124" s="1">
        <v>44.698999999999998</v>
      </c>
      <c r="V1124" s="1">
        <v>81</v>
      </c>
      <c r="W1124" s="1">
        <v>133</v>
      </c>
      <c r="X1124" s="1">
        <v>1.6419753086419753</v>
      </c>
      <c r="Y1124" s="1">
        <v>83</v>
      </c>
      <c r="Z1124" s="1">
        <v>133</v>
      </c>
      <c r="AA1124" s="1">
        <v>1.6024096385542168</v>
      </c>
      <c r="AB1124" s="1">
        <v>82.532882091156125</v>
      </c>
      <c r="AC1124" s="1">
        <v>133.02933476675659</v>
      </c>
      <c r="AD1124" s="1">
        <v>1.6118343549402288</v>
      </c>
      <c r="AE1124" t="s">
        <v>4817</v>
      </c>
      <c r="AF1124" t="str">
        <f>IF(X1124&lt;$AF$1,"Bajo","Alto")</f>
        <v>Bajo</v>
      </c>
      <c r="AG1124" t="str">
        <f>LEFT(AE1124,1)</f>
        <v>C</v>
      </c>
      <c r="AH1124" t="str">
        <f>K1124</f>
        <v>F</v>
      </c>
      <c r="AI1124" t="str">
        <f>LEFT(AF1124,1)</f>
        <v>B</v>
      </c>
      <c r="AJ1124" t="str">
        <f>LEFT(M1124,1)</f>
        <v>M</v>
      </c>
      <c r="AK1124" t="str">
        <f>_xlfn.CONCAT(AG1124,AH1124,AI1124,AJ1124)</f>
        <v>CFBM</v>
      </c>
    </row>
    <row r="1125" spans="1:37" ht="15.75" hidden="1" customHeight="1" x14ac:dyDescent="0.2">
      <c r="A1125" s="1">
        <v>273101</v>
      </c>
      <c r="B1125" s="1" t="s">
        <v>3409</v>
      </c>
      <c r="C1125" s="1" t="s">
        <v>973</v>
      </c>
      <c r="D1125" s="1" t="s">
        <v>3663</v>
      </c>
      <c r="E1125" s="1" t="s">
        <v>628</v>
      </c>
      <c r="F1125" s="1" t="s">
        <v>32</v>
      </c>
      <c r="G1125" s="1" t="s">
        <v>3664</v>
      </c>
      <c r="H1125" s="1">
        <v>622</v>
      </c>
      <c r="I1125" s="1" t="s">
        <v>39</v>
      </c>
      <c r="J1125" s="1">
        <v>11</v>
      </c>
      <c r="K1125" s="1" t="s">
        <v>35</v>
      </c>
      <c r="L1125" s="1">
        <v>50</v>
      </c>
      <c r="M1125" s="1" t="str">
        <f>IF(L1125&lt;=45,"Joven","Mayor")</f>
        <v>Mayor</v>
      </c>
      <c r="N1125" s="1">
        <v>44</v>
      </c>
      <c r="O1125" s="1" t="s">
        <v>36</v>
      </c>
      <c r="P1125" s="1">
        <v>1.5549999999999999</v>
      </c>
      <c r="Q1125" s="1">
        <v>89.947999999999993</v>
      </c>
      <c r="R1125" s="1">
        <v>3.8696277000000001</v>
      </c>
      <c r="S1125" s="1">
        <v>7.2180533000000002</v>
      </c>
      <c r="T1125" s="1">
        <v>-2.1062504999999998</v>
      </c>
      <c r="U1125" s="1">
        <v>36.671999999999997</v>
      </c>
      <c r="V1125" s="1">
        <v>103</v>
      </c>
      <c r="W1125" s="1">
        <v>169</v>
      </c>
      <c r="X1125" s="1">
        <v>1.6407766990291262</v>
      </c>
      <c r="Y1125" s="1">
        <v>104</v>
      </c>
      <c r="Z1125" s="1">
        <v>169</v>
      </c>
      <c r="AA1125" s="1">
        <v>1.625</v>
      </c>
      <c r="AB1125" s="1">
        <v>104.47402673640519</v>
      </c>
      <c r="AC1125" s="1">
        <v>168.8123165072939</v>
      </c>
      <c r="AD1125" s="1">
        <v>1.6158304774948364</v>
      </c>
      <c r="AE1125" t="s">
        <v>4816</v>
      </c>
      <c r="AF1125" t="str">
        <f>IF(X1125&lt;$AF$1,"Bajo","Alto")</f>
        <v>Bajo</v>
      </c>
      <c r="AG1125" t="str">
        <f>LEFT(AE1125,1)</f>
        <v>D</v>
      </c>
      <c r="AH1125" t="str">
        <f>K1125</f>
        <v>M</v>
      </c>
      <c r="AI1125" t="str">
        <f>LEFT(AF1125,1)</f>
        <v>B</v>
      </c>
      <c r="AJ1125" t="str">
        <f>LEFT(M1125,1)</f>
        <v>M</v>
      </c>
      <c r="AK1125" t="str">
        <f>_xlfn.CONCAT(AG1125,AH1125,AI1125,AJ1125)</f>
        <v>DMBM</v>
      </c>
    </row>
    <row r="1126" spans="1:37" ht="15.75" hidden="1" customHeight="1" x14ac:dyDescent="0.2">
      <c r="A1126" s="1">
        <v>195003</v>
      </c>
      <c r="B1126" s="1" t="s">
        <v>2656</v>
      </c>
      <c r="C1126" s="1" t="s">
        <v>323</v>
      </c>
      <c r="D1126" s="1" t="s">
        <v>2739</v>
      </c>
      <c r="E1126" s="1" t="s">
        <v>1001</v>
      </c>
      <c r="F1126" s="1" t="s">
        <v>63</v>
      </c>
      <c r="G1126" s="1" t="s">
        <v>2740</v>
      </c>
      <c r="H1126" s="1">
        <v>1694</v>
      </c>
      <c r="I1126" s="1" t="s">
        <v>2741</v>
      </c>
      <c r="J1126" s="1">
        <v>950</v>
      </c>
      <c r="K1126" s="1" t="s">
        <v>35</v>
      </c>
      <c r="L1126" s="1">
        <v>39</v>
      </c>
      <c r="M1126" s="1" t="str">
        <f>IF(L1126&lt;=45,"Joven","Mayor")</f>
        <v>Joven</v>
      </c>
      <c r="N1126" s="1">
        <v>54</v>
      </c>
      <c r="O1126" s="1" t="s">
        <v>36</v>
      </c>
      <c r="P1126" s="1">
        <v>0.36399999999999999</v>
      </c>
      <c r="Q1126" s="1">
        <v>91.406000000000006</v>
      </c>
      <c r="R1126" s="1">
        <v>2.6533875</v>
      </c>
      <c r="S1126" s="1">
        <v>7.4762430000000002</v>
      </c>
      <c r="T1126" s="1">
        <v>-0.43712592</v>
      </c>
      <c r="U1126" s="1">
        <v>0.90500000000000003</v>
      </c>
      <c r="V1126" s="1">
        <v>99</v>
      </c>
      <c r="W1126" s="1">
        <v>165</v>
      </c>
      <c r="X1126" s="1">
        <v>1.6666666666666667</v>
      </c>
      <c r="Y1126" s="1">
        <v>100</v>
      </c>
      <c r="Z1126" s="1">
        <v>165</v>
      </c>
      <c r="AA1126" s="1">
        <v>1.65</v>
      </c>
      <c r="AB1126" s="1">
        <v>100.3480334902151</v>
      </c>
      <c r="AC1126" s="1">
        <v>165.01045645227489</v>
      </c>
      <c r="AD1126" s="1">
        <v>1.6443815659662628</v>
      </c>
      <c r="AE1126" t="s">
        <v>4817</v>
      </c>
      <c r="AF1126" t="str">
        <f>IF(X1126&lt;$AF$1,"Bajo","Alto")</f>
        <v>Bajo</v>
      </c>
      <c r="AG1126" t="str">
        <f>LEFT(AE1126,1)</f>
        <v>C</v>
      </c>
      <c r="AH1126" t="str">
        <f>K1126</f>
        <v>M</v>
      </c>
      <c r="AI1126" t="str">
        <f>LEFT(AF1126,1)</f>
        <v>B</v>
      </c>
      <c r="AJ1126" t="str">
        <f>LEFT(M1126,1)</f>
        <v>J</v>
      </c>
      <c r="AK1126" t="str">
        <f>_xlfn.CONCAT(AG1126,AH1126,AI1126,AJ1126)</f>
        <v>CMBJ</v>
      </c>
    </row>
    <row r="1127" spans="1:37" ht="15.75" hidden="1" customHeight="1" x14ac:dyDescent="0.2">
      <c r="A1127" s="1">
        <v>524001</v>
      </c>
      <c r="B1127" s="1" t="s">
        <v>4529</v>
      </c>
      <c r="C1127" s="1" t="s">
        <v>685</v>
      </c>
      <c r="D1127" s="1" t="s">
        <v>2867</v>
      </c>
      <c r="E1127" s="1" t="s">
        <v>657</v>
      </c>
      <c r="F1127" s="1" t="s">
        <v>32</v>
      </c>
      <c r="G1127" s="1" t="s">
        <v>4596</v>
      </c>
      <c r="H1127" s="1">
        <v>38</v>
      </c>
      <c r="I1127" s="1" t="s">
        <v>294</v>
      </c>
      <c r="J1127" s="1">
        <v>16</v>
      </c>
      <c r="K1127" s="1" t="s">
        <v>35</v>
      </c>
      <c r="L1127" s="1">
        <v>54</v>
      </c>
      <c r="M1127" s="1" t="str">
        <f>IF(L1127&lt;=45,"Joven","Mayor")</f>
        <v>Mayor</v>
      </c>
      <c r="N1127" s="1">
        <v>56</v>
      </c>
      <c r="O1127" s="1" t="s">
        <v>36</v>
      </c>
      <c r="P1127" s="1">
        <v>0.35899999999999999</v>
      </c>
      <c r="Q1127" s="1">
        <v>93.320999999999998</v>
      </c>
      <c r="R1127" s="1">
        <v>2.7355146000000001</v>
      </c>
      <c r="S1127" s="1">
        <v>0.93167960000000005</v>
      </c>
      <c r="T1127" s="1">
        <v>-4.7977160000000003</v>
      </c>
      <c r="U1127" s="1">
        <v>0.73199999999999998</v>
      </c>
      <c r="V1127" s="1">
        <v>124</v>
      </c>
      <c r="W1127" s="1">
        <v>233</v>
      </c>
      <c r="X1127" s="1">
        <v>1.8790322580645162</v>
      </c>
      <c r="Y1127" s="1">
        <v>127</v>
      </c>
      <c r="Z1127" s="1">
        <v>233</v>
      </c>
      <c r="AA1127" s="1">
        <v>1.8346456692913387</v>
      </c>
      <c r="AB1127" s="1">
        <v>128.33290089852991</v>
      </c>
      <c r="AC1127" s="1">
        <v>232.35088947281969</v>
      </c>
      <c r="AD1127" s="1">
        <v>1.8105325122864213</v>
      </c>
      <c r="AE1127" t="s">
        <v>4817</v>
      </c>
      <c r="AF1127" t="str">
        <f>IF(X1127&lt;$AF$1,"Bajo","Alto")</f>
        <v>Alto</v>
      </c>
      <c r="AG1127" t="str">
        <f>LEFT(AE1127,1)</f>
        <v>C</v>
      </c>
      <c r="AH1127" t="str">
        <f>K1127</f>
        <v>M</v>
      </c>
      <c r="AI1127" t="str">
        <f>LEFT(AF1127,1)</f>
        <v>A</v>
      </c>
      <c r="AJ1127" t="str">
        <f>LEFT(M1127,1)</f>
        <v>M</v>
      </c>
      <c r="AK1127" t="str">
        <f>_xlfn.CONCAT(AG1127,AH1127,AI1127,AJ1127)</f>
        <v>CMAM</v>
      </c>
    </row>
    <row r="1128" spans="1:37" ht="15.75" hidden="1" customHeight="1" x14ac:dyDescent="0.2">
      <c r="A1128" s="1">
        <v>600704</v>
      </c>
      <c r="B1128" s="1" t="s">
        <v>4700</v>
      </c>
      <c r="C1128" s="1" t="s">
        <v>1458</v>
      </c>
      <c r="D1128" s="1" t="s">
        <v>4712</v>
      </c>
      <c r="E1128" s="1" t="s">
        <v>43</v>
      </c>
      <c r="F1128" s="1" t="s">
        <v>61</v>
      </c>
      <c r="G1128" s="1" t="s">
        <v>4715</v>
      </c>
      <c r="H1128" s="1">
        <v>1014</v>
      </c>
      <c r="I1128" s="1" t="s">
        <v>73</v>
      </c>
      <c r="J1128" s="1">
        <v>5</v>
      </c>
      <c r="K1128" s="1" t="s">
        <v>35</v>
      </c>
      <c r="L1128" s="1">
        <v>55</v>
      </c>
      <c r="M1128" s="1" t="str">
        <f>IF(L1128&lt;=45,"Joven","Mayor")</f>
        <v>Mayor</v>
      </c>
      <c r="N1128" s="1">
        <v>59</v>
      </c>
      <c r="O1128" s="1" t="s">
        <v>36</v>
      </c>
      <c r="P1128" s="1">
        <v>0.22600000000000001</v>
      </c>
      <c r="Q1128" s="1">
        <v>92.546999999999997</v>
      </c>
      <c r="R1128" s="1">
        <v>1.7052795999999999</v>
      </c>
      <c r="S1128" s="1">
        <v>6.5464859999999998</v>
      </c>
      <c r="T1128" s="1">
        <v>-3.9223336999999998</v>
      </c>
      <c r="U1128" s="1">
        <v>9.2070000000000007</v>
      </c>
      <c r="V1128" s="1">
        <v>85</v>
      </c>
      <c r="W1128" s="1">
        <v>140</v>
      </c>
      <c r="X1128" s="1">
        <v>1.6470588235294117</v>
      </c>
      <c r="Y1128" s="1">
        <v>86</v>
      </c>
      <c r="Z1128" s="1">
        <v>140</v>
      </c>
      <c r="AA1128" s="1">
        <v>1.6279069767441861</v>
      </c>
      <c r="AB1128" s="1">
        <v>87.60547508407717</v>
      </c>
      <c r="AC1128" s="1">
        <v>139.9456934454611</v>
      </c>
      <c r="AD1128" s="1">
        <v>1.5974537357528364</v>
      </c>
      <c r="AE1128" t="s">
        <v>4817</v>
      </c>
      <c r="AF1128" t="str">
        <f>IF(X1128&lt;$AF$1,"Bajo","Alto")</f>
        <v>Bajo</v>
      </c>
      <c r="AG1128" t="str">
        <f>LEFT(AE1128,1)</f>
        <v>C</v>
      </c>
      <c r="AH1128" t="str">
        <f>K1128</f>
        <v>M</v>
      </c>
      <c r="AI1128" t="str">
        <f>LEFT(AF1128,1)</f>
        <v>B</v>
      </c>
      <c r="AJ1128" t="str">
        <f>LEFT(M1128,1)</f>
        <v>M</v>
      </c>
      <c r="AK1128" t="str">
        <f>_xlfn.CONCAT(AG1128,AH1128,AI1128,AJ1128)</f>
        <v>CMBM</v>
      </c>
    </row>
    <row r="1129" spans="1:37" ht="15.75" hidden="1" customHeight="1" x14ac:dyDescent="0.2">
      <c r="A1129" s="1">
        <v>2819004</v>
      </c>
      <c r="B1129" s="1" t="s">
        <v>1775</v>
      </c>
      <c r="C1129" s="1" t="s">
        <v>561</v>
      </c>
      <c r="D1129" s="1" t="s">
        <v>3795</v>
      </c>
      <c r="E1129" s="1" t="s">
        <v>320</v>
      </c>
      <c r="F1129" s="1" t="s">
        <v>61</v>
      </c>
      <c r="G1129" s="1" t="s">
        <v>3797</v>
      </c>
      <c r="H1129" s="1">
        <v>3482</v>
      </c>
      <c r="I1129" s="1" t="s">
        <v>65</v>
      </c>
      <c r="J1129" s="1">
        <v>2</v>
      </c>
      <c r="K1129" s="1" t="s">
        <v>35</v>
      </c>
      <c r="L1129" s="1">
        <v>45</v>
      </c>
      <c r="M1129" s="1" t="str">
        <f>IF(L1129&lt;=45,"Joven","Mayor")</f>
        <v>Joven</v>
      </c>
      <c r="N1129" s="1">
        <v>41</v>
      </c>
      <c r="O1129" s="1" t="s">
        <v>36</v>
      </c>
      <c r="P1129" s="1">
        <v>0.33500000000000002</v>
      </c>
      <c r="Q1129" s="1">
        <v>92.402000000000001</v>
      </c>
      <c r="R1129" s="1">
        <v>2.9456758000000001</v>
      </c>
      <c r="S1129" s="1">
        <v>4.1496000000000004</v>
      </c>
      <c r="T1129" s="1">
        <v>-0.47742380000000001</v>
      </c>
      <c r="U1129" s="1">
        <v>46.707999999999998</v>
      </c>
      <c r="V1129" s="1">
        <v>108</v>
      </c>
      <c r="W1129" s="1">
        <v>204</v>
      </c>
      <c r="X1129" s="1">
        <v>1.8888888888888888</v>
      </c>
      <c r="Y1129" s="1">
        <v>114</v>
      </c>
      <c r="Z1129" s="1">
        <v>204</v>
      </c>
      <c r="AA1129" s="1">
        <v>1.7894736842105263</v>
      </c>
      <c r="AB1129" s="1">
        <v>114.5043261393575</v>
      </c>
      <c r="AC1129" s="1">
        <v>203.97625288333069</v>
      </c>
      <c r="AD1129" s="1">
        <v>1.7813846844099268</v>
      </c>
      <c r="AE1129" t="s">
        <v>4817</v>
      </c>
      <c r="AF1129" t="str">
        <f>IF(X1129&lt;$AF$1,"Bajo","Alto")</f>
        <v>Alto</v>
      </c>
      <c r="AG1129" t="str">
        <f>LEFT(AE1129,1)</f>
        <v>C</v>
      </c>
      <c r="AH1129" t="str">
        <f>K1129</f>
        <v>M</v>
      </c>
      <c r="AI1129" t="str">
        <f>LEFT(AF1129,1)</f>
        <v>A</v>
      </c>
      <c r="AJ1129" t="str">
        <f>LEFT(M1129,1)</f>
        <v>J</v>
      </c>
      <c r="AK1129" t="str">
        <f>_xlfn.CONCAT(AG1129,AH1129,AI1129,AJ1129)</f>
        <v>CMAJ</v>
      </c>
    </row>
    <row r="1130" spans="1:37" ht="15.75" hidden="1" customHeight="1" x14ac:dyDescent="0.2">
      <c r="A1130" s="1">
        <v>641604</v>
      </c>
      <c r="B1130" s="1" t="s">
        <v>4718</v>
      </c>
      <c r="C1130" s="1" t="s">
        <v>710</v>
      </c>
      <c r="D1130" s="1" t="s">
        <v>3331</v>
      </c>
      <c r="E1130" s="1" t="s">
        <v>244</v>
      </c>
      <c r="F1130" s="1" t="s">
        <v>61</v>
      </c>
      <c r="G1130" s="1" t="s">
        <v>4747</v>
      </c>
      <c r="H1130" s="1">
        <v>559</v>
      </c>
      <c r="I1130" s="1" t="s">
        <v>65</v>
      </c>
      <c r="J1130" s="1">
        <v>2</v>
      </c>
      <c r="K1130" s="1" t="s">
        <v>35</v>
      </c>
      <c r="L1130" s="1">
        <v>45</v>
      </c>
      <c r="M1130" s="1" t="str">
        <f>IF(L1130&lt;=45,"Joven","Mayor")</f>
        <v>Joven</v>
      </c>
      <c r="N1130" s="1">
        <v>40</v>
      </c>
      <c r="O1130" s="1" t="s">
        <v>36</v>
      </c>
      <c r="P1130" s="1">
        <v>0.309</v>
      </c>
      <c r="Q1130" s="1">
        <v>92.578000000000003</v>
      </c>
      <c r="R1130" s="1">
        <v>-1.4872353</v>
      </c>
      <c r="S1130" s="1">
        <v>6.7916119999999998</v>
      </c>
      <c r="T1130" s="1">
        <v>-0.12142667</v>
      </c>
      <c r="U1130" s="1">
        <v>2.5670000000000002</v>
      </c>
      <c r="V1130" s="1">
        <v>111</v>
      </c>
      <c r="W1130" s="1">
        <v>185</v>
      </c>
      <c r="X1130" s="1">
        <v>1.6666666666666667</v>
      </c>
      <c r="Y1130" s="1">
        <v>112</v>
      </c>
      <c r="Z1130" s="1">
        <v>185</v>
      </c>
      <c r="AA1130" s="1">
        <v>1.6517857142857142</v>
      </c>
      <c r="AB1130" s="1">
        <v>111.898022387986</v>
      </c>
      <c r="AC1130" s="1">
        <v>184.99958454453551</v>
      </c>
      <c r="AD1130" s="1">
        <v>1.6532873467869089</v>
      </c>
      <c r="AE1130" t="s">
        <v>4817</v>
      </c>
      <c r="AF1130" t="str">
        <f>IF(X1130&lt;$AF$1,"Bajo","Alto")</f>
        <v>Bajo</v>
      </c>
      <c r="AG1130" t="str">
        <f>LEFT(AE1130,1)</f>
        <v>C</v>
      </c>
      <c r="AH1130" t="str">
        <f>K1130</f>
        <v>M</v>
      </c>
      <c r="AI1130" t="str">
        <f>LEFT(AF1130,1)</f>
        <v>B</v>
      </c>
      <c r="AJ1130" t="str">
        <f>LEFT(M1130,1)</f>
        <v>J</v>
      </c>
      <c r="AK1130" t="str">
        <f>_xlfn.CONCAT(AG1130,AH1130,AI1130,AJ1130)</f>
        <v>CMBJ</v>
      </c>
    </row>
    <row r="1131" spans="1:37" ht="15.75" hidden="1" customHeight="1" x14ac:dyDescent="0.2">
      <c r="A1131" s="1">
        <v>253805</v>
      </c>
      <c r="B1131" s="1" t="s">
        <v>3169</v>
      </c>
      <c r="C1131" s="1" t="s">
        <v>821</v>
      </c>
      <c r="D1131" s="1" t="s">
        <v>3244</v>
      </c>
      <c r="E1131" s="1" t="s">
        <v>2637</v>
      </c>
      <c r="F1131" s="1" t="s">
        <v>40</v>
      </c>
      <c r="G1131" s="1" t="s">
        <v>3247</v>
      </c>
      <c r="H1131" s="1">
        <v>572</v>
      </c>
      <c r="I1131" s="1" t="s">
        <v>73</v>
      </c>
      <c r="J1131" s="1">
        <v>5</v>
      </c>
      <c r="K1131" s="1" t="s">
        <v>35</v>
      </c>
      <c r="L1131" s="1">
        <v>32</v>
      </c>
      <c r="M1131" s="1" t="str">
        <f>IF(L1131&lt;=45,"Joven","Mayor")</f>
        <v>Joven</v>
      </c>
      <c r="N1131" s="1">
        <v>38</v>
      </c>
      <c r="O1131" s="1" t="s">
        <v>36</v>
      </c>
      <c r="P1131" s="1">
        <v>0.42399999999999999</v>
      </c>
      <c r="Q1131" s="1">
        <v>79.962000000000003</v>
      </c>
      <c r="R1131" s="1">
        <v>8.4221439999999994</v>
      </c>
      <c r="S1131" s="1">
        <v>10.295617999999999</v>
      </c>
      <c r="T1131" s="1">
        <v>-1.0113702</v>
      </c>
      <c r="U1131" s="1">
        <v>12.074999999999999</v>
      </c>
      <c r="V1131" s="1">
        <v>70</v>
      </c>
      <c r="W1131" s="1">
        <v>130</v>
      </c>
      <c r="X1131" s="1">
        <v>1.8571428571428572</v>
      </c>
      <c r="Y1131" s="1">
        <v>74</v>
      </c>
      <c r="Z1131" s="1">
        <v>130</v>
      </c>
      <c r="AA1131" s="1">
        <v>1.7567567567567568</v>
      </c>
      <c r="AB1131" s="1">
        <v>74.623901332784499</v>
      </c>
      <c r="AC1131" s="1">
        <v>129.94444592427641</v>
      </c>
      <c r="AD1131" s="1">
        <v>1.7413247445317892</v>
      </c>
      <c r="AE1131" t="s">
        <v>4815</v>
      </c>
      <c r="AF1131" t="str">
        <f>IF(X1131&lt;$AF$1,"Bajo","Alto")</f>
        <v>Alto</v>
      </c>
      <c r="AG1131" t="str">
        <f>LEFT(AE1131,1)</f>
        <v>I</v>
      </c>
      <c r="AH1131" t="str">
        <f>K1131</f>
        <v>M</v>
      </c>
      <c r="AI1131" t="str">
        <f>LEFT(AF1131,1)</f>
        <v>A</v>
      </c>
      <c r="AJ1131" t="str">
        <f>LEFT(M1131,1)</f>
        <v>J</v>
      </c>
      <c r="AK1131" t="str">
        <f>_xlfn.CONCAT(AG1131,AH1131,AI1131,AJ1131)</f>
        <v>IMAJ</v>
      </c>
    </row>
    <row r="1132" spans="1:37" ht="15.75" hidden="1" customHeight="1" x14ac:dyDescent="0.2">
      <c r="A1132" s="1">
        <v>10124101</v>
      </c>
      <c r="B1132" s="1" t="s">
        <v>29</v>
      </c>
      <c r="C1132" s="1" t="s">
        <v>30</v>
      </c>
      <c r="D1132" s="1" t="s">
        <v>486</v>
      </c>
      <c r="E1132" s="1" t="s">
        <v>487</v>
      </c>
      <c r="F1132" s="1" t="s">
        <v>32</v>
      </c>
      <c r="G1132" s="1" t="s">
        <v>488</v>
      </c>
      <c r="H1132" s="1">
        <v>2546</v>
      </c>
      <c r="I1132" s="1" t="s">
        <v>39</v>
      </c>
      <c r="J1132" s="1">
        <v>11</v>
      </c>
      <c r="K1132" s="1" t="s">
        <v>35</v>
      </c>
      <c r="L1132" s="1">
        <v>30</v>
      </c>
      <c r="M1132" s="1" t="str">
        <f>IF(L1132&lt;=45,"Joven","Mayor")</f>
        <v>Joven</v>
      </c>
      <c r="N1132" s="1">
        <v>51</v>
      </c>
      <c r="O1132" s="1" t="s">
        <v>36</v>
      </c>
      <c r="P1132" s="1">
        <v>0.35799999999999998</v>
      </c>
      <c r="Q1132" s="1">
        <v>76.510000000000005</v>
      </c>
      <c r="R1132" s="1">
        <v>11.433184000000001</v>
      </c>
      <c r="S1132" s="1">
        <v>-2.2257468999999999</v>
      </c>
      <c r="T1132" s="1">
        <v>-4.3449479999999996</v>
      </c>
      <c r="U1132" s="1">
        <v>18.38</v>
      </c>
      <c r="V1132" s="1">
        <v>116</v>
      </c>
      <c r="W1132" s="1">
        <v>216</v>
      </c>
      <c r="X1132" s="1">
        <v>1.8620689655172413</v>
      </c>
      <c r="Y1132" s="1">
        <v>120</v>
      </c>
      <c r="Z1132" s="1">
        <v>216</v>
      </c>
      <c r="AA1132" s="1">
        <v>1.8</v>
      </c>
      <c r="AB1132" s="1">
        <v>120.21227592494461</v>
      </c>
      <c r="AC1132" s="1">
        <v>215.0761734768962</v>
      </c>
      <c r="AD1132" s="1">
        <v>1.7891365238869661</v>
      </c>
      <c r="AE1132" t="s">
        <v>4816</v>
      </c>
      <c r="AF1132" t="str">
        <f>IF(X1132&lt;$AF$1,"Bajo","Alto")</f>
        <v>Alto</v>
      </c>
      <c r="AG1132" t="str">
        <f>LEFT(AE1132,1)</f>
        <v>D</v>
      </c>
      <c r="AH1132" t="str">
        <f>K1132</f>
        <v>M</v>
      </c>
      <c r="AI1132" t="str">
        <f>LEFT(AF1132,1)</f>
        <v>A</v>
      </c>
      <c r="AJ1132" t="str">
        <f>LEFT(M1132,1)</f>
        <v>J</v>
      </c>
      <c r="AK1132" t="str">
        <f>_xlfn.CONCAT(AG1132,AH1132,AI1132,AJ1132)</f>
        <v>DMAJ</v>
      </c>
    </row>
    <row r="1133" spans="1:37" ht="15.75" hidden="1" customHeight="1" x14ac:dyDescent="0.2">
      <c r="A1133" s="1">
        <v>1052804</v>
      </c>
      <c r="B1133" s="1" t="s">
        <v>694</v>
      </c>
      <c r="C1133" s="1" t="s">
        <v>879</v>
      </c>
      <c r="D1133" s="1" t="s">
        <v>976</v>
      </c>
      <c r="E1133" s="1" t="s">
        <v>561</v>
      </c>
      <c r="F1133" s="1" t="s">
        <v>61</v>
      </c>
      <c r="G1133" s="1" t="s">
        <v>979</v>
      </c>
      <c r="H1133" s="1">
        <v>1618</v>
      </c>
      <c r="I1133" s="1" t="s">
        <v>93</v>
      </c>
      <c r="J1133" s="1">
        <v>9</v>
      </c>
      <c r="K1133" s="1" t="s">
        <v>49</v>
      </c>
      <c r="L1133" s="1">
        <v>44</v>
      </c>
      <c r="M1133" s="1" t="str">
        <f>IF(L1133&lt;=45,"Joven","Mayor")</f>
        <v>Joven</v>
      </c>
      <c r="N1133" s="1">
        <v>35</v>
      </c>
      <c r="O1133" s="1" t="s">
        <v>50</v>
      </c>
      <c r="P1133" s="1">
        <v>0.36299999999999999</v>
      </c>
      <c r="Q1133" s="1">
        <v>90.567999999999998</v>
      </c>
      <c r="R1133" s="1">
        <v>-2.4754782</v>
      </c>
      <c r="S1133" s="1">
        <v>9.4216840000000008</v>
      </c>
      <c r="T1133" s="1">
        <v>2.5649974000000002</v>
      </c>
      <c r="U1133" s="1">
        <v>51.244</v>
      </c>
      <c r="V1133" s="1">
        <v>103</v>
      </c>
      <c r="W1133" s="1">
        <v>172</v>
      </c>
      <c r="X1133" s="1">
        <v>1.6699029126213591</v>
      </c>
      <c r="Y1133" s="1">
        <v>108</v>
      </c>
      <c r="Z1133" s="1">
        <v>172</v>
      </c>
      <c r="AA1133" s="1">
        <v>1.5925925925925926</v>
      </c>
      <c r="AB1133" s="1">
        <v>109.77140769443849</v>
      </c>
      <c r="AC1133" s="1">
        <v>171.60390904040011</v>
      </c>
      <c r="AD1133" s="1">
        <v>1.5632842162148415</v>
      </c>
      <c r="AE1133" t="s">
        <v>4815</v>
      </c>
      <c r="AF1133" t="str">
        <f>IF(X1133&lt;$AF$1,"Bajo","Alto")</f>
        <v>Bajo</v>
      </c>
      <c r="AG1133" t="str">
        <f>LEFT(AE1133,1)</f>
        <v>I</v>
      </c>
      <c r="AH1133" t="str">
        <f>K1133</f>
        <v>F</v>
      </c>
      <c r="AI1133" t="str">
        <f>LEFT(AF1133,1)</f>
        <v>B</v>
      </c>
      <c r="AJ1133" t="str">
        <f>LEFT(M1133,1)</f>
        <v>J</v>
      </c>
      <c r="AK1133" t="str">
        <f>_xlfn.CONCAT(AG1133,AH1133,AI1133,AJ1133)</f>
        <v>IFBJ</v>
      </c>
    </row>
    <row r="1134" spans="1:37" ht="15.75" hidden="1" customHeight="1" x14ac:dyDescent="0.2">
      <c r="A1134" s="1">
        <v>1016404</v>
      </c>
      <c r="B1134" s="1" t="s">
        <v>29</v>
      </c>
      <c r="C1134" s="1" t="s">
        <v>30</v>
      </c>
      <c r="D1134" s="1" t="s">
        <v>709</v>
      </c>
      <c r="E1134" s="1" t="s">
        <v>710</v>
      </c>
      <c r="F1134" s="1" t="s">
        <v>61</v>
      </c>
      <c r="G1134" s="1" t="s">
        <v>713</v>
      </c>
      <c r="H1134" s="1">
        <v>3835</v>
      </c>
      <c r="I1134" s="1" t="s">
        <v>73</v>
      </c>
      <c r="J1134" s="1">
        <v>5</v>
      </c>
      <c r="K1134" s="1" t="s">
        <v>49</v>
      </c>
      <c r="L1134" s="1">
        <v>40</v>
      </c>
      <c r="M1134" s="1" t="str">
        <f>IF(L1134&lt;=45,"Joven","Mayor")</f>
        <v>Joven</v>
      </c>
      <c r="N1134" s="1">
        <v>51</v>
      </c>
      <c r="O1134" s="1" t="s">
        <v>50</v>
      </c>
      <c r="P1134" s="1">
        <v>0.223</v>
      </c>
      <c r="Q1134" s="1">
        <v>93.78</v>
      </c>
      <c r="R1134" s="1">
        <v>-1.2322915999999999</v>
      </c>
      <c r="S1134" s="1">
        <v>3.3438474999999999</v>
      </c>
      <c r="T1134" s="1">
        <v>2.8239209999999999</v>
      </c>
      <c r="U1134" s="1">
        <v>16.288</v>
      </c>
      <c r="V1134" s="1">
        <v>87</v>
      </c>
      <c r="W1134" s="1">
        <v>145</v>
      </c>
      <c r="X1134" s="1">
        <v>1.6666666666666667</v>
      </c>
      <c r="Y1134" s="1">
        <v>96</v>
      </c>
      <c r="Z1134" s="1">
        <v>145</v>
      </c>
      <c r="AA1134" s="1">
        <v>1.5104166666666667</v>
      </c>
      <c r="AB1134" s="1">
        <v>94.159086072906121</v>
      </c>
      <c r="AC1134" s="1">
        <v>145.41512125561849</v>
      </c>
      <c r="AD1134" s="1">
        <v>1.5443556997040679</v>
      </c>
      <c r="AE1134" t="s">
        <v>4817</v>
      </c>
      <c r="AF1134" t="str">
        <f>IF(X1134&lt;$AF$1,"Bajo","Alto")</f>
        <v>Bajo</v>
      </c>
      <c r="AG1134" t="str">
        <f>LEFT(AE1134,1)</f>
        <v>C</v>
      </c>
      <c r="AH1134" t="str">
        <f>K1134</f>
        <v>F</v>
      </c>
      <c r="AI1134" t="str">
        <f>LEFT(AF1134,1)</f>
        <v>B</v>
      </c>
      <c r="AJ1134" t="str">
        <f>LEFT(M1134,1)</f>
        <v>J</v>
      </c>
      <c r="AK1134" t="str">
        <f>_xlfn.CONCAT(AG1134,AH1134,AI1134,AJ1134)</f>
        <v>CFBJ</v>
      </c>
    </row>
    <row r="1135" spans="1:37" ht="15.75" hidden="1" customHeight="1" x14ac:dyDescent="0.2">
      <c r="A1135" s="1">
        <v>2712101</v>
      </c>
      <c r="B1135" s="1" t="s">
        <v>3409</v>
      </c>
      <c r="C1135" s="1" t="s">
        <v>973</v>
      </c>
      <c r="D1135" s="1" t="s">
        <v>3464</v>
      </c>
      <c r="E1135" s="1" t="s">
        <v>136</v>
      </c>
      <c r="F1135" s="1" t="s">
        <v>32</v>
      </c>
      <c r="G1135" s="1" t="s">
        <v>3465</v>
      </c>
      <c r="H1135" s="1">
        <v>5538</v>
      </c>
      <c r="I1135" s="1" t="s">
        <v>73</v>
      </c>
      <c r="J1135" s="1">
        <v>5</v>
      </c>
      <c r="K1135" s="1" t="s">
        <v>35</v>
      </c>
      <c r="L1135" s="1">
        <v>33</v>
      </c>
      <c r="M1135" s="1" t="str">
        <f>IF(L1135&lt;=45,"Joven","Mayor")</f>
        <v>Joven</v>
      </c>
      <c r="N1135" s="1">
        <v>41</v>
      </c>
      <c r="O1135" s="1" t="s">
        <v>36</v>
      </c>
      <c r="P1135" s="1">
        <v>0.36599999999999999</v>
      </c>
      <c r="Q1135" s="1">
        <v>93.566000000000003</v>
      </c>
      <c r="R1135" s="1">
        <v>-0.41437047999999999</v>
      </c>
      <c r="S1135" s="1">
        <v>5.6724104999999998</v>
      </c>
      <c r="T1135" s="1">
        <v>-2.5484798</v>
      </c>
      <c r="U1135" s="1">
        <v>61.622999999999998</v>
      </c>
      <c r="V1135" s="1">
        <v>118</v>
      </c>
      <c r="W1135" s="1">
        <v>197</v>
      </c>
      <c r="X1135" s="1">
        <v>1.6694915254237288</v>
      </c>
      <c r="Y1135" s="1">
        <v>121</v>
      </c>
      <c r="Z1135" s="1">
        <v>197</v>
      </c>
      <c r="AA1135" s="1">
        <v>1.6280991735537189</v>
      </c>
      <c r="AB1135" s="1">
        <v>120.2843865469838</v>
      </c>
      <c r="AC1135" s="1">
        <v>197.02748186208191</v>
      </c>
      <c r="AD1135" s="1">
        <v>1.6380137731768021</v>
      </c>
      <c r="AE1135" t="s">
        <v>4817</v>
      </c>
      <c r="AF1135" t="str">
        <f>IF(X1135&lt;$AF$1,"Bajo","Alto")</f>
        <v>Bajo</v>
      </c>
      <c r="AG1135" t="str">
        <f>LEFT(AE1135,1)</f>
        <v>C</v>
      </c>
      <c r="AH1135" t="str">
        <f>K1135</f>
        <v>M</v>
      </c>
      <c r="AI1135" t="str">
        <f>LEFT(AF1135,1)</f>
        <v>B</v>
      </c>
      <c r="AJ1135" t="str">
        <f>LEFT(M1135,1)</f>
        <v>J</v>
      </c>
      <c r="AK1135" t="str">
        <f>_xlfn.CONCAT(AG1135,AH1135,AI1135,AJ1135)</f>
        <v>CMBJ</v>
      </c>
    </row>
    <row r="1136" spans="1:37" ht="15.75" hidden="1" customHeight="1" x14ac:dyDescent="0.2">
      <c r="A1136" s="1">
        <v>315802</v>
      </c>
      <c r="B1136" s="1" t="s">
        <v>4122</v>
      </c>
      <c r="C1136" s="1" t="s">
        <v>628</v>
      </c>
      <c r="D1136" s="1" t="s">
        <v>4236</v>
      </c>
      <c r="E1136" s="1" t="s">
        <v>695</v>
      </c>
      <c r="F1136" s="1" t="s">
        <v>37</v>
      </c>
      <c r="G1136" s="1" t="s">
        <v>4238</v>
      </c>
      <c r="H1136" s="1">
        <v>24</v>
      </c>
      <c r="I1136" s="1" t="s">
        <v>294</v>
      </c>
      <c r="J1136" s="1">
        <v>16</v>
      </c>
      <c r="K1136" s="1" t="s">
        <v>49</v>
      </c>
      <c r="L1136" s="1">
        <v>62</v>
      </c>
      <c r="M1136" s="1" t="str">
        <f>IF(L1136&lt;=45,"Joven","Mayor")</f>
        <v>Mayor</v>
      </c>
      <c r="N1136" s="1">
        <v>67</v>
      </c>
      <c r="O1136" s="1" t="s">
        <v>50</v>
      </c>
      <c r="P1136" s="1">
        <v>0.35199999999999998</v>
      </c>
      <c r="Q1136" s="1">
        <v>60.518000000000001</v>
      </c>
      <c r="R1136" s="1">
        <v>-14.085440999999999</v>
      </c>
      <c r="S1136" s="1">
        <v>5.4257590000000002</v>
      </c>
      <c r="T1136" s="1">
        <v>8.5251020000000004</v>
      </c>
      <c r="U1136" s="1">
        <v>11.895</v>
      </c>
      <c r="V1136" s="1">
        <v>99</v>
      </c>
      <c r="W1136" s="1">
        <v>163</v>
      </c>
      <c r="X1136" s="1">
        <v>1.6464646464646464</v>
      </c>
      <c r="Y1136" s="1">
        <v>104</v>
      </c>
      <c r="Z1136" s="1">
        <v>163</v>
      </c>
      <c r="AA1136" s="1">
        <v>1.5673076923076923</v>
      </c>
      <c r="AB1136" s="1">
        <v>103.9841007024429</v>
      </c>
      <c r="AC1136" s="1">
        <v>161.34725753729751</v>
      </c>
      <c r="AD1136" s="1">
        <v>1.551653151273606</v>
      </c>
      <c r="AE1136" t="s">
        <v>4817</v>
      </c>
      <c r="AF1136" t="str">
        <f>IF(X1136&lt;$AF$1,"Bajo","Alto")</f>
        <v>Bajo</v>
      </c>
      <c r="AG1136" t="str">
        <f>LEFT(AE1136,1)</f>
        <v>C</v>
      </c>
      <c r="AH1136" t="str">
        <f>K1136</f>
        <v>F</v>
      </c>
      <c r="AI1136" t="str">
        <f>LEFT(AF1136,1)</f>
        <v>B</v>
      </c>
      <c r="AJ1136" t="str">
        <f>LEFT(M1136,1)</f>
        <v>M</v>
      </c>
      <c r="AK1136" t="str">
        <f>_xlfn.CONCAT(AG1136,AH1136,AI1136,AJ1136)</f>
        <v>CFBM</v>
      </c>
    </row>
    <row r="1137" spans="1:37" ht="15.75" hidden="1" customHeight="1" x14ac:dyDescent="0.2">
      <c r="A1137" s="1">
        <v>154902</v>
      </c>
      <c r="B1137" s="1" t="s">
        <v>2077</v>
      </c>
      <c r="C1137" s="1" t="s">
        <v>57</v>
      </c>
      <c r="D1137" s="1" t="s">
        <v>2470</v>
      </c>
      <c r="E1137" s="1" t="s">
        <v>673</v>
      </c>
      <c r="F1137" s="1" t="s">
        <v>37</v>
      </c>
      <c r="G1137" s="1" t="s">
        <v>2471</v>
      </c>
      <c r="H1137" s="1">
        <v>772</v>
      </c>
      <c r="I1137" s="1" t="s">
        <v>65</v>
      </c>
      <c r="J1137" s="1">
        <v>2</v>
      </c>
      <c r="K1137" s="1" t="s">
        <v>35</v>
      </c>
      <c r="L1137" s="1">
        <v>38</v>
      </c>
      <c r="M1137" s="1" t="str">
        <f>IF(L1137&lt;=45,"Joven","Mayor")</f>
        <v>Joven</v>
      </c>
      <c r="N1137" s="1">
        <v>39</v>
      </c>
      <c r="O1137" s="1" t="s">
        <v>36</v>
      </c>
      <c r="P1137" s="1">
        <v>0.36399999999999999</v>
      </c>
      <c r="Q1137" s="1">
        <v>93.954999999999998</v>
      </c>
      <c r="R1137" s="1">
        <v>-1.1076279</v>
      </c>
      <c r="S1137" s="1">
        <v>2.7109719999999999</v>
      </c>
      <c r="T1137" s="1">
        <v>-2.2655536999999999</v>
      </c>
      <c r="U1137" s="1">
        <v>58.244999999999997</v>
      </c>
      <c r="V1137" s="1">
        <v>103</v>
      </c>
      <c r="W1137" s="1">
        <v>172</v>
      </c>
      <c r="X1137" s="1">
        <v>1.6699029126213591</v>
      </c>
      <c r="Y1137" s="1">
        <v>106</v>
      </c>
      <c r="Z1137" s="1">
        <v>172</v>
      </c>
      <c r="AA1137" s="1">
        <v>1.6226415094339623</v>
      </c>
      <c r="AB1137" s="1">
        <v>104.61932514472301</v>
      </c>
      <c r="AC1137" s="1">
        <v>172.06321013536811</v>
      </c>
      <c r="AD1137" s="1">
        <v>1.6446599124716965</v>
      </c>
      <c r="AE1137" t="s">
        <v>4817</v>
      </c>
      <c r="AF1137" t="str">
        <f>IF(X1137&lt;$AF$1,"Bajo","Alto")</f>
        <v>Bajo</v>
      </c>
      <c r="AG1137" t="str">
        <f>LEFT(AE1137,1)</f>
        <v>C</v>
      </c>
      <c r="AH1137" t="str">
        <f>K1137</f>
        <v>M</v>
      </c>
      <c r="AI1137" t="str">
        <f>LEFT(AF1137,1)</f>
        <v>B</v>
      </c>
      <c r="AJ1137" t="str">
        <f>LEFT(M1137,1)</f>
        <v>J</v>
      </c>
      <c r="AK1137" t="str">
        <f>_xlfn.CONCAT(AG1137,AH1137,AI1137,AJ1137)</f>
        <v>CMBJ</v>
      </c>
    </row>
    <row r="1138" spans="1:37" ht="15.75" hidden="1" customHeight="1" x14ac:dyDescent="0.2">
      <c r="A1138" s="1">
        <v>319104</v>
      </c>
      <c r="B1138" s="1" t="s">
        <v>4122</v>
      </c>
      <c r="C1138" s="1" t="s">
        <v>628</v>
      </c>
      <c r="D1138" s="1" t="s">
        <v>4275</v>
      </c>
      <c r="E1138" s="1" t="s">
        <v>770</v>
      </c>
      <c r="F1138" s="1" t="s">
        <v>61</v>
      </c>
      <c r="G1138" s="1" t="s">
        <v>4278</v>
      </c>
      <c r="H1138" s="1">
        <v>1460</v>
      </c>
      <c r="I1138" s="1" t="s">
        <v>4279</v>
      </c>
      <c r="J1138" s="1">
        <v>3760</v>
      </c>
      <c r="K1138" s="1" t="s">
        <v>35</v>
      </c>
      <c r="L1138" s="1">
        <v>46</v>
      </c>
      <c r="M1138" s="1" t="str">
        <f>IF(L1138&lt;=45,"Joven","Mayor")</f>
        <v>Mayor</v>
      </c>
      <c r="N1138" s="1">
        <v>45</v>
      </c>
      <c r="O1138" s="1" t="s">
        <v>36</v>
      </c>
      <c r="P1138" s="1">
        <v>0.38100000000000001</v>
      </c>
      <c r="Q1138" s="1">
        <v>92.239000000000004</v>
      </c>
      <c r="R1138" s="1">
        <v>2.6456157999999999</v>
      </c>
      <c r="S1138" s="1">
        <v>-5.3572749999999996</v>
      </c>
      <c r="T1138" s="1">
        <v>0.18272229000000001</v>
      </c>
      <c r="U1138" s="1">
        <v>3.0750000000000002</v>
      </c>
      <c r="V1138" s="1">
        <v>99</v>
      </c>
      <c r="W1138" s="1">
        <v>186</v>
      </c>
      <c r="X1138" s="1">
        <v>1.8787878787878789</v>
      </c>
      <c r="Y1138" s="1">
        <v>100</v>
      </c>
      <c r="Z1138" s="1">
        <v>186</v>
      </c>
      <c r="AA1138" s="1">
        <v>1.86</v>
      </c>
      <c r="AB1138" s="1">
        <v>99.868738373678752</v>
      </c>
      <c r="AC1138" s="1">
        <v>185.99267595378069</v>
      </c>
      <c r="AD1138" s="1">
        <v>1.8623713384447904</v>
      </c>
      <c r="AE1138" t="s">
        <v>4817</v>
      </c>
      <c r="AF1138" t="str">
        <f>IF(X1138&lt;$AF$1,"Bajo","Alto")</f>
        <v>Alto</v>
      </c>
      <c r="AG1138" t="str">
        <f>LEFT(AE1138,1)</f>
        <v>C</v>
      </c>
      <c r="AH1138" t="str">
        <f>K1138</f>
        <v>M</v>
      </c>
      <c r="AI1138" t="str">
        <f>LEFT(AF1138,1)</f>
        <v>A</v>
      </c>
      <c r="AJ1138" t="str">
        <f>LEFT(M1138,1)</f>
        <v>M</v>
      </c>
      <c r="AK1138" t="str">
        <f>_xlfn.CONCAT(AG1138,AH1138,AI1138,AJ1138)</f>
        <v>CMAM</v>
      </c>
    </row>
    <row r="1139" spans="1:37" ht="15.75" hidden="1" customHeight="1" x14ac:dyDescent="0.2">
      <c r="A1139" s="1">
        <v>2716703</v>
      </c>
      <c r="B1139" s="1" t="s">
        <v>3409</v>
      </c>
      <c r="C1139" s="1" t="s">
        <v>973</v>
      </c>
      <c r="D1139" s="1" t="s">
        <v>3543</v>
      </c>
      <c r="E1139" s="1" t="s">
        <v>3544</v>
      </c>
      <c r="F1139" s="1" t="s">
        <v>63</v>
      </c>
      <c r="G1139" s="1" t="s">
        <v>3547</v>
      </c>
      <c r="H1139" s="1">
        <v>1806</v>
      </c>
      <c r="I1139" s="1" t="s">
        <v>134</v>
      </c>
      <c r="J1139" s="1">
        <v>8</v>
      </c>
      <c r="K1139" s="1" t="s">
        <v>35</v>
      </c>
      <c r="L1139" s="1">
        <v>48</v>
      </c>
      <c r="M1139" s="1" t="str">
        <f>IF(L1139&lt;=45,"Joven","Mayor")</f>
        <v>Mayor</v>
      </c>
      <c r="N1139" s="1">
        <v>56</v>
      </c>
      <c r="O1139" s="1" t="s">
        <v>36</v>
      </c>
      <c r="P1139" s="1">
        <v>0.41</v>
      </c>
      <c r="Q1139" s="1">
        <v>94.317999999999998</v>
      </c>
      <c r="R1139" s="1">
        <v>0.76822210000000002</v>
      </c>
      <c r="S1139" s="1">
        <v>1.6766833000000001</v>
      </c>
      <c r="T1139" s="1">
        <v>-0.28746994999999997</v>
      </c>
      <c r="U1139" s="1">
        <v>8.0410000000000004</v>
      </c>
      <c r="V1139" s="1">
        <v>105</v>
      </c>
      <c r="W1139" s="1">
        <v>173</v>
      </c>
      <c r="X1139" s="1">
        <v>1.6476190476190475</v>
      </c>
      <c r="Y1139" s="1">
        <v>108</v>
      </c>
      <c r="Z1139" s="1">
        <v>173</v>
      </c>
      <c r="AA1139" s="1">
        <v>1.6018518518518519</v>
      </c>
      <c r="AB1139" s="1">
        <v>107.76282867059081</v>
      </c>
      <c r="AC1139" s="1">
        <v>172.99280524059441</v>
      </c>
      <c r="AD1139" s="1">
        <v>1.6053105451546605</v>
      </c>
      <c r="AE1139" t="s">
        <v>4817</v>
      </c>
      <c r="AF1139" t="str">
        <f>IF(X1139&lt;$AF$1,"Bajo","Alto")</f>
        <v>Bajo</v>
      </c>
      <c r="AG1139" t="str">
        <f>LEFT(AE1139,1)</f>
        <v>C</v>
      </c>
      <c r="AH1139" t="str">
        <f>K1139</f>
        <v>M</v>
      </c>
      <c r="AI1139" t="str">
        <f>LEFT(AF1139,1)</f>
        <v>B</v>
      </c>
      <c r="AJ1139" t="str">
        <f>LEFT(M1139,1)</f>
        <v>M</v>
      </c>
      <c r="AK1139" t="str">
        <f>_xlfn.CONCAT(AG1139,AH1139,AI1139,AJ1139)</f>
        <v>CMBM</v>
      </c>
    </row>
    <row r="1140" spans="1:37" ht="15.75" hidden="1" customHeight="1" x14ac:dyDescent="0.2">
      <c r="A1140" s="1">
        <v>10711203</v>
      </c>
      <c r="B1140" s="1" t="s">
        <v>1067</v>
      </c>
      <c r="C1140" s="1" t="s">
        <v>1068</v>
      </c>
      <c r="D1140" s="1" t="s">
        <v>1110</v>
      </c>
      <c r="E1140" s="1" t="s">
        <v>106</v>
      </c>
      <c r="F1140" s="1" t="s">
        <v>63</v>
      </c>
      <c r="G1140" s="1" t="s">
        <v>1113</v>
      </c>
      <c r="H1140" s="1">
        <v>834</v>
      </c>
      <c r="I1140" s="1" t="s">
        <v>65</v>
      </c>
      <c r="J1140" s="1">
        <v>2</v>
      </c>
      <c r="K1140" s="1" t="s">
        <v>35</v>
      </c>
      <c r="L1140" s="1">
        <v>51</v>
      </c>
      <c r="M1140" s="1" t="str">
        <f>IF(L1140&lt;=45,"Joven","Mayor")</f>
        <v>Mayor</v>
      </c>
      <c r="N1140" s="1">
        <v>64</v>
      </c>
      <c r="O1140" s="1" t="s">
        <v>36</v>
      </c>
      <c r="P1140" s="1">
        <v>0.35099999999999998</v>
      </c>
      <c r="Q1140" s="1">
        <v>89.564999999999998</v>
      </c>
      <c r="R1140" s="1">
        <v>4.1300774000000002</v>
      </c>
      <c r="S1140" s="1">
        <v>-8.2329050000000006</v>
      </c>
      <c r="T1140" s="1">
        <v>-3.0301122999999999</v>
      </c>
      <c r="U1140" s="1">
        <v>1.3440000000000001</v>
      </c>
      <c r="V1140" s="1">
        <v>88</v>
      </c>
      <c r="W1140" s="1">
        <v>145</v>
      </c>
      <c r="X1140" s="1">
        <v>1.6477272727272727</v>
      </c>
      <c r="Y1140" s="1">
        <v>89</v>
      </c>
      <c r="Z1140" s="1">
        <v>145</v>
      </c>
      <c r="AA1140" s="1">
        <v>1.6292134831460674</v>
      </c>
      <c r="AB1140" s="1">
        <v>91.095721393850454</v>
      </c>
      <c r="AC1140" s="1">
        <v>144.8501350140873</v>
      </c>
      <c r="AD1140" s="1">
        <v>1.5900871390856082</v>
      </c>
      <c r="AE1140" t="s">
        <v>4817</v>
      </c>
      <c r="AF1140" t="str">
        <f>IF(X1140&lt;$AF$1,"Bajo","Alto")</f>
        <v>Bajo</v>
      </c>
      <c r="AG1140" t="str">
        <f>LEFT(AE1140,1)</f>
        <v>C</v>
      </c>
      <c r="AH1140" t="str">
        <f>K1140</f>
        <v>M</v>
      </c>
      <c r="AI1140" t="str">
        <f>LEFT(AF1140,1)</f>
        <v>B</v>
      </c>
      <c r="AJ1140" t="str">
        <f>LEFT(M1140,1)</f>
        <v>M</v>
      </c>
      <c r="AK1140" t="str">
        <f>_xlfn.CONCAT(AG1140,AH1140,AI1140,AJ1140)</f>
        <v>CMBM</v>
      </c>
    </row>
    <row r="1141" spans="1:37" ht="15.75" hidden="1" customHeight="1" x14ac:dyDescent="0.2">
      <c r="A1141" s="1">
        <v>1010111</v>
      </c>
      <c r="B1141" s="1" t="s">
        <v>29</v>
      </c>
      <c r="C1141" s="1" t="s">
        <v>30</v>
      </c>
      <c r="D1141" s="1" t="s">
        <v>31</v>
      </c>
      <c r="E1141" s="1" t="s">
        <v>32</v>
      </c>
      <c r="F1141" s="1" t="s">
        <v>51</v>
      </c>
      <c r="G1141" s="1" t="s">
        <v>52</v>
      </c>
      <c r="H1141" s="1">
        <v>6977</v>
      </c>
      <c r="I1141" s="1" t="s">
        <v>53</v>
      </c>
      <c r="J1141" s="1">
        <v>126</v>
      </c>
      <c r="K1141" s="1" t="s">
        <v>35</v>
      </c>
      <c r="L1141" s="1">
        <v>54</v>
      </c>
      <c r="M1141" s="1" t="str">
        <f>IF(L1141&lt;=45,"Joven","Mayor")</f>
        <v>Mayor</v>
      </c>
      <c r="N1141" s="1">
        <v>63</v>
      </c>
      <c r="O1141" s="1" t="s">
        <v>36</v>
      </c>
      <c r="P1141" s="1">
        <v>0.16200000000000001</v>
      </c>
      <c r="Q1141" s="1">
        <v>92.903999999999996</v>
      </c>
      <c r="R1141" s="1">
        <v>-2.8364441</v>
      </c>
      <c r="S1141" s="1">
        <v>2.7753199999999998</v>
      </c>
      <c r="T1141" s="1">
        <v>4.4765740000000003</v>
      </c>
      <c r="U1141" s="1">
        <v>6.7249999999999996</v>
      </c>
      <c r="V1141" s="1">
        <v>82</v>
      </c>
      <c r="W1141" s="1">
        <v>154</v>
      </c>
      <c r="X1141" s="1">
        <v>1.8780487804878048</v>
      </c>
      <c r="Y1141" s="1">
        <v>89</v>
      </c>
      <c r="Z1141" s="1">
        <v>154</v>
      </c>
      <c r="AA1141" s="1">
        <v>1.7303370786516854</v>
      </c>
      <c r="AB1141" s="1">
        <v>85.762533732079646</v>
      </c>
      <c r="AC1141" s="1">
        <v>153.68629968309639</v>
      </c>
      <c r="AD1141" s="1">
        <v>1.7919981254659425</v>
      </c>
      <c r="AE1141" t="s">
        <v>4817</v>
      </c>
      <c r="AF1141" t="str">
        <f>IF(X1141&lt;$AF$1,"Bajo","Alto")</f>
        <v>Alto</v>
      </c>
      <c r="AG1141" t="str">
        <f>LEFT(AE1141,1)</f>
        <v>C</v>
      </c>
      <c r="AH1141" t="str">
        <f>K1141</f>
        <v>M</v>
      </c>
      <c r="AI1141" t="str">
        <f>LEFT(AF1141,1)</f>
        <v>A</v>
      </c>
      <c r="AJ1141" t="str">
        <f>LEFT(M1141,1)</f>
        <v>M</v>
      </c>
      <c r="AK1141" t="str">
        <f>_xlfn.CONCAT(AG1141,AH1141,AI1141,AJ1141)</f>
        <v>CMAM</v>
      </c>
    </row>
    <row r="1142" spans="1:37" ht="15.75" hidden="1" customHeight="1" x14ac:dyDescent="0.2">
      <c r="A1142" s="1">
        <v>642307</v>
      </c>
      <c r="B1142" s="1" t="s">
        <v>4718</v>
      </c>
      <c r="C1142" s="1" t="s">
        <v>710</v>
      </c>
      <c r="D1142" s="1" t="s">
        <v>4760</v>
      </c>
      <c r="E1142" s="1" t="s">
        <v>1989</v>
      </c>
      <c r="F1142" s="1" t="s">
        <v>43</v>
      </c>
      <c r="G1142" s="1" t="s">
        <v>4763</v>
      </c>
      <c r="H1142" s="1">
        <v>190</v>
      </c>
      <c r="I1142" s="1" t="s">
        <v>93</v>
      </c>
      <c r="J1142" s="1">
        <v>9</v>
      </c>
      <c r="K1142" s="1" t="s">
        <v>35</v>
      </c>
      <c r="L1142" s="1">
        <v>44</v>
      </c>
      <c r="M1142" s="1" t="str">
        <f>IF(L1142&lt;=45,"Joven","Mayor")</f>
        <v>Joven</v>
      </c>
      <c r="N1142" s="1">
        <v>49</v>
      </c>
      <c r="O1142" s="1" t="s">
        <v>36</v>
      </c>
      <c r="P1142" s="1">
        <v>0.35099999999999998</v>
      </c>
      <c r="Q1142" s="1">
        <v>92.498999999999995</v>
      </c>
      <c r="R1142" s="1">
        <v>0.93554634000000003</v>
      </c>
      <c r="S1142" s="1">
        <v>7.8585276999999998</v>
      </c>
      <c r="T1142" s="1">
        <v>-2.3478262000000001</v>
      </c>
      <c r="U1142" s="1">
        <v>55.798999999999999</v>
      </c>
      <c r="V1142" s="1">
        <v>94</v>
      </c>
      <c r="W1142" s="1">
        <v>174</v>
      </c>
      <c r="X1142" s="1">
        <v>1.8510638297872339</v>
      </c>
      <c r="Y1142" s="1">
        <v>96</v>
      </c>
      <c r="Z1142" s="1">
        <v>174</v>
      </c>
      <c r="AA1142" s="1">
        <v>1.8125</v>
      </c>
      <c r="AB1142" s="1">
        <v>95.928417215930722</v>
      </c>
      <c r="AC1142" s="1">
        <v>173.97683284736831</v>
      </c>
      <c r="AD1142" s="1">
        <v>1.8136110017926594</v>
      </c>
      <c r="AE1142" t="s">
        <v>4815</v>
      </c>
      <c r="AF1142" t="str">
        <f>IF(X1142&lt;$AF$1,"Bajo","Alto")</f>
        <v>Alto</v>
      </c>
      <c r="AG1142" t="str">
        <f>LEFT(AE1142,1)</f>
        <v>I</v>
      </c>
      <c r="AH1142" t="str">
        <f>K1142</f>
        <v>M</v>
      </c>
      <c r="AI1142" t="str">
        <f>LEFT(AF1142,1)</f>
        <v>A</v>
      </c>
      <c r="AJ1142" t="str">
        <f>LEFT(M1142,1)</f>
        <v>J</v>
      </c>
      <c r="AK1142" t="str">
        <f>_xlfn.CONCAT(AG1142,AH1142,AI1142,AJ1142)</f>
        <v>IMAJ</v>
      </c>
    </row>
    <row r="1143" spans="1:37" ht="15.75" hidden="1" customHeight="1" x14ac:dyDescent="0.2">
      <c r="A1143" s="1">
        <v>522003</v>
      </c>
      <c r="B1143" s="1" t="s">
        <v>4529</v>
      </c>
      <c r="C1143" s="1" t="s">
        <v>685</v>
      </c>
      <c r="D1143" s="1" t="s">
        <v>4558</v>
      </c>
      <c r="E1143" s="1" t="s">
        <v>1983</v>
      </c>
      <c r="F1143" s="1" t="s">
        <v>63</v>
      </c>
      <c r="G1143" s="1" t="s">
        <v>4561</v>
      </c>
      <c r="H1143" s="1">
        <v>676</v>
      </c>
      <c r="I1143" s="1" t="s">
        <v>65</v>
      </c>
      <c r="J1143" s="1">
        <v>2</v>
      </c>
      <c r="K1143" s="1" t="s">
        <v>35</v>
      </c>
      <c r="L1143" s="1">
        <v>27</v>
      </c>
      <c r="M1143" s="1" t="str">
        <f>IF(L1143&lt;=45,"Joven","Mayor")</f>
        <v>Joven</v>
      </c>
      <c r="N1143" s="1">
        <v>27</v>
      </c>
      <c r="O1143" s="1" t="s">
        <v>36</v>
      </c>
      <c r="P1143" s="1">
        <v>0.3</v>
      </c>
      <c r="Q1143" s="1">
        <v>90.545000000000002</v>
      </c>
      <c r="R1143" s="1">
        <v>2.6614080000000002</v>
      </c>
      <c r="S1143" s="1">
        <v>9.2048740000000002</v>
      </c>
      <c r="T1143" s="1">
        <v>-0.99417180000000005</v>
      </c>
      <c r="U1143" s="1">
        <v>7.5389999999999997</v>
      </c>
      <c r="V1143" s="1">
        <v>103</v>
      </c>
      <c r="W1143" s="1">
        <v>172</v>
      </c>
      <c r="X1143" s="1">
        <v>1.6699029126213591</v>
      </c>
      <c r="Y1143" s="1">
        <v>105</v>
      </c>
      <c r="Z1143" s="1">
        <v>172</v>
      </c>
      <c r="AA1143" s="1">
        <v>1.638095238095238</v>
      </c>
      <c r="AB1143" s="1">
        <v>104.2901658303774</v>
      </c>
      <c r="AC1143" s="1">
        <v>172.078212228887</v>
      </c>
      <c r="AD1143" s="1">
        <v>1.6499946170261477</v>
      </c>
      <c r="AE1143" t="s">
        <v>4817</v>
      </c>
      <c r="AF1143" t="str">
        <f>IF(X1143&lt;$AF$1,"Bajo","Alto")</f>
        <v>Bajo</v>
      </c>
      <c r="AG1143" t="str">
        <f>LEFT(AE1143,1)</f>
        <v>C</v>
      </c>
      <c r="AH1143" t="str">
        <f>K1143</f>
        <v>M</v>
      </c>
      <c r="AI1143" t="str">
        <f>LEFT(AF1143,1)</f>
        <v>B</v>
      </c>
      <c r="AJ1143" t="str">
        <f>LEFT(M1143,1)</f>
        <v>J</v>
      </c>
      <c r="AK1143" t="str">
        <f>_xlfn.CONCAT(AG1143,AH1143,AI1143,AJ1143)</f>
        <v>CMBJ</v>
      </c>
    </row>
    <row r="1144" spans="1:37" ht="15.75" hidden="1" customHeight="1" x14ac:dyDescent="0.2">
      <c r="A1144" s="1">
        <v>1534005</v>
      </c>
      <c r="B1144" s="1" t="s">
        <v>2077</v>
      </c>
      <c r="C1144" s="1" t="s">
        <v>57</v>
      </c>
      <c r="D1144" s="1" t="s">
        <v>2438</v>
      </c>
      <c r="E1144" s="1" t="s">
        <v>1433</v>
      </c>
      <c r="F1144" s="1" t="s">
        <v>40</v>
      </c>
      <c r="G1144" s="1" t="s">
        <v>2440</v>
      </c>
      <c r="H1144" s="1">
        <v>5349</v>
      </c>
      <c r="I1144" s="1" t="s">
        <v>2441</v>
      </c>
      <c r="J1144" s="1">
        <v>4003</v>
      </c>
      <c r="K1144" s="1" t="s">
        <v>35</v>
      </c>
      <c r="L1144" s="1">
        <v>36</v>
      </c>
      <c r="M1144" s="1" t="str">
        <f>IF(L1144&lt;=45,"Joven","Mayor")</f>
        <v>Joven</v>
      </c>
      <c r="N1144" s="1">
        <v>35</v>
      </c>
      <c r="O1144" s="1" t="s">
        <v>36</v>
      </c>
      <c r="P1144" s="1">
        <v>0.121</v>
      </c>
      <c r="Q1144" s="1">
        <v>90.448999999999998</v>
      </c>
      <c r="R1144" s="1">
        <v>0.71583540000000001</v>
      </c>
      <c r="S1144" s="1">
        <v>11.940078</v>
      </c>
      <c r="T1144" s="1">
        <v>-1.2806038</v>
      </c>
      <c r="U1144" s="1">
        <v>7.44</v>
      </c>
      <c r="V1144" s="1">
        <v>88</v>
      </c>
      <c r="W1144" s="1">
        <v>147</v>
      </c>
      <c r="X1144" s="1">
        <v>1.6704545454545454</v>
      </c>
      <c r="Y1144" s="1">
        <v>88</v>
      </c>
      <c r="Z1144" s="1">
        <v>147</v>
      </c>
      <c r="AA1144" s="1">
        <v>1.6704545454545454</v>
      </c>
      <c r="AB1144" s="1">
        <v>88.916673902692992</v>
      </c>
      <c r="AC1144" s="1">
        <v>147.0079819354014</v>
      </c>
      <c r="AD1144" s="1">
        <v>1.6533229987469091</v>
      </c>
      <c r="AE1144" t="s">
        <v>4817</v>
      </c>
      <c r="AF1144" t="str">
        <f>IF(X1144&lt;$AF$1,"Bajo","Alto")</f>
        <v>Bajo</v>
      </c>
      <c r="AG1144" t="str">
        <f>LEFT(AE1144,1)</f>
        <v>C</v>
      </c>
      <c r="AH1144" t="str">
        <f>K1144</f>
        <v>M</v>
      </c>
      <c r="AI1144" t="str">
        <f>LEFT(AF1144,1)</f>
        <v>B</v>
      </c>
      <c r="AJ1144" t="str">
        <f>LEFT(M1144,1)</f>
        <v>J</v>
      </c>
      <c r="AK1144" t="str">
        <f>_xlfn.CONCAT(AG1144,AH1144,AI1144,AJ1144)</f>
        <v>CMBJ</v>
      </c>
    </row>
    <row r="1145" spans="1:37" ht="15.75" hidden="1" customHeight="1" x14ac:dyDescent="0.2">
      <c r="A1145" s="1">
        <v>520802</v>
      </c>
      <c r="B1145" s="1" t="s">
        <v>4529</v>
      </c>
      <c r="C1145" s="1" t="s">
        <v>685</v>
      </c>
      <c r="D1145" s="1" t="s">
        <v>4546</v>
      </c>
      <c r="E1145" s="1" t="s">
        <v>46</v>
      </c>
      <c r="F1145" s="1" t="s">
        <v>37</v>
      </c>
      <c r="G1145" s="1" t="s">
        <v>4548</v>
      </c>
      <c r="H1145" s="1">
        <v>863</v>
      </c>
      <c r="I1145" s="1" t="s">
        <v>39</v>
      </c>
      <c r="J1145" s="1">
        <v>11</v>
      </c>
      <c r="K1145" s="1" t="s">
        <v>35</v>
      </c>
      <c r="L1145" s="1">
        <v>43</v>
      </c>
      <c r="M1145" s="1" t="str">
        <f>IF(L1145&lt;=45,"Joven","Mayor")</f>
        <v>Joven</v>
      </c>
      <c r="N1145" s="1">
        <v>56</v>
      </c>
      <c r="O1145" s="1" t="s">
        <v>50</v>
      </c>
      <c r="P1145" s="1">
        <v>0.32800000000000001</v>
      </c>
      <c r="Q1145" s="1">
        <v>92.331999999999994</v>
      </c>
      <c r="R1145" s="1">
        <v>-1.7613468999999999</v>
      </c>
      <c r="S1145" s="1">
        <v>6.9346303999999996</v>
      </c>
      <c r="T1145" s="1">
        <v>6.6744355999999998</v>
      </c>
      <c r="U1145" s="1">
        <v>28.86</v>
      </c>
      <c r="V1145" s="1">
        <v>86</v>
      </c>
      <c r="W1145" s="1">
        <v>160</v>
      </c>
      <c r="X1145" s="1">
        <v>1.8604651162790697</v>
      </c>
      <c r="Y1145" s="1">
        <v>93</v>
      </c>
      <c r="Z1145" s="1">
        <v>160</v>
      </c>
      <c r="AA1145" s="1">
        <v>1.7204301075268817</v>
      </c>
      <c r="AB1145" s="1">
        <v>91.228523701140602</v>
      </c>
      <c r="AC1145" s="1">
        <v>160.659030992656</v>
      </c>
      <c r="AD1145" s="1">
        <v>1.7610613925855663</v>
      </c>
      <c r="AE1145" t="s">
        <v>4816</v>
      </c>
      <c r="AF1145" t="str">
        <f>IF(X1145&lt;$AF$1,"Bajo","Alto")</f>
        <v>Alto</v>
      </c>
      <c r="AG1145" t="str">
        <f>LEFT(AE1145,1)</f>
        <v>D</v>
      </c>
      <c r="AH1145" t="str">
        <f>K1145</f>
        <v>M</v>
      </c>
      <c r="AI1145" t="str">
        <f>LEFT(AF1145,1)</f>
        <v>A</v>
      </c>
      <c r="AJ1145" t="str">
        <f>LEFT(M1145,1)</f>
        <v>J</v>
      </c>
      <c r="AK1145" t="str">
        <f>_xlfn.CONCAT(AG1145,AH1145,AI1145,AJ1145)</f>
        <v>DMAJ</v>
      </c>
    </row>
    <row r="1146" spans="1:37" ht="15.75" hidden="1" customHeight="1" x14ac:dyDescent="0.2">
      <c r="A1146" s="1">
        <v>1519902</v>
      </c>
      <c r="B1146" s="1" t="s">
        <v>2077</v>
      </c>
      <c r="C1146" s="1" t="s">
        <v>57</v>
      </c>
      <c r="D1146" s="1" t="s">
        <v>2229</v>
      </c>
      <c r="E1146" s="1" t="s">
        <v>355</v>
      </c>
      <c r="F1146" s="1" t="s">
        <v>37</v>
      </c>
      <c r="G1146" s="1" t="s">
        <v>2230</v>
      </c>
      <c r="H1146" s="1">
        <v>1755</v>
      </c>
      <c r="I1146" s="1" t="s">
        <v>85</v>
      </c>
      <c r="J1146" s="1">
        <v>12</v>
      </c>
      <c r="K1146" s="1" t="s">
        <v>35</v>
      </c>
      <c r="L1146" s="1">
        <v>53</v>
      </c>
      <c r="M1146" s="1" t="str">
        <f>IF(L1146&lt;=45,"Joven","Mayor")</f>
        <v>Mayor</v>
      </c>
      <c r="N1146" s="1">
        <v>55</v>
      </c>
      <c r="O1146" s="1" t="s">
        <v>36</v>
      </c>
      <c r="P1146" s="1">
        <v>0.55900000000000005</v>
      </c>
      <c r="Q1146" s="1">
        <v>88.832999999999998</v>
      </c>
      <c r="R1146" s="1">
        <v>5.0181412999999999</v>
      </c>
      <c r="S1146" s="1">
        <v>7.4358550000000001</v>
      </c>
      <c r="T1146" s="1">
        <v>-5.0670989999999998</v>
      </c>
      <c r="U1146" s="1">
        <v>0.83799999999999997</v>
      </c>
      <c r="V1146" s="1">
        <v>91</v>
      </c>
      <c r="W1146" s="1">
        <v>169</v>
      </c>
      <c r="X1146" s="1">
        <v>1.8571428571428572</v>
      </c>
      <c r="Y1146" s="1">
        <v>93</v>
      </c>
      <c r="Z1146" s="1">
        <v>169</v>
      </c>
      <c r="AA1146" s="1">
        <v>1.8172043010752688</v>
      </c>
      <c r="AB1146" s="1">
        <v>94.883838770576631</v>
      </c>
      <c r="AC1146" s="1">
        <v>168.69282834752809</v>
      </c>
      <c r="AD1146" s="1">
        <v>1.7778878946436507</v>
      </c>
      <c r="AE1146" t="s">
        <v>4815</v>
      </c>
      <c r="AF1146" t="str">
        <f>IF(X1146&lt;$AF$1,"Bajo","Alto")</f>
        <v>Alto</v>
      </c>
      <c r="AG1146" t="str">
        <f>LEFT(AE1146,1)</f>
        <v>I</v>
      </c>
      <c r="AH1146" t="str">
        <f>K1146</f>
        <v>M</v>
      </c>
      <c r="AI1146" t="str">
        <f>LEFT(AF1146,1)</f>
        <v>A</v>
      </c>
      <c r="AJ1146" t="str">
        <f>LEFT(M1146,1)</f>
        <v>M</v>
      </c>
      <c r="AK1146" t="str">
        <f>_xlfn.CONCAT(AG1146,AH1146,AI1146,AJ1146)</f>
        <v>IMAM</v>
      </c>
    </row>
    <row r="1147" spans="1:37" ht="15.75" hidden="1" customHeight="1" x14ac:dyDescent="0.2">
      <c r="A1147" s="1">
        <v>288001</v>
      </c>
      <c r="B1147" s="1" t="s">
        <v>1775</v>
      </c>
      <c r="C1147" s="1" t="s">
        <v>561</v>
      </c>
      <c r="D1147" s="1" t="s">
        <v>3885</v>
      </c>
      <c r="E1147" s="1" t="s">
        <v>744</v>
      </c>
      <c r="F1147" s="1" t="s">
        <v>32</v>
      </c>
      <c r="G1147" s="1" t="s">
        <v>3886</v>
      </c>
      <c r="H1147" s="1">
        <v>7352</v>
      </c>
      <c r="I1147" s="1" t="s">
        <v>100</v>
      </c>
      <c r="J1147" s="1">
        <v>1</v>
      </c>
      <c r="K1147" s="1" t="s">
        <v>35</v>
      </c>
      <c r="L1147" s="1">
        <v>44</v>
      </c>
      <c r="M1147" s="1" t="str">
        <f>IF(L1147&lt;=45,"Joven","Mayor")</f>
        <v>Joven</v>
      </c>
      <c r="N1147" s="1">
        <v>47</v>
      </c>
      <c r="O1147" s="1" t="s">
        <v>36</v>
      </c>
      <c r="P1147" s="1">
        <v>0.33800000000000002</v>
      </c>
      <c r="Q1147" s="1">
        <v>93.122</v>
      </c>
      <c r="R1147" s="1">
        <v>2.5786959999999999</v>
      </c>
      <c r="S1147" s="1">
        <v>2.4367391999999999</v>
      </c>
      <c r="T1147" s="1">
        <v>-7.7279925</v>
      </c>
      <c r="U1147" s="1">
        <v>6.71</v>
      </c>
      <c r="V1147" s="1">
        <v>88</v>
      </c>
      <c r="W1147" s="1">
        <v>147</v>
      </c>
      <c r="X1147" s="1">
        <v>1.6704545454545454</v>
      </c>
      <c r="Y1147" s="1">
        <v>90</v>
      </c>
      <c r="Z1147" s="1">
        <v>147</v>
      </c>
      <c r="AA1147" s="1">
        <v>1.6333333333333333</v>
      </c>
      <c r="AB1147" s="1">
        <v>93.251915291354635</v>
      </c>
      <c r="AC1147" s="1">
        <v>146.47171223725451</v>
      </c>
      <c r="AD1147" s="1">
        <v>1.5707099610728732</v>
      </c>
      <c r="AE1147" t="s">
        <v>4817</v>
      </c>
      <c r="AF1147" t="str">
        <f>IF(X1147&lt;$AF$1,"Bajo","Alto")</f>
        <v>Bajo</v>
      </c>
      <c r="AG1147" t="str">
        <f>LEFT(AE1147,1)</f>
        <v>C</v>
      </c>
      <c r="AH1147" t="str">
        <f>K1147</f>
        <v>M</v>
      </c>
      <c r="AI1147" t="str">
        <f>LEFT(AF1147,1)</f>
        <v>B</v>
      </c>
      <c r="AJ1147" t="str">
        <f>LEFT(M1147,1)</f>
        <v>J</v>
      </c>
      <c r="AK1147" t="str">
        <f>_xlfn.CONCAT(AG1147,AH1147,AI1147,AJ1147)</f>
        <v>CMBJ</v>
      </c>
    </row>
    <row r="1148" spans="1:37" ht="15.75" hidden="1" customHeight="1" x14ac:dyDescent="0.2">
      <c r="A1148" s="1">
        <v>1241510</v>
      </c>
      <c r="B1148" s="1" t="s">
        <v>1798</v>
      </c>
      <c r="C1148" s="1" t="s">
        <v>54</v>
      </c>
      <c r="D1148" s="1" t="s">
        <v>1844</v>
      </c>
      <c r="E1148" s="1" t="s">
        <v>1845</v>
      </c>
      <c r="F1148" s="1" t="s">
        <v>75</v>
      </c>
      <c r="G1148" s="1" t="s">
        <v>1853</v>
      </c>
      <c r="H1148" s="1">
        <v>56</v>
      </c>
      <c r="I1148" s="1" t="s">
        <v>48</v>
      </c>
      <c r="J1148" s="1">
        <v>4</v>
      </c>
      <c r="K1148" s="1" t="s">
        <v>35</v>
      </c>
      <c r="L1148" s="1">
        <v>48</v>
      </c>
      <c r="M1148" s="1" t="str">
        <f>IF(L1148&lt;=45,"Joven","Mayor")</f>
        <v>Mayor</v>
      </c>
      <c r="N1148" s="1">
        <v>40</v>
      </c>
      <c r="O1148" s="1" t="s">
        <v>36</v>
      </c>
      <c r="P1148" s="1">
        <v>0.36199999999999999</v>
      </c>
      <c r="Q1148" s="1">
        <v>94.325000000000003</v>
      </c>
      <c r="R1148" s="1">
        <v>0.53826410000000002</v>
      </c>
      <c r="S1148" s="1">
        <v>-2.2895781999999998</v>
      </c>
      <c r="T1148" s="1">
        <v>1.8063316</v>
      </c>
      <c r="U1148" s="1">
        <v>1.4430000000000001</v>
      </c>
      <c r="V1148" s="1">
        <v>82</v>
      </c>
      <c r="W1148" s="1">
        <v>154</v>
      </c>
      <c r="X1148" s="1">
        <v>1.8780487804878048</v>
      </c>
      <c r="Y1148" s="1">
        <v>87</v>
      </c>
      <c r="Z1148" s="1">
        <v>154</v>
      </c>
      <c r="AA1148" s="1">
        <v>1.7701149425287357</v>
      </c>
      <c r="AB1148" s="1">
        <v>85.569834922202517</v>
      </c>
      <c r="AC1148" s="1">
        <v>154.0810808625574</v>
      </c>
      <c r="AD1148" s="1">
        <v>1.8006471673416597</v>
      </c>
      <c r="AE1148" t="s">
        <v>4817</v>
      </c>
      <c r="AF1148" t="str">
        <f>IF(X1148&lt;$AF$1,"Bajo","Alto")</f>
        <v>Alto</v>
      </c>
      <c r="AG1148" t="str">
        <f>LEFT(AE1148,1)</f>
        <v>C</v>
      </c>
      <c r="AH1148" t="str">
        <f>K1148</f>
        <v>M</v>
      </c>
      <c r="AI1148" t="str">
        <f>LEFT(AF1148,1)</f>
        <v>A</v>
      </c>
      <c r="AJ1148" t="str">
        <f>LEFT(M1148,1)</f>
        <v>M</v>
      </c>
      <c r="AK1148" t="str">
        <f>_xlfn.CONCAT(AG1148,AH1148,AI1148,AJ1148)</f>
        <v>CMAM</v>
      </c>
    </row>
    <row r="1149" spans="1:37" ht="15.75" hidden="1" customHeight="1" x14ac:dyDescent="0.2">
      <c r="A1149" s="1">
        <v>1072801</v>
      </c>
      <c r="B1149" s="1" t="s">
        <v>1067</v>
      </c>
      <c r="C1149" s="1" t="s">
        <v>1068</v>
      </c>
      <c r="D1149" s="1" t="s">
        <v>705</v>
      </c>
      <c r="E1149" s="1" t="s">
        <v>561</v>
      </c>
      <c r="F1149" s="1" t="s">
        <v>32</v>
      </c>
      <c r="G1149" s="1" t="s">
        <v>1335</v>
      </c>
      <c r="H1149" s="1">
        <v>353</v>
      </c>
      <c r="I1149" s="1" t="s">
        <v>39</v>
      </c>
      <c r="J1149" s="1">
        <v>11</v>
      </c>
      <c r="K1149" s="1" t="s">
        <v>35</v>
      </c>
      <c r="L1149" s="1">
        <v>49</v>
      </c>
      <c r="M1149" s="1" t="str">
        <f>IF(L1149&lt;=45,"Joven","Mayor")</f>
        <v>Mayor</v>
      </c>
      <c r="N1149" s="1">
        <v>65</v>
      </c>
      <c r="O1149" s="1" t="s">
        <v>36</v>
      </c>
      <c r="P1149" s="1">
        <v>0.35099999999999998</v>
      </c>
      <c r="Q1149" s="1">
        <v>89.888999999999996</v>
      </c>
      <c r="R1149" s="1">
        <v>5.6311739999999997</v>
      </c>
      <c r="S1149" s="1">
        <v>-3.4160748000000001</v>
      </c>
      <c r="T1149" s="1">
        <v>-0.80808245999999995</v>
      </c>
      <c r="U1149" s="1">
        <v>18.905999999999999</v>
      </c>
      <c r="V1149" s="1">
        <v>84</v>
      </c>
      <c r="W1149" s="1">
        <v>138</v>
      </c>
      <c r="X1149" s="1">
        <v>1.6428571428571428</v>
      </c>
      <c r="Y1149" s="1">
        <v>86</v>
      </c>
      <c r="Z1149" s="1">
        <v>138</v>
      </c>
      <c r="AA1149" s="1">
        <v>1.6046511627906976</v>
      </c>
      <c r="AB1149" s="1">
        <v>85.582453097462576</v>
      </c>
      <c r="AC1149" s="1">
        <v>138.05679129791</v>
      </c>
      <c r="AD1149" s="1">
        <v>1.6131436562199131</v>
      </c>
      <c r="AE1149" t="s">
        <v>4816</v>
      </c>
      <c r="AF1149" t="str">
        <f>IF(X1149&lt;$AF$1,"Bajo","Alto")</f>
        <v>Bajo</v>
      </c>
      <c r="AG1149" t="str">
        <f>LEFT(AE1149,1)</f>
        <v>D</v>
      </c>
      <c r="AH1149" t="str">
        <f>K1149</f>
        <v>M</v>
      </c>
      <c r="AI1149" t="str">
        <f>LEFT(AF1149,1)</f>
        <v>B</v>
      </c>
      <c r="AJ1149" t="str">
        <f>LEFT(M1149,1)</f>
        <v>M</v>
      </c>
      <c r="AK1149" t="str">
        <f>_xlfn.CONCAT(AG1149,AH1149,AI1149,AJ1149)</f>
        <v>DMBM</v>
      </c>
    </row>
    <row r="1150" spans="1:37" ht="15.75" hidden="1" customHeight="1" x14ac:dyDescent="0.2">
      <c r="A1150" s="1">
        <v>10117502</v>
      </c>
      <c r="B1150" s="1" t="s">
        <v>29</v>
      </c>
      <c r="C1150" s="1" t="s">
        <v>30</v>
      </c>
      <c r="D1150" s="1" t="s">
        <v>295</v>
      </c>
      <c r="E1150" s="1" t="s">
        <v>296</v>
      </c>
      <c r="F1150" s="1" t="s">
        <v>37</v>
      </c>
      <c r="G1150" s="1" t="s">
        <v>297</v>
      </c>
      <c r="H1150" s="1">
        <v>1956</v>
      </c>
      <c r="I1150" s="1" t="s">
        <v>65</v>
      </c>
      <c r="J1150" s="1">
        <v>2</v>
      </c>
      <c r="K1150" s="1" t="s">
        <v>35</v>
      </c>
      <c r="L1150" s="1">
        <v>61</v>
      </c>
      <c r="M1150" s="1" t="str">
        <f>IF(L1150&lt;=45,"Joven","Mayor")</f>
        <v>Mayor</v>
      </c>
      <c r="N1150" s="1">
        <v>71</v>
      </c>
      <c r="O1150" s="1" t="s">
        <v>36</v>
      </c>
      <c r="P1150" s="1">
        <v>0.36</v>
      </c>
      <c r="Q1150" s="1">
        <v>82.88</v>
      </c>
      <c r="R1150" s="1">
        <v>-8.5710110000000004</v>
      </c>
      <c r="S1150" s="1">
        <v>-6.5623420000000001</v>
      </c>
      <c r="T1150" s="1">
        <v>4.4664945999999999</v>
      </c>
      <c r="U1150" s="1">
        <v>2.1389999999999998</v>
      </c>
      <c r="V1150" s="1">
        <v>90</v>
      </c>
      <c r="W1150" s="1">
        <v>169</v>
      </c>
      <c r="X1150" s="1">
        <v>1.8777777777777778</v>
      </c>
      <c r="Y1150" s="1">
        <v>95</v>
      </c>
      <c r="Z1150" s="1">
        <v>169</v>
      </c>
      <c r="AA1150" s="1">
        <v>1.7789473684210526</v>
      </c>
      <c r="AB1150" s="1">
        <v>93.231098755914445</v>
      </c>
      <c r="AC1150" s="1">
        <v>168.954011161572</v>
      </c>
      <c r="AD1150" s="1">
        <v>1.812206585743513</v>
      </c>
      <c r="AE1150" t="s">
        <v>4817</v>
      </c>
      <c r="AF1150" t="str">
        <f>IF(X1150&lt;$AF$1,"Bajo","Alto")</f>
        <v>Alto</v>
      </c>
      <c r="AG1150" t="str">
        <f>LEFT(AE1150,1)</f>
        <v>C</v>
      </c>
      <c r="AH1150" t="str">
        <f>K1150</f>
        <v>M</v>
      </c>
      <c r="AI1150" t="str">
        <f>LEFT(AF1150,1)</f>
        <v>A</v>
      </c>
      <c r="AJ1150" t="str">
        <f>LEFT(M1150,1)</f>
        <v>M</v>
      </c>
      <c r="AK1150" t="str">
        <f>_xlfn.CONCAT(AG1150,AH1150,AI1150,AJ1150)</f>
        <v>CMAM</v>
      </c>
    </row>
    <row r="1151" spans="1:37" ht="15.75" hidden="1" customHeight="1" x14ac:dyDescent="0.2">
      <c r="A1151" s="1">
        <v>1018503</v>
      </c>
      <c r="B1151" s="1" t="s">
        <v>29</v>
      </c>
      <c r="C1151" s="1" t="s">
        <v>30</v>
      </c>
      <c r="D1151" s="1" t="s">
        <v>754</v>
      </c>
      <c r="E1151" s="1" t="s">
        <v>755</v>
      </c>
      <c r="F1151" s="1" t="s">
        <v>63</v>
      </c>
      <c r="G1151" s="1" t="s">
        <v>758</v>
      </c>
      <c r="H1151" s="1">
        <v>12</v>
      </c>
      <c r="I1151" s="1" t="s">
        <v>73</v>
      </c>
      <c r="J1151" s="1">
        <v>5</v>
      </c>
      <c r="K1151" s="1" t="s">
        <v>49</v>
      </c>
      <c r="L1151" s="1">
        <v>32</v>
      </c>
      <c r="M1151" s="1" t="str">
        <f>IF(L1151&lt;=45,"Joven","Mayor")</f>
        <v>Joven</v>
      </c>
      <c r="N1151" s="1">
        <v>34</v>
      </c>
      <c r="O1151" s="1" t="s">
        <v>50</v>
      </c>
      <c r="P1151" s="1">
        <v>0.36099999999999999</v>
      </c>
      <c r="Q1151" s="1">
        <v>91.387</v>
      </c>
      <c r="R1151" s="1">
        <v>3.2785777999999999</v>
      </c>
      <c r="S1151" s="1">
        <v>6.2370679999999998</v>
      </c>
      <c r="T1151" s="1">
        <v>-2.6163585</v>
      </c>
      <c r="U1151" s="1">
        <v>1.611</v>
      </c>
      <c r="V1151" s="1">
        <v>87</v>
      </c>
      <c r="W1151" s="1">
        <v>145</v>
      </c>
      <c r="X1151" s="1">
        <v>1.6666666666666667</v>
      </c>
      <c r="Y1151" s="1">
        <v>89</v>
      </c>
      <c r="Z1151" s="1">
        <v>145</v>
      </c>
      <c r="AA1151" s="1">
        <v>1.6292134831460674</v>
      </c>
      <c r="AB1151" s="1">
        <v>88.826533728809864</v>
      </c>
      <c r="AC1151" s="1">
        <v>145.12273795015841</v>
      </c>
      <c r="AD1151" s="1">
        <v>1.6337768891581719</v>
      </c>
      <c r="AE1151" t="s">
        <v>4817</v>
      </c>
      <c r="AF1151" t="str">
        <f>IF(X1151&lt;$AF$1,"Bajo","Alto")</f>
        <v>Bajo</v>
      </c>
      <c r="AG1151" t="str">
        <f>LEFT(AE1151,1)</f>
        <v>C</v>
      </c>
      <c r="AH1151" t="str">
        <f>K1151</f>
        <v>F</v>
      </c>
      <c r="AI1151" t="str">
        <f>LEFT(AF1151,1)</f>
        <v>B</v>
      </c>
      <c r="AJ1151" t="str">
        <f>LEFT(M1151,1)</f>
        <v>J</v>
      </c>
      <c r="AK1151" t="str">
        <f>_xlfn.CONCAT(AG1151,AH1151,AI1151,AJ1151)</f>
        <v>CFBJ</v>
      </c>
    </row>
    <row r="1152" spans="1:37" ht="15.75" hidden="1" customHeight="1" x14ac:dyDescent="0.2">
      <c r="A1152" s="1">
        <v>3112405</v>
      </c>
      <c r="B1152" s="1" t="s">
        <v>4122</v>
      </c>
      <c r="C1152" s="1" t="s">
        <v>628</v>
      </c>
      <c r="D1152" s="1" t="s">
        <v>4167</v>
      </c>
      <c r="E1152" s="1" t="s">
        <v>145</v>
      </c>
      <c r="F1152" s="1" t="s">
        <v>40</v>
      </c>
      <c r="G1152" s="1" t="s">
        <v>4169</v>
      </c>
      <c r="H1152" s="1">
        <v>4607</v>
      </c>
      <c r="I1152" s="1" t="s">
        <v>134</v>
      </c>
      <c r="J1152" s="1">
        <v>8</v>
      </c>
      <c r="K1152" s="1" t="s">
        <v>35</v>
      </c>
      <c r="L1152" s="1">
        <v>35</v>
      </c>
      <c r="M1152" s="1" t="str">
        <f>IF(L1152&lt;=45,"Joven","Mayor")</f>
        <v>Joven</v>
      </c>
      <c r="N1152" s="1">
        <v>51</v>
      </c>
      <c r="O1152" s="1" t="s">
        <v>36</v>
      </c>
      <c r="P1152" s="1">
        <v>0.27200000000000002</v>
      </c>
      <c r="Q1152" s="1">
        <v>88.766000000000005</v>
      </c>
      <c r="R1152" s="1">
        <v>5.5213747</v>
      </c>
      <c r="S1152" s="1">
        <v>6.4845861999999999</v>
      </c>
      <c r="T1152" s="1">
        <v>-9.4098109999999995</v>
      </c>
      <c r="U1152" s="1">
        <v>14.32</v>
      </c>
      <c r="V1152" s="1">
        <v>90</v>
      </c>
      <c r="W1152" s="1">
        <v>170</v>
      </c>
      <c r="X1152" s="1">
        <v>1.8888888888888888</v>
      </c>
      <c r="Y1152" s="1">
        <v>100</v>
      </c>
      <c r="Z1152" s="1">
        <v>170</v>
      </c>
      <c r="AA1152" s="1">
        <v>1.7</v>
      </c>
      <c r="AB1152" s="1">
        <v>98.108185216205584</v>
      </c>
      <c r="AC1152" s="1">
        <v>170.49192383601081</v>
      </c>
      <c r="AD1152" s="1">
        <v>1.7377951030313099</v>
      </c>
      <c r="AE1152" t="s">
        <v>4817</v>
      </c>
      <c r="AF1152" t="str">
        <f>IF(X1152&lt;$AF$1,"Bajo","Alto")</f>
        <v>Alto</v>
      </c>
      <c r="AG1152" t="str">
        <f>LEFT(AE1152,1)</f>
        <v>C</v>
      </c>
      <c r="AH1152" t="str">
        <f>K1152</f>
        <v>M</v>
      </c>
      <c r="AI1152" t="str">
        <f>LEFT(AF1152,1)</f>
        <v>A</v>
      </c>
      <c r="AJ1152" t="str">
        <f>LEFT(M1152,1)</f>
        <v>J</v>
      </c>
      <c r="AK1152" t="str">
        <f>_xlfn.CONCAT(AG1152,AH1152,AI1152,AJ1152)</f>
        <v>CMAJ</v>
      </c>
    </row>
    <row r="1153" spans="1:37" ht="15.75" hidden="1" customHeight="1" x14ac:dyDescent="0.2">
      <c r="A1153" s="1">
        <v>1050104</v>
      </c>
      <c r="B1153" s="1" t="s">
        <v>694</v>
      </c>
      <c r="C1153" s="1" t="s">
        <v>879</v>
      </c>
      <c r="D1153" s="1" t="s">
        <v>880</v>
      </c>
      <c r="E1153" s="1" t="s">
        <v>32</v>
      </c>
      <c r="F1153" s="1" t="s">
        <v>61</v>
      </c>
      <c r="G1153" s="1" t="s">
        <v>882</v>
      </c>
      <c r="H1153" s="1">
        <v>20340</v>
      </c>
      <c r="I1153" s="1" t="s">
        <v>42</v>
      </c>
      <c r="J1153" s="1">
        <v>15</v>
      </c>
      <c r="K1153" s="1" t="s">
        <v>35</v>
      </c>
      <c r="L1153" s="1">
        <v>33</v>
      </c>
      <c r="M1153" s="1" t="str">
        <f>IF(L1153&lt;=45,"Joven","Mayor")</f>
        <v>Joven</v>
      </c>
      <c r="N1153" s="1">
        <v>33</v>
      </c>
      <c r="O1153" s="1" t="s">
        <v>36</v>
      </c>
      <c r="P1153" s="1">
        <v>0.26300000000000001</v>
      </c>
      <c r="Q1153" s="1">
        <v>94.287999999999997</v>
      </c>
      <c r="R1153" s="1">
        <v>-0.84490460000000001</v>
      </c>
      <c r="S1153" s="1">
        <v>-1.8178291</v>
      </c>
      <c r="T1153" s="1">
        <v>1.3185853999999999</v>
      </c>
      <c r="U1153" s="1">
        <v>21.721</v>
      </c>
      <c r="V1153" s="1">
        <v>82</v>
      </c>
      <c r="W1153" s="1">
        <v>137</v>
      </c>
      <c r="X1153" s="1">
        <v>1.6707317073170731</v>
      </c>
      <c r="Y1153" s="1">
        <v>83</v>
      </c>
      <c r="Z1153" s="1">
        <v>137</v>
      </c>
      <c r="AA1153" s="1">
        <v>1.6506024096385543</v>
      </c>
      <c r="AB1153" s="1">
        <v>83.829451527968331</v>
      </c>
      <c r="AC1153" s="1">
        <v>137.05576855738079</v>
      </c>
      <c r="AD1153" s="1">
        <v>1.6349357661209838</v>
      </c>
      <c r="AE1153" t="s">
        <v>4817</v>
      </c>
      <c r="AF1153" t="str">
        <f>IF(X1153&lt;$AF$1,"Bajo","Alto")</f>
        <v>Bajo</v>
      </c>
      <c r="AG1153" t="str">
        <f>LEFT(AE1153,1)</f>
        <v>C</v>
      </c>
      <c r="AH1153" t="str">
        <f>K1153</f>
        <v>M</v>
      </c>
      <c r="AI1153" t="str">
        <f>LEFT(AF1153,1)</f>
        <v>B</v>
      </c>
      <c r="AJ1153" t="str">
        <f>LEFT(M1153,1)</f>
        <v>J</v>
      </c>
      <c r="AK1153" t="str">
        <f>_xlfn.CONCAT(AG1153,AH1153,AI1153,AJ1153)</f>
        <v>CMBJ</v>
      </c>
    </row>
    <row r="1154" spans="1:37" ht="15.75" hidden="1" customHeight="1" x14ac:dyDescent="0.2">
      <c r="A1154" s="1">
        <v>2828002</v>
      </c>
      <c r="B1154" s="1" t="s">
        <v>1775</v>
      </c>
      <c r="C1154" s="1" t="s">
        <v>561</v>
      </c>
      <c r="D1154" s="1" t="s">
        <v>1775</v>
      </c>
      <c r="E1154" s="1" t="s">
        <v>556</v>
      </c>
      <c r="F1154" s="1" t="s">
        <v>37</v>
      </c>
      <c r="G1154" s="1" t="s">
        <v>3832</v>
      </c>
      <c r="H1154" s="1">
        <v>7702</v>
      </c>
      <c r="I1154" s="1" t="s">
        <v>39</v>
      </c>
      <c r="J1154" s="1">
        <v>11</v>
      </c>
      <c r="K1154" s="1" t="s">
        <v>49</v>
      </c>
      <c r="L1154" s="1">
        <v>44</v>
      </c>
      <c r="M1154" s="1" t="str">
        <f>IF(L1154&lt;=45,"Joven","Mayor")</f>
        <v>Joven</v>
      </c>
      <c r="N1154" s="1">
        <v>49</v>
      </c>
      <c r="O1154" s="1" t="s">
        <v>50</v>
      </c>
      <c r="P1154" s="1">
        <v>2.3959999999999999</v>
      </c>
      <c r="Q1154" s="1">
        <v>58.444000000000003</v>
      </c>
      <c r="R1154" s="1">
        <v>14.561534</v>
      </c>
      <c r="S1154" s="1">
        <v>-2.1053060000000001</v>
      </c>
      <c r="T1154" s="1">
        <v>-11.8523</v>
      </c>
      <c r="U1154" s="1">
        <v>25.4</v>
      </c>
      <c r="V1154" s="1">
        <v>64</v>
      </c>
      <c r="W1154" s="1">
        <v>121</v>
      </c>
      <c r="X1154" s="1">
        <v>1.890625</v>
      </c>
      <c r="Y1154" s="1">
        <v>73</v>
      </c>
      <c r="Z1154" s="1">
        <v>121</v>
      </c>
      <c r="AA1154" s="1">
        <v>1.6575342465753424</v>
      </c>
      <c r="AB1154" s="1">
        <v>70.234951090670847</v>
      </c>
      <c r="AC1154" s="1">
        <v>121.0903814656926</v>
      </c>
      <c r="AD1154" s="1">
        <v>1.7240758281353281</v>
      </c>
      <c r="AE1154" t="s">
        <v>4816</v>
      </c>
      <c r="AF1154" t="str">
        <f>IF(X1154&lt;$AF$1,"Bajo","Alto")</f>
        <v>Alto</v>
      </c>
      <c r="AG1154" t="str">
        <f>LEFT(AE1154,1)</f>
        <v>D</v>
      </c>
      <c r="AH1154" t="str">
        <f>K1154</f>
        <v>F</v>
      </c>
      <c r="AI1154" t="str">
        <f>LEFT(AF1154,1)</f>
        <v>A</v>
      </c>
      <c r="AJ1154" t="str">
        <f>LEFT(M1154,1)</f>
        <v>J</v>
      </c>
      <c r="AK1154" t="str">
        <f>_xlfn.CONCAT(AG1154,AH1154,AI1154,AJ1154)</f>
        <v>DFAJ</v>
      </c>
    </row>
    <row r="1155" spans="1:37" ht="15.75" hidden="1" customHeight="1" x14ac:dyDescent="0.2">
      <c r="A1155" s="1">
        <v>131303</v>
      </c>
      <c r="B1155" s="1" t="s">
        <v>956</v>
      </c>
      <c r="C1155" s="1" t="s">
        <v>163</v>
      </c>
      <c r="D1155" s="1" t="s">
        <v>1973</v>
      </c>
      <c r="E1155" s="1" t="s">
        <v>163</v>
      </c>
      <c r="F1155" s="1" t="s">
        <v>63</v>
      </c>
      <c r="G1155" s="1" t="s">
        <v>1975</v>
      </c>
      <c r="H1155" s="1">
        <v>1707</v>
      </c>
      <c r="I1155" s="1" t="s">
        <v>65</v>
      </c>
      <c r="J1155" s="1">
        <v>2</v>
      </c>
      <c r="K1155" s="1" t="s">
        <v>35</v>
      </c>
      <c r="L1155" s="1">
        <v>38</v>
      </c>
      <c r="M1155" s="1" t="str">
        <f>IF(L1155&lt;=45,"Joven","Mayor")</f>
        <v>Joven</v>
      </c>
      <c r="N1155" s="1">
        <v>35</v>
      </c>
      <c r="O1155" s="1" t="s">
        <v>36</v>
      </c>
      <c r="P1155" s="1">
        <v>0.35899999999999999</v>
      </c>
      <c r="Q1155" s="1">
        <v>94.415999999999997</v>
      </c>
      <c r="R1155" s="1">
        <v>0.85217790000000004</v>
      </c>
      <c r="S1155" s="1">
        <v>0.92970059999999999</v>
      </c>
      <c r="T1155" s="1">
        <v>-4.0653252999999996</v>
      </c>
      <c r="U1155" s="1">
        <v>65.399000000000001</v>
      </c>
      <c r="V1155" s="1">
        <v>79</v>
      </c>
      <c r="W1155" s="1">
        <v>132</v>
      </c>
      <c r="X1155" s="1">
        <v>1.6708860759493671</v>
      </c>
      <c r="Y1155" s="1">
        <v>80</v>
      </c>
      <c r="Z1155" s="1">
        <v>132</v>
      </c>
      <c r="AA1155" s="1">
        <v>1.65</v>
      </c>
      <c r="AB1155" s="1">
        <v>82.279992305515862</v>
      </c>
      <c r="AC1155" s="1">
        <v>131.88055217014741</v>
      </c>
      <c r="AD1155" s="1">
        <v>1.6028265010096074</v>
      </c>
      <c r="AE1155" t="s">
        <v>4817</v>
      </c>
      <c r="AF1155" t="str">
        <f>IF(X1155&lt;$AF$1,"Bajo","Alto")</f>
        <v>Bajo</v>
      </c>
      <c r="AG1155" t="str">
        <f>LEFT(AE1155,1)</f>
        <v>C</v>
      </c>
      <c r="AH1155" t="str">
        <f>K1155</f>
        <v>M</v>
      </c>
      <c r="AI1155" t="str">
        <f>LEFT(AF1155,1)</f>
        <v>B</v>
      </c>
      <c r="AJ1155" t="str">
        <f>LEFT(M1155,1)</f>
        <v>J</v>
      </c>
      <c r="AK1155" t="str">
        <f>_xlfn.CONCAT(AG1155,AH1155,AI1155,AJ1155)</f>
        <v>CMBJ</v>
      </c>
    </row>
    <row r="1156" spans="1:37" ht="15.75" hidden="1" customHeight="1" x14ac:dyDescent="0.2">
      <c r="A1156" s="1">
        <v>154606</v>
      </c>
      <c r="B1156" s="1" t="s">
        <v>2077</v>
      </c>
      <c r="C1156" s="1" t="s">
        <v>57</v>
      </c>
      <c r="D1156" s="1" t="s">
        <v>2464</v>
      </c>
      <c r="E1156" s="1" t="s">
        <v>669</v>
      </c>
      <c r="F1156" s="1" t="s">
        <v>88</v>
      </c>
      <c r="G1156" s="1" t="s">
        <v>2468</v>
      </c>
      <c r="H1156" s="1">
        <v>3245</v>
      </c>
      <c r="I1156" s="1" t="s">
        <v>2469</v>
      </c>
      <c r="J1156" s="1">
        <v>4068</v>
      </c>
      <c r="K1156" s="1" t="s">
        <v>35</v>
      </c>
      <c r="L1156" s="1">
        <v>40</v>
      </c>
      <c r="M1156" s="1" t="str">
        <f>IF(L1156&lt;=45,"Joven","Mayor")</f>
        <v>Joven</v>
      </c>
      <c r="N1156" s="1">
        <v>35</v>
      </c>
      <c r="O1156" s="1" t="s">
        <v>36</v>
      </c>
      <c r="P1156" s="1">
        <v>0.28999999999999998</v>
      </c>
      <c r="Q1156" s="1">
        <v>92.971999999999994</v>
      </c>
      <c r="R1156" s="1">
        <v>0.16110879</v>
      </c>
      <c r="S1156" s="1">
        <v>7.8417992999999999</v>
      </c>
      <c r="T1156" s="1">
        <v>-0.58940800000000004</v>
      </c>
      <c r="U1156" s="1">
        <v>9.3780000000000001</v>
      </c>
      <c r="V1156" s="1">
        <v>116</v>
      </c>
      <c r="W1156" s="1">
        <v>194</v>
      </c>
      <c r="X1156" s="1">
        <v>1.6724137931034482</v>
      </c>
      <c r="Y1156" s="1">
        <v>117</v>
      </c>
      <c r="Z1156" s="1">
        <v>194</v>
      </c>
      <c r="AA1156" s="1">
        <v>1.6581196581196582</v>
      </c>
      <c r="AB1156" s="1">
        <v>116.5699302379944</v>
      </c>
      <c r="AC1156" s="1">
        <v>194.05145667353241</v>
      </c>
      <c r="AD1156" s="1">
        <v>1.664678500513368</v>
      </c>
      <c r="AE1156" t="s">
        <v>4817</v>
      </c>
      <c r="AF1156" t="str">
        <f>IF(X1156&lt;$AF$1,"Bajo","Alto")</f>
        <v>Bajo</v>
      </c>
      <c r="AG1156" t="str">
        <f>LEFT(AE1156,1)</f>
        <v>C</v>
      </c>
      <c r="AH1156" t="str">
        <f>K1156</f>
        <v>M</v>
      </c>
      <c r="AI1156" t="str">
        <f>LEFT(AF1156,1)</f>
        <v>B</v>
      </c>
      <c r="AJ1156" t="str">
        <f>LEFT(M1156,1)</f>
        <v>J</v>
      </c>
      <c r="AK1156" t="str">
        <f>_xlfn.CONCAT(AG1156,AH1156,AI1156,AJ1156)</f>
        <v>CMBJ</v>
      </c>
    </row>
    <row r="1157" spans="1:37" ht="15.75" hidden="1" customHeight="1" x14ac:dyDescent="0.2">
      <c r="A1157" s="1">
        <v>1052603</v>
      </c>
      <c r="B1157" s="1" t="s">
        <v>694</v>
      </c>
      <c r="C1157" s="1" t="s">
        <v>879</v>
      </c>
      <c r="D1157" s="1" t="s">
        <v>967</v>
      </c>
      <c r="E1157" s="1" t="s">
        <v>968</v>
      </c>
      <c r="F1157" s="1" t="s">
        <v>63</v>
      </c>
      <c r="G1157" s="1" t="s">
        <v>971</v>
      </c>
      <c r="H1157" s="1">
        <v>15</v>
      </c>
      <c r="I1157" s="1" t="s">
        <v>108</v>
      </c>
      <c r="J1157" s="1">
        <v>3</v>
      </c>
      <c r="K1157" s="1" t="s">
        <v>49</v>
      </c>
      <c r="L1157" s="1">
        <v>40</v>
      </c>
      <c r="M1157" s="1" t="str">
        <f>IF(L1157&lt;=45,"Joven","Mayor")</f>
        <v>Joven</v>
      </c>
      <c r="N1157" s="1">
        <v>37</v>
      </c>
      <c r="O1157" s="1" t="s">
        <v>50</v>
      </c>
      <c r="P1157" s="1">
        <v>0.999</v>
      </c>
      <c r="Q1157" s="1">
        <v>90.638000000000005</v>
      </c>
      <c r="R1157" s="1">
        <v>5.4865890000000004</v>
      </c>
      <c r="S1157" s="1">
        <v>0.69341019999999998</v>
      </c>
      <c r="T1157" s="1">
        <v>-2.8067481999999999</v>
      </c>
      <c r="U1157" s="1">
        <v>50.680999999999997</v>
      </c>
      <c r="V1157" s="1">
        <v>89</v>
      </c>
      <c r="W1157" s="1">
        <v>170</v>
      </c>
      <c r="X1157" s="1">
        <v>1.9101123595505618</v>
      </c>
      <c r="Y1157" s="1">
        <v>89</v>
      </c>
      <c r="Z1157" s="1">
        <v>170</v>
      </c>
      <c r="AA1157" s="1">
        <v>1.9101123595505618</v>
      </c>
      <c r="AB1157" s="1">
        <v>90.998832058004837</v>
      </c>
      <c r="AC1157" s="1">
        <v>169.55122704923221</v>
      </c>
      <c r="AD1157" s="1">
        <v>1.8632242108465327</v>
      </c>
      <c r="AE1157" t="s">
        <v>4817</v>
      </c>
      <c r="AF1157" t="str">
        <f>IF(X1157&lt;$AF$1,"Bajo","Alto")</f>
        <v>Alto</v>
      </c>
      <c r="AG1157" t="str">
        <f>LEFT(AE1157,1)</f>
        <v>C</v>
      </c>
      <c r="AH1157" t="str">
        <f>K1157</f>
        <v>F</v>
      </c>
      <c r="AI1157" t="str">
        <f>LEFT(AF1157,1)</f>
        <v>A</v>
      </c>
      <c r="AJ1157" t="str">
        <f>LEFT(M1157,1)</f>
        <v>J</v>
      </c>
      <c r="AK1157" t="str">
        <f>_xlfn.CONCAT(AG1157,AH1157,AI1157,AJ1157)</f>
        <v>CFAJ</v>
      </c>
    </row>
    <row r="1158" spans="1:37" ht="15.75" hidden="1" customHeight="1" x14ac:dyDescent="0.2">
      <c r="A1158" s="1">
        <v>10121102</v>
      </c>
      <c r="B1158" s="1" t="s">
        <v>29</v>
      </c>
      <c r="C1158" s="1" t="s">
        <v>30</v>
      </c>
      <c r="D1158" s="1" t="s">
        <v>386</v>
      </c>
      <c r="E1158" s="1" t="s">
        <v>387</v>
      </c>
      <c r="F1158" s="1" t="s">
        <v>37</v>
      </c>
      <c r="G1158" s="1" t="s">
        <v>388</v>
      </c>
      <c r="H1158" s="1">
        <v>4726</v>
      </c>
      <c r="I1158" s="1" t="s">
        <v>108</v>
      </c>
      <c r="J1158" s="1">
        <v>3</v>
      </c>
      <c r="K1158" s="1" t="s">
        <v>35</v>
      </c>
      <c r="L1158" s="1">
        <v>52</v>
      </c>
      <c r="M1158" s="1" t="str">
        <f>IF(L1158&lt;=45,"Joven","Mayor")</f>
        <v>Mayor</v>
      </c>
      <c r="N1158" s="1">
        <v>69</v>
      </c>
      <c r="O1158" s="1" t="s">
        <v>36</v>
      </c>
      <c r="P1158" s="1">
        <v>0.36199999999999999</v>
      </c>
      <c r="Q1158" s="1">
        <v>91.245000000000005</v>
      </c>
      <c r="R1158" s="1">
        <v>4.7865715</v>
      </c>
      <c r="S1158" s="1">
        <v>2.2412830000000001</v>
      </c>
      <c r="T1158" s="1">
        <v>-8.7458109999999998</v>
      </c>
      <c r="U1158" s="1">
        <v>0.94899999999999995</v>
      </c>
      <c r="V1158" s="1">
        <v>108</v>
      </c>
      <c r="W1158" s="1">
        <v>178</v>
      </c>
      <c r="X1158" s="1">
        <v>1.6481481481481481</v>
      </c>
      <c r="Y1158" s="1">
        <v>113</v>
      </c>
      <c r="Z1158" s="1">
        <v>178</v>
      </c>
      <c r="AA1158" s="1">
        <v>1.5752212389380531</v>
      </c>
      <c r="AB1158" s="1">
        <v>113.8906468915645</v>
      </c>
      <c r="AC1158" s="1">
        <v>176.23443036250961</v>
      </c>
      <c r="AD1158" s="1">
        <v>1.547400380738049</v>
      </c>
      <c r="AE1158" t="s">
        <v>4817</v>
      </c>
      <c r="AF1158" t="str">
        <f>IF(X1158&lt;$AF$1,"Bajo","Alto")</f>
        <v>Bajo</v>
      </c>
      <c r="AG1158" t="str">
        <f>LEFT(AE1158,1)</f>
        <v>C</v>
      </c>
      <c r="AH1158" t="str">
        <f>K1158</f>
        <v>M</v>
      </c>
      <c r="AI1158" t="str">
        <f>LEFT(AF1158,1)</f>
        <v>B</v>
      </c>
      <c r="AJ1158" t="str">
        <f>LEFT(M1158,1)</f>
        <v>M</v>
      </c>
      <c r="AK1158" t="str">
        <f>_xlfn.CONCAT(AG1158,AH1158,AI1158,AJ1158)</f>
        <v>CMBM</v>
      </c>
    </row>
    <row r="1159" spans="1:37" ht="15.75" hidden="1" customHeight="1" x14ac:dyDescent="0.2">
      <c r="A1159" s="1">
        <v>1265004</v>
      </c>
      <c r="B1159" s="1" t="s">
        <v>1798</v>
      </c>
      <c r="C1159" s="1" t="s">
        <v>54</v>
      </c>
      <c r="D1159" s="1" t="s">
        <v>1885</v>
      </c>
      <c r="E1159" s="1" t="s">
        <v>1886</v>
      </c>
      <c r="F1159" s="1" t="s">
        <v>61</v>
      </c>
      <c r="G1159" s="1" t="s">
        <v>1889</v>
      </c>
      <c r="H1159" s="1">
        <v>6</v>
      </c>
      <c r="I1159" s="1" t="s">
        <v>65</v>
      </c>
      <c r="J1159" s="1">
        <v>2</v>
      </c>
      <c r="K1159" s="1" t="s">
        <v>35</v>
      </c>
      <c r="L1159" s="1">
        <v>30</v>
      </c>
      <c r="M1159" s="1" t="str">
        <f>IF(L1159&lt;=45,"Joven","Mayor")</f>
        <v>Joven</v>
      </c>
      <c r="N1159" s="1">
        <v>33</v>
      </c>
      <c r="O1159" s="1" t="s">
        <v>36</v>
      </c>
      <c r="P1159" s="1">
        <v>0.41799999999999998</v>
      </c>
      <c r="Q1159" s="1">
        <v>90.397000000000006</v>
      </c>
      <c r="R1159" s="1">
        <v>-2.8290548000000002</v>
      </c>
      <c r="S1159" s="1">
        <v>9.1197389999999992</v>
      </c>
      <c r="T1159" s="1">
        <v>1.0075521000000001</v>
      </c>
      <c r="U1159" s="1">
        <v>9.5030000000000001</v>
      </c>
      <c r="V1159" s="1">
        <v>89</v>
      </c>
      <c r="W1159" s="1">
        <v>168</v>
      </c>
      <c r="X1159" s="1">
        <v>1.8876404494382022</v>
      </c>
      <c r="Y1159" s="1">
        <v>92</v>
      </c>
      <c r="Z1159" s="1">
        <v>168</v>
      </c>
      <c r="AA1159" s="1">
        <v>1.826086956521739</v>
      </c>
      <c r="AB1159" s="1">
        <v>91.19448673503075</v>
      </c>
      <c r="AC1159" s="1">
        <v>167.99160905775119</v>
      </c>
      <c r="AD1159" s="1">
        <v>1.8421246181894479</v>
      </c>
      <c r="AE1159" t="s">
        <v>4817</v>
      </c>
      <c r="AF1159" t="str">
        <f>IF(X1159&lt;$AF$1,"Bajo","Alto")</f>
        <v>Alto</v>
      </c>
      <c r="AG1159" t="str">
        <f>LEFT(AE1159,1)</f>
        <v>C</v>
      </c>
      <c r="AH1159" t="str">
        <f>K1159</f>
        <v>M</v>
      </c>
      <c r="AI1159" t="str">
        <f>LEFT(AF1159,1)</f>
        <v>A</v>
      </c>
      <c r="AJ1159" t="str">
        <f>LEFT(M1159,1)</f>
        <v>J</v>
      </c>
      <c r="AK1159" t="str">
        <f>_xlfn.CONCAT(AG1159,AH1159,AI1159,AJ1159)</f>
        <v>CMAJ</v>
      </c>
    </row>
    <row r="1160" spans="1:37" ht="15.75" hidden="1" customHeight="1" x14ac:dyDescent="0.2">
      <c r="A1160" s="1">
        <v>190108</v>
      </c>
      <c r="B1160" s="1" t="s">
        <v>2656</v>
      </c>
      <c r="C1160" s="1" t="s">
        <v>323</v>
      </c>
      <c r="D1160" s="1" t="s">
        <v>2657</v>
      </c>
      <c r="E1160" s="1" t="s">
        <v>32</v>
      </c>
      <c r="F1160" s="1" t="s">
        <v>46</v>
      </c>
      <c r="G1160" s="1" t="s">
        <v>2666</v>
      </c>
      <c r="H1160" s="1">
        <v>2209</v>
      </c>
      <c r="I1160" s="1" t="s">
        <v>2667</v>
      </c>
      <c r="J1160" s="1">
        <v>4601</v>
      </c>
      <c r="K1160" s="1" t="s">
        <v>35</v>
      </c>
      <c r="L1160" s="1">
        <v>39</v>
      </c>
      <c r="M1160" s="1" t="str">
        <f>IF(L1160&lt;=45,"Joven","Mayor")</f>
        <v>Joven</v>
      </c>
      <c r="N1160" s="1">
        <v>33</v>
      </c>
      <c r="O1160" s="1" t="s">
        <v>36</v>
      </c>
      <c r="P1160" s="1">
        <v>0.36299999999999999</v>
      </c>
      <c r="Q1160" s="1">
        <v>89.266999999999996</v>
      </c>
      <c r="R1160" s="1">
        <v>5.8600906999999998</v>
      </c>
      <c r="S1160" s="1">
        <v>4.248418</v>
      </c>
      <c r="T1160" s="1">
        <v>-6.0520610000000001</v>
      </c>
      <c r="U1160" s="1">
        <v>1.694</v>
      </c>
      <c r="V1160" s="1">
        <v>89</v>
      </c>
      <c r="W1160" s="1">
        <v>168</v>
      </c>
      <c r="X1160" s="1">
        <v>1.8876404494382022</v>
      </c>
      <c r="Y1160" s="1">
        <v>97</v>
      </c>
      <c r="Z1160" s="1">
        <v>168</v>
      </c>
      <c r="AA1160" s="1">
        <v>1.731958762886598</v>
      </c>
      <c r="AB1160" s="1">
        <v>94.197291306174748</v>
      </c>
      <c r="AC1160" s="1">
        <v>168.75056634788919</v>
      </c>
      <c r="AD1160" s="1">
        <v>1.7914587989519757</v>
      </c>
      <c r="AE1160" t="s">
        <v>4817</v>
      </c>
      <c r="AF1160" t="str">
        <f>IF(X1160&lt;$AF$1,"Bajo","Alto")</f>
        <v>Alto</v>
      </c>
      <c r="AG1160" t="str">
        <f>LEFT(AE1160,1)</f>
        <v>C</v>
      </c>
      <c r="AH1160" t="str">
        <f>K1160</f>
        <v>M</v>
      </c>
      <c r="AI1160" t="str">
        <f>LEFT(AF1160,1)</f>
        <v>A</v>
      </c>
      <c r="AJ1160" t="str">
        <f>LEFT(M1160,1)</f>
        <v>J</v>
      </c>
      <c r="AK1160" t="str">
        <f>_xlfn.CONCAT(AG1160,AH1160,AI1160,AJ1160)</f>
        <v>CMAJ</v>
      </c>
    </row>
    <row r="1161" spans="1:37" ht="15.75" hidden="1" customHeight="1" x14ac:dyDescent="0.2">
      <c r="A1161" s="1">
        <v>10725601</v>
      </c>
      <c r="B1161" s="1" t="s">
        <v>1067</v>
      </c>
      <c r="C1161" s="1" t="s">
        <v>1068</v>
      </c>
      <c r="D1161" s="1" t="s">
        <v>1298</v>
      </c>
      <c r="E1161" s="1" t="s">
        <v>510</v>
      </c>
      <c r="F1161" s="1" t="s">
        <v>32</v>
      </c>
      <c r="G1161" s="1" t="s">
        <v>1299</v>
      </c>
      <c r="H1161" s="1">
        <v>896</v>
      </c>
      <c r="I1161" s="1" t="s">
        <v>39</v>
      </c>
      <c r="J1161" s="1">
        <v>11</v>
      </c>
      <c r="K1161" s="1" t="s">
        <v>35</v>
      </c>
      <c r="L1161" s="1">
        <v>46</v>
      </c>
      <c r="M1161" s="1" t="str">
        <f>IF(L1161&lt;=45,"Joven","Mayor")</f>
        <v>Mayor</v>
      </c>
      <c r="N1161" s="1">
        <v>46</v>
      </c>
      <c r="O1161" s="1" t="s">
        <v>36</v>
      </c>
      <c r="P1161" s="1">
        <v>0.35899999999999999</v>
      </c>
      <c r="Q1161" s="1">
        <v>92.525000000000006</v>
      </c>
      <c r="R1161" s="1">
        <v>3.6081881999999998</v>
      </c>
      <c r="S1161" s="1">
        <v>-1.5736824</v>
      </c>
      <c r="T1161" s="1">
        <v>4.2635054999999999</v>
      </c>
      <c r="U1161" s="1">
        <v>6.5339999999999998</v>
      </c>
      <c r="V1161" s="1">
        <v>85</v>
      </c>
      <c r="W1161" s="1">
        <v>140</v>
      </c>
      <c r="X1161" s="1">
        <v>1.6470588235294117</v>
      </c>
      <c r="Y1161" s="1">
        <v>90</v>
      </c>
      <c r="Z1161" s="1">
        <v>140</v>
      </c>
      <c r="AA1161" s="1">
        <v>1.5555555555555556</v>
      </c>
      <c r="AB1161" s="1">
        <v>88.110238547890276</v>
      </c>
      <c r="AC1161" s="1">
        <v>140.6533862187853</v>
      </c>
      <c r="AD1161" s="1">
        <v>1.5963341892705967</v>
      </c>
      <c r="AE1161" t="s">
        <v>4816</v>
      </c>
      <c r="AF1161" t="str">
        <f>IF(X1161&lt;$AF$1,"Bajo","Alto")</f>
        <v>Bajo</v>
      </c>
      <c r="AG1161" t="str">
        <f>LEFT(AE1161,1)</f>
        <v>D</v>
      </c>
      <c r="AH1161" t="str">
        <f>K1161</f>
        <v>M</v>
      </c>
      <c r="AI1161" t="str">
        <f>LEFT(AF1161,1)</f>
        <v>B</v>
      </c>
      <c r="AJ1161" t="str">
        <f>LEFT(M1161,1)</f>
        <v>M</v>
      </c>
      <c r="AK1161" t="str">
        <f>_xlfn.CONCAT(AG1161,AH1161,AI1161,AJ1161)</f>
        <v>DMBM</v>
      </c>
    </row>
    <row r="1162" spans="1:37" ht="15.75" hidden="1" customHeight="1" x14ac:dyDescent="0.2">
      <c r="A1162" s="1">
        <v>173103</v>
      </c>
      <c r="B1162" s="1" t="s">
        <v>2551</v>
      </c>
      <c r="C1162" s="1" t="s">
        <v>2552</v>
      </c>
      <c r="D1162" s="1" t="s">
        <v>2621</v>
      </c>
      <c r="E1162" s="1" t="s">
        <v>628</v>
      </c>
      <c r="F1162" s="1" t="s">
        <v>63</v>
      </c>
      <c r="G1162" s="1" t="s">
        <v>2623</v>
      </c>
      <c r="H1162" s="1">
        <v>1384</v>
      </c>
      <c r="I1162" s="1" t="s">
        <v>134</v>
      </c>
      <c r="J1162" s="1">
        <v>8</v>
      </c>
      <c r="K1162" s="1" t="s">
        <v>35</v>
      </c>
      <c r="L1162" s="1">
        <v>47</v>
      </c>
      <c r="M1162" s="1" t="str">
        <f>IF(L1162&lt;=45,"Joven","Mayor")</f>
        <v>Mayor</v>
      </c>
      <c r="N1162" s="1">
        <v>48</v>
      </c>
      <c r="O1162" s="1" t="s">
        <v>36</v>
      </c>
      <c r="P1162" s="1">
        <v>0.30199999999999999</v>
      </c>
      <c r="Q1162" s="1">
        <v>88.31</v>
      </c>
      <c r="R1162" s="1">
        <v>-6.901878</v>
      </c>
      <c r="S1162" s="1">
        <v>-2.6918072999999998</v>
      </c>
      <c r="T1162" s="1">
        <v>12.489966000000001</v>
      </c>
      <c r="U1162" s="1">
        <v>7.452</v>
      </c>
      <c r="V1162" s="1">
        <v>94</v>
      </c>
      <c r="W1162" s="1">
        <v>155</v>
      </c>
      <c r="X1162" s="1">
        <v>1.6489361702127661</v>
      </c>
      <c r="Y1162" s="1">
        <v>108</v>
      </c>
      <c r="Z1162" s="1">
        <v>155</v>
      </c>
      <c r="AA1162" s="1">
        <v>1.4351851851851851</v>
      </c>
      <c r="AB1162" s="1">
        <v>104.3189671216123</v>
      </c>
      <c r="AC1162" s="1">
        <v>156.5222011973697</v>
      </c>
      <c r="AD1162" s="1">
        <v>1.5004193917573996</v>
      </c>
      <c r="AE1162" t="s">
        <v>4817</v>
      </c>
      <c r="AF1162" t="str">
        <f>IF(X1162&lt;$AF$1,"Bajo","Alto")</f>
        <v>Bajo</v>
      </c>
      <c r="AG1162" t="str">
        <f>LEFT(AE1162,1)</f>
        <v>C</v>
      </c>
      <c r="AH1162" t="str">
        <f>K1162</f>
        <v>M</v>
      </c>
      <c r="AI1162" t="str">
        <f>LEFT(AF1162,1)</f>
        <v>B</v>
      </c>
      <c r="AJ1162" t="str">
        <f>LEFT(M1162,1)</f>
        <v>M</v>
      </c>
      <c r="AK1162" t="str">
        <f>_xlfn.CONCAT(AG1162,AH1162,AI1162,AJ1162)</f>
        <v>CMBM</v>
      </c>
    </row>
    <row r="1163" spans="1:37" ht="15.75" hidden="1" customHeight="1" x14ac:dyDescent="0.2">
      <c r="A1163" s="1">
        <v>271006</v>
      </c>
      <c r="B1163" s="1" t="s">
        <v>3409</v>
      </c>
      <c r="C1163" s="1" t="s">
        <v>973</v>
      </c>
      <c r="D1163" s="1" t="s">
        <v>3427</v>
      </c>
      <c r="E1163" s="1" t="s">
        <v>75</v>
      </c>
      <c r="F1163" s="1" t="s">
        <v>88</v>
      </c>
      <c r="G1163" s="1" t="s">
        <v>3433</v>
      </c>
      <c r="H1163" s="1">
        <v>90</v>
      </c>
      <c r="I1163" s="1" t="s">
        <v>3434</v>
      </c>
      <c r="J1163" s="1">
        <v>2530</v>
      </c>
      <c r="K1163" s="1" t="s">
        <v>49</v>
      </c>
      <c r="L1163" s="1">
        <v>41</v>
      </c>
      <c r="M1163" s="1" t="str">
        <f>IF(L1163&lt;=45,"Joven","Mayor")</f>
        <v>Joven</v>
      </c>
      <c r="N1163" s="1">
        <v>33</v>
      </c>
      <c r="O1163" s="1" t="s">
        <v>50</v>
      </c>
      <c r="P1163" s="1">
        <v>1.099</v>
      </c>
      <c r="Q1163" s="1">
        <v>90.296999999999997</v>
      </c>
      <c r="R1163" s="1">
        <v>4.7408340000000004</v>
      </c>
      <c r="S1163" s="1">
        <v>4.5550829999999998</v>
      </c>
      <c r="T1163" s="1">
        <v>-10.930854999999999</v>
      </c>
      <c r="U1163" s="1">
        <v>72.843999999999994</v>
      </c>
      <c r="V1163" s="1">
        <v>75</v>
      </c>
      <c r="W1163" s="1">
        <v>143</v>
      </c>
      <c r="X1163" s="1">
        <v>1.9066666666666667</v>
      </c>
      <c r="Y1163" s="1">
        <v>83</v>
      </c>
      <c r="Z1163" s="1">
        <v>143</v>
      </c>
      <c r="AA1163" s="1">
        <v>1.7228915662650603</v>
      </c>
      <c r="AB1163" s="1">
        <v>82.172345335784257</v>
      </c>
      <c r="AC1163" s="1">
        <v>142.87062846528991</v>
      </c>
      <c r="AD1163" s="1">
        <v>1.7386704478431489</v>
      </c>
      <c r="AE1163" t="s">
        <v>4817</v>
      </c>
      <c r="AF1163" t="str">
        <f>IF(X1163&lt;$AF$1,"Bajo","Alto")</f>
        <v>Alto</v>
      </c>
      <c r="AG1163" t="str">
        <f>LEFT(AE1163,1)</f>
        <v>C</v>
      </c>
      <c r="AH1163" t="str">
        <f>K1163</f>
        <v>F</v>
      </c>
      <c r="AI1163" t="str">
        <f>LEFT(AF1163,1)</f>
        <v>A</v>
      </c>
      <c r="AJ1163" t="str">
        <f>LEFT(M1163,1)</f>
        <v>J</v>
      </c>
      <c r="AK1163" t="str">
        <f>_xlfn.CONCAT(AG1163,AH1163,AI1163,AJ1163)</f>
        <v>CFAJ</v>
      </c>
    </row>
    <row r="1164" spans="1:37" ht="15.75" hidden="1" customHeight="1" x14ac:dyDescent="0.2">
      <c r="A1164" s="1">
        <v>640702</v>
      </c>
      <c r="B1164" s="1" t="s">
        <v>4718</v>
      </c>
      <c r="C1164" s="1" t="s">
        <v>710</v>
      </c>
      <c r="D1164" s="1" t="s">
        <v>4739</v>
      </c>
      <c r="E1164" s="1" t="s">
        <v>43</v>
      </c>
      <c r="F1164" s="1" t="s">
        <v>37</v>
      </c>
      <c r="G1164" s="1" t="s">
        <v>4741</v>
      </c>
      <c r="H1164" s="1">
        <v>1330</v>
      </c>
      <c r="I1164" s="1" t="s">
        <v>91</v>
      </c>
      <c r="J1164" s="1">
        <v>6</v>
      </c>
      <c r="K1164" s="1" t="s">
        <v>35</v>
      </c>
      <c r="L1164" s="1">
        <v>34</v>
      </c>
      <c r="M1164" s="1" t="str">
        <f>IF(L1164&lt;=45,"Joven","Mayor")</f>
        <v>Joven</v>
      </c>
      <c r="N1164" s="1">
        <v>30</v>
      </c>
      <c r="O1164" s="1" t="s">
        <v>36</v>
      </c>
      <c r="P1164" s="1">
        <v>0.36099999999999999</v>
      </c>
      <c r="Q1164" s="1">
        <v>90.213999999999999</v>
      </c>
      <c r="R1164" s="1">
        <v>5.3488150000000001</v>
      </c>
      <c r="S1164" s="1">
        <v>3.4987149999999998</v>
      </c>
      <c r="T1164" s="1">
        <v>2.2100439999999999</v>
      </c>
      <c r="U1164" s="1">
        <v>51.915999999999997</v>
      </c>
      <c r="V1164" s="1">
        <v>89</v>
      </c>
      <c r="W1164" s="1">
        <v>168</v>
      </c>
      <c r="X1164" s="1">
        <v>1.8876404494382022</v>
      </c>
      <c r="Y1164" s="1">
        <v>91</v>
      </c>
      <c r="Z1164" s="1">
        <v>168</v>
      </c>
      <c r="AA1164" s="1">
        <v>1.8461538461538463</v>
      </c>
      <c r="AB1164" s="1">
        <v>90.437755502063055</v>
      </c>
      <c r="AC1164" s="1">
        <v>168.10641471652841</v>
      </c>
      <c r="AD1164" s="1">
        <v>1.8588079036602538</v>
      </c>
      <c r="AE1164" t="s">
        <v>4817</v>
      </c>
      <c r="AF1164" t="str">
        <f>IF(X1164&lt;$AF$1,"Bajo","Alto")</f>
        <v>Alto</v>
      </c>
      <c r="AG1164" t="str">
        <f>LEFT(AE1164,1)</f>
        <v>C</v>
      </c>
      <c r="AH1164" t="str">
        <f>K1164</f>
        <v>M</v>
      </c>
      <c r="AI1164" t="str">
        <f>LEFT(AF1164,1)</f>
        <v>A</v>
      </c>
      <c r="AJ1164" t="str">
        <f>LEFT(M1164,1)</f>
        <v>J</v>
      </c>
      <c r="AK1164" t="str">
        <f>_xlfn.CONCAT(AG1164,AH1164,AI1164,AJ1164)</f>
        <v>CMAJ</v>
      </c>
    </row>
    <row r="1165" spans="1:37" ht="15.75" hidden="1" customHeight="1" x14ac:dyDescent="0.2">
      <c r="A1165" s="1">
        <v>319102</v>
      </c>
      <c r="B1165" s="1" t="s">
        <v>4122</v>
      </c>
      <c r="C1165" s="1" t="s">
        <v>628</v>
      </c>
      <c r="D1165" s="1" t="s">
        <v>4275</v>
      </c>
      <c r="E1165" s="1" t="s">
        <v>770</v>
      </c>
      <c r="F1165" s="1" t="s">
        <v>37</v>
      </c>
      <c r="G1165" s="1" t="s">
        <v>4276</v>
      </c>
      <c r="H1165" s="1">
        <v>9178</v>
      </c>
      <c r="I1165" s="1" t="s">
        <v>65</v>
      </c>
      <c r="J1165" s="1">
        <v>2</v>
      </c>
      <c r="K1165" s="1" t="s">
        <v>35</v>
      </c>
      <c r="L1165" s="1">
        <v>41</v>
      </c>
      <c r="M1165" s="1" t="str">
        <f>IF(L1165&lt;=45,"Joven","Mayor")</f>
        <v>Joven</v>
      </c>
      <c r="N1165" s="1">
        <v>39</v>
      </c>
      <c r="O1165" s="1" t="s">
        <v>36</v>
      </c>
      <c r="P1165" s="1">
        <v>0.63900000000000001</v>
      </c>
      <c r="Q1165" s="1">
        <v>91.623999999999995</v>
      </c>
      <c r="R1165" s="1">
        <v>-4.3073725999999999</v>
      </c>
      <c r="S1165" s="1">
        <v>-2.3290953999999999</v>
      </c>
      <c r="T1165" s="1">
        <v>2.1936789999999999</v>
      </c>
      <c r="U1165" s="1">
        <v>7.8979999999999997</v>
      </c>
      <c r="V1165" s="1">
        <v>80</v>
      </c>
      <c r="W1165" s="1">
        <v>151</v>
      </c>
      <c r="X1165" s="1">
        <v>1.8875</v>
      </c>
      <c r="Y1165" s="1">
        <v>82</v>
      </c>
      <c r="Z1165" s="1">
        <v>151</v>
      </c>
      <c r="AA1165" s="1">
        <v>1.8414634146341464</v>
      </c>
      <c r="AB1165" s="1">
        <v>83.509286203744068</v>
      </c>
      <c r="AC1165" s="1">
        <v>150.58311840601851</v>
      </c>
      <c r="AD1165" s="1">
        <v>1.8031901031776183</v>
      </c>
      <c r="AE1165" t="s">
        <v>4817</v>
      </c>
      <c r="AF1165" t="str">
        <f>IF(X1165&lt;$AF$1,"Bajo","Alto")</f>
        <v>Alto</v>
      </c>
      <c r="AG1165" t="str">
        <f>LEFT(AE1165,1)</f>
        <v>C</v>
      </c>
      <c r="AH1165" t="str">
        <f>K1165</f>
        <v>M</v>
      </c>
      <c r="AI1165" t="str">
        <f>LEFT(AF1165,1)</f>
        <v>A</v>
      </c>
      <c r="AJ1165" t="str">
        <f>LEFT(M1165,1)</f>
        <v>J</v>
      </c>
      <c r="AK1165" t="str">
        <f>_xlfn.CONCAT(AG1165,AH1165,AI1165,AJ1165)</f>
        <v>CMAJ</v>
      </c>
    </row>
    <row r="1166" spans="1:37" ht="15.75" hidden="1" customHeight="1" x14ac:dyDescent="0.2">
      <c r="A1166" s="1">
        <v>2312005</v>
      </c>
      <c r="B1166" s="1" t="s">
        <v>319</v>
      </c>
      <c r="C1166" s="1" t="s">
        <v>1989</v>
      </c>
      <c r="D1166" s="1" t="s">
        <v>2261</v>
      </c>
      <c r="E1166" s="1" t="s">
        <v>1564</v>
      </c>
      <c r="F1166" s="1" t="s">
        <v>40</v>
      </c>
      <c r="G1166" s="1" t="s">
        <v>2951</v>
      </c>
      <c r="H1166" s="1">
        <v>495</v>
      </c>
      <c r="I1166" s="1" t="s">
        <v>108</v>
      </c>
      <c r="J1166" s="1">
        <v>3</v>
      </c>
      <c r="K1166" s="1" t="s">
        <v>35</v>
      </c>
      <c r="L1166" s="1">
        <v>42</v>
      </c>
      <c r="M1166" s="1" t="str">
        <f>IF(L1166&lt;=45,"Joven","Mayor")</f>
        <v>Joven</v>
      </c>
      <c r="N1166" s="1">
        <v>47</v>
      </c>
      <c r="O1166" s="1" t="s">
        <v>36</v>
      </c>
      <c r="P1166" s="1">
        <v>0.36099999999999999</v>
      </c>
      <c r="Q1166" s="1">
        <v>91.918000000000006</v>
      </c>
      <c r="R1166" s="1">
        <v>4.4434709999999997</v>
      </c>
      <c r="S1166" s="1">
        <v>0.92625219999999997</v>
      </c>
      <c r="T1166" s="1">
        <v>-3.9301224000000001</v>
      </c>
      <c r="U1166" s="1">
        <v>36.609000000000002</v>
      </c>
      <c r="V1166" s="1">
        <v>104</v>
      </c>
      <c r="W1166" s="1">
        <v>174</v>
      </c>
      <c r="X1166" s="1">
        <v>1.6730769230769231</v>
      </c>
      <c r="Y1166" s="1">
        <v>110</v>
      </c>
      <c r="Z1166" s="1">
        <v>174</v>
      </c>
      <c r="AA1166" s="1">
        <v>1.5818181818181818</v>
      </c>
      <c r="AB1166" s="1">
        <v>107.4565809629119</v>
      </c>
      <c r="AC1166" s="1">
        <v>174.20767682042509</v>
      </c>
      <c r="AD1166" s="1">
        <v>1.6211913245271781</v>
      </c>
      <c r="AE1166" t="s">
        <v>4817</v>
      </c>
      <c r="AF1166" t="str">
        <f>IF(X1166&lt;$AF$1,"Bajo","Alto")</f>
        <v>Bajo</v>
      </c>
      <c r="AG1166" t="str">
        <f>LEFT(AE1166,1)</f>
        <v>C</v>
      </c>
      <c r="AH1166" t="str">
        <f>K1166</f>
        <v>M</v>
      </c>
      <c r="AI1166" t="str">
        <f>LEFT(AF1166,1)</f>
        <v>B</v>
      </c>
      <c r="AJ1166" t="str">
        <f>LEFT(M1166,1)</f>
        <v>J</v>
      </c>
      <c r="AK1166" t="str">
        <f>_xlfn.CONCAT(AG1166,AH1166,AI1166,AJ1166)</f>
        <v>CMBJ</v>
      </c>
    </row>
    <row r="1167" spans="1:37" ht="15.75" hidden="1" customHeight="1" x14ac:dyDescent="0.2">
      <c r="A1167" s="1">
        <v>10120802</v>
      </c>
      <c r="B1167" s="1" t="s">
        <v>29</v>
      </c>
      <c r="C1167" s="1" t="s">
        <v>30</v>
      </c>
      <c r="D1167" s="1" t="s">
        <v>377</v>
      </c>
      <c r="E1167" s="1" t="s">
        <v>378</v>
      </c>
      <c r="F1167" s="1" t="s">
        <v>37</v>
      </c>
      <c r="G1167" s="1" t="s">
        <v>379</v>
      </c>
      <c r="H1167" s="1">
        <v>3596</v>
      </c>
      <c r="I1167" s="1" t="s">
        <v>108</v>
      </c>
      <c r="J1167" s="1">
        <v>3</v>
      </c>
      <c r="K1167" s="1" t="s">
        <v>35</v>
      </c>
      <c r="L1167" s="1">
        <v>47</v>
      </c>
      <c r="M1167" s="1" t="str">
        <f>IF(L1167&lt;=45,"Joven","Mayor")</f>
        <v>Mayor</v>
      </c>
      <c r="N1167" s="1">
        <v>47</v>
      </c>
      <c r="O1167" s="1" t="s">
        <v>36</v>
      </c>
      <c r="P1167" s="1">
        <v>0.153</v>
      </c>
      <c r="Q1167" s="1">
        <v>84.793000000000006</v>
      </c>
      <c r="R1167" s="1">
        <v>7.8170184999999996</v>
      </c>
      <c r="S1167" s="1">
        <v>6.4940686000000003</v>
      </c>
      <c r="T1167" s="1">
        <v>-3.2786255</v>
      </c>
      <c r="U1167" s="1">
        <v>16.231000000000002</v>
      </c>
      <c r="V1167" s="1">
        <v>90</v>
      </c>
      <c r="W1167" s="1">
        <v>169</v>
      </c>
      <c r="X1167" s="1">
        <v>1.8777777777777778</v>
      </c>
      <c r="Y1167" s="1">
        <v>94</v>
      </c>
      <c r="Z1167" s="1">
        <v>169</v>
      </c>
      <c r="AA1167" s="1">
        <v>1.7978723404255319</v>
      </c>
      <c r="AB1167" s="1">
        <v>96.419764218217097</v>
      </c>
      <c r="AC1167" s="1">
        <v>168.55180971135221</v>
      </c>
      <c r="AD1167" s="1">
        <v>1.7481043547242654</v>
      </c>
      <c r="AE1167" t="s">
        <v>4817</v>
      </c>
      <c r="AF1167" t="str">
        <f>IF(X1167&lt;$AF$1,"Bajo","Alto")</f>
        <v>Alto</v>
      </c>
      <c r="AG1167" t="str">
        <f>LEFT(AE1167,1)</f>
        <v>C</v>
      </c>
      <c r="AH1167" t="str">
        <f>K1167</f>
        <v>M</v>
      </c>
      <c r="AI1167" t="str">
        <f>LEFT(AF1167,1)</f>
        <v>A</v>
      </c>
      <c r="AJ1167" t="str">
        <f>LEFT(M1167,1)</f>
        <v>M</v>
      </c>
      <c r="AK1167" t="str">
        <f>_xlfn.CONCAT(AG1167,AH1167,AI1167,AJ1167)</f>
        <v>CMAM</v>
      </c>
    </row>
    <row r="1168" spans="1:37" ht="15.75" hidden="1" customHeight="1" x14ac:dyDescent="0.2">
      <c r="A1168" s="1">
        <v>10119203</v>
      </c>
      <c r="B1168" s="1" t="s">
        <v>29</v>
      </c>
      <c r="C1168" s="1" t="s">
        <v>30</v>
      </c>
      <c r="D1168" s="1" t="s">
        <v>335</v>
      </c>
      <c r="E1168" s="1" t="s">
        <v>336</v>
      </c>
      <c r="F1168" s="1" t="s">
        <v>63</v>
      </c>
      <c r="G1168" s="1" t="s">
        <v>337</v>
      </c>
      <c r="H1168" s="1">
        <v>219</v>
      </c>
      <c r="I1168" s="1" t="s">
        <v>87</v>
      </c>
      <c r="J1168" s="1">
        <v>14</v>
      </c>
      <c r="K1168" s="1" t="s">
        <v>49</v>
      </c>
      <c r="L1168" s="1">
        <v>49</v>
      </c>
      <c r="M1168" s="1" t="str">
        <f>IF(L1168&lt;=45,"Joven","Mayor")</f>
        <v>Mayor</v>
      </c>
      <c r="N1168" s="1">
        <v>44</v>
      </c>
      <c r="O1168" s="1" t="s">
        <v>50</v>
      </c>
      <c r="P1168" s="1">
        <v>0.373</v>
      </c>
      <c r="Q1168" s="1">
        <v>93.466999999999999</v>
      </c>
      <c r="R1168" s="1">
        <v>-1.5681372</v>
      </c>
      <c r="S1168" s="1">
        <v>-3.6865543999999999</v>
      </c>
      <c r="T1168" s="1">
        <v>0.24228688000000001</v>
      </c>
      <c r="U1168" s="1">
        <v>0.501</v>
      </c>
      <c r="V1168" s="1">
        <v>75</v>
      </c>
      <c r="W1168" s="1">
        <v>136</v>
      </c>
      <c r="X1168" s="1">
        <v>1.8133333333333332</v>
      </c>
      <c r="Y1168" s="1">
        <v>80</v>
      </c>
      <c r="Z1168" s="1">
        <v>136</v>
      </c>
      <c r="AA1168" s="1">
        <v>1.7</v>
      </c>
      <c r="AB1168" s="1">
        <v>79.855509223261151</v>
      </c>
      <c r="AC1168" s="1">
        <v>136.0156987949313</v>
      </c>
      <c r="AD1168" s="1">
        <v>1.7032725746530111</v>
      </c>
      <c r="AE1168" t="s">
        <v>4816</v>
      </c>
      <c r="AF1168" t="str">
        <f>IF(X1168&lt;$AF$1,"Bajo","Alto")</f>
        <v>Alto</v>
      </c>
      <c r="AG1168" t="str">
        <f>LEFT(AE1168,1)</f>
        <v>D</v>
      </c>
      <c r="AH1168" t="str">
        <f>K1168</f>
        <v>F</v>
      </c>
      <c r="AI1168" t="str">
        <f>LEFT(AF1168,1)</f>
        <v>A</v>
      </c>
      <c r="AJ1168" t="str">
        <f>LEFT(M1168,1)</f>
        <v>M</v>
      </c>
      <c r="AK1168" t="str">
        <f>_xlfn.CONCAT(AG1168,AH1168,AI1168,AJ1168)</f>
        <v>DFAM</v>
      </c>
    </row>
    <row r="1169" spans="1:37" ht="15.75" customHeight="1" x14ac:dyDescent="0.2">
      <c r="A1169" s="1">
        <v>1510904</v>
      </c>
      <c r="B1169" s="1" t="s">
        <v>2077</v>
      </c>
      <c r="C1169" s="1" t="s">
        <v>57</v>
      </c>
      <c r="D1169" s="1" t="s">
        <v>2110</v>
      </c>
      <c r="E1169" s="1" t="s">
        <v>98</v>
      </c>
      <c r="F1169" s="1" t="s">
        <v>61</v>
      </c>
      <c r="G1169" s="1" t="s">
        <v>2113</v>
      </c>
      <c r="H1169" s="1">
        <v>14436</v>
      </c>
      <c r="I1169" s="1" t="s">
        <v>2114</v>
      </c>
      <c r="J1169" s="1">
        <v>2170</v>
      </c>
      <c r="K1169" s="1" t="s">
        <v>35</v>
      </c>
      <c r="L1169" s="1">
        <v>54</v>
      </c>
      <c r="M1169" s="1" t="str">
        <f>IF(L1169&lt;=45,"Joven","Mayor")</f>
        <v>Mayor</v>
      </c>
      <c r="N1169" s="1">
        <v>64</v>
      </c>
      <c r="O1169" s="1" t="s">
        <v>36</v>
      </c>
      <c r="P1169" s="1">
        <v>0.20499999999999999</v>
      </c>
      <c r="Q1169" s="1">
        <v>92.760999999999996</v>
      </c>
      <c r="R1169" s="1">
        <v>-2.8922469999999998</v>
      </c>
      <c r="S1169" s="1">
        <v>3.1340482000000001</v>
      </c>
      <c r="T1169" s="1">
        <v>-4.4988774999999999</v>
      </c>
      <c r="U1169" s="1">
        <v>1.1419999999999999</v>
      </c>
      <c r="V1169" s="1">
        <v>120</v>
      </c>
      <c r="W1169" s="1">
        <v>179</v>
      </c>
      <c r="X1169" s="1">
        <v>1.4916666666666667</v>
      </c>
      <c r="Y1169" s="1">
        <v>126</v>
      </c>
      <c r="Z1169" s="1">
        <v>179</v>
      </c>
      <c r="AA1169" s="1">
        <v>1.4206349206349207</v>
      </c>
      <c r="AB1169" s="1">
        <v>123.7875614127238</v>
      </c>
      <c r="AC1169" s="1">
        <v>179.46819219019471</v>
      </c>
      <c r="AD1169" s="1">
        <v>1.4498079624642128</v>
      </c>
      <c r="AE1169" t="s">
        <v>4818</v>
      </c>
      <c r="AF1169" t="str">
        <f>IF(X1169&lt;$AF$1,"Bajo","Alto")</f>
        <v>Bajo</v>
      </c>
      <c r="AG1169" t="str">
        <f>LEFT(AE1169,1)</f>
        <v>S</v>
      </c>
      <c r="AH1169" t="str">
        <f>K1169</f>
        <v>M</v>
      </c>
      <c r="AI1169" t="str">
        <f>LEFT(AF1169,1)</f>
        <v>B</v>
      </c>
      <c r="AJ1169" t="str">
        <f>LEFT(M1169,1)</f>
        <v>M</v>
      </c>
      <c r="AK1169" t="str">
        <f>_xlfn.CONCAT(AG1169,AH1169,AI1169,AJ1169)</f>
        <v>SMBM</v>
      </c>
    </row>
    <row r="1170" spans="1:37" ht="15.75" hidden="1" customHeight="1" x14ac:dyDescent="0.2">
      <c r="A1170" s="1">
        <v>315504</v>
      </c>
      <c r="B1170" s="1" t="s">
        <v>4122</v>
      </c>
      <c r="C1170" s="1" t="s">
        <v>628</v>
      </c>
      <c r="D1170" s="1" t="s">
        <v>4232</v>
      </c>
      <c r="E1170" s="1" t="s">
        <v>690</v>
      </c>
      <c r="F1170" s="1" t="s">
        <v>61</v>
      </c>
      <c r="G1170" s="1" t="s">
        <v>4234</v>
      </c>
      <c r="H1170" s="1">
        <v>6442</v>
      </c>
      <c r="I1170" s="1" t="s">
        <v>294</v>
      </c>
      <c r="J1170" s="1">
        <v>16</v>
      </c>
      <c r="K1170" s="1" t="s">
        <v>35</v>
      </c>
      <c r="L1170" s="1">
        <v>56</v>
      </c>
      <c r="M1170" s="1" t="str">
        <f>IF(L1170&lt;=45,"Joven","Mayor")</f>
        <v>Mayor</v>
      </c>
      <c r="N1170" s="1">
        <v>43</v>
      </c>
      <c r="O1170" s="1" t="s">
        <v>36</v>
      </c>
      <c r="P1170" s="1">
        <v>0.31</v>
      </c>
      <c r="Q1170" s="1">
        <v>91.881</v>
      </c>
      <c r="R1170" s="1">
        <v>4.5116896999999998</v>
      </c>
      <c r="S1170" s="1">
        <v>0.86651959999999995</v>
      </c>
      <c r="T1170" s="1">
        <v>-3.2763810000000002</v>
      </c>
      <c r="U1170" s="1">
        <v>9.3800000000000008</v>
      </c>
      <c r="V1170" s="1">
        <v>90</v>
      </c>
      <c r="W1170" s="1">
        <v>169</v>
      </c>
      <c r="X1170" s="1">
        <v>1.8777777777777778</v>
      </c>
      <c r="Y1170" s="1">
        <v>97</v>
      </c>
      <c r="Z1170" s="1">
        <v>169</v>
      </c>
      <c r="AA1170" s="1">
        <v>1.7422680412371134</v>
      </c>
      <c r="AB1170" s="1">
        <v>94.498198223663621</v>
      </c>
      <c r="AC1170" s="1">
        <v>168.89522040000571</v>
      </c>
      <c r="AD1170" s="1">
        <v>1.7872850866453036</v>
      </c>
      <c r="AE1170" t="s">
        <v>4817</v>
      </c>
      <c r="AF1170" t="str">
        <f>IF(X1170&lt;$AF$1,"Bajo","Alto")</f>
        <v>Alto</v>
      </c>
      <c r="AG1170" t="str">
        <f>LEFT(AE1170,1)</f>
        <v>C</v>
      </c>
      <c r="AH1170" t="str">
        <f>K1170</f>
        <v>M</v>
      </c>
      <c r="AI1170" t="str">
        <f>LEFT(AF1170,1)</f>
        <v>A</v>
      </c>
      <c r="AJ1170" t="str">
        <f>LEFT(M1170,1)</f>
        <v>M</v>
      </c>
      <c r="AK1170" t="str">
        <f>_xlfn.CONCAT(AG1170,AH1170,AI1170,AJ1170)</f>
        <v>CMAM</v>
      </c>
    </row>
    <row r="1171" spans="1:37" ht="15.75" hidden="1" customHeight="1" x14ac:dyDescent="0.2">
      <c r="A1171" s="1">
        <v>253803</v>
      </c>
      <c r="B1171" s="1" t="s">
        <v>3169</v>
      </c>
      <c r="C1171" s="1" t="s">
        <v>821</v>
      </c>
      <c r="D1171" s="1" t="s">
        <v>3244</v>
      </c>
      <c r="E1171" s="1" t="s">
        <v>2637</v>
      </c>
      <c r="F1171" s="1" t="s">
        <v>63</v>
      </c>
      <c r="G1171" s="1" t="s">
        <v>3246</v>
      </c>
      <c r="H1171" s="1">
        <v>2214</v>
      </c>
      <c r="I1171" s="1" t="s">
        <v>65</v>
      </c>
      <c r="J1171" s="1">
        <v>2</v>
      </c>
      <c r="K1171" s="1" t="s">
        <v>35</v>
      </c>
      <c r="L1171" s="1">
        <v>38</v>
      </c>
      <c r="M1171" s="1" t="str">
        <f>IF(L1171&lt;=45,"Joven","Mayor")</f>
        <v>Joven</v>
      </c>
      <c r="N1171" s="1">
        <v>48</v>
      </c>
      <c r="O1171" s="1" t="s">
        <v>36</v>
      </c>
      <c r="P1171" s="1">
        <v>0.36199999999999999</v>
      </c>
      <c r="Q1171" s="1">
        <v>91.756</v>
      </c>
      <c r="R1171" s="1">
        <v>2.0677569999999998</v>
      </c>
      <c r="S1171" s="1">
        <v>7.7522983999999999</v>
      </c>
      <c r="T1171" s="1">
        <v>-5.2836213000000001</v>
      </c>
      <c r="U1171" s="1">
        <v>65.870999999999995</v>
      </c>
      <c r="V1171" s="1">
        <v>104</v>
      </c>
      <c r="W1171" s="1">
        <v>174</v>
      </c>
      <c r="X1171" s="1">
        <v>1.6730769230769231</v>
      </c>
      <c r="Y1171" s="1">
        <v>105</v>
      </c>
      <c r="Z1171" s="1">
        <v>174</v>
      </c>
      <c r="AA1171" s="1">
        <v>1.6571428571428573</v>
      </c>
      <c r="AB1171" s="1">
        <v>107.7940639321553</v>
      </c>
      <c r="AC1171" s="1">
        <v>173.44485680801839</v>
      </c>
      <c r="AD1171" s="1">
        <v>1.609039036854415</v>
      </c>
      <c r="AE1171" t="s">
        <v>4817</v>
      </c>
      <c r="AF1171" t="str">
        <f>IF(X1171&lt;$AF$1,"Bajo","Alto")</f>
        <v>Bajo</v>
      </c>
      <c r="AG1171" t="str">
        <f>LEFT(AE1171,1)</f>
        <v>C</v>
      </c>
      <c r="AH1171" t="str">
        <f>K1171</f>
        <v>M</v>
      </c>
      <c r="AI1171" t="str">
        <f>LEFT(AF1171,1)</f>
        <v>B</v>
      </c>
      <c r="AJ1171" t="str">
        <f>LEFT(M1171,1)</f>
        <v>J</v>
      </c>
      <c r="AK1171" t="str">
        <f>_xlfn.CONCAT(AG1171,AH1171,AI1171,AJ1171)</f>
        <v>CMBJ</v>
      </c>
    </row>
    <row r="1172" spans="1:37" ht="15.75" hidden="1" customHeight="1" x14ac:dyDescent="0.2">
      <c r="A1172" s="1">
        <v>10116307</v>
      </c>
      <c r="B1172" s="1" t="s">
        <v>29</v>
      </c>
      <c r="C1172" s="1" t="s">
        <v>30</v>
      </c>
      <c r="D1172" s="1" t="s">
        <v>250</v>
      </c>
      <c r="E1172" s="1" t="s">
        <v>251</v>
      </c>
      <c r="F1172" s="1" t="s">
        <v>43</v>
      </c>
      <c r="G1172" s="1" t="s">
        <v>256</v>
      </c>
      <c r="H1172" s="1">
        <v>849</v>
      </c>
      <c r="I1172" s="1" t="s">
        <v>257</v>
      </c>
      <c r="J1172" s="1">
        <v>430</v>
      </c>
      <c r="K1172" s="1" t="s">
        <v>35</v>
      </c>
      <c r="L1172" s="1">
        <v>39</v>
      </c>
      <c r="M1172" s="1" t="str">
        <f>IF(L1172&lt;=45,"Joven","Mayor")</f>
        <v>Joven</v>
      </c>
      <c r="N1172" s="1">
        <v>44</v>
      </c>
      <c r="O1172" s="1" t="s">
        <v>36</v>
      </c>
      <c r="P1172" s="1">
        <v>0.378</v>
      </c>
      <c r="Q1172" s="1">
        <v>83.81</v>
      </c>
      <c r="R1172" s="1">
        <v>8.7017144999999996</v>
      </c>
      <c r="S1172" s="1">
        <v>4.5410037000000001</v>
      </c>
      <c r="T1172" s="1">
        <v>-3.7175579999999999</v>
      </c>
      <c r="U1172" s="1">
        <v>0.80300000000000005</v>
      </c>
      <c r="V1172" s="1">
        <v>101</v>
      </c>
      <c r="W1172" s="1">
        <v>169</v>
      </c>
      <c r="X1172" s="1">
        <v>1.6732673267326732</v>
      </c>
      <c r="Y1172" s="1">
        <v>101</v>
      </c>
      <c r="Z1172" s="1">
        <v>169</v>
      </c>
      <c r="AA1172" s="1">
        <v>1.6732673267326732</v>
      </c>
      <c r="AB1172" s="1">
        <v>103.6403522784105</v>
      </c>
      <c r="AC1172" s="1">
        <v>168.77406571612391</v>
      </c>
      <c r="AD1172" s="1">
        <v>1.6284590124003422</v>
      </c>
      <c r="AE1172" t="s">
        <v>4817</v>
      </c>
      <c r="AF1172" t="str">
        <f>IF(X1172&lt;$AF$1,"Bajo","Alto")</f>
        <v>Bajo</v>
      </c>
      <c r="AG1172" t="str">
        <f>LEFT(AE1172,1)</f>
        <v>C</v>
      </c>
      <c r="AH1172" t="str">
        <f>K1172</f>
        <v>M</v>
      </c>
      <c r="AI1172" t="str">
        <f>LEFT(AF1172,1)</f>
        <v>B</v>
      </c>
      <c r="AJ1172" t="str">
        <f>LEFT(M1172,1)</f>
        <v>J</v>
      </c>
      <c r="AK1172" t="str">
        <f>_xlfn.CONCAT(AG1172,AH1172,AI1172,AJ1172)</f>
        <v>CMBJ</v>
      </c>
    </row>
    <row r="1173" spans="1:37" ht="15.75" hidden="1" customHeight="1" x14ac:dyDescent="0.2">
      <c r="A1173" s="1">
        <v>2310602</v>
      </c>
      <c r="B1173" s="1" t="s">
        <v>319</v>
      </c>
      <c r="C1173" s="1" t="s">
        <v>1989</v>
      </c>
      <c r="D1173" s="1" t="s">
        <v>2931</v>
      </c>
      <c r="E1173" s="1" t="s">
        <v>95</v>
      </c>
      <c r="F1173" s="1" t="s">
        <v>37</v>
      </c>
      <c r="G1173" s="1" t="s">
        <v>2933</v>
      </c>
      <c r="H1173" s="1">
        <v>6164</v>
      </c>
      <c r="I1173" s="1" t="s">
        <v>108</v>
      </c>
      <c r="J1173" s="1">
        <v>3</v>
      </c>
      <c r="K1173" s="1" t="s">
        <v>35</v>
      </c>
      <c r="L1173" s="1">
        <v>42</v>
      </c>
      <c r="M1173" s="1" t="str">
        <f>IF(L1173&lt;=45,"Joven","Mayor")</f>
        <v>Joven</v>
      </c>
      <c r="N1173" s="1">
        <v>52</v>
      </c>
      <c r="O1173" s="1" t="s">
        <v>36</v>
      </c>
      <c r="P1173" s="1">
        <v>0.34100000000000003</v>
      </c>
      <c r="Q1173" s="1">
        <v>93.992999999999995</v>
      </c>
      <c r="R1173" s="1">
        <v>-0.61278489999999997</v>
      </c>
      <c r="S1173" s="1">
        <v>3.7085674000000002</v>
      </c>
      <c r="T1173" s="1">
        <v>2.4628599000000002</v>
      </c>
      <c r="U1173" s="1">
        <v>53.77</v>
      </c>
      <c r="V1173" s="1">
        <v>71</v>
      </c>
      <c r="W1173" s="1">
        <v>134</v>
      </c>
      <c r="X1173" s="1">
        <v>1.8873239436619718</v>
      </c>
      <c r="Y1173" s="1">
        <v>73</v>
      </c>
      <c r="Z1173" s="1">
        <v>134</v>
      </c>
      <c r="AA1173" s="1">
        <v>1.8356164383561644</v>
      </c>
      <c r="AB1173" s="1">
        <v>72.524372135212843</v>
      </c>
      <c r="AC1173" s="1">
        <v>133.96216594961609</v>
      </c>
      <c r="AD1173" s="1">
        <v>1.8471330672102886</v>
      </c>
      <c r="AE1173" t="s">
        <v>4817</v>
      </c>
      <c r="AF1173" t="str">
        <f>IF(X1173&lt;$AF$1,"Bajo","Alto")</f>
        <v>Alto</v>
      </c>
      <c r="AG1173" t="str">
        <f>LEFT(AE1173,1)</f>
        <v>C</v>
      </c>
      <c r="AH1173" t="str">
        <f>K1173</f>
        <v>M</v>
      </c>
      <c r="AI1173" t="str">
        <f>LEFT(AF1173,1)</f>
        <v>A</v>
      </c>
      <c r="AJ1173" t="str">
        <f>LEFT(M1173,1)</f>
        <v>J</v>
      </c>
      <c r="AK1173" t="str">
        <f>_xlfn.CONCAT(AG1173,AH1173,AI1173,AJ1173)</f>
        <v>CMAJ</v>
      </c>
    </row>
    <row r="1174" spans="1:37" ht="15.75" hidden="1" customHeight="1" x14ac:dyDescent="0.2">
      <c r="A1174" s="1">
        <v>2828005</v>
      </c>
      <c r="B1174" s="1" t="s">
        <v>1775</v>
      </c>
      <c r="C1174" s="1" t="s">
        <v>561</v>
      </c>
      <c r="D1174" s="1" t="s">
        <v>1775</v>
      </c>
      <c r="E1174" s="1" t="s">
        <v>556</v>
      </c>
      <c r="F1174" s="1" t="s">
        <v>40</v>
      </c>
      <c r="G1174" s="1" t="s">
        <v>3834</v>
      </c>
      <c r="H1174" s="1">
        <v>5</v>
      </c>
      <c r="I1174" s="1" t="s">
        <v>48</v>
      </c>
      <c r="J1174" s="1">
        <v>4</v>
      </c>
      <c r="K1174" s="1" t="s">
        <v>35</v>
      </c>
      <c r="L1174" s="1">
        <v>43</v>
      </c>
      <c r="M1174" s="1" t="str">
        <f>IF(L1174&lt;=45,"Joven","Mayor")</f>
        <v>Joven</v>
      </c>
      <c r="N1174" s="1">
        <v>42</v>
      </c>
      <c r="O1174" s="1" t="s">
        <v>36</v>
      </c>
      <c r="P1174" s="1">
        <v>0.36099999999999999</v>
      </c>
      <c r="Q1174" s="1">
        <v>45.783000000000001</v>
      </c>
      <c r="R1174" s="1">
        <v>16.448091999999999</v>
      </c>
      <c r="S1174" s="1">
        <v>-2.9893885</v>
      </c>
      <c r="T1174" s="1">
        <v>-8.5542010000000008</v>
      </c>
      <c r="U1174" s="1">
        <v>63.210999999999999</v>
      </c>
      <c r="V1174" s="1">
        <v>71</v>
      </c>
      <c r="W1174" s="1">
        <v>134</v>
      </c>
      <c r="X1174" s="1">
        <v>1.8873239436619718</v>
      </c>
      <c r="Y1174" s="1">
        <v>76</v>
      </c>
      <c r="Z1174" s="1">
        <v>134</v>
      </c>
      <c r="AA1174" s="1">
        <v>1.763157894736842</v>
      </c>
      <c r="AB1174" s="1">
        <v>76.01121991853438</v>
      </c>
      <c r="AC1174" s="1">
        <v>133.84803422052161</v>
      </c>
      <c r="AD1174" s="1">
        <v>1.7608983826857967</v>
      </c>
      <c r="AE1174" t="s">
        <v>4817</v>
      </c>
      <c r="AF1174" t="str">
        <f>IF(X1174&lt;$AF$1,"Bajo","Alto")</f>
        <v>Alto</v>
      </c>
      <c r="AG1174" t="str">
        <f>LEFT(AE1174,1)</f>
        <v>C</v>
      </c>
      <c r="AH1174" t="str">
        <f>K1174</f>
        <v>M</v>
      </c>
      <c r="AI1174" t="str">
        <f>LEFT(AF1174,1)</f>
        <v>A</v>
      </c>
      <c r="AJ1174" t="str">
        <f>LEFT(M1174,1)</f>
        <v>J</v>
      </c>
      <c r="AK1174" t="str">
        <f>_xlfn.CONCAT(AG1174,AH1174,AI1174,AJ1174)</f>
        <v>CMAJ</v>
      </c>
    </row>
    <row r="1175" spans="1:37" ht="15.75" hidden="1" customHeight="1" x14ac:dyDescent="0.2">
      <c r="A1175" s="1">
        <v>10728303</v>
      </c>
      <c r="B1175" s="1" t="s">
        <v>1067</v>
      </c>
      <c r="C1175" s="1" t="s">
        <v>1068</v>
      </c>
      <c r="D1175" s="1" t="s">
        <v>1347</v>
      </c>
      <c r="E1175" s="1" t="s">
        <v>569</v>
      </c>
      <c r="F1175" s="1" t="s">
        <v>63</v>
      </c>
      <c r="G1175" s="1" t="s">
        <v>1350</v>
      </c>
      <c r="H1175" s="1">
        <v>1292</v>
      </c>
      <c r="I1175" s="1" t="s">
        <v>48</v>
      </c>
      <c r="J1175" s="1">
        <v>4</v>
      </c>
      <c r="K1175" s="1" t="s">
        <v>35</v>
      </c>
      <c r="L1175" s="1">
        <v>50</v>
      </c>
      <c r="M1175" s="1" t="str">
        <f>IF(L1175&lt;=45,"Joven","Mayor")</f>
        <v>Mayor</v>
      </c>
      <c r="N1175" s="1">
        <v>55</v>
      </c>
      <c r="O1175" s="1" t="s">
        <v>36</v>
      </c>
      <c r="P1175" s="1">
        <v>8.1000000000000003E-2</v>
      </c>
      <c r="Q1175" s="1">
        <v>82.08</v>
      </c>
      <c r="R1175" s="1">
        <v>9.2555160000000001</v>
      </c>
      <c r="S1175" s="1">
        <v>5.2910620000000002</v>
      </c>
      <c r="T1175" s="1">
        <v>-5.312557</v>
      </c>
      <c r="U1175" s="1">
        <v>16.053999999999998</v>
      </c>
      <c r="V1175" s="1">
        <v>97</v>
      </c>
      <c r="W1175" s="1">
        <v>160</v>
      </c>
      <c r="X1175" s="1">
        <v>1.6494845360824741</v>
      </c>
      <c r="Y1175" s="1">
        <v>101</v>
      </c>
      <c r="Z1175" s="1">
        <v>160</v>
      </c>
      <c r="AA1175" s="1">
        <v>1.5841584158415842</v>
      </c>
      <c r="AB1175" s="1">
        <v>100.84241495855871</v>
      </c>
      <c r="AC1175" s="1">
        <v>159.59047526642331</v>
      </c>
      <c r="AD1175" s="1">
        <v>1.5825729216422195</v>
      </c>
      <c r="AE1175" t="s">
        <v>4817</v>
      </c>
      <c r="AF1175" t="str">
        <f>IF(X1175&lt;$AF$1,"Bajo","Alto")</f>
        <v>Bajo</v>
      </c>
      <c r="AG1175" t="str">
        <f>LEFT(AE1175,1)</f>
        <v>C</v>
      </c>
      <c r="AH1175" t="str">
        <f>K1175</f>
        <v>M</v>
      </c>
      <c r="AI1175" t="str">
        <f>LEFT(AF1175,1)</f>
        <v>B</v>
      </c>
      <c r="AJ1175" t="str">
        <f>LEFT(M1175,1)</f>
        <v>M</v>
      </c>
      <c r="AK1175" t="str">
        <f>_xlfn.CONCAT(AG1175,AH1175,AI1175,AJ1175)</f>
        <v>CMBM</v>
      </c>
    </row>
    <row r="1176" spans="1:37" ht="15.75" hidden="1" customHeight="1" x14ac:dyDescent="0.2">
      <c r="A1176" s="1">
        <v>1520204</v>
      </c>
      <c r="B1176" s="1" t="s">
        <v>2077</v>
      </c>
      <c r="C1176" s="1" t="s">
        <v>57</v>
      </c>
      <c r="D1176" s="1" t="s">
        <v>2233</v>
      </c>
      <c r="E1176" s="1" t="s">
        <v>358</v>
      </c>
      <c r="F1176" s="1" t="s">
        <v>61</v>
      </c>
      <c r="G1176" s="1" t="s">
        <v>2234</v>
      </c>
      <c r="H1176" s="1">
        <v>17</v>
      </c>
      <c r="I1176" s="1" t="s">
        <v>65</v>
      </c>
      <c r="J1176" s="1">
        <v>2</v>
      </c>
      <c r="K1176" s="1" t="s">
        <v>49</v>
      </c>
      <c r="L1176" s="1">
        <v>47</v>
      </c>
      <c r="M1176" s="1" t="str">
        <f>IF(L1176&lt;=45,"Joven","Mayor")</f>
        <v>Mayor</v>
      </c>
      <c r="N1176" s="1">
        <v>54</v>
      </c>
      <c r="O1176" s="1" t="s">
        <v>50</v>
      </c>
      <c r="P1176" s="1">
        <v>0.753</v>
      </c>
      <c r="Q1176" s="1">
        <v>93.191000000000003</v>
      </c>
      <c r="R1176" s="1">
        <v>-0.71083826000000006</v>
      </c>
      <c r="S1176" s="1">
        <v>-6.0429955</v>
      </c>
      <c r="T1176" s="1">
        <v>-2.0760424</v>
      </c>
      <c r="U1176" s="1">
        <v>1.22</v>
      </c>
      <c r="V1176" s="1">
        <v>63</v>
      </c>
      <c r="W1176" s="1">
        <v>119</v>
      </c>
      <c r="X1176" s="1">
        <v>1.8888888888888888</v>
      </c>
      <c r="Y1176" s="1">
        <v>69</v>
      </c>
      <c r="Z1176" s="1">
        <v>119</v>
      </c>
      <c r="AA1176" s="1">
        <v>1.7246376811594204</v>
      </c>
      <c r="AB1176" s="1">
        <v>68.049064188578086</v>
      </c>
      <c r="AC1176" s="1">
        <v>119.247924427139</v>
      </c>
      <c r="AD1176" s="1">
        <v>1.7523815477708589</v>
      </c>
      <c r="AE1176" t="s">
        <v>4817</v>
      </c>
      <c r="AF1176" t="str">
        <f>IF(X1176&lt;$AF$1,"Bajo","Alto")</f>
        <v>Alto</v>
      </c>
      <c r="AG1176" t="str">
        <f>LEFT(AE1176,1)</f>
        <v>C</v>
      </c>
      <c r="AH1176" t="str">
        <f>K1176</f>
        <v>F</v>
      </c>
      <c r="AI1176" t="str">
        <f>LEFT(AF1176,1)</f>
        <v>A</v>
      </c>
      <c r="AJ1176" t="str">
        <f>LEFT(M1176,1)</f>
        <v>M</v>
      </c>
      <c r="AK1176" t="str">
        <f>_xlfn.CONCAT(AG1176,AH1176,AI1176,AJ1176)</f>
        <v>CFAM</v>
      </c>
    </row>
    <row r="1177" spans="1:37" ht="15.75" hidden="1" customHeight="1" x14ac:dyDescent="0.2">
      <c r="A1177" s="1">
        <v>2911202</v>
      </c>
      <c r="B1177" s="1" t="s">
        <v>3890</v>
      </c>
      <c r="C1177" s="1" t="s">
        <v>1695</v>
      </c>
      <c r="D1177" s="1" t="s">
        <v>3938</v>
      </c>
      <c r="E1177" s="1" t="s">
        <v>106</v>
      </c>
      <c r="F1177" s="1" t="s">
        <v>37</v>
      </c>
      <c r="G1177" s="1" t="s">
        <v>3940</v>
      </c>
      <c r="H1177" s="1">
        <v>1208</v>
      </c>
      <c r="I1177" s="1" t="s">
        <v>65</v>
      </c>
      <c r="J1177" s="1">
        <v>2</v>
      </c>
      <c r="K1177" s="1" t="s">
        <v>49</v>
      </c>
      <c r="L1177" s="1">
        <v>39</v>
      </c>
      <c r="M1177" s="1" t="str">
        <f>IF(L1177&lt;=45,"Joven","Mayor")</f>
        <v>Joven</v>
      </c>
      <c r="N1177" s="1">
        <v>45</v>
      </c>
      <c r="O1177" s="1" t="s">
        <v>50</v>
      </c>
      <c r="P1177" s="1">
        <v>0.44800000000000001</v>
      </c>
      <c r="Q1177" s="1">
        <v>92.742999999999995</v>
      </c>
      <c r="R1177" s="1">
        <v>3.6935126999999999</v>
      </c>
      <c r="S1177" s="1">
        <v>-1.9707657E-2</v>
      </c>
      <c r="T1177" s="1">
        <v>-8.2343910000000005</v>
      </c>
      <c r="U1177" s="1">
        <v>10.050000000000001</v>
      </c>
      <c r="V1177" s="1">
        <v>95</v>
      </c>
      <c r="W1177" s="1">
        <v>181</v>
      </c>
      <c r="X1177" s="1">
        <v>1.9052631578947368</v>
      </c>
      <c r="Y1177" s="1">
        <v>101</v>
      </c>
      <c r="Z1177" s="1">
        <v>181</v>
      </c>
      <c r="AA1177" s="1">
        <v>1.7920792079207921</v>
      </c>
      <c r="AB1177" s="1">
        <v>101.7546343528854</v>
      </c>
      <c r="AC1177" s="1">
        <v>181.1390920282424</v>
      </c>
      <c r="AD1177" s="1">
        <v>1.7801556968899463</v>
      </c>
      <c r="AE1177" t="s">
        <v>4817</v>
      </c>
      <c r="AF1177" t="str">
        <f>IF(X1177&lt;$AF$1,"Bajo","Alto")</f>
        <v>Alto</v>
      </c>
      <c r="AG1177" t="str">
        <f>LEFT(AE1177,1)</f>
        <v>C</v>
      </c>
      <c r="AH1177" t="str">
        <f>K1177</f>
        <v>F</v>
      </c>
      <c r="AI1177" t="str">
        <f>LEFT(AF1177,1)</f>
        <v>A</v>
      </c>
      <c r="AJ1177" t="str">
        <f>LEFT(M1177,1)</f>
        <v>J</v>
      </c>
      <c r="AK1177" t="str">
        <f>_xlfn.CONCAT(AG1177,AH1177,AI1177,AJ1177)</f>
        <v>CFAJ</v>
      </c>
    </row>
    <row r="1178" spans="1:37" ht="15.75" hidden="1" customHeight="1" x14ac:dyDescent="0.2">
      <c r="A1178" s="1">
        <v>401501</v>
      </c>
      <c r="B1178" s="1" t="s">
        <v>4287</v>
      </c>
      <c r="C1178" s="1" t="s">
        <v>657</v>
      </c>
      <c r="D1178" s="1" t="s">
        <v>4296</v>
      </c>
      <c r="E1178" s="1" t="s">
        <v>57</v>
      </c>
      <c r="F1178" s="1" t="s">
        <v>32</v>
      </c>
      <c r="G1178" s="1" t="s">
        <v>4297</v>
      </c>
      <c r="H1178" s="1">
        <v>709</v>
      </c>
      <c r="I1178" s="1" t="s">
        <v>100</v>
      </c>
      <c r="J1178" s="1">
        <v>1</v>
      </c>
      <c r="K1178" s="1" t="s">
        <v>35</v>
      </c>
      <c r="L1178" s="1">
        <v>33</v>
      </c>
      <c r="M1178" s="1" t="str">
        <f>IF(L1178&lt;=45,"Joven","Mayor")</f>
        <v>Joven</v>
      </c>
      <c r="N1178" s="1">
        <v>44</v>
      </c>
      <c r="O1178" s="1" t="s">
        <v>36</v>
      </c>
      <c r="P1178" s="1">
        <v>1.0820000000000001</v>
      </c>
      <c r="Q1178" s="1">
        <v>75.835999999999999</v>
      </c>
      <c r="R1178" s="1">
        <v>-9.9658160000000002</v>
      </c>
      <c r="S1178" s="1">
        <v>9.2690940000000008</v>
      </c>
      <c r="T1178" s="1">
        <v>3.7625617999999998</v>
      </c>
      <c r="U1178" s="1">
        <v>4.3680000000000003</v>
      </c>
      <c r="V1178" s="1">
        <v>71</v>
      </c>
      <c r="W1178" s="1">
        <v>134</v>
      </c>
      <c r="X1178" s="1">
        <v>1.8873239436619718</v>
      </c>
      <c r="Y1178" s="1">
        <v>73</v>
      </c>
      <c r="Z1178" s="1">
        <v>134</v>
      </c>
      <c r="AA1178" s="1">
        <v>1.8356164383561644</v>
      </c>
      <c r="AB1178" s="1">
        <v>73.012486556520344</v>
      </c>
      <c r="AC1178" s="1">
        <v>133.57992722889779</v>
      </c>
      <c r="AD1178" s="1">
        <v>1.8295490748077872</v>
      </c>
      <c r="AE1178" t="s">
        <v>4817</v>
      </c>
      <c r="AF1178" t="str">
        <f>IF(X1178&lt;$AF$1,"Bajo","Alto")</f>
        <v>Alto</v>
      </c>
      <c r="AG1178" t="str">
        <f>LEFT(AE1178,1)</f>
        <v>C</v>
      </c>
      <c r="AH1178" t="str">
        <f>K1178</f>
        <v>M</v>
      </c>
      <c r="AI1178" t="str">
        <f>LEFT(AF1178,1)</f>
        <v>A</v>
      </c>
      <c r="AJ1178" t="str">
        <f>LEFT(M1178,1)</f>
        <v>J</v>
      </c>
      <c r="AK1178" t="str">
        <f>_xlfn.CONCAT(AG1178,AH1178,AI1178,AJ1178)</f>
        <v>CMAJ</v>
      </c>
    </row>
    <row r="1179" spans="1:37" ht="15.75" hidden="1" customHeight="1" x14ac:dyDescent="0.2">
      <c r="A1179" s="1">
        <v>1018008</v>
      </c>
      <c r="B1179" s="1" t="s">
        <v>29</v>
      </c>
      <c r="C1179" s="1" t="s">
        <v>30</v>
      </c>
      <c r="D1179" s="1" t="s">
        <v>743</v>
      </c>
      <c r="E1179" s="1" t="s">
        <v>744</v>
      </c>
      <c r="F1179" s="1" t="s">
        <v>46</v>
      </c>
      <c r="G1179" s="1" t="s">
        <v>748</v>
      </c>
      <c r="H1179" s="1">
        <v>209</v>
      </c>
      <c r="I1179" s="1" t="s">
        <v>108</v>
      </c>
      <c r="J1179" s="1">
        <v>3</v>
      </c>
      <c r="K1179" s="1" t="s">
        <v>35</v>
      </c>
      <c r="L1179" s="1">
        <v>60</v>
      </c>
      <c r="M1179" s="1" t="str">
        <f>IF(L1179&lt;=45,"Joven","Mayor")</f>
        <v>Mayor</v>
      </c>
      <c r="N1179" s="1">
        <v>51</v>
      </c>
      <c r="O1179" s="1" t="s">
        <v>36</v>
      </c>
      <c r="P1179" s="1">
        <v>1.9E-2</v>
      </c>
      <c r="Q1179" s="1">
        <v>90.204999999999998</v>
      </c>
      <c r="R1179" s="1">
        <v>5.2078103999999996</v>
      </c>
      <c r="S1179" s="1">
        <v>-4.3454284999999997</v>
      </c>
      <c r="T1179" s="1">
        <v>-1.7137544</v>
      </c>
      <c r="U1179" s="1">
        <v>26.257000000000001</v>
      </c>
      <c r="V1179" s="1">
        <v>98</v>
      </c>
      <c r="W1179" s="1">
        <v>184</v>
      </c>
      <c r="X1179" s="1">
        <v>1.8775510204081634</v>
      </c>
      <c r="Y1179" s="1">
        <v>101</v>
      </c>
      <c r="Z1179" s="1">
        <v>184</v>
      </c>
      <c r="AA1179" s="1">
        <v>1.8217821782178218</v>
      </c>
      <c r="AB1179" s="1">
        <v>102.3604149402036</v>
      </c>
      <c r="AC1179" s="1">
        <v>183.79807378745409</v>
      </c>
      <c r="AD1179" s="1">
        <v>1.7955971934543675</v>
      </c>
      <c r="AE1179" t="s">
        <v>4817</v>
      </c>
      <c r="AF1179" t="str">
        <f>IF(X1179&lt;$AF$1,"Bajo","Alto")</f>
        <v>Alto</v>
      </c>
      <c r="AG1179" t="str">
        <f>LEFT(AE1179,1)</f>
        <v>C</v>
      </c>
      <c r="AH1179" t="str">
        <f>K1179</f>
        <v>M</v>
      </c>
      <c r="AI1179" t="str">
        <f>LEFT(AF1179,1)</f>
        <v>A</v>
      </c>
      <c r="AJ1179" t="str">
        <f>LEFT(M1179,1)</f>
        <v>M</v>
      </c>
      <c r="AK1179" t="str">
        <f>_xlfn.CONCAT(AG1179,AH1179,AI1179,AJ1179)</f>
        <v>CMAM</v>
      </c>
    </row>
    <row r="1180" spans="1:37" ht="15.75" hidden="1" customHeight="1" x14ac:dyDescent="0.2">
      <c r="A1180" s="1">
        <v>1032506</v>
      </c>
      <c r="B1180" s="1" t="s">
        <v>783</v>
      </c>
      <c r="C1180" s="1" t="s">
        <v>81</v>
      </c>
      <c r="D1180" s="1" t="s">
        <v>820</v>
      </c>
      <c r="E1180" s="1" t="s">
        <v>821</v>
      </c>
      <c r="F1180" s="1" t="s">
        <v>88</v>
      </c>
      <c r="G1180" s="1" t="s">
        <v>825</v>
      </c>
      <c r="H1180" s="1">
        <v>2932</v>
      </c>
      <c r="I1180" s="1" t="s">
        <v>108</v>
      </c>
      <c r="J1180" s="1">
        <v>3</v>
      </c>
      <c r="K1180" s="1" t="s">
        <v>49</v>
      </c>
      <c r="L1180" s="1">
        <v>37</v>
      </c>
      <c r="M1180" s="1" t="str">
        <f>IF(L1180&lt;=45,"Joven","Mayor")</f>
        <v>Joven</v>
      </c>
      <c r="N1180" s="1">
        <v>30</v>
      </c>
      <c r="O1180" s="1" t="s">
        <v>50</v>
      </c>
      <c r="P1180" s="1">
        <v>0.34799999999999998</v>
      </c>
      <c r="Q1180" s="1">
        <v>78.114999999999995</v>
      </c>
      <c r="R1180" s="1">
        <v>11.045361</v>
      </c>
      <c r="S1180" s="1">
        <v>2.0126894000000002</v>
      </c>
      <c r="T1180" s="1">
        <v>-7.1207924</v>
      </c>
      <c r="U1180" s="1">
        <v>5.133</v>
      </c>
      <c r="V1180" s="1">
        <v>87</v>
      </c>
      <c r="W1180" s="1">
        <v>145</v>
      </c>
      <c r="X1180" s="1">
        <v>1.6666666666666667</v>
      </c>
      <c r="Y1180" s="1">
        <v>88</v>
      </c>
      <c r="Z1180" s="1">
        <v>145</v>
      </c>
      <c r="AA1180" s="1">
        <v>1.6477272727272727</v>
      </c>
      <c r="AB1180" s="1">
        <v>91.039510678789611</v>
      </c>
      <c r="AC1180" s="1">
        <v>143.63369445859101</v>
      </c>
      <c r="AD1180" s="1">
        <v>1.5777072326911659</v>
      </c>
      <c r="AE1180" t="s">
        <v>4817</v>
      </c>
      <c r="AF1180" t="str">
        <f>IF(X1180&lt;$AF$1,"Bajo","Alto")</f>
        <v>Bajo</v>
      </c>
      <c r="AG1180" t="str">
        <f>LEFT(AE1180,1)</f>
        <v>C</v>
      </c>
      <c r="AH1180" t="str">
        <f>K1180</f>
        <v>F</v>
      </c>
      <c r="AI1180" t="str">
        <f>LEFT(AF1180,1)</f>
        <v>B</v>
      </c>
      <c r="AJ1180" t="str">
        <f>LEFT(M1180,1)</f>
        <v>J</v>
      </c>
      <c r="AK1180" t="str">
        <f>_xlfn.CONCAT(AG1180,AH1180,AI1180,AJ1180)</f>
        <v>CFBJ</v>
      </c>
    </row>
    <row r="1181" spans="1:37" ht="15.75" hidden="1" customHeight="1" x14ac:dyDescent="0.2">
      <c r="A1181" s="1">
        <v>132806</v>
      </c>
      <c r="B1181" s="1" t="s">
        <v>956</v>
      </c>
      <c r="C1181" s="1" t="s">
        <v>163</v>
      </c>
      <c r="D1181" s="1" t="s">
        <v>2009</v>
      </c>
      <c r="E1181" s="1" t="s">
        <v>561</v>
      </c>
      <c r="F1181" s="1" t="s">
        <v>88</v>
      </c>
      <c r="G1181" s="1" t="s">
        <v>2013</v>
      </c>
      <c r="H1181" s="1">
        <v>13846</v>
      </c>
      <c r="I1181" s="1" t="s">
        <v>2014</v>
      </c>
      <c r="J1181" s="1">
        <v>2125</v>
      </c>
      <c r="K1181" s="1" t="s">
        <v>35</v>
      </c>
      <c r="L1181" s="1">
        <v>34</v>
      </c>
      <c r="M1181" s="1" t="str">
        <f>IF(L1181&lt;=45,"Joven","Mayor")</f>
        <v>Joven</v>
      </c>
      <c r="N1181" s="1">
        <v>33</v>
      </c>
      <c r="O1181" s="1" t="s">
        <v>36</v>
      </c>
      <c r="P1181" s="1">
        <v>0.26900000000000002</v>
      </c>
      <c r="Q1181" s="1">
        <v>90.07</v>
      </c>
      <c r="R1181" s="1">
        <v>5.700145</v>
      </c>
      <c r="S1181" s="1">
        <v>2.6934149999999999</v>
      </c>
      <c r="T1181" s="1">
        <v>-6.2167944999999998</v>
      </c>
      <c r="U1181" s="1">
        <v>31.271000000000001</v>
      </c>
      <c r="V1181" s="1">
        <v>115</v>
      </c>
      <c r="W1181" s="1">
        <v>217</v>
      </c>
      <c r="X1181" s="1">
        <v>1.8869565217391304</v>
      </c>
      <c r="Y1181" s="1">
        <v>130</v>
      </c>
      <c r="Z1181" s="1">
        <v>217</v>
      </c>
      <c r="AA1181" s="1">
        <v>1.6692307692307693</v>
      </c>
      <c r="AB1181" s="1">
        <v>123.17122206226711</v>
      </c>
      <c r="AC1181" s="1">
        <v>217.56482326158769</v>
      </c>
      <c r="AD1181" s="1">
        <v>1.766360839966348</v>
      </c>
      <c r="AE1181" t="s">
        <v>4817</v>
      </c>
      <c r="AF1181" t="str">
        <f>IF(X1181&lt;$AF$1,"Bajo","Alto")</f>
        <v>Alto</v>
      </c>
      <c r="AG1181" t="str">
        <f>LEFT(AE1181,1)</f>
        <v>C</v>
      </c>
      <c r="AH1181" t="str">
        <f>K1181</f>
        <v>M</v>
      </c>
      <c r="AI1181" t="str">
        <f>LEFT(AF1181,1)</f>
        <v>A</v>
      </c>
      <c r="AJ1181" t="str">
        <f>LEFT(M1181,1)</f>
        <v>J</v>
      </c>
      <c r="AK1181" t="str">
        <f>_xlfn.CONCAT(AG1181,AH1181,AI1181,AJ1181)</f>
        <v>CMAJ</v>
      </c>
    </row>
    <row r="1182" spans="1:37" ht="15.75" hidden="1" customHeight="1" x14ac:dyDescent="0.2">
      <c r="A1182" s="1">
        <v>440402</v>
      </c>
      <c r="B1182" s="1" t="s">
        <v>4314</v>
      </c>
      <c r="C1182" s="1" t="s">
        <v>995</v>
      </c>
      <c r="D1182" s="1" t="s">
        <v>4329</v>
      </c>
      <c r="E1182" s="1" t="s">
        <v>61</v>
      </c>
      <c r="F1182" s="1" t="s">
        <v>37</v>
      </c>
      <c r="G1182" s="1" t="s">
        <v>4330</v>
      </c>
      <c r="H1182" s="1">
        <v>541</v>
      </c>
      <c r="I1182" s="1" t="s">
        <v>39</v>
      </c>
      <c r="J1182" s="1">
        <v>11</v>
      </c>
      <c r="K1182" s="1" t="s">
        <v>35</v>
      </c>
      <c r="L1182" s="1">
        <v>37</v>
      </c>
      <c r="M1182" s="1" t="str">
        <f>IF(L1182&lt;=45,"Joven","Mayor")</f>
        <v>Joven</v>
      </c>
      <c r="N1182" s="1">
        <v>50</v>
      </c>
      <c r="O1182" s="1" t="s">
        <v>36</v>
      </c>
      <c r="P1182" s="1">
        <v>2.14</v>
      </c>
      <c r="Q1182" s="1">
        <v>93.441000000000003</v>
      </c>
      <c r="R1182" s="1">
        <v>0.51477510000000004</v>
      </c>
      <c r="S1182" s="1">
        <v>-4.3221582999999999</v>
      </c>
      <c r="T1182" s="1">
        <v>4.1551499999999999</v>
      </c>
      <c r="U1182" s="1">
        <v>2.1459999999999999</v>
      </c>
      <c r="V1182" s="1">
        <v>101</v>
      </c>
      <c r="W1182" s="1">
        <v>187</v>
      </c>
      <c r="X1182" s="1">
        <v>1.8514851485148516</v>
      </c>
      <c r="Y1182" s="1">
        <v>107</v>
      </c>
      <c r="Z1182" s="1">
        <v>187</v>
      </c>
      <c r="AA1182" s="1">
        <v>1.7476635514018692</v>
      </c>
      <c r="AB1182" s="1">
        <v>104.4298539442691</v>
      </c>
      <c r="AC1182" s="1">
        <v>186.7258431917862</v>
      </c>
      <c r="AD1182" s="1">
        <v>1.7880504102920212</v>
      </c>
      <c r="AE1182" t="s">
        <v>4816</v>
      </c>
      <c r="AF1182" t="str">
        <f>IF(X1182&lt;$AF$1,"Bajo","Alto")</f>
        <v>Alto</v>
      </c>
      <c r="AG1182" t="str">
        <f>LEFT(AE1182,1)</f>
        <v>D</v>
      </c>
      <c r="AH1182" t="str">
        <f>K1182</f>
        <v>M</v>
      </c>
      <c r="AI1182" t="str">
        <f>LEFT(AF1182,1)</f>
        <v>A</v>
      </c>
      <c r="AJ1182" t="str">
        <f>LEFT(M1182,1)</f>
        <v>J</v>
      </c>
      <c r="AK1182" t="str">
        <f>_xlfn.CONCAT(AG1182,AH1182,AI1182,AJ1182)</f>
        <v>DMAJ</v>
      </c>
    </row>
    <row r="1183" spans="1:37" ht="15.75" hidden="1" customHeight="1" x14ac:dyDescent="0.2">
      <c r="A1183" s="1">
        <v>1014908</v>
      </c>
      <c r="B1183" s="1" t="s">
        <v>29</v>
      </c>
      <c r="C1183" s="1" t="s">
        <v>30</v>
      </c>
      <c r="D1183" s="1" t="s">
        <v>672</v>
      </c>
      <c r="E1183" s="1" t="s">
        <v>673</v>
      </c>
      <c r="F1183" s="1" t="s">
        <v>46</v>
      </c>
      <c r="G1183" s="1" t="s">
        <v>679</v>
      </c>
      <c r="H1183" s="1">
        <v>5326</v>
      </c>
      <c r="I1183" s="1" t="s">
        <v>134</v>
      </c>
      <c r="J1183" s="1">
        <v>8</v>
      </c>
      <c r="K1183" s="1" t="s">
        <v>35</v>
      </c>
      <c r="L1183" s="1">
        <v>56</v>
      </c>
      <c r="M1183" s="1" t="str">
        <f>IF(L1183&lt;=45,"Joven","Mayor")</f>
        <v>Mayor</v>
      </c>
      <c r="N1183" s="1">
        <v>63</v>
      </c>
      <c r="O1183" s="1" t="s">
        <v>36</v>
      </c>
      <c r="P1183" s="1">
        <v>0.38500000000000001</v>
      </c>
      <c r="Q1183" s="1">
        <v>90.393000000000001</v>
      </c>
      <c r="R1183" s="1">
        <v>5.6486172999999997</v>
      </c>
      <c r="S1183" s="1">
        <v>-1.6914100999999999</v>
      </c>
      <c r="T1183" s="1">
        <v>-4.5889597000000002</v>
      </c>
      <c r="U1183" s="1">
        <v>0.89600000000000002</v>
      </c>
      <c r="V1183" s="1">
        <v>103</v>
      </c>
      <c r="W1183" s="1">
        <v>170</v>
      </c>
      <c r="X1183" s="1">
        <v>1.6504854368932038</v>
      </c>
      <c r="Y1183" s="1">
        <v>104</v>
      </c>
      <c r="Z1183" s="1">
        <v>170</v>
      </c>
      <c r="AA1183" s="1">
        <v>1.6346153846153846</v>
      </c>
      <c r="AB1183" s="1">
        <v>106.1901158582491</v>
      </c>
      <c r="AC1183" s="1">
        <v>169.37502643236209</v>
      </c>
      <c r="AD1183" s="1">
        <v>1.595016871988888</v>
      </c>
      <c r="AE1183" t="s">
        <v>4817</v>
      </c>
      <c r="AF1183" t="str">
        <f>IF(X1183&lt;$AF$1,"Bajo","Alto")</f>
        <v>Bajo</v>
      </c>
      <c r="AG1183" t="str">
        <f>LEFT(AE1183,1)</f>
        <v>C</v>
      </c>
      <c r="AH1183" t="str">
        <f>K1183</f>
        <v>M</v>
      </c>
      <c r="AI1183" t="str">
        <f>LEFT(AF1183,1)</f>
        <v>B</v>
      </c>
      <c r="AJ1183" t="str">
        <f>LEFT(M1183,1)</f>
        <v>M</v>
      </c>
      <c r="AK1183" t="str">
        <f>_xlfn.CONCAT(AG1183,AH1183,AI1183,AJ1183)</f>
        <v>CMBM</v>
      </c>
    </row>
    <row r="1184" spans="1:37" ht="15.75" hidden="1" customHeight="1" x14ac:dyDescent="0.2">
      <c r="A1184" s="1">
        <v>237305</v>
      </c>
      <c r="B1184" s="1" t="s">
        <v>319</v>
      </c>
      <c r="C1184" s="1" t="s">
        <v>1989</v>
      </c>
      <c r="D1184" s="1" t="s">
        <v>3065</v>
      </c>
      <c r="E1184" s="1" t="s">
        <v>1021</v>
      </c>
      <c r="F1184" s="1" t="s">
        <v>40</v>
      </c>
      <c r="G1184" s="1" t="s">
        <v>3072</v>
      </c>
      <c r="H1184" s="1">
        <v>6854</v>
      </c>
      <c r="I1184" s="1" t="s">
        <v>3073</v>
      </c>
      <c r="J1184" s="1">
        <v>3476</v>
      </c>
      <c r="K1184" s="1" t="s">
        <v>35</v>
      </c>
      <c r="L1184" s="1">
        <v>33</v>
      </c>
      <c r="M1184" s="1" t="str">
        <f>IF(L1184&lt;=45,"Joven","Mayor")</f>
        <v>Joven</v>
      </c>
      <c r="N1184" s="1">
        <v>37</v>
      </c>
      <c r="O1184" s="1" t="s">
        <v>36</v>
      </c>
      <c r="P1184" s="1">
        <v>3.7999999999999999E-2</v>
      </c>
      <c r="Q1184" s="1">
        <v>89.373000000000005</v>
      </c>
      <c r="R1184" s="1">
        <v>-3.1348612</v>
      </c>
      <c r="S1184" s="1">
        <v>10.4745455</v>
      </c>
      <c r="T1184" s="1">
        <v>9.1845339999999993</v>
      </c>
      <c r="U1184" s="1">
        <v>2.1789999999999998</v>
      </c>
      <c r="V1184" s="1">
        <v>88</v>
      </c>
      <c r="W1184" s="1">
        <v>166</v>
      </c>
      <c r="X1184" s="1">
        <v>1.8863636363636365</v>
      </c>
      <c r="Y1184" s="1">
        <v>100</v>
      </c>
      <c r="Z1184" s="1">
        <v>166</v>
      </c>
      <c r="AA1184" s="1">
        <v>1.66</v>
      </c>
      <c r="AB1184" s="1">
        <v>95.331366234926463</v>
      </c>
      <c r="AC1184" s="1">
        <v>167.22368727213691</v>
      </c>
      <c r="AD1184" s="1">
        <v>1.754130816294452</v>
      </c>
      <c r="AE1184" t="s">
        <v>4817</v>
      </c>
      <c r="AF1184" t="str">
        <f>IF(X1184&lt;$AF$1,"Bajo","Alto")</f>
        <v>Alto</v>
      </c>
      <c r="AG1184" t="str">
        <f>LEFT(AE1184,1)</f>
        <v>C</v>
      </c>
      <c r="AH1184" t="str">
        <f>K1184</f>
        <v>M</v>
      </c>
      <c r="AI1184" t="str">
        <f>LEFT(AF1184,1)</f>
        <v>A</v>
      </c>
      <c r="AJ1184" t="str">
        <f>LEFT(M1184,1)</f>
        <v>J</v>
      </c>
      <c r="AK1184" t="str">
        <f>_xlfn.CONCAT(AG1184,AH1184,AI1184,AJ1184)</f>
        <v>CMAJ</v>
      </c>
    </row>
    <row r="1185" spans="1:37" ht="15.75" hidden="1" customHeight="1" x14ac:dyDescent="0.2">
      <c r="A1185" s="1">
        <v>290701</v>
      </c>
      <c r="B1185" s="1" t="s">
        <v>3890</v>
      </c>
      <c r="C1185" s="1" t="s">
        <v>1695</v>
      </c>
      <c r="D1185" s="1" t="s">
        <v>3908</v>
      </c>
      <c r="E1185" s="1" t="s">
        <v>43</v>
      </c>
      <c r="F1185" s="1" t="s">
        <v>32</v>
      </c>
      <c r="G1185" s="1" t="s">
        <v>3909</v>
      </c>
      <c r="H1185" s="1">
        <v>1537</v>
      </c>
      <c r="I1185" s="1" t="s">
        <v>100</v>
      </c>
      <c r="J1185" s="1">
        <v>1</v>
      </c>
      <c r="K1185" s="1" t="s">
        <v>49</v>
      </c>
      <c r="L1185" s="1">
        <v>35</v>
      </c>
      <c r="M1185" s="1" t="str">
        <f>IF(L1185&lt;=45,"Joven","Mayor")</f>
        <v>Joven</v>
      </c>
      <c r="N1185" s="1">
        <v>40</v>
      </c>
      <c r="O1185" s="1" t="s">
        <v>50</v>
      </c>
      <c r="P1185" s="1">
        <v>0.41199999999999998</v>
      </c>
      <c r="Q1185" s="1">
        <v>92.784999999999997</v>
      </c>
      <c r="R1185" s="1">
        <v>-1.0441735999999999</v>
      </c>
      <c r="S1185" s="1">
        <v>6.9150895999999999</v>
      </c>
      <c r="T1185" s="1">
        <v>-2.771077</v>
      </c>
      <c r="U1185" s="1">
        <v>28.065000000000001</v>
      </c>
      <c r="V1185" s="1">
        <v>70</v>
      </c>
      <c r="W1185" s="1">
        <v>133</v>
      </c>
      <c r="X1185" s="1">
        <v>1.9</v>
      </c>
      <c r="Y1185" s="1">
        <v>78</v>
      </c>
      <c r="Z1185" s="1">
        <v>133</v>
      </c>
      <c r="AA1185" s="1">
        <v>1.7051282051282051</v>
      </c>
      <c r="AB1185" s="1">
        <v>76.458425282333792</v>
      </c>
      <c r="AC1185" s="1">
        <v>133.32793469308311</v>
      </c>
      <c r="AD1185" s="1">
        <v>1.7437965037960228</v>
      </c>
      <c r="AE1185" t="s">
        <v>4817</v>
      </c>
      <c r="AF1185" t="str">
        <f>IF(X1185&lt;$AF$1,"Bajo","Alto")</f>
        <v>Alto</v>
      </c>
      <c r="AG1185" t="str">
        <f>LEFT(AE1185,1)</f>
        <v>C</v>
      </c>
      <c r="AH1185" t="str">
        <f>K1185</f>
        <v>F</v>
      </c>
      <c r="AI1185" t="str">
        <f>LEFT(AF1185,1)</f>
        <v>A</v>
      </c>
      <c r="AJ1185" t="str">
        <f>LEFT(M1185,1)</f>
        <v>J</v>
      </c>
      <c r="AK1185" t="str">
        <f>_xlfn.CONCAT(AG1185,AH1185,AI1185,AJ1185)</f>
        <v>CFAJ</v>
      </c>
    </row>
    <row r="1186" spans="1:37" ht="15.75" hidden="1" customHeight="1" x14ac:dyDescent="0.2">
      <c r="A1186" s="1">
        <v>2716701</v>
      </c>
      <c r="B1186" s="1" t="s">
        <v>3409</v>
      </c>
      <c r="C1186" s="1" t="s">
        <v>973</v>
      </c>
      <c r="D1186" s="1" t="s">
        <v>3543</v>
      </c>
      <c r="E1186" s="1" t="s">
        <v>3544</v>
      </c>
      <c r="F1186" s="1" t="s">
        <v>32</v>
      </c>
      <c r="G1186" s="1" t="s">
        <v>3545</v>
      </c>
      <c r="H1186" s="1">
        <v>3</v>
      </c>
      <c r="I1186" s="1" t="s">
        <v>39</v>
      </c>
      <c r="J1186" s="1">
        <v>11</v>
      </c>
      <c r="K1186" s="1" t="s">
        <v>49</v>
      </c>
      <c r="L1186" s="1">
        <v>37</v>
      </c>
      <c r="M1186" s="1" t="str">
        <f>IF(L1186&lt;=45,"Joven","Mayor")</f>
        <v>Joven</v>
      </c>
      <c r="N1186" s="1">
        <v>49</v>
      </c>
      <c r="O1186" s="1" t="s">
        <v>50</v>
      </c>
      <c r="P1186" s="1">
        <v>0.35699999999999998</v>
      </c>
      <c r="Q1186" s="1">
        <v>93.194999999999993</v>
      </c>
      <c r="R1186" s="1">
        <v>-1.1167274</v>
      </c>
      <c r="S1186" s="1">
        <v>5.6263842999999998</v>
      </c>
      <c r="T1186" s="1">
        <v>-1.6935929000000001</v>
      </c>
      <c r="U1186" s="1">
        <v>13.845000000000001</v>
      </c>
      <c r="V1186" s="1">
        <v>102</v>
      </c>
      <c r="W1186" s="1">
        <v>163</v>
      </c>
      <c r="X1186" s="1">
        <v>1.5980392156862746</v>
      </c>
      <c r="Y1186" s="1">
        <v>103</v>
      </c>
      <c r="Z1186" s="1">
        <v>163</v>
      </c>
      <c r="AA1186" s="1">
        <v>1.5825242718446602</v>
      </c>
      <c r="AB1186" s="1">
        <v>104.0780764324729</v>
      </c>
      <c r="AC1186" s="1">
        <v>162.9287969214397</v>
      </c>
      <c r="AD1186" s="1">
        <v>1.5654478109724659</v>
      </c>
      <c r="AE1186" t="s">
        <v>4816</v>
      </c>
      <c r="AF1186" t="str">
        <f>IF(X1186&lt;$AF$1,"Bajo","Alto")</f>
        <v>Bajo</v>
      </c>
      <c r="AG1186" t="str">
        <f>LEFT(AE1186,1)</f>
        <v>D</v>
      </c>
      <c r="AH1186" t="str">
        <f>K1186</f>
        <v>F</v>
      </c>
      <c r="AI1186" t="str">
        <f>LEFT(AF1186,1)</f>
        <v>B</v>
      </c>
      <c r="AJ1186" t="str">
        <f>LEFT(M1186,1)</f>
        <v>J</v>
      </c>
      <c r="AK1186" t="str">
        <f>_xlfn.CONCAT(AG1186,AH1186,AI1186,AJ1186)</f>
        <v>DFBJ</v>
      </c>
    </row>
    <row r="1187" spans="1:37" ht="15.75" hidden="1" customHeight="1" x14ac:dyDescent="0.2">
      <c r="A1187" s="1">
        <v>1524705</v>
      </c>
      <c r="B1187" s="1" t="s">
        <v>2077</v>
      </c>
      <c r="C1187" s="1" t="s">
        <v>57</v>
      </c>
      <c r="D1187" s="1" t="s">
        <v>2303</v>
      </c>
      <c r="E1187" s="1" t="s">
        <v>497</v>
      </c>
      <c r="F1187" s="1" t="s">
        <v>40</v>
      </c>
      <c r="G1187" s="1" t="s">
        <v>2308</v>
      </c>
      <c r="H1187" s="1">
        <v>10025</v>
      </c>
      <c r="I1187" s="1" t="s">
        <v>2309</v>
      </c>
      <c r="J1187" s="1">
        <v>3558</v>
      </c>
      <c r="K1187" s="1" t="s">
        <v>35</v>
      </c>
      <c r="L1187" s="1">
        <v>60</v>
      </c>
      <c r="M1187" s="1" t="str">
        <f>IF(L1187&lt;=45,"Joven","Mayor")</f>
        <v>Mayor</v>
      </c>
      <c r="N1187" s="1">
        <v>53</v>
      </c>
      <c r="O1187" s="1" t="s">
        <v>36</v>
      </c>
      <c r="P1187" s="1">
        <v>1.0980000000000001</v>
      </c>
      <c r="Q1187" s="1">
        <v>88.522000000000006</v>
      </c>
      <c r="R1187" s="1">
        <v>4.9741580000000001</v>
      </c>
      <c r="S1187" s="1">
        <v>7.7082458000000003</v>
      </c>
      <c r="T1187" s="1">
        <v>-14.063257999999999</v>
      </c>
      <c r="U1187" s="1">
        <v>5.6139999999999999</v>
      </c>
      <c r="V1187" s="1">
        <v>106</v>
      </c>
      <c r="W1187" s="1">
        <v>199</v>
      </c>
      <c r="X1187" s="1">
        <v>1.8773584905660377</v>
      </c>
      <c r="Y1187" s="1">
        <v>127</v>
      </c>
      <c r="Z1187" s="1">
        <v>199</v>
      </c>
      <c r="AA1187" s="1">
        <v>1.5669291338582678</v>
      </c>
      <c r="AB1187" s="1">
        <v>121.04744806474061</v>
      </c>
      <c r="AC1187" s="1">
        <v>200.32537006754049</v>
      </c>
      <c r="AD1187" s="1">
        <v>1.6549326175005288</v>
      </c>
      <c r="AE1187" t="s">
        <v>4817</v>
      </c>
      <c r="AF1187" t="str">
        <f>IF(X1187&lt;$AF$1,"Bajo","Alto")</f>
        <v>Alto</v>
      </c>
      <c r="AG1187" t="str">
        <f>LEFT(AE1187,1)</f>
        <v>C</v>
      </c>
      <c r="AH1187" t="str">
        <f>K1187</f>
        <v>M</v>
      </c>
      <c r="AI1187" t="str">
        <f>LEFT(AF1187,1)</f>
        <v>A</v>
      </c>
      <c r="AJ1187" t="str">
        <f>LEFT(M1187,1)</f>
        <v>M</v>
      </c>
      <c r="AK1187" t="str">
        <f>_xlfn.CONCAT(AG1187,AH1187,AI1187,AJ1187)</f>
        <v>CMAM</v>
      </c>
    </row>
    <row r="1188" spans="1:37" ht="15.75" hidden="1" customHeight="1" x14ac:dyDescent="0.2">
      <c r="A1188" s="1">
        <v>157902</v>
      </c>
      <c r="B1188" s="1" t="s">
        <v>2077</v>
      </c>
      <c r="C1188" s="1" t="s">
        <v>57</v>
      </c>
      <c r="D1188" s="1" t="s">
        <v>2521</v>
      </c>
      <c r="E1188" s="1" t="s">
        <v>739</v>
      </c>
      <c r="F1188" s="1" t="s">
        <v>37</v>
      </c>
      <c r="G1188" s="1" t="s">
        <v>2522</v>
      </c>
      <c r="H1188" s="1">
        <v>2877</v>
      </c>
      <c r="I1188" s="1" t="s">
        <v>65</v>
      </c>
      <c r="J1188" s="1">
        <v>2</v>
      </c>
      <c r="K1188" s="1" t="s">
        <v>35</v>
      </c>
      <c r="L1188" s="1">
        <v>53</v>
      </c>
      <c r="M1188" s="1" t="str">
        <f>IF(L1188&lt;=45,"Joven","Mayor")</f>
        <v>Mayor</v>
      </c>
      <c r="N1188" s="1">
        <v>55</v>
      </c>
      <c r="O1188" s="1" t="s">
        <v>36</v>
      </c>
      <c r="P1188" s="1">
        <v>5.6669999999999998</v>
      </c>
      <c r="Q1188" s="1">
        <v>62.28</v>
      </c>
      <c r="R1188" s="1">
        <v>-13.024903</v>
      </c>
      <c r="S1188" s="1">
        <v>-5.4365715999999997</v>
      </c>
      <c r="T1188" s="1">
        <v>2.1300197000000001</v>
      </c>
      <c r="U1188" s="1">
        <v>0.50700000000000001</v>
      </c>
      <c r="V1188" s="1">
        <v>86</v>
      </c>
      <c r="W1188" s="1">
        <v>142</v>
      </c>
      <c r="X1188" s="1">
        <v>1.6511627906976745</v>
      </c>
      <c r="Y1188" s="1">
        <v>92</v>
      </c>
      <c r="Z1188" s="1">
        <v>142</v>
      </c>
      <c r="AA1188" s="1">
        <v>1.5434782608695652</v>
      </c>
      <c r="AB1188" s="1">
        <v>90.412574212661866</v>
      </c>
      <c r="AC1188" s="1">
        <v>141.8647188583532</v>
      </c>
      <c r="AD1188" s="1">
        <v>1.5690817355191033</v>
      </c>
      <c r="AE1188" t="s">
        <v>4817</v>
      </c>
      <c r="AF1188" t="str">
        <f>IF(X1188&lt;$AF$1,"Bajo","Alto")</f>
        <v>Bajo</v>
      </c>
      <c r="AG1188" t="str">
        <f>LEFT(AE1188,1)</f>
        <v>C</v>
      </c>
      <c r="AH1188" t="str">
        <f>K1188</f>
        <v>M</v>
      </c>
      <c r="AI1188" t="str">
        <f>LEFT(AF1188,1)</f>
        <v>B</v>
      </c>
      <c r="AJ1188" t="str">
        <f>LEFT(M1188,1)</f>
        <v>M</v>
      </c>
      <c r="AK1188" t="str">
        <f>_xlfn.CONCAT(AG1188,AH1188,AI1188,AJ1188)</f>
        <v>CMBM</v>
      </c>
    </row>
    <row r="1189" spans="1:37" ht="15.75" hidden="1" customHeight="1" x14ac:dyDescent="0.2">
      <c r="A1189" s="1">
        <v>274004</v>
      </c>
      <c r="B1189" s="1" t="s">
        <v>3409</v>
      </c>
      <c r="C1189" s="1" t="s">
        <v>973</v>
      </c>
      <c r="D1189" s="1" t="s">
        <v>3671</v>
      </c>
      <c r="E1189" s="1" t="s">
        <v>657</v>
      </c>
      <c r="F1189" s="1" t="s">
        <v>61</v>
      </c>
      <c r="G1189" s="1" t="s">
        <v>3674</v>
      </c>
      <c r="H1189" s="1">
        <v>843</v>
      </c>
      <c r="I1189" s="1" t="s">
        <v>3675</v>
      </c>
      <c r="J1189" s="1">
        <v>2356</v>
      </c>
      <c r="K1189" s="1" t="s">
        <v>35</v>
      </c>
      <c r="L1189" s="1">
        <v>44</v>
      </c>
      <c r="M1189" s="1" t="str">
        <f>IF(L1189&lt;=45,"Joven","Mayor")</f>
        <v>Joven</v>
      </c>
      <c r="N1189" s="1">
        <v>47</v>
      </c>
      <c r="O1189" s="1" t="s">
        <v>36</v>
      </c>
      <c r="P1189" s="1">
        <v>5.3999999999999999E-2</v>
      </c>
      <c r="Q1189" s="1">
        <v>89.548000000000002</v>
      </c>
      <c r="R1189" s="1">
        <v>-5.4374580000000003</v>
      </c>
      <c r="S1189" s="1">
        <v>5.2314530000000001</v>
      </c>
      <c r="T1189" s="1">
        <v>5.2467436999999997</v>
      </c>
      <c r="U1189" s="1">
        <v>4.0259999999999998</v>
      </c>
      <c r="V1189" s="1">
        <v>88</v>
      </c>
      <c r="W1189" s="1">
        <v>166</v>
      </c>
      <c r="X1189" s="1">
        <v>1.8863636363636365</v>
      </c>
      <c r="Y1189" s="1">
        <v>91</v>
      </c>
      <c r="Z1189" s="1">
        <v>166</v>
      </c>
      <c r="AA1189" s="1">
        <v>1.8241758241758241</v>
      </c>
      <c r="AB1189" s="1">
        <v>92.112097278860119</v>
      </c>
      <c r="AC1189" s="1">
        <v>165.7617060834036</v>
      </c>
      <c r="AD1189" s="1">
        <v>1.799564997218299</v>
      </c>
      <c r="AE1189" t="s">
        <v>4817</v>
      </c>
      <c r="AF1189" t="str">
        <f>IF(X1189&lt;$AF$1,"Bajo","Alto")</f>
        <v>Alto</v>
      </c>
      <c r="AG1189" t="str">
        <f>LEFT(AE1189,1)</f>
        <v>C</v>
      </c>
      <c r="AH1189" t="str">
        <f>K1189</f>
        <v>M</v>
      </c>
      <c r="AI1189" t="str">
        <f>LEFT(AF1189,1)</f>
        <v>A</v>
      </c>
      <c r="AJ1189" t="str">
        <f>LEFT(M1189,1)</f>
        <v>J</v>
      </c>
      <c r="AK1189" t="str">
        <f>_xlfn.CONCAT(AG1189,AH1189,AI1189,AJ1189)</f>
        <v>CMAJ</v>
      </c>
    </row>
    <row r="1190" spans="1:37" ht="15.75" hidden="1" customHeight="1" x14ac:dyDescent="0.2">
      <c r="A1190" s="1">
        <v>10717803</v>
      </c>
      <c r="B1190" s="1" t="s">
        <v>1067</v>
      </c>
      <c r="C1190" s="1" t="s">
        <v>1068</v>
      </c>
      <c r="D1190" s="1" t="s">
        <v>1190</v>
      </c>
      <c r="E1190" s="1" t="s">
        <v>300</v>
      </c>
      <c r="F1190" s="1" t="s">
        <v>63</v>
      </c>
      <c r="G1190" s="1" t="s">
        <v>1192</v>
      </c>
      <c r="H1190" s="1">
        <v>896</v>
      </c>
      <c r="I1190" s="1" t="s">
        <v>1193</v>
      </c>
      <c r="J1190" s="1">
        <v>2019</v>
      </c>
      <c r="K1190" s="1" t="s">
        <v>35</v>
      </c>
      <c r="L1190" s="1">
        <v>38</v>
      </c>
      <c r="M1190" s="1" t="str">
        <f>IF(L1190&lt;=45,"Joven","Mayor")</f>
        <v>Joven</v>
      </c>
      <c r="N1190" s="1">
        <v>46</v>
      </c>
      <c r="O1190" s="1" t="s">
        <v>36</v>
      </c>
      <c r="P1190" s="1">
        <v>0.35799999999999998</v>
      </c>
      <c r="Q1190" s="1">
        <v>92.286000000000001</v>
      </c>
      <c r="R1190" s="1">
        <v>-3.6643324000000002</v>
      </c>
      <c r="S1190" s="1">
        <v>2.3834388</v>
      </c>
      <c r="T1190" s="1">
        <v>1.5994428000000001</v>
      </c>
      <c r="U1190" s="1">
        <v>9.8640000000000008</v>
      </c>
      <c r="V1190" s="1">
        <v>98</v>
      </c>
      <c r="W1190" s="1">
        <v>164</v>
      </c>
      <c r="X1190" s="1">
        <v>1.6734693877551021</v>
      </c>
      <c r="Y1190" s="1">
        <v>101</v>
      </c>
      <c r="Z1190" s="1">
        <v>164</v>
      </c>
      <c r="AA1190" s="1">
        <v>1.6237623762376239</v>
      </c>
      <c r="AB1190" s="1">
        <v>99.927908090608298</v>
      </c>
      <c r="AC1190" s="1">
        <v>163.9640153085106</v>
      </c>
      <c r="AD1190" s="1">
        <v>1.6408230537542967</v>
      </c>
      <c r="AE1190" t="s">
        <v>4817</v>
      </c>
      <c r="AF1190" t="str">
        <f>IF(X1190&lt;$AF$1,"Bajo","Alto")</f>
        <v>Bajo</v>
      </c>
      <c r="AG1190" t="str">
        <f>LEFT(AE1190,1)</f>
        <v>C</v>
      </c>
      <c r="AH1190" t="str">
        <f>K1190</f>
        <v>M</v>
      </c>
      <c r="AI1190" t="str">
        <f>LEFT(AF1190,1)</f>
        <v>B</v>
      </c>
      <c r="AJ1190" t="str">
        <f>LEFT(M1190,1)</f>
        <v>J</v>
      </c>
      <c r="AK1190" t="str">
        <f>_xlfn.CONCAT(AG1190,AH1190,AI1190,AJ1190)</f>
        <v>CMBJ</v>
      </c>
    </row>
    <row r="1191" spans="1:37" ht="15.75" hidden="1" customHeight="1" x14ac:dyDescent="0.2">
      <c r="A1191" s="1">
        <v>253103</v>
      </c>
      <c r="B1191" s="1" t="s">
        <v>3169</v>
      </c>
      <c r="C1191" s="1" t="s">
        <v>821</v>
      </c>
      <c r="D1191" s="1" t="s">
        <v>3222</v>
      </c>
      <c r="E1191" s="1" t="s">
        <v>628</v>
      </c>
      <c r="F1191" s="1" t="s">
        <v>63</v>
      </c>
      <c r="G1191" s="1" t="s">
        <v>3223</v>
      </c>
      <c r="H1191" s="1">
        <v>2420</v>
      </c>
      <c r="I1191" s="1" t="s">
        <v>73</v>
      </c>
      <c r="J1191" s="1">
        <v>5</v>
      </c>
      <c r="K1191" s="1" t="s">
        <v>35</v>
      </c>
      <c r="L1191" s="1">
        <v>58</v>
      </c>
      <c r="M1191" s="1" t="str">
        <f>IF(L1191&lt;=45,"Joven","Mayor")</f>
        <v>Mayor</v>
      </c>
      <c r="N1191" s="1">
        <v>61</v>
      </c>
      <c r="O1191" s="1" t="s">
        <v>36</v>
      </c>
      <c r="P1191" s="1">
        <v>8.1000000000000003E-2</v>
      </c>
      <c r="Q1191" s="1">
        <v>94.409000000000006</v>
      </c>
      <c r="R1191" s="1">
        <v>-0.2721634</v>
      </c>
      <c r="S1191" s="1">
        <v>2.8014815</v>
      </c>
      <c r="T1191" s="1">
        <v>-3.4197169999999999</v>
      </c>
      <c r="U1191" s="1">
        <v>12.611000000000001</v>
      </c>
      <c r="V1191" s="1">
        <v>89</v>
      </c>
      <c r="W1191" s="1">
        <v>147</v>
      </c>
      <c r="X1191" s="1">
        <v>1.651685393258427</v>
      </c>
      <c r="Y1191" s="1">
        <v>91</v>
      </c>
      <c r="Z1191" s="1">
        <v>147</v>
      </c>
      <c r="AA1191" s="1">
        <v>1.6153846153846154</v>
      </c>
      <c r="AB1191" s="1">
        <v>93.343257170515017</v>
      </c>
      <c r="AC1191" s="1">
        <v>146.97684547156399</v>
      </c>
      <c r="AD1191" s="1">
        <v>1.5745844951936239</v>
      </c>
      <c r="AE1191" t="s">
        <v>4817</v>
      </c>
      <c r="AF1191" t="str">
        <f>IF(X1191&lt;$AF$1,"Bajo","Alto")</f>
        <v>Bajo</v>
      </c>
      <c r="AG1191" t="str">
        <f>LEFT(AE1191,1)</f>
        <v>C</v>
      </c>
      <c r="AH1191" t="str">
        <f>K1191</f>
        <v>M</v>
      </c>
      <c r="AI1191" t="str">
        <f>LEFT(AF1191,1)</f>
        <v>B</v>
      </c>
      <c r="AJ1191" t="str">
        <f>LEFT(M1191,1)</f>
        <v>M</v>
      </c>
      <c r="AK1191" t="str">
        <f>_xlfn.CONCAT(AG1191,AH1191,AI1191,AJ1191)</f>
        <v>CMBM</v>
      </c>
    </row>
    <row r="1192" spans="1:37" ht="15.75" hidden="1" customHeight="1" x14ac:dyDescent="0.2">
      <c r="A1192" s="1">
        <v>10122601</v>
      </c>
      <c r="B1192" s="1" t="s">
        <v>29</v>
      </c>
      <c r="C1192" s="1" t="s">
        <v>30</v>
      </c>
      <c r="D1192" s="1" t="s">
        <v>430</v>
      </c>
      <c r="E1192" s="1" t="s">
        <v>431</v>
      </c>
      <c r="F1192" s="1" t="s">
        <v>32</v>
      </c>
      <c r="G1192" s="1" t="s">
        <v>432</v>
      </c>
      <c r="H1192" s="1">
        <v>2083</v>
      </c>
      <c r="I1192" s="1" t="s">
        <v>39</v>
      </c>
      <c r="J1192" s="1">
        <v>11</v>
      </c>
      <c r="K1192" s="1" t="s">
        <v>35</v>
      </c>
      <c r="L1192" s="1">
        <v>31</v>
      </c>
      <c r="M1192" s="1" t="str">
        <f>IF(L1192&lt;=45,"Joven","Mayor")</f>
        <v>Joven</v>
      </c>
      <c r="N1192" s="1">
        <v>38</v>
      </c>
      <c r="O1192" s="1" t="s">
        <v>36</v>
      </c>
      <c r="P1192" s="1">
        <v>0.66600000000000004</v>
      </c>
      <c r="Q1192" s="1">
        <v>74.022999999999996</v>
      </c>
      <c r="R1192" s="1">
        <v>-12.04555</v>
      </c>
      <c r="S1192" s="1">
        <v>-1.6938399</v>
      </c>
      <c r="T1192" s="1">
        <v>11.620563000000001</v>
      </c>
      <c r="U1192" s="1">
        <v>6.5650000000000004</v>
      </c>
      <c r="V1192" s="1">
        <v>99</v>
      </c>
      <c r="W1192" s="1">
        <v>183</v>
      </c>
      <c r="X1192" s="1">
        <v>1.8484848484848484</v>
      </c>
      <c r="Y1192" s="1">
        <v>110</v>
      </c>
      <c r="Z1192" s="1">
        <v>183</v>
      </c>
      <c r="AA1192" s="1">
        <v>1.6636363636363636</v>
      </c>
      <c r="AB1192" s="1">
        <v>106.8408431315349</v>
      </c>
      <c r="AC1192" s="1">
        <v>182.06906546755681</v>
      </c>
      <c r="AD1192" s="1">
        <v>1.7041148322220394</v>
      </c>
      <c r="AE1192" t="s">
        <v>4816</v>
      </c>
      <c r="AF1192" t="str">
        <f>IF(X1192&lt;$AF$1,"Bajo","Alto")</f>
        <v>Alto</v>
      </c>
      <c r="AG1192" t="str">
        <f>LEFT(AE1192,1)</f>
        <v>D</v>
      </c>
      <c r="AH1192" t="str">
        <f>K1192</f>
        <v>M</v>
      </c>
      <c r="AI1192" t="str">
        <f>LEFT(AF1192,1)</f>
        <v>A</v>
      </c>
      <c r="AJ1192" t="str">
        <f>LEFT(M1192,1)</f>
        <v>J</v>
      </c>
      <c r="AK1192" t="str">
        <f>_xlfn.CONCAT(AG1192,AH1192,AI1192,AJ1192)</f>
        <v>DMAJ</v>
      </c>
    </row>
    <row r="1193" spans="1:37" ht="15.75" hidden="1" customHeight="1" x14ac:dyDescent="0.2">
      <c r="A1193" s="1">
        <v>10715701</v>
      </c>
      <c r="B1193" s="1" t="s">
        <v>1067</v>
      </c>
      <c r="C1193" s="1" t="s">
        <v>1068</v>
      </c>
      <c r="D1193" s="1" t="s">
        <v>1146</v>
      </c>
      <c r="E1193" s="1" t="s">
        <v>229</v>
      </c>
      <c r="F1193" s="1" t="s">
        <v>32</v>
      </c>
      <c r="G1193" s="1" t="s">
        <v>1147</v>
      </c>
      <c r="H1193" s="1">
        <v>1866</v>
      </c>
      <c r="I1193" s="1" t="s">
        <v>39</v>
      </c>
      <c r="J1193" s="1">
        <v>11</v>
      </c>
      <c r="K1193" s="1" t="s">
        <v>35</v>
      </c>
      <c r="L1193" s="1">
        <v>39</v>
      </c>
      <c r="M1193" s="1" t="str">
        <f>IF(L1193&lt;=45,"Joven","Mayor")</f>
        <v>Joven</v>
      </c>
      <c r="N1193" s="1">
        <v>46</v>
      </c>
      <c r="O1193" s="1" t="s">
        <v>36</v>
      </c>
      <c r="P1193" s="1">
        <v>0.36</v>
      </c>
      <c r="Q1193" s="1">
        <v>93.671000000000006</v>
      </c>
      <c r="R1193" s="1">
        <v>0.875386</v>
      </c>
      <c r="S1193" s="1">
        <v>4.4378795999999996</v>
      </c>
      <c r="T1193" s="1">
        <v>-4.2854700000000001</v>
      </c>
      <c r="U1193" s="1">
        <v>14.930999999999999</v>
      </c>
      <c r="V1193" s="1">
        <v>77</v>
      </c>
      <c r="W1193" s="1">
        <v>129</v>
      </c>
      <c r="X1193" s="1">
        <v>1.6753246753246753</v>
      </c>
      <c r="Y1193" s="1">
        <v>81</v>
      </c>
      <c r="Z1193" s="1">
        <v>129</v>
      </c>
      <c r="AA1193" s="1">
        <v>1.5925925925925926</v>
      </c>
      <c r="AB1193" s="1">
        <v>79.549573066826497</v>
      </c>
      <c r="AC1193" s="1">
        <v>128.9382343046577</v>
      </c>
      <c r="AD1193" s="1">
        <v>1.6208538818472567</v>
      </c>
      <c r="AE1193" t="s">
        <v>4816</v>
      </c>
      <c r="AF1193" t="str">
        <f>IF(X1193&lt;$AF$1,"Bajo","Alto")</f>
        <v>Bajo</v>
      </c>
      <c r="AG1193" t="str">
        <f>LEFT(AE1193,1)</f>
        <v>D</v>
      </c>
      <c r="AH1193" t="str">
        <f>K1193</f>
        <v>M</v>
      </c>
      <c r="AI1193" t="str">
        <f>LEFT(AF1193,1)</f>
        <v>B</v>
      </c>
      <c r="AJ1193" t="str">
        <f>LEFT(M1193,1)</f>
        <v>J</v>
      </c>
      <c r="AK1193" t="str">
        <f>_xlfn.CONCAT(AG1193,AH1193,AI1193,AJ1193)</f>
        <v>DMBJ</v>
      </c>
    </row>
    <row r="1194" spans="1:37" ht="15.75" hidden="1" customHeight="1" x14ac:dyDescent="0.2">
      <c r="A1194" s="1">
        <v>10716004</v>
      </c>
      <c r="B1194" s="1" t="s">
        <v>1067</v>
      </c>
      <c r="C1194" s="1" t="s">
        <v>1068</v>
      </c>
      <c r="D1194" s="1" t="s">
        <v>1152</v>
      </c>
      <c r="E1194" s="1" t="s">
        <v>234</v>
      </c>
      <c r="F1194" s="1" t="s">
        <v>61</v>
      </c>
      <c r="G1194" s="1" t="s">
        <v>1154</v>
      </c>
      <c r="H1194" s="1">
        <v>1679</v>
      </c>
      <c r="I1194" s="1" t="s">
        <v>48</v>
      </c>
      <c r="J1194" s="1">
        <v>4</v>
      </c>
      <c r="K1194" s="1" t="s">
        <v>35</v>
      </c>
      <c r="L1194" s="1">
        <v>46</v>
      </c>
      <c r="M1194" s="1" t="str">
        <f>IF(L1194&lt;=45,"Joven","Mayor")</f>
        <v>Mayor</v>
      </c>
      <c r="N1194" s="1">
        <v>60</v>
      </c>
      <c r="O1194" s="1" t="s">
        <v>36</v>
      </c>
      <c r="P1194" s="1">
        <v>0.249</v>
      </c>
      <c r="Q1194" s="1">
        <v>94.334000000000003</v>
      </c>
      <c r="R1194" s="1">
        <v>0.75798189999999999</v>
      </c>
      <c r="S1194" s="1">
        <v>-1.813626</v>
      </c>
      <c r="T1194" s="1">
        <v>-0.34118120000000002</v>
      </c>
      <c r="U1194" s="1">
        <v>0.71199999999999997</v>
      </c>
      <c r="V1194" s="1">
        <v>118</v>
      </c>
      <c r="W1194" s="1">
        <v>195</v>
      </c>
      <c r="X1194" s="1">
        <v>1.652542372881356</v>
      </c>
      <c r="Y1194" s="1">
        <v>121</v>
      </c>
      <c r="Z1194" s="1">
        <v>195</v>
      </c>
      <c r="AA1194" s="1">
        <v>1.6115702479338843</v>
      </c>
      <c r="AB1194" s="1">
        <v>121.3253632497663</v>
      </c>
      <c r="AC1194" s="1">
        <v>195.0024974702587</v>
      </c>
      <c r="AD1194" s="1">
        <v>1.6072690181756726</v>
      </c>
      <c r="AE1194" t="s">
        <v>4817</v>
      </c>
      <c r="AF1194" t="str">
        <f>IF(X1194&lt;$AF$1,"Bajo","Alto")</f>
        <v>Bajo</v>
      </c>
      <c r="AG1194" t="str">
        <f>LEFT(AE1194,1)</f>
        <v>C</v>
      </c>
      <c r="AH1194" t="str">
        <f>K1194</f>
        <v>M</v>
      </c>
      <c r="AI1194" t="str">
        <f>LEFT(AF1194,1)</f>
        <v>B</v>
      </c>
      <c r="AJ1194" t="str">
        <f>LEFT(M1194,1)</f>
        <v>M</v>
      </c>
      <c r="AK1194" t="str">
        <f>_xlfn.CONCAT(AG1194,AH1194,AI1194,AJ1194)</f>
        <v>CMBM</v>
      </c>
    </row>
    <row r="1195" spans="1:37" ht="15.75" hidden="1" customHeight="1" x14ac:dyDescent="0.2">
      <c r="A1195" s="1">
        <v>1016103</v>
      </c>
      <c r="B1195" s="1" t="s">
        <v>29</v>
      </c>
      <c r="C1195" s="1" t="s">
        <v>30</v>
      </c>
      <c r="D1195" s="1" t="s">
        <v>700</v>
      </c>
      <c r="E1195" s="1" t="s">
        <v>701</v>
      </c>
      <c r="F1195" s="1" t="s">
        <v>63</v>
      </c>
      <c r="G1195" s="1" t="s">
        <v>704</v>
      </c>
      <c r="H1195" s="1">
        <v>1480</v>
      </c>
      <c r="I1195" s="1" t="s">
        <v>65</v>
      </c>
      <c r="J1195" s="1">
        <v>2</v>
      </c>
      <c r="K1195" s="1" t="s">
        <v>35</v>
      </c>
      <c r="L1195" s="1">
        <v>32</v>
      </c>
      <c r="M1195" s="1" t="str">
        <f>IF(L1195&lt;=45,"Joven","Mayor")</f>
        <v>Joven</v>
      </c>
      <c r="N1195" s="1">
        <v>45</v>
      </c>
      <c r="O1195" s="1" t="s">
        <v>36</v>
      </c>
      <c r="P1195" s="1">
        <v>0.39100000000000001</v>
      </c>
      <c r="Q1195" s="1">
        <v>94.299000000000007</v>
      </c>
      <c r="R1195" s="1">
        <v>1.2793747</v>
      </c>
      <c r="S1195" s="1">
        <v>0.27836776000000002</v>
      </c>
      <c r="T1195" s="1">
        <v>-2.3094635000000001</v>
      </c>
      <c r="U1195" s="1">
        <v>0.153</v>
      </c>
      <c r="V1195" s="1">
        <v>95</v>
      </c>
      <c r="W1195" s="1">
        <v>159</v>
      </c>
      <c r="X1195" s="1">
        <v>1.6736842105263159</v>
      </c>
      <c r="Y1195" s="1">
        <v>97</v>
      </c>
      <c r="Z1195" s="1">
        <v>159</v>
      </c>
      <c r="AA1195" s="1">
        <v>1.6391752577319587</v>
      </c>
      <c r="AB1195" s="1">
        <v>98.533085162198176</v>
      </c>
      <c r="AC1195" s="1">
        <v>158.70966540604101</v>
      </c>
      <c r="AD1195" s="1">
        <v>1.6107246123957695</v>
      </c>
      <c r="AE1195" t="s">
        <v>4817</v>
      </c>
      <c r="AF1195" t="str">
        <f>IF(X1195&lt;$AF$1,"Bajo","Alto")</f>
        <v>Bajo</v>
      </c>
      <c r="AG1195" t="str">
        <f>LEFT(AE1195,1)</f>
        <v>C</v>
      </c>
      <c r="AH1195" t="str">
        <f>K1195</f>
        <v>M</v>
      </c>
      <c r="AI1195" t="str">
        <f>LEFT(AF1195,1)</f>
        <v>B</v>
      </c>
      <c r="AJ1195" t="str">
        <f>LEFT(M1195,1)</f>
        <v>J</v>
      </c>
      <c r="AK1195" t="str">
        <f>_xlfn.CONCAT(AG1195,AH1195,AI1195,AJ1195)</f>
        <v>CMBJ</v>
      </c>
    </row>
    <row r="1196" spans="1:37" ht="15.75" hidden="1" customHeight="1" x14ac:dyDescent="0.2">
      <c r="A1196" s="1">
        <v>132301</v>
      </c>
      <c r="B1196" s="1" t="s">
        <v>956</v>
      </c>
      <c r="C1196" s="1" t="s">
        <v>163</v>
      </c>
      <c r="D1196" s="1" t="s">
        <v>1988</v>
      </c>
      <c r="E1196" s="1" t="s">
        <v>1989</v>
      </c>
      <c r="F1196" s="1" t="s">
        <v>32</v>
      </c>
      <c r="G1196" s="1" t="s">
        <v>1990</v>
      </c>
      <c r="H1196" s="1">
        <v>4355</v>
      </c>
      <c r="I1196" s="1" t="s">
        <v>39</v>
      </c>
      <c r="J1196" s="1">
        <v>11</v>
      </c>
      <c r="K1196" s="1" t="s">
        <v>35</v>
      </c>
      <c r="L1196" s="1">
        <v>28</v>
      </c>
      <c r="M1196" s="1" t="str">
        <f>IF(L1196&lt;=45,"Joven","Mayor")</f>
        <v>Joven</v>
      </c>
      <c r="N1196" s="1">
        <v>34</v>
      </c>
      <c r="O1196" s="1" t="s">
        <v>36</v>
      </c>
      <c r="P1196" s="1">
        <v>0.46800000000000003</v>
      </c>
      <c r="Q1196" s="1">
        <v>88.864999999999995</v>
      </c>
      <c r="R1196" s="1">
        <v>6.7542434</v>
      </c>
      <c r="S1196" s="1">
        <v>1.5372536000000001</v>
      </c>
      <c r="T1196" s="1">
        <v>-3.3773205000000002</v>
      </c>
      <c r="U1196" s="1">
        <v>2.6440000000000001</v>
      </c>
      <c r="V1196" s="1">
        <v>85</v>
      </c>
      <c r="W1196" s="1">
        <v>157</v>
      </c>
      <c r="X1196" s="1">
        <v>1.8470588235294119</v>
      </c>
      <c r="Y1196" s="1">
        <v>85</v>
      </c>
      <c r="Z1196" s="1">
        <v>157</v>
      </c>
      <c r="AA1196" s="1">
        <v>1.8470588235294119</v>
      </c>
      <c r="AB1196" s="1">
        <v>87.385557181705508</v>
      </c>
      <c r="AC1196" s="1">
        <v>156.96297127197931</v>
      </c>
      <c r="AD1196" s="1">
        <v>1.7962118264646152</v>
      </c>
      <c r="AE1196" t="s">
        <v>4816</v>
      </c>
      <c r="AF1196" t="str">
        <f>IF(X1196&lt;$AF$1,"Bajo","Alto")</f>
        <v>Alto</v>
      </c>
      <c r="AG1196" t="str">
        <f>LEFT(AE1196,1)</f>
        <v>D</v>
      </c>
      <c r="AH1196" t="str">
        <f>K1196</f>
        <v>M</v>
      </c>
      <c r="AI1196" t="str">
        <f>LEFT(AF1196,1)</f>
        <v>A</v>
      </c>
      <c r="AJ1196" t="str">
        <f>LEFT(M1196,1)</f>
        <v>J</v>
      </c>
      <c r="AK1196" t="str">
        <f>_xlfn.CONCAT(AG1196,AH1196,AI1196,AJ1196)</f>
        <v>DMAJ</v>
      </c>
    </row>
    <row r="1197" spans="1:37" ht="15.75" hidden="1" customHeight="1" x14ac:dyDescent="0.2">
      <c r="A1197" s="1">
        <v>199106</v>
      </c>
      <c r="B1197" s="1" t="s">
        <v>2656</v>
      </c>
      <c r="C1197" s="1" t="s">
        <v>323</v>
      </c>
      <c r="D1197" s="1" t="s">
        <v>2808</v>
      </c>
      <c r="E1197" s="1" t="s">
        <v>770</v>
      </c>
      <c r="F1197" s="1" t="s">
        <v>88</v>
      </c>
      <c r="G1197" s="1" t="s">
        <v>2811</v>
      </c>
      <c r="H1197" s="1">
        <v>1557</v>
      </c>
      <c r="I1197" s="1" t="s">
        <v>2812</v>
      </c>
      <c r="J1197" s="1">
        <v>4022</v>
      </c>
      <c r="K1197" s="1" t="s">
        <v>35</v>
      </c>
      <c r="L1197" s="1">
        <v>54</v>
      </c>
      <c r="M1197" s="1" t="str">
        <f>IF(L1197&lt;=45,"Joven","Mayor")</f>
        <v>Mayor</v>
      </c>
      <c r="N1197" s="1">
        <v>50</v>
      </c>
      <c r="O1197" s="1" t="s">
        <v>36</v>
      </c>
      <c r="P1197" s="1">
        <v>0.32500000000000001</v>
      </c>
      <c r="Q1197" s="1">
        <v>92.744</v>
      </c>
      <c r="R1197" s="1">
        <v>-3.5473482999999999</v>
      </c>
      <c r="S1197" s="1">
        <v>0.8221541</v>
      </c>
      <c r="T1197" s="1">
        <v>-1.5297916E-2</v>
      </c>
      <c r="U1197" s="1">
        <v>30.443999999999999</v>
      </c>
      <c r="V1197" s="1">
        <v>73</v>
      </c>
      <c r="W1197" s="1">
        <v>137</v>
      </c>
      <c r="X1197" s="1">
        <v>1.8767123287671232</v>
      </c>
      <c r="Y1197" s="1">
        <v>75</v>
      </c>
      <c r="Z1197" s="1">
        <v>137</v>
      </c>
      <c r="AA1197" s="1">
        <v>1.8266666666666667</v>
      </c>
      <c r="AB1197" s="1">
        <v>74.991453358691388</v>
      </c>
      <c r="AC1197" s="1">
        <v>137.0010631127393</v>
      </c>
      <c r="AD1197" s="1">
        <v>1.8268890250392926</v>
      </c>
      <c r="AE1197" t="s">
        <v>4817</v>
      </c>
      <c r="AF1197" t="str">
        <f>IF(X1197&lt;$AF$1,"Bajo","Alto")</f>
        <v>Alto</v>
      </c>
      <c r="AG1197" t="str">
        <f>LEFT(AE1197,1)</f>
        <v>C</v>
      </c>
      <c r="AH1197" t="str">
        <f>K1197</f>
        <v>M</v>
      </c>
      <c r="AI1197" t="str">
        <f>LEFT(AF1197,1)</f>
        <v>A</v>
      </c>
      <c r="AJ1197" t="str">
        <f>LEFT(M1197,1)</f>
        <v>M</v>
      </c>
      <c r="AK1197" t="str">
        <f>_xlfn.CONCAT(AG1197,AH1197,AI1197,AJ1197)</f>
        <v>CMAM</v>
      </c>
    </row>
    <row r="1198" spans="1:37" ht="15.75" hidden="1" customHeight="1" x14ac:dyDescent="0.2">
      <c r="A1198" s="1">
        <v>10511801</v>
      </c>
      <c r="B1198" s="1" t="s">
        <v>694</v>
      </c>
      <c r="C1198" s="1" t="s">
        <v>879</v>
      </c>
      <c r="D1198" s="1" t="s">
        <v>921</v>
      </c>
      <c r="E1198" s="1" t="s">
        <v>129</v>
      </c>
      <c r="F1198" s="1" t="s">
        <v>32</v>
      </c>
      <c r="G1198" s="1" t="s">
        <v>922</v>
      </c>
      <c r="H1198" s="1">
        <v>21466</v>
      </c>
      <c r="I1198" s="1" t="s">
        <v>34</v>
      </c>
      <c r="J1198" s="1">
        <v>10</v>
      </c>
      <c r="K1198" s="1" t="s">
        <v>35</v>
      </c>
      <c r="L1198" s="1">
        <v>65</v>
      </c>
      <c r="M1198" s="1" t="str">
        <f>IF(L1198&lt;=45,"Joven","Mayor")</f>
        <v>Mayor</v>
      </c>
      <c r="N1198" s="1">
        <v>58</v>
      </c>
      <c r="O1198" s="1" t="s">
        <v>36</v>
      </c>
      <c r="P1198" s="1">
        <v>0.36099999999999999</v>
      </c>
      <c r="Q1198" s="1">
        <v>92.762</v>
      </c>
      <c r="R1198" s="1">
        <v>2.2333148</v>
      </c>
      <c r="S1198" s="1">
        <v>-4.6943435999999998</v>
      </c>
      <c r="T1198" s="1">
        <v>2.8628122999999999</v>
      </c>
      <c r="U1198" s="1">
        <v>3.5219999999999998</v>
      </c>
      <c r="V1198" s="1">
        <v>100</v>
      </c>
      <c r="W1198" s="1">
        <v>166</v>
      </c>
      <c r="X1198" s="1">
        <v>1.66</v>
      </c>
      <c r="Y1198" s="1">
        <v>103</v>
      </c>
      <c r="Z1198" s="1">
        <v>166</v>
      </c>
      <c r="AA1198" s="1">
        <v>1.6116504854368932</v>
      </c>
      <c r="AB1198" s="1">
        <v>102.3724340485835</v>
      </c>
      <c r="AC1198" s="1">
        <v>165.94266349201459</v>
      </c>
      <c r="AD1198" s="1">
        <v>1.6209701863029082</v>
      </c>
      <c r="AE1198" t="s">
        <v>4815</v>
      </c>
      <c r="AF1198" t="str">
        <f>IF(X1198&lt;$AF$1,"Bajo","Alto")</f>
        <v>Bajo</v>
      </c>
      <c r="AG1198" t="str">
        <f>LEFT(AE1198,1)</f>
        <v>I</v>
      </c>
      <c r="AH1198" t="str">
        <f>K1198</f>
        <v>M</v>
      </c>
      <c r="AI1198" t="str">
        <f>LEFT(AF1198,1)</f>
        <v>B</v>
      </c>
      <c r="AJ1198" t="str">
        <f>LEFT(M1198,1)</f>
        <v>M</v>
      </c>
      <c r="AK1198" t="str">
        <f>_xlfn.CONCAT(AG1198,AH1198,AI1198,AJ1198)</f>
        <v>IMBM</v>
      </c>
    </row>
    <row r="1199" spans="1:37" ht="15.75" hidden="1" customHeight="1" x14ac:dyDescent="0.2">
      <c r="A1199" s="1">
        <v>233902</v>
      </c>
      <c r="B1199" s="1" t="s">
        <v>319</v>
      </c>
      <c r="C1199" s="1" t="s">
        <v>1989</v>
      </c>
      <c r="D1199" s="1" t="s">
        <v>3027</v>
      </c>
      <c r="E1199" s="1" t="s">
        <v>654</v>
      </c>
      <c r="F1199" s="1" t="s">
        <v>37</v>
      </c>
      <c r="G1199" s="1" t="s">
        <v>3029</v>
      </c>
      <c r="H1199" s="1">
        <v>2470</v>
      </c>
      <c r="I1199" s="1" t="s">
        <v>3030</v>
      </c>
      <c r="J1199" s="1">
        <v>3197</v>
      </c>
      <c r="K1199" s="1" t="s">
        <v>35</v>
      </c>
      <c r="L1199" s="1">
        <v>47</v>
      </c>
      <c r="M1199" s="1" t="str">
        <f>IF(L1199&lt;=45,"Joven","Mayor")</f>
        <v>Mayor</v>
      </c>
      <c r="N1199" s="1">
        <v>60</v>
      </c>
      <c r="O1199" s="1" t="s">
        <v>36</v>
      </c>
      <c r="P1199" s="1">
        <v>0.376</v>
      </c>
      <c r="Q1199" s="1">
        <v>87.512</v>
      </c>
      <c r="R1199" s="1">
        <v>-5.9824299999999999</v>
      </c>
      <c r="S1199" s="1">
        <v>7.4346350000000001</v>
      </c>
      <c r="T1199" s="1">
        <v>8.6404040000000002</v>
      </c>
      <c r="U1199" s="1">
        <v>1.911</v>
      </c>
      <c r="V1199" s="1">
        <v>81</v>
      </c>
      <c r="W1199" s="1">
        <v>152</v>
      </c>
      <c r="X1199" s="1">
        <v>1.8765432098765431</v>
      </c>
      <c r="Y1199" s="1">
        <v>89</v>
      </c>
      <c r="Z1199" s="1">
        <v>152</v>
      </c>
      <c r="AA1199" s="1">
        <v>1.7078651685393258</v>
      </c>
      <c r="AB1199" s="1">
        <v>86.841170732018099</v>
      </c>
      <c r="AC1199" s="1">
        <v>151.6269972309415</v>
      </c>
      <c r="AD1199" s="1">
        <v>1.746026636361744</v>
      </c>
      <c r="AE1199" t="s">
        <v>4817</v>
      </c>
      <c r="AF1199" t="str">
        <f>IF(X1199&lt;$AF$1,"Bajo","Alto")</f>
        <v>Alto</v>
      </c>
      <c r="AG1199" t="str">
        <f>LEFT(AE1199,1)</f>
        <v>C</v>
      </c>
      <c r="AH1199" t="str">
        <f>K1199</f>
        <v>M</v>
      </c>
      <c r="AI1199" t="str">
        <f>LEFT(AF1199,1)</f>
        <v>A</v>
      </c>
      <c r="AJ1199" t="str">
        <f>LEFT(M1199,1)</f>
        <v>M</v>
      </c>
      <c r="AK1199" t="str">
        <f>_xlfn.CONCAT(AG1199,AH1199,AI1199,AJ1199)</f>
        <v>CMAM</v>
      </c>
    </row>
    <row r="1200" spans="1:37" ht="15.75" hidden="1" customHeight="1" x14ac:dyDescent="0.2">
      <c r="A1200" s="1">
        <v>115305</v>
      </c>
      <c r="B1200" s="1" t="s">
        <v>1648</v>
      </c>
      <c r="C1200" s="1" t="s">
        <v>51</v>
      </c>
      <c r="D1200" s="1" t="s">
        <v>1726</v>
      </c>
      <c r="E1200" s="1" t="s">
        <v>1727</v>
      </c>
      <c r="F1200" s="1" t="s">
        <v>40</v>
      </c>
      <c r="G1200" s="1" t="s">
        <v>1729</v>
      </c>
      <c r="H1200" s="1">
        <v>7</v>
      </c>
      <c r="I1200" s="1" t="s">
        <v>48</v>
      </c>
      <c r="J1200" s="1">
        <v>4</v>
      </c>
      <c r="K1200" s="1" t="s">
        <v>35</v>
      </c>
      <c r="L1200" s="1">
        <v>48</v>
      </c>
      <c r="M1200" s="1" t="str">
        <f>IF(L1200&lt;=45,"Joven","Mayor")</f>
        <v>Mayor</v>
      </c>
      <c r="N1200" s="1">
        <v>46</v>
      </c>
      <c r="O1200" s="1" t="s">
        <v>36</v>
      </c>
      <c r="P1200" s="1">
        <v>0.33400000000000002</v>
      </c>
      <c r="Q1200" s="1">
        <v>93.671000000000006</v>
      </c>
      <c r="R1200" s="1">
        <v>-0.92293009999999998</v>
      </c>
      <c r="S1200" s="1">
        <v>4.3648515000000003</v>
      </c>
      <c r="T1200" s="1">
        <v>-3.4422526000000002</v>
      </c>
      <c r="U1200" s="1">
        <v>7.3230000000000004</v>
      </c>
      <c r="V1200" s="1">
        <v>118</v>
      </c>
      <c r="W1200" s="1">
        <v>195</v>
      </c>
      <c r="X1200" s="1">
        <v>1.652542372881356</v>
      </c>
      <c r="Y1200" s="1">
        <v>118</v>
      </c>
      <c r="Z1200" s="1">
        <v>195</v>
      </c>
      <c r="AA1200" s="1">
        <v>1.652542372881356</v>
      </c>
      <c r="AB1200" s="1">
        <v>120.8492747231073</v>
      </c>
      <c r="AC1200" s="1">
        <v>195.00844016925109</v>
      </c>
      <c r="AD1200" s="1">
        <v>1.6136500663000173</v>
      </c>
      <c r="AE1200" t="s">
        <v>4817</v>
      </c>
      <c r="AF1200" t="str">
        <f>IF(X1200&lt;$AF$1,"Bajo","Alto")</f>
        <v>Bajo</v>
      </c>
      <c r="AG1200" t="str">
        <f>LEFT(AE1200,1)</f>
        <v>C</v>
      </c>
      <c r="AH1200" t="str">
        <f>K1200</f>
        <v>M</v>
      </c>
      <c r="AI1200" t="str">
        <f>LEFT(AF1200,1)</f>
        <v>B</v>
      </c>
      <c r="AJ1200" t="str">
        <f>LEFT(M1200,1)</f>
        <v>M</v>
      </c>
      <c r="AK1200" t="str">
        <f>_xlfn.CONCAT(AG1200,AH1200,AI1200,AJ1200)</f>
        <v>CMBM</v>
      </c>
    </row>
    <row r="1201" spans="1:37" ht="15.75" hidden="1" customHeight="1" x14ac:dyDescent="0.2">
      <c r="A1201" s="1">
        <v>10728102</v>
      </c>
      <c r="B1201" s="1" t="s">
        <v>1067</v>
      </c>
      <c r="C1201" s="1" t="s">
        <v>1068</v>
      </c>
      <c r="D1201" s="1" t="s">
        <v>1339</v>
      </c>
      <c r="E1201" s="1" t="s">
        <v>1340</v>
      </c>
      <c r="F1201" s="1" t="s">
        <v>37</v>
      </c>
      <c r="G1201" s="1" t="s">
        <v>1341</v>
      </c>
      <c r="H1201" s="1">
        <v>287</v>
      </c>
      <c r="I1201" s="1" t="s">
        <v>91</v>
      </c>
      <c r="J1201" s="1">
        <v>6</v>
      </c>
      <c r="K1201" s="1" t="s">
        <v>35</v>
      </c>
      <c r="L1201" s="1">
        <v>27</v>
      </c>
      <c r="M1201" s="1" t="str">
        <f>IF(L1201&lt;=45,"Joven","Mayor")</f>
        <v>Joven</v>
      </c>
      <c r="N1201" s="1">
        <v>43</v>
      </c>
      <c r="O1201" s="1" t="s">
        <v>36</v>
      </c>
      <c r="P1201" s="1">
        <v>0.43099999999999999</v>
      </c>
      <c r="Q1201" s="1">
        <v>93.369</v>
      </c>
      <c r="R1201" s="1">
        <v>-0.73975729999999995</v>
      </c>
      <c r="S1201" s="1">
        <v>5.6961050000000002</v>
      </c>
      <c r="T1201" s="1">
        <v>4.0698923999999996</v>
      </c>
      <c r="U1201" s="1">
        <v>4.2729999999999997</v>
      </c>
      <c r="V1201" s="1">
        <v>95</v>
      </c>
      <c r="W1201" s="1">
        <v>159</v>
      </c>
      <c r="X1201" s="1">
        <v>1.6736842105263159</v>
      </c>
      <c r="Y1201" s="1">
        <v>95</v>
      </c>
      <c r="Z1201" s="1">
        <v>159</v>
      </c>
      <c r="AA1201" s="1">
        <v>1.6736842105263159</v>
      </c>
      <c r="AB1201" s="1">
        <v>97.88325578108379</v>
      </c>
      <c r="AC1201" s="1">
        <v>158.7409828639156</v>
      </c>
      <c r="AD1201" s="1">
        <v>1.6217378712753518</v>
      </c>
      <c r="AE1201" t="s">
        <v>4817</v>
      </c>
      <c r="AF1201" t="str">
        <f>IF(X1201&lt;$AF$1,"Bajo","Alto")</f>
        <v>Bajo</v>
      </c>
      <c r="AG1201" t="str">
        <f>LEFT(AE1201,1)</f>
        <v>C</v>
      </c>
      <c r="AH1201" t="str">
        <f>K1201</f>
        <v>M</v>
      </c>
      <c r="AI1201" t="str">
        <f>LEFT(AF1201,1)</f>
        <v>B</v>
      </c>
      <c r="AJ1201" t="str">
        <f>LEFT(M1201,1)</f>
        <v>J</v>
      </c>
      <c r="AK1201" t="str">
        <f>_xlfn.CONCAT(AG1201,AH1201,AI1201,AJ1201)</f>
        <v>CMBJ</v>
      </c>
    </row>
    <row r="1202" spans="1:37" ht="15.75" hidden="1" customHeight="1" x14ac:dyDescent="0.2">
      <c r="A1202" s="1">
        <v>1052203</v>
      </c>
      <c r="B1202" s="1" t="s">
        <v>694</v>
      </c>
      <c r="C1202" s="1" t="s">
        <v>879</v>
      </c>
      <c r="D1202" s="1" t="s">
        <v>962</v>
      </c>
      <c r="E1202" s="1" t="s">
        <v>418</v>
      </c>
      <c r="F1202" s="1" t="s">
        <v>63</v>
      </c>
      <c r="G1202" s="1" t="s">
        <v>963</v>
      </c>
      <c r="H1202" s="1">
        <v>6687</v>
      </c>
      <c r="I1202" s="1" t="s">
        <v>65</v>
      </c>
      <c r="J1202" s="1">
        <v>2</v>
      </c>
      <c r="K1202" s="1" t="s">
        <v>35</v>
      </c>
      <c r="L1202" s="1">
        <v>60</v>
      </c>
      <c r="M1202" s="1" t="str">
        <f>IF(L1202&lt;=45,"Joven","Mayor")</f>
        <v>Mayor</v>
      </c>
      <c r="N1202" s="1">
        <v>56</v>
      </c>
      <c r="O1202" s="1" t="s">
        <v>36</v>
      </c>
      <c r="P1202" s="1">
        <v>0.79600000000000004</v>
      </c>
      <c r="Q1202" s="1">
        <v>93.251999999999995</v>
      </c>
      <c r="R1202" s="1">
        <v>1.3472837</v>
      </c>
      <c r="S1202" s="1">
        <v>-4.5879719999999997</v>
      </c>
      <c r="T1202" s="1">
        <v>-0.85232883999999998</v>
      </c>
      <c r="U1202" s="1">
        <v>0.82099999999999995</v>
      </c>
      <c r="V1202" s="1">
        <v>89</v>
      </c>
      <c r="W1202" s="1">
        <v>167</v>
      </c>
      <c r="X1202" s="1">
        <v>1.8764044943820224</v>
      </c>
      <c r="Y1202" s="1">
        <v>89</v>
      </c>
      <c r="Z1202" s="1">
        <v>167</v>
      </c>
      <c r="AA1202" s="1">
        <v>1.8764044943820224</v>
      </c>
      <c r="AB1202" s="1">
        <v>89.629794635098506</v>
      </c>
      <c r="AC1202" s="1">
        <v>166.95177152273749</v>
      </c>
      <c r="AD1202" s="1">
        <v>1.8626816250381115</v>
      </c>
      <c r="AE1202" t="s">
        <v>4817</v>
      </c>
      <c r="AF1202" t="str">
        <f>IF(X1202&lt;$AF$1,"Bajo","Alto")</f>
        <v>Alto</v>
      </c>
      <c r="AG1202" t="str">
        <f>LEFT(AE1202,1)</f>
        <v>C</v>
      </c>
      <c r="AH1202" t="str">
        <f>K1202</f>
        <v>M</v>
      </c>
      <c r="AI1202" t="str">
        <f>LEFT(AF1202,1)</f>
        <v>A</v>
      </c>
      <c r="AJ1202" t="str">
        <f>LEFT(M1202,1)</f>
        <v>M</v>
      </c>
      <c r="AK1202" t="str">
        <f>_xlfn.CONCAT(AG1202,AH1202,AI1202,AJ1202)</f>
        <v>CMAM</v>
      </c>
    </row>
    <row r="1203" spans="1:37" ht="15.75" hidden="1" customHeight="1" x14ac:dyDescent="0.2">
      <c r="A1203" s="1">
        <v>2832002</v>
      </c>
      <c r="B1203" s="1" t="s">
        <v>1775</v>
      </c>
      <c r="C1203" s="1" t="s">
        <v>561</v>
      </c>
      <c r="D1203" s="1" t="s">
        <v>3846</v>
      </c>
      <c r="E1203" s="1" t="s">
        <v>3847</v>
      </c>
      <c r="F1203" s="1" t="s">
        <v>37</v>
      </c>
      <c r="G1203" s="1" t="s">
        <v>3849</v>
      </c>
      <c r="H1203" s="1">
        <v>7043</v>
      </c>
      <c r="I1203" s="1" t="s">
        <v>108</v>
      </c>
      <c r="J1203" s="1">
        <v>3</v>
      </c>
      <c r="K1203" s="1" t="s">
        <v>35</v>
      </c>
      <c r="L1203" s="1">
        <v>48</v>
      </c>
      <c r="M1203" s="1" t="str">
        <f>IF(L1203&lt;=45,"Joven","Mayor")</f>
        <v>Mayor</v>
      </c>
      <c r="N1203" s="1">
        <v>47</v>
      </c>
      <c r="O1203" s="1" t="s">
        <v>36</v>
      </c>
      <c r="P1203" s="1">
        <v>0.32</v>
      </c>
      <c r="Q1203" s="1">
        <v>92.454999999999998</v>
      </c>
      <c r="R1203" s="1">
        <v>2.9224570000000001</v>
      </c>
      <c r="S1203" s="1">
        <v>4.0459985999999999</v>
      </c>
      <c r="T1203" s="1">
        <v>-3.5618221999999999</v>
      </c>
      <c r="U1203" s="1">
        <v>35.1</v>
      </c>
      <c r="V1203" s="1">
        <v>98</v>
      </c>
      <c r="W1203" s="1">
        <v>162</v>
      </c>
      <c r="X1203" s="1">
        <v>1.653061224489796</v>
      </c>
      <c r="Y1203" s="1">
        <v>100</v>
      </c>
      <c r="Z1203" s="1">
        <v>162</v>
      </c>
      <c r="AA1203" s="1">
        <v>1.62</v>
      </c>
      <c r="AB1203" s="1">
        <v>102.6024817446023</v>
      </c>
      <c r="AC1203" s="1">
        <v>161.37644458584009</v>
      </c>
      <c r="AD1203" s="1">
        <v>1.5728317857606768</v>
      </c>
      <c r="AE1203" t="s">
        <v>4817</v>
      </c>
      <c r="AF1203" t="str">
        <f>IF(X1203&lt;$AF$1,"Bajo","Alto")</f>
        <v>Bajo</v>
      </c>
      <c r="AG1203" t="str">
        <f>LEFT(AE1203,1)</f>
        <v>C</v>
      </c>
      <c r="AH1203" t="str">
        <f>K1203</f>
        <v>M</v>
      </c>
      <c r="AI1203" t="str">
        <f>LEFT(AF1203,1)</f>
        <v>B</v>
      </c>
      <c r="AJ1203" t="str">
        <f>LEFT(M1203,1)</f>
        <v>M</v>
      </c>
      <c r="AK1203" t="str">
        <f>_xlfn.CONCAT(AG1203,AH1203,AI1203,AJ1203)</f>
        <v>CMBM</v>
      </c>
    </row>
    <row r="1204" spans="1:37" ht="15.75" hidden="1" customHeight="1" x14ac:dyDescent="0.2">
      <c r="A1204" s="1">
        <v>10113901</v>
      </c>
      <c r="B1204" s="1" t="s">
        <v>29</v>
      </c>
      <c r="C1204" s="1" t="s">
        <v>30</v>
      </c>
      <c r="D1204" s="1" t="s">
        <v>175</v>
      </c>
      <c r="E1204" s="1" t="s">
        <v>176</v>
      </c>
      <c r="F1204" s="1" t="s">
        <v>32</v>
      </c>
      <c r="G1204" s="1" t="s">
        <v>177</v>
      </c>
      <c r="H1204" s="1">
        <v>66</v>
      </c>
      <c r="I1204" s="1" t="s">
        <v>100</v>
      </c>
      <c r="J1204" s="1">
        <v>1</v>
      </c>
      <c r="K1204" s="1" t="s">
        <v>35</v>
      </c>
      <c r="L1204" s="1">
        <v>69</v>
      </c>
      <c r="M1204" s="1" t="str">
        <f>IF(L1204&lt;=45,"Joven","Mayor")</f>
        <v>Mayor</v>
      </c>
      <c r="N1204" s="1">
        <v>67</v>
      </c>
      <c r="O1204" s="1" t="s">
        <v>36</v>
      </c>
      <c r="P1204" s="1">
        <v>0.52600000000000002</v>
      </c>
      <c r="Q1204" s="1">
        <v>94.328000000000003</v>
      </c>
      <c r="R1204" s="1">
        <v>-1.237538</v>
      </c>
      <c r="S1204" s="1">
        <v>-1.9910855000000002E-2</v>
      </c>
      <c r="T1204" s="1">
        <v>1.1489830000000001</v>
      </c>
      <c r="U1204" s="1">
        <v>1.4219999999999999</v>
      </c>
      <c r="V1204" s="1">
        <v>107</v>
      </c>
      <c r="W1204" s="1">
        <v>177</v>
      </c>
      <c r="X1204" s="1">
        <v>1.6542056074766356</v>
      </c>
      <c r="Y1204" s="1">
        <v>114</v>
      </c>
      <c r="Z1204" s="1">
        <v>177</v>
      </c>
      <c r="AA1204" s="1">
        <v>1.5526315789473684</v>
      </c>
      <c r="AB1204" s="1">
        <v>112.9143123468689</v>
      </c>
      <c r="AC1204" s="1">
        <v>177.02456799723271</v>
      </c>
      <c r="AD1204" s="1">
        <v>1.5677779399073812</v>
      </c>
      <c r="AE1204" t="s">
        <v>4817</v>
      </c>
      <c r="AF1204" t="str">
        <f>IF(X1204&lt;$AF$1,"Bajo","Alto")</f>
        <v>Bajo</v>
      </c>
      <c r="AG1204" t="str">
        <f>LEFT(AE1204,1)</f>
        <v>C</v>
      </c>
      <c r="AH1204" t="str">
        <f>K1204</f>
        <v>M</v>
      </c>
      <c r="AI1204" t="str">
        <f>LEFT(AF1204,1)</f>
        <v>B</v>
      </c>
      <c r="AJ1204" t="str">
        <f>LEFT(M1204,1)</f>
        <v>M</v>
      </c>
      <c r="AK1204" t="str">
        <f>_xlfn.CONCAT(AG1204,AH1204,AI1204,AJ1204)</f>
        <v>CMBM</v>
      </c>
    </row>
    <row r="1205" spans="1:37" ht="15.75" hidden="1" customHeight="1" x14ac:dyDescent="0.2">
      <c r="A1205" s="1">
        <v>199101</v>
      </c>
      <c r="B1205" s="1" t="s">
        <v>2656</v>
      </c>
      <c r="C1205" s="1" t="s">
        <v>323</v>
      </c>
      <c r="D1205" s="1" t="s">
        <v>2808</v>
      </c>
      <c r="E1205" s="1" t="s">
        <v>770</v>
      </c>
      <c r="F1205" s="1" t="s">
        <v>32</v>
      </c>
      <c r="G1205" s="1" t="s">
        <v>2809</v>
      </c>
      <c r="H1205" s="1">
        <v>1813</v>
      </c>
      <c r="I1205" s="1" t="s">
        <v>39</v>
      </c>
      <c r="J1205" s="1">
        <v>11</v>
      </c>
      <c r="K1205" s="1" t="s">
        <v>35</v>
      </c>
      <c r="L1205" s="1">
        <v>38</v>
      </c>
      <c r="M1205" s="1" t="str">
        <f>IF(L1205&lt;=45,"Joven","Mayor")</f>
        <v>Joven</v>
      </c>
      <c r="N1205" s="1">
        <v>34</v>
      </c>
      <c r="O1205" s="1" t="s">
        <v>36</v>
      </c>
      <c r="P1205" s="1">
        <v>0.44400000000000001</v>
      </c>
      <c r="Q1205" s="1">
        <v>87.731999999999999</v>
      </c>
      <c r="R1205" s="1">
        <v>-6.5939269999999999</v>
      </c>
      <c r="S1205" s="1">
        <v>5.140619</v>
      </c>
      <c r="T1205" s="1">
        <v>7.1864650000000001</v>
      </c>
      <c r="U1205" s="1">
        <v>58.540999999999997</v>
      </c>
      <c r="V1205" s="1">
        <v>78</v>
      </c>
      <c r="W1205" s="1">
        <v>144</v>
      </c>
      <c r="X1205" s="1">
        <v>1.8461538461538463</v>
      </c>
      <c r="Y1205" s="1">
        <v>85</v>
      </c>
      <c r="Z1205" s="1">
        <v>144</v>
      </c>
      <c r="AA1205" s="1">
        <v>1.6941176470588235</v>
      </c>
      <c r="AB1205" s="1">
        <v>83.016702741574818</v>
      </c>
      <c r="AC1205" s="1">
        <v>144.1197651093203</v>
      </c>
      <c r="AD1205" s="1">
        <v>1.7360333565397681</v>
      </c>
      <c r="AE1205" t="s">
        <v>4816</v>
      </c>
      <c r="AF1205" t="str">
        <f>IF(X1205&lt;$AF$1,"Bajo","Alto")</f>
        <v>Alto</v>
      </c>
      <c r="AG1205" t="str">
        <f>LEFT(AE1205,1)</f>
        <v>D</v>
      </c>
      <c r="AH1205" t="str">
        <f>K1205</f>
        <v>M</v>
      </c>
      <c r="AI1205" t="str">
        <f>LEFT(AF1205,1)</f>
        <v>A</v>
      </c>
      <c r="AJ1205" t="str">
        <f>LEFT(M1205,1)</f>
        <v>J</v>
      </c>
      <c r="AK1205" t="str">
        <f>_xlfn.CONCAT(AG1205,AH1205,AI1205,AJ1205)</f>
        <v>DMAJ</v>
      </c>
    </row>
    <row r="1206" spans="1:37" ht="15.75" hidden="1" customHeight="1" x14ac:dyDescent="0.2">
      <c r="A1206" s="1">
        <v>214005</v>
      </c>
      <c r="B1206" s="1" t="s">
        <v>2816</v>
      </c>
      <c r="C1206" s="1" t="s">
        <v>2817</v>
      </c>
      <c r="D1206" s="1" t="s">
        <v>2867</v>
      </c>
      <c r="E1206" s="1" t="s">
        <v>657</v>
      </c>
      <c r="F1206" s="1" t="s">
        <v>40</v>
      </c>
      <c r="G1206" s="1" t="s">
        <v>2868</v>
      </c>
      <c r="H1206" s="1">
        <v>65</v>
      </c>
      <c r="I1206" s="1" t="s">
        <v>42</v>
      </c>
      <c r="J1206" s="1">
        <v>15</v>
      </c>
      <c r="K1206" s="1" t="s">
        <v>35</v>
      </c>
      <c r="L1206" s="1">
        <v>51</v>
      </c>
      <c r="M1206" s="1" t="str">
        <f>IF(L1206&lt;=45,"Joven","Mayor")</f>
        <v>Mayor</v>
      </c>
      <c r="N1206" s="1">
        <v>50</v>
      </c>
      <c r="O1206" s="1" t="s">
        <v>36</v>
      </c>
      <c r="P1206" s="1">
        <v>1.123</v>
      </c>
      <c r="Q1206" s="1">
        <v>93.766999999999996</v>
      </c>
      <c r="R1206" s="1">
        <v>1.8355707000000001</v>
      </c>
      <c r="S1206" s="1">
        <v>-0.59271525999999997</v>
      </c>
      <c r="T1206" s="1">
        <v>-3.6920123</v>
      </c>
      <c r="U1206" s="1">
        <v>1.778</v>
      </c>
      <c r="V1206" s="1">
        <v>97</v>
      </c>
      <c r="W1206" s="1">
        <v>182</v>
      </c>
      <c r="X1206" s="1">
        <v>1.8762886597938144</v>
      </c>
      <c r="Y1206" s="1">
        <v>100</v>
      </c>
      <c r="Z1206" s="1">
        <v>182</v>
      </c>
      <c r="AA1206" s="1">
        <v>1.82</v>
      </c>
      <c r="AB1206" s="1">
        <v>99.889559652059006</v>
      </c>
      <c r="AC1206" s="1">
        <v>181.87985088005831</v>
      </c>
      <c r="AD1206" s="1">
        <v>1.8208094170561222</v>
      </c>
      <c r="AE1206" t="s">
        <v>4817</v>
      </c>
      <c r="AF1206" t="str">
        <f>IF(X1206&lt;$AF$1,"Bajo","Alto")</f>
        <v>Alto</v>
      </c>
      <c r="AG1206" t="str">
        <f>LEFT(AE1206,1)</f>
        <v>C</v>
      </c>
      <c r="AH1206" t="str">
        <f>K1206</f>
        <v>M</v>
      </c>
      <c r="AI1206" t="str">
        <f>LEFT(AF1206,1)</f>
        <v>A</v>
      </c>
      <c r="AJ1206" t="str">
        <f>LEFT(M1206,1)</f>
        <v>M</v>
      </c>
      <c r="AK1206" t="str">
        <f>_xlfn.CONCAT(AG1206,AH1206,AI1206,AJ1206)</f>
        <v>CMAM</v>
      </c>
    </row>
    <row r="1207" spans="1:37" ht="15.75" hidden="1" customHeight="1" x14ac:dyDescent="0.2">
      <c r="A1207" s="1">
        <v>259304</v>
      </c>
      <c r="B1207" s="1" t="s">
        <v>3169</v>
      </c>
      <c r="C1207" s="1" t="s">
        <v>821</v>
      </c>
      <c r="D1207" s="1" t="s">
        <v>3346</v>
      </c>
      <c r="E1207" s="1" t="s">
        <v>3347</v>
      </c>
      <c r="F1207" s="1" t="s">
        <v>61</v>
      </c>
      <c r="G1207" s="1" t="s">
        <v>3348</v>
      </c>
      <c r="H1207" s="1">
        <v>562</v>
      </c>
      <c r="I1207" s="1" t="s">
        <v>91</v>
      </c>
      <c r="J1207" s="1">
        <v>6</v>
      </c>
      <c r="K1207" s="1" t="s">
        <v>35</v>
      </c>
      <c r="L1207" s="1">
        <v>51</v>
      </c>
      <c r="M1207" s="1" t="str">
        <f>IF(L1207&lt;=45,"Joven","Mayor")</f>
        <v>Mayor</v>
      </c>
      <c r="N1207" s="1">
        <v>55</v>
      </c>
      <c r="O1207" s="1" t="s">
        <v>36</v>
      </c>
      <c r="P1207" s="1">
        <v>0.36199999999999999</v>
      </c>
      <c r="Q1207" s="1">
        <v>91.986000000000004</v>
      </c>
      <c r="R1207" s="1">
        <v>0.27878695999999997</v>
      </c>
      <c r="S1207" s="1">
        <v>9.8140649999999994</v>
      </c>
      <c r="T1207" s="1">
        <v>-1.8884158000000002E-2</v>
      </c>
      <c r="U1207" s="1">
        <v>0.90700000000000003</v>
      </c>
      <c r="V1207" s="1">
        <v>90</v>
      </c>
      <c r="W1207" s="1">
        <v>149</v>
      </c>
      <c r="X1207" s="1">
        <v>1.6555555555555554</v>
      </c>
      <c r="Y1207" s="1">
        <v>92</v>
      </c>
      <c r="Z1207" s="1">
        <v>149</v>
      </c>
      <c r="AA1207" s="1">
        <v>1.6195652173913044</v>
      </c>
      <c r="AB1207" s="1">
        <v>92.012189859938871</v>
      </c>
      <c r="AC1207" s="1">
        <v>148.9996623163338</v>
      </c>
      <c r="AD1207" s="1">
        <v>1.6193469859063387</v>
      </c>
      <c r="AE1207" t="s">
        <v>4817</v>
      </c>
      <c r="AF1207" t="str">
        <f>IF(X1207&lt;$AF$1,"Bajo","Alto")</f>
        <v>Bajo</v>
      </c>
      <c r="AG1207" t="str">
        <f>LEFT(AE1207,1)</f>
        <v>C</v>
      </c>
      <c r="AH1207" t="str">
        <f>K1207</f>
        <v>M</v>
      </c>
      <c r="AI1207" t="str">
        <f>LEFT(AF1207,1)</f>
        <v>B</v>
      </c>
      <c r="AJ1207" t="str">
        <f>LEFT(M1207,1)</f>
        <v>M</v>
      </c>
      <c r="AK1207" t="str">
        <f>_xlfn.CONCAT(AG1207,AH1207,AI1207,AJ1207)</f>
        <v>CMBM</v>
      </c>
    </row>
    <row r="1208" spans="1:37" ht="15.75" hidden="1" customHeight="1" x14ac:dyDescent="0.2">
      <c r="A1208" s="1">
        <v>540302</v>
      </c>
      <c r="B1208" s="1" t="s">
        <v>4677</v>
      </c>
      <c r="C1208" s="1" t="s">
        <v>3148</v>
      </c>
      <c r="D1208" s="1" t="s">
        <v>935</v>
      </c>
      <c r="E1208" s="1" t="s">
        <v>63</v>
      </c>
      <c r="F1208" s="1" t="s">
        <v>37</v>
      </c>
      <c r="G1208" s="1" t="s">
        <v>4686</v>
      </c>
      <c r="H1208" s="1">
        <v>1617</v>
      </c>
      <c r="I1208" s="1" t="s">
        <v>156</v>
      </c>
      <c r="J1208" s="1">
        <v>2588</v>
      </c>
      <c r="K1208" s="1" t="s">
        <v>35</v>
      </c>
      <c r="L1208" s="1">
        <v>47</v>
      </c>
      <c r="M1208" s="1" t="str">
        <f>IF(L1208&lt;=45,"Joven","Mayor")</f>
        <v>Mayor</v>
      </c>
      <c r="N1208" s="1">
        <v>53</v>
      </c>
      <c r="O1208" s="1" t="s">
        <v>36</v>
      </c>
      <c r="P1208" s="1">
        <v>2.056</v>
      </c>
      <c r="Q1208" s="1">
        <v>93.869</v>
      </c>
      <c r="R1208" s="1">
        <v>-1.1329182</v>
      </c>
      <c r="S1208" s="1">
        <v>0.9623429</v>
      </c>
      <c r="T1208" s="1">
        <v>0.82756189999999996</v>
      </c>
      <c r="U1208" s="1">
        <v>3.1850000000000001</v>
      </c>
      <c r="V1208" s="1">
        <v>90</v>
      </c>
      <c r="W1208" s="1">
        <v>149</v>
      </c>
      <c r="X1208" s="1">
        <v>1.6555555555555554</v>
      </c>
      <c r="Y1208" s="1">
        <v>96</v>
      </c>
      <c r="Z1208" s="1">
        <v>149</v>
      </c>
      <c r="AA1208" s="1">
        <v>1.5520833333333333</v>
      </c>
      <c r="AB1208" s="1">
        <v>95.383372955238656</v>
      </c>
      <c r="AC1208" s="1">
        <v>149.0711171547305</v>
      </c>
      <c r="AD1208" s="1">
        <v>1.5628627142875975</v>
      </c>
      <c r="AE1208" t="s">
        <v>4817</v>
      </c>
      <c r="AF1208" t="str">
        <f>IF(X1208&lt;$AF$1,"Bajo","Alto")</f>
        <v>Bajo</v>
      </c>
      <c r="AG1208" t="str">
        <f>LEFT(AE1208,1)</f>
        <v>C</v>
      </c>
      <c r="AH1208" t="str">
        <f>K1208</f>
        <v>M</v>
      </c>
      <c r="AI1208" t="str">
        <f>LEFT(AF1208,1)</f>
        <v>B</v>
      </c>
      <c r="AJ1208" t="str">
        <f>LEFT(M1208,1)</f>
        <v>M</v>
      </c>
      <c r="AK1208" t="str">
        <f>_xlfn.CONCAT(AG1208,AH1208,AI1208,AJ1208)</f>
        <v>CMBM</v>
      </c>
    </row>
    <row r="1209" spans="1:37" ht="15.75" hidden="1" customHeight="1" x14ac:dyDescent="0.2">
      <c r="A1209" s="1">
        <v>10721401</v>
      </c>
      <c r="B1209" s="1" t="s">
        <v>1067</v>
      </c>
      <c r="C1209" s="1" t="s">
        <v>1068</v>
      </c>
      <c r="D1209" s="1" t="s">
        <v>1218</v>
      </c>
      <c r="E1209" s="1" t="s">
        <v>392</v>
      </c>
      <c r="F1209" s="1" t="s">
        <v>32</v>
      </c>
      <c r="G1209" s="1" t="s">
        <v>1219</v>
      </c>
      <c r="H1209" s="1">
        <v>1602</v>
      </c>
      <c r="I1209" s="1" t="s">
        <v>39</v>
      </c>
      <c r="J1209" s="1">
        <v>11</v>
      </c>
      <c r="K1209" s="1" t="s">
        <v>35</v>
      </c>
      <c r="L1209" s="1">
        <v>50</v>
      </c>
      <c r="M1209" s="1" t="str">
        <f>IF(L1209&lt;=45,"Joven","Mayor")</f>
        <v>Mayor</v>
      </c>
      <c r="N1209" s="1">
        <v>57</v>
      </c>
      <c r="O1209" s="1" t="s">
        <v>36</v>
      </c>
      <c r="P1209" s="1">
        <v>0.372</v>
      </c>
      <c r="Q1209" s="1">
        <v>93.921999999999997</v>
      </c>
      <c r="R1209" s="1">
        <v>-1.0798409</v>
      </c>
      <c r="S1209" s="1">
        <v>2.9207263000000001</v>
      </c>
      <c r="T1209" s="1">
        <v>-3.0106082000000001</v>
      </c>
      <c r="U1209" s="1">
        <v>10.157999999999999</v>
      </c>
      <c r="V1209" s="1">
        <v>82</v>
      </c>
      <c r="W1209" s="1">
        <v>136</v>
      </c>
      <c r="X1209" s="1">
        <v>1.6585365853658536</v>
      </c>
      <c r="Y1209" s="1">
        <v>85</v>
      </c>
      <c r="Z1209" s="1">
        <v>136</v>
      </c>
      <c r="AA1209" s="1">
        <v>1.6</v>
      </c>
      <c r="AB1209" s="1">
        <v>84.040180709222341</v>
      </c>
      <c r="AC1209" s="1">
        <v>136.1799425199606</v>
      </c>
      <c r="AD1209" s="1">
        <v>1.6204146798677288</v>
      </c>
      <c r="AE1209" t="s">
        <v>4816</v>
      </c>
      <c r="AF1209" t="str">
        <f>IF(X1209&lt;$AF$1,"Bajo","Alto")</f>
        <v>Bajo</v>
      </c>
      <c r="AG1209" t="str">
        <f>LEFT(AE1209,1)</f>
        <v>D</v>
      </c>
      <c r="AH1209" t="str">
        <f>K1209</f>
        <v>M</v>
      </c>
      <c r="AI1209" t="str">
        <f>LEFT(AF1209,1)</f>
        <v>B</v>
      </c>
      <c r="AJ1209" t="str">
        <f>LEFT(M1209,1)</f>
        <v>M</v>
      </c>
      <c r="AK1209" t="str">
        <f>_xlfn.CONCAT(AG1209,AH1209,AI1209,AJ1209)</f>
        <v>DMBM</v>
      </c>
    </row>
    <row r="1210" spans="1:37" ht="15.75" hidden="1" customHeight="1" x14ac:dyDescent="0.2">
      <c r="A1210" s="1">
        <v>401506</v>
      </c>
      <c r="B1210" s="1" t="s">
        <v>4287</v>
      </c>
      <c r="C1210" s="1" t="s">
        <v>657</v>
      </c>
      <c r="D1210" s="1" t="s">
        <v>4296</v>
      </c>
      <c r="E1210" s="1" t="s">
        <v>57</v>
      </c>
      <c r="F1210" s="1" t="s">
        <v>88</v>
      </c>
      <c r="G1210" s="1" t="s">
        <v>4300</v>
      </c>
      <c r="H1210" s="1">
        <v>637</v>
      </c>
      <c r="I1210" s="1" t="s">
        <v>4301</v>
      </c>
      <c r="J1210" s="1">
        <v>2194</v>
      </c>
      <c r="K1210" s="1" t="s">
        <v>35</v>
      </c>
      <c r="L1210" s="1">
        <v>38</v>
      </c>
      <c r="M1210" s="1" t="str">
        <f>IF(L1210&lt;=45,"Joven","Mayor")</f>
        <v>Joven</v>
      </c>
      <c r="N1210" s="1">
        <v>50</v>
      </c>
      <c r="O1210" s="1" t="s">
        <v>36</v>
      </c>
      <c r="P1210" s="1">
        <v>0.38200000000000001</v>
      </c>
      <c r="Q1210" s="1">
        <v>72.326999999999998</v>
      </c>
      <c r="R1210" s="1">
        <v>11.640084</v>
      </c>
      <c r="S1210" s="1">
        <v>6.7029652999999998</v>
      </c>
      <c r="T1210" s="1">
        <v>-2.7837426999999999</v>
      </c>
      <c r="U1210" s="1">
        <v>9.2379999999999995</v>
      </c>
      <c r="V1210" s="1">
        <v>92</v>
      </c>
      <c r="W1210" s="1">
        <v>154</v>
      </c>
      <c r="X1210" s="1">
        <v>1.673913043478261</v>
      </c>
      <c r="Y1210" s="1">
        <v>95</v>
      </c>
      <c r="Z1210" s="1">
        <v>154</v>
      </c>
      <c r="AA1210" s="1">
        <v>1.6210526315789473</v>
      </c>
      <c r="AB1210" s="1">
        <v>96.879116893796891</v>
      </c>
      <c r="AC1210" s="1">
        <v>153.52687534289001</v>
      </c>
      <c r="AD1210" s="1">
        <v>1.584726205867389</v>
      </c>
      <c r="AE1210" t="s">
        <v>4817</v>
      </c>
      <c r="AF1210" t="str">
        <f>IF(X1210&lt;$AF$1,"Bajo","Alto")</f>
        <v>Bajo</v>
      </c>
      <c r="AG1210" t="str">
        <f>LEFT(AE1210,1)</f>
        <v>C</v>
      </c>
      <c r="AH1210" t="str">
        <f>K1210</f>
        <v>M</v>
      </c>
      <c r="AI1210" t="str">
        <f>LEFT(AF1210,1)</f>
        <v>B</v>
      </c>
      <c r="AJ1210" t="str">
        <f>LEFT(M1210,1)</f>
        <v>J</v>
      </c>
      <c r="AK1210" t="str">
        <f>_xlfn.CONCAT(AG1210,AH1210,AI1210,AJ1210)</f>
        <v>CMBJ</v>
      </c>
    </row>
    <row r="1211" spans="1:37" ht="15.75" hidden="1" customHeight="1" x14ac:dyDescent="0.2">
      <c r="A1211" s="1">
        <v>319702</v>
      </c>
      <c r="B1211" s="1" t="s">
        <v>4122</v>
      </c>
      <c r="C1211" s="1" t="s">
        <v>628</v>
      </c>
      <c r="D1211" s="1" t="s">
        <v>4281</v>
      </c>
      <c r="E1211" s="1" t="s">
        <v>781</v>
      </c>
      <c r="F1211" s="1" t="s">
        <v>37</v>
      </c>
      <c r="G1211" s="1" t="s">
        <v>4283</v>
      </c>
      <c r="H1211" s="1">
        <v>170</v>
      </c>
      <c r="I1211" s="1" t="s">
        <v>39</v>
      </c>
      <c r="J1211" s="1">
        <v>11</v>
      </c>
      <c r="K1211" s="1" t="s">
        <v>35</v>
      </c>
      <c r="L1211" s="1">
        <v>24</v>
      </c>
      <c r="M1211" s="1" t="str">
        <f>IF(L1211&lt;=45,"Joven","Mayor")</f>
        <v>Joven</v>
      </c>
      <c r="N1211" s="1">
        <v>27</v>
      </c>
      <c r="O1211" s="1" t="s">
        <v>36</v>
      </c>
      <c r="P1211" s="1">
        <v>0.374</v>
      </c>
      <c r="Q1211" s="1">
        <v>91.316000000000003</v>
      </c>
      <c r="R1211" s="1">
        <v>1.5082167</v>
      </c>
      <c r="S1211" s="1">
        <v>9.4991819999999993</v>
      </c>
      <c r="T1211" s="1">
        <v>1.1865416</v>
      </c>
      <c r="U1211" s="1">
        <v>49.338000000000001</v>
      </c>
      <c r="V1211" s="1">
        <v>133</v>
      </c>
      <c r="W1211" s="1">
        <v>223</v>
      </c>
      <c r="X1211" s="1">
        <v>1.6766917293233083</v>
      </c>
      <c r="Y1211" s="1">
        <v>136</v>
      </c>
      <c r="Z1211" s="1">
        <v>223</v>
      </c>
      <c r="AA1211" s="1">
        <v>1.6397058823529411</v>
      </c>
      <c r="AB1211" s="1">
        <v>134.68696841683749</v>
      </c>
      <c r="AC1211" s="1">
        <v>222.97289083129769</v>
      </c>
      <c r="AD1211" s="1">
        <v>1.6554897140547964</v>
      </c>
      <c r="AE1211" t="s">
        <v>4816</v>
      </c>
      <c r="AF1211" t="str">
        <f>IF(X1211&lt;$AF$1,"Bajo","Alto")</f>
        <v>Bajo</v>
      </c>
      <c r="AG1211" t="str">
        <f>LEFT(AE1211,1)</f>
        <v>D</v>
      </c>
      <c r="AH1211" t="str">
        <f>K1211</f>
        <v>M</v>
      </c>
      <c r="AI1211" t="str">
        <f>LEFT(AF1211,1)</f>
        <v>B</v>
      </c>
      <c r="AJ1211" t="str">
        <f>LEFT(M1211,1)</f>
        <v>J</v>
      </c>
      <c r="AK1211" t="str">
        <f>_xlfn.CONCAT(AG1211,AH1211,AI1211,AJ1211)</f>
        <v>DMBJ</v>
      </c>
    </row>
    <row r="1212" spans="1:37" ht="15.75" hidden="1" customHeight="1" x14ac:dyDescent="0.2">
      <c r="A1212" s="1">
        <v>641605</v>
      </c>
      <c r="B1212" s="1" t="s">
        <v>4718</v>
      </c>
      <c r="C1212" s="1" t="s">
        <v>710</v>
      </c>
      <c r="D1212" s="1" t="s">
        <v>3331</v>
      </c>
      <c r="E1212" s="1" t="s">
        <v>244</v>
      </c>
      <c r="F1212" s="1" t="s">
        <v>40</v>
      </c>
      <c r="G1212" s="1" t="s">
        <v>4748</v>
      </c>
      <c r="H1212" s="1">
        <v>1441</v>
      </c>
      <c r="I1212" s="1" t="s">
        <v>91</v>
      </c>
      <c r="J1212" s="1">
        <v>6</v>
      </c>
      <c r="K1212" s="1" t="s">
        <v>35</v>
      </c>
      <c r="L1212" s="1">
        <v>37</v>
      </c>
      <c r="M1212" s="1" t="str">
        <f>IF(L1212&lt;=45,"Joven","Mayor")</f>
        <v>Joven</v>
      </c>
      <c r="N1212" s="1">
        <v>32</v>
      </c>
      <c r="O1212" s="1" t="s">
        <v>36</v>
      </c>
      <c r="P1212" s="1">
        <v>0.48799999999999999</v>
      </c>
      <c r="Q1212" s="1">
        <v>92.831000000000003</v>
      </c>
      <c r="R1212" s="1">
        <v>3.2490041000000001</v>
      </c>
      <c r="S1212" s="1">
        <v>1.3329473000000001</v>
      </c>
      <c r="T1212" s="1">
        <v>-0.67466426000000002</v>
      </c>
      <c r="U1212" s="1">
        <v>9.5210000000000008</v>
      </c>
      <c r="V1212" s="1">
        <v>70</v>
      </c>
      <c r="W1212" s="1">
        <v>132</v>
      </c>
      <c r="X1212" s="1">
        <v>1.8857142857142857</v>
      </c>
      <c r="Y1212" s="1">
        <v>71</v>
      </c>
      <c r="Z1212" s="1">
        <v>132</v>
      </c>
      <c r="AA1212" s="1">
        <v>1.8591549295774648</v>
      </c>
      <c r="AB1212" s="1">
        <v>70.641832648236914</v>
      </c>
      <c r="AC1212" s="1">
        <v>131.9790741487673</v>
      </c>
      <c r="AD1212" s="1">
        <v>1.8682849694169315</v>
      </c>
      <c r="AE1212" t="s">
        <v>4817</v>
      </c>
      <c r="AF1212" t="str">
        <f>IF(X1212&lt;$AF$1,"Bajo","Alto")</f>
        <v>Alto</v>
      </c>
      <c r="AG1212" t="str">
        <f>LEFT(AE1212,1)</f>
        <v>C</v>
      </c>
      <c r="AH1212" t="str">
        <f>K1212</f>
        <v>M</v>
      </c>
      <c r="AI1212" t="str">
        <f>LEFT(AF1212,1)</f>
        <v>A</v>
      </c>
      <c r="AJ1212" t="str">
        <f>LEFT(M1212,1)</f>
        <v>J</v>
      </c>
      <c r="AK1212" t="str">
        <f>_xlfn.CONCAT(AG1212,AH1212,AI1212,AJ1212)</f>
        <v>CMAJ</v>
      </c>
    </row>
    <row r="1213" spans="1:37" ht="15.75" hidden="1" customHeight="1" x14ac:dyDescent="0.2">
      <c r="A1213" s="1">
        <v>132303</v>
      </c>
      <c r="B1213" s="1" t="s">
        <v>956</v>
      </c>
      <c r="C1213" s="1" t="s">
        <v>163</v>
      </c>
      <c r="D1213" s="1" t="s">
        <v>1988</v>
      </c>
      <c r="E1213" s="1" t="s">
        <v>1989</v>
      </c>
      <c r="F1213" s="1" t="s">
        <v>63</v>
      </c>
      <c r="G1213" s="1" t="s">
        <v>1991</v>
      </c>
      <c r="H1213" s="1">
        <v>5565</v>
      </c>
      <c r="I1213" s="1" t="s">
        <v>134</v>
      </c>
      <c r="J1213" s="1">
        <v>8</v>
      </c>
      <c r="K1213" s="1" t="s">
        <v>35</v>
      </c>
      <c r="L1213" s="1">
        <v>19</v>
      </c>
      <c r="M1213" s="1" t="str">
        <f>IF(L1213&lt;=45,"Joven","Mayor")</f>
        <v>Joven</v>
      </c>
      <c r="N1213" s="1">
        <v>23</v>
      </c>
      <c r="O1213" s="1" t="s">
        <v>36</v>
      </c>
      <c r="P1213" s="1">
        <v>0.33300000000000002</v>
      </c>
      <c r="Q1213" s="1">
        <v>91.811000000000007</v>
      </c>
      <c r="R1213" s="1">
        <v>2.4101799000000002</v>
      </c>
      <c r="S1213" s="1">
        <v>7.0223164999999996</v>
      </c>
      <c r="T1213" s="1">
        <v>-4.0014725000000002</v>
      </c>
      <c r="U1213" s="1">
        <v>77.332999999999998</v>
      </c>
      <c r="V1213" s="1">
        <v>87</v>
      </c>
      <c r="W1213" s="1">
        <v>164</v>
      </c>
      <c r="X1213" s="1">
        <v>1.8850574712643677</v>
      </c>
      <c r="Y1213" s="1">
        <v>92</v>
      </c>
      <c r="Z1213" s="1">
        <v>164</v>
      </c>
      <c r="AA1213" s="1">
        <v>1.7826086956521738</v>
      </c>
      <c r="AB1213" s="1">
        <v>90.277021930130104</v>
      </c>
      <c r="AC1213" s="1">
        <v>164.1584670680277</v>
      </c>
      <c r="AD1213" s="1">
        <v>1.8183859365130381</v>
      </c>
      <c r="AE1213" t="s">
        <v>4817</v>
      </c>
      <c r="AF1213" t="str">
        <f>IF(X1213&lt;$AF$1,"Bajo","Alto")</f>
        <v>Alto</v>
      </c>
      <c r="AG1213" t="str">
        <f>LEFT(AE1213,1)</f>
        <v>C</v>
      </c>
      <c r="AH1213" t="str">
        <f>K1213</f>
        <v>M</v>
      </c>
      <c r="AI1213" t="str">
        <f>LEFT(AF1213,1)</f>
        <v>A</v>
      </c>
      <c r="AJ1213" t="str">
        <f>LEFT(M1213,1)</f>
        <v>J</v>
      </c>
      <c r="AK1213" t="str">
        <f>_xlfn.CONCAT(AG1213,AH1213,AI1213,AJ1213)</f>
        <v>CMAJ</v>
      </c>
    </row>
    <row r="1214" spans="1:37" ht="15.75" hidden="1" customHeight="1" x14ac:dyDescent="0.2">
      <c r="A1214" s="1">
        <v>237904</v>
      </c>
      <c r="B1214" s="1" t="s">
        <v>319</v>
      </c>
      <c r="C1214" s="1" t="s">
        <v>1989</v>
      </c>
      <c r="D1214" s="1" t="s">
        <v>278</v>
      </c>
      <c r="E1214" s="1" t="s">
        <v>739</v>
      </c>
      <c r="F1214" s="1" t="s">
        <v>61</v>
      </c>
      <c r="G1214" s="1" t="s">
        <v>3083</v>
      </c>
      <c r="H1214" s="1">
        <v>3841</v>
      </c>
      <c r="I1214" s="1" t="s">
        <v>48</v>
      </c>
      <c r="J1214" s="1">
        <v>4</v>
      </c>
      <c r="K1214" s="1" t="s">
        <v>35</v>
      </c>
      <c r="L1214" s="1">
        <v>42</v>
      </c>
      <c r="M1214" s="1" t="str">
        <f>IF(L1214&lt;=45,"Joven","Mayor")</f>
        <v>Joven</v>
      </c>
      <c r="N1214" s="1">
        <v>29</v>
      </c>
      <c r="O1214" s="1" t="s">
        <v>36</v>
      </c>
      <c r="P1214" s="1">
        <v>0.4</v>
      </c>
      <c r="Q1214" s="1">
        <v>93.230999999999995</v>
      </c>
      <c r="R1214" s="1">
        <v>-2.2648692000000001</v>
      </c>
      <c r="S1214" s="1">
        <v>2.8203423000000001</v>
      </c>
      <c r="T1214" s="1">
        <v>1.0220923</v>
      </c>
      <c r="U1214" s="1">
        <v>51.661000000000001</v>
      </c>
      <c r="V1214" s="1">
        <v>87</v>
      </c>
      <c r="W1214" s="1">
        <v>164</v>
      </c>
      <c r="X1214" s="1">
        <v>1.8850574712643677</v>
      </c>
      <c r="Y1214" s="1">
        <v>94</v>
      </c>
      <c r="Z1214" s="1">
        <v>164</v>
      </c>
      <c r="AA1214" s="1">
        <v>1.7446808510638299</v>
      </c>
      <c r="AB1214" s="1">
        <v>93.218012817972522</v>
      </c>
      <c r="AC1214" s="1">
        <v>164.08093378021789</v>
      </c>
      <c r="AD1214" s="1">
        <v>1.7601848486152554</v>
      </c>
      <c r="AE1214" t="s">
        <v>4817</v>
      </c>
      <c r="AF1214" t="str">
        <f>IF(X1214&lt;$AF$1,"Bajo","Alto")</f>
        <v>Alto</v>
      </c>
      <c r="AG1214" t="str">
        <f>LEFT(AE1214,1)</f>
        <v>C</v>
      </c>
      <c r="AH1214" t="str">
        <f>K1214</f>
        <v>M</v>
      </c>
      <c r="AI1214" t="str">
        <f>LEFT(AF1214,1)</f>
        <v>A</v>
      </c>
      <c r="AJ1214" t="str">
        <f>LEFT(M1214,1)</f>
        <v>J</v>
      </c>
      <c r="AK1214" t="str">
        <f>_xlfn.CONCAT(AG1214,AH1214,AI1214,AJ1214)</f>
        <v>CMAJ</v>
      </c>
    </row>
    <row r="1215" spans="1:37" ht="15.75" hidden="1" customHeight="1" x14ac:dyDescent="0.2">
      <c r="A1215" s="1">
        <v>1070805</v>
      </c>
      <c r="B1215" s="1" t="s">
        <v>1067</v>
      </c>
      <c r="C1215" s="1" t="s">
        <v>1068</v>
      </c>
      <c r="D1215" s="1" t="s">
        <v>1082</v>
      </c>
      <c r="E1215" s="1" t="s">
        <v>46</v>
      </c>
      <c r="F1215" s="1" t="s">
        <v>40</v>
      </c>
      <c r="G1215" s="1" t="s">
        <v>1086</v>
      </c>
      <c r="H1215" s="1">
        <v>3195</v>
      </c>
      <c r="I1215" s="1" t="s">
        <v>1087</v>
      </c>
      <c r="J1215" s="1">
        <v>3638</v>
      </c>
      <c r="K1215" s="1" t="s">
        <v>35</v>
      </c>
      <c r="L1215" s="1">
        <v>43</v>
      </c>
      <c r="M1215" s="1" t="str">
        <f>IF(L1215&lt;=45,"Joven","Mayor")</f>
        <v>Joven</v>
      </c>
      <c r="N1215" s="1">
        <v>35</v>
      </c>
      <c r="O1215" s="1" t="s">
        <v>36</v>
      </c>
      <c r="P1215" s="1">
        <v>0.60199999999999998</v>
      </c>
      <c r="Q1215" s="1">
        <v>90.665000000000006</v>
      </c>
      <c r="R1215" s="1">
        <v>5.2245840000000001</v>
      </c>
      <c r="S1215" s="1">
        <v>-2.277968</v>
      </c>
      <c r="T1215" s="1">
        <v>-8.3511229999999994</v>
      </c>
      <c r="U1215" s="1">
        <v>4.8019999999999996</v>
      </c>
      <c r="V1215" s="1">
        <v>78</v>
      </c>
      <c r="W1215" s="1">
        <v>147</v>
      </c>
      <c r="X1215" s="1">
        <v>1.8846153846153846</v>
      </c>
      <c r="Y1215" s="1">
        <v>84</v>
      </c>
      <c r="Z1215" s="1">
        <v>147</v>
      </c>
      <c r="AA1215" s="1">
        <v>1.75</v>
      </c>
      <c r="AB1215" s="1">
        <v>82.982496610423823</v>
      </c>
      <c r="AC1215" s="1">
        <v>146.3127332875342</v>
      </c>
      <c r="AD1215" s="1">
        <v>1.763175841459983</v>
      </c>
      <c r="AE1215" t="s">
        <v>4817</v>
      </c>
      <c r="AF1215" t="str">
        <f>IF(X1215&lt;$AF$1,"Bajo","Alto")</f>
        <v>Alto</v>
      </c>
      <c r="AG1215" t="str">
        <f>LEFT(AE1215,1)</f>
        <v>C</v>
      </c>
      <c r="AH1215" t="str">
        <f>K1215</f>
        <v>M</v>
      </c>
      <c r="AI1215" t="str">
        <f>LEFT(AF1215,1)</f>
        <v>A</v>
      </c>
      <c r="AJ1215" t="str">
        <f>LEFT(M1215,1)</f>
        <v>J</v>
      </c>
      <c r="AK1215" t="str">
        <f>_xlfn.CONCAT(AG1215,AH1215,AI1215,AJ1215)</f>
        <v>CMAJ</v>
      </c>
    </row>
    <row r="1216" spans="1:37" ht="15.75" hidden="1" customHeight="1" x14ac:dyDescent="0.2">
      <c r="A1216" s="1">
        <v>10126202</v>
      </c>
      <c r="B1216" s="1" t="s">
        <v>29</v>
      </c>
      <c r="C1216" s="1" t="s">
        <v>30</v>
      </c>
      <c r="D1216" s="1" t="s">
        <v>522</v>
      </c>
      <c r="E1216" s="1" t="s">
        <v>523</v>
      </c>
      <c r="F1216" s="1" t="s">
        <v>37</v>
      </c>
      <c r="G1216" s="1" t="s">
        <v>525</v>
      </c>
      <c r="H1216" s="1">
        <v>4257</v>
      </c>
      <c r="I1216" s="1" t="s">
        <v>65</v>
      </c>
      <c r="J1216" s="1">
        <v>2</v>
      </c>
      <c r="K1216" s="1" t="s">
        <v>35</v>
      </c>
      <c r="L1216" s="1">
        <v>48</v>
      </c>
      <c r="M1216" s="1" t="str">
        <f>IF(L1216&lt;=45,"Joven","Mayor")</f>
        <v>Mayor</v>
      </c>
      <c r="N1216" s="1">
        <v>47</v>
      </c>
      <c r="O1216" s="1" t="s">
        <v>36</v>
      </c>
      <c r="P1216" s="1">
        <v>0.33800000000000002</v>
      </c>
      <c r="Q1216" s="1">
        <v>94.57</v>
      </c>
      <c r="R1216" s="1">
        <v>-0.6485495</v>
      </c>
      <c r="S1216" s="1">
        <v>-0.58827989999999997</v>
      </c>
      <c r="T1216" s="1">
        <v>-4.3320736999999996</v>
      </c>
      <c r="U1216" s="1">
        <v>20.405999999999999</v>
      </c>
      <c r="V1216" s="1">
        <v>96</v>
      </c>
      <c r="W1216" s="1">
        <v>159</v>
      </c>
      <c r="X1216" s="1">
        <v>1.65625</v>
      </c>
      <c r="Y1216" s="1">
        <v>97</v>
      </c>
      <c r="Z1216" s="1">
        <v>159</v>
      </c>
      <c r="AA1216" s="1">
        <v>1.6391752577319587</v>
      </c>
      <c r="AB1216" s="1">
        <v>99.275964218569925</v>
      </c>
      <c r="AC1216" s="1">
        <v>159.07449628298039</v>
      </c>
      <c r="AD1216" s="1">
        <v>1.6023465250134024</v>
      </c>
      <c r="AE1216" t="s">
        <v>4817</v>
      </c>
      <c r="AF1216" t="str">
        <f>IF(X1216&lt;$AF$1,"Bajo","Alto")</f>
        <v>Bajo</v>
      </c>
      <c r="AG1216" t="str">
        <f>LEFT(AE1216,1)</f>
        <v>C</v>
      </c>
      <c r="AH1216" t="str">
        <f>K1216</f>
        <v>M</v>
      </c>
      <c r="AI1216" t="str">
        <f>LEFT(AF1216,1)</f>
        <v>B</v>
      </c>
      <c r="AJ1216" t="str">
        <f>LEFT(M1216,1)</f>
        <v>M</v>
      </c>
      <c r="AK1216" t="str">
        <f>_xlfn.CONCAT(AG1216,AH1216,AI1216,AJ1216)</f>
        <v>CMBM</v>
      </c>
    </row>
    <row r="1217" spans="1:37" ht="15.75" hidden="1" customHeight="1" x14ac:dyDescent="0.2">
      <c r="A1217" s="1">
        <v>136102</v>
      </c>
      <c r="B1217" s="1" t="s">
        <v>956</v>
      </c>
      <c r="C1217" s="1" t="s">
        <v>163</v>
      </c>
      <c r="D1217" s="1" t="s">
        <v>2074</v>
      </c>
      <c r="E1217" s="1" t="s">
        <v>701</v>
      </c>
      <c r="F1217" s="1" t="s">
        <v>37</v>
      </c>
      <c r="G1217" s="1" t="s">
        <v>2076</v>
      </c>
      <c r="H1217" s="1">
        <v>173</v>
      </c>
      <c r="I1217" s="1" t="s">
        <v>39</v>
      </c>
      <c r="J1217" s="1">
        <v>11</v>
      </c>
      <c r="K1217" s="1" t="s">
        <v>35</v>
      </c>
      <c r="L1217" s="1">
        <v>53</v>
      </c>
      <c r="M1217" s="1" t="str">
        <f>IF(L1217&lt;=45,"Joven","Mayor")</f>
        <v>Mayor</v>
      </c>
      <c r="N1217" s="1">
        <v>58</v>
      </c>
      <c r="O1217" s="1" t="s">
        <v>36</v>
      </c>
      <c r="P1217" s="1">
        <v>2.4E-2</v>
      </c>
      <c r="Q1217" s="1">
        <v>88.367999999999995</v>
      </c>
      <c r="R1217" s="1">
        <v>-5.8842290000000004</v>
      </c>
      <c r="S1217" s="1">
        <v>6.4341884</v>
      </c>
      <c r="T1217" s="1">
        <v>-1.9909227</v>
      </c>
      <c r="U1217" s="1">
        <v>1.8360000000000001</v>
      </c>
      <c r="V1217" s="1">
        <v>86</v>
      </c>
      <c r="W1217" s="1">
        <v>143</v>
      </c>
      <c r="X1217" s="1">
        <v>1.6627906976744187</v>
      </c>
      <c r="Y1217" s="1">
        <v>92</v>
      </c>
      <c r="Z1217" s="1">
        <v>143</v>
      </c>
      <c r="AA1217" s="1">
        <v>1.5543478260869565</v>
      </c>
      <c r="AB1217" s="1">
        <v>90.763264031519384</v>
      </c>
      <c r="AC1217" s="1">
        <v>143.2610887692999</v>
      </c>
      <c r="AD1217" s="1">
        <v>1.578403887277011</v>
      </c>
      <c r="AE1217" t="s">
        <v>4816</v>
      </c>
      <c r="AF1217" t="str">
        <f>IF(X1217&lt;$AF$1,"Bajo","Alto")</f>
        <v>Bajo</v>
      </c>
      <c r="AG1217" t="str">
        <f>LEFT(AE1217,1)</f>
        <v>D</v>
      </c>
      <c r="AH1217" t="str">
        <f>K1217</f>
        <v>M</v>
      </c>
      <c r="AI1217" t="str">
        <f>LEFT(AF1217,1)</f>
        <v>B</v>
      </c>
      <c r="AJ1217" t="str">
        <f>LEFT(M1217,1)</f>
        <v>M</v>
      </c>
      <c r="AK1217" t="str">
        <f>_xlfn.CONCAT(AG1217,AH1217,AI1217,AJ1217)</f>
        <v>DMBM</v>
      </c>
    </row>
    <row r="1218" spans="1:37" ht="15.75" hidden="1" customHeight="1" x14ac:dyDescent="0.2">
      <c r="A1218" s="1">
        <v>10728002</v>
      </c>
      <c r="B1218" s="1" t="s">
        <v>1067</v>
      </c>
      <c r="C1218" s="1" t="s">
        <v>1068</v>
      </c>
      <c r="D1218" s="1" t="s">
        <v>1333</v>
      </c>
      <c r="E1218" s="1" t="s">
        <v>556</v>
      </c>
      <c r="F1218" s="1" t="s">
        <v>37</v>
      </c>
      <c r="G1218" s="1" t="s">
        <v>1334</v>
      </c>
      <c r="H1218" s="1">
        <v>695</v>
      </c>
      <c r="I1218" s="1" t="s">
        <v>108</v>
      </c>
      <c r="J1218" s="1">
        <v>3</v>
      </c>
      <c r="K1218" s="1" t="s">
        <v>35</v>
      </c>
      <c r="L1218" s="1">
        <v>50</v>
      </c>
      <c r="M1218" s="1" t="str">
        <f>IF(L1218&lt;=45,"Joven","Mayor")</f>
        <v>Mayor</v>
      </c>
      <c r="N1218" s="1">
        <v>58</v>
      </c>
      <c r="O1218" s="1" t="s">
        <v>36</v>
      </c>
      <c r="P1218" s="1">
        <v>4.9000000000000002E-2</v>
      </c>
      <c r="Q1218" s="1">
        <v>31.94</v>
      </c>
      <c r="R1218" s="1">
        <v>18.344757000000001</v>
      </c>
      <c r="S1218" s="1">
        <v>-1.2854372999999999</v>
      </c>
      <c r="T1218" s="1">
        <v>-11.368395</v>
      </c>
      <c r="U1218" s="1">
        <v>2.5579999999999998</v>
      </c>
      <c r="V1218" s="1">
        <v>64</v>
      </c>
      <c r="W1218" s="1">
        <v>106</v>
      </c>
      <c r="X1218" s="1">
        <v>1.65625</v>
      </c>
      <c r="Y1218" s="1">
        <v>72</v>
      </c>
      <c r="Z1218" s="1">
        <v>106</v>
      </c>
      <c r="AA1218" s="1">
        <v>1.4722222222222223</v>
      </c>
      <c r="AB1218" s="1">
        <v>68.46070442068617</v>
      </c>
      <c r="AC1218" s="1">
        <v>105.30010195517249</v>
      </c>
      <c r="AD1218" s="1">
        <v>1.5381101150831116</v>
      </c>
      <c r="AE1218" t="s">
        <v>4817</v>
      </c>
      <c r="AF1218" t="str">
        <f>IF(X1218&lt;$AF$1,"Bajo","Alto")</f>
        <v>Bajo</v>
      </c>
      <c r="AG1218" t="str">
        <f>LEFT(AE1218,1)</f>
        <v>C</v>
      </c>
      <c r="AH1218" t="str">
        <f>K1218</f>
        <v>M</v>
      </c>
      <c r="AI1218" t="str">
        <f>LEFT(AF1218,1)</f>
        <v>B</v>
      </c>
      <c r="AJ1218" t="str">
        <f>LEFT(M1218,1)</f>
        <v>M</v>
      </c>
      <c r="AK1218" t="str">
        <f>_xlfn.CONCAT(AG1218,AH1218,AI1218,AJ1218)</f>
        <v>CMBM</v>
      </c>
    </row>
    <row r="1219" spans="1:37" ht="15.75" hidden="1" customHeight="1" x14ac:dyDescent="0.2">
      <c r="A1219" s="1">
        <v>310107</v>
      </c>
      <c r="B1219" s="1" t="s">
        <v>4122</v>
      </c>
      <c r="C1219" s="1" t="s">
        <v>628</v>
      </c>
      <c r="D1219" s="1" t="s">
        <v>4123</v>
      </c>
      <c r="E1219" s="1" t="s">
        <v>32</v>
      </c>
      <c r="F1219" s="1" t="s">
        <v>43</v>
      </c>
      <c r="G1219" s="1" t="s">
        <v>4126</v>
      </c>
      <c r="H1219" s="1">
        <v>199807</v>
      </c>
      <c r="I1219" s="1" t="s">
        <v>4127</v>
      </c>
      <c r="J1219" s="1">
        <v>190</v>
      </c>
      <c r="K1219" s="1" t="s">
        <v>35</v>
      </c>
      <c r="L1219" s="1">
        <v>59</v>
      </c>
      <c r="M1219" s="1" t="str">
        <f>IF(L1219&lt;=45,"Joven","Mayor")</f>
        <v>Mayor</v>
      </c>
      <c r="N1219" s="1">
        <v>45</v>
      </c>
      <c r="O1219" s="1" t="s">
        <v>36</v>
      </c>
      <c r="P1219" s="1">
        <v>0.20799999999999999</v>
      </c>
      <c r="Q1219" s="1">
        <v>29.347999999999999</v>
      </c>
      <c r="R1219" s="1">
        <v>17.932424999999999</v>
      </c>
      <c r="S1219" s="1">
        <v>-8.9339279999999999</v>
      </c>
      <c r="T1219" s="1">
        <v>-7.9067197</v>
      </c>
      <c r="U1219" s="1">
        <v>22.050999999999998</v>
      </c>
      <c r="V1219" s="1">
        <v>105</v>
      </c>
      <c r="W1219" s="1">
        <v>197</v>
      </c>
      <c r="X1219" s="1">
        <v>1.8761904761904762</v>
      </c>
      <c r="Y1219" s="1">
        <v>119</v>
      </c>
      <c r="Z1219" s="1">
        <v>197</v>
      </c>
      <c r="AA1219" s="1">
        <v>1.6554621848739495</v>
      </c>
      <c r="AB1219" s="1">
        <v>112.2554431401602</v>
      </c>
      <c r="AC1219" s="1">
        <v>196.77791590616289</v>
      </c>
      <c r="AD1219" s="1">
        <v>1.7529476558252004</v>
      </c>
      <c r="AE1219" t="s">
        <v>4817</v>
      </c>
      <c r="AF1219" t="str">
        <f>IF(X1219&lt;$AF$1,"Bajo","Alto")</f>
        <v>Alto</v>
      </c>
      <c r="AG1219" t="str">
        <f>LEFT(AE1219,1)</f>
        <v>C</v>
      </c>
      <c r="AH1219" t="str">
        <f>K1219</f>
        <v>M</v>
      </c>
      <c r="AI1219" t="str">
        <f>LEFT(AF1219,1)</f>
        <v>A</v>
      </c>
      <c r="AJ1219" t="str">
        <f>LEFT(M1219,1)</f>
        <v>M</v>
      </c>
      <c r="AK1219" t="str">
        <f>_xlfn.CONCAT(AG1219,AH1219,AI1219,AJ1219)</f>
        <v>CMAM</v>
      </c>
    </row>
    <row r="1220" spans="1:37" ht="15.75" hidden="1" customHeight="1" x14ac:dyDescent="0.2">
      <c r="A1220" s="1">
        <v>297609</v>
      </c>
      <c r="B1220" s="1" t="s">
        <v>3890</v>
      </c>
      <c r="C1220" s="1" t="s">
        <v>1695</v>
      </c>
      <c r="D1220" s="1" t="s">
        <v>4064</v>
      </c>
      <c r="E1220" s="1" t="s">
        <v>727</v>
      </c>
      <c r="F1220" s="1" t="s">
        <v>189</v>
      </c>
      <c r="G1220" s="1" t="s">
        <v>4070</v>
      </c>
      <c r="H1220" s="1">
        <v>573</v>
      </c>
      <c r="I1220" s="1" t="s">
        <v>4071</v>
      </c>
      <c r="J1220" s="1">
        <v>2221</v>
      </c>
      <c r="K1220" s="1" t="s">
        <v>35</v>
      </c>
      <c r="L1220" s="1">
        <v>51</v>
      </c>
      <c r="M1220" s="1" t="str">
        <f>IF(L1220&lt;=45,"Joven","Mayor")</f>
        <v>Mayor</v>
      </c>
      <c r="N1220" s="1">
        <v>51</v>
      </c>
      <c r="O1220" s="1" t="s">
        <v>36</v>
      </c>
      <c r="P1220" s="1">
        <v>0.86799999999999999</v>
      </c>
      <c r="Q1220" s="1">
        <v>93.53</v>
      </c>
      <c r="R1220" s="1">
        <v>1.9992296000000001</v>
      </c>
      <c r="S1220" s="1">
        <v>1.6777506</v>
      </c>
      <c r="T1220" s="1">
        <v>-4.5649223000000001</v>
      </c>
      <c r="U1220" s="1">
        <v>15.148</v>
      </c>
      <c r="V1220" s="1">
        <v>96</v>
      </c>
      <c r="W1220" s="1">
        <v>159</v>
      </c>
      <c r="X1220" s="1">
        <v>1.65625</v>
      </c>
      <c r="Y1220" s="1">
        <v>98</v>
      </c>
      <c r="Z1220" s="1">
        <v>159</v>
      </c>
      <c r="AA1220" s="1">
        <v>1.6224489795918366</v>
      </c>
      <c r="AB1220" s="1">
        <v>98.640248370451445</v>
      </c>
      <c r="AC1220" s="1">
        <v>158.33644147182849</v>
      </c>
      <c r="AD1220" s="1">
        <v>1.6051910258496427</v>
      </c>
      <c r="AE1220" t="s">
        <v>4817</v>
      </c>
      <c r="AF1220" t="str">
        <f>IF(X1220&lt;$AF$1,"Bajo","Alto")</f>
        <v>Bajo</v>
      </c>
      <c r="AG1220" t="str">
        <f>LEFT(AE1220,1)</f>
        <v>C</v>
      </c>
      <c r="AH1220" t="str">
        <f>K1220</f>
        <v>M</v>
      </c>
      <c r="AI1220" t="str">
        <f>LEFT(AF1220,1)</f>
        <v>B</v>
      </c>
      <c r="AJ1220" t="str">
        <f>LEFT(M1220,1)</f>
        <v>M</v>
      </c>
      <c r="AK1220" t="str">
        <f>_xlfn.CONCAT(AG1220,AH1220,AI1220,AJ1220)</f>
        <v>CMBM</v>
      </c>
    </row>
    <row r="1221" spans="1:37" ht="15.75" hidden="1" customHeight="1" x14ac:dyDescent="0.2">
      <c r="A1221" s="1">
        <v>2313301</v>
      </c>
      <c r="B1221" s="1" t="s">
        <v>319</v>
      </c>
      <c r="C1221" s="1" t="s">
        <v>1989</v>
      </c>
      <c r="D1221" s="1" t="s">
        <v>2974</v>
      </c>
      <c r="E1221" s="1" t="s">
        <v>169</v>
      </c>
      <c r="F1221" s="1" t="s">
        <v>32</v>
      </c>
      <c r="G1221" s="1" t="s">
        <v>2975</v>
      </c>
      <c r="H1221" s="1">
        <v>3618</v>
      </c>
      <c r="I1221" s="1" t="s">
        <v>100</v>
      </c>
      <c r="J1221" s="1">
        <v>1</v>
      </c>
      <c r="K1221" s="1" t="s">
        <v>35</v>
      </c>
      <c r="L1221" s="1">
        <v>45</v>
      </c>
      <c r="M1221" s="1" t="str">
        <f>IF(L1221&lt;=45,"Joven","Mayor")</f>
        <v>Joven</v>
      </c>
      <c r="N1221" s="1">
        <v>40</v>
      </c>
      <c r="O1221" s="1" t="s">
        <v>36</v>
      </c>
      <c r="P1221" s="1">
        <v>0.21099999999999999</v>
      </c>
      <c r="Q1221" s="1">
        <v>86.566999999999993</v>
      </c>
      <c r="R1221" s="1">
        <v>7.8787526999999997</v>
      </c>
      <c r="S1221" s="1">
        <v>-2.7379829999999998</v>
      </c>
      <c r="T1221" s="1">
        <v>-1.9444644</v>
      </c>
      <c r="U1221" s="1">
        <v>27.879000000000001</v>
      </c>
      <c r="V1221" s="1">
        <v>103</v>
      </c>
      <c r="W1221" s="1">
        <v>194</v>
      </c>
      <c r="X1221" s="1">
        <v>1.883495145631068</v>
      </c>
      <c r="Y1221" s="1">
        <v>108</v>
      </c>
      <c r="Z1221" s="1">
        <v>194</v>
      </c>
      <c r="AA1221" s="1">
        <v>1.7962962962962963</v>
      </c>
      <c r="AB1221" s="1">
        <v>106.2412723769548</v>
      </c>
      <c r="AC1221" s="1">
        <v>193.82043028706451</v>
      </c>
      <c r="AD1221" s="1">
        <v>1.8243421407771736</v>
      </c>
      <c r="AE1221" t="s">
        <v>4817</v>
      </c>
      <c r="AF1221" t="str">
        <f>IF(X1221&lt;$AF$1,"Bajo","Alto")</f>
        <v>Alto</v>
      </c>
      <c r="AG1221" t="str">
        <f>LEFT(AE1221,1)</f>
        <v>C</v>
      </c>
      <c r="AH1221" t="str">
        <f>K1221</f>
        <v>M</v>
      </c>
      <c r="AI1221" t="str">
        <f>LEFT(AF1221,1)</f>
        <v>A</v>
      </c>
      <c r="AJ1221" t="str">
        <f>LEFT(M1221,1)</f>
        <v>J</v>
      </c>
      <c r="AK1221" t="str">
        <f>_xlfn.CONCAT(AG1221,AH1221,AI1221,AJ1221)</f>
        <v>CMAJ</v>
      </c>
    </row>
    <row r="1222" spans="1:37" ht="15.75" hidden="1" customHeight="1" x14ac:dyDescent="0.2">
      <c r="A1222" s="1">
        <v>2712403</v>
      </c>
      <c r="B1222" s="1" t="s">
        <v>3409</v>
      </c>
      <c r="C1222" s="1" t="s">
        <v>973</v>
      </c>
      <c r="D1222" s="1" t="s">
        <v>3469</v>
      </c>
      <c r="E1222" s="1" t="s">
        <v>145</v>
      </c>
      <c r="F1222" s="1" t="s">
        <v>63</v>
      </c>
      <c r="G1222" s="1" t="s">
        <v>3472</v>
      </c>
      <c r="H1222" s="1">
        <v>4529</v>
      </c>
      <c r="I1222" s="1" t="s">
        <v>3473</v>
      </c>
      <c r="J1222" s="1">
        <v>3396</v>
      </c>
      <c r="K1222" s="1" t="s">
        <v>35</v>
      </c>
      <c r="L1222" s="1">
        <v>35</v>
      </c>
      <c r="M1222" s="1" t="str">
        <f>IF(L1222&lt;=45,"Joven","Mayor")</f>
        <v>Joven</v>
      </c>
      <c r="N1222" s="1">
        <v>47</v>
      </c>
      <c r="O1222" s="1" t="s">
        <v>36</v>
      </c>
      <c r="P1222" s="1">
        <v>0.38800000000000001</v>
      </c>
      <c r="Q1222" s="1">
        <v>92.253</v>
      </c>
      <c r="R1222" s="1">
        <v>1.2254162</v>
      </c>
      <c r="S1222" s="1">
        <v>-7.9730679999999996</v>
      </c>
      <c r="T1222" s="1">
        <v>-1.1354740000000001</v>
      </c>
      <c r="U1222" s="1">
        <v>1.571</v>
      </c>
      <c r="V1222" s="1">
        <v>111</v>
      </c>
      <c r="W1222" s="1">
        <v>209</v>
      </c>
      <c r="X1222" s="1">
        <v>1.882882882882883</v>
      </c>
      <c r="Y1222" s="1">
        <v>113</v>
      </c>
      <c r="Z1222" s="1">
        <v>209</v>
      </c>
      <c r="AA1222" s="1">
        <v>1.8495575221238938</v>
      </c>
      <c r="AB1222" s="1">
        <v>111.92939365186881</v>
      </c>
      <c r="AC1222" s="1">
        <v>208.919326711004</v>
      </c>
      <c r="AD1222" s="1">
        <v>1.8665278162839027</v>
      </c>
      <c r="AE1222" t="s">
        <v>4817</v>
      </c>
      <c r="AF1222" t="str">
        <f>IF(X1222&lt;$AF$1,"Bajo","Alto")</f>
        <v>Alto</v>
      </c>
      <c r="AG1222" t="str">
        <f>LEFT(AE1222,1)</f>
        <v>C</v>
      </c>
      <c r="AH1222" t="str">
        <f>K1222</f>
        <v>M</v>
      </c>
      <c r="AI1222" t="str">
        <f>LEFT(AF1222,1)</f>
        <v>A</v>
      </c>
      <c r="AJ1222" t="str">
        <f>LEFT(M1222,1)</f>
        <v>J</v>
      </c>
      <c r="AK1222" t="str">
        <f>_xlfn.CONCAT(AG1222,AH1222,AI1222,AJ1222)</f>
        <v>CMAJ</v>
      </c>
    </row>
    <row r="1223" spans="1:37" ht="15.75" hidden="1" customHeight="1" x14ac:dyDescent="0.2">
      <c r="A1223" s="1">
        <v>10913002</v>
      </c>
      <c r="B1223" s="1" t="s">
        <v>719</v>
      </c>
      <c r="C1223" s="1" t="s">
        <v>98</v>
      </c>
      <c r="D1223" s="1" t="s">
        <v>1579</v>
      </c>
      <c r="E1223" s="1" t="s">
        <v>158</v>
      </c>
      <c r="F1223" s="1" t="s">
        <v>37</v>
      </c>
      <c r="G1223" s="1" t="s">
        <v>1580</v>
      </c>
      <c r="H1223" s="1">
        <v>2305</v>
      </c>
      <c r="I1223" s="1" t="s">
        <v>48</v>
      </c>
      <c r="J1223" s="1">
        <v>4</v>
      </c>
      <c r="K1223" s="1" t="s">
        <v>35</v>
      </c>
      <c r="L1223" s="1">
        <v>54</v>
      </c>
      <c r="M1223" s="1" t="str">
        <f>IF(L1223&lt;=45,"Joven","Mayor")</f>
        <v>Mayor</v>
      </c>
      <c r="N1223" s="1">
        <v>46</v>
      </c>
      <c r="O1223" s="1" t="s">
        <v>36</v>
      </c>
      <c r="P1223" s="1">
        <v>0.35199999999999998</v>
      </c>
      <c r="Q1223" s="1">
        <v>92.489000000000004</v>
      </c>
      <c r="R1223" s="1">
        <v>3.6460401999999998</v>
      </c>
      <c r="S1223" s="1">
        <v>-1.6056440999999999</v>
      </c>
      <c r="T1223" s="1">
        <v>-4.8901024</v>
      </c>
      <c r="U1223" s="1">
        <v>30.78</v>
      </c>
      <c r="V1223" s="1">
        <v>80</v>
      </c>
      <c r="W1223" s="1">
        <v>150</v>
      </c>
      <c r="X1223" s="1">
        <v>1.875</v>
      </c>
      <c r="Y1223" s="1">
        <v>84</v>
      </c>
      <c r="Z1223" s="1">
        <v>150</v>
      </c>
      <c r="AA1223" s="1">
        <v>1.7857142857142858</v>
      </c>
      <c r="AB1223" s="1">
        <v>83.033350430649307</v>
      </c>
      <c r="AC1223" s="1">
        <v>149.9654743546939</v>
      </c>
      <c r="AD1223" s="1">
        <v>1.8060872357541118</v>
      </c>
      <c r="AE1223" t="s">
        <v>4817</v>
      </c>
      <c r="AF1223" t="str">
        <f>IF(X1223&lt;$AF$1,"Bajo","Alto")</f>
        <v>Alto</v>
      </c>
      <c r="AG1223" t="str">
        <f>LEFT(AE1223,1)</f>
        <v>C</v>
      </c>
      <c r="AH1223" t="str">
        <f>K1223</f>
        <v>M</v>
      </c>
      <c r="AI1223" t="str">
        <f>LEFT(AF1223,1)</f>
        <v>A</v>
      </c>
      <c r="AJ1223" t="str">
        <f>LEFT(M1223,1)</f>
        <v>M</v>
      </c>
      <c r="AK1223" t="str">
        <f>_xlfn.CONCAT(AG1223,AH1223,AI1223,AJ1223)</f>
        <v>CMAM</v>
      </c>
    </row>
    <row r="1224" spans="1:37" ht="15.75" hidden="1" customHeight="1" x14ac:dyDescent="0.2">
      <c r="A1224" s="1">
        <v>1270005</v>
      </c>
      <c r="B1224" s="1" t="s">
        <v>1798</v>
      </c>
      <c r="C1224" s="1" t="s">
        <v>54</v>
      </c>
      <c r="D1224" s="1" t="s">
        <v>1892</v>
      </c>
      <c r="E1224" s="1" t="s">
        <v>1893</v>
      </c>
      <c r="F1224" s="1" t="s">
        <v>40</v>
      </c>
      <c r="G1224" s="1" t="s">
        <v>1895</v>
      </c>
      <c r="H1224" s="1">
        <v>2688</v>
      </c>
      <c r="I1224" s="1" t="s">
        <v>1896</v>
      </c>
      <c r="J1224" s="1">
        <v>4263</v>
      </c>
      <c r="K1224" s="1" t="s">
        <v>35</v>
      </c>
      <c r="L1224" s="1">
        <v>39</v>
      </c>
      <c r="M1224" s="1" t="str">
        <f>IF(L1224&lt;=45,"Joven","Mayor")</f>
        <v>Joven</v>
      </c>
      <c r="N1224" s="1">
        <v>41</v>
      </c>
      <c r="O1224" s="1" t="s">
        <v>36</v>
      </c>
      <c r="P1224" s="1">
        <v>0.26500000000000001</v>
      </c>
      <c r="Q1224" s="1">
        <v>91.388000000000005</v>
      </c>
      <c r="R1224" s="1">
        <v>2.4177170000000001</v>
      </c>
      <c r="S1224" s="1">
        <v>8.0111050000000006</v>
      </c>
      <c r="T1224" s="1">
        <v>-1.9932597999999999</v>
      </c>
      <c r="U1224" s="1">
        <v>14.696</v>
      </c>
      <c r="V1224" s="1">
        <v>85</v>
      </c>
      <c r="W1224" s="1">
        <v>160</v>
      </c>
      <c r="X1224" s="1">
        <v>1.8823529411764706</v>
      </c>
      <c r="Y1224" s="1">
        <v>91</v>
      </c>
      <c r="Z1224" s="1">
        <v>160</v>
      </c>
      <c r="AA1224" s="1">
        <v>1.7582417582417582</v>
      </c>
      <c r="AB1224" s="1">
        <v>89.553661055101202</v>
      </c>
      <c r="AC1224" s="1">
        <v>160.04231581931339</v>
      </c>
      <c r="AD1224" s="1">
        <v>1.7871108108114244</v>
      </c>
      <c r="AE1224" t="s">
        <v>4817</v>
      </c>
      <c r="AF1224" t="str">
        <f>IF(X1224&lt;$AF$1,"Bajo","Alto")</f>
        <v>Alto</v>
      </c>
      <c r="AG1224" t="str">
        <f>LEFT(AE1224,1)</f>
        <v>C</v>
      </c>
      <c r="AH1224" t="str">
        <f>K1224</f>
        <v>M</v>
      </c>
      <c r="AI1224" t="str">
        <f>LEFT(AF1224,1)</f>
        <v>A</v>
      </c>
      <c r="AJ1224" t="str">
        <f>LEFT(M1224,1)</f>
        <v>J</v>
      </c>
      <c r="AK1224" t="str">
        <f>_xlfn.CONCAT(AG1224,AH1224,AI1224,AJ1224)</f>
        <v>CMAJ</v>
      </c>
    </row>
    <row r="1225" spans="1:37" ht="15.75" hidden="1" customHeight="1" x14ac:dyDescent="0.2">
      <c r="A1225" s="1">
        <v>1052502</v>
      </c>
      <c r="B1225" s="1" t="s">
        <v>694</v>
      </c>
      <c r="C1225" s="1" t="s">
        <v>879</v>
      </c>
      <c r="D1225" s="1" t="s">
        <v>965</v>
      </c>
      <c r="E1225" s="1" t="s">
        <v>821</v>
      </c>
      <c r="F1225" s="1" t="s">
        <v>37</v>
      </c>
      <c r="G1225" s="1" t="s">
        <v>966</v>
      </c>
      <c r="H1225" s="1">
        <v>3344</v>
      </c>
      <c r="I1225" s="1" t="s">
        <v>108</v>
      </c>
      <c r="J1225" s="1">
        <v>3</v>
      </c>
      <c r="K1225" s="1" t="s">
        <v>35</v>
      </c>
      <c r="L1225" s="1">
        <v>36</v>
      </c>
      <c r="M1225" s="1" t="str">
        <f>IF(L1225&lt;=45,"Joven","Mayor")</f>
        <v>Joven</v>
      </c>
      <c r="N1225" s="1">
        <v>37</v>
      </c>
      <c r="O1225" s="1" t="s">
        <v>36</v>
      </c>
      <c r="P1225" s="1">
        <v>0.67200000000000004</v>
      </c>
      <c r="Q1225" s="1">
        <v>90.031999999999996</v>
      </c>
      <c r="R1225" s="1">
        <v>6.0128746</v>
      </c>
      <c r="S1225" s="1">
        <v>0.91367953999999996</v>
      </c>
      <c r="T1225" s="1">
        <v>-3.1257389</v>
      </c>
      <c r="U1225" s="1">
        <v>17.88</v>
      </c>
      <c r="V1225" s="1">
        <v>89</v>
      </c>
      <c r="W1225" s="1">
        <v>149</v>
      </c>
      <c r="X1225" s="1">
        <v>1.6741573033707866</v>
      </c>
      <c r="Y1225" s="1">
        <v>90</v>
      </c>
      <c r="Z1225" s="1">
        <v>149</v>
      </c>
      <c r="AA1225" s="1">
        <v>1.6555555555555554</v>
      </c>
      <c r="AB1225" s="1">
        <v>92.31983686547278</v>
      </c>
      <c r="AC1225" s="1">
        <v>148.99643861266529</v>
      </c>
      <c r="AD1225" s="1">
        <v>1.6139157484623905</v>
      </c>
      <c r="AE1225" t="s">
        <v>4817</v>
      </c>
      <c r="AF1225" t="str">
        <f>IF(X1225&lt;$AF$1,"Bajo","Alto")</f>
        <v>Bajo</v>
      </c>
      <c r="AG1225" t="str">
        <f>LEFT(AE1225,1)</f>
        <v>C</v>
      </c>
      <c r="AH1225" t="str">
        <f>K1225</f>
        <v>M</v>
      </c>
      <c r="AI1225" t="str">
        <f>LEFT(AF1225,1)</f>
        <v>B</v>
      </c>
      <c r="AJ1225" t="str">
        <f>LEFT(M1225,1)</f>
        <v>J</v>
      </c>
      <c r="AK1225" t="str">
        <f>_xlfn.CONCAT(AG1225,AH1225,AI1225,AJ1225)</f>
        <v>CMBJ</v>
      </c>
    </row>
    <row r="1226" spans="1:37" ht="15.75" hidden="1" customHeight="1" x14ac:dyDescent="0.2">
      <c r="A1226" s="1">
        <v>260504</v>
      </c>
      <c r="B1226" s="1" t="s">
        <v>3358</v>
      </c>
      <c r="C1226" s="1" t="s">
        <v>968</v>
      </c>
      <c r="D1226" s="1" t="s">
        <v>1386</v>
      </c>
      <c r="E1226" s="1" t="s">
        <v>40</v>
      </c>
      <c r="F1226" s="1" t="s">
        <v>61</v>
      </c>
      <c r="G1226" s="1" t="s">
        <v>3364</v>
      </c>
      <c r="H1226" s="1">
        <v>774</v>
      </c>
      <c r="I1226" s="1" t="s">
        <v>3365</v>
      </c>
      <c r="J1226" s="1">
        <v>3182</v>
      </c>
      <c r="K1226" s="1" t="s">
        <v>35</v>
      </c>
      <c r="L1226" s="1">
        <v>48</v>
      </c>
      <c r="M1226" s="1" t="str">
        <f>IF(L1226&lt;=45,"Joven","Mayor")</f>
        <v>Mayor</v>
      </c>
      <c r="N1226" s="1">
        <v>58</v>
      </c>
      <c r="O1226" s="1" t="s">
        <v>36</v>
      </c>
      <c r="P1226" s="1">
        <v>0.35599999999999998</v>
      </c>
      <c r="Q1226" s="1">
        <v>90.037000000000006</v>
      </c>
      <c r="R1226" s="1">
        <v>-6.1621684999999999</v>
      </c>
      <c r="S1226" s="1">
        <v>-0.55582799999999999</v>
      </c>
      <c r="T1226" s="1">
        <v>6.6219497</v>
      </c>
      <c r="U1226" s="1">
        <v>23.898</v>
      </c>
      <c r="V1226" s="1">
        <v>80</v>
      </c>
      <c r="W1226" s="1">
        <v>150</v>
      </c>
      <c r="X1226" s="1">
        <v>1.875</v>
      </c>
      <c r="Y1226" s="1">
        <v>82</v>
      </c>
      <c r="Z1226" s="1">
        <v>150</v>
      </c>
      <c r="AA1226" s="1">
        <v>1.8292682926829269</v>
      </c>
      <c r="AB1226" s="1">
        <v>85.116860061649504</v>
      </c>
      <c r="AC1226" s="1">
        <v>149.34525223011181</v>
      </c>
      <c r="AD1226" s="1">
        <v>1.7545907135430296</v>
      </c>
      <c r="AE1226" t="s">
        <v>4817</v>
      </c>
      <c r="AF1226" t="str">
        <f>IF(X1226&lt;$AF$1,"Bajo","Alto")</f>
        <v>Alto</v>
      </c>
      <c r="AG1226" t="str">
        <f>LEFT(AE1226,1)</f>
        <v>C</v>
      </c>
      <c r="AH1226" t="str">
        <f>K1226</f>
        <v>M</v>
      </c>
      <c r="AI1226" t="str">
        <f>LEFT(AF1226,1)</f>
        <v>A</v>
      </c>
      <c r="AJ1226" t="str">
        <f>LEFT(M1226,1)</f>
        <v>M</v>
      </c>
      <c r="AK1226" t="str">
        <f>_xlfn.CONCAT(AG1226,AH1226,AI1226,AJ1226)</f>
        <v>CMAM</v>
      </c>
    </row>
    <row r="1227" spans="1:37" ht="15.75" hidden="1" customHeight="1" x14ac:dyDescent="0.2">
      <c r="A1227" s="1">
        <v>131004</v>
      </c>
      <c r="B1227" s="1" t="s">
        <v>956</v>
      </c>
      <c r="C1227" s="1" t="s">
        <v>163</v>
      </c>
      <c r="D1227" s="1" t="s">
        <v>1970</v>
      </c>
      <c r="E1227" s="1" t="s">
        <v>75</v>
      </c>
      <c r="F1227" s="1" t="s">
        <v>61</v>
      </c>
      <c r="G1227" s="1" t="s">
        <v>1972</v>
      </c>
      <c r="H1227" s="1">
        <v>19192</v>
      </c>
      <c r="I1227" s="1" t="s">
        <v>249</v>
      </c>
      <c r="J1227" s="1">
        <v>4469</v>
      </c>
      <c r="K1227" s="1" t="s">
        <v>35</v>
      </c>
      <c r="L1227" s="1">
        <v>28</v>
      </c>
      <c r="M1227" s="1" t="str">
        <f>IF(L1227&lt;=45,"Joven","Mayor")</f>
        <v>Joven</v>
      </c>
      <c r="N1227" s="1">
        <v>33</v>
      </c>
      <c r="O1227" s="1" t="s">
        <v>36</v>
      </c>
      <c r="P1227" s="1">
        <v>0.98599999999999999</v>
      </c>
      <c r="Q1227" s="1">
        <v>90.494</v>
      </c>
      <c r="R1227" s="1">
        <v>5.1876534999999997</v>
      </c>
      <c r="S1227" s="1">
        <v>2.5523205</v>
      </c>
      <c r="T1227" s="1">
        <v>-8.2449460000000006</v>
      </c>
      <c r="U1227" s="1">
        <v>6.6180000000000003</v>
      </c>
      <c r="V1227" s="1">
        <v>68</v>
      </c>
      <c r="W1227" s="1">
        <v>128</v>
      </c>
      <c r="X1227" s="1">
        <v>1.8823529411764706</v>
      </c>
      <c r="Y1227" s="1">
        <v>72</v>
      </c>
      <c r="Z1227" s="1">
        <v>128</v>
      </c>
      <c r="AA1227" s="1">
        <v>1.7777777777777777</v>
      </c>
      <c r="AB1227" s="1">
        <v>73.606989055157555</v>
      </c>
      <c r="AC1227" s="1">
        <v>127.8242397612735</v>
      </c>
      <c r="AD1227" s="1">
        <v>1.736577482682903</v>
      </c>
      <c r="AE1227" t="s">
        <v>4817</v>
      </c>
      <c r="AF1227" t="str">
        <f>IF(X1227&lt;$AF$1,"Bajo","Alto")</f>
        <v>Alto</v>
      </c>
      <c r="AG1227" t="str">
        <f>LEFT(AE1227,1)</f>
        <v>C</v>
      </c>
      <c r="AH1227" t="str">
        <f>K1227</f>
        <v>M</v>
      </c>
      <c r="AI1227" t="str">
        <f>LEFT(AF1227,1)</f>
        <v>A</v>
      </c>
      <c r="AJ1227" t="str">
        <f>LEFT(M1227,1)</f>
        <v>J</v>
      </c>
      <c r="AK1227" t="str">
        <f>_xlfn.CONCAT(AG1227,AH1227,AI1227,AJ1227)</f>
        <v>CMAJ</v>
      </c>
    </row>
    <row r="1228" spans="1:37" ht="15.75" hidden="1" customHeight="1" x14ac:dyDescent="0.2">
      <c r="A1228" s="1">
        <v>257301</v>
      </c>
      <c r="B1228" s="1" t="s">
        <v>3169</v>
      </c>
      <c r="C1228" s="1" t="s">
        <v>821</v>
      </c>
      <c r="D1228" s="1" t="s">
        <v>3311</v>
      </c>
      <c r="E1228" s="1" t="s">
        <v>1021</v>
      </c>
      <c r="F1228" s="1" t="s">
        <v>32</v>
      </c>
      <c r="G1228" s="1" t="s">
        <v>3312</v>
      </c>
      <c r="H1228" s="1">
        <v>2759</v>
      </c>
      <c r="I1228" s="1" t="s">
        <v>108</v>
      </c>
      <c r="J1228" s="1">
        <v>3</v>
      </c>
      <c r="K1228" s="1" t="s">
        <v>49</v>
      </c>
      <c r="L1228" s="1">
        <v>48</v>
      </c>
      <c r="M1228" s="1" t="str">
        <f>IF(L1228&lt;=45,"Joven","Mayor")</f>
        <v>Mayor</v>
      </c>
      <c r="N1228" s="1">
        <v>56</v>
      </c>
      <c r="O1228" s="1" t="s">
        <v>50</v>
      </c>
      <c r="P1228" s="1">
        <v>0.33700000000000002</v>
      </c>
      <c r="Q1228" s="1">
        <v>91.436000000000007</v>
      </c>
      <c r="R1228" s="1">
        <v>2.7032497000000002</v>
      </c>
      <c r="S1228" s="1">
        <v>7.3333535000000003</v>
      </c>
      <c r="T1228" s="1">
        <v>-2.1456895</v>
      </c>
      <c r="U1228" s="1">
        <v>55.83</v>
      </c>
      <c r="V1228" s="1">
        <v>105</v>
      </c>
      <c r="W1228" s="1">
        <v>173</v>
      </c>
      <c r="X1228" s="1">
        <v>1.6476190476190475</v>
      </c>
      <c r="Y1228" s="1">
        <v>106</v>
      </c>
      <c r="Z1228" s="1">
        <v>173</v>
      </c>
      <c r="AA1228" s="1">
        <v>1.6320754716981132</v>
      </c>
      <c r="AB1228" s="1">
        <v>107.4981835803198</v>
      </c>
      <c r="AC1228" s="1">
        <v>172.7289395703956</v>
      </c>
      <c r="AD1228" s="1">
        <v>1.6068079833305937</v>
      </c>
      <c r="AE1228" t="s">
        <v>4817</v>
      </c>
      <c r="AF1228" t="str">
        <f>IF(X1228&lt;$AF$1,"Bajo","Alto")</f>
        <v>Bajo</v>
      </c>
      <c r="AG1228" t="str">
        <f>LEFT(AE1228,1)</f>
        <v>C</v>
      </c>
      <c r="AH1228" t="str">
        <f>K1228</f>
        <v>F</v>
      </c>
      <c r="AI1228" t="str">
        <f>LEFT(AF1228,1)</f>
        <v>B</v>
      </c>
      <c r="AJ1228" t="str">
        <f>LEFT(M1228,1)</f>
        <v>M</v>
      </c>
      <c r="AK1228" t="str">
        <f>_xlfn.CONCAT(AG1228,AH1228,AI1228,AJ1228)</f>
        <v>CFBM</v>
      </c>
    </row>
    <row r="1229" spans="1:37" ht="15.75" hidden="1" customHeight="1" x14ac:dyDescent="0.2">
      <c r="A1229" s="1">
        <v>2719601</v>
      </c>
      <c r="B1229" s="1" t="s">
        <v>3409</v>
      </c>
      <c r="C1229" s="1" t="s">
        <v>973</v>
      </c>
      <c r="D1229" s="1" t="s">
        <v>3611</v>
      </c>
      <c r="E1229" s="1" t="s">
        <v>346</v>
      </c>
      <c r="F1229" s="1" t="s">
        <v>32</v>
      </c>
      <c r="G1229" s="1" t="s">
        <v>3612</v>
      </c>
      <c r="H1229" s="1">
        <v>825</v>
      </c>
      <c r="I1229" s="1" t="s">
        <v>100</v>
      </c>
      <c r="J1229" s="1">
        <v>1</v>
      </c>
      <c r="K1229" s="1" t="s">
        <v>49</v>
      </c>
      <c r="L1229" s="1">
        <v>51</v>
      </c>
      <c r="M1229" s="1" t="str">
        <f>IF(L1229&lt;=45,"Joven","Mayor")</f>
        <v>Mayor</v>
      </c>
      <c r="N1229" s="1">
        <v>62</v>
      </c>
      <c r="O1229" s="1" t="s">
        <v>50</v>
      </c>
      <c r="P1229" s="1">
        <v>0.36699999999999999</v>
      </c>
      <c r="Q1229" s="1">
        <v>88.927000000000007</v>
      </c>
      <c r="R1229" s="1">
        <v>0.51240843999999997</v>
      </c>
      <c r="S1229" s="1">
        <v>-13.81378</v>
      </c>
      <c r="T1229" s="1">
        <v>-1.936555</v>
      </c>
      <c r="U1229" s="1">
        <v>1.6539999999999999</v>
      </c>
      <c r="V1229" s="1">
        <v>90</v>
      </c>
      <c r="W1229" s="1">
        <v>170</v>
      </c>
      <c r="X1229" s="1">
        <v>1.8888888888888888</v>
      </c>
      <c r="Y1229" s="1">
        <v>93</v>
      </c>
      <c r="Z1229" s="1">
        <v>170</v>
      </c>
      <c r="AA1229" s="1">
        <v>1.8279569892473118</v>
      </c>
      <c r="AB1229" s="1">
        <v>91.831720664137265</v>
      </c>
      <c r="AC1229" s="1">
        <v>170.44359130567909</v>
      </c>
      <c r="AD1229" s="1">
        <v>1.8560426623067934</v>
      </c>
      <c r="AE1229" t="s">
        <v>4817</v>
      </c>
      <c r="AF1229" t="str">
        <f>IF(X1229&lt;$AF$1,"Bajo","Alto")</f>
        <v>Alto</v>
      </c>
      <c r="AG1229" t="str">
        <f>LEFT(AE1229,1)</f>
        <v>C</v>
      </c>
      <c r="AH1229" t="str">
        <f>K1229</f>
        <v>F</v>
      </c>
      <c r="AI1229" t="str">
        <f>LEFT(AF1229,1)</f>
        <v>A</v>
      </c>
      <c r="AJ1229" t="str">
        <f>LEFT(M1229,1)</f>
        <v>M</v>
      </c>
      <c r="AK1229" t="str">
        <f>_xlfn.CONCAT(AG1229,AH1229,AI1229,AJ1229)</f>
        <v>CFAM</v>
      </c>
    </row>
    <row r="1230" spans="1:37" ht="15.75" hidden="1" customHeight="1" x14ac:dyDescent="0.2">
      <c r="A1230" s="1">
        <v>248601</v>
      </c>
      <c r="B1230" s="1" t="s">
        <v>1548</v>
      </c>
      <c r="C1230" s="1" t="s">
        <v>1993</v>
      </c>
      <c r="D1230" s="1" t="s">
        <v>3164</v>
      </c>
      <c r="E1230" s="1" t="s">
        <v>1776</v>
      </c>
      <c r="F1230" s="1" t="s">
        <v>32</v>
      </c>
      <c r="G1230" s="1" t="s">
        <v>3165</v>
      </c>
      <c r="H1230" s="1">
        <v>2440</v>
      </c>
      <c r="I1230" s="1" t="s">
        <v>34</v>
      </c>
      <c r="J1230" s="1">
        <v>10</v>
      </c>
      <c r="K1230" s="1" t="s">
        <v>35</v>
      </c>
      <c r="L1230" s="1">
        <v>48</v>
      </c>
      <c r="M1230" s="1" t="str">
        <f>IF(L1230&lt;=45,"Joven","Mayor")</f>
        <v>Mayor</v>
      </c>
      <c r="N1230" s="1">
        <v>53</v>
      </c>
      <c r="O1230" s="1" t="s">
        <v>36</v>
      </c>
      <c r="P1230" s="1">
        <v>0.34399999999999997</v>
      </c>
      <c r="Q1230" s="1">
        <v>89.486000000000004</v>
      </c>
      <c r="R1230" s="1">
        <v>5.9031890000000002</v>
      </c>
      <c r="S1230" s="1">
        <v>-3.5351400000000002</v>
      </c>
      <c r="T1230" s="1">
        <v>-8.0743349999999996</v>
      </c>
      <c r="U1230" s="1">
        <v>1.0609999999999999</v>
      </c>
      <c r="V1230" s="1">
        <v>84</v>
      </c>
      <c r="W1230" s="1">
        <v>156</v>
      </c>
      <c r="X1230" s="1">
        <v>1.8571428571428572</v>
      </c>
      <c r="Y1230" s="1">
        <v>94</v>
      </c>
      <c r="Z1230" s="1">
        <v>156</v>
      </c>
      <c r="AA1230" s="1">
        <v>1.6595744680851063</v>
      </c>
      <c r="AB1230" s="1">
        <v>89.909252472085882</v>
      </c>
      <c r="AC1230" s="1">
        <v>156.5603872858151</v>
      </c>
      <c r="AD1230" s="1">
        <v>1.7413156375026295</v>
      </c>
      <c r="AE1230" t="s">
        <v>4815</v>
      </c>
      <c r="AF1230" t="str">
        <f>IF(X1230&lt;$AF$1,"Bajo","Alto")</f>
        <v>Alto</v>
      </c>
      <c r="AG1230" t="str">
        <f>LEFT(AE1230,1)</f>
        <v>I</v>
      </c>
      <c r="AH1230" t="str">
        <f>K1230</f>
        <v>M</v>
      </c>
      <c r="AI1230" t="str">
        <f>LEFT(AF1230,1)</f>
        <v>A</v>
      </c>
      <c r="AJ1230" t="str">
        <f>LEFT(M1230,1)</f>
        <v>M</v>
      </c>
      <c r="AK1230" t="str">
        <f>_xlfn.CONCAT(AG1230,AH1230,AI1230,AJ1230)</f>
        <v>IMAM</v>
      </c>
    </row>
    <row r="1231" spans="1:37" ht="15.75" hidden="1" customHeight="1" x14ac:dyDescent="0.2">
      <c r="A1231" s="1">
        <v>2714202</v>
      </c>
      <c r="B1231" s="1" t="s">
        <v>3409</v>
      </c>
      <c r="C1231" s="1" t="s">
        <v>973</v>
      </c>
      <c r="D1231" s="1" t="s">
        <v>3499</v>
      </c>
      <c r="E1231" s="1" t="s">
        <v>181</v>
      </c>
      <c r="F1231" s="1" t="s">
        <v>37</v>
      </c>
      <c r="G1231" s="1" t="s">
        <v>3501</v>
      </c>
      <c r="H1231" s="1">
        <v>550</v>
      </c>
      <c r="I1231" s="1" t="s">
        <v>3502</v>
      </c>
      <c r="J1231" s="1">
        <v>3585</v>
      </c>
      <c r="K1231" s="1" t="s">
        <v>49</v>
      </c>
      <c r="L1231" s="1">
        <v>38</v>
      </c>
      <c r="M1231" s="1" t="str">
        <f>IF(L1231&lt;=45,"Joven","Mayor")</f>
        <v>Joven</v>
      </c>
      <c r="N1231" s="1">
        <v>30</v>
      </c>
      <c r="O1231" s="1" t="s">
        <v>50</v>
      </c>
      <c r="P1231" s="1">
        <v>1.34</v>
      </c>
      <c r="Q1231" s="1">
        <v>92.445999999999998</v>
      </c>
      <c r="R1231" s="1">
        <v>0.78767790000000004</v>
      </c>
      <c r="S1231" s="1">
        <v>7.5179479999999996</v>
      </c>
      <c r="T1231" s="1">
        <v>-0.19844069</v>
      </c>
      <c r="U1231" s="1">
        <v>57.887999999999998</v>
      </c>
      <c r="V1231" s="1">
        <v>99</v>
      </c>
      <c r="W1231" s="1">
        <v>165</v>
      </c>
      <c r="X1231" s="1">
        <v>1.6666666666666667</v>
      </c>
      <c r="Y1231" s="1">
        <v>101</v>
      </c>
      <c r="Z1231" s="1">
        <v>165</v>
      </c>
      <c r="AA1231" s="1">
        <v>1.6336633663366336</v>
      </c>
      <c r="AB1231" s="1">
        <v>101.144858563292</v>
      </c>
      <c r="AC1231" s="1">
        <v>164.97476632176489</v>
      </c>
      <c r="AD1231" s="1">
        <v>1.6310741708984737</v>
      </c>
      <c r="AE1231" t="s">
        <v>4817</v>
      </c>
      <c r="AF1231" t="str">
        <f>IF(X1231&lt;$AF$1,"Bajo","Alto")</f>
        <v>Bajo</v>
      </c>
      <c r="AG1231" t="str">
        <f>LEFT(AE1231,1)</f>
        <v>C</v>
      </c>
      <c r="AH1231" t="str">
        <f>K1231</f>
        <v>F</v>
      </c>
      <c r="AI1231" t="str">
        <f>LEFT(AF1231,1)</f>
        <v>B</v>
      </c>
      <c r="AJ1231" t="str">
        <f>LEFT(M1231,1)</f>
        <v>J</v>
      </c>
      <c r="AK1231" t="str">
        <f>_xlfn.CONCAT(AG1231,AH1231,AI1231,AJ1231)</f>
        <v>CFBJ</v>
      </c>
    </row>
    <row r="1232" spans="1:37" ht="15.75" hidden="1" customHeight="1" x14ac:dyDescent="0.2">
      <c r="A1232" s="1">
        <v>1013703</v>
      </c>
      <c r="B1232" s="1" t="s">
        <v>29</v>
      </c>
      <c r="C1232" s="1" t="s">
        <v>30</v>
      </c>
      <c r="D1232" s="1" t="s">
        <v>646</v>
      </c>
      <c r="E1232" s="1" t="s">
        <v>647</v>
      </c>
      <c r="F1232" s="1" t="s">
        <v>63</v>
      </c>
      <c r="G1232" s="1" t="s">
        <v>651</v>
      </c>
      <c r="H1232" s="1">
        <v>7376</v>
      </c>
      <c r="I1232" s="1" t="s">
        <v>652</v>
      </c>
      <c r="J1232" s="1">
        <v>2832</v>
      </c>
      <c r="K1232" s="1" t="s">
        <v>49</v>
      </c>
      <c r="L1232" s="1">
        <v>47</v>
      </c>
      <c r="M1232" s="1" t="str">
        <f>IF(L1232&lt;=45,"Joven","Mayor")</f>
        <v>Mayor</v>
      </c>
      <c r="N1232" s="1">
        <v>37</v>
      </c>
      <c r="O1232" s="1" t="s">
        <v>36</v>
      </c>
      <c r="P1232" s="1">
        <v>0.877</v>
      </c>
      <c r="Q1232" s="1">
        <v>93.661000000000001</v>
      </c>
      <c r="R1232" s="1">
        <v>1.0501654</v>
      </c>
      <c r="S1232" s="1">
        <v>3.5925294999999999</v>
      </c>
      <c r="T1232" s="1">
        <v>-4.4685081999999996</v>
      </c>
      <c r="U1232" s="1">
        <v>28.911999999999999</v>
      </c>
      <c r="V1232" s="1">
        <v>96</v>
      </c>
      <c r="W1232" s="1">
        <v>181</v>
      </c>
      <c r="X1232" s="1">
        <v>1.8854166666666667</v>
      </c>
      <c r="Y1232" s="1">
        <v>110</v>
      </c>
      <c r="Z1232" s="1">
        <v>181</v>
      </c>
      <c r="AA1232" s="1">
        <v>1.6454545454545455</v>
      </c>
      <c r="AB1232" s="1">
        <v>107.2503883543307</v>
      </c>
      <c r="AC1232" s="1">
        <v>183.25461671305899</v>
      </c>
      <c r="AD1232" s="1">
        <v>1.7086615678036312</v>
      </c>
      <c r="AE1232" t="s">
        <v>4817</v>
      </c>
      <c r="AF1232" t="str">
        <f>IF(X1232&lt;$AF$1,"Bajo","Alto")</f>
        <v>Alto</v>
      </c>
      <c r="AG1232" t="str">
        <f>LEFT(AE1232,1)</f>
        <v>C</v>
      </c>
      <c r="AH1232" t="str">
        <f>K1232</f>
        <v>F</v>
      </c>
      <c r="AI1232" t="str">
        <f>LEFT(AF1232,1)</f>
        <v>A</v>
      </c>
      <c r="AJ1232" t="str">
        <f>LEFT(M1232,1)</f>
        <v>M</v>
      </c>
      <c r="AK1232" t="str">
        <f>_xlfn.CONCAT(AG1232,AH1232,AI1232,AJ1232)</f>
        <v>CFAM</v>
      </c>
    </row>
    <row r="1233" spans="1:37" ht="15.75" hidden="1" customHeight="1" x14ac:dyDescent="0.2">
      <c r="A1233" s="1">
        <v>214206</v>
      </c>
      <c r="B1233" s="1" t="s">
        <v>2816</v>
      </c>
      <c r="C1233" s="1" t="s">
        <v>2817</v>
      </c>
      <c r="D1233" s="1" t="s">
        <v>2871</v>
      </c>
      <c r="E1233" s="1" t="s">
        <v>2872</v>
      </c>
      <c r="F1233" s="1" t="s">
        <v>88</v>
      </c>
      <c r="G1233" s="1" t="s">
        <v>2877</v>
      </c>
      <c r="H1233" s="1">
        <v>3440</v>
      </c>
      <c r="I1233" s="1" t="s">
        <v>134</v>
      </c>
      <c r="J1233" s="1">
        <v>8</v>
      </c>
      <c r="K1233" s="1" t="s">
        <v>35</v>
      </c>
      <c r="L1233" s="1">
        <v>45</v>
      </c>
      <c r="M1233" s="1" t="str">
        <f>IF(L1233&lt;=45,"Joven","Mayor")</f>
        <v>Joven</v>
      </c>
      <c r="N1233" s="1">
        <v>55</v>
      </c>
      <c r="O1233" s="1" t="s">
        <v>36</v>
      </c>
      <c r="P1233" s="1">
        <v>0.59299999999999997</v>
      </c>
      <c r="Q1233" s="1">
        <v>93.290999999999997</v>
      </c>
      <c r="R1233" s="1">
        <v>2.4651961</v>
      </c>
      <c r="S1233" s="1">
        <v>-1.7157171</v>
      </c>
      <c r="T1233" s="1">
        <v>2.8269717999999999</v>
      </c>
      <c r="U1233" s="1">
        <v>10.282</v>
      </c>
      <c r="V1233" s="1">
        <v>102</v>
      </c>
      <c r="W1233" s="1">
        <v>192</v>
      </c>
      <c r="X1233" s="1">
        <v>1.8823529411764706</v>
      </c>
      <c r="Y1233" s="1">
        <v>115</v>
      </c>
      <c r="Z1233" s="1">
        <v>192</v>
      </c>
      <c r="AA1233" s="1">
        <v>1.6695652173913043</v>
      </c>
      <c r="AB1233" s="1">
        <v>112.591330885137</v>
      </c>
      <c r="AC1233" s="1">
        <v>192.01294165986471</v>
      </c>
      <c r="AD1233" s="1">
        <v>1.705397210871872</v>
      </c>
      <c r="AE1233" t="s">
        <v>4817</v>
      </c>
      <c r="AF1233" t="str">
        <f>IF(X1233&lt;$AF$1,"Bajo","Alto")</f>
        <v>Alto</v>
      </c>
      <c r="AG1233" t="str">
        <f>LEFT(AE1233,1)</f>
        <v>C</v>
      </c>
      <c r="AH1233" t="str">
        <f>K1233</f>
        <v>M</v>
      </c>
      <c r="AI1233" t="str">
        <f>LEFT(AF1233,1)</f>
        <v>A</v>
      </c>
      <c r="AJ1233" t="str">
        <f>LEFT(M1233,1)</f>
        <v>J</v>
      </c>
      <c r="AK1233" t="str">
        <f>_xlfn.CONCAT(AG1233,AH1233,AI1233,AJ1233)</f>
        <v>CMAJ</v>
      </c>
    </row>
    <row r="1234" spans="1:37" ht="15.75" hidden="1" customHeight="1" x14ac:dyDescent="0.2">
      <c r="A1234" s="1">
        <v>298502</v>
      </c>
      <c r="B1234" s="1" t="s">
        <v>3890</v>
      </c>
      <c r="C1234" s="1" t="s">
        <v>1695</v>
      </c>
      <c r="D1234" s="1" t="s">
        <v>4086</v>
      </c>
      <c r="E1234" s="1" t="s">
        <v>755</v>
      </c>
      <c r="F1234" s="1" t="s">
        <v>37</v>
      </c>
      <c r="G1234" s="1" t="s">
        <v>4088</v>
      </c>
      <c r="H1234" s="1">
        <v>35</v>
      </c>
      <c r="I1234" s="1" t="s">
        <v>39</v>
      </c>
      <c r="J1234" s="1">
        <v>11</v>
      </c>
      <c r="K1234" s="1" t="s">
        <v>35</v>
      </c>
      <c r="L1234" s="1">
        <v>58</v>
      </c>
      <c r="M1234" s="1" t="str">
        <f>IF(L1234&lt;=45,"Joven","Mayor")</f>
        <v>Mayor</v>
      </c>
      <c r="N1234" s="1">
        <v>58</v>
      </c>
      <c r="O1234" s="1" t="s">
        <v>36</v>
      </c>
      <c r="P1234" s="1">
        <v>0.34899999999999998</v>
      </c>
      <c r="Q1234" s="1">
        <v>93.039000000000001</v>
      </c>
      <c r="R1234" s="1">
        <v>-1.9301558999999999</v>
      </c>
      <c r="S1234" s="1">
        <v>-4.4641130000000002</v>
      </c>
      <c r="T1234" s="1">
        <v>-1.4940901</v>
      </c>
      <c r="U1234" s="1">
        <v>1.7010000000000001</v>
      </c>
      <c r="V1234" s="1">
        <v>116</v>
      </c>
      <c r="W1234" s="1">
        <v>193</v>
      </c>
      <c r="X1234" s="1">
        <v>1.6637931034482758</v>
      </c>
      <c r="Y1234" s="1">
        <v>118</v>
      </c>
      <c r="Z1234" s="1">
        <v>193</v>
      </c>
      <c r="AA1234" s="1">
        <v>1.6355932203389831</v>
      </c>
      <c r="AB1234" s="1">
        <v>118.9767619447143</v>
      </c>
      <c r="AC1234" s="1">
        <v>192.80401462772991</v>
      </c>
      <c r="AD1234" s="1">
        <v>1.6205182547943389</v>
      </c>
      <c r="AE1234" t="s">
        <v>4816</v>
      </c>
      <c r="AF1234" t="str">
        <f>IF(X1234&lt;$AF$1,"Bajo","Alto")</f>
        <v>Bajo</v>
      </c>
      <c r="AG1234" t="str">
        <f>LEFT(AE1234,1)</f>
        <v>D</v>
      </c>
      <c r="AH1234" t="str">
        <f>K1234</f>
        <v>M</v>
      </c>
      <c r="AI1234" t="str">
        <f>LEFT(AF1234,1)</f>
        <v>B</v>
      </c>
      <c r="AJ1234" t="str">
        <f>LEFT(M1234,1)</f>
        <v>M</v>
      </c>
      <c r="AK1234" t="str">
        <f>_xlfn.CONCAT(AG1234,AH1234,AI1234,AJ1234)</f>
        <v>DMBM</v>
      </c>
    </row>
    <row r="1235" spans="1:37" ht="15.75" hidden="1" customHeight="1" x14ac:dyDescent="0.2">
      <c r="A1235" s="1">
        <v>640103</v>
      </c>
      <c r="B1235" s="1" t="s">
        <v>4718</v>
      </c>
      <c r="C1235" s="1" t="s">
        <v>710</v>
      </c>
      <c r="D1235" s="1" t="s">
        <v>4719</v>
      </c>
      <c r="E1235" s="1" t="s">
        <v>32</v>
      </c>
      <c r="F1235" s="1" t="s">
        <v>63</v>
      </c>
      <c r="G1235" s="1" t="s">
        <v>4720</v>
      </c>
      <c r="H1235" s="1">
        <v>760</v>
      </c>
      <c r="I1235" s="1" t="s">
        <v>85</v>
      </c>
      <c r="J1235" s="1">
        <v>12</v>
      </c>
      <c r="K1235" s="1" t="s">
        <v>35</v>
      </c>
      <c r="L1235" s="1">
        <v>51</v>
      </c>
      <c r="M1235" s="1" t="str">
        <f>IF(L1235&lt;=45,"Joven","Mayor")</f>
        <v>Mayor</v>
      </c>
      <c r="N1235" s="1">
        <v>48</v>
      </c>
      <c r="O1235" s="1" t="s">
        <v>36</v>
      </c>
      <c r="P1235" s="1">
        <v>0.35899999999999999</v>
      </c>
      <c r="Q1235" s="1">
        <v>91.251999999999995</v>
      </c>
      <c r="R1235" s="1">
        <v>3.9824506999999998</v>
      </c>
      <c r="S1235" s="1">
        <v>-4.8424100000000001</v>
      </c>
      <c r="T1235" s="1">
        <v>0.22345428000000001</v>
      </c>
      <c r="U1235" s="1">
        <v>2.1309999999999998</v>
      </c>
      <c r="V1235" s="1">
        <v>88</v>
      </c>
      <c r="W1235" s="1">
        <v>162</v>
      </c>
      <c r="X1235" s="1">
        <v>1.8409090909090908</v>
      </c>
      <c r="Y1235" s="1">
        <v>89</v>
      </c>
      <c r="Z1235" s="1">
        <v>162</v>
      </c>
      <c r="AA1235" s="1">
        <v>1.8202247191011236</v>
      </c>
      <c r="AB1235" s="1">
        <v>89.159223275485829</v>
      </c>
      <c r="AC1235" s="1">
        <v>162.00266798643</v>
      </c>
      <c r="AD1235" s="1">
        <v>1.8170040298116006</v>
      </c>
      <c r="AE1235" t="s">
        <v>4815</v>
      </c>
      <c r="AF1235" t="str">
        <f>IF(X1235&lt;$AF$1,"Bajo","Alto")</f>
        <v>Alto</v>
      </c>
      <c r="AG1235" t="str">
        <f>LEFT(AE1235,1)</f>
        <v>I</v>
      </c>
      <c r="AH1235" t="str">
        <f>K1235</f>
        <v>M</v>
      </c>
      <c r="AI1235" t="str">
        <f>LEFT(AF1235,1)</f>
        <v>A</v>
      </c>
      <c r="AJ1235" t="str">
        <f>LEFT(M1235,1)</f>
        <v>M</v>
      </c>
      <c r="AK1235" t="str">
        <f>_xlfn.CONCAT(AG1235,AH1235,AI1235,AJ1235)</f>
        <v>IMAM</v>
      </c>
    </row>
    <row r="1236" spans="1:37" ht="15.75" hidden="1" customHeight="1" x14ac:dyDescent="0.2">
      <c r="A1236" s="1">
        <v>266002</v>
      </c>
      <c r="B1236" s="1" t="s">
        <v>3358</v>
      </c>
      <c r="C1236" s="1" t="s">
        <v>968</v>
      </c>
      <c r="D1236" s="1" t="s">
        <v>3398</v>
      </c>
      <c r="E1236" s="1" t="s">
        <v>1458</v>
      </c>
      <c r="F1236" s="1" t="s">
        <v>37</v>
      </c>
      <c r="G1236" s="1" t="s">
        <v>3399</v>
      </c>
      <c r="H1236" s="1">
        <v>86</v>
      </c>
      <c r="I1236" s="1" t="s">
        <v>45</v>
      </c>
      <c r="J1236" s="1">
        <v>17</v>
      </c>
      <c r="K1236" s="1" t="s">
        <v>35</v>
      </c>
      <c r="L1236" s="1">
        <v>47</v>
      </c>
      <c r="M1236" s="1" t="str">
        <f>IF(L1236&lt;=45,"Joven","Mayor")</f>
        <v>Mayor</v>
      </c>
      <c r="N1236" s="1">
        <v>44</v>
      </c>
      <c r="O1236" s="1" t="s">
        <v>36</v>
      </c>
      <c r="P1236" s="1">
        <v>1.361</v>
      </c>
      <c r="Q1236" s="1">
        <v>90.677000000000007</v>
      </c>
      <c r="R1236" s="1">
        <v>2.7480044000000001</v>
      </c>
      <c r="S1236" s="1">
        <v>8.1323080000000001</v>
      </c>
      <c r="T1236" s="1">
        <v>-3.9814490999999999</v>
      </c>
      <c r="U1236" s="1">
        <v>2.5680000000000001</v>
      </c>
      <c r="V1236" s="1">
        <v>99</v>
      </c>
      <c r="W1236" s="1">
        <v>164</v>
      </c>
      <c r="X1236" s="1">
        <v>1.6565656565656566</v>
      </c>
      <c r="Y1236" s="1">
        <v>101</v>
      </c>
      <c r="Z1236" s="1">
        <v>164</v>
      </c>
      <c r="AA1236" s="1">
        <v>1.6237623762376239</v>
      </c>
      <c r="AB1236" s="1">
        <v>101.88557855195489</v>
      </c>
      <c r="AC1236" s="1">
        <v>163.74306663424429</v>
      </c>
      <c r="AD1236" s="1">
        <v>1.607127023877537</v>
      </c>
      <c r="AE1236" t="s">
        <v>4817</v>
      </c>
      <c r="AF1236" t="str">
        <f>IF(X1236&lt;$AF$1,"Bajo","Alto")</f>
        <v>Bajo</v>
      </c>
      <c r="AG1236" t="str">
        <f>LEFT(AE1236,1)</f>
        <v>C</v>
      </c>
      <c r="AH1236" t="str">
        <f>K1236</f>
        <v>M</v>
      </c>
      <c r="AI1236" t="str">
        <f>LEFT(AF1236,1)</f>
        <v>B</v>
      </c>
      <c r="AJ1236" t="str">
        <f>LEFT(M1236,1)</f>
        <v>M</v>
      </c>
      <c r="AK1236" t="str">
        <f>_xlfn.CONCAT(AG1236,AH1236,AI1236,AJ1236)</f>
        <v>CMBM</v>
      </c>
    </row>
    <row r="1237" spans="1:37" ht="15.75" hidden="1" customHeight="1" x14ac:dyDescent="0.2">
      <c r="A1237" s="1">
        <v>3110003</v>
      </c>
      <c r="B1237" s="1" t="s">
        <v>4122</v>
      </c>
      <c r="C1237" s="1" t="s">
        <v>628</v>
      </c>
      <c r="D1237" s="1" t="s">
        <v>4136</v>
      </c>
      <c r="E1237" s="1" t="s">
        <v>70</v>
      </c>
      <c r="F1237" s="1" t="s">
        <v>63</v>
      </c>
      <c r="G1237" s="1" t="s">
        <v>4137</v>
      </c>
      <c r="H1237" s="1">
        <v>842</v>
      </c>
      <c r="I1237" s="1" t="s">
        <v>65</v>
      </c>
      <c r="J1237" s="1">
        <v>2</v>
      </c>
      <c r="K1237" s="1" t="s">
        <v>49</v>
      </c>
      <c r="L1237" s="1">
        <v>58</v>
      </c>
      <c r="M1237" s="1" t="str">
        <f>IF(L1237&lt;=45,"Joven","Mayor")</f>
        <v>Mayor</v>
      </c>
      <c r="N1237" s="1">
        <v>31</v>
      </c>
      <c r="O1237" s="1" t="s">
        <v>50</v>
      </c>
      <c r="P1237" s="1">
        <v>0.36099999999999999</v>
      </c>
      <c r="Q1237" s="1">
        <v>94.671000000000006</v>
      </c>
      <c r="R1237" s="1">
        <v>7.3049723999999996E-2</v>
      </c>
      <c r="S1237" s="1">
        <v>1.5115738000000001</v>
      </c>
      <c r="T1237" s="1">
        <v>0.83026239999999996</v>
      </c>
      <c r="U1237" s="1">
        <v>3.8490000000000002</v>
      </c>
      <c r="V1237" s="1">
        <v>77</v>
      </c>
      <c r="W1237" s="1">
        <v>145</v>
      </c>
      <c r="X1237" s="1">
        <v>1.8831168831168832</v>
      </c>
      <c r="Y1237" s="1">
        <v>77</v>
      </c>
      <c r="Z1237" s="1">
        <v>145</v>
      </c>
      <c r="AA1237" s="1">
        <v>1.8831168831168832</v>
      </c>
      <c r="AB1237" s="1">
        <v>77.528057070888735</v>
      </c>
      <c r="AC1237" s="1">
        <v>144.98477645191861</v>
      </c>
      <c r="AD1237" s="1">
        <v>1.8700942849548001</v>
      </c>
      <c r="AE1237" t="s">
        <v>4817</v>
      </c>
      <c r="AF1237" t="str">
        <f>IF(X1237&lt;$AF$1,"Bajo","Alto")</f>
        <v>Alto</v>
      </c>
      <c r="AG1237" t="str">
        <f>LEFT(AE1237,1)</f>
        <v>C</v>
      </c>
      <c r="AH1237" t="str">
        <f>K1237</f>
        <v>F</v>
      </c>
      <c r="AI1237" t="str">
        <f>LEFT(AF1237,1)</f>
        <v>A</v>
      </c>
      <c r="AJ1237" t="str">
        <f>LEFT(M1237,1)</f>
        <v>M</v>
      </c>
      <c r="AK1237" t="str">
        <f>_xlfn.CONCAT(AG1237,AH1237,AI1237,AJ1237)</f>
        <v>CFAM</v>
      </c>
    </row>
    <row r="1238" spans="1:37" ht="15.75" customHeight="1" x14ac:dyDescent="0.2">
      <c r="A1238" s="1">
        <v>1521104</v>
      </c>
      <c r="B1238" s="1" t="s">
        <v>2077</v>
      </c>
      <c r="C1238" s="1" t="s">
        <v>57</v>
      </c>
      <c r="D1238" s="1" t="s">
        <v>2242</v>
      </c>
      <c r="E1238" s="1" t="s">
        <v>387</v>
      </c>
      <c r="F1238" s="1" t="s">
        <v>61</v>
      </c>
      <c r="G1238" s="1" t="s">
        <v>2245</v>
      </c>
      <c r="H1238" s="1">
        <v>1421</v>
      </c>
      <c r="I1238" s="1" t="s">
        <v>2246</v>
      </c>
      <c r="J1238" s="1">
        <v>3898</v>
      </c>
      <c r="K1238" s="1" t="s">
        <v>35</v>
      </c>
      <c r="L1238" s="1">
        <v>33</v>
      </c>
      <c r="M1238" s="1" t="str">
        <f>IF(L1238&lt;=45,"Joven","Mayor")</f>
        <v>Joven</v>
      </c>
      <c r="N1238" s="1">
        <v>40</v>
      </c>
      <c r="O1238" s="1" t="s">
        <v>36</v>
      </c>
      <c r="P1238" s="1">
        <v>0.32200000000000001</v>
      </c>
      <c r="Q1238" s="1">
        <v>85.816000000000003</v>
      </c>
      <c r="R1238" s="1">
        <v>5.8046280000000001</v>
      </c>
      <c r="S1238" s="1">
        <v>10.234726</v>
      </c>
      <c r="T1238" s="1">
        <v>-4.2390160000000003</v>
      </c>
      <c r="U1238" s="1">
        <v>11.406000000000001</v>
      </c>
      <c r="V1238" s="1">
        <v>91</v>
      </c>
      <c r="W1238" s="1">
        <v>160</v>
      </c>
      <c r="X1238" s="1">
        <v>1.7582417582417582</v>
      </c>
      <c r="Y1238" s="1">
        <v>92</v>
      </c>
      <c r="Z1238" s="1">
        <v>160</v>
      </c>
      <c r="AA1238" s="1">
        <v>1.7391304347826086</v>
      </c>
      <c r="AB1238" s="1">
        <v>93.412081148820107</v>
      </c>
      <c r="AC1238" s="1">
        <v>159.41446520400541</v>
      </c>
      <c r="AD1238" s="1">
        <v>1.7065722467957132</v>
      </c>
      <c r="AE1238" t="s">
        <v>4818</v>
      </c>
      <c r="AF1238" t="str">
        <f>IF(X1238&lt;$AF$1,"Bajo","Alto")</f>
        <v>Bajo</v>
      </c>
      <c r="AG1238" t="str">
        <f>LEFT(AE1238,1)</f>
        <v>S</v>
      </c>
      <c r="AH1238" t="str">
        <f>K1238</f>
        <v>M</v>
      </c>
      <c r="AI1238" t="str">
        <f>LEFT(AF1238,1)</f>
        <v>B</v>
      </c>
      <c r="AJ1238" t="str">
        <f>LEFT(M1238,1)</f>
        <v>J</v>
      </c>
      <c r="AK1238" t="str">
        <f>_xlfn.CONCAT(AG1238,AH1238,AI1238,AJ1238)</f>
        <v>SMBJ</v>
      </c>
    </row>
    <row r="1239" spans="1:37" ht="15.75" hidden="1" customHeight="1" x14ac:dyDescent="0.2">
      <c r="A1239" s="1">
        <v>523004</v>
      </c>
      <c r="B1239" s="1" t="s">
        <v>4529</v>
      </c>
      <c r="C1239" s="1" t="s">
        <v>685</v>
      </c>
      <c r="D1239" s="1" t="s">
        <v>4581</v>
      </c>
      <c r="E1239" s="1" t="s">
        <v>2381</v>
      </c>
      <c r="F1239" s="1" t="s">
        <v>61</v>
      </c>
      <c r="G1239" s="1" t="s">
        <v>4583</v>
      </c>
      <c r="H1239" s="1">
        <v>3143</v>
      </c>
      <c r="I1239" s="1" t="s">
        <v>4584</v>
      </c>
      <c r="J1239" s="1">
        <v>3388</v>
      </c>
      <c r="K1239" s="1" t="s">
        <v>49</v>
      </c>
      <c r="L1239" s="1">
        <v>41</v>
      </c>
      <c r="M1239" s="1" t="str">
        <f>IF(L1239&lt;=45,"Joven","Mayor")</f>
        <v>Joven</v>
      </c>
      <c r="N1239" s="1">
        <v>33</v>
      </c>
      <c r="O1239" s="1" t="s">
        <v>50</v>
      </c>
      <c r="P1239" s="1">
        <v>0.33800000000000002</v>
      </c>
      <c r="Q1239" s="1">
        <v>91.337000000000003</v>
      </c>
      <c r="R1239" s="1">
        <v>1.8436037000000001</v>
      </c>
      <c r="S1239" s="1">
        <v>8.9976015</v>
      </c>
      <c r="T1239" s="1">
        <v>-0.47895557</v>
      </c>
      <c r="U1239" s="1">
        <v>58.515999999999998</v>
      </c>
      <c r="V1239" s="1">
        <v>115</v>
      </c>
      <c r="W1239" s="1">
        <v>192</v>
      </c>
      <c r="X1239" s="1">
        <v>1.6695652173913043</v>
      </c>
      <c r="Y1239" s="1">
        <v>116</v>
      </c>
      <c r="Z1239" s="1">
        <v>192</v>
      </c>
      <c r="AA1239" s="1">
        <v>1.6551724137931034</v>
      </c>
      <c r="AB1239" s="1">
        <v>116.4891430598384</v>
      </c>
      <c r="AC1239" s="1">
        <v>192.00165093238641</v>
      </c>
      <c r="AD1239" s="1">
        <v>1.6482364440929793</v>
      </c>
      <c r="AE1239" t="s">
        <v>4817</v>
      </c>
      <c r="AF1239" t="str">
        <f>IF(X1239&lt;$AF$1,"Bajo","Alto")</f>
        <v>Bajo</v>
      </c>
      <c r="AG1239" t="str">
        <f>LEFT(AE1239,1)</f>
        <v>C</v>
      </c>
      <c r="AH1239" t="str">
        <f>K1239</f>
        <v>F</v>
      </c>
      <c r="AI1239" t="str">
        <f>LEFT(AF1239,1)</f>
        <v>B</v>
      </c>
      <c r="AJ1239" t="str">
        <f>LEFT(M1239,1)</f>
        <v>J</v>
      </c>
      <c r="AK1239" t="str">
        <f>_xlfn.CONCAT(AG1239,AH1239,AI1239,AJ1239)</f>
        <v>CFBJ</v>
      </c>
    </row>
    <row r="1240" spans="1:37" ht="15.75" hidden="1" customHeight="1" x14ac:dyDescent="0.2">
      <c r="A1240" s="1">
        <v>238202</v>
      </c>
      <c r="B1240" s="1" t="s">
        <v>319</v>
      </c>
      <c r="C1240" s="1" t="s">
        <v>1989</v>
      </c>
      <c r="D1240" s="1" t="s">
        <v>3089</v>
      </c>
      <c r="E1240" s="1" t="s">
        <v>752</v>
      </c>
      <c r="F1240" s="1" t="s">
        <v>37</v>
      </c>
      <c r="G1240" s="1" t="s">
        <v>3090</v>
      </c>
      <c r="H1240" s="1">
        <v>3084</v>
      </c>
      <c r="I1240" s="1" t="s">
        <v>65</v>
      </c>
      <c r="J1240" s="1">
        <v>2</v>
      </c>
      <c r="K1240" s="1" t="s">
        <v>35</v>
      </c>
      <c r="L1240" s="1">
        <v>33</v>
      </c>
      <c r="M1240" s="1" t="str">
        <f>IF(L1240&lt;=45,"Joven","Mayor")</f>
        <v>Joven</v>
      </c>
      <c r="N1240" s="1">
        <v>40</v>
      </c>
      <c r="O1240" s="1" t="s">
        <v>36</v>
      </c>
      <c r="P1240" s="1">
        <v>2.1749999999999998</v>
      </c>
      <c r="Q1240" s="1">
        <v>83.48</v>
      </c>
      <c r="R1240" s="1">
        <v>-8.7271230000000006</v>
      </c>
      <c r="S1240" s="1">
        <v>3.2341986</v>
      </c>
      <c r="T1240" s="1">
        <v>11.9272995</v>
      </c>
      <c r="U1240" s="1">
        <v>1.7150000000000001</v>
      </c>
      <c r="V1240" s="1">
        <v>85</v>
      </c>
      <c r="W1240" s="1">
        <v>160</v>
      </c>
      <c r="X1240" s="1">
        <v>1.8823529411764706</v>
      </c>
      <c r="Y1240" s="1">
        <v>99</v>
      </c>
      <c r="Z1240" s="1">
        <v>160</v>
      </c>
      <c r="AA1240" s="1">
        <v>1.6161616161616161</v>
      </c>
      <c r="AB1240" s="1">
        <v>93.498422520620579</v>
      </c>
      <c r="AC1240" s="1">
        <v>160.47243733441749</v>
      </c>
      <c r="AD1240" s="1">
        <v>1.7163117088849937</v>
      </c>
      <c r="AE1240" t="s">
        <v>4817</v>
      </c>
      <c r="AF1240" t="str">
        <f>IF(X1240&lt;$AF$1,"Bajo","Alto")</f>
        <v>Alto</v>
      </c>
      <c r="AG1240" t="str">
        <f>LEFT(AE1240,1)</f>
        <v>C</v>
      </c>
      <c r="AH1240" t="str">
        <f>K1240</f>
        <v>M</v>
      </c>
      <c r="AI1240" t="str">
        <f>LEFT(AF1240,1)</f>
        <v>A</v>
      </c>
      <c r="AJ1240" t="str">
        <f>LEFT(M1240,1)</f>
        <v>J</v>
      </c>
      <c r="AK1240" t="str">
        <f>_xlfn.CONCAT(AG1240,AH1240,AI1240,AJ1240)</f>
        <v>CMAJ</v>
      </c>
    </row>
    <row r="1241" spans="1:37" ht="15.75" hidden="1" customHeight="1" x14ac:dyDescent="0.2">
      <c r="A1241" s="1">
        <v>10710601</v>
      </c>
      <c r="B1241" s="1" t="s">
        <v>1067</v>
      </c>
      <c r="C1241" s="1" t="s">
        <v>1068</v>
      </c>
      <c r="D1241" s="1" t="s">
        <v>1103</v>
      </c>
      <c r="E1241" s="1" t="s">
        <v>95</v>
      </c>
      <c r="F1241" s="1" t="s">
        <v>32</v>
      </c>
      <c r="G1241" s="1" t="s">
        <v>1104</v>
      </c>
      <c r="H1241" s="1">
        <v>62</v>
      </c>
      <c r="I1241" s="1" t="s">
        <v>34</v>
      </c>
      <c r="J1241" s="1">
        <v>10</v>
      </c>
      <c r="K1241" s="1" t="s">
        <v>35</v>
      </c>
      <c r="L1241" s="1">
        <v>59</v>
      </c>
      <c r="M1241" s="1" t="str">
        <f>IF(L1241&lt;=45,"Joven","Mayor")</f>
        <v>Mayor</v>
      </c>
      <c r="N1241" s="1">
        <v>57</v>
      </c>
      <c r="O1241" s="1" t="s">
        <v>36</v>
      </c>
      <c r="P1241" s="1">
        <v>0.51700000000000002</v>
      </c>
      <c r="Q1241" s="1">
        <v>94.78</v>
      </c>
      <c r="R1241" s="1">
        <v>-0.18284159999999999</v>
      </c>
      <c r="S1241" s="1">
        <v>0.2929639</v>
      </c>
      <c r="T1241" s="1">
        <v>-7.0082000000000004</v>
      </c>
      <c r="U1241" s="1">
        <v>1.9670000000000001</v>
      </c>
      <c r="V1241" s="1">
        <v>99</v>
      </c>
      <c r="W1241" s="1">
        <v>182</v>
      </c>
      <c r="X1241" s="1">
        <v>1.8383838383838385</v>
      </c>
      <c r="Y1241" s="1">
        <v>106</v>
      </c>
      <c r="Z1241" s="1">
        <v>182</v>
      </c>
      <c r="AA1241" s="1">
        <v>1.7169811320754718</v>
      </c>
      <c r="AB1241" s="1">
        <v>104.60493369418759</v>
      </c>
      <c r="AC1241" s="1">
        <v>182.7144170526399</v>
      </c>
      <c r="AD1241" s="1">
        <v>1.7467093625507693</v>
      </c>
      <c r="AE1241" t="s">
        <v>4815</v>
      </c>
      <c r="AF1241" t="str">
        <f>IF(X1241&lt;$AF$1,"Bajo","Alto")</f>
        <v>Alto</v>
      </c>
      <c r="AG1241" t="str">
        <f>LEFT(AE1241,1)</f>
        <v>I</v>
      </c>
      <c r="AH1241" t="str">
        <f>K1241</f>
        <v>M</v>
      </c>
      <c r="AI1241" t="str">
        <f>LEFT(AF1241,1)</f>
        <v>A</v>
      </c>
      <c r="AJ1241" t="str">
        <f>LEFT(M1241,1)</f>
        <v>M</v>
      </c>
      <c r="AK1241" t="str">
        <f>_xlfn.CONCAT(AG1241,AH1241,AI1241,AJ1241)</f>
        <v>IMAM</v>
      </c>
    </row>
    <row r="1242" spans="1:37" ht="15.75" hidden="1" customHeight="1" x14ac:dyDescent="0.2">
      <c r="A1242" s="1">
        <v>3112407</v>
      </c>
      <c r="B1242" s="1" t="s">
        <v>4122</v>
      </c>
      <c r="C1242" s="1" t="s">
        <v>628</v>
      </c>
      <c r="D1242" s="1" t="s">
        <v>4167</v>
      </c>
      <c r="E1242" s="1" t="s">
        <v>145</v>
      </c>
      <c r="F1242" s="1" t="s">
        <v>43</v>
      </c>
      <c r="G1242" s="1" t="s">
        <v>4170</v>
      </c>
      <c r="H1242" s="1">
        <v>1233</v>
      </c>
      <c r="I1242" s="1" t="s">
        <v>4171</v>
      </c>
      <c r="J1242" s="1">
        <v>3841</v>
      </c>
      <c r="K1242" s="1" t="s">
        <v>35</v>
      </c>
      <c r="L1242" s="1">
        <v>51</v>
      </c>
      <c r="M1242" s="1" t="str">
        <f>IF(L1242&lt;=45,"Joven","Mayor")</f>
        <v>Mayor</v>
      </c>
      <c r="N1242" s="1">
        <v>49</v>
      </c>
      <c r="O1242" s="1" t="s">
        <v>36</v>
      </c>
      <c r="P1242" s="1">
        <v>0.32900000000000001</v>
      </c>
      <c r="Q1242" s="1">
        <v>92.93</v>
      </c>
      <c r="R1242" s="1">
        <v>3.4979879999999999</v>
      </c>
      <c r="S1242" s="1">
        <v>-3.5567354000000002E-2</v>
      </c>
      <c r="T1242" s="1">
        <v>-6.0230984999999997</v>
      </c>
      <c r="U1242" s="1">
        <v>0.64300000000000002</v>
      </c>
      <c r="V1242" s="1">
        <v>85</v>
      </c>
      <c r="W1242" s="1">
        <v>156</v>
      </c>
      <c r="X1242" s="1">
        <v>1.8352941176470587</v>
      </c>
      <c r="Y1242" s="1">
        <v>94</v>
      </c>
      <c r="Z1242" s="1">
        <v>156</v>
      </c>
      <c r="AA1242" s="1">
        <v>1.6595744680851063</v>
      </c>
      <c r="AB1242" s="1">
        <v>89.808560706147318</v>
      </c>
      <c r="AC1242" s="1">
        <v>156.8176994709211</v>
      </c>
      <c r="AD1242" s="1">
        <v>1.7461330884037547</v>
      </c>
      <c r="AE1242" t="s">
        <v>4815</v>
      </c>
      <c r="AF1242" t="str">
        <f>IF(X1242&lt;$AF$1,"Bajo","Alto")</f>
        <v>Alto</v>
      </c>
      <c r="AG1242" t="str">
        <f>LEFT(AE1242,1)</f>
        <v>I</v>
      </c>
      <c r="AH1242" t="str">
        <f>K1242</f>
        <v>M</v>
      </c>
      <c r="AI1242" t="str">
        <f>LEFT(AF1242,1)</f>
        <v>A</v>
      </c>
      <c r="AJ1242" t="str">
        <f>LEFT(M1242,1)</f>
        <v>M</v>
      </c>
      <c r="AK1242" t="str">
        <f>_xlfn.CONCAT(AG1242,AH1242,AI1242,AJ1242)</f>
        <v>IMAM</v>
      </c>
    </row>
    <row r="1243" spans="1:37" ht="15.75" hidden="1" customHeight="1" x14ac:dyDescent="0.2">
      <c r="A1243" s="1">
        <v>540102</v>
      </c>
      <c r="B1243" s="1" t="s">
        <v>4677</v>
      </c>
      <c r="C1243" s="1" t="s">
        <v>3148</v>
      </c>
      <c r="D1243" s="1" t="s">
        <v>4678</v>
      </c>
      <c r="E1243" s="1" t="s">
        <v>32</v>
      </c>
      <c r="F1243" s="1" t="s">
        <v>37</v>
      </c>
      <c r="G1243" s="1" t="s">
        <v>4679</v>
      </c>
      <c r="H1243" s="1">
        <v>1040</v>
      </c>
      <c r="I1243" s="1" t="s">
        <v>294</v>
      </c>
      <c r="J1243" s="1">
        <v>16</v>
      </c>
      <c r="K1243" s="1" t="s">
        <v>35</v>
      </c>
      <c r="L1243" s="1">
        <v>76</v>
      </c>
      <c r="M1243" s="1" t="str">
        <f>IF(L1243&lt;=45,"Joven","Mayor")</f>
        <v>Mayor</v>
      </c>
      <c r="N1243" s="1">
        <v>71</v>
      </c>
      <c r="O1243" s="1" t="s">
        <v>36</v>
      </c>
      <c r="P1243" s="1">
        <v>0.40400000000000003</v>
      </c>
      <c r="Q1243" s="1">
        <v>89.968000000000004</v>
      </c>
      <c r="R1243" s="1">
        <v>6.247109</v>
      </c>
      <c r="S1243" s="1">
        <v>0.29924679999999998</v>
      </c>
      <c r="T1243" s="1">
        <v>-4.9125180000000004</v>
      </c>
      <c r="U1243" s="1">
        <v>0.53300000000000003</v>
      </c>
      <c r="V1243" s="1">
        <v>99</v>
      </c>
      <c r="W1243" s="1">
        <v>164</v>
      </c>
      <c r="X1243" s="1">
        <v>1.6565656565656566</v>
      </c>
      <c r="Y1243" s="1">
        <v>104</v>
      </c>
      <c r="Z1243" s="1">
        <v>164</v>
      </c>
      <c r="AA1243" s="1">
        <v>1.5769230769230769</v>
      </c>
      <c r="AB1243" s="1">
        <v>102.1473531592258</v>
      </c>
      <c r="AC1243" s="1">
        <v>163.99700634172311</v>
      </c>
      <c r="AD1243" s="1">
        <v>1.6054944280943528</v>
      </c>
      <c r="AE1243" t="s">
        <v>4817</v>
      </c>
      <c r="AF1243" t="str">
        <f>IF(X1243&lt;$AF$1,"Bajo","Alto")</f>
        <v>Bajo</v>
      </c>
      <c r="AG1243" t="str">
        <f>LEFT(AE1243,1)</f>
        <v>C</v>
      </c>
      <c r="AH1243" t="str">
        <f>K1243</f>
        <v>M</v>
      </c>
      <c r="AI1243" t="str">
        <f>LEFT(AF1243,1)</f>
        <v>B</v>
      </c>
      <c r="AJ1243" t="str">
        <f>LEFT(M1243,1)</f>
        <v>M</v>
      </c>
      <c r="AK1243" t="str">
        <f>_xlfn.CONCAT(AG1243,AH1243,AI1243,AJ1243)</f>
        <v>CMBM</v>
      </c>
    </row>
    <row r="1244" spans="1:37" ht="15.75" hidden="1" customHeight="1" x14ac:dyDescent="0.2">
      <c r="A1244" s="1">
        <v>290108</v>
      </c>
      <c r="B1244" s="1" t="s">
        <v>3890</v>
      </c>
      <c r="C1244" s="1" t="s">
        <v>1695</v>
      </c>
      <c r="D1244" s="1" t="s">
        <v>3891</v>
      </c>
      <c r="E1244" s="1" t="s">
        <v>32</v>
      </c>
      <c r="F1244" s="1" t="s">
        <v>46</v>
      </c>
      <c r="G1244" s="1" t="s">
        <v>3900</v>
      </c>
      <c r="H1244" s="1">
        <v>12263</v>
      </c>
      <c r="I1244" s="1" t="s">
        <v>3901</v>
      </c>
      <c r="J1244" s="1">
        <v>2650</v>
      </c>
      <c r="K1244" s="1" t="s">
        <v>35</v>
      </c>
      <c r="L1244" s="1">
        <v>55</v>
      </c>
      <c r="M1244" s="1" t="str">
        <f>IF(L1244&lt;=45,"Joven","Mayor")</f>
        <v>Mayor</v>
      </c>
      <c r="N1244" s="1">
        <v>51</v>
      </c>
      <c r="O1244" s="1" t="s">
        <v>36</v>
      </c>
      <c r="P1244" s="1">
        <v>0.73</v>
      </c>
      <c r="Q1244" s="1">
        <v>92.373999999999995</v>
      </c>
      <c r="R1244" s="1">
        <v>-1.867669</v>
      </c>
      <c r="S1244" s="1">
        <v>-6.3167042999999996</v>
      </c>
      <c r="T1244" s="1">
        <v>-2.9956621999999999</v>
      </c>
      <c r="U1244" s="1">
        <v>1.01</v>
      </c>
      <c r="V1244" s="1">
        <v>80</v>
      </c>
      <c r="W1244" s="1">
        <v>150</v>
      </c>
      <c r="X1244" s="1">
        <v>1.875</v>
      </c>
      <c r="Y1244" s="1">
        <v>82</v>
      </c>
      <c r="Z1244" s="1">
        <v>150</v>
      </c>
      <c r="AA1244" s="1">
        <v>1.8292682926829269</v>
      </c>
      <c r="AB1244" s="1">
        <v>82.085614275388252</v>
      </c>
      <c r="AC1244" s="1">
        <v>149.89954483039219</v>
      </c>
      <c r="AD1244" s="1">
        <v>1.8261366032724762</v>
      </c>
      <c r="AE1244" t="s">
        <v>4817</v>
      </c>
      <c r="AF1244" t="str">
        <f>IF(X1244&lt;$AF$1,"Bajo","Alto")</f>
        <v>Alto</v>
      </c>
      <c r="AG1244" t="str">
        <f>LEFT(AE1244,1)</f>
        <v>C</v>
      </c>
      <c r="AH1244" t="str">
        <f>K1244</f>
        <v>M</v>
      </c>
      <c r="AI1244" t="str">
        <f>LEFT(AF1244,1)</f>
        <v>A</v>
      </c>
      <c r="AJ1244" t="str">
        <f>LEFT(M1244,1)</f>
        <v>M</v>
      </c>
      <c r="AK1244" t="str">
        <f>_xlfn.CONCAT(AG1244,AH1244,AI1244,AJ1244)</f>
        <v>CMAM</v>
      </c>
    </row>
    <row r="1245" spans="1:37" ht="15.75" hidden="1" customHeight="1" x14ac:dyDescent="0.2">
      <c r="A1245" s="1">
        <v>1222501</v>
      </c>
      <c r="B1245" s="1" t="s">
        <v>1798</v>
      </c>
      <c r="C1245" s="1" t="s">
        <v>54</v>
      </c>
      <c r="D1245" s="1" t="s">
        <v>1822</v>
      </c>
      <c r="E1245" s="1" t="s">
        <v>1823</v>
      </c>
      <c r="F1245" s="1" t="s">
        <v>32</v>
      </c>
      <c r="G1245" s="1" t="s">
        <v>1824</v>
      </c>
      <c r="H1245" s="1">
        <v>416</v>
      </c>
      <c r="I1245" s="1" t="s">
        <v>85</v>
      </c>
      <c r="J1245" s="1">
        <v>12</v>
      </c>
      <c r="K1245" s="1" t="s">
        <v>35</v>
      </c>
      <c r="L1245" s="1">
        <v>51</v>
      </c>
      <c r="M1245" s="1" t="str">
        <f>IF(L1245&lt;=45,"Joven","Mayor")</f>
        <v>Mayor</v>
      </c>
      <c r="N1245" s="1">
        <v>44</v>
      </c>
      <c r="O1245" s="1" t="s">
        <v>36</v>
      </c>
      <c r="P1245" s="1">
        <v>0.41099999999999998</v>
      </c>
      <c r="Q1245" s="1">
        <v>93.072000000000003</v>
      </c>
      <c r="R1245" s="1">
        <v>2.9605649999999999</v>
      </c>
      <c r="S1245" s="1">
        <v>1.3182665</v>
      </c>
      <c r="T1245" s="1">
        <v>-3.0801072</v>
      </c>
      <c r="U1245" s="1">
        <v>22.581</v>
      </c>
      <c r="V1245" s="1">
        <v>101</v>
      </c>
      <c r="W1245" s="1">
        <v>168</v>
      </c>
      <c r="X1245" s="1">
        <v>1.6633663366336633</v>
      </c>
      <c r="Y1245" s="1">
        <v>102</v>
      </c>
      <c r="Z1245" s="1">
        <v>168</v>
      </c>
      <c r="AA1245" s="1">
        <v>1.6470588235294117</v>
      </c>
      <c r="AB1245" s="1">
        <v>103.27203952088669</v>
      </c>
      <c r="AC1245" s="1">
        <v>167.9722333443892</v>
      </c>
      <c r="AD1245" s="1">
        <v>1.6265025279220611</v>
      </c>
      <c r="AE1245" t="s">
        <v>4815</v>
      </c>
      <c r="AF1245" t="str">
        <f>IF(X1245&lt;$AF$1,"Bajo","Alto")</f>
        <v>Bajo</v>
      </c>
      <c r="AG1245" t="str">
        <f>LEFT(AE1245,1)</f>
        <v>I</v>
      </c>
      <c r="AH1245" t="str">
        <f>K1245</f>
        <v>M</v>
      </c>
      <c r="AI1245" t="str">
        <f>LEFT(AF1245,1)</f>
        <v>B</v>
      </c>
      <c r="AJ1245" t="str">
        <f>LEFT(M1245,1)</f>
        <v>M</v>
      </c>
      <c r="AK1245" t="str">
        <f>_xlfn.CONCAT(AG1245,AH1245,AI1245,AJ1245)</f>
        <v>IMBM</v>
      </c>
    </row>
    <row r="1246" spans="1:37" ht="15.75" hidden="1" customHeight="1" x14ac:dyDescent="0.2">
      <c r="A1246" s="1">
        <v>295808</v>
      </c>
      <c r="B1246" s="1" t="s">
        <v>3890</v>
      </c>
      <c r="C1246" s="1" t="s">
        <v>1695</v>
      </c>
      <c r="D1246" s="1" t="s">
        <v>4035</v>
      </c>
      <c r="E1246" s="1" t="s">
        <v>695</v>
      </c>
      <c r="F1246" s="1" t="s">
        <v>46</v>
      </c>
      <c r="G1246" s="1" t="s">
        <v>4043</v>
      </c>
      <c r="H1246" s="1">
        <v>5261</v>
      </c>
      <c r="I1246" s="1" t="s">
        <v>134</v>
      </c>
      <c r="J1246" s="1">
        <v>8</v>
      </c>
      <c r="K1246" s="1" t="s">
        <v>35</v>
      </c>
      <c r="L1246" s="1">
        <v>49</v>
      </c>
      <c r="M1246" s="1" t="str">
        <f>IF(L1246&lt;=45,"Joven","Mayor")</f>
        <v>Mayor</v>
      </c>
      <c r="N1246" s="1">
        <v>58</v>
      </c>
      <c r="O1246" s="1" t="s">
        <v>36</v>
      </c>
      <c r="P1246" s="1">
        <v>0.35499999999999998</v>
      </c>
      <c r="Q1246" s="1">
        <v>58.691000000000003</v>
      </c>
      <c r="R1246" s="1">
        <v>14.843057</v>
      </c>
      <c r="S1246" s="1">
        <v>1.4431385999999999</v>
      </c>
      <c r="T1246" s="1">
        <v>-9.2232760000000003</v>
      </c>
      <c r="U1246" s="1">
        <v>1.843</v>
      </c>
      <c r="V1246" s="1">
        <v>96</v>
      </c>
      <c r="W1246" s="1">
        <v>180</v>
      </c>
      <c r="X1246" s="1">
        <v>1.875</v>
      </c>
      <c r="Y1246" s="1">
        <v>105</v>
      </c>
      <c r="Z1246" s="1">
        <v>180</v>
      </c>
      <c r="AA1246" s="1">
        <v>1.7142857142857142</v>
      </c>
      <c r="AB1246" s="1">
        <v>103.8949232880061</v>
      </c>
      <c r="AC1246" s="1">
        <v>180.23733701022411</v>
      </c>
      <c r="AD1246" s="1">
        <v>1.7348040819144739</v>
      </c>
      <c r="AE1246" t="s">
        <v>4817</v>
      </c>
      <c r="AF1246" t="str">
        <f>IF(X1246&lt;$AF$1,"Bajo","Alto")</f>
        <v>Alto</v>
      </c>
      <c r="AG1246" t="str">
        <f>LEFT(AE1246,1)</f>
        <v>C</v>
      </c>
      <c r="AH1246" t="str">
        <f>K1246</f>
        <v>M</v>
      </c>
      <c r="AI1246" t="str">
        <f>LEFT(AF1246,1)</f>
        <v>A</v>
      </c>
      <c r="AJ1246" t="str">
        <f>LEFT(M1246,1)</f>
        <v>M</v>
      </c>
      <c r="AK1246" t="str">
        <f>_xlfn.CONCAT(AG1246,AH1246,AI1246,AJ1246)</f>
        <v>CMAM</v>
      </c>
    </row>
    <row r="1247" spans="1:37" ht="15.75" hidden="1" customHeight="1" x14ac:dyDescent="0.2">
      <c r="A1247" s="1">
        <v>1071304</v>
      </c>
      <c r="B1247" s="1" t="s">
        <v>1067</v>
      </c>
      <c r="C1247" s="1" t="s">
        <v>1068</v>
      </c>
      <c r="D1247" s="1" t="s">
        <v>1127</v>
      </c>
      <c r="E1247" s="1" t="s">
        <v>163</v>
      </c>
      <c r="F1247" s="1" t="s">
        <v>61</v>
      </c>
      <c r="G1247" s="1" t="s">
        <v>1128</v>
      </c>
      <c r="H1247" s="1">
        <v>271</v>
      </c>
      <c r="I1247" s="1" t="s">
        <v>65</v>
      </c>
      <c r="J1247" s="1">
        <v>2</v>
      </c>
      <c r="K1247" s="1" t="s">
        <v>35</v>
      </c>
      <c r="L1247" s="1">
        <v>37</v>
      </c>
      <c r="M1247" s="1" t="str">
        <f>IF(L1247&lt;=45,"Joven","Mayor")</f>
        <v>Joven</v>
      </c>
      <c r="N1247" s="1">
        <v>47</v>
      </c>
      <c r="O1247" s="1" t="s">
        <v>36</v>
      </c>
      <c r="P1247" s="1">
        <v>0.33700000000000002</v>
      </c>
      <c r="Q1247" s="1">
        <v>74.835999999999999</v>
      </c>
      <c r="R1247" s="1">
        <v>12.087724</v>
      </c>
      <c r="S1247" s="1">
        <v>0.15953698999999999</v>
      </c>
      <c r="T1247" s="1">
        <v>-5.3543320000000003</v>
      </c>
      <c r="U1247" s="1">
        <v>0.93700000000000006</v>
      </c>
      <c r="V1247" s="1">
        <v>83</v>
      </c>
      <c r="W1247" s="1">
        <v>139</v>
      </c>
      <c r="X1247" s="1">
        <v>1.6746987951807228</v>
      </c>
      <c r="Y1247" s="1">
        <v>84</v>
      </c>
      <c r="Z1247" s="1">
        <v>139</v>
      </c>
      <c r="AA1247" s="1">
        <v>1.6547619047619047</v>
      </c>
      <c r="AB1247" s="1">
        <v>85.810544590485506</v>
      </c>
      <c r="AC1247" s="1">
        <v>138.02023641209919</v>
      </c>
      <c r="AD1247" s="1">
        <v>1.6084297922915478</v>
      </c>
      <c r="AE1247" t="s">
        <v>4817</v>
      </c>
      <c r="AF1247" t="str">
        <f>IF(X1247&lt;$AF$1,"Bajo","Alto")</f>
        <v>Bajo</v>
      </c>
      <c r="AG1247" t="str">
        <f>LEFT(AE1247,1)</f>
        <v>C</v>
      </c>
      <c r="AH1247" t="str">
        <f>K1247</f>
        <v>M</v>
      </c>
      <c r="AI1247" t="str">
        <f>LEFT(AF1247,1)</f>
        <v>B</v>
      </c>
      <c r="AJ1247" t="str">
        <f>LEFT(M1247,1)</f>
        <v>J</v>
      </c>
      <c r="AK1247" t="str">
        <f>_xlfn.CONCAT(AG1247,AH1247,AI1247,AJ1247)</f>
        <v>CMBJ</v>
      </c>
    </row>
    <row r="1248" spans="1:37" ht="15.75" hidden="1" customHeight="1" x14ac:dyDescent="0.2">
      <c r="A1248" s="1">
        <v>2711201</v>
      </c>
      <c r="B1248" s="1" t="s">
        <v>3409</v>
      </c>
      <c r="C1248" s="1" t="s">
        <v>973</v>
      </c>
      <c r="D1248" s="1" t="s">
        <v>3443</v>
      </c>
      <c r="E1248" s="1" t="s">
        <v>106</v>
      </c>
      <c r="F1248" s="1" t="s">
        <v>32</v>
      </c>
      <c r="G1248" s="1" t="s">
        <v>3444</v>
      </c>
      <c r="H1248" s="1">
        <v>936</v>
      </c>
      <c r="I1248" s="1" t="s">
        <v>108</v>
      </c>
      <c r="J1248" s="1">
        <v>3</v>
      </c>
      <c r="K1248" s="1" t="s">
        <v>35</v>
      </c>
      <c r="L1248" s="1">
        <v>39</v>
      </c>
      <c r="M1248" s="1" t="str">
        <f>IF(L1248&lt;=45,"Joven","Mayor")</f>
        <v>Joven</v>
      </c>
      <c r="N1248" s="1">
        <v>36</v>
      </c>
      <c r="O1248" s="1" t="s">
        <v>36</v>
      </c>
      <c r="P1248" s="1">
        <v>0.35099999999999998</v>
      </c>
      <c r="Q1248" s="1">
        <v>94.405000000000001</v>
      </c>
      <c r="R1248" s="1">
        <v>-0.69144905000000001</v>
      </c>
      <c r="S1248" s="1">
        <v>1.4670323000000001</v>
      </c>
      <c r="T1248" s="1">
        <v>1.0543075</v>
      </c>
      <c r="U1248" s="1">
        <v>4.3650000000000002</v>
      </c>
      <c r="V1248" s="1">
        <v>68</v>
      </c>
      <c r="W1248" s="1">
        <v>128</v>
      </c>
      <c r="X1248" s="1">
        <v>1.8823529411764706</v>
      </c>
      <c r="Y1248" s="1">
        <v>69</v>
      </c>
      <c r="Z1248" s="1">
        <v>128</v>
      </c>
      <c r="AA1248" s="1">
        <v>1.855072463768116</v>
      </c>
      <c r="AB1248" s="1">
        <v>69.59552182544985</v>
      </c>
      <c r="AC1248" s="1">
        <v>127.9783300930421</v>
      </c>
      <c r="AD1248" s="1">
        <v>1.8388874274701206</v>
      </c>
      <c r="AE1248" t="s">
        <v>4817</v>
      </c>
      <c r="AF1248" t="str">
        <f>IF(X1248&lt;$AF$1,"Bajo","Alto")</f>
        <v>Alto</v>
      </c>
      <c r="AG1248" t="str">
        <f>LEFT(AE1248,1)</f>
        <v>C</v>
      </c>
      <c r="AH1248" t="str">
        <f>K1248</f>
        <v>M</v>
      </c>
      <c r="AI1248" t="str">
        <f>LEFT(AF1248,1)</f>
        <v>A</v>
      </c>
      <c r="AJ1248" t="str">
        <f>LEFT(M1248,1)</f>
        <v>J</v>
      </c>
      <c r="AK1248" t="str">
        <f>_xlfn.CONCAT(AG1248,AH1248,AI1248,AJ1248)</f>
        <v>CMAJ</v>
      </c>
    </row>
    <row r="1249" spans="1:37" ht="15.75" hidden="1" customHeight="1" x14ac:dyDescent="0.2">
      <c r="A1249" s="1">
        <v>235504</v>
      </c>
      <c r="B1249" s="1" t="s">
        <v>319</v>
      </c>
      <c r="C1249" s="1" t="s">
        <v>1989</v>
      </c>
      <c r="D1249" s="1" t="s">
        <v>3053</v>
      </c>
      <c r="E1249" s="1" t="s">
        <v>690</v>
      </c>
      <c r="F1249" s="1" t="s">
        <v>61</v>
      </c>
      <c r="G1249" s="1" t="s">
        <v>3056</v>
      </c>
      <c r="H1249" s="1">
        <v>2611</v>
      </c>
      <c r="I1249" s="1" t="s">
        <v>2106</v>
      </c>
      <c r="J1249" s="1">
        <v>2998</v>
      </c>
      <c r="K1249" s="1" t="s">
        <v>49</v>
      </c>
      <c r="L1249" s="1">
        <v>39</v>
      </c>
      <c r="M1249" s="1" t="str">
        <f>IF(L1249&lt;=45,"Joven","Mayor")</f>
        <v>Joven</v>
      </c>
      <c r="N1249" s="1">
        <v>29</v>
      </c>
      <c r="O1249" s="1" t="s">
        <v>50</v>
      </c>
      <c r="P1249" s="1">
        <v>0.36099999999999999</v>
      </c>
      <c r="Q1249" s="1">
        <v>87.706999999999994</v>
      </c>
      <c r="R1249" s="1">
        <v>-5.2160406000000004</v>
      </c>
      <c r="S1249" s="1">
        <v>8.9520510000000009</v>
      </c>
      <c r="T1249" s="1">
        <v>2.2353472999999999</v>
      </c>
      <c r="U1249" s="1">
        <v>30.975999999999999</v>
      </c>
      <c r="V1249" s="1">
        <v>112</v>
      </c>
      <c r="W1249" s="1">
        <v>187</v>
      </c>
      <c r="X1249" s="1">
        <v>1.6696428571428572</v>
      </c>
      <c r="Y1249" s="1">
        <v>114</v>
      </c>
      <c r="Z1249" s="1">
        <v>187</v>
      </c>
      <c r="AA1249" s="1">
        <v>1.6403508771929824</v>
      </c>
      <c r="AB1249" s="1">
        <v>115.55143049051981</v>
      </c>
      <c r="AC1249" s="1">
        <v>186.66267981909101</v>
      </c>
      <c r="AD1249" s="1">
        <v>1.6154077801261437</v>
      </c>
      <c r="AE1249" t="s">
        <v>4817</v>
      </c>
      <c r="AF1249" t="str">
        <f>IF(X1249&lt;$AF$1,"Bajo","Alto")</f>
        <v>Bajo</v>
      </c>
      <c r="AG1249" t="str">
        <f>LEFT(AE1249,1)</f>
        <v>C</v>
      </c>
      <c r="AH1249" t="str">
        <f>K1249</f>
        <v>F</v>
      </c>
      <c r="AI1249" t="str">
        <f>LEFT(AF1249,1)</f>
        <v>B</v>
      </c>
      <c r="AJ1249" t="str">
        <f>LEFT(M1249,1)</f>
        <v>J</v>
      </c>
      <c r="AK1249" t="str">
        <f>_xlfn.CONCAT(AG1249,AH1249,AI1249,AJ1249)</f>
        <v>CFBJ</v>
      </c>
    </row>
    <row r="1250" spans="1:37" ht="15.75" hidden="1" customHeight="1" x14ac:dyDescent="0.2">
      <c r="A1250" s="1">
        <v>10731901</v>
      </c>
      <c r="B1250" s="1" t="s">
        <v>1067</v>
      </c>
      <c r="C1250" s="1" t="s">
        <v>1068</v>
      </c>
      <c r="D1250" s="1" t="s">
        <v>1399</v>
      </c>
      <c r="E1250" s="1" t="s">
        <v>1400</v>
      </c>
      <c r="F1250" s="1" t="s">
        <v>32</v>
      </c>
      <c r="G1250" s="1" t="s">
        <v>1401</v>
      </c>
      <c r="H1250" s="1">
        <v>1827</v>
      </c>
      <c r="I1250" s="1" t="s">
        <v>65</v>
      </c>
      <c r="J1250" s="1">
        <v>2</v>
      </c>
      <c r="K1250" s="1" t="s">
        <v>35</v>
      </c>
      <c r="L1250" s="1">
        <v>40</v>
      </c>
      <c r="M1250" s="1" t="str">
        <f>IF(L1250&lt;=45,"Joven","Mayor")</f>
        <v>Joven</v>
      </c>
      <c r="N1250" s="1">
        <v>48</v>
      </c>
      <c r="O1250" s="1" t="s">
        <v>36</v>
      </c>
      <c r="P1250" s="1">
        <v>0.36799999999999999</v>
      </c>
      <c r="Q1250" s="1">
        <v>85.540999999999997</v>
      </c>
      <c r="R1250" s="1">
        <v>-7.9119349999999997</v>
      </c>
      <c r="S1250" s="1">
        <v>4.6680099999999998</v>
      </c>
      <c r="T1250" s="1">
        <v>7.2614913000000003</v>
      </c>
      <c r="U1250" s="1">
        <v>10.023999999999999</v>
      </c>
      <c r="V1250" s="1">
        <v>93</v>
      </c>
      <c r="W1250" s="1">
        <v>175</v>
      </c>
      <c r="X1250" s="1">
        <v>1.881720430107527</v>
      </c>
      <c r="Y1250" s="1">
        <v>100</v>
      </c>
      <c r="Z1250" s="1">
        <v>175</v>
      </c>
      <c r="AA1250" s="1">
        <v>1.75</v>
      </c>
      <c r="AB1250" s="1">
        <v>98.826796633794174</v>
      </c>
      <c r="AC1250" s="1">
        <v>174.73401466559471</v>
      </c>
      <c r="AD1250" s="1">
        <v>1.768083360154606</v>
      </c>
      <c r="AE1250" t="s">
        <v>4817</v>
      </c>
      <c r="AF1250" t="str">
        <f>IF(X1250&lt;$AF$1,"Bajo","Alto")</f>
        <v>Alto</v>
      </c>
      <c r="AG1250" t="str">
        <f>LEFT(AE1250,1)</f>
        <v>C</v>
      </c>
      <c r="AH1250" t="str">
        <f>K1250</f>
        <v>M</v>
      </c>
      <c r="AI1250" t="str">
        <f>LEFT(AF1250,1)</f>
        <v>A</v>
      </c>
      <c r="AJ1250" t="str">
        <f>LEFT(M1250,1)</f>
        <v>J</v>
      </c>
      <c r="AK1250" t="str">
        <f>_xlfn.CONCAT(AG1250,AH1250,AI1250,AJ1250)</f>
        <v>CMAJ</v>
      </c>
    </row>
    <row r="1251" spans="1:37" ht="15.75" hidden="1" customHeight="1" x14ac:dyDescent="0.2">
      <c r="A1251" s="1">
        <v>295204</v>
      </c>
      <c r="B1251" s="1" t="s">
        <v>3890</v>
      </c>
      <c r="C1251" s="1" t="s">
        <v>1695</v>
      </c>
      <c r="D1251" s="1" t="s">
        <v>4027</v>
      </c>
      <c r="E1251" s="1" t="s">
        <v>685</v>
      </c>
      <c r="F1251" s="1" t="s">
        <v>61</v>
      </c>
      <c r="G1251" s="1" t="s">
        <v>4028</v>
      </c>
      <c r="H1251" s="1">
        <v>681</v>
      </c>
      <c r="I1251" s="1" t="s">
        <v>73</v>
      </c>
      <c r="J1251" s="1">
        <v>5</v>
      </c>
      <c r="K1251" s="1" t="s">
        <v>35</v>
      </c>
      <c r="L1251" s="1">
        <v>56</v>
      </c>
      <c r="M1251" s="1" t="str">
        <f>IF(L1251&lt;=45,"Joven","Mayor")</f>
        <v>Mayor</v>
      </c>
      <c r="N1251" s="1">
        <v>57</v>
      </c>
      <c r="O1251" s="1" t="s">
        <v>36</v>
      </c>
      <c r="P1251" s="1">
        <v>0.34499999999999997</v>
      </c>
      <c r="Q1251" s="1">
        <v>92.099000000000004</v>
      </c>
      <c r="R1251" s="1">
        <v>1.2978400000000001</v>
      </c>
      <c r="S1251" s="1">
        <v>8.2396840000000005</v>
      </c>
      <c r="T1251" s="1">
        <v>-0.106438674</v>
      </c>
      <c r="U1251" s="1">
        <v>1.474</v>
      </c>
      <c r="V1251" s="1">
        <v>103</v>
      </c>
      <c r="W1251" s="1">
        <v>193</v>
      </c>
      <c r="X1251" s="1">
        <v>1.8737864077669903</v>
      </c>
      <c r="Y1251" s="1">
        <v>110</v>
      </c>
      <c r="Z1251" s="1">
        <v>193</v>
      </c>
      <c r="AA1251" s="1">
        <v>1.7545454545454546</v>
      </c>
      <c r="AB1251" s="1">
        <v>110.0778337695162</v>
      </c>
      <c r="AC1251" s="1">
        <v>192.97551681675941</v>
      </c>
      <c r="AD1251" s="1">
        <v>1.7530824345691296</v>
      </c>
      <c r="AE1251" t="s">
        <v>4817</v>
      </c>
      <c r="AF1251" t="str">
        <f>IF(X1251&lt;$AF$1,"Bajo","Alto")</f>
        <v>Alto</v>
      </c>
      <c r="AG1251" t="str">
        <f>LEFT(AE1251,1)</f>
        <v>C</v>
      </c>
      <c r="AH1251" t="str">
        <f>K1251</f>
        <v>M</v>
      </c>
      <c r="AI1251" t="str">
        <f>LEFT(AF1251,1)</f>
        <v>A</v>
      </c>
      <c r="AJ1251" t="str">
        <f>LEFT(M1251,1)</f>
        <v>M</v>
      </c>
      <c r="AK1251" t="str">
        <f>_xlfn.CONCAT(AG1251,AH1251,AI1251,AJ1251)</f>
        <v>CMAM</v>
      </c>
    </row>
    <row r="1252" spans="1:37" ht="15.75" hidden="1" customHeight="1" x14ac:dyDescent="0.2">
      <c r="A1252" s="1">
        <v>641803</v>
      </c>
      <c r="B1252" s="1" t="s">
        <v>4718</v>
      </c>
      <c r="C1252" s="1" t="s">
        <v>710</v>
      </c>
      <c r="D1252" s="1" t="s">
        <v>3592</v>
      </c>
      <c r="E1252" s="1" t="s">
        <v>959</v>
      </c>
      <c r="F1252" s="1" t="s">
        <v>63</v>
      </c>
      <c r="G1252" s="1" t="s">
        <v>4751</v>
      </c>
      <c r="H1252" s="1">
        <v>2520</v>
      </c>
      <c r="I1252" s="1" t="s">
        <v>65</v>
      </c>
      <c r="J1252" s="1">
        <v>2</v>
      </c>
      <c r="K1252" s="1" t="s">
        <v>35</v>
      </c>
      <c r="L1252" s="1">
        <v>44</v>
      </c>
      <c r="M1252" s="1" t="str">
        <f>IF(L1252&lt;=45,"Joven","Mayor")</f>
        <v>Joven</v>
      </c>
      <c r="N1252" s="1">
        <v>52</v>
      </c>
      <c r="O1252" s="1" t="s">
        <v>36</v>
      </c>
      <c r="P1252" s="1">
        <v>0.35799999999999998</v>
      </c>
      <c r="Q1252" s="1">
        <v>81.293000000000006</v>
      </c>
      <c r="R1252" s="1">
        <v>-8.3966239999999992</v>
      </c>
      <c r="S1252" s="1">
        <v>9.0790740000000003</v>
      </c>
      <c r="T1252" s="1">
        <v>2.1275507999999999</v>
      </c>
      <c r="U1252" s="1">
        <v>8.3559999999999999</v>
      </c>
      <c r="V1252" s="1">
        <v>123</v>
      </c>
      <c r="W1252" s="1">
        <v>206</v>
      </c>
      <c r="X1252" s="1">
        <v>1.6747967479674797</v>
      </c>
      <c r="Y1252" s="1">
        <v>125</v>
      </c>
      <c r="Z1252" s="1">
        <v>206</v>
      </c>
      <c r="AA1252" s="1">
        <v>1.6479999999999999</v>
      </c>
      <c r="AB1252" s="1">
        <v>124.84567109035881</v>
      </c>
      <c r="AC1252" s="1">
        <v>205.93224402373789</v>
      </c>
      <c r="AD1252" s="1">
        <v>1.6494944696535896</v>
      </c>
      <c r="AE1252" t="s">
        <v>4817</v>
      </c>
      <c r="AF1252" t="str">
        <f>IF(X1252&lt;$AF$1,"Bajo","Alto")</f>
        <v>Bajo</v>
      </c>
      <c r="AG1252" t="str">
        <f>LEFT(AE1252,1)</f>
        <v>C</v>
      </c>
      <c r="AH1252" t="str">
        <f>K1252</f>
        <v>M</v>
      </c>
      <c r="AI1252" t="str">
        <f>LEFT(AF1252,1)</f>
        <v>B</v>
      </c>
      <c r="AJ1252" t="str">
        <f>LEFT(M1252,1)</f>
        <v>J</v>
      </c>
      <c r="AK1252" t="str">
        <f>_xlfn.CONCAT(AG1252,AH1252,AI1252,AJ1252)</f>
        <v>CMBJ</v>
      </c>
    </row>
    <row r="1253" spans="1:37" ht="15.75" hidden="1" customHeight="1" x14ac:dyDescent="0.2">
      <c r="A1253" s="1">
        <v>441208</v>
      </c>
      <c r="B1253" s="1" t="s">
        <v>4314</v>
      </c>
      <c r="C1253" s="1" t="s">
        <v>995</v>
      </c>
      <c r="D1253" s="1" t="s">
        <v>4346</v>
      </c>
      <c r="E1253" s="1" t="s">
        <v>54</v>
      </c>
      <c r="F1253" s="1" t="s">
        <v>46</v>
      </c>
      <c r="G1253" s="1" t="s">
        <v>4353</v>
      </c>
      <c r="H1253" s="1">
        <v>73</v>
      </c>
      <c r="I1253" s="1" t="s">
        <v>134</v>
      </c>
      <c r="J1253" s="1">
        <v>8</v>
      </c>
      <c r="K1253" s="1" t="s">
        <v>35</v>
      </c>
      <c r="L1253" s="1">
        <v>39</v>
      </c>
      <c r="M1253" s="1" t="str">
        <f>IF(L1253&lt;=45,"Joven","Mayor")</f>
        <v>Joven</v>
      </c>
      <c r="N1253" s="1">
        <v>47</v>
      </c>
      <c r="O1253" s="1" t="s">
        <v>36</v>
      </c>
      <c r="P1253" s="1">
        <v>0.36299999999999999</v>
      </c>
      <c r="Q1253" s="1">
        <v>90.402000000000001</v>
      </c>
      <c r="R1253" s="1">
        <v>5.4550704999999997</v>
      </c>
      <c r="S1253" s="1">
        <v>-2.5091714999999999</v>
      </c>
      <c r="T1253" s="1">
        <v>0.17054923999999999</v>
      </c>
      <c r="U1253" s="1">
        <v>1.726</v>
      </c>
      <c r="V1253" s="1">
        <v>93</v>
      </c>
      <c r="W1253" s="1">
        <v>175</v>
      </c>
      <c r="X1253" s="1">
        <v>1.881720430107527</v>
      </c>
      <c r="Y1253" s="1">
        <v>97</v>
      </c>
      <c r="Z1253" s="1">
        <v>175</v>
      </c>
      <c r="AA1253" s="1">
        <v>1.8041237113402062</v>
      </c>
      <c r="AB1253" s="1">
        <v>97.148402338896631</v>
      </c>
      <c r="AC1253" s="1">
        <v>174.9992247138166</v>
      </c>
      <c r="AD1253" s="1">
        <v>1.8013597805071651</v>
      </c>
      <c r="AE1253" t="s">
        <v>4817</v>
      </c>
      <c r="AF1253" t="str">
        <f>IF(X1253&lt;$AF$1,"Bajo","Alto")</f>
        <v>Alto</v>
      </c>
      <c r="AG1253" t="str">
        <f>LEFT(AE1253,1)</f>
        <v>C</v>
      </c>
      <c r="AH1253" t="str">
        <f>K1253</f>
        <v>M</v>
      </c>
      <c r="AI1253" t="str">
        <f>LEFT(AF1253,1)</f>
        <v>A</v>
      </c>
      <c r="AJ1253" t="str">
        <f>LEFT(M1253,1)</f>
        <v>J</v>
      </c>
      <c r="AK1253" t="str">
        <f>_xlfn.CONCAT(AG1253,AH1253,AI1253,AJ1253)</f>
        <v>CMAJ</v>
      </c>
    </row>
    <row r="1254" spans="1:37" ht="15.75" hidden="1" customHeight="1" x14ac:dyDescent="0.2">
      <c r="A1254" s="1">
        <v>526003</v>
      </c>
      <c r="B1254" s="1" t="s">
        <v>4529</v>
      </c>
      <c r="C1254" s="1" t="s">
        <v>685</v>
      </c>
      <c r="D1254" s="1" t="s">
        <v>4664</v>
      </c>
      <c r="E1254" s="1" t="s">
        <v>1458</v>
      </c>
      <c r="F1254" s="1" t="s">
        <v>63</v>
      </c>
      <c r="G1254" s="1" t="s">
        <v>4666</v>
      </c>
      <c r="H1254" s="1">
        <v>144</v>
      </c>
      <c r="I1254" s="1" t="s">
        <v>42</v>
      </c>
      <c r="J1254" s="1">
        <v>15</v>
      </c>
      <c r="K1254" s="1" t="s">
        <v>49</v>
      </c>
      <c r="L1254" s="1">
        <v>38</v>
      </c>
      <c r="M1254" s="1" t="str">
        <f>IF(L1254&lt;=45,"Joven","Mayor")</f>
        <v>Joven</v>
      </c>
      <c r="N1254" s="1">
        <v>44</v>
      </c>
      <c r="O1254" s="1" t="s">
        <v>50</v>
      </c>
      <c r="P1254" s="1">
        <v>0.36499999999999999</v>
      </c>
      <c r="Q1254" s="1">
        <v>87.503</v>
      </c>
      <c r="R1254" s="1">
        <v>-6.6524020000000004</v>
      </c>
      <c r="S1254" s="1">
        <v>5.4755573000000002</v>
      </c>
      <c r="T1254" s="1">
        <v>10.957257</v>
      </c>
      <c r="U1254" s="1">
        <v>73.956999999999994</v>
      </c>
      <c r="V1254" s="1">
        <v>89</v>
      </c>
      <c r="W1254" s="1">
        <v>169</v>
      </c>
      <c r="X1254" s="1">
        <v>1.898876404494382</v>
      </c>
      <c r="Y1254" s="1">
        <v>105</v>
      </c>
      <c r="Z1254" s="1">
        <v>169</v>
      </c>
      <c r="AA1254" s="1">
        <v>1.6095238095238096</v>
      </c>
      <c r="AB1254" s="1">
        <v>98.591985598549627</v>
      </c>
      <c r="AC1254" s="1">
        <v>170.86099679248221</v>
      </c>
      <c r="AD1254" s="1">
        <v>1.7330110125603935</v>
      </c>
      <c r="AE1254" t="s">
        <v>4817</v>
      </c>
      <c r="AF1254" t="str">
        <f>IF(X1254&lt;$AF$1,"Bajo","Alto")</f>
        <v>Alto</v>
      </c>
      <c r="AG1254" t="str">
        <f>LEFT(AE1254,1)</f>
        <v>C</v>
      </c>
      <c r="AH1254" t="str">
        <f>K1254</f>
        <v>F</v>
      </c>
      <c r="AI1254" t="str">
        <f>LEFT(AF1254,1)</f>
        <v>A</v>
      </c>
      <c r="AJ1254" t="str">
        <f>LEFT(M1254,1)</f>
        <v>J</v>
      </c>
      <c r="AK1254" t="str">
        <f>_xlfn.CONCAT(AG1254,AH1254,AI1254,AJ1254)</f>
        <v>CFAJ</v>
      </c>
    </row>
    <row r="1255" spans="1:37" ht="15.75" hidden="1" customHeight="1" x14ac:dyDescent="0.2">
      <c r="A1255" s="1">
        <v>1522002</v>
      </c>
      <c r="B1255" s="1" t="s">
        <v>2077</v>
      </c>
      <c r="C1255" s="1" t="s">
        <v>57</v>
      </c>
      <c r="D1255" s="1" t="s">
        <v>2256</v>
      </c>
      <c r="E1255" s="1" t="s">
        <v>414</v>
      </c>
      <c r="F1255" s="1" t="s">
        <v>37</v>
      </c>
      <c r="G1255" s="1" t="s">
        <v>2259</v>
      </c>
      <c r="H1255" s="1">
        <v>2806</v>
      </c>
      <c r="I1255" s="1" t="s">
        <v>2260</v>
      </c>
      <c r="J1255" s="1">
        <v>3591</v>
      </c>
      <c r="K1255" s="1" t="s">
        <v>35</v>
      </c>
      <c r="L1255" s="1">
        <v>61</v>
      </c>
      <c r="M1255" s="1" t="str">
        <f>IF(L1255&lt;=45,"Joven","Mayor")</f>
        <v>Mayor</v>
      </c>
      <c r="N1255" s="1">
        <v>77</v>
      </c>
      <c r="O1255" s="1" t="s">
        <v>36</v>
      </c>
      <c r="P1255" s="1">
        <v>0.18099999999999999</v>
      </c>
      <c r="Q1255" s="1">
        <v>87.733000000000004</v>
      </c>
      <c r="R1255" s="1">
        <v>6.563993</v>
      </c>
      <c r="S1255" s="1">
        <v>5.4653324999999997</v>
      </c>
      <c r="T1255" s="1">
        <v>-5.3514030000000004</v>
      </c>
      <c r="U1255" s="1">
        <v>0.45</v>
      </c>
      <c r="V1255" s="1">
        <v>79</v>
      </c>
      <c r="W1255" s="1">
        <v>148</v>
      </c>
      <c r="X1255" s="1">
        <v>1.8734177215189873</v>
      </c>
      <c r="Y1255" s="1">
        <v>83</v>
      </c>
      <c r="Z1255" s="1">
        <v>148</v>
      </c>
      <c r="AA1255" s="1">
        <v>1.7831325301204819</v>
      </c>
      <c r="AB1255" s="1">
        <v>82.945810580528132</v>
      </c>
      <c r="AC1255" s="1">
        <v>147.82125053504521</v>
      </c>
      <c r="AD1255" s="1">
        <v>1.7821424554231418</v>
      </c>
      <c r="AE1255" t="s">
        <v>4817</v>
      </c>
      <c r="AF1255" t="str">
        <f>IF(X1255&lt;$AF$1,"Bajo","Alto")</f>
        <v>Alto</v>
      </c>
      <c r="AG1255" t="str">
        <f>LEFT(AE1255,1)</f>
        <v>C</v>
      </c>
      <c r="AH1255" t="str">
        <f>K1255</f>
        <v>M</v>
      </c>
      <c r="AI1255" t="str">
        <f>LEFT(AF1255,1)</f>
        <v>A</v>
      </c>
      <c r="AJ1255" t="str">
        <f>LEFT(M1255,1)</f>
        <v>M</v>
      </c>
      <c r="AK1255" t="str">
        <f>_xlfn.CONCAT(AG1255,AH1255,AI1255,AJ1255)</f>
        <v>CMAM</v>
      </c>
    </row>
    <row r="1256" spans="1:37" ht="15.75" hidden="1" customHeight="1" x14ac:dyDescent="0.2">
      <c r="A1256" s="1">
        <v>131302</v>
      </c>
      <c r="B1256" s="1" t="s">
        <v>956</v>
      </c>
      <c r="C1256" s="1" t="s">
        <v>163</v>
      </c>
      <c r="D1256" s="1" t="s">
        <v>1973</v>
      </c>
      <c r="E1256" s="1" t="s">
        <v>163</v>
      </c>
      <c r="F1256" s="1" t="s">
        <v>37</v>
      </c>
      <c r="G1256" s="1" t="s">
        <v>1974</v>
      </c>
      <c r="H1256" s="1">
        <v>1384</v>
      </c>
      <c r="I1256" s="1" t="s">
        <v>42</v>
      </c>
      <c r="J1256" s="1">
        <v>15</v>
      </c>
      <c r="K1256" s="1" t="s">
        <v>35</v>
      </c>
      <c r="L1256" s="1">
        <v>41</v>
      </c>
      <c r="M1256" s="1" t="str">
        <f>IF(L1256&lt;=45,"Joven","Mayor")</f>
        <v>Joven</v>
      </c>
      <c r="N1256" s="1">
        <v>41</v>
      </c>
      <c r="O1256" s="1" t="s">
        <v>36</v>
      </c>
      <c r="P1256" s="1">
        <v>0.86299999999999999</v>
      </c>
      <c r="Q1256" s="1">
        <v>94.131</v>
      </c>
      <c r="R1256" s="1">
        <v>0.52388835</v>
      </c>
      <c r="S1256" s="1">
        <v>-2.7218406000000002</v>
      </c>
      <c r="T1256" s="1">
        <v>-5.1306596000000004</v>
      </c>
      <c r="U1256" s="1">
        <v>3.1480000000000001</v>
      </c>
      <c r="V1256" s="1">
        <v>58</v>
      </c>
      <c r="W1256" s="1">
        <v>109</v>
      </c>
      <c r="X1256" s="1">
        <v>1.8793103448275863</v>
      </c>
      <c r="Y1256" s="1">
        <v>60</v>
      </c>
      <c r="Z1256" s="1">
        <v>109</v>
      </c>
      <c r="AA1256" s="1">
        <v>1.8166666666666667</v>
      </c>
      <c r="AB1256" s="1">
        <v>60.62928741227779</v>
      </c>
      <c r="AC1256" s="1">
        <v>108.9209847463799</v>
      </c>
      <c r="AD1256" s="1">
        <v>1.7965077505483391</v>
      </c>
      <c r="AE1256" t="s">
        <v>4817</v>
      </c>
      <c r="AF1256" t="str">
        <f>IF(X1256&lt;$AF$1,"Bajo","Alto")</f>
        <v>Alto</v>
      </c>
      <c r="AG1256" t="str">
        <f>LEFT(AE1256,1)</f>
        <v>C</v>
      </c>
      <c r="AH1256" t="str">
        <f>K1256</f>
        <v>M</v>
      </c>
      <c r="AI1256" t="str">
        <f>LEFT(AF1256,1)</f>
        <v>A</v>
      </c>
      <c r="AJ1256" t="str">
        <f>LEFT(M1256,1)</f>
        <v>J</v>
      </c>
      <c r="AK1256" t="str">
        <f>_xlfn.CONCAT(AG1256,AH1256,AI1256,AJ1256)</f>
        <v>CMAJ</v>
      </c>
    </row>
    <row r="1257" spans="1:37" ht="15.75" hidden="1" customHeight="1" x14ac:dyDescent="0.2">
      <c r="A1257" s="1">
        <v>520506</v>
      </c>
      <c r="B1257" s="1" t="s">
        <v>4529</v>
      </c>
      <c r="C1257" s="1" t="s">
        <v>685</v>
      </c>
      <c r="D1257" s="1" t="s">
        <v>4539</v>
      </c>
      <c r="E1257" s="1" t="s">
        <v>40</v>
      </c>
      <c r="F1257" s="1" t="s">
        <v>88</v>
      </c>
      <c r="G1257" s="1" t="s">
        <v>4542</v>
      </c>
      <c r="H1257" s="1">
        <v>208</v>
      </c>
      <c r="I1257" s="1" t="s">
        <v>93</v>
      </c>
      <c r="J1257" s="1">
        <v>9</v>
      </c>
      <c r="K1257" s="1" t="s">
        <v>35</v>
      </c>
      <c r="L1257" s="1">
        <v>64</v>
      </c>
      <c r="M1257" s="1" t="str">
        <f>IF(L1257&lt;=45,"Joven","Mayor")</f>
        <v>Mayor</v>
      </c>
      <c r="N1257" s="1">
        <v>60</v>
      </c>
      <c r="O1257" s="1" t="s">
        <v>36</v>
      </c>
      <c r="P1257" s="1">
        <v>0.377</v>
      </c>
      <c r="Q1257" s="1">
        <v>92.382000000000005</v>
      </c>
      <c r="R1257" s="1">
        <v>-2.8436808999999998</v>
      </c>
      <c r="S1257" s="1">
        <v>-4.4399157000000002</v>
      </c>
      <c r="T1257" s="1">
        <v>2.0078744999999998</v>
      </c>
      <c r="U1257" s="1">
        <v>2.39</v>
      </c>
      <c r="V1257" s="1">
        <v>99</v>
      </c>
      <c r="W1257" s="1">
        <v>165</v>
      </c>
      <c r="X1257" s="1">
        <v>1.6666666666666667</v>
      </c>
      <c r="Y1257" s="1">
        <v>102</v>
      </c>
      <c r="Z1257" s="1">
        <v>165</v>
      </c>
      <c r="AA1257" s="1">
        <v>1.6176470588235294</v>
      </c>
      <c r="AB1257" s="1">
        <v>100.64101075748979</v>
      </c>
      <c r="AC1257" s="1">
        <v>165.03884088168209</v>
      </c>
      <c r="AD1257" s="1">
        <v>1.6398766232522137</v>
      </c>
      <c r="AE1257" t="s">
        <v>4815</v>
      </c>
      <c r="AF1257" t="str">
        <f>IF(X1257&lt;$AF$1,"Bajo","Alto")</f>
        <v>Bajo</v>
      </c>
      <c r="AG1257" t="str">
        <f>LEFT(AE1257,1)</f>
        <v>I</v>
      </c>
      <c r="AH1257" t="str">
        <f>K1257</f>
        <v>M</v>
      </c>
      <c r="AI1257" t="str">
        <f>LEFT(AF1257,1)</f>
        <v>B</v>
      </c>
      <c r="AJ1257" t="str">
        <f>LEFT(M1257,1)</f>
        <v>M</v>
      </c>
      <c r="AK1257" t="str">
        <f>_xlfn.CONCAT(AG1257,AH1257,AI1257,AJ1257)</f>
        <v>IMBM</v>
      </c>
    </row>
    <row r="1258" spans="1:37" ht="15.75" hidden="1" customHeight="1" x14ac:dyDescent="0.2">
      <c r="A1258" s="1">
        <v>10122605</v>
      </c>
      <c r="B1258" s="1" t="s">
        <v>29</v>
      </c>
      <c r="C1258" s="1" t="s">
        <v>30</v>
      </c>
      <c r="D1258" s="1" t="s">
        <v>430</v>
      </c>
      <c r="E1258" s="1" t="s">
        <v>431</v>
      </c>
      <c r="F1258" s="1" t="s">
        <v>40</v>
      </c>
      <c r="G1258" s="1" t="s">
        <v>436</v>
      </c>
      <c r="H1258" s="1">
        <v>3545</v>
      </c>
      <c r="I1258" s="1" t="s">
        <v>437</v>
      </c>
      <c r="J1258" s="1">
        <v>2256</v>
      </c>
      <c r="K1258" s="1" t="s">
        <v>49</v>
      </c>
      <c r="L1258" s="1">
        <v>43</v>
      </c>
      <c r="M1258" s="1" t="str">
        <f>IF(L1258&lt;=45,"Joven","Mayor")</f>
        <v>Joven</v>
      </c>
      <c r="N1258" s="1">
        <v>55</v>
      </c>
      <c r="O1258" s="1" t="s">
        <v>50</v>
      </c>
      <c r="P1258" s="1">
        <v>1.069</v>
      </c>
      <c r="Q1258" s="1">
        <v>90.200999999999993</v>
      </c>
      <c r="R1258" s="1">
        <v>-5.5040779999999998</v>
      </c>
      <c r="S1258" s="1">
        <v>2.1479765999999998</v>
      </c>
      <c r="T1258" s="1">
        <v>2.5944280000000002</v>
      </c>
      <c r="U1258" s="1">
        <v>43.192999999999998</v>
      </c>
      <c r="V1258" s="1">
        <v>100</v>
      </c>
      <c r="W1258" s="1">
        <v>167</v>
      </c>
      <c r="X1258" s="1">
        <v>1.67</v>
      </c>
      <c r="Y1258" s="1">
        <v>104</v>
      </c>
      <c r="Z1258" s="1">
        <v>167</v>
      </c>
      <c r="AA1258" s="1">
        <v>1.6057692307692308</v>
      </c>
      <c r="AB1258" s="1">
        <v>102.0702578980674</v>
      </c>
      <c r="AC1258" s="1">
        <v>167.0551502845874</v>
      </c>
      <c r="AD1258" s="1">
        <v>1.6366682491526303</v>
      </c>
      <c r="AE1258" t="s">
        <v>4817</v>
      </c>
      <c r="AF1258" t="str">
        <f>IF(X1258&lt;$AF$1,"Bajo","Alto")</f>
        <v>Bajo</v>
      </c>
      <c r="AG1258" t="str">
        <f>LEFT(AE1258,1)</f>
        <v>C</v>
      </c>
      <c r="AH1258" t="str">
        <f>K1258</f>
        <v>F</v>
      </c>
      <c r="AI1258" t="str">
        <f>LEFT(AF1258,1)</f>
        <v>B</v>
      </c>
      <c r="AJ1258" t="str">
        <f>LEFT(M1258,1)</f>
        <v>J</v>
      </c>
      <c r="AK1258" t="str">
        <f>_xlfn.CONCAT(AG1258,AH1258,AI1258,AJ1258)</f>
        <v>CFBJ</v>
      </c>
    </row>
    <row r="1259" spans="1:37" ht="15.75" hidden="1" customHeight="1" x14ac:dyDescent="0.2">
      <c r="A1259" s="1">
        <v>293101</v>
      </c>
      <c r="B1259" s="1" t="s">
        <v>3890</v>
      </c>
      <c r="C1259" s="1" t="s">
        <v>1695</v>
      </c>
      <c r="D1259" s="1" t="s">
        <v>3991</v>
      </c>
      <c r="E1259" s="1" t="s">
        <v>628</v>
      </c>
      <c r="F1259" s="1" t="s">
        <v>32</v>
      </c>
      <c r="G1259" s="1" t="s">
        <v>3992</v>
      </c>
      <c r="H1259" s="1">
        <v>531</v>
      </c>
      <c r="I1259" s="1" t="s">
        <v>100</v>
      </c>
      <c r="J1259" s="1">
        <v>1</v>
      </c>
      <c r="K1259" s="1" t="s">
        <v>35</v>
      </c>
      <c r="L1259" s="1">
        <v>70</v>
      </c>
      <c r="M1259" s="1" t="str">
        <f>IF(L1259&lt;=45,"Joven","Mayor")</f>
        <v>Mayor</v>
      </c>
      <c r="N1259" s="1">
        <v>67</v>
      </c>
      <c r="O1259" s="1" t="s">
        <v>36</v>
      </c>
      <c r="P1259" s="1">
        <v>0.38600000000000001</v>
      </c>
      <c r="Q1259" s="1">
        <v>92.454999999999998</v>
      </c>
      <c r="R1259" s="1">
        <v>1.5788314000000001</v>
      </c>
      <c r="S1259" s="1">
        <v>6.8984212999999999</v>
      </c>
      <c r="T1259" s="1">
        <v>-1.7971364999999999</v>
      </c>
      <c r="U1259" s="1">
        <v>4.99</v>
      </c>
      <c r="V1259" s="1">
        <v>105</v>
      </c>
      <c r="W1259" s="1">
        <v>174</v>
      </c>
      <c r="X1259" s="1">
        <v>1.6571428571428573</v>
      </c>
      <c r="Y1259" s="1">
        <v>107</v>
      </c>
      <c r="Z1259" s="1">
        <v>174</v>
      </c>
      <c r="AA1259" s="1">
        <v>1.6261682242990654</v>
      </c>
      <c r="AB1259" s="1">
        <v>108.4840493011566</v>
      </c>
      <c r="AC1259" s="1">
        <v>174.07121846807149</v>
      </c>
      <c r="AD1259" s="1">
        <v>1.6045789181858612</v>
      </c>
      <c r="AE1259" t="s">
        <v>4817</v>
      </c>
      <c r="AF1259" t="str">
        <f>IF(X1259&lt;$AF$1,"Bajo","Alto")</f>
        <v>Bajo</v>
      </c>
      <c r="AG1259" t="str">
        <f>LEFT(AE1259,1)</f>
        <v>C</v>
      </c>
      <c r="AH1259" t="str">
        <f>K1259</f>
        <v>M</v>
      </c>
      <c r="AI1259" t="str">
        <f>LEFT(AF1259,1)</f>
        <v>B</v>
      </c>
      <c r="AJ1259" t="str">
        <f>LEFT(M1259,1)</f>
        <v>M</v>
      </c>
      <c r="AK1259" t="str">
        <f>_xlfn.CONCAT(AG1259,AH1259,AI1259,AJ1259)</f>
        <v>CMBM</v>
      </c>
    </row>
    <row r="1260" spans="1:37" ht="15.75" hidden="1" customHeight="1" x14ac:dyDescent="0.2">
      <c r="A1260" s="1">
        <v>171607</v>
      </c>
      <c r="B1260" s="1" t="s">
        <v>2551</v>
      </c>
      <c r="C1260" s="1" t="s">
        <v>2552</v>
      </c>
      <c r="D1260" s="1" t="s">
        <v>2584</v>
      </c>
      <c r="E1260" s="1" t="s">
        <v>244</v>
      </c>
      <c r="F1260" s="1" t="s">
        <v>43</v>
      </c>
      <c r="G1260" s="1" t="s">
        <v>2590</v>
      </c>
      <c r="H1260" s="1">
        <v>530</v>
      </c>
      <c r="I1260" s="1" t="s">
        <v>2591</v>
      </c>
      <c r="J1260" s="1">
        <v>3859</v>
      </c>
      <c r="K1260" s="1" t="s">
        <v>35</v>
      </c>
      <c r="L1260" s="1">
        <v>50</v>
      </c>
      <c r="M1260" s="1" t="str">
        <f>IF(L1260&lt;=45,"Joven","Mayor")</f>
        <v>Mayor</v>
      </c>
      <c r="N1260" s="1">
        <v>39</v>
      </c>
      <c r="O1260" s="1" t="s">
        <v>36</v>
      </c>
      <c r="P1260" s="1">
        <v>2.9769999999999999</v>
      </c>
      <c r="Q1260" s="1">
        <v>84.792000000000002</v>
      </c>
      <c r="R1260" s="1">
        <v>7.3077300000000003</v>
      </c>
      <c r="S1260" s="1">
        <v>5.9285040000000002</v>
      </c>
      <c r="T1260" s="1">
        <v>-1.4431472999999999</v>
      </c>
      <c r="U1260" s="1">
        <v>48.929000000000002</v>
      </c>
      <c r="V1260" s="1">
        <v>79</v>
      </c>
      <c r="W1260" s="1">
        <v>148</v>
      </c>
      <c r="X1260" s="1">
        <v>1.8734177215189873</v>
      </c>
      <c r="Y1260" s="1">
        <v>81</v>
      </c>
      <c r="Z1260" s="1">
        <v>148</v>
      </c>
      <c r="AA1260" s="1">
        <v>1.8271604938271604</v>
      </c>
      <c r="AB1260" s="1">
        <v>79.992092052768839</v>
      </c>
      <c r="AC1260" s="1">
        <v>147.9530554893031</v>
      </c>
      <c r="AD1260" s="1">
        <v>1.8495960249633434</v>
      </c>
      <c r="AE1260" t="s">
        <v>4817</v>
      </c>
      <c r="AF1260" t="str">
        <f>IF(X1260&lt;$AF$1,"Bajo","Alto")</f>
        <v>Alto</v>
      </c>
      <c r="AG1260" t="str">
        <f>LEFT(AE1260,1)</f>
        <v>C</v>
      </c>
      <c r="AH1260" t="str">
        <f>K1260</f>
        <v>M</v>
      </c>
      <c r="AI1260" t="str">
        <f>LEFT(AF1260,1)</f>
        <v>A</v>
      </c>
      <c r="AJ1260" t="str">
        <f>LEFT(M1260,1)</f>
        <v>M</v>
      </c>
      <c r="AK1260" t="str">
        <f>_xlfn.CONCAT(AG1260,AH1260,AI1260,AJ1260)</f>
        <v>CMAM</v>
      </c>
    </row>
    <row r="1261" spans="1:37" ht="15.75" hidden="1" customHeight="1" x14ac:dyDescent="0.2">
      <c r="A1261" s="1">
        <v>319103</v>
      </c>
      <c r="B1261" s="1" t="s">
        <v>4122</v>
      </c>
      <c r="C1261" s="1" t="s">
        <v>628</v>
      </c>
      <c r="D1261" s="1" t="s">
        <v>4275</v>
      </c>
      <c r="E1261" s="1" t="s">
        <v>770</v>
      </c>
      <c r="F1261" s="1" t="s">
        <v>63</v>
      </c>
      <c r="G1261" s="1" t="s">
        <v>4277</v>
      </c>
      <c r="H1261" s="1">
        <v>7338</v>
      </c>
      <c r="I1261" s="1" t="s">
        <v>134</v>
      </c>
      <c r="J1261" s="1">
        <v>8</v>
      </c>
      <c r="K1261" s="1" t="s">
        <v>35</v>
      </c>
      <c r="L1261" s="1">
        <v>61</v>
      </c>
      <c r="M1261" s="1" t="str">
        <f>IF(L1261&lt;=45,"Joven","Mayor")</f>
        <v>Mayor</v>
      </c>
      <c r="N1261" s="1">
        <v>70</v>
      </c>
      <c r="O1261" s="1" t="s">
        <v>36</v>
      </c>
      <c r="P1261" s="1">
        <v>0.45600000000000002</v>
      </c>
      <c r="Q1261" s="1">
        <v>90.509</v>
      </c>
      <c r="R1261" s="1">
        <v>5.5337462000000004</v>
      </c>
      <c r="S1261" s="1">
        <v>-1.6981907999999999</v>
      </c>
      <c r="T1261" s="1">
        <v>-0.96384424000000002</v>
      </c>
      <c r="U1261" s="1">
        <v>8.2940000000000005</v>
      </c>
      <c r="V1261" s="1">
        <v>105</v>
      </c>
      <c r="W1261" s="1">
        <v>174</v>
      </c>
      <c r="X1261" s="1">
        <v>1.6571428571428573</v>
      </c>
      <c r="Y1261" s="1">
        <v>108</v>
      </c>
      <c r="Z1261" s="1">
        <v>174</v>
      </c>
      <c r="AA1261" s="1">
        <v>1.6111111111111112</v>
      </c>
      <c r="AB1261" s="1">
        <v>107.24457466272089</v>
      </c>
      <c r="AC1261" s="1">
        <v>174.05948791062059</v>
      </c>
      <c r="AD1261" s="1">
        <v>1.6230143898470335</v>
      </c>
      <c r="AE1261" t="s">
        <v>4817</v>
      </c>
      <c r="AF1261" t="str">
        <f>IF(X1261&lt;$AF$1,"Bajo","Alto")</f>
        <v>Bajo</v>
      </c>
      <c r="AG1261" t="str">
        <f>LEFT(AE1261,1)</f>
        <v>C</v>
      </c>
      <c r="AH1261" t="str">
        <f>K1261</f>
        <v>M</v>
      </c>
      <c r="AI1261" t="str">
        <f>LEFT(AF1261,1)</f>
        <v>B</v>
      </c>
      <c r="AJ1261" t="str">
        <f>LEFT(M1261,1)</f>
        <v>M</v>
      </c>
      <c r="AK1261" t="str">
        <f>_xlfn.CONCAT(AG1261,AH1261,AI1261,AJ1261)</f>
        <v>CMBM</v>
      </c>
    </row>
    <row r="1262" spans="1:37" ht="15.75" hidden="1" customHeight="1" x14ac:dyDescent="0.2">
      <c r="A1262" s="1">
        <v>2820007</v>
      </c>
      <c r="B1262" s="1" t="s">
        <v>1775</v>
      </c>
      <c r="C1262" s="1" t="s">
        <v>561</v>
      </c>
      <c r="D1262" s="1" t="s">
        <v>3800</v>
      </c>
      <c r="E1262" s="1" t="s">
        <v>1814</v>
      </c>
      <c r="F1262" s="1" t="s">
        <v>43</v>
      </c>
      <c r="G1262" s="1" t="s">
        <v>3806</v>
      </c>
      <c r="H1262" s="1">
        <v>125</v>
      </c>
      <c r="I1262" s="1" t="s">
        <v>65</v>
      </c>
      <c r="J1262" s="1">
        <v>2</v>
      </c>
      <c r="K1262" s="1" t="s">
        <v>35</v>
      </c>
      <c r="L1262" s="1">
        <v>57</v>
      </c>
      <c r="M1262" s="1" t="str">
        <f>IF(L1262&lt;=45,"Joven","Mayor")</f>
        <v>Mayor</v>
      </c>
      <c r="N1262" s="1">
        <v>49</v>
      </c>
      <c r="O1262" s="1" t="s">
        <v>36</v>
      </c>
      <c r="P1262" s="1">
        <v>1.091</v>
      </c>
      <c r="Q1262" s="1">
        <v>92.438000000000002</v>
      </c>
      <c r="R1262" s="1">
        <v>2.980375</v>
      </c>
      <c r="S1262" s="1">
        <v>3.148301</v>
      </c>
      <c r="T1262" s="1">
        <v>-5.1952477000000004</v>
      </c>
      <c r="U1262" s="1">
        <v>2.3730000000000002</v>
      </c>
      <c r="V1262" s="1">
        <v>79</v>
      </c>
      <c r="W1262" s="1">
        <v>131</v>
      </c>
      <c r="X1262" s="1">
        <v>1.6582278481012658</v>
      </c>
      <c r="Y1262" s="1">
        <v>80</v>
      </c>
      <c r="Z1262" s="1">
        <v>131</v>
      </c>
      <c r="AA1262" s="1">
        <v>1.6375</v>
      </c>
      <c r="AB1262" s="1">
        <v>81.844710320559443</v>
      </c>
      <c r="AC1262" s="1">
        <v>130.9145904344</v>
      </c>
      <c r="AD1262" s="1">
        <v>1.5995485831845404</v>
      </c>
      <c r="AE1262" t="s">
        <v>4817</v>
      </c>
      <c r="AF1262" t="str">
        <f>IF(X1262&lt;$AF$1,"Bajo","Alto")</f>
        <v>Bajo</v>
      </c>
      <c r="AG1262" t="str">
        <f>LEFT(AE1262,1)</f>
        <v>C</v>
      </c>
      <c r="AH1262" t="str">
        <f>K1262</f>
        <v>M</v>
      </c>
      <c r="AI1262" t="str">
        <f>LEFT(AF1262,1)</f>
        <v>B</v>
      </c>
      <c r="AJ1262" t="str">
        <f>LEFT(M1262,1)</f>
        <v>M</v>
      </c>
      <c r="AK1262" t="str">
        <f>_xlfn.CONCAT(AG1262,AH1262,AI1262,AJ1262)</f>
        <v>CMBM</v>
      </c>
    </row>
    <row r="1263" spans="1:37" ht="15.75" hidden="1" customHeight="1" x14ac:dyDescent="0.2">
      <c r="A1263" s="1">
        <v>298207</v>
      </c>
      <c r="B1263" s="1" t="s">
        <v>3890</v>
      </c>
      <c r="C1263" s="1" t="s">
        <v>1695</v>
      </c>
      <c r="D1263" s="1" t="s">
        <v>4081</v>
      </c>
      <c r="E1263" s="1" t="s">
        <v>752</v>
      </c>
      <c r="F1263" s="1" t="s">
        <v>43</v>
      </c>
      <c r="G1263" s="1" t="s">
        <v>4084</v>
      </c>
      <c r="H1263" s="1">
        <v>1277</v>
      </c>
      <c r="I1263" s="1" t="s">
        <v>4085</v>
      </c>
      <c r="J1263" s="1">
        <v>2162</v>
      </c>
      <c r="K1263" s="1" t="s">
        <v>49</v>
      </c>
      <c r="L1263" s="1">
        <v>51</v>
      </c>
      <c r="M1263" s="1" t="str">
        <f>IF(L1263&lt;=45,"Joven","Mayor")</f>
        <v>Mayor</v>
      </c>
      <c r="N1263" s="1">
        <v>36</v>
      </c>
      <c r="O1263" s="1" t="s">
        <v>50</v>
      </c>
      <c r="P1263" s="1">
        <v>0.56000000000000005</v>
      </c>
      <c r="Q1263" s="1">
        <v>74.069000000000003</v>
      </c>
      <c r="R1263" s="1">
        <v>-12.118064</v>
      </c>
      <c r="S1263" s="1">
        <v>-1.1446628999999999</v>
      </c>
      <c r="T1263" s="1">
        <v>4.7189519999999998</v>
      </c>
      <c r="U1263" s="1">
        <v>57.847999999999999</v>
      </c>
      <c r="V1263" s="1">
        <v>77</v>
      </c>
      <c r="W1263" s="1">
        <v>127</v>
      </c>
      <c r="X1263" s="1">
        <v>1.6493506493506493</v>
      </c>
      <c r="Y1263" s="1">
        <v>79</v>
      </c>
      <c r="Z1263" s="1">
        <v>127</v>
      </c>
      <c r="AA1263" s="1">
        <v>1.6075949367088607</v>
      </c>
      <c r="AB1263" s="1">
        <v>80.542107765934361</v>
      </c>
      <c r="AC1263" s="1">
        <v>125.58228109596079</v>
      </c>
      <c r="AD1263" s="1">
        <v>1.5592127469635997</v>
      </c>
      <c r="AE1263" t="s">
        <v>4817</v>
      </c>
      <c r="AF1263" t="str">
        <f>IF(X1263&lt;$AF$1,"Bajo","Alto")</f>
        <v>Bajo</v>
      </c>
      <c r="AG1263" t="str">
        <f>LEFT(AE1263,1)</f>
        <v>C</v>
      </c>
      <c r="AH1263" t="str">
        <f>K1263</f>
        <v>F</v>
      </c>
      <c r="AI1263" t="str">
        <f>LEFT(AF1263,1)</f>
        <v>B</v>
      </c>
      <c r="AJ1263" t="str">
        <f>LEFT(M1263,1)</f>
        <v>M</v>
      </c>
      <c r="AK1263" t="str">
        <f>_xlfn.CONCAT(AG1263,AH1263,AI1263,AJ1263)</f>
        <v>CFBM</v>
      </c>
    </row>
    <row r="1264" spans="1:37" ht="15.75" hidden="1" customHeight="1" x14ac:dyDescent="0.2">
      <c r="A1264" s="1">
        <v>10724804</v>
      </c>
      <c r="B1264" s="1" t="s">
        <v>1067</v>
      </c>
      <c r="C1264" s="1" t="s">
        <v>1068</v>
      </c>
      <c r="D1264" s="1" t="s">
        <v>1274</v>
      </c>
      <c r="E1264" s="1" t="s">
        <v>1275</v>
      </c>
      <c r="F1264" s="1" t="s">
        <v>61</v>
      </c>
      <c r="G1264" s="1" t="s">
        <v>1279</v>
      </c>
      <c r="H1264" s="1">
        <v>87</v>
      </c>
      <c r="I1264" s="1" t="s">
        <v>48</v>
      </c>
      <c r="J1264" s="1">
        <v>4</v>
      </c>
      <c r="K1264" s="1" t="s">
        <v>35</v>
      </c>
      <c r="L1264" s="1">
        <v>48</v>
      </c>
      <c r="M1264" s="1" t="str">
        <f>IF(L1264&lt;=45,"Joven","Mayor")</f>
        <v>Mayor</v>
      </c>
      <c r="N1264" s="1">
        <v>56</v>
      </c>
      <c r="O1264" s="1" t="s">
        <v>36</v>
      </c>
      <c r="P1264" s="1">
        <v>0.34300000000000003</v>
      </c>
      <c r="Q1264" s="1">
        <v>90.037999999999997</v>
      </c>
      <c r="R1264" s="1">
        <v>6.2419304999999996</v>
      </c>
      <c r="S1264" s="1">
        <v>0.12775355999999999</v>
      </c>
      <c r="T1264" s="1">
        <v>-5.9683495000000004</v>
      </c>
      <c r="U1264" s="1">
        <v>3.2040000000000002</v>
      </c>
      <c r="V1264" s="1">
        <v>85</v>
      </c>
      <c r="W1264" s="1">
        <v>141</v>
      </c>
      <c r="X1264" s="1">
        <v>1.6588235294117648</v>
      </c>
      <c r="Y1264" s="1">
        <v>89</v>
      </c>
      <c r="Z1264" s="1">
        <v>141</v>
      </c>
      <c r="AA1264" s="1">
        <v>1.5842696629213484</v>
      </c>
      <c r="AB1264" s="1">
        <v>89.11433527996769</v>
      </c>
      <c r="AC1264" s="1">
        <v>141.27549816649531</v>
      </c>
      <c r="AD1264" s="1">
        <v>1.5853285301703093</v>
      </c>
      <c r="AE1264" t="s">
        <v>4817</v>
      </c>
      <c r="AF1264" t="str">
        <f>IF(X1264&lt;$AF$1,"Bajo","Alto")</f>
        <v>Bajo</v>
      </c>
      <c r="AG1264" t="str">
        <f>LEFT(AE1264,1)</f>
        <v>C</v>
      </c>
      <c r="AH1264" t="str">
        <f>K1264</f>
        <v>M</v>
      </c>
      <c r="AI1264" t="str">
        <f>LEFT(AF1264,1)</f>
        <v>B</v>
      </c>
      <c r="AJ1264" t="str">
        <f>LEFT(M1264,1)</f>
        <v>M</v>
      </c>
      <c r="AK1264" t="str">
        <f>_xlfn.CONCAT(AG1264,AH1264,AI1264,AJ1264)</f>
        <v>CMBM</v>
      </c>
    </row>
    <row r="1265" spans="1:37" ht="15.75" hidden="1" customHeight="1" x14ac:dyDescent="0.2">
      <c r="A1265" s="1">
        <v>171603</v>
      </c>
      <c r="B1265" s="1" t="s">
        <v>2551</v>
      </c>
      <c r="C1265" s="1" t="s">
        <v>2552</v>
      </c>
      <c r="D1265" s="1" t="s">
        <v>2584</v>
      </c>
      <c r="E1265" s="1" t="s">
        <v>244</v>
      </c>
      <c r="F1265" s="1" t="s">
        <v>63</v>
      </c>
      <c r="G1265" s="1" t="s">
        <v>2587</v>
      </c>
      <c r="H1265" s="1">
        <v>132</v>
      </c>
      <c r="I1265" s="1" t="s">
        <v>91</v>
      </c>
      <c r="J1265" s="1">
        <v>6</v>
      </c>
      <c r="K1265" s="1" t="s">
        <v>35</v>
      </c>
      <c r="L1265" s="1">
        <v>54</v>
      </c>
      <c r="M1265" s="1" t="str">
        <f>IF(L1265&lt;=45,"Joven","Mayor")</f>
        <v>Mayor</v>
      </c>
      <c r="N1265" s="1">
        <v>60</v>
      </c>
      <c r="O1265" s="1" t="s">
        <v>36</v>
      </c>
      <c r="P1265" s="1">
        <v>0.16200000000000001</v>
      </c>
      <c r="Q1265" s="1">
        <v>88.855999999999995</v>
      </c>
      <c r="R1265" s="1">
        <v>4.6881599999999999</v>
      </c>
      <c r="S1265" s="1">
        <v>-8.410247</v>
      </c>
      <c r="T1265" s="1">
        <v>-6.4837803999999997</v>
      </c>
      <c r="U1265" s="1">
        <v>1.9370000000000001</v>
      </c>
      <c r="V1265" s="1">
        <v>71</v>
      </c>
      <c r="W1265" s="1">
        <v>133</v>
      </c>
      <c r="X1265" s="1">
        <v>1.8732394366197183</v>
      </c>
      <c r="Y1265" s="1">
        <v>79</v>
      </c>
      <c r="Z1265" s="1">
        <v>133</v>
      </c>
      <c r="AA1265" s="1">
        <v>1.6835443037974684</v>
      </c>
      <c r="AB1265" s="1">
        <v>75.219968739270371</v>
      </c>
      <c r="AC1265" s="1">
        <v>133.50437697426739</v>
      </c>
      <c r="AD1265" s="1">
        <v>1.7748528643640376</v>
      </c>
      <c r="AE1265" t="s">
        <v>4817</v>
      </c>
      <c r="AF1265" t="str">
        <f>IF(X1265&lt;$AF$1,"Bajo","Alto")</f>
        <v>Alto</v>
      </c>
      <c r="AG1265" t="str">
        <f>LEFT(AE1265,1)</f>
        <v>C</v>
      </c>
      <c r="AH1265" t="str">
        <f>K1265</f>
        <v>M</v>
      </c>
      <c r="AI1265" t="str">
        <f>LEFT(AF1265,1)</f>
        <v>A</v>
      </c>
      <c r="AJ1265" t="str">
        <f>LEFT(M1265,1)</f>
        <v>M</v>
      </c>
      <c r="AK1265" t="str">
        <f>_xlfn.CONCAT(AG1265,AH1265,AI1265,AJ1265)</f>
        <v>CMAM</v>
      </c>
    </row>
    <row r="1266" spans="1:37" ht="15.75" hidden="1" customHeight="1" x14ac:dyDescent="0.2">
      <c r="A1266" s="1">
        <v>10725901</v>
      </c>
      <c r="B1266" s="1" t="s">
        <v>1067</v>
      </c>
      <c r="C1266" s="1" t="s">
        <v>1068</v>
      </c>
      <c r="D1266" s="1" t="s">
        <v>1301</v>
      </c>
      <c r="E1266" s="1" t="s">
        <v>517</v>
      </c>
      <c r="F1266" s="1" t="s">
        <v>32</v>
      </c>
      <c r="G1266" s="1" t="s">
        <v>1302</v>
      </c>
      <c r="H1266" s="1">
        <v>915</v>
      </c>
      <c r="I1266" s="1" t="s">
        <v>48</v>
      </c>
      <c r="J1266" s="1">
        <v>4</v>
      </c>
      <c r="K1266" s="1" t="s">
        <v>35</v>
      </c>
      <c r="L1266" s="1">
        <v>44</v>
      </c>
      <c r="M1266" s="1" t="str">
        <f>IF(L1266&lt;=45,"Joven","Mayor")</f>
        <v>Joven</v>
      </c>
      <c r="N1266" s="1">
        <v>53</v>
      </c>
      <c r="O1266" s="1" t="s">
        <v>36</v>
      </c>
      <c r="P1266" s="1">
        <v>0.35699999999999998</v>
      </c>
      <c r="Q1266" s="1">
        <v>90.582999999999998</v>
      </c>
      <c r="R1266" s="1">
        <v>4.0145929999999996</v>
      </c>
      <c r="S1266" s="1">
        <v>6.4443707000000003</v>
      </c>
      <c r="T1266" s="1">
        <v>-2.8109434000000002</v>
      </c>
      <c r="U1266" s="1">
        <v>89.207999999999998</v>
      </c>
      <c r="V1266" s="1">
        <v>77</v>
      </c>
      <c r="W1266" s="1">
        <v>129</v>
      </c>
      <c r="X1266" s="1">
        <v>1.6753246753246753</v>
      </c>
      <c r="Y1266" s="1">
        <v>78</v>
      </c>
      <c r="Z1266" s="1">
        <v>129</v>
      </c>
      <c r="AA1266" s="1">
        <v>1.6538461538461537</v>
      </c>
      <c r="AB1266" s="1">
        <v>79.671608946576725</v>
      </c>
      <c r="AC1266" s="1">
        <v>128.94286684620329</v>
      </c>
      <c r="AD1266" s="1">
        <v>1.618429306889799</v>
      </c>
      <c r="AE1266" t="s">
        <v>4817</v>
      </c>
      <c r="AF1266" t="str">
        <f>IF(X1266&lt;$AF$1,"Bajo","Alto")</f>
        <v>Bajo</v>
      </c>
      <c r="AG1266" t="str">
        <f>LEFT(AE1266,1)</f>
        <v>C</v>
      </c>
      <c r="AH1266" t="str">
        <f>K1266</f>
        <v>M</v>
      </c>
      <c r="AI1266" t="str">
        <f>LEFT(AF1266,1)</f>
        <v>B</v>
      </c>
      <c r="AJ1266" t="str">
        <f>LEFT(M1266,1)</f>
        <v>J</v>
      </c>
      <c r="AK1266" t="str">
        <f>_xlfn.CONCAT(AG1266,AH1266,AI1266,AJ1266)</f>
        <v>CMBJ</v>
      </c>
    </row>
    <row r="1267" spans="1:37" ht="15.75" hidden="1" customHeight="1" x14ac:dyDescent="0.2">
      <c r="A1267" s="1">
        <v>3110604</v>
      </c>
      <c r="B1267" s="1" t="s">
        <v>4122</v>
      </c>
      <c r="C1267" s="1" t="s">
        <v>628</v>
      </c>
      <c r="D1267" s="1" t="s">
        <v>4148</v>
      </c>
      <c r="E1267" s="1" t="s">
        <v>95</v>
      </c>
      <c r="F1267" s="1" t="s">
        <v>61</v>
      </c>
      <c r="G1267" s="1" t="s">
        <v>4150</v>
      </c>
      <c r="H1267" s="1">
        <v>38478</v>
      </c>
      <c r="I1267" s="1" t="s">
        <v>134</v>
      </c>
      <c r="J1267" s="1">
        <v>8</v>
      </c>
      <c r="K1267" s="1" t="s">
        <v>35</v>
      </c>
      <c r="L1267" s="1">
        <v>50</v>
      </c>
      <c r="M1267" s="1" t="str">
        <f>IF(L1267&lt;=45,"Joven","Mayor")</f>
        <v>Mayor</v>
      </c>
      <c r="N1267" s="1">
        <v>48</v>
      </c>
      <c r="O1267" s="1" t="s">
        <v>36</v>
      </c>
      <c r="P1267" s="1">
        <v>0.35099999999999998</v>
      </c>
      <c r="Q1267" s="1">
        <v>93.89</v>
      </c>
      <c r="R1267" s="1">
        <v>-0.97700050000000005</v>
      </c>
      <c r="S1267" s="1">
        <v>3.3329654</v>
      </c>
      <c r="T1267" s="1">
        <v>4.6109295000000001</v>
      </c>
      <c r="U1267" s="1">
        <v>6.6120000000000001</v>
      </c>
      <c r="V1267" s="1">
        <v>110</v>
      </c>
      <c r="W1267" s="1">
        <v>206</v>
      </c>
      <c r="X1267" s="1">
        <v>1.8727272727272728</v>
      </c>
      <c r="Y1267" s="1">
        <v>112</v>
      </c>
      <c r="Z1267" s="1">
        <v>206</v>
      </c>
      <c r="AA1267" s="1">
        <v>1.8392857142857142</v>
      </c>
      <c r="AB1267" s="1">
        <v>113.9850012763789</v>
      </c>
      <c r="AC1267" s="1">
        <v>205.09212656179119</v>
      </c>
      <c r="AD1267" s="1">
        <v>1.7992904703707928</v>
      </c>
      <c r="AE1267" t="s">
        <v>4817</v>
      </c>
      <c r="AF1267" t="str">
        <f>IF(X1267&lt;$AF$1,"Bajo","Alto")</f>
        <v>Alto</v>
      </c>
      <c r="AG1267" t="str">
        <f>LEFT(AE1267,1)</f>
        <v>C</v>
      </c>
      <c r="AH1267" t="str">
        <f>K1267</f>
        <v>M</v>
      </c>
      <c r="AI1267" t="str">
        <f>LEFT(AF1267,1)</f>
        <v>A</v>
      </c>
      <c r="AJ1267" t="str">
        <f>LEFT(M1267,1)</f>
        <v>M</v>
      </c>
      <c r="AK1267" t="str">
        <f>_xlfn.CONCAT(AG1267,AH1267,AI1267,AJ1267)</f>
        <v>CMAM</v>
      </c>
    </row>
    <row r="1268" spans="1:37" ht="15.75" hidden="1" customHeight="1" x14ac:dyDescent="0.2">
      <c r="A1268" s="1">
        <v>192502</v>
      </c>
      <c r="B1268" s="1" t="s">
        <v>2656</v>
      </c>
      <c r="C1268" s="1" t="s">
        <v>323</v>
      </c>
      <c r="D1268" s="1" t="s">
        <v>2688</v>
      </c>
      <c r="E1268" s="1" t="s">
        <v>821</v>
      </c>
      <c r="F1268" s="1" t="s">
        <v>37</v>
      </c>
      <c r="G1268" s="1" t="s">
        <v>2690</v>
      </c>
      <c r="H1268" s="1">
        <v>2284</v>
      </c>
      <c r="I1268" s="1" t="s">
        <v>65</v>
      </c>
      <c r="J1268" s="1">
        <v>2</v>
      </c>
      <c r="K1268" s="1" t="s">
        <v>35</v>
      </c>
      <c r="L1268" s="1">
        <v>47</v>
      </c>
      <c r="M1268" s="1" t="str">
        <f>IF(L1268&lt;=45,"Joven","Mayor")</f>
        <v>Mayor</v>
      </c>
      <c r="N1268" s="1">
        <v>54</v>
      </c>
      <c r="O1268" s="1" t="s">
        <v>36</v>
      </c>
      <c r="P1268" s="1">
        <v>0.32</v>
      </c>
      <c r="Q1268" s="1">
        <v>92.143000000000001</v>
      </c>
      <c r="R1268" s="1">
        <v>3.8352944999999998</v>
      </c>
      <c r="S1268" s="1">
        <v>2.4022364999999999</v>
      </c>
      <c r="T1268" s="1">
        <v>-1.7319262</v>
      </c>
      <c r="U1268" s="1">
        <v>0.94699999999999995</v>
      </c>
      <c r="V1268" s="1">
        <v>102</v>
      </c>
      <c r="W1268" s="1">
        <v>191</v>
      </c>
      <c r="X1268" s="1">
        <v>1.8725490196078431</v>
      </c>
      <c r="Y1268" s="1">
        <v>106</v>
      </c>
      <c r="Z1268" s="1">
        <v>191</v>
      </c>
      <c r="AA1268" s="1">
        <v>1.8018867924528301</v>
      </c>
      <c r="AB1268" s="1">
        <v>104.6519783915178</v>
      </c>
      <c r="AC1268" s="1">
        <v>191.1243087906191</v>
      </c>
      <c r="AD1268" s="1">
        <v>1.8262847174813659</v>
      </c>
      <c r="AE1268" t="s">
        <v>4817</v>
      </c>
      <c r="AF1268" t="str">
        <f>IF(X1268&lt;$AF$1,"Bajo","Alto")</f>
        <v>Alto</v>
      </c>
      <c r="AG1268" t="str">
        <f>LEFT(AE1268,1)</f>
        <v>C</v>
      </c>
      <c r="AH1268" t="str">
        <f>K1268</f>
        <v>M</v>
      </c>
      <c r="AI1268" t="str">
        <f>LEFT(AF1268,1)</f>
        <v>A</v>
      </c>
      <c r="AJ1268" t="str">
        <f>LEFT(M1268,1)</f>
        <v>M</v>
      </c>
      <c r="AK1268" t="str">
        <f>_xlfn.CONCAT(AG1268,AH1268,AI1268,AJ1268)</f>
        <v>CMAM</v>
      </c>
    </row>
    <row r="1269" spans="1:37" ht="15.75" hidden="1" customHeight="1" x14ac:dyDescent="0.2">
      <c r="A1269" s="1">
        <v>298506</v>
      </c>
      <c r="B1269" s="1" t="s">
        <v>3890</v>
      </c>
      <c r="C1269" s="1" t="s">
        <v>1695</v>
      </c>
      <c r="D1269" s="1" t="s">
        <v>4086</v>
      </c>
      <c r="E1269" s="1" t="s">
        <v>755</v>
      </c>
      <c r="F1269" s="1" t="s">
        <v>88</v>
      </c>
      <c r="G1269" s="1" t="s">
        <v>4091</v>
      </c>
      <c r="H1269" s="1">
        <v>7502</v>
      </c>
      <c r="I1269" s="1" t="s">
        <v>134</v>
      </c>
      <c r="J1269" s="1">
        <v>8</v>
      </c>
      <c r="K1269" s="1" t="s">
        <v>35</v>
      </c>
      <c r="L1269" s="1">
        <v>62</v>
      </c>
      <c r="M1269" s="1" t="str">
        <f>IF(L1269&lt;=45,"Joven","Mayor")</f>
        <v>Mayor</v>
      </c>
      <c r="N1269" s="1">
        <v>72</v>
      </c>
      <c r="O1269" s="1" t="s">
        <v>36</v>
      </c>
      <c r="P1269" s="1">
        <v>1.012</v>
      </c>
      <c r="Q1269" s="1">
        <v>81.203999999999994</v>
      </c>
      <c r="R1269" s="1">
        <v>8.9409685000000003</v>
      </c>
      <c r="S1269" s="1">
        <v>7.0177072999999996</v>
      </c>
      <c r="T1269" s="1">
        <v>-5.1663933000000002</v>
      </c>
      <c r="U1269" s="1">
        <v>9.2319999999999993</v>
      </c>
      <c r="V1269" s="1">
        <v>88</v>
      </c>
      <c r="W1269" s="1">
        <v>146</v>
      </c>
      <c r="X1269" s="1">
        <v>1.6590909090909092</v>
      </c>
      <c r="Y1269" s="1">
        <v>88</v>
      </c>
      <c r="Z1269" s="1">
        <v>146</v>
      </c>
      <c r="AA1269" s="1">
        <v>1.6590909090909092</v>
      </c>
      <c r="AB1269" s="1">
        <v>91.154378922430396</v>
      </c>
      <c r="AC1269" s="1">
        <v>145.67700388590171</v>
      </c>
      <c r="AD1269" s="1">
        <v>1.5981350057781472</v>
      </c>
      <c r="AE1269" t="s">
        <v>4817</v>
      </c>
      <c r="AF1269" t="str">
        <f>IF(X1269&lt;$AF$1,"Bajo","Alto")</f>
        <v>Bajo</v>
      </c>
      <c r="AG1269" t="str">
        <f>LEFT(AE1269,1)</f>
        <v>C</v>
      </c>
      <c r="AH1269" t="str">
        <f>K1269</f>
        <v>M</v>
      </c>
      <c r="AI1269" t="str">
        <f>LEFT(AF1269,1)</f>
        <v>B</v>
      </c>
      <c r="AJ1269" t="str">
        <f>LEFT(M1269,1)</f>
        <v>M</v>
      </c>
      <c r="AK1269" t="str">
        <f>_xlfn.CONCAT(AG1269,AH1269,AI1269,AJ1269)</f>
        <v>CMBM</v>
      </c>
    </row>
    <row r="1270" spans="1:37" ht="15.75" hidden="1" customHeight="1" x14ac:dyDescent="0.2">
      <c r="A1270" s="1">
        <v>10121402</v>
      </c>
      <c r="B1270" s="1" t="s">
        <v>29</v>
      </c>
      <c r="C1270" s="1" t="s">
        <v>30</v>
      </c>
      <c r="D1270" s="1" t="s">
        <v>391</v>
      </c>
      <c r="E1270" s="1" t="s">
        <v>392</v>
      </c>
      <c r="F1270" s="1" t="s">
        <v>37</v>
      </c>
      <c r="G1270" s="1" t="s">
        <v>394</v>
      </c>
      <c r="H1270" s="1">
        <v>8156</v>
      </c>
      <c r="I1270" s="1" t="s">
        <v>45</v>
      </c>
      <c r="J1270" s="1">
        <v>17</v>
      </c>
      <c r="K1270" s="1" t="s">
        <v>35</v>
      </c>
      <c r="L1270" s="1">
        <v>46</v>
      </c>
      <c r="M1270" s="1" t="str">
        <f>IF(L1270&lt;=45,"Joven","Mayor")</f>
        <v>Mayor</v>
      </c>
      <c r="N1270" s="1">
        <v>57</v>
      </c>
      <c r="O1270" s="1" t="s">
        <v>36</v>
      </c>
      <c r="P1270" s="1">
        <v>0.42099999999999999</v>
      </c>
      <c r="Q1270" s="1">
        <v>94.031000000000006</v>
      </c>
      <c r="R1270" s="1">
        <v>2.2788071999999999E-2</v>
      </c>
      <c r="S1270" s="1">
        <v>4.6315549999999996</v>
      </c>
      <c r="T1270" s="1">
        <v>0.36100887999999998</v>
      </c>
      <c r="U1270" s="1">
        <v>10.208</v>
      </c>
      <c r="V1270" s="1">
        <v>86</v>
      </c>
      <c r="W1270" s="1">
        <v>161</v>
      </c>
      <c r="X1270" s="1">
        <v>1.8720930232558139</v>
      </c>
      <c r="Y1270" s="1">
        <v>86</v>
      </c>
      <c r="Z1270" s="1">
        <v>161</v>
      </c>
      <c r="AA1270" s="1">
        <v>1.8720930232558139</v>
      </c>
      <c r="AB1270" s="1">
        <v>86.250322981446971</v>
      </c>
      <c r="AC1270" s="1">
        <v>161.00940566437839</v>
      </c>
      <c r="AD1270" s="1">
        <v>1.8667687273358107</v>
      </c>
      <c r="AE1270" t="s">
        <v>4817</v>
      </c>
      <c r="AF1270" t="str">
        <f>IF(X1270&lt;$AF$1,"Bajo","Alto")</f>
        <v>Alto</v>
      </c>
      <c r="AG1270" t="str">
        <f>LEFT(AE1270,1)</f>
        <v>C</v>
      </c>
      <c r="AH1270" t="str">
        <f>K1270</f>
        <v>M</v>
      </c>
      <c r="AI1270" t="str">
        <f>LEFT(AF1270,1)</f>
        <v>A</v>
      </c>
      <c r="AJ1270" t="str">
        <f>LEFT(M1270,1)</f>
        <v>M</v>
      </c>
      <c r="AK1270" t="str">
        <f>_xlfn.CONCAT(AG1270,AH1270,AI1270,AJ1270)</f>
        <v>CMAM</v>
      </c>
    </row>
    <row r="1271" spans="1:37" ht="15.75" hidden="1" customHeight="1" x14ac:dyDescent="0.2">
      <c r="A1271" s="1">
        <v>10123807</v>
      </c>
      <c r="B1271" s="1" t="s">
        <v>29</v>
      </c>
      <c r="C1271" s="1" t="s">
        <v>30</v>
      </c>
      <c r="D1271" s="1" t="s">
        <v>477</v>
      </c>
      <c r="E1271" s="1" t="s">
        <v>478</v>
      </c>
      <c r="F1271" s="1" t="s">
        <v>43</v>
      </c>
      <c r="G1271" s="1" t="s">
        <v>484</v>
      </c>
      <c r="H1271" s="1">
        <v>753</v>
      </c>
      <c r="I1271" s="1" t="s">
        <v>108</v>
      </c>
      <c r="J1271" s="1">
        <v>3</v>
      </c>
      <c r="K1271" s="1" t="s">
        <v>35</v>
      </c>
      <c r="L1271" s="1">
        <v>37</v>
      </c>
      <c r="M1271" s="1" t="str">
        <f>IF(L1271&lt;=45,"Joven","Mayor")</f>
        <v>Joven</v>
      </c>
      <c r="N1271" s="1">
        <v>39</v>
      </c>
      <c r="O1271" s="1" t="s">
        <v>36</v>
      </c>
      <c r="P1271" s="1">
        <v>0.35899999999999999</v>
      </c>
      <c r="Q1271" s="1">
        <v>92.704999999999998</v>
      </c>
      <c r="R1271" s="1">
        <v>3.5370995999999999</v>
      </c>
      <c r="S1271" s="1">
        <v>-1.0073453000000001</v>
      </c>
      <c r="T1271" s="1">
        <v>-6.3978510000000002</v>
      </c>
      <c r="U1271" s="1">
        <v>67.177999999999997</v>
      </c>
      <c r="V1271" s="1">
        <v>89</v>
      </c>
      <c r="W1271" s="1">
        <v>167</v>
      </c>
      <c r="X1271" s="1">
        <v>1.8764044943820224</v>
      </c>
      <c r="Y1271" s="1">
        <v>93</v>
      </c>
      <c r="Z1271" s="1">
        <v>167</v>
      </c>
      <c r="AA1271" s="1">
        <v>1.7956989247311828</v>
      </c>
      <c r="AB1271" s="1">
        <v>93.34870982632242</v>
      </c>
      <c r="AC1271" s="1">
        <v>166.62853054241711</v>
      </c>
      <c r="AD1271" s="1">
        <v>1.7850116070423856</v>
      </c>
      <c r="AE1271" t="s">
        <v>4817</v>
      </c>
      <c r="AF1271" t="str">
        <f>IF(X1271&lt;$AF$1,"Bajo","Alto")</f>
        <v>Alto</v>
      </c>
      <c r="AG1271" t="str">
        <f>LEFT(AE1271,1)</f>
        <v>C</v>
      </c>
      <c r="AH1271" t="str">
        <f>K1271</f>
        <v>M</v>
      </c>
      <c r="AI1271" t="str">
        <f>LEFT(AF1271,1)</f>
        <v>A</v>
      </c>
      <c r="AJ1271" t="str">
        <f>LEFT(M1271,1)</f>
        <v>J</v>
      </c>
      <c r="AK1271" t="str">
        <f>_xlfn.CONCAT(AG1271,AH1271,AI1271,AJ1271)</f>
        <v>CMAJ</v>
      </c>
    </row>
    <row r="1272" spans="1:37" ht="15.75" hidden="1" customHeight="1" x14ac:dyDescent="0.2">
      <c r="A1272" s="1">
        <v>1079102</v>
      </c>
      <c r="B1272" s="1" t="s">
        <v>1067</v>
      </c>
      <c r="C1272" s="1" t="s">
        <v>1068</v>
      </c>
      <c r="D1272" s="1" t="s">
        <v>1517</v>
      </c>
      <c r="E1272" s="1" t="s">
        <v>770</v>
      </c>
      <c r="F1272" s="1" t="s">
        <v>37</v>
      </c>
      <c r="G1272" s="1" t="s">
        <v>1519</v>
      </c>
      <c r="H1272" s="1">
        <v>0</v>
      </c>
      <c r="I1272" s="1" t="s">
        <v>156</v>
      </c>
      <c r="J1272" s="1">
        <v>3639</v>
      </c>
      <c r="K1272" s="1" t="s">
        <v>35</v>
      </c>
      <c r="L1272" s="1">
        <v>57</v>
      </c>
      <c r="M1272" s="1" t="str">
        <f>IF(L1272&lt;=45,"Joven","Mayor")</f>
        <v>Mayor</v>
      </c>
      <c r="N1272" s="1">
        <v>65</v>
      </c>
      <c r="O1272" s="1" t="s">
        <v>36</v>
      </c>
      <c r="P1272" s="1">
        <v>0.24199999999999999</v>
      </c>
      <c r="Q1272" s="1">
        <v>93.381</v>
      </c>
      <c r="R1272" s="1">
        <v>-2.6427521999999999</v>
      </c>
      <c r="S1272" s="1">
        <v>1.1139133999999999</v>
      </c>
      <c r="T1272" s="1">
        <v>1.4976700000000001</v>
      </c>
      <c r="U1272" s="1">
        <v>21.385999999999999</v>
      </c>
      <c r="V1272" s="1">
        <v>94</v>
      </c>
      <c r="W1272" s="1">
        <v>156</v>
      </c>
      <c r="X1272" s="1">
        <v>1.6595744680851063</v>
      </c>
      <c r="Y1272" s="1">
        <v>96</v>
      </c>
      <c r="Z1272" s="1">
        <v>156</v>
      </c>
      <c r="AA1272" s="1">
        <v>1.625</v>
      </c>
      <c r="AB1272" s="1">
        <v>95.026298654065158</v>
      </c>
      <c r="AC1272" s="1">
        <v>155.97284492782771</v>
      </c>
      <c r="AD1272" s="1">
        <v>1.641365044592898</v>
      </c>
      <c r="AE1272" t="s">
        <v>4817</v>
      </c>
      <c r="AF1272" t="str">
        <f>IF(X1272&lt;$AF$1,"Bajo","Alto")</f>
        <v>Bajo</v>
      </c>
      <c r="AG1272" t="str">
        <f>LEFT(AE1272,1)</f>
        <v>C</v>
      </c>
      <c r="AH1272" t="str">
        <f>K1272</f>
        <v>M</v>
      </c>
      <c r="AI1272" t="str">
        <f>LEFT(AF1272,1)</f>
        <v>B</v>
      </c>
      <c r="AJ1272" t="str">
        <f>LEFT(M1272,1)</f>
        <v>M</v>
      </c>
      <c r="AK1272" t="str">
        <f>_xlfn.CONCAT(AG1272,AH1272,AI1272,AJ1272)</f>
        <v>CMBM</v>
      </c>
    </row>
    <row r="1273" spans="1:37" ht="15.75" hidden="1" customHeight="1" x14ac:dyDescent="0.2">
      <c r="A1273" s="1">
        <v>527401</v>
      </c>
      <c r="B1273" s="1" t="s">
        <v>4529</v>
      </c>
      <c r="C1273" s="1" t="s">
        <v>685</v>
      </c>
      <c r="D1273" s="1" t="s">
        <v>4667</v>
      </c>
      <c r="E1273" s="1" t="s">
        <v>2786</v>
      </c>
      <c r="F1273" s="1" t="s">
        <v>32</v>
      </c>
      <c r="G1273" s="1" t="s">
        <v>4668</v>
      </c>
      <c r="H1273" s="1">
        <v>86</v>
      </c>
      <c r="I1273" s="1" t="s">
        <v>87</v>
      </c>
      <c r="J1273" s="1">
        <v>14</v>
      </c>
      <c r="K1273" s="1" t="s">
        <v>49</v>
      </c>
      <c r="L1273" s="1">
        <v>37</v>
      </c>
      <c r="M1273" s="1" t="str">
        <f>IF(L1273&lt;=45,"Joven","Mayor")</f>
        <v>Joven</v>
      </c>
      <c r="N1273" s="1">
        <v>50</v>
      </c>
      <c r="O1273" s="1" t="s">
        <v>50</v>
      </c>
      <c r="P1273" s="1">
        <v>0.46100000000000002</v>
      </c>
      <c r="Q1273" s="1">
        <v>88.444999999999993</v>
      </c>
      <c r="R1273" s="1">
        <v>-5.5095763</v>
      </c>
      <c r="S1273" s="1">
        <v>6.9821052999999997</v>
      </c>
      <c r="T1273" s="1">
        <v>-0.87663424000000001</v>
      </c>
      <c r="U1273" s="1">
        <v>36.537999999999997</v>
      </c>
      <c r="V1273" s="1">
        <v>101</v>
      </c>
      <c r="W1273" s="1">
        <v>163</v>
      </c>
      <c r="X1273" s="1">
        <v>1.613861386138614</v>
      </c>
      <c r="Y1273" s="1">
        <v>105</v>
      </c>
      <c r="Z1273" s="1">
        <v>163</v>
      </c>
      <c r="AA1273" s="1">
        <v>1.5523809523809524</v>
      </c>
      <c r="AB1273" s="1">
        <v>104.39102754918549</v>
      </c>
      <c r="AC1273" s="1">
        <v>163.07271899485889</v>
      </c>
      <c r="AD1273" s="1">
        <v>1.5621334785503915</v>
      </c>
      <c r="AE1273" t="s">
        <v>4816</v>
      </c>
      <c r="AF1273" t="str">
        <f>IF(X1273&lt;$AF$1,"Bajo","Alto")</f>
        <v>Bajo</v>
      </c>
      <c r="AG1273" t="str">
        <f>LEFT(AE1273,1)</f>
        <v>D</v>
      </c>
      <c r="AH1273" t="str">
        <f>K1273</f>
        <v>F</v>
      </c>
      <c r="AI1273" t="str">
        <f>LEFT(AF1273,1)</f>
        <v>B</v>
      </c>
      <c r="AJ1273" t="str">
        <f>LEFT(M1273,1)</f>
        <v>J</v>
      </c>
      <c r="AK1273" t="str">
        <f>_xlfn.CONCAT(AG1273,AH1273,AI1273,AJ1273)</f>
        <v>DFBJ</v>
      </c>
    </row>
    <row r="1274" spans="1:37" ht="15.75" hidden="1" customHeight="1" x14ac:dyDescent="0.2">
      <c r="A1274" s="1">
        <v>253603</v>
      </c>
      <c r="B1274" s="1" t="s">
        <v>3169</v>
      </c>
      <c r="C1274" s="1" t="s">
        <v>821</v>
      </c>
      <c r="D1274" s="1" t="s">
        <v>3232</v>
      </c>
      <c r="E1274" s="1" t="s">
        <v>3233</v>
      </c>
      <c r="F1274" s="1" t="s">
        <v>63</v>
      </c>
      <c r="G1274" s="1" t="s">
        <v>3236</v>
      </c>
      <c r="H1274" s="1">
        <v>1141</v>
      </c>
      <c r="I1274" s="1" t="s">
        <v>3237</v>
      </c>
      <c r="J1274" s="1">
        <v>2888</v>
      </c>
      <c r="K1274" s="1" t="s">
        <v>35</v>
      </c>
      <c r="L1274" s="1">
        <v>32</v>
      </c>
      <c r="M1274" s="1" t="str">
        <f>IF(L1274&lt;=45,"Joven","Mayor")</f>
        <v>Joven</v>
      </c>
      <c r="N1274" s="1">
        <v>32</v>
      </c>
      <c r="O1274" s="1" t="s">
        <v>36</v>
      </c>
      <c r="P1274" s="1">
        <v>0.747</v>
      </c>
      <c r="Q1274" s="1">
        <v>92.055999999999997</v>
      </c>
      <c r="R1274" s="1">
        <v>3.7459297</v>
      </c>
      <c r="S1274" s="1">
        <v>2.5549447999999999</v>
      </c>
      <c r="T1274" s="1">
        <v>-4.5009316999999998</v>
      </c>
      <c r="U1274" s="1">
        <v>40.981999999999999</v>
      </c>
      <c r="V1274" s="1">
        <v>97</v>
      </c>
      <c r="W1274" s="1">
        <v>182</v>
      </c>
      <c r="X1274" s="1">
        <v>1.8762886597938144</v>
      </c>
      <c r="Y1274" s="1">
        <v>97</v>
      </c>
      <c r="Z1274" s="1">
        <v>182</v>
      </c>
      <c r="AA1274" s="1">
        <v>1.8762886597938144</v>
      </c>
      <c r="AB1274" s="1">
        <v>100.46767233015569</v>
      </c>
      <c r="AC1274" s="1">
        <v>181.43872251226779</v>
      </c>
      <c r="AD1274" s="1">
        <v>1.8059413371897974</v>
      </c>
      <c r="AE1274" t="s">
        <v>4817</v>
      </c>
      <c r="AF1274" t="str">
        <f>IF(X1274&lt;$AF$1,"Bajo","Alto")</f>
        <v>Alto</v>
      </c>
      <c r="AG1274" t="str">
        <f>LEFT(AE1274,1)</f>
        <v>C</v>
      </c>
      <c r="AH1274" t="str">
        <f>K1274</f>
        <v>M</v>
      </c>
      <c r="AI1274" t="str">
        <f>LEFT(AF1274,1)</f>
        <v>A</v>
      </c>
      <c r="AJ1274" t="str">
        <f>LEFT(M1274,1)</f>
        <v>J</v>
      </c>
      <c r="AK1274" t="str">
        <f>_xlfn.CONCAT(AG1274,AH1274,AI1274,AJ1274)</f>
        <v>CMAJ</v>
      </c>
    </row>
    <row r="1275" spans="1:37" ht="15.75" hidden="1" customHeight="1" x14ac:dyDescent="0.2">
      <c r="A1275" s="1">
        <v>2713305</v>
      </c>
      <c r="B1275" s="1" t="s">
        <v>3409</v>
      </c>
      <c r="C1275" s="1" t="s">
        <v>973</v>
      </c>
      <c r="D1275" s="1" t="s">
        <v>3490</v>
      </c>
      <c r="E1275" s="1" t="s">
        <v>169</v>
      </c>
      <c r="F1275" s="1" t="s">
        <v>40</v>
      </c>
      <c r="G1275" s="1" t="s">
        <v>3493</v>
      </c>
      <c r="H1275" s="1">
        <v>1475</v>
      </c>
      <c r="I1275" s="1" t="s">
        <v>3494</v>
      </c>
      <c r="J1275" s="1">
        <v>3787</v>
      </c>
      <c r="K1275" s="1" t="s">
        <v>35</v>
      </c>
      <c r="L1275" s="1">
        <v>47</v>
      </c>
      <c r="M1275" s="1" t="str">
        <f>IF(L1275&lt;=45,"Joven","Mayor")</f>
        <v>Mayor</v>
      </c>
      <c r="N1275" s="1">
        <v>51</v>
      </c>
      <c r="O1275" s="1" t="s">
        <v>36</v>
      </c>
      <c r="P1275" s="1">
        <v>0.35399999999999998</v>
      </c>
      <c r="Q1275" s="1">
        <v>90.724999999999994</v>
      </c>
      <c r="R1275" s="1">
        <v>2.0044154999999999</v>
      </c>
      <c r="S1275" s="1">
        <v>-9.8562449999999995</v>
      </c>
      <c r="T1275" s="1">
        <v>-0.27281398000000001</v>
      </c>
      <c r="U1275" s="1">
        <v>2.0129999999999999</v>
      </c>
      <c r="V1275" s="1">
        <v>86</v>
      </c>
      <c r="W1275" s="1">
        <v>161</v>
      </c>
      <c r="X1275" s="1">
        <v>1.8720930232558139</v>
      </c>
      <c r="Y1275" s="1">
        <v>91</v>
      </c>
      <c r="Z1275" s="1">
        <v>161</v>
      </c>
      <c r="AA1275" s="1">
        <v>1.7692307692307692</v>
      </c>
      <c r="AB1275" s="1">
        <v>91.189427798532279</v>
      </c>
      <c r="AC1275" s="1">
        <v>160.97436749422101</v>
      </c>
      <c r="AD1275" s="1">
        <v>1.7652744553882587</v>
      </c>
      <c r="AE1275" t="s">
        <v>4817</v>
      </c>
      <c r="AF1275" t="str">
        <f>IF(X1275&lt;$AF$1,"Bajo","Alto")</f>
        <v>Alto</v>
      </c>
      <c r="AG1275" t="str">
        <f>LEFT(AE1275,1)</f>
        <v>C</v>
      </c>
      <c r="AH1275" t="str">
        <f>K1275</f>
        <v>M</v>
      </c>
      <c r="AI1275" t="str">
        <f>LEFT(AF1275,1)</f>
        <v>A</v>
      </c>
      <c r="AJ1275" t="str">
        <f>LEFT(M1275,1)</f>
        <v>M</v>
      </c>
      <c r="AK1275" t="str">
        <f>_xlfn.CONCAT(AG1275,AH1275,AI1275,AJ1275)</f>
        <v>CMAM</v>
      </c>
    </row>
    <row r="1276" spans="1:37" ht="15.75" hidden="1" customHeight="1" x14ac:dyDescent="0.2">
      <c r="A1276" s="1">
        <v>255804</v>
      </c>
      <c r="B1276" s="1" t="s">
        <v>3169</v>
      </c>
      <c r="C1276" s="1" t="s">
        <v>821</v>
      </c>
      <c r="D1276" s="1" t="s">
        <v>3281</v>
      </c>
      <c r="E1276" s="1" t="s">
        <v>695</v>
      </c>
      <c r="F1276" s="1" t="s">
        <v>61</v>
      </c>
      <c r="G1276" s="1" t="s">
        <v>3283</v>
      </c>
      <c r="H1276" s="1">
        <v>1279</v>
      </c>
      <c r="I1276" s="1" t="s">
        <v>3284</v>
      </c>
      <c r="J1276" s="1">
        <v>2711</v>
      </c>
      <c r="K1276" s="1" t="s">
        <v>35</v>
      </c>
      <c r="L1276" s="1">
        <v>49</v>
      </c>
      <c r="M1276" s="1" t="str">
        <f>IF(L1276&lt;=45,"Joven","Mayor")</f>
        <v>Mayor</v>
      </c>
      <c r="N1276" s="1">
        <v>46</v>
      </c>
      <c r="O1276" s="1" t="s">
        <v>36</v>
      </c>
      <c r="P1276" s="1">
        <v>0.36399999999999999</v>
      </c>
      <c r="Q1276" s="1">
        <v>93.361999999999995</v>
      </c>
      <c r="R1276" s="1">
        <v>1.3012338999999999</v>
      </c>
      <c r="S1276" s="1">
        <v>4.6914129999999998</v>
      </c>
      <c r="T1276" s="1">
        <v>-2.4499984000000001</v>
      </c>
      <c r="U1276" s="1">
        <v>10.819000000000001</v>
      </c>
      <c r="V1276" s="1">
        <v>94</v>
      </c>
      <c r="W1276" s="1">
        <v>156</v>
      </c>
      <c r="X1276" s="1">
        <v>1.6595744680851063</v>
      </c>
      <c r="Y1276" s="1">
        <v>96</v>
      </c>
      <c r="Z1276" s="1">
        <v>156</v>
      </c>
      <c r="AA1276" s="1">
        <v>1.625</v>
      </c>
      <c r="AB1276" s="1">
        <v>95.92320822048714</v>
      </c>
      <c r="AC1276" s="1">
        <v>156.19938163481081</v>
      </c>
      <c r="AD1276" s="1">
        <v>1.6283794561559501</v>
      </c>
      <c r="AE1276" t="s">
        <v>4817</v>
      </c>
      <c r="AF1276" t="str">
        <f>IF(X1276&lt;$AF$1,"Bajo","Alto")</f>
        <v>Bajo</v>
      </c>
      <c r="AG1276" t="str">
        <f>LEFT(AE1276,1)</f>
        <v>C</v>
      </c>
      <c r="AH1276" t="str">
        <f>K1276</f>
        <v>M</v>
      </c>
      <c r="AI1276" t="str">
        <f>LEFT(AF1276,1)</f>
        <v>B</v>
      </c>
      <c r="AJ1276" t="str">
        <f>LEFT(M1276,1)</f>
        <v>M</v>
      </c>
      <c r="AK1276" t="str">
        <f>_xlfn.CONCAT(AG1276,AH1276,AI1276,AJ1276)</f>
        <v>CMBM</v>
      </c>
    </row>
    <row r="1277" spans="1:37" ht="15.75" hidden="1" customHeight="1" x14ac:dyDescent="0.2">
      <c r="A1277" s="1">
        <v>10130002</v>
      </c>
      <c r="B1277" s="1" t="s">
        <v>29</v>
      </c>
      <c r="C1277" s="1" t="s">
        <v>30</v>
      </c>
      <c r="D1277" s="1" t="s">
        <v>612</v>
      </c>
      <c r="E1277" s="1" t="s">
        <v>613</v>
      </c>
      <c r="F1277" s="1" t="s">
        <v>37</v>
      </c>
      <c r="G1277" s="1" t="s">
        <v>615</v>
      </c>
      <c r="H1277" s="1">
        <v>62</v>
      </c>
      <c r="I1277" s="1" t="s">
        <v>87</v>
      </c>
      <c r="J1277" s="1">
        <v>14</v>
      </c>
      <c r="K1277" s="1" t="s">
        <v>49</v>
      </c>
      <c r="L1277" s="1">
        <v>60</v>
      </c>
      <c r="M1277" s="1" t="str">
        <f>IF(L1277&lt;=45,"Joven","Mayor")</f>
        <v>Mayor</v>
      </c>
      <c r="N1277" s="1">
        <v>58</v>
      </c>
      <c r="O1277" s="1" t="s">
        <v>50</v>
      </c>
      <c r="P1277" s="1">
        <v>1.1399999999999999</v>
      </c>
      <c r="Q1277" s="1">
        <v>93.132999999999996</v>
      </c>
      <c r="R1277" s="1">
        <v>-2.8662793999999998</v>
      </c>
      <c r="S1277" s="1">
        <v>0.33719875999999999</v>
      </c>
      <c r="T1277" s="1">
        <v>-1.8446610999999999</v>
      </c>
      <c r="U1277" s="1">
        <v>48.787999999999997</v>
      </c>
      <c r="V1277" s="1">
        <v>113</v>
      </c>
      <c r="W1277" s="1">
        <v>187</v>
      </c>
      <c r="X1277" s="1">
        <v>1.654867256637168</v>
      </c>
      <c r="Y1277" s="1">
        <v>116</v>
      </c>
      <c r="Z1277" s="1">
        <v>187</v>
      </c>
      <c r="AA1277" s="1">
        <v>1.6120689655172413</v>
      </c>
      <c r="AB1277" s="1">
        <v>117.48499832447079</v>
      </c>
      <c r="AC1277" s="1">
        <v>186.87090162078579</v>
      </c>
      <c r="AD1277" s="1">
        <v>1.590593729292012</v>
      </c>
      <c r="AE1277" t="s">
        <v>4816</v>
      </c>
      <c r="AF1277" t="str">
        <f>IF(X1277&lt;$AF$1,"Bajo","Alto")</f>
        <v>Bajo</v>
      </c>
      <c r="AG1277" t="str">
        <f>LEFT(AE1277,1)</f>
        <v>D</v>
      </c>
      <c r="AH1277" t="str">
        <f>K1277</f>
        <v>F</v>
      </c>
      <c r="AI1277" t="str">
        <f>LEFT(AF1277,1)</f>
        <v>B</v>
      </c>
      <c r="AJ1277" t="str">
        <f>LEFT(M1277,1)</f>
        <v>M</v>
      </c>
      <c r="AK1277" t="str">
        <f>_xlfn.CONCAT(AG1277,AH1277,AI1277,AJ1277)</f>
        <v>DFBM</v>
      </c>
    </row>
    <row r="1278" spans="1:37" ht="15.75" hidden="1" customHeight="1" x14ac:dyDescent="0.2">
      <c r="A1278" s="1">
        <v>10110304</v>
      </c>
      <c r="B1278" s="1" t="s">
        <v>29</v>
      </c>
      <c r="C1278" s="1" t="s">
        <v>30</v>
      </c>
      <c r="D1278" s="1" t="s">
        <v>80</v>
      </c>
      <c r="E1278" s="1" t="s">
        <v>81</v>
      </c>
      <c r="F1278" s="1" t="s">
        <v>61</v>
      </c>
      <c r="G1278" s="1" t="s">
        <v>86</v>
      </c>
      <c r="H1278" s="1">
        <v>467</v>
      </c>
      <c r="I1278" s="1" t="s">
        <v>87</v>
      </c>
      <c r="J1278" s="1">
        <v>14</v>
      </c>
      <c r="K1278" s="1" t="s">
        <v>35</v>
      </c>
      <c r="L1278" s="1">
        <v>75</v>
      </c>
      <c r="M1278" s="1" t="str">
        <f>IF(L1278&lt;=45,"Joven","Mayor")</f>
        <v>Mayor</v>
      </c>
      <c r="N1278" s="1">
        <v>83</v>
      </c>
      <c r="O1278" s="1" t="s">
        <v>36</v>
      </c>
      <c r="P1278" s="1">
        <v>0.41899999999999998</v>
      </c>
      <c r="Q1278" s="1">
        <v>93.414000000000001</v>
      </c>
      <c r="R1278" s="1">
        <v>0.9568565</v>
      </c>
      <c r="S1278" s="1">
        <v>5.1533613000000003</v>
      </c>
      <c r="T1278" s="1">
        <v>-1.7155739999999999</v>
      </c>
      <c r="U1278" s="1">
        <v>1.1439999999999999</v>
      </c>
      <c r="V1278" s="1">
        <v>142</v>
      </c>
      <c r="W1278" s="1">
        <v>237</v>
      </c>
      <c r="X1278" s="1">
        <v>1.6690140845070423</v>
      </c>
      <c r="Y1278" s="1">
        <v>148</v>
      </c>
      <c r="Z1278" s="1">
        <v>237</v>
      </c>
      <c r="AA1278" s="1">
        <v>1.6013513513513513</v>
      </c>
      <c r="AB1278" s="1">
        <v>146.2870736383197</v>
      </c>
      <c r="AC1278" s="1">
        <v>236.9835807974346</v>
      </c>
      <c r="AD1278" s="1">
        <v>1.6199898931832695</v>
      </c>
      <c r="AE1278" t="s">
        <v>4816</v>
      </c>
      <c r="AF1278" t="str">
        <f>IF(X1278&lt;$AF$1,"Bajo","Alto")</f>
        <v>Bajo</v>
      </c>
      <c r="AG1278" t="str">
        <f>LEFT(AE1278,1)</f>
        <v>D</v>
      </c>
      <c r="AH1278" t="str">
        <f>K1278</f>
        <v>M</v>
      </c>
      <c r="AI1278" t="str">
        <f>LEFT(AF1278,1)</f>
        <v>B</v>
      </c>
      <c r="AJ1278" t="str">
        <f>LEFT(M1278,1)</f>
        <v>M</v>
      </c>
      <c r="AK1278" t="str">
        <f>_xlfn.CONCAT(AG1278,AH1278,AI1278,AJ1278)</f>
        <v>DMBM</v>
      </c>
    </row>
    <row r="1279" spans="1:37" ht="15.75" hidden="1" customHeight="1" x14ac:dyDescent="0.2">
      <c r="A1279" s="1">
        <v>1052701</v>
      </c>
      <c r="B1279" s="1" t="s">
        <v>694</v>
      </c>
      <c r="C1279" s="1" t="s">
        <v>879</v>
      </c>
      <c r="D1279" s="1" t="s">
        <v>972</v>
      </c>
      <c r="E1279" s="1" t="s">
        <v>973</v>
      </c>
      <c r="F1279" s="1" t="s">
        <v>32</v>
      </c>
      <c r="G1279" s="1" t="s">
        <v>974</v>
      </c>
      <c r="H1279" s="1">
        <v>1523</v>
      </c>
      <c r="I1279" s="1" t="s">
        <v>100</v>
      </c>
      <c r="J1279" s="1">
        <v>1</v>
      </c>
      <c r="K1279" s="1" t="s">
        <v>49</v>
      </c>
      <c r="L1279" s="1">
        <v>36</v>
      </c>
      <c r="M1279" s="1" t="str">
        <f>IF(L1279&lt;=45,"Joven","Mayor")</f>
        <v>Joven</v>
      </c>
      <c r="N1279" s="1">
        <v>44</v>
      </c>
      <c r="O1279" s="1" t="s">
        <v>50</v>
      </c>
      <c r="P1279" s="1">
        <v>0.40400000000000003</v>
      </c>
      <c r="Q1279" s="1">
        <v>92.832999999999998</v>
      </c>
      <c r="R1279" s="1">
        <v>2.8810506</v>
      </c>
      <c r="S1279" s="1">
        <v>2.6613378999999999</v>
      </c>
      <c r="T1279" s="1">
        <v>-3.8316406999999999</v>
      </c>
      <c r="U1279" s="1">
        <v>52.682000000000002</v>
      </c>
      <c r="V1279" s="1">
        <v>76</v>
      </c>
      <c r="W1279" s="1">
        <v>127</v>
      </c>
      <c r="X1279" s="1">
        <v>1.6710526315789473</v>
      </c>
      <c r="Y1279" s="1">
        <v>76</v>
      </c>
      <c r="Z1279" s="1">
        <v>127</v>
      </c>
      <c r="AA1279" s="1">
        <v>1.6710526315789473</v>
      </c>
      <c r="AB1279" s="1">
        <v>78.035340572256473</v>
      </c>
      <c r="AC1279" s="1">
        <v>126.71611911241639</v>
      </c>
      <c r="AD1279" s="1">
        <v>1.6238298978792074</v>
      </c>
      <c r="AE1279" t="s">
        <v>4817</v>
      </c>
      <c r="AF1279" t="str">
        <f>IF(X1279&lt;$AF$1,"Bajo","Alto")</f>
        <v>Bajo</v>
      </c>
      <c r="AG1279" t="str">
        <f>LEFT(AE1279,1)</f>
        <v>C</v>
      </c>
      <c r="AH1279" t="str">
        <f>K1279</f>
        <v>F</v>
      </c>
      <c r="AI1279" t="str">
        <f>LEFT(AF1279,1)</f>
        <v>B</v>
      </c>
      <c r="AJ1279" t="str">
        <f>LEFT(M1279,1)</f>
        <v>J</v>
      </c>
      <c r="AK1279" t="str">
        <f>_xlfn.CONCAT(AG1279,AH1279,AI1279,AJ1279)</f>
        <v>CFBJ</v>
      </c>
    </row>
    <row r="1280" spans="1:37" ht="15.75" hidden="1" customHeight="1" x14ac:dyDescent="0.2">
      <c r="A1280" s="1">
        <v>521505</v>
      </c>
      <c r="B1280" s="1" t="s">
        <v>4529</v>
      </c>
      <c r="C1280" s="1" t="s">
        <v>685</v>
      </c>
      <c r="D1280" s="1" t="s">
        <v>4553</v>
      </c>
      <c r="E1280" s="1" t="s">
        <v>57</v>
      </c>
      <c r="F1280" s="1" t="s">
        <v>40</v>
      </c>
      <c r="G1280" s="1" t="s">
        <v>4556</v>
      </c>
      <c r="H1280" s="1">
        <v>703</v>
      </c>
      <c r="I1280" s="1" t="s">
        <v>4557</v>
      </c>
      <c r="J1280" s="1">
        <v>2929</v>
      </c>
      <c r="K1280" s="1" t="s">
        <v>35</v>
      </c>
      <c r="L1280" s="1">
        <v>45</v>
      </c>
      <c r="M1280" s="1" t="str">
        <f>IF(L1280&lt;=45,"Joven","Mayor")</f>
        <v>Joven</v>
      </c>
      <c r="N1280" s="1">
        <v>37</v>
      </c>
      <c r="O1280" s="1" t="s">
        <v>36</v>
      </c>
      <c r="P1280" s="1">
        <v>0.35099999999999998</v>
      </c>
      <c r="Q1280" s="1">
        <v>91.045000000000002</v>
      </c>
      <c r="R1280" s="1">
        <v>-5.1853113000000004</v>
      </c>
      <c r="S1280" s="1">
        <v>-1.3521236999999999</v>
      </c>
      <c r="T1280" s="1">
        <v>-0.74159629999999999</v>
      </c>
      <c r="U1280" s="1">
        <v>3.323</v>
      </c>
      <c r="V1280" s="1">
        <v>114</v>
      </c>
      <c r="W1280" s="1">
        <v>191</v>
      </c>
      <c r="X1280" s="1">
        <v>1.6754385964912282</v>
      </c>
      <c r="Y1280" s="1">
        <v>118</v>
      </c>
      <c r="Z1280" s="1">
        <v>191</v>
      </c>
      <c r="AA1280" s="1">
        <v>1.6186440677966101</v>
      </c>
      <c r="AB1280" s="1">
        <v>118.5596051040054</v>
      </c>
      <c r="AC1280" s="1">
        <v>190.85457185184211</v>
      </c>
      <c r="AD1280" s="1">
        <v>1.6097773915864224</v>
      </c>
      <c r="AE1280" t="s">
        <v>4817</v>
      </c>
      <c r="AF1280" t="str">
        <f>IF(X1280&lt;$AF$1,"Bajo","Alto")</f>
        <v>Bajo</v>
      </c>
      <c r="AG1280" t="str">
        <f>LEFT(AE1280,1)</f>
        <v>C</v>
      </c>
      <c r="AH1280" t="str">
        <f>K1280</f>
        <v>M</v>
      </c>
      <c r="AI1280" t="str">
        <f>LEFT(AF1280,1)</f>
        <v>B</v>
      </c>
      <c r="AJ1280" t="str">
        <f>LEFT(M1280,1)</f>
        <v>J</v>
      </c>
      <c r="AK1280" t="str">
        <f>_xlfn.CONCAT(AG1280,AH1280,AI1280,AJ1280)</f>
        <v>CMBJ</v>
      </c>
    </row>
    <row r="1281" spans="1:37" ht="15.75" hidden="1" customHeight="1" x14ac:dyDescent="0.2">
      <c r="A1281" s="1">
        <v>298904</v>
      </c>
      <c r="B1281" s="1" t="s">
        <v>3890</v>
      </c>
      <c r="C1281" s="1" t="s">
        <v>1695</v>
      </c>
      <c r="D1281" s="1" t="s">
        <v>4099</v>
      </c>
      <c r="E1281" s="1" t="s">
        <v>4100</v>
      </c>
      <c r="F1281" s="1" t="s">
        <v>61</v>
      </c>
      <c r="G1281" s="1" t="s">
        <v>4104</v>
      </c>
      <c r="H1281" s="1">
        <v>106</v>
      </c>
      <c r="I1281" s="1" t="s">
        <v>294</v>
      </c>
      <c r="J1281" s="1">
        <v>16</v>
      </c>
      <c r="K1281" s="1" t="s">
        <v>35</v>
      </c>
      <c r="L1281" s="1">
        <v>28</v>
      </c>
      <c r="M1281" s="1" t="str">
        <f>IF(L1281&lt;=45,"Joven","Mayor")</f>
        <v>Joven</v>
      </c>
      <c r="N1281" s="1">
        <v>21</v>
      </c>
      <c r="O1281" s="1" t="s">
        <v>36</v>
      </c>
      <c r="P1281" s="1">
        <v>0.36899999999999999</v>
      </c>
      <c r="Q1281" s="1">
        <v>90.805000000000007</v>
      </c>
      <c r="R1281" s="1">
        <v>-1.9985397</v>
      </c>
      <c r="S1281" s="1">
        <v>9.7198770000000003</v>
      </c>
      <c r="T1281" s="1">
        <v>-2.8393345000000001</v>
      </c>
      <c r="U1281" s="1">
        <v>3.6269999999999998</v>
      </c>
      <c r="V1281" s="1">
        <v>74</v>
      </c>
      <c r="W1281" s="1">
        <v>124</v>
      </c>
      <c r="X1281" s="1">
        <v>1.6756756756756757</v>
      </c>
      <c r="Y1281" s="1">
        <v>76</v>
      </c>
      <c r="Z1281" s="1">
        <v>124</v>
      </c>
      <c r="AA1281" s="1">
        <v>1.631578947368421</v>
      </c>
      <c r="AB1281" s="1">
        <v>75.692431454772077</v>
      </c>
      <c r="AC1281" s="1">
        <v>123.8477733589843</v>
      </c>
      <c r="AD1281" s="1">
        <v>1.6361975824886286</v>
      </c>
      <c r="AE1281" t="s">
        <v>4817</v>
      </c>
      <c r="AF1281" t="str">
        <f>IF(X1281&lt;$AF$1,"Bajo","Alto")</f>
        <v>Bajo</v>
      </c>
      <c r="AG1281" t="str">
        <f>LEFT(AE1281,1)</f>
        <v>C</v>
      </c>
      <c r="AH1281" t="str">
        <f>K1281</f>
        <v>M</v>
      </c>
      <c r="AI1281" t="str">
        <f>LEFT(AF1281,1)</f>
        <v>B</v>
      </c>
      <c r="AJ1281" t="str">
        <f>LEFT(M1281,1)</f>
        <v>J</v>
      </c>
      <c r="AK1281" t="str">
        <f>_xlfn.CONCAT(AG1281,AH1281,AI1281,AJ1281)</f>
        <v>CMBJ</v>
      </c>
    </row>
    <row r="1282" spans="1:37" ht="15.75" hidden="1" customHeight="1" x14ac:dyDescent="0.2">
      <c r="A1282" s="1">
        <v>191003</v>
      </c>
      <c r="B1282" s="1" t="s">
        <v>2656</v>
      </c>
      <c r="C1282" s="1" t="s">
        <v>323</v>
      </c>
      <c r="D1282" s="1" t="s">
        <v>2670</v>
      </c>
      <c r="E1282" s="1" t="s">
        <v>75</v>
      </c>
      <c r="F1282" s="1" t="s">
        <v>63</v>
      </c>
      <c r="G1282" s="1" t="s">
        <v>2673</v>
      </c>
      <c r="H1282" s="1">
        <v>3715</v>
      </c>
      <c r="I1282" s="1" t="s">
        <v>108</v>
      </c>
      <c r="J1282" s="1">
        <v>3</v>
      </c>
      <c r="K1282" s="1" t="s">
        <v>35</v>
      </c>
      <c r="L1282" s="1">
        <v>43</v>
      </c>
      <c r="M1282" s="1" t="str">
        <f>IF(L1282&lt;=45,"Joven","Mayor")</f>
        <v>Joven</v>
      </c>
      <c r="N1282" s="1">
        <v>46</v>
      </c>
      <c r="O1282" s="1" t="s">
        <v>36</v>
      </c>
      <c r="P1282" s="1">
        <v>0.80400000000000005</v>
      </c>
      <c r="Q1282" s="1">
        <v>93.881</v>
      </c>
      <c r="R1282" s="1">
        <v>0.60448365999999998</v>
      </c>
      <c r="S1282" s="1">
        <v>3.7307155000000001</v>
      </c>
      <c r="T1282" s="1">
        <v>3.6187360000000002</v>
      </c>
      <c r="U1282" s="1">
        <v>4.1820000000000004</v>
      </c>
      <c r="V1282" s="1">
        <v>105</v>
      </c>
      <c r="W1282" s="1">
        <v>197</v>
      </c>
      <c r="X1282" s="1">
        <v>1.8761904761904762</v>
      </c>
      <c r="Y1282" s="1">
        <v>109</v>
      </c>
      <c r="Z1282" s="1">
        <v>197</v>
      </c>
      <c r="AA1282" s="1">
        <v>1.8073394495412844</v>
      </c>
      <c r="AB1282" s="1">
        <v>107.9464887267025</v>
      </c>
      <c r="AC1282" s="1">
        <v>197.11214503174011</v>
      </c>
      <c r="AD1282" s="1">
        <v>1.826017199418001</v>
      </c>
      <c r="AE1282" t="s">
        <v>4817</v>
      </c>
      <c r="AF1282" t="str">
        <f>IF(X1282&lt;$AF$1,"Bajo","Alto")</f>
        <v>Alto</v>
      </c>
      <c r="AG1282" t="str">
        <f>LEFT(AE1282,1)</f>
        <v>C</v>
      </c>
      <c r="AH1282" t="str">
        <f>K1282</f>
        <v>M</v>
      </c>
      <c r="AI1282" t="str">
        <f>LEFT(AF1282,1)</f>
        <v>A</v>
      </c>
      <c r="AJ1282" t="str">
        <f>LEFT(M1282,1)</f>
        <v>J</v>
      </c>
      <c r="AK1282" t="str">
        <f>_xlfn.CONCAT(AG1282,AH1282,AI1282,AJ1282)</f>
        <v>CMAJ</v>
      </c>
    </row>
    <row r="1283" spans="1:37" ht="15.75" hidden="1" customHeight="1" x14ac:dyDescent="0.2">
      <c r="A1283" s="1">
        <v>259102</v>
      </c>
      <c r="B1283" s="1" t="s">
        <v>3169</v>
      </c>
      <c r="C1283" s="1" t="s">
        <v>821</v>
      </c>
      <c r="D1283" s="1" t="s">
        <v>3342</v>
      </c>
      <c r="E1283" s="1" t="s">
        <v>770</v>
      </c>
      <c r="F1283" s="1" t="s">
        <v>37</v>
      </c>
      <c r="G1283" s="1" t="s">
        <v>3344</v>
      </c>
      <c r="H1283" s="1">
        <v>4238</v>
      </c>
      <c r="I1283" s="1" t="s">
        <v>3345</v>
      </c>
      <c r="J1283" s="1">
        <v>4559</v>
      </c>
      <c r="K1283" s="1" t="s">
        <v>35</v>
      </c>
      <c r="L1283" s="1">
        <v>29</v>
      </c>
      <c r="M1283" s="1" t="str">
        <f>IF(L1283&lt;=45,"Joven","Mayor")</f>
        <v>Joven</v>
      </c>
      <c r="N1283" s="1">
        <v>37</v>
      </c>
      <c r="O1283" s="1" t="s">
        <v>36</v>
      </c>
      <c r="P1283" s="1">
        <v>0.35399999999999998</v>
      </c>
      <c r="Q1283" s="1">
        <v>58.862000000000002</v>
      </c>
      <c r="R1283" s="1">
        <v>14.569533</v>
      </c>
      <c r="S1283" s="1">
        <v>3.7546355999999999</v>
      </c>
      <c r="T1283" s="1">
        <v>-10.194141</v>
      </c>
      <c r="U1283" s="1">
        <v>1.827</v>
      </c>
      <c r="V1283" s="1">
        <v>113</v>
      </c>
      <c r="W1283" s="1">
        <v>212</v>
      </c>
      <c r="X1283" s="1">
        <v>1.8761061946902655</v>
      </c>
      <c r="Y1283" s="1">
        <v>129</v>
      </c>
      <c r="Z1283" s="1">
        <v>212</v>
      </c>
      <c r="AA1283" s="1">
        <v>1.6434108527131783</v>
      </c>
      <c r="AB1283" s="1">
        <v>123.4280520490522</v>
      </c>
      <c r="AC1283" s="1">
        <v>213.43187740706119</v>
      </c>
      <c r="AD1283" s="1">
        <v>1.7292007275804702</v>
      </c>
      <c r="AE1283" t="s">
        <v>4817</v>
      </c>
      <c r="AF1283" t="str">
        <f>IF(X1283&lt;$AF$1,"Bajo","Alto")</f>
        <v>Alto</v>
      </c>
      <c r="AG1283" t="str">
        <f>LEFT(AE1283,1)</f>
        <v>C</v>
      </c>
      <c r="AH1283" t="str">
        <f>K1283</f>
        <v>M</v>
      </c>
      <c r="AI1283" t="str">
        <f>LEFT(AF1283,1)</f>
        <v>A</v>
      </c>
      <c r="AJ1283" t="str">
        <f>LEFT(M1283,1)</f>
        <v>J</v>
      </c>
      <c r="AK1283" t="str">
        <f>_xlfn.CONCAT(AG1283,AH1283,AI1283,AJ1283)</f>
        <v>CMAJ</v>
      </c>
    </row>
    <row r="1284" spans="1:37" ht="15.75" hidden="1" customHeight="1" x14ac:dyDescent="0.2">
      <c r="A1284" s="1">
        <v>10110003</v>
      </c>
      <c r="B1284" s="1" t="s">
        <v>29</v>
      </c>
      <c r="C1284" s="1" t="s">
        <v>30</v>
      </c>
      <c r="D1284" s="1" t="s">
        <v>69</v>
      </c>
      <c r="E1284" s="1" t="s">
        <v>70</v>
      </c>
      <c r="F1284" s="1" t="s">
        <v>63</v>
      </c>
      <c r="G1284" s="1" t="s">
        <v>72</v>
      </c>
      <c r="H1284" s="1">
        <v>383</v>
      </c>
      <c r="I1284" s="1" t="s">
        <v>73</v>
      </c>
      <c r="J1284" s="1">
        <v>5</v>
      </c>
      <c r="K1284" s="1" t="s">
        <v>35</v>
      </c>
      <c r="L1284" s="1">
        <v>53</v>
      </c>
      <c r="M1284" s="1" t="str">
        <f>IF(L1284&lt;=45,"Joven","Mayor")</f>
        <v>Mayor</v>
      </c>
      <c r="N1284" s="1">
        <v>56</v>
      </c>
      <c r="O1284" s="1" t="s">
        <v>36</v>
      </c>
      <c r="P1284" s="1">
        <v>0.26700000000000002</v>
      </c>
      <c r="Q1284" s="1">
        <v>92.448999999999998</v>
      </c>
      <c r="R1284" s="1">
        <v>4.0847753999999998</v>
      </c>
      <c r="S1284" s="1">
        <v>-8.805992E-2</v>
      </c>
      <c r="T1284" s="1">
        <v>-2.8186460000000002</v>
      </c>
      <c r="U1284" s="1">
        <v>27.289000000000001</v>
      </c>
      <c r="V1284" s="1">
        <v>97</v>
      </c>
      <c r="W1284" s="1">
        <v>161</v>
      </c>
      <c r="X1284" s="1">
        <v>1.6597938144329898</v>
      </c>
      <c r="Y1284" s="1">
        <v>99</v>
      </c>
      <c r="Z1284" s="1">
        <v>161</v>
      </c>
      <c r="AA1284" s="1">
        <v>1.6262626262626263</v>
      </c>
      <c r="AB1284" s="1">
        <v>98.849640656737165</v>
      </c>
      <c r="AC1284" s="1">
        <v>160.65769568007821</v>
      </c>
      <c r="AD1284" s="1">
        <v>1.6252734416908421</v>
      </c>
      <c r="AE1284" t="s">
        <v>4817</v>
      </c>
      <c r="AF1284" t="str">
        <f>IF(X1284&lt;$AF$1,"Bajo","Alto")</f>
        <v>Bajo</v>
      </c>
      <c r="AG1284" t="str">
        <f>LEFT(AE1284,1)</f>
        <v>C</v>
      </c>
      <c r="AH1284" t="str">
        <f>K1284</f>
        <v>M</v>
      </c>
      <c r="AI1284" t="str">
        <f>LEFT(AF1284,1)</f>
        <v>B</v>
      </c>
      <c r="AJ1284" t="str">
        <f>LEFT(M1284,1)</f>
        <v>M</v>
      </c>
      <c r="AK1284" t="str">
        <f>_xlfn.CONCAT(AG1284,AH1284,AI1284,AJ1284)</f>
        <v>CMBM</v>
      </c>
    </row>
    <row r="1285" spans="1:37" ht="15.75" hidden="1" customHeight="1" x14ac:dyDescent="0.2">
      <c r="A1285" s="1">
        <v>10114205</v>
      </c>
      <c r="B1285" s="1" t="s">
        <v>29</v>
      </c>
      <c r="C1285" s="1" t="s">
        <v>30</v>
      </c>
      <c r="D1285" s="1" t="s">
        <v>180</v>
      </c>
      <c r="E1285" s="1" t="s">
        <v>181</v>
      </c>
      <c r="F1285" s="1" t="s">
        <v>40</v>
      </c>
      <c r="G1285" s="1" t="s">
        <v>185</v>
      </c>
      <c r="H1285" s="1">
        <v>2620</v>
      </c>
      <c r="I1285" s="1" t="s">
        <v>91</v>
      </c>
      <c r="J1285" s="1">
        <v>6</v>
      </c>
      <c r="K1285" s="1" t="s">
        <v>35</v>
      </c>
      <c r="L1285" s="1">
        <v>50</v>
      </c>
      <c r="M1285" s="1" t="str">
        <f>IF(L1285&lt;=45,"Joven","Mayor")</f>
        <v>Mayor</v>
      </c>
      <c r="N1285" s="1">
        <v>46</v>
      </c>
      <c r="O1285" s="1" t="s">
        <v>36</v>
      </c>
      <c r="P1285" s="1">
        <v>0.80400000000000005</v>
      </c>
      <c r="Q1285" s="1">
        <v>83.317999999999998</v>
      </c>
      <c r="R1285" s="1">
        <v>9.1026325000000003</v>
      </c>
      <c r="S1285" s="1">
        <v>-3.1244903000000002</v>
      </c>
      <c r="T1285" s="1">
        <v>-7.8713069999999998</v>
      </c>
      <c r="U1285" s="1">
        <v>1.577</v>
      </c>
      <c r="V1285" s="1">
        <v>93</v>
      </c>
      <c r="W1285" s="1">
        <v>174</v>
      </c>
      <c r="X1285" s="1">
        <v>1.8709677419354838</v>
      </c>
      <c r="Y1285" s="1">
        <v>96</v>
      </c>
      <c r="Z1285" s="1">
        <v>174</v>
      </c>
      <c r="AA1285" s="1">
        <v>1.8125</v>
      </c>
      <c r="AB1285" s="1">
        <v>99.382039959938538</v>
      </c>
      <c r="AC1285" s="1">
        <v>173.31924095576781</v>
      </c>
      <c r="AD1285" s="1">
        <v>1.7439694438314386</v>
      </c>
      <c r="AE1285" t="s">
        <v>4817</v>
      </c>
      <c r="AF1285" t="str">
        <f>IF(X1285&lt;$AF$1,"Bajo","Alto")</f>
        <v>Alto</v>
      </c>
      <c r="AG1285" t="str">
        <f>LEFT(AE1285,1)</f>
        <v>C</v>
      </c>
      <c r="AH1285" t="str">
        <f>K1285</f>
        <v>M</v>
      </c>
      <c r="AI1285" t="str">
        <f>LEFT(AF1285,1)</f>
        <v>A</v>
      </c>
      <c r="AJ1285" t="str">
        <f>LEFT(M1285,1)</f>
        <v>M</v>
      </c>
      <c r="AK1285" t="str">
        <f>_xlfn.CONCAT(AG1285,AH1285,AI1285,AJ1285)</f>
        <v>CMAM</v>
      </c>
    </row>
    <row r="1286" spans="1:37" ht="15.75" hidden="1" customHeight="1" x14ac:dyDescent="0.2">
      <c r="A1286" s="1">
        <v>1010112</v>
      </c>
      <c r="B1286" s="1" t="s">
        <v>29</v>
      </c>
      <c r="C1286" s="1" t="s">
        <v>30</v>
      </c>
      <c r="D1286" s="1" t="s">
        <v>31</v>
      </c>
      <c r="E1286" s="1" t="s">
        <v>32</v>
      </c>
      <c r="F1286" s="1" t="s">
        <v>54</v>
      </c>
      <c r="G1286" s="1" t="s">
        <v>55</v>
      </c>
      <c r="H1286" s="1">
        <v>22738</v>
      </c>
      <c r="I1286" s="1" t="s">
        <v>56</v>
      </c>
      <c r="J1286" s="1">
        <v>144</v>
      </c>
      <c r="K1286" s="1" t="s">
        <v>35</v>
      </c>
      <c r="L1286" s="1">
        <v>44</v>
      </c>
      <c r="M1286" s="1" t="str">
        <f>IF(L1286&lt;=45,"Joven","Mayor")</f>
        <v>Joven</v>
      </c>
      <c r="N1286" s="1">
        <v>46</v>
      </c>
      <c r="O1286" s="1" t="s">
        <v>36</v>
      </c>
      <c r="P1286" s="1">
        <v>0.873</v>
      </c>
      <c r="Q1286" s="1">
        <v>79.078999999999994</v>
      </c>
      <c r="R1286" s="1">
        <v>-10.262778000000001</v>
      </c>
      <c r="S1286" s="1">
        <v>4.4829819999999998</v>
      </c>
      <c r="T1286" s="1">
        <v>10.262076</v>
      </c>
      <c r="U1286" s="1">
        <v>4.79</v>
      </c>
      <c r="V1286" s="1">
        <v>88</v>
      </c>
      <c r="W1286" s="1">
        <v>165</v>
      </c>
      <c r="X1286" s="1">
        <v>1.875</v>
      </c>
      <c r="Y1286" s="1">
        <v>99</v>
      </c>
      <c r="Z1286" s="1">
        <v>165</v>
      </c>
      <c r="AA1286" s="1">
        <v>1.6666666666666667</v>
      </c>
      <c r="AB1286" s="1">
        <v>94.96537343732075</v>
      </c>
      <c r="AC1286" s="1">
        <v>163.9638817665832</v>
      </c>
      <c r="AD1286" s="1">
        <v>1.7265649134187104</v>
      </c>
      <c r="AE1286" t="s">
        <v>4817</v>
      </c>
      <c r="AF1286" t="str">
        <f>IF(X1286&lt;$AF$1,"Bajo","Alto")</f>
        <v>Alto</v>
      </c>
      <c r="AG1286" t="str">
        <f>LEFT(AE1286,1)</f>
        <v>C</v>
      </c>
      <c r="AH1286" t="str">
        <f>K1286</f>
        <v>M</v>
      </c>
      <c r="AI1286" t="str">
        <f>LEFT(AF1286,1)</f>
        <v>A</v>
      </c>
      <c r="AJ1286" t="str">
        <f>LEFT(M1286,1)</f>
        <v>J</v>
      </c>
      <c r="AK1286" t="str">
        <f>_xlfn.CONCAT(AG1286,AH1286,AI1286,AJ1286)</f>
        <v>CMAJ</v>
      </c>
    </row>
    <row r="1287" spans="1:37" ht="15.75" hidden="1" customHeight="1" x14ac:dyDescent="0.2">
      <c r="A1287" s="1">
        <v>297603</v>
      </c>
      <c r="B1287" s="1" t="s">
        <v>3890</v>
      </c>
      <c r="C1287" s="1" t="s">
        <v>1695</v>
      </c>
      <c r="D1287" s="1" t="s">
        <v>4064</v>
      </c>
      <c r="E1287" s="1" t="s">
        <v>727</v>
      </c>
      <c r="F1287" s="1" t="s">
        <v>63</v>
      </c>
      <c r="G1287" s="1" t="s">
        <v>4066</v>
      </c>
      <c r="H1287" s="1">
        <v>632</v>
      </c>
      <c r="I1287" s="1" t="s">
        <v>85</v>
      </c>
      <c r="J1287" s="1">
        <v>12</v>
      </c>
      <c r="K1287" s="1" t="s">
        <v>49</v>
      </c>
      <c r="L1287" s="1">
        <v>46</v>
      </c>
      <c r="M1287" s="1" t="str">
        <f>IF(L1287&lt;=45,"Joven","Mayor")</f>
        <v>Mayor</v>
      </c>
      <c r="N1287" s="1">
        <v>59</v>
      </c>
      <c r="O1287" s="1" t="s">
        <v>50</v>
      </c>
      <c r="P1287" s="1">
        <v>0.26900000000000002</v>
      </c>
      <c r="Q1287" s="1">
        <v>94.275999999999996</v>
      </c>
      <c r="R1287" s="1">
        <v>0.55942320000000001</v>
      </c>
      <c r="S1287" s="1">
        <v>-2.5966022</v>
      </c>
      <c r="T1287" s="1">
        <v>-0.93989146000000001</v>
      </c>
      <c r="U1287" s="1">
        <v>3.5950000000000002</v>
      </c>
      <c r="V1287" s="1">
        <v>101</v>
      </c>
      <c r="W1287" s="1">
        <v>167</v>
      </c>
      <c r="X1287" s="1">
        <v>1.6534653465346534</v>
      </c>
      <c r="Y1287" s="1">
        <v>107</v>
      </c>
      <c r="Z1287" s="1">
        <v>167</v>
      </c>
      <c r="AA1287" s="1">
        <v>1.5607476635514019</v>
      </c>
      <c r="AB1287" s="1">
        <v>106.2966580659167</v>
      </c>
      <c r="AC1287" s="1">
        <v>167.1251620217117</v>
      </c>
      <c r="AD1287" s="1">
        <v>1.5722522707917499</v>
      </c>
      <c r="AE1287" t="s">
        <v>4815</v>
      </c>
      <c r="AF1287" t="str">
        <f>IF(X1287&lt;$AF$1,"Bajo","Alto")</f>
        <v>Bajo</v>
      </c>
      <c r="AG1287" t="str">
        <f>LEFT(AE1287,1)</f>
        <v>I</v>
      </c>
      <c r="AH1287" t="str">
        <f>K1287</f>
        <v>F</v>
      </c>
      <c r="AI1287" t="str">
        <f>LEFT(AF1287,1)</f>
        <v>B</v>
      </c>
      <c r="AJ1287" t="str">
        <f>LEFT(M1287,1)</f>
        <v>M</v>
      </c>
      <c r="AK1287" t="str">
        <f>_xlfn.CONCAT(AG1287,AH1287,AI1287,AJ1287)</f>
        <v>IFBM</v>
      </c>
    </row>
    <row r="1288" spans="1:37" ht="15.75" hidden="1" customHeight="1" x14ac:dyDescent="0.2">
      <c r="A1288" s="1">
        <v>10116802</v>
      </c>
      <c r="B1288" s="1" t="s">
        <v>29</v>
      </c>
      <c r="C1288" s="1" t="s">
        <v>30</v>
      </c>
      <c r="D1288" s="1" t="s">
        <v>271</v>
      </c>
      <c r="E1288" s="1" t="s">
        <v>272</v>
      </c>
      <c r="F1288" s="1" t="s">
        <v>37</v>
      </c>
      <c r="G1288" s="1" t="s">
        <v>274</v>
      </c>
      <c r="H1288" s="1">
        <v>3</v>
      </c>
      <c r="I1288" s="1" t="s">
        <v>39</v>
      </c>
      <c r="J1288" s="1">
        <v>11</v>
      </c>
      <c r="K1288" s="1" t="s">
        <v>35</v>
      </c>
      <c r="L1288" s="1">
        <v>37</v>
      </c>
      <c r="M1288" s="1" t="str">
        <f>IF(L1288&lt;=45,"Joven","Mayor")</f>
        <v>Joven</v>
      </c>
      <c r="N1288" s="1">
        <v>39</v>
      </c>
      <c r="O1288" s="1" t="s">
        <v>36</v>
      </c>
      <c r="P1288" s="1">
        <v>0.35099999999999998</v>
      </c>
      <c r="Q1288" s="1">
        <v>82.061000000000007</v>
      </c>
      <c r="R1288" s="1">
        <v>9.9823179999999994</v>
      </c>
      <c r="S1288" s="1">
        <v>-1.071299</v>
      </c>
      <c r="T1288" s="1">
        <v>-4.4393634999999998</v>
      </c>
      <c r="U1288" s="1">
        <v>52.430999999999997</v>
      </c>
      <c r="V1288" s="1">
        <v>129</v>
      </c>
      <c r="W1288" s="1">
        <v>238</v>
      </c>
      <c r="X1288" s="1">
        <v>1.8449612403100775</v>
      </c>
      <c r="Y1288" s="1">
        <v>135</v>
      </c>
      <c r="Z1288" s="1">
        <v>238</v>
      </c>
      <c r="AA1288" s="1">
        <v>1.7629629629629631</v>
      </c>
      <c r="AB1288" s="1">
        <v>133.41202387355449</v>
      </c>
      <c r="AC1288" s="1">
        <v>237.28595459298549</v>
      </c>
      <c r="AD1288" s="1">
        <v>1.7785949699547383</v>
      </c>
      <c r="AE1288" t="s">
        <v>4816</v>
      </c>
      <c r="AF1288" t="str">
        <f>IF(X1288&lt;$AF$1,"Bajo","Alto")</f>
        <v>Alto</v>
      </c>
      <c r="AG1288" t="str">
        <f>LEFT(AE1288,1)</f>
        <v>D</v>
      </c>
      <c r="AH1288" t="str">
        <f>K1288</f>
        <v>M</v>
      </c>
      <c r="AI1288" t="str">
        <f>LEFT(AF1288,1)</f>
        <v>A</v>
      </c>
      <c r="AJ1288" t="str">
        <f>LEFT(M1288,1)</f>
        <v>J</v>
      </c>
      <c r="AK1288" t="str">
        <f>_xlfn.CONCAT(AG1288,AH1288,AI1288,AJ1288)</f>
        <v>DMAJ</v>
      </c>
    </row>
    <row r="1289" spans="1:37" ht="15.75" hidden="1" customHeight="1" x14ac:dyDescent="0.2">
      <c r="A1289" s="1">
        <v>291303</v>
      </c>
      <c r="B1289" s="1" t="s">
        <v>3890</v>
      </c>
      <c r="C1289" s="1" t="s">
        <v>1695</v>
      </c>
      <c r="D1289" s="1" t="s">
        <v>3968</v>
      </c>
      <c r="E1289" s="1" t="s">
        <v>163</v>
      </c>
      <c r="F1289" s="1" t="s">
        <v>63</v>
      </c>
      <c r="G1289" s="1" t="s">
        <v>3969</v>
      </c>
      <c r="H1289" s="1">
        <v>789</v>
      </c>
      <c r="I1289" s="1" t="s">
        <v>65</v>
      </c>
      <c r="J1289" s="1">
        <v>2</v>
      </c>
      <c r="K1289" s="1" t="s">
        <v>35</v>
      </c>
      <c r="L1289" s="1">
        <v>34</v>
      </c>
      <c r="M1289" s="1" t="str">
        <f>IF(L1289&lt;=45,"Joven","Mayor")</f>
        <v>Joven</v>
      </c>
      <c r="N1289" s="1">
        <v>42</v>
      </c>
      <c r="O1289" s="1" t="s">
        <v>36</v>
      </c>
      <c r="P1289" s="1">
        <v>0.20399999999999999</v>
      </c>
      <c r="Q1289" s="1">
        <v>91.424000000000007</v>
      </c>
      <c r="R1289" s="1">
        <v>4.5142350000000002</v>
      </c>
      <c r="S1289" s="1">
        <v>-2.7958539999999998</v>
      </c>
      <c r="T1289" s="1">
        <v>1.7646424999999999</v>
      </c>
      <c r="U1289" s="1">
        <v>1.9990000000000001</v>
      </c>
      <c r="V1289" s="1">
        <v>96</v>
      </c>
      <c r="W1289" s="1">
        <v>180</v>
      </c>
      <c r="X1289" s="1">
        <v>1.875</v>
      </c>
      <c r="Y1289" s="1">
        <v>99</v>
      </c>
      <c r="Z1289" s="1">
        <v>180</v>
      </c>
      <c r="AA1289" s="1">
        <v>1.8181818181818181</v>
      </c>
      <c r="AB1289" s="1">
        <v>97.52496395815615</v>
      </c>
      <c r="AC1289" s="1">
        <v>180.03781149165519</v>
      </c>
      <c r="AD1289" s="1">
        <v>1.8460689877199219</v>
      </c>
      <c r="AE1289" t="s">
        <v>4817</v>
      </c>
      <c r="AF1289" t="str">
        <f>IF(X1289&lt;$AF$1,"Bajo","Alto")</f>
        <v>Alto</v>
      </c>
      <c r="AG1289" t="str">
        <f>LEFT(AE1289,1)</f>
        <v>C</v>
      </c>
      <c r="AH1289" t="str">
        <f>K1289</f>
        <v>M</v>
      </c>
      <c r="AI1289" t="str">
        <f>LEFT(AF1289,1)</f>
        <v>A</v>
      </c>
      <c r="AJ1289" t="str">
        <f>LEFT(M1289,1)</f>
        <v>J</v>
      </c>
      <c r="AK1289" t="str">
        <f>_xlfn.CONCAT(AG1289,AH1289,AI1289,AJ1289)</f>
        <v>CMAJ</v>
      </c>
    </row>
    <row r="1290" spans="1:37" ht="15.75" hidden="1" customHeight="1" x14ac:dyDescent="0.2">
      <c r="A1290" s="1">
        <v>10123202</v>
      </c>
      <c r="B1290" s="1" t="s">
        <v>29</v>
      </c>
      <c r="C1290" s="1" t="s">
        <v>30</v>
      </c>
      <c r="D1290" s="1" t="s">
        <v>460</v>
      </c>
      <c r="E1290" s="1" t="s">
        <v>461</v>
      </c>
      <c r="F1290" s="1" t="s">
        <v>37</v>
      </c>
      <c r="G1290" s="1" t="s">
        <v>463</v>
      </c>
      <c r="H1290" s="1">
        <v>3442</v>
      </c>
      <c r="I1290" s="1" t="s">
        <v>65</v>
      </c>
      <c r="J1290" s="1">
        <v>2</v>
      </c>
      <c r="K1290" s="1" t="s">
        <v>35</v>
      </c>
      <c r="L1290" s="1">
        <v>51</v>
      </c>
      <c r="M1290" s="1" t="str">
        <f>IF(L1290&lt;=45,"Joven","Mayor")</f>
        <v>Mayor</v>
      </c>
      <c r="N1290" s="1">
        <v>54</v>
      </c>
      <c r="O1290" s="1" t="s">
        <v>36</v>
      </c>
      <c r="P1290" s="1">
        <v>0.64100000000000001</v>
      </c>
      <c r="Q1290" s="1">
        <v>57.79</v>
      </c>
      <c r="R1290" s="1">
        <v>14.842908</v>
      </c>
      <c r="S1290" s="1">
        <v>-2.4352825</v>
      </c>
      <c r="T1290" s="1">
        <v>-1.7653264</v>
      </c>
      <c r="U1290" s="1">
        <v>2.8109999999999999</v>
      </c>
      <c r="V1290" s="1">
        <v>93</v>
      </c>
      <c r="W1290" s="1">
        <v>174</v>
      </c>
      <c r="X1290" s="1">
        <v>1.8709677419354838</v>
      </c>
      <c r="Y1290" s="1">
        <v>100</v>
      </c>
      <c r="Z1290" s="1">
        <v>174</v>
      </c>
      <c r="AA1290" s="1">
        <v>1.74</v>
      </c>
      <c r="AB1290" s="1">
        <v>98.566273856967655</v>
      </c>
      <c r="AC1290" s="1">
        <v>173.7633877712251</v>
      </c>
      <c r="AD1290" s="1">
        <v>1.7629091673220612</v>
      </c>
      <c r="AE1290" t="s">
        <v>4817</v>
      </c>
      <c r="AF1290" t="str">
        <f>IF(X1290&lt;$AF$1,"Bajo","Alto")</f>
        <v>Alto</v>
      </c>
      <c r="AG1290" t="str">
        <f>LEFT(AE1290,1)</f>
        <v>C</v>
      </c>
      <c r="AH1290" t="str">
        <f>K1290</f>
        <v>M</v>
      </c>
      <c r="AI1290" t="str">
        <f>LEFT(AF1290,1)</f>
        <v>A</v>
      </c>
      <c r="AJ1290" t="str">
        <f>LEFT(M1290,1)</f>
        <v>M</v>
      </c>
      <c r="AK1290" t="str">
        <f>_xlfn.CONCAT(AG1290,AH1290,AI1290,AJ1290)</f>
        <v>CMAM</v>
      </c>
    </row>
    <row r="1291" spans="1:37" ht="15.75" hidden="1" customHeight="1" x14ac:dyDescent="0.2">
      <c r="A1291" s="1">
        <v>402507</v>
      </c>
      <c r="B1291" s="1" t="s">
        <v>4287</v>
      </c>
      <c r="C1291" s="1" t="s">
        <v>657</v>
      </c>
      <c r="D1291" s="1" t="s">
        <v>4307</v>
      </c>
      <c r="E1291" s="1" t="s">
        <v>821</v>
      </c>
      <c r="F1291" s="1" t="s">
        <v>43</v>
      </c>
      <c r="G1291" s="1" t="s">
        <v>4312</v>
      </c>
      <c r="H1291" s="1">
        <v>1625</v>
      </c>
      <c r="I1291" s="1" t="s">
        <v>4313</v>
      </c>
      <c r="J1291" s="1">
        <v>2745</v>
      </c>
      <c r="K1291" s="1" t="s">
        <v>35</v>
      </c>
      <c r="L1291" s="1">
        <v>49</v>
      </c>
      <c r="M1291" s="1" t="str">
        <f>IF(L1291&lt;=45,"Joven","Mayor")</f>
        <v>Mayor</v>
      </c>
      <c r="N1291" s="1">
        <v>57</v>
      </c>
      <c r="O1291" s="1" t="s">
        <v>36</v>
      </c>
      <c r="P1291" s="1">
        <v>0.55200000000000005</v>
      </c>
      <c r="Q1291" s="1">
        <v>87.656000000000006</v>
      </c>
      <c r="R1291" s="1">
        <v>7.5473670000000004</v>
      </c>
      <c r="S1291" s="1">
        <v>1.0326630999999999</v>
      </c>
      <c r="T1291" s="1">
        <v>-8.4314619999999998</v>
      </c>
      <c r="U1291" s="1">
        <v>0.45900000000000002</v>
      </c>
      <c r="V1291" s="1">
        <v>76</v>
      </c>
      <c r="W1291" s="1">
        <v>142</v>
      </c>
      <c r="X1291" s="1">
        <v>1.868421052631579</v>
      </c>
      <c r="Y1291" s="1">
        <v>76</v>
      </c>
      <c r="Z1291" s="1">
        <v>142</v>
      </c>
      <c r="AA1291" s="1">
        <v>1.868421052631579</v>
      </c>
      <c r="AB1291" s="1">
        <v>80.603760076944582</v>
      </c>
      <c r="AC1291" s="1">
        <v>140.6118855973518</v>
      </c>
      <c r="AD1291" s="1">
        <v>1.7444829554244528</v>
      </c>
      <c r="AE1291" t="s">
        <v>4817</v>
      </c>
      <c r="AF1291" t="str">
        <f>IF(X1291&lt;$AF$1,"Bajo","Alto")</f>
        <v>Alto</v>
      </c>
      <c r="AG1291" t="str">
        <f>LEFT(AE1291,1)</f>
        <v>C</v>
      </c>
      <c r="AH1291" t="str">
        <f>K1291</f>
        <v>M</v>
      </c>
      <c r="AI1291" t="str">
        <f>LEFT(AF1291,1)</f>
        <v>A</v>
      </c>
      <c r="AJ1291" t="str">
        <f>LEFT(M1291,1)</f>
        <v>M</v>
      </c>
      <c r="AK1291" t="str">
        <f>_xlfn.CONCAT(AG1291,AH1291,AI1291,AJ1291)</f>
        <v>CMAM</v>
      </c>
    </row>
    <row r="1292" spans="1:37" ht="15.75" hidden="1" customHeight="1" x14ac:dyDescent="0.2">
      <c r="A1292" s="1">
        <v>1013104</v>
      </c>
      <c r="B1292" s="1" t="s">
        <v>29</v>
      </c>
      <c r="C1292" s="1" t="s">
        <v>30</v>
      </c>
      <c r="D1292" s="1" t="s">
        <v>627</v>
      </c>
      <c r="E1292" s="1" t="s">
        <v>628</v>
      </c>
      <c r="F1292" s="1" t="s">
        <v>61</v>
      </c>
      <c r="G1292" s="1" t="s">
        <v>630</v>
      </c>
      <c r="H1292" s="1">
        <v>199</v>
      </c>
      <c r="I1292" s="1" t="s">
        <v>108</v>
      </c>
      <c r="J1292" s="1">
        <v>3</v>
      </c>
      <c r="K1292" s="1" t="s">
        <v>49</v>
      </c>
      <c r="L1292" s="1">
        <v>37</v>
      </c>
      <c r="M1292" s="1" t="str">
        <f>IF(L1292&lt;=45,"Joven","Mayor")</f>
        <v>Joven</v>
      </c>
      <c r="N1292" s="1">
        <v>35</v>
      </c>
      <c r="O1292" s="1" t="s">
        <v>36</v>
      </c>
      <c r="P1292" s="1">
        <v>0.36099999999999999</v>
      </c>
      <c r="Q1292" s="1">
        <v>90.858000000000004</v>
      </c>
      <c r="R1292" s="1">
        <v>4.2757160000000001</v>
      </c>
      <c r="S1292" s="1">
        <v>-5.0994883</v>
      </c>
      <c r="T1292" s="1">
        <v>-3.2002932999999998</v>
      </c>
      <c r="U1292" s="1">
        <v>0.89</v>
      </c>
      <c r="V1292" s="1">
        <v>111</v>
      </c>
      <c r="W1292" s="1">
        <v>186</v>
      </c>
      <c r="X1292" s="1">
        <v>1.6756756756756757</v>
      </c>
      <c r="Y1292" s="1">
        <v>111</v>
      </c>
      <c r="Z1292" s="1">
        <v>186</v>
      </c>
      <c r="AA1292" s="1">
        <v>1.6756756756756757</v>
      </c>
      <c r="AB1292" s="1">
        <v>113.84153037146351</v>
      </c>
      <c r="AC1292" s="1">
        <v>186.10071529776539</v>
      </c>
      <c r="AD1292" s="1">
        <v>1.6347348343835599</v>
      </c>
      <c r="AE1292" t="s">
        <v>4817</v>
      </c>
      <c r="AF1292" t="str">
        <f>IF(X1292&lt;$AF$1,"Bajo","Alto")</f>
        <v>Bajo</v>
      </c>
      <c r="AG1292" t="str">
        <f>LEFT(AE1292,1)</f>
        <v>C</v>
      </c>
      <c r="AH1292" t="str">
        <f>K1292</f>
        <v>F</v>
      </c>
      <c r="AI1292" t="str">
        <f>LEFT(AF1292,1)</f>
        <v>B</v>
      </c>
      <c r="AJ1292" t="str">
        <f>LEFT(M1292,1)</f>
        <v>J</v>
      </c>
      <c r="AK1292" t="str">
        <f>_xlfn.CONCAT(AG1292,AH1292,AI1292,AJ1292)</f>
        <v>CFBJ</v>
      </c>
    </row>
    <row r="1293" spans="1:37" ht="15.75" hidden="1" customHeight="1" x14ac:dyDescent="0.2">
      <c r="A1293" s="1">
        <v>1031602</v>
      </c>
      <c r="B1293" s="1" t="s">
        <v>783</v>
      </c>
      <c r="C1293" s="1" t="s">
        <v>81</v>
      </c>
      <c r="D1293" s="1" t="s">
        <v>810</v>
      </c>
      <c r="E1293" s="1" t="s">
        <v>244</v>
      </c>
      <c r="F1293" s="1" t="s">
        <v>37</v>
      </c>
      <c r="G1293" s="1" t="s">
        <v>811</v>
      </c>
      <c r="H1293" s="1">
        <v>4123</v>
      </c>
      <c r="I1293" s="1" t="s">
        <v>65</v>
      </c>
      <c r="J1293" s="1">
        <v>2</v>
      </c>
      <c r="K1293" s="1" t="s">
        <v>49</v>
      </c>
      <c r="L1293" s="1">
        <v>35</v>
      </c>
      <c r="M1293" s="1" t="str">
        <f>IF(L1293&lt;=45,"Joven","Mayor")</f>
        <v>Joven</v>
      </c>
      <c r="N1293" s="1">
        <v>27</v>
      </c>
      <c r="O1293" s="1" t="s">
        <v>50</v>
      </c>
      <c r="P1293" s="1">
        <v>1.133</v>
      </c>
      <c r="Q1293" s="1">
        <v>93.149000000000001</v>
      </c>
      <c r="R1293" s="1">
        <v>0.89419126999999998</v>
      </c>
      <c r="S1293" s="1">
        <v>-5.5327799999999998</v>
      </c>
      <c r="T1293" s="1">
        <v>-8.7568610000000007</v>
      </c>
      <c r="U1293" s="1">
        <v>28.145</v>
      </c>
      <c r="V1293" s="1">
        <v>59</v>
      </c>
      <c r="W1293" s="1">
        <v>112</v>
      </c>
      <c r="X1293" s="1">
        <v>1.8983050847457628</v>
      </c>
      <c r="Y1293" s="1">
        <v>67</v>
      </c>
      <c r="Z1293" s="1">
        <v>112</v>
      </c>
      <c r="AA1293" s="1">
        <v>1.6716417910447761</v>
      </c>
      <c r="AB1293" s="1">
        <v>63.488473044110613</v>
      </c>
      <c r="AC1293" s="1">
        <v>112.2168655349556</v>
      </c>
      <c r="AD1293" s="1">
        <v>1.7675155843957597</v>
      </c>
      <c r="AE1293" t="s">
        <v>4817</v>
      </c>
      <c r="AF1293" t="str">
        <f>IF(X1293&lt;$AF$1,"Bajo","Alto")</f>
        <v>Alto</v>
      </c>
      <c r="AG1293" t="str">
        <f>LEFT(AE1293,1)</f>
        <v>C</v>
      </c>
      <c r="AH1293" t="str">
        <f>K1293</f>
        <v>F</v>
      </c>
      <c r="AI1293" t="str">
        <f>LEFT(AF1293,1)</f>
        <v>A</v>
      </c>
      <c r="AJ1293" t="str">
        <f>LEFT(M1293,1)</f>
        <v>J</v>
      </c>
      <c r="AK1293" t="str">
        <f>_xlfn.CONCAT(AG1293,AH1293,AI1293,AJ1293)</f>
        <v>CFAJ</v>
      </c>
    </row>
    <row r="1294" spans="1:37" ht="15.75" hidden="1" customHeight="1" x14ac:dyDescent="0.2">
      <c r="A1294" s="1">
        <v>10114204</v>
      </c>
      <c r="B1294" s="1" t="s">
        <v>29</v>
      </c>
      <c r="C1294" s="1" t="s">
        <v>30</v>
      </c>
      <c r="D1294" s="1" t="s">
        <v>180</v>
      </c>
      <c r="E1294" s="1" t="s">
        <v>181</v>
      </c>
      <c r="F1294" s="1" t="s">
        <v>61</v>
      </c>
      <c r="G1294" s="1" t="s">
        <v>184</v>
      </c>
      <c r="H1294" s="1">
        <v>2427</v>
      </c>
      <c r="I1294" s="1" t="s">
        <v>73</v>
      </c>
      <c r="J1294" s="1">
        <v>5</v>
      </c>
      <c r="K1294" s="1" t="s">
        <v>35</v>
      </c>
      <c r="L1294" s="1">
        <v>45</v>
      </c>
      <c r="M1294" s="1" t="str">
        <f>IF(L1294&lt;=45,"Joven","Mayor")</f>
        <v>Joven</v>
      </c>
      <c r="N1294" s="1">
        <v>32</v>
      </c>
      <c r="O1294" s="1" t="s">
        <v>36</v>
      </c>
      <c r="P1294" s="1">
        <v>0.42399999999999999</v>
      </c>
      <c r="Q1294" s="1">
        <v>94.18</v>
      </c>
      <c r="R1294" s="1">
        <v>-0.38656220000000002</v>
      </c>
      <c r="S1294" s="1">
        <v>-3.2769691999999999</v>
      </c>
      <c r="T1294" s="1">
        <v>0.25214732000000001</v>
      </c>
      <c r="U1294" s="1">
        <v>12.284000000000001</v>
      </c>
      <c r="V1294" s="1">
        <v>94</v>
      </c>
      <c r="W1294" s="1">
        <v>176</v>
      </c>
      <c r="X1294" s="1">
        <v>1.8723404255319149</v>
      </c>
      <c r="Y1294" s="1">
        <v>94</v>
      </c>
      <c r="Z1294" s="1">
        <v>176</v>
      </c>
      <c r="AA1294" s="1">
        <v>1.8723404255319149</v>
      </c>
      <c r="AB1294" s="1">
        <v>94.161918859145771</v>
      </c>
      <c r="AC1294" s="1">
        <v>175.94988704843169</v>
      </c>
      <c r="AD1294" s="1">
        <v>1.8685885884678104</v>
      </c>
      <c r="AE1294" t="s">
        <v>4817</v>
      </c>
      <c r="AF1294" t="str">
        <f>IF(X1294&lt;$AF$1,"Bajo","Alto")</f>
        <v>Alto</v>
      </c>
      <c r="AG1294" t="str">
        <f>LEFT(AE1294,1)</f>
        <v>C</v>
      </c>
      <c r="AH1294" t="str">
        <f>K1294</f>
        <v>M</v>
      </c>
      <c r="AI1294" t="str">
        <f>LEFT(AF1294,1)</f>
        <v>A</v>
      </c>
      <c r="AJ1294" t="str">
        <f>LEFT(M1294,1)</f>
        <v>J</v>
      </c>
      <c r="AK1294" t="str">
        <f>_xlfn.CONCAT(AG1294,AH1294,AI1294,AJ1294)</f>
        <v>CMAJ</v>
      </c>
    </row>
    <row r="1295" spans="1:37" ht="15.75" hidden="1" customHeight="1" x14ac:dyDescent="0.2">
      <c r="A1295" s="1">
        <v>231603</v>
      </c>
      <c r="B1295" s="1" t="s">
        <v>319</v>
      </c>
      <c r="C1295" s="1" t="s">
        <v>1989</v>
      </c>
      <c r="D1295" s="1" t="s">
        <v>3001</v>
      </c>
      <c r="E1295" s="1" t="s">
        <v>244</v>
      </c>
      <c r="F1295" s="1" t="s">
        <v>63</v>
      </c>
      <c r="G1295" s="1" t="s">
        <v>3002</v>
      </c>
      <c r="H1295" s="1">
        <v>241</v>
      </c>
      <c r="I1295" s="1" t="s">
        <v>73</v>
      </c>
      <c r="J1295" s="1">
        <v>5</v>
      </c>
      <c r="K1295" s="1" t="s">
        <v>35</v>
      </c>
      <c r="L1295" s="1">
        <v>43</v>
      </c>
      <c r="M1295" s="1" t="str">
        <f>IF(L1295&lt;=45,"Joven","Mayor")</f>
        <v>Joven</v>
      </c>
      <c r="N1295" s="1">
        <v>32</v>
      </c>
      <c r="O1295" s="1" t="s">
        <v>36</v>
      </c>
      <c r="P1295" s="1">
        <v>0.36599999999999999</v>
      </c>
      <c r="Q1295" s="1">
        <v>92.914000000000001</v>
      </c>
      <c r="R1295" s="1">
        <v>3.0197368</v>
      </c>
      <c r="S1295" s="1">
        <v>1.9115181000000001</v>
      </c>
      <c r="T1295" s="1">
        <v>-2.0519338</v>
      </c>
      <c r="U1295" s="1">
        <v>12.664</v>
      </c>
      <c r="V1295" s="1">
        <v>108</v>
      </c>
      <c r="W1295" s="1">
        <v>181</v>
      </c>
      <c r="X1295" s="1">
        <v>1.6759259259259258</v>
      </c>
      <c r="Y1295" s="1">
        <v>111</v>
      </c>
      <c r="Z1295" s="1">
        <v>181</v>
      </c>
      <c r="AA1295" s="1">
        <v>1.6306306306306306</v>
      </c>
      <c r="AB1295" s="1">
        <v>109.8284318982373</v>
      </c>
      <c r="AC1295" s="1">
        <v>180.99135576490829</v>
      </c>
      <c r="AD1295" s="1">
        <v>1.6479462798176683</v>
      </c>
      <c r="AE1295" t="s">
        <v>4817</v>
      </c>
      <c r="AF1295" t="str">
        <f>IF(X1295&lt;$AF$1,"Bajo","Alto")</f>
        <v>Bajo</v>
      </c>
      <c r="AG1295" t="str">
        <f>LEFT(AE1295,1)</f>
        <v>C</v>
      </c>
      <c r="AH1295" t="str">
        <f>K1295</f>
        <v>M</v>
      </c>
      <c r="AI1295" t="str">
        <f>LEFT(AF1295,1)</f>
        <v>B</v>
      </c>
      <c r="AJ1295" t="str">
        <f>LEFT(M1295,1)</f>
        <v>J</v>
      </c>
      <c r="AK1295" t="str">
        <f>_xlfn.CONCAT(AG1295,AH1295,AI1295,AJ1295)</f>
        <v>CMBJ</v>
      </c>
    </row>
    <row r="1296" spans="1:37" ht="15.75" hidden="1" customHeight="1" x14ac:dyDescent="0.2">
      <c r="A1296" s="1">
        <v>173701</v>
      </c>
      <c r="B1296" s="1" t="s">
        <v>2551</v>
      </c>
      <c r="C1296" s="1" t="s">
        <v>2552</v>
      </c>
      <c r="D1296" s="1" t="s">
        <v>2632</v>
      </c>
      <c r="E1296" s="1" t="s">
        <v>647</v>
      </c>
      <c r="F1296" s="1" t="s">
        <v>32</v>
      </c>
      <c r="G1296" s="1" t="s">
        <v>2633</v>
      </c>
      <c r="H1296" s="1">
        <v>1276</v>
      </c>
      <c r="I1296" s="1" t="s">
        <v>100</v>
      </c>
      <c r="J1296" s="1">
        <v>1</v>
      </c>
      <c r="K1296" s="1" t="s">
        <v>49</v>
      </c>
      <c r="L1296" s="1">
        <v>41</v>
      </c>
      <c r="M1296" s="1" t="str">
        <f>IF(L1296&lt;=45,"Joven","Mayor")</f>
        <v>Joven</v>
      </c>
      <c r="N1296" s="1">
        <v>54</v>
      </c>
      <c r="O1296" s="1" t="s">
        <v>50</v>
      </c>
      <c r="P1296" s="1">
        <v>0.35799999999999998</v>
      </c>
      <c r="Q1296" s="1">
        <v>90.933999999999997</v>
      </c>
      <c r="R1296" s="1">
        <v>7.9207139999999995E-2</v>
      </c>
      <c r="S1296" s="1">
        <v>11.769454</v>
      </c>
      <c r="T1296" s="1">
        <v>7.0577774</v>
      </c>
      <c r="U1296" s="1">
        <v>21.097000000000001</v>
      </c>
      <c r="V1296" s="1">
        <v>77</v>
      </c>
      <c r="W1296" s="1">
        <v>146</v>
      </c>
      <c r="X1296" s="1">
        <v>1.8961038961038961</v>
      </c>
      <c r="Y1296" s="1">
        <v>91</v>
      </c>
      <c r="Z1296" s="1">
        <v>146</v>
      </c>
      <c r="AA1296" s="1">
        <v>1.6043956043956045</v>
      </c>
      <c r="AB1296" s="1">
        <v>86.747235597488498</v>
      </c>
      <c r="AC1296" s="1">
        <v>147.9654762403338</v>
      </c>
      <c r="AD1296" s="1">
        <v>1.7057082594182136</v>
      </c>
      <c r="AE1296" t="s">
        <v>4817</v>
      </c>
      <c r="AF1296" t="str">
        <f>IF(X1296&lt;$AF$1,"Bajo","Alto")</f>
        <v>Alto</v>
      </c>
      <c r="AG1296" t="str">
        <f>LEFT(AE1296,1)</f>
        <v>C</v>
      </c>
      <c r="AH1296" t="str">
        <f>K1296</f>
        <v>F</v>
      </c>
      <c r="AI1296" t="str">
        <f>LEFT(AF1296,1)</f>
        <v>A</v>
      </c>
      <c r="AJ1296" t="str">
        <f>LEFT(M1296,1)</f>
        <v>J</v>
      </c>
      <c r="AK1296" t="str">
        <f>_xlfn.CONCAT(AG1296,AH1296,AI1296,AJ1296)</f>
        <v>CFAJ</v>
      </c>
    </row>
    <row r="1297" spans="1:37" ht="15.75" hidden="1" customHeight="1" x14ac:dyDescent="0.2">
      <c r="A1297" s="1">
        <v>257604</v>
      </c>
      <c r="B1297" s="1" t="s">
        <v>3169</v>
      </c>
      <c r="C1297" s="1" t="s">
        <v>821</v>
      </c>
      <c r="D1297" s="1" t="s">
        <v>3315</v>
      </c>
      <c r="E1297" s="1" t="s">
        <v>727</v>
      </c>
      <c r="F1297" s="1" t="s">
        <v>61</v>
      </c>
      <c r="G1297" s="1" t="s">
        <v>3317</v>
      </c>
      <c r="H1297" s="1">
        <v>484</v>
      </c>
      <c r="I1297" s="1" t="s">
        <v>48</v>
      </c>
      <c r="J1297" s="1">
        <v>4</v>
      </c>
      <c r="K1297" s="1" t="s">
        <v>35</v>
      </c>
      <c r="L1297" s="1">
        <v>32</v>
      </c>
      <c r="M1297" s="1" t="str">
        <f>IF(L1297&lt;=45,"Joven","Mayor")</f>
        <v>Joven</v>
      </c>
      <c r="N1297" s="1">
        <v>47</v>
      </c>
      <c r="O1297" s="1" t="s">
        <v>36</v>
      </c>
      <c r="P1297" s="1">
        <v>0.35899999999999999</v>
      </c>
      <c r="Q1297" s="1">
        <v>88.343000000000004</v>
      </c>
      <c r="R1297" s="1">
        <v>-4.2843102999999996</v>
      </c>
      <c r="S1297" s="1">
        <v>9.8614809999999995</v>
      </c>
      <c r="T1297" s="1">
        <v>5.5715412999999998</v>
      </c>
      <c r="U1297" s="1">
        <v>0.871</v>
      </c>
      <c r="V1297" s="1">
        <v>94</v>
      </c>
      <c r="W1297" s="1">
        <v>176</v>
      </c>
      <c r="X1297" s="1">
        <v>1.8723404255319149</v>
      </c>
      <c r="Y1297" s="1">
        <v>101</v>
      </c>
      <c r="Z1297" s="1">
        <v>176</v>
      </c>
      <c r="AA1297" s="1">
        <v>1.7425742574257426</v>
      </c>
      <c r="AB1297" s="1">
        <v>98.895790980700667</v>
      </c>
      <c r="AC1297" s="1">
        <v>176.23650553757619</v>
      </c>
      <c r="AD1297" s="1">
        <v>1.7820425297166431</v>
      </c>
      <c r="AE1297" t="s">
        <v>4817</v>
      </c>
      <c r="AF1297" t="str">
        <f>IF(X1297&lt;$AF$1,"Bajo","Alto")</f>
        <v>Alto</v>
      </c>
      <c r="AG1297" t="str">
        <f>LEFT(AE1297,1)</f>
        <v>C</v>
      </c>
      <c r="AH1297" t="str">
        <f>K1297</f>
        <v>M</v>
      </c>
      <c r="AI1297" t="str">
        <f>LEFT(AF1297,1)</f>
        <v>A</v>
      </c>
      <c r="AJ1297" t="str">
        <f>LEFT(M1297,1)</f>
        <v>J</v>
      </c>
      <c r="AK1297" t="str">
        <f>_xlfn.CONCAT(AG1297,AH1297,AI1297,AJ1297)</f>
        <v>CMAJ</v>
      </c>
    </row>
    <row r="1298" spans="1:37" ht="15.75" hidden="1" customHeight="1" x14ac:dyDescent="0.2">
      <c r="A1298" s="1">
        <v>316102</v>
      </c>
      <c r="B1298" s="1" t="s">
        <v>4122</v>
      </c>
      <c r="C1298" s="1" t="s">
        <v>628</v>
      </c>
      <c r="D1298" s="1" t="s">
        <v>4240</v>
      </c>
      <c r="E1298" s="1" t="s">
        <v>701</v>
      </c>
      <c r="F1298" s="1" t="s">
        <v>37</v>
      </c>
      <c r="G1298" s="1" t="s">
        <v>4241</v>
      </c>
      <c r="H1298" s="1">
        <v>1037</v>
      </c>
      <c r="I1298" s="1" t="s">
        <v>34</v>
      </c>
      <c r="J1298" s="1">
        <v>10</v>
      </c>
      <c r="K1298" s="1" t="s">
        <v>35</v>
      </c>
      <c r="L1298" s="1">
        <v>42</v>
      </c>
      <c r="M1298" s="1" t="str">
        <f>IF(L1298&lt;=45,"Joven","Mayor")</f>
        <v>Joven</v>
      </c>
      <c r="N1298" s="1">
        <v>44</v>
      </c>
      <c r="O1298" s="1" t="s">
        <v>36</v>
      </c>
      <c r="P1298" s="1">
        <v>2.7480000000000002</v>
      </c>
      <c r="Q1298" s="1">
        <v>0.69599999999999995</v>
      </c>
      <c r="R1298" s="1">
        <v>25.915184</v>
      </c>
      <c r="S1298" s="1">
        <v>-6.6196169999999999</v>
      </c>
      <c r="T1298" s="1">
        <v>-11.986988999999999</v>
      </c>
      <c r="U1298" s="1">
        <v>4.32</v>
      </c>
      <c r="V1298" s="1">
        <v>106</v>
      </c>
      <c r="W1298" s="1">
        <v>177</v>
      </c>
      <c r="X1298" s="1">
        <v>1.6698113207547169</v>
      </c>
      <c r="Y1298" s="1">
        <v>123</v>
      </c>
      <c r="Z1298" s="1">
        <v>177</v>
      </c>
      <c r="AA1298" s="1">
        <v>1.4390243902439024</v>
      </c>
      <c r="AB1298" s="1">
        <v>114.0731257949965</v>
      </c>
      <c r="AC1298" s="1">
        <v>177.29426893025541</v>
      </c>
      <c r="AD1298" s="1">
        <v>1.5542159267983515</v>
      </c>
      <c r="AE1298" t="s">
        <v>4815</v>
      </c>
      <c r="AF1298" t="str">
        <f>IF(X1298&lt;$AF$1,"Bajo","Alto")</f>
        <v>Bajo</v>
      </c>
      <c r="AG1298" t="str">
        <f>LEFT(AE1298,1)</f>
        <v>I</v>
      </c>
      <c r="AH1298" t="str">
        <f>K1298</f>
        <v>M</v>
      </c>
      <c r="AI1298" t="str">
        <f>LEFT(AF1298,1)</f>
        <v>B</v>
      </c>
      <c r="AJ1298" t="str">
        <f>LEFT(M1298,1)</f>
        <v>J</v>
      </c>
      <c r="AK1298" t="str">
        <f>_xlfn.CONCAT(AG1298,AH1298,AI1298,AJ1298)</f>
        <v>IMBJ</v>
      </c>
    </row>
    <row r="1299" spans="1:37" ht="15.75" hidden="1" customHeight="1" x14ac:dyDescent="0.2">
      <c r="A1299" s="1">
        <v>1526802</v>
      </c>
      <c r="B1299" s="1" t="s">
        <v>2077</v>
      </c>
      <c r="C1299" s="1" t="s">
        <v>57</v>
      </c>
      <c r="D1299" s="1" t="s">
        <v>2324</v>
      </c>
      <c r="E1299" s="1" t="s">
        <v>537</v>
      </c>
      <c r="F1299" s="1" t="s">
        <v>37</v>
      </c>
      <c r="G1299" s="1" t="s">
        <v>2326</v>
      </c>
      <c r="H1299" s="1">
        <v>1525</v>
      </c>
      <c r="I1299" s="1" t="s">
        <v>2327</v>
      </c>
      <c r="J1299" s="1">
        <v>3736</v>
      </c>
      <c r="K1299" s="1" t="s">
        <v>35</v>
      </c>
      <c r="L1299" s="1">
        <v>51</v>
      </c>
      <c r="M1299" s="1" t="str">
        <f>IF(L1299&lt;=45,"Joven","Mayor")</f>
        <v>Mayor</v>
      </c>
      <c r="N1299" s="1">
        <v>53</v>
      </c>
      <c r="O1299" s="1" t="s">
        <v>36</v>
      </c>
      <c r="P1299" s="1">
        <v>0.33600000000000002</v>
      </c>
      <c r="Q1299" s="1">
        <v>90.263999999999996</v>
      </c>
      <c r="R1299" s="1">
        <v>4.4788775000000003</v>
      </c>
      <c r="S1299" s="1">
        <v>6.0356636000000004</v>
      </c>
      <c r="T1299" s="1">
        <v>-0.80546240000000002</v>
      </c>
      <c r="U1299" s="1">
        <v>2.9319999999999999</v>
      </c>
      <c r="V1299" s="1">
        <v>100</v>
      </c>
      <c r="W1299" s="1">
        <v>166</v>
      </c>
      <c r="X1299" s="1">
        <v>1.66</v>
      </c>
      <c r="Y1299" s="1">
        <v>107</v>
      </c>
      <c r="Z1299" s="1">
        <v>166</v>
      </c>
      <c r="AA1299" s="1">
        <v>1.5514018691588785</v>
      </c>
      <c r="AB1299" s="1">
        <v>107.4814399286161</v>
      </c>
      <c r="AC1299" s="1">
        <v>165.7305621256223</v>
      </c>
      <c r="AD1299" s="1">
        <v>1.5419458674510913</v>
      </c>
      <c r="AE1299" t="s">
        <v>4817</v>
      </c>
      <c r="AF1299" t="str">
        <f>IF(X1299&lt;$AF$1,"Bajo","Alto")</f>
        <v>Bajo</v>
      </c>
      <c r="AG1299" t="str">
        <f>LEFT(AE1299,1)</f>
        <v>C</v>
      </c>
      <c r="AH1299" t="str">
        <f>K1299</f>
        <v>M</v>
      </c>
      <c r="AI1299" t="str">
        <f>LEFT(AF1299,1)</f>
        <v>B</v>
      </c>
      <c r="AJ1299" t="str">
        <f>LEFT(M1299,1)</f>
        <v>M</v>
      </c>
      <c r="AK1299" t="str">
        <f>_xlfn.CONCAT(AG1299,AH1299,AI1299,AJ1299)</f>
        <v>CMBM</v>
      </c>
    </row>
    <row r="1300" spans="1:37" ht="15.75" customHeight="1" x14ac:dyDescent="0.2">
      <c r="A1300" s="1">
        <v>1529206</v>
      </c>
      <c r="B1300" s="1" t="s">
        <v>2077</v>
      </c>
      <c r="C1300" s="1" t="s">
        <v>57</v>
      </c>
      <c r="D1300" s="1" t="s">
        <v>2366</v>
      </c>
      <c r="E1300" s="1" t="s">
        <v>594</v>
      </c>
      <c r="F1300" s="1" t="s">
        <v>88</v>
      </c>
      <c r="G1300" s="1" t="s">
        <v>2370</v>
      </c>
      <c r="H1300" s="1">
        <v>5412</v>
      </c>
      <c r="I1300" s="1" t="s">
        <v>2371</v>
      </c>
      <c r="J1300" s="1">
        <v>3743</v>
      </c>
      <c r="K1300" s="1" t="s">
        <v>35</v>
      </c>
      <c r="L1300" s="1">
        <v>39</v>
      </c>
      <c r="M1300" s="1" t="str">
        <f>IF(L1300&lt;=45,"Joven","Mayor")</f>
        <v>Joven</v>
      </c>
      <c r="N1300" s="1">
        <v>42</v>
      </c>
      <c r="O1300" s="1" t="s">
        <v>36</v>
      </c>
      <c r="P1300" s="1">
        <v>0.35899999999999999</v>
      </c>
      <c r="Q1300" s="1">
        <v>93.536000000000001</v>
      </c>
      <c r="R1300" s="1">
        <v>2.5053174</v>
      </c>
      <c r="S1300" s="1">
        <v>0.60788679999999995</v>
      </c>
      <c r="T1300" s="1">
        <v>-0.98811870000000002</v>
      </c>
      <c r="U1300" s="1">
        <v>4.2060000000000004</v>
      </c>
      <c r="V1300" s="1">
        <v>91</v>
      </c>
      <c r="W1300" s="1">
        <v>183</v>
      </c>
      <c r="X1300" s="1">
        <v>2.0109890109890109</v>
      </c>
      <c r="Y1300" s="1">
        <v>94</v>
      </c>
      <c r="Z1300" s="1">
        <v>183</v>
      </c>
      <c r="AA1300" s="1">
        <v>1.946808510638298</v>
      </c>
      <c r="AB1300" s="1">
        <v>93.227238443198985</v>
      </c>
      <c r="AC1300" s="1">
        <v>183.02452177841039</v>
      </c>
      <c r="AD1300" s="1">
        <v>1.9632086591294091</v>
      </c>
      <c r="AE1300" t="s">
        <v>4818</v>
      </c>
      <c r="AF1300" t="str">
        <f>IF(X1300&lt;$AF$1,"Bajo","Alto")</f>
        <v>Alto</v>
      </c>
      <c r="AG1300" t="str">
        <f>LEFT(AE1300,1)</f>
        <v>S</v>
      </c>
      <c r="AH1300" t="str">
        <f>K1300</f>
        <v>M</v>
      </c>
      <c r="AI1300" t="str">
        <f>LEFT(AF1300,1)</f>
        <v>A</v>
      </c>
      <c r="AJ1300" t="str">
        <f>LEFT(M1300,1)</f>
        <v>J</v>
      </c>
      <c r="AK1300" t="str">
        <f>_xlfn.CONCAT(AG1300,AH1300,AI1300,AJ1300)</f>
        <v>SMAJ</v>
      </c>
    </row>
    <row r="1301" spans="1:37" ht="15.75" hidden="1" customHeight="1" x14ac:dyDescent="0.2">
      <c r="A1301" s="1">
        <v>10910302</v>
      </c>
      <c r="B1301" s="1" t="s">
        <v>719</v>
      </c>
      <c r="C1301" s="1" t="s">
        <v>98</v>
      </c>
      <c r="D1301" s="1" t="s">
        <v>1546</v>
      </c>
      <c r="E1301" s="1" t="s">
        <v>81</v>
      </c>
      <c r="F1301" s="1" t="s">
        <v>37</v>
      </c>
      <c r="G1301" s="1" t="s">
        <v>1547</v>
      </c>
      <c r="H1301" s="1">
        <v>8668</v>
      </c>
      <c r="I1301" s="1" t="s">
        <v>85</v>
      </c>
      <c r="J1301" s="1">
        <v>12</v>
      </c>
      <c r="K1301" s="1" t="s">
        <v>35</v>
      </c>
      <c r="L1301" s="1">
        <v>40</v>
      </c>
      <c r="M1301" s="1" t="str">
        <f>IF(L1301&lt;=45,"Joven","Mayor")</f>
        <v>Joven</v>
      </c>
      <c r="N1301" s="1">
        <v>50</v>
      </c>
      <c r="O1301" s="1" t="s">
        <v>36</v>
      </c>
      <c r="P1301" s="1">
        <v>1.091</v>
      </c>
      <c r="Q1301" s="1">
        <v>79.977999999999994</v>
      </c>
      <c r="R1301" s="1">
        <v>9.7022770000000005</v>
      </c>
      <c r="S1301" s="1">
        <v>5.6073402999999997</v>
      </c>
      <c r="T1301" s="1">
        <v>-4.0382550000000004</v>
      </c>
      <c r="U1301" s="1">
        <v>16.638999999999999</v>
      </c>
      <c r="V1301" s="1">
        <v>78</v>
      </c>
      <c r="W1301" s="1">
        <v>144</v>
      </c>
      <c r="X1301" s="1">
        <v>1.8461538461538463</v>
      </c>
      <c r="Y1301" s="1">
        <v>79</v>
      </c>
      <c r="Z1301" s="1">
        <v>144</v>
      </c>
      <c r="AA1301" s="1">
        <v>1.8227848101265822</v>
      </c>
      <c r="AB1301" s="1">
        <v>80.059865987894</v>
      </c>
      <c r="AC1301" s="1">
        <v>143.64248446195509</v>
      </c>
      <c r="AD1301" s="1">
        <v>1.7941884199965503</v>
      </c>
      <c r="AE1301" t="s">
        <v>4815</v>
      </c>
      <c r="AF1301" t="str">
        <f>IF(X1301&lt;$AF$1,"Bajo","Alto")</f>
        <v>Alto</v>
      </c>
      <c r="AG1301" t="str">
        <f>LEFT(AE1301,1)</f>
        <v>I</v>
      </c>
      <c r="AH1301" t="str">
        <f>K1301</f>
        <v>M</v>
      </c>
      <c r="AI1301" t="str">
        <f>LEFT(AF1301,1)</f>
        <v>A</v>
      </c>
      <c r="AJ1301" t="str">
        <f>LEFT(M1301,1)</f>
        <v>J</v>
      </c>
      <c r="AK1301" t="str">
        <f>_xlfn.CONCAT(AG1301,AH1301,AI1301,AJ1301)</f>
        <v>IMAJ</v>
      </c>
    </row>
    <row r="1302" spans="1:37" ht="15.75" hidden="1" customHeight="1" x14ac:dyDescent="0.2">
      <c r="A1302" s="1">
        <v>238501</v>
      </c>
      <c r="B1302" s="1" t="s">
        <v>319</v>
      </c>
      <c r="C1302" s="1" t="s">
        <v>1989</v>
      </c>
      <c r="D1302" s="1" t="s">
        <v>3092</v>
      </c>
      <c r="E1302" s="1" t="s">
        <v>755</v>
      </c>
      <c r="F1302" s="1" t="s">
        <v>32</v>
      </c>
      <c r="G1302" s="1" t="s">
        <v>3093</v>
      </c>
      <c r="H1302" s="1">
        <v>2673</v>
      </c>
      <c r="I1302" s="1" t="s">
        <v>108</v>
      </c>
      <c r="J1302" s="1">
        <v>3</v>
      </c>
      <c r="K1302" s="1" t="s">
        <v>35</v>
      </c>
      <c r="L1302" s="1">
        <v>46</v>
      </c>
      <c r="M1302" s="1" t="str">
        <f>IF(L1302&lt;=45,"Joven","Mayor")</f>
        <v>Mayor</v>
      </c>
      <c r="N1302" s="1">
        <v>51</v>
      </c>
      <c r="O1302" s="1" t="s">
        <v>36</v>
      </c>
      <c r="P1302" s="1">
        <v>0.35099999999999998</v>
      </c>
      <c r="Q1302" s="1">
        <v>65.144000000000005</v>
      </c>
      <c r="R1302" s="1">
        <v>13.937916</v>
      </c>
      <c r="S1302" s="1">
        <v>-0.35636679999999998</v>
      </c>
      <c r="T1302" s="1">
        <v>-7.9044850000000002</v>
      </c>
      <c r="U1302" s="1">
        <v>2.5089999999999999</v>
      </c>
      <c r="V1302" s="1">
        <v>91</v>
      </c>
      <c r="W1302" s="1">
        <v>170</v>
      </c>
      <c r="X1302" s="1">
        <v>1.8681318681318682</v>
      </c>
      <c r="Y1302" s="1">
        <v>104</v>
      </c>
      <c r="Z1302" s="1">
        <v>170</v>
      </c>
      <c r="AA1302" s="1">
        <v>1.6346153846153846</v>
      </c>
      <c r="AB1302" s="1">
        <v>98.473636272811973</v>
      </c>
      <c r="AC1302" s="1">
        <v>170.86017667710391</v>
      </c>
      <c r="AD1302" s="1">
        <v>1.7350854822071546</v>
      </c>
      <c r="AE1302" t="s">
        <v>4817</v>
      </c>
      <c r="AF1302" t="str">
        <f>IF(X1302&lt;$AF$1,"Bajo","Alto")</f>
        <v>Alto</v>
      </c>
      <c r="AG1302" t="str">
        <f>LEFT(AE1302,1)</f>
        <v>C</v>
      </c>
      <c r="AH1302" t="str">
        <f>K1302</f>
        <v>M</v>
      </c>
      <c r="AI1302" t="str">
        <f>LEFT(AF1302,1)</f>
        <v>A</v>
      </c>
      <c r="AJ1302" t="str">
        <f>LEFT(M1302,1)</f>
        <v>M</v>
      </c>
      <c r="AK1302" t="str">
        <f>_xlfn.CONCAT(AG1302,AH1302,AI1302,AJ1302)</f>
        <v>CMAM</v>
      </c>
    </row>
    <row r="1303" spans="1:37" ht="15.75" hidden="1" customHeight="1" x14ac:dyDescent="0.2">
      <c r="A1303" s="1">
        <v>234703</v>
      </c>
      <c r="B1303" s="1" t="s">
        <v>319</v>
      </c>
      <c r="C1303" s="1" t="s">
        <v>1989</v>
      </c>
      <c r="D1303" s="1" t="s">
        <v>3046</v>
      </c>
      <c r="E1303" s="1" t="s">
        <v>857</v>
      </c>
      <c r="F1303" s="1" t="s">
        <v>63</v>
      </c>
      <c r="G1303" s="1" t="s">
        <v>3048</v>
      </c>
      <c r="H1303" s="1">
        <v>2191</v>
      </c>
      <c r="I1303" s="1" t="s">
        <v>65</v>
      </c>
      <c r="J1303" s="1">
        <v>2</v>
      </c>
      <c r="K1303" s="1" t="s">
        <v>35</v>
      </c>
      <c r="L1303" s="1">
        <v>45</v>
      </c>
      <c r="M1303" s="1" t="str">
        <f>IF(L1303&lt;=45,"Joven","Mayor")</f>
        <v>Joven</v>
      </c>
      <c r="N1303" s="1">
        <v>42</v>
      </c>
      <c r="O1303" s="1" t="s">
        <v>36</v>
      </c>
      <c r="P1303" s="1">
        <v>0.52700000000000002</v>
      </c>
      <c r="Q1303" s="1">
        <v>90.894999999999996</v>
      </c>
      <c r="R1303" s="1">
        <v>5.0537434000000001</v>
      </c>
      <c r="S1303" s="1">
        <v>-2.2495885000000002</v>
      </c>
      <c r="T1303" s="1">
        <v>-3.2448942999999999</v>
      </c>
      <c r="U1303" s="1">
        <v>3.3029999999999999</v>
      </c>
      <c r="V1303" s="1">
        <v>108</v>
      </c>
      <c r="W1303" s="1">
        <v>181</v>
      </c>
      <c r="X1303" s="1">
        <v>1.6759259259259258</v>
      </c>
      <c r="Y1303" s="1">
        <v>110</v>
      </c>
      <c r="Z1303" s="1">
        <v>181</v>
      </c>
      <c r="AA1303" s="1">
        <v>1.6454545454545455</v>
      </c>
      <c r="AB1303" s="1">
        <v>112.5406223719804</v>
      </c>
      <c r="AC1303" s="1">
        <v>180.87961751749799</v>
      </c>
      <c r="AD1303" s="1">
        <v>1.6072384682540388</v>
      </c>
      <c r="AE1303" t="s">
        <v>4817</v>
      </c>
      <c r="AF1303" t="str">
        <f>IF(X1303&lt;$AF$1,"Bajo","Alto")</f>
        <v>Bajo</v>
      </c>
      <c r="AG1303" t="str">
        <f>LEFT(AE1303,1)</f>
        <v>C</v>
      </c>
      <c r="AH1303" t="str">
        <f>K1303</f>
        <v>M</v>
      </c>
      <c r="AI1303" t="str">
        <f>LEFT(AF1303,1)</f>
        <v>B</v>
      </c>
      <c r="AJ1303" t="str">
        <f>LEFT(M1303,1)</f>
        <v>J</v>
      </c>
      <c r="AK1303" t="str">
        <f>_xlfn.CONCAT(AG1303,AH1303,AI1303,AJ1303)</f>
        <v>CMBJ</v>
      </c>
    </row>
    <row r="1304" spans="1:37" ht="15.75" hidden="1" customHeight="1" x14ac:dyDescent="0.2">
      <c r="A1304" s="1">
        <v>1031603</v>
      </c>
      <c r="B1304" s="1" t="s">
        <v>783</v>
      </c>
      <c r="C1304" s="1" t="s">
        <v>81</v>
      </c>
      <c r="D1304" s="1" t="s">
        <v>810</v>
      </c>
      <c r="E1304" s="1" t="s">
        <v>244</v>
      </c>
      <c r="F1304" s="1" t="s">
        <v>63</v>
      </c>
      <c r="G1304" s="1" t="s">
        <v>812</v>
      </c>
      <c r="H1304" s="1">
        <v>7366</v>
      </c>
      <c r="I1304" s="1" t="s">
        <v>813</v>
      </c>
      <c r="J1304" s="1">
        <v>3085</v>
      </c>
      <c r="K1304" s="1" t="s">
        <v>35</v>
      </c>
      <c r="L1304" s="1">
        <v>53</v>
      </c>
      <c r="M1304" s="1" t="str">
        <f>IF(L1304&lt;=45,"Joven","Mayor")</f>
        <v>Mayor</v>
      </c>
      <c r="N1304" s="1">
        <v>60</v>
      </c>
      <c r="O1304" s="1" t="s">
        <v>36</v>
      </c>
      <c r="P1304" s="1">
        <v>0.34599999999999997</v>
      </c>
      <c r="Q1304" s="1">
        <v>90.165000000000006</v>
      </c>
      <c r="R1304" s="1">
        <v>6.0659460000000003</v>
      </c>
      <c r="S1304" s="1">
        <v>-0.57233140000000005</v>
      </c>
      <c r="T1304" s="1">
        <v>-7.2430479999999999</v>
      </c>
      <c r="U1304" s="1">
        <v>4.4489999999999998</v>
      </c>
      <c r="V1304" s="1">
        <v>83</v>
      </c>
      <c r="W1304" s="1">
        <v>155</v>
      </c>
      <c r="X1304" s="1">
        <v>1.8674698795180722</v>
      </c>
      <c r="Y1304" s="1">
        <v>95</v>
      </c>
      <c r="Z1304" s="1">
        <v>155</v>
      </c>
      <c r="AA1304" s="1">
        <v>1.631578947368421</v>
      </c>
      <c r="AB1304" s="1">
        <v>90.081330303780533</v>
      </c>
      <c r="AC1304" s="1">
        <v>156.28471154869609</v>
      </c>
      <c r="AD1304" s="1">
        <v>1.734928991630768</v>
      </c>
      <c r="AE1304" t="s">
        <v>4817</v>
      </c>
      <c r="AF1304" t="str">
        <f>IF(X1304&lt;$AF$1,"Bajo","Alto")</f>
        <v>Alto</v>
      </c>
      <c r="AG1304" t="str">
        <f>LEFT(AE1304,1)</f>
        <v>C</v>
      </c>
      <c r="AH1304" t="str">
        <f>K1304</f>
        <v>M</v>
      </c>
      <c r="AI1304" t="str">
        <f>LEFT(AF1304,1)</f>
        <v>A</v>
      </c>
      <c r="AJ1304" t="str">
        <f>LEFT(M1304,1)</f>
        <v>M</v>
      </c>
      <c r="AK1304" t="str">
        <f>_xlfn.CONCAT(AG1304,AH1304,AI1304,AJ1304)</f>
        <v>CMAM</v>
      </c>
    </row>
    <row r="1305" spans="1:37" ht="15.75" hidden="1" customHeight="1" x14ac:dyDescent="0.2">
      <c r="A1305" s="1">
        <v>212806</v>
      </c>
      <c r="B1305" s="1" t="s">
        <v>2816</v>
      </c>
      <c r="C1305" s="1" t="s">
        <v>2817</v>
      </c>
      <c r="D1305" s="1" t="s">
        <v>2852</v>
      </c>
      <c r="E1305" s="1" t="s">
        <v>561</v>
      </c>
      <c r="F1305" s="1" t="s">
        <v>88</v>
      </c>
      <c r="G1305" s="1" t="s">
        <v>2856</v>
      </c>
      <c r="H1305" s="1">
        <v>4599</v>
      </c>
      <c r="I1305" s="1" t="s">
        <v>2857</v>
      </c>
      <c r="J1305" s="1">
        <v>3947</v>
      </c>
      <c r="K1305" s="1" t="s">
        <v>35</v>
      </c>
      <c r="L1305" s="1">
        <v>60</v>
      </c>
      <c r="M1305" s="1" t="str">
        <f>IF(L1305&lt;=45,"Joven","Mayor")</f>
        <v>Mayor</v>
      </c>
      <c r="N1305" s="1">
        <v>75</v>
      </c>
      <c r="O1305" s="1" t="s">
        <v>36</v>
      </c>
      <c r="P1305" s="1">
        <v>0.18099999999999999</v>
      </c>
      <c r="Q1305" s="1">
        <v>86.730999999999995</v>
      </c>
      <c r="R1305" s="1">
        <v>8.2179739999999999</v>
      </c>
      <c r="S1305" s="1">
        <v>0.39075935000000001</v>
      </c>
      <c r="T1305" s="1">
        <v>-0.41653842000000002</v>
      </c>
      <c r="U1305" s="1">
        <v>0.67800000000000005</v>
      </c>
      <c r="V1305" s="1">
        <v>100</v>
      </c>
      <c r="W1305" s="1">
        <v>166</v>
      </c>
      <c r="X1305" s="1">
        <v>1.66</v>
      </c>
      <c r="Y1305" s="1">
        <v>103</v>
      </c>
      <c r="Z1305" s="1">
        <v>166</v>
      </c>
      <c r="AA1305" s="1">
        <v>1.6116504854368932</v>
      </c>
      <c r="AB1305" s="1">
        <v>103.2735344207692</v>
      </c>
      <c r="AC1305" s="1">
        <v>165.98107346287631</v>
      </c>
      <c r="AD1305" s="1">
        <v>1.6071985373001438</v>
      </c>
      <c r="AE1305" t="s">
        <v>4817</v>
      </c>
      <c r="AF1305" t="str">
        <f>IF(X1305&lt;$AF$1,"Bajo","Alto")</f>
        <v>Bajo</v>
      </c>
      <c r="AG1305" t="str">
        <f>LEFT(AE1305,1)</f>
        <v>C</v>
      </c>
      <c r="AH1305" t="str">
        <f>K1305</f>
        <v>M</v>
      </c>
      <c r="AI1305" t="str">
        <f>LEFT(AF1305,1)</f>
        <v>B</v>
      </c>
      <c r="AJ1305" t="str">
        <f>LEFT(M1305,1)</f>
        <v>M</v>
      </c>
      <c r="AK1305" t="str">
        <f>_xlfn.CONCAT(AG1305,AH1305,AI1305,AJ1305)</f>
        <v>CMBM</v>
      </c>
    </row>
    <row r="1306" spans="1:37" ht="15.75" hidden="1" customHeight="1" x14ac:dyDescent="0.2">
      <c r="A1306" s="1">
        <v>2717203</v>
      </c>
      <c r="B1306" s="1" t="s">
        <v>3409</v>
      </c>
      <c r="C1306" s="1" t="s">
        <v>973</v>
      </c>
      <c r="D1306" s="1" t="s">
        <v>391</v>
      </c>
      <c r="E1306" s="1" t="s">
        <v>291</v>
      </c>
      <c r="F1306" s="1" t="s">
        <v>63</v>
      </c>
      <c r="G1306" s="1" t="s">
        <v>3561</v>
      </c>
      <c r="H1306" s="1">
        <v>233</v>
      </c>
      <c r="I1306" s="1" t="s">
        <v>45</v>
      </c>
      <c r="J1306" s="1">
        <v>17</v>
      </c>
      <c r="K1306" s="1" t="s">
        <v>49</v>
      </c>
      <c r="L1306" s="1">
        <v>42</v>
      </c>
      <c r="M1306" s="1" t="str">
        <f>IF(L1306&lt;=45,"Joven","Mayor")</f>
        <v>Joven</v>
      </c>
      <c r="N1306" s="1">
        <v>40</v>
      </c>
      <c r="O1306" s="1" t="s">
        <v>50</v>
      </c>
      <c r="P1306" s="1">
        <v>1.887</v>
      </c>
      <c r="Q1306" s="1">
        <v>91.364999999999995</v>
      </c>
      <c r="R1306" s="1">
        <v>-1.7028198000000001</v>
      </c>
      <c r="S1306" s="1">
        <v>8.1534040000000001</v>
      </c>
      <c r="T1306" s="1">
        <v>-0.97184280000000001</v>
      </c>
      <c r="U1306" s="1">
        <v>2.2879999999999998</v>
      </c>
      <c r="V1306" s="1">
        <v>68</v>
      </c>
      <c r="W1306" s="1">
        <v>114</v>
      </c>
      <c r="X1306" s="1">
        <v>1.6764705882352942</v>
      </c>
      <c r="Y1306" s="1">
        <v>69</v>
      </c>
      <c r="Z1306" s="1">
        <v>114</v>
      </c>
      <c r="AA1306" s="1">
        <v>1.6521739130434783</v>
      </c>
      <c r="AB1306" s="1">
        <v>68.56604834616428</v>
      </c>
      <c r="AC1306" s="1">
        <v>114.06840644876</v>
      </c>
      <c r="AD1306" s="1">
        <v>1.6636281249995823</v>
      </c>
      <c r="AE1306" t="s">
        <v>4817</v>
      </c>
      <c r="AF1306" t="str">
        <f>IF(X1306&lt;$AF$1,"Bajo","Alto")</f>
        <v>Bajo</v>
      </c>
      <c r="AG1306" t="str">
        <f>LEFT(AE1306,1)</f>
        <v>C</v>
      </c>
      <c r="AH1306" t="str">
        <f>K1306</f>
        <v>F</v>
      </c>
      <c r="AI1306" t="str">
        <f>LEFT(AF1306,1)</f>
        <v>B</v>
      </c>
      <c r="AJ1306" t="str">
        <f>LEFT(M1306,1)</f>
        <v>J</v>
      </c>
      <c r="AK1306" t="str">
        <f>_xlfn.CONCAT(AG1306,AH1306,AI1306,AJ1306)</f>
        <v>CFBJ</v>
      </c>
    </row>
    <row r="1307" spans="1:37" ht="15.75" hidden="1" customHeight="1" x14ac:dyDescent="0.2">
      <c r="A1307" s="1">
        <v>295807</v>
      </c>
      <c r="B1307" s="1" t="s">
        <v>3890</v>
      </c>
      <c r="C1307" s="1" t="s">
        <v>1695</v>
      </c>
      <c r="D1307" s="1" t="s">
        <v>4035</v>
      </c>
      <c r="E1307" s="1" t="s">
        <v>695</v>
      </c>
      <c r="F1307" s="1" t="s">
        <v>43</v>
      </c>
      <c r="G1307" s="1" t="s">
        <v>4042</v>
      </c>
      <c r="H1307" s="1">
        <v>726</v>
      </c>
      <c r="I1307" s="1" t="s">
        <v>73</v>
      </c>
      <c r="J1307" s="1">
        <v>5</v>
      </c>
      <c r="K1307" s="1" t="s">
        <v>35</v>
      </c>
      <c r="L1307" s="1">
        <v>39</v>
      </c>
      <c r="M1307" s="1" t="str">
        <f>IF(L1307&lt;=45,"Joven","Mayor")</f>
        <v>Joven</v>
      </c>
      <c r="N1307" s="1">
        <v>50</v>
      </c>
      <c r="O1307" s="1" t="s">
        <v>36</v>
      </c>
      <c r="P1307" s="1">
        <v>0.38300000000000001</v>
      </c>
      <c r="Q1307" s="1">
        <v>89.301000000000002</v>
      </c>
      <c r="R1307" s="1">
        <v>4.4278883999999996</v>
      </c>
      <c r="S1307" s="1">
        <v>8.0566849999999999</v>
      </c>
      <c r="T1307" s="1">
        <v>-1.8897467999999999</v>
      </c>
      <c r="U1307" s="1">
        <v>4.173</v>
      </c>
      <c r="V1307" s="1">
        <v>105</v>
      </c>
      <c r="W1307" s="1">
        <v>176</v>
      </c>
      <c r="X1307" s="1">
        <v>1.6761904761904762</v>
      </c>
      <c r="Y1307" s="1">
        <v>105</v>
      </c>
      <c r="Z1307" s="1">
        <v>176</v>
      </c>
      <c r="AA1307" s="1">
        <v>1.6761904761904762</v>
      </c>
      <c r="AB1307" s="1">
        <v>106.4927812131762</v>
      </c>
      <c r="AC1307" s="1">
        <v>175.93725575456031</v>
      </c>
      <c r="AD1307" s="1">
        <v>1.6521049948199855</v>
      </c>
      <c r="AE1307" t="s">
        <v>4817</v>
      </c>
      <c r="AF1307" t="str">
        <f>IF(X1307&lt;$AF$1,"Bajo","Alto")</f>
        <v>Bajo</v>
      </c>
      <c r="AG1307" t="str">
        <f>LEFT(AE1307,1)</f>
        <v>C</v>
      </c>
      <c r="AH1307" t="str">
        <f>K1307</f>
        <v>M</v>
      </c>
      <c r="AI1307" t="str">
        <f>LEFT(AF1307,1)</f>
        <v>B</v>
      </c>
      <c r="AJ1307" t="str">
        <f>LEFT(M1307,1)</f>
        <v>J</v>
      </c>
      <c r="AK1307" t="str">
        <f>_xlfn.CONCAT(AG1307,AH1307,AI1307,AJ1307)</f>
        <v>CMBJ</v>
      </c>
    </row>
    <row r="1308" spans="1:37" ht="15.75" hidden="1" customHeight="1" x14ac:dyDescent="0.2">
      <c r="A1308" s="1">
        <v>524511</v>
      </c>
      <c r="B1308" s="1" t="s">
        <v>4529</v>
      </c>
      <c r="C1308" s="1" t="s">
        <v>685</v>
      </c>
      <c r="D1308" s="1" t="s">
        <v>4620</v>
      </c>
      <c r="E1308" s="1" t="s">
        <v>3682</v>
      </c>
      <c r="F1308" s="1" t="s">
        <v>51</v>
      </c>
      <c r="G1308" s="1" t="s">
        <v>4624</v>
      </c>
      <c r="H1308" s="1">
        <v>144</v>
      </c>
      <c r="I1308" s="1" t="s">
        <v>4625</v>
      </c>
      <c r="J1308" s="1">
        <v>1787</v>
      </c>
      <c r="K1308" s="1" t="s">
        <v>35</v>
      </c>
      <c r="L1308" s="1">
        <v>65</v>
      </c>
      <c r="M1308" s="1" t="str">
        <f>IF(L1308&lt;=45,"Joven","Mayor")</f>
        <v>Mayor</v>
      </c>
      <c r="N1308" s="1">
        <v>69</v>
      </c>
      <c r="O1308" s="1" t="s">
        <v>36</v>
      </c>
      <c r="P1308" s="1">
        <v>7.4999999999999997E-2</v>
      </c>
      <c r="Q1308" s="1">
        <v>91.593000000000004</v>
      </c>
      <c r="R1308" s="1">
        <v>4.7198042999999998</v>
      </c>
      <c r="S1308" s="1">
        <v>-1.5200731999999999</v>
      </c>
      <c r="T1308" s="1">
        <v>-2.2483723000000002</v>
      </c>
      <c r="U1308" s="1">
        <v>3.4590000000000001</v>
      </c>
      <c r="V1308" s="1">
        <v>106</v>
      </c>
      <c r="W1308" s="1">
        <v>176</v>
      </c>
      <c r="X1308" s="1">
        <v>1.6603773584905661</v>
      </c>
      <c r="Y1308" s="1">
        <v>107</v>
      </c>
      <c r="Z1308" s="1">
        <v>176</v>
      </c>
      <c r="AA1308" s="1">
        <v>1.6448598130841121</v>
      </c>
      <c r="AB1308" s="1">
        <v>107.7622731821227</v>
      </c>
      <c r="AC1308" s="1">
        <v>175.9037380328673</v>
      </c>
      <c r="AD1308" s="1">
        <v>1.632331360861168</v>
      </c>
      <c r="AE1308" t="s">
        <v>4817</v>
      </c>
      <c r="AF1308" t="str">
        <f>IF(X1308&lt;$AF$1,"Bajo","Alto")</f>
        <v>Bajo</v>
      </c>
      <c r="AG1308" t="str">
        <f>LEFT(AE1308,1)</f>
        <v>C</v>
      </c>
      <c r="AH1308" t="str">
        <f>K1308</f>
        <v>M</v>
      </c>
      <c r="AI1308" t="str">
        <f>LEFT(AF1308,1)</f>
        <v>B</v>
      </c>
      <c r="AJ1308" t="str">
        <f>LEFT(M1308,1)</f>
        <v>M</v>
      </c>
      <c r="AK1308" t="str">
        <f>_xlfn.CONCAT(AG1308,AH1308,AI1308,AJ1308)</f>
        <v>CMBM</v>
      </c>
    </row>
    <row r="1309" spans="1:37" ht="15.75" hidden="1" customHeight="1" x14ac:dyDescent="0.2">
      <c r="A1309" s="1">
        <v>290403</v>
      </c>
      <c r="B1309" s="1" t="s">
        <v>3890</v>
      </c>
      <c r="C1309" s="1" t="s">
        <v>1695</v>
      </c>
      <c r="D1309" s="1" t="s">
        <v>3904</v>
      </c>
      <c r="E1309" s="1" t="s">
        <v>61</v>
      </c>
      <c r="F1309" s="1" t="s">
        <v>63</v>
      </c>
      <c r="G1309" s="1" t="s">
        <v>3907</v>
      </c>
      <c r="H1309" s="1">
        <v>745</v>
      </c>
      <c r="I1309" s="1" t="s">
        <v>91</v>
      </c>
      <c r="J1309" s="1">
        <v>6</v>
      </c>
      <c r="K1309" s="1" t="s">
        <v>49</v>
      </c>
      <c r="L1309" s="1">
        <v>46</v>
      </c>
      <c r="M1309" s="1" t="str">
        <f>IF(L1309&lt;=45,"Joven","Mayor")</f>
        <v>Mayor</v>
      </c>
      <c r="N1309" s="1">
        <v>49</v>
      </c>
      <c r="O1309" s="1" t="s">
        <v>50</v>
      </c>
      <c r="P1309" s="1">
        <v>0.372</v>
      </c>
      <c r="Q1309" s="1">
        <v>86.141999999999996</v>
      </c>
      <c r="R1309" s="1">
        <v>-7.6469519999999997</v>
      </c>
      <c r="S1309" s="1">
        <v>-4.547428</v>
      </c>
      <c r="T1309" s="1">
        <v>2.6076803000000002</v>
      </c>
      <c r="U1309" s="1">
        <v>11.273999999999999</v>
      </c>
      <c r="V1309" s="1">
        <v>81</v>
      </c>
      <c r="W1309" s="1">
        <v>134</v>
      </c>
      <c r="X1309" s="1">
        <v>1.654320987654321</v>
      </c>
      <c r="Y1309" s="1">
        <v>84</v>
      </c>
      <c r="Z1309" s="1">
        <v>134</v>
      </c>
      <c r="AA1309" s="1">
        <v>1.5952380952380953</v>
      </c>
      <c r="AB1309" s="1">
        <v>85.596401486789773</v>
      </c>
      <c r="AC1309" s="1">
        <v>133.77024653619671</v>
      </c>
      <c r="AD1309" s="1">
        <v>1.5628022231383369</v>
      </c>
      <c r="AE1309" t="s">
        <v>4817</v>
      </c>
      <c r="AF1309" t="str">
        <f>IF(X1309&lt;$AF$1,"Bajo","Alto")</f>
        <v>Bajo</v>
      </c>
      <c r="AG1309" t="str">
        <f>LEFT(AE1309,1)</f>
        <v>C</v>
      </c>
      <c r="AH1309" t="str">
        <f>K1309</f>
        <v>F</v>
      </c>
      <c r="AI1309" t="str">
        <f>LEFT(AF1309,1)</f>
        <v>B</v>
      </c>
      <c r="AJ1309" t="str">
        <f>LEFT(M1309,1)</f>
        <v>M</v>
      </c>
      <c r="AK1309" t="str">
        <f>_xlfn.CONCAT(AG1309,AH1309,AI1309,AJ1309)</f>
        <v>CFBM</v>
      </c>
    </row>
    <row r="1310" spans="1:37" ht="15.75" hidden="1" customHeight="1" x14ac:dyDescent="0.2">
      <c r="A1310" s="1">
        <v>213001</v>
      </c>
      <c r="B1310" s="1" t="s">
        <v>2816</v>
      </c>
      <c r="C1310" s="1" t="s">
        <v>2817</v>
      </c>
      <c r="D1310" s="1" t="s">
        <v>2858</v>
      </c>
      <c r="E1310" s="1" t="s">
        <v>2381</v>
      </c>
      <c r="F1310" s="1" t="s">
        <v>32</v>
      </c>
      <c r="G1310" s="1" t="s">
        <v>2859</v>
      </c>
      <c r="H1310" s="1">
        <v>2506</v>
      </c>
      <c r="I1310" s="1" t="s">
        <v>100</v>
      </c>
      <c r="J1310" s="1">
        <v>1</v>
      </c>
      <c r="K1310" s="1" t="s">
        <v>49</v>
      </c>
      <c r="L1310" s="1">
        <v>61</v>
      </c>
      <c r="M1310" s="1" t="str">
        <f>IF(L1310&lt;=45,"Joven","Mayor")</f>
        <v>Mayor</v>
      </c>
      <c r="N1310" s="1">
        <v>58</v>
      </c>
      <c r="O1310" s="1" t="s">
        <v>50</v>
      </c>
      <c r="P1310" s="1">
        <v>0.371</v>
      </c>
      <c r="Q1310" s="1">
        <v>92.233000000000004</v>
      </c>
      <c r="R1310" s="1">
        <v>-2.858434E-2</v>
      </c>
      <c r="S1310" s="1">
        <v>-9.614592</v>
      </c>
      <c r="T1310" s="1">
        <v>-0.6595666</v>
      </c>
      <c r="U1310" s="1">
        <v>36.451000000000001</v>
      </c>
      <c r="V1310" s="1">
        <v>90</v>
      </c>
      <c r="W1310" s="1">
        <v>149</v>
      </c>
      <c r="X1310" s="1">
        <v>1.6555555555555554</v>
      </c>
      <c r="Y1310" s="1">
        <v>90</v>
      </c>
      <c r="Z1310" s="1">
        <v>149</v>
      </c>
      <c r="AA1310" s="1">
        <v>1.6555555555555554</v>
      </c>
      <c r="AB1310" s="1">
        <v>90.523559104447486</v>
      </c>
      <c r="AC1310" s="1">
        <v>149.03617300053469</v>
      </c>
      <c r="AD1310" s="1">
        <v>1.6463799531851642</v>
      </c>
      <c r="AE1310" t="s">
        <v>4817</v>
      </c>
      <c r="AF1310" t="str">
        <f>IF(X1310&lt;$AF$1,"Bajo","Alto")</f>
        <v>Bajo</v>
      </c>
      <c r="AG1310" t="str">
        <f>LEFT(AE1310,1)</f>
        <v>C</v>
      </c>
      <c r="AH1310" t="str">
        <f>K1310</f>
        <v>F</v>
      </c>
      <c r="AI1310" t="str">
        <f>LEFT(AF1310,1)</f>
        <v>B</v>
      </c>
      <c r="AJ1310" t="str">
        <f>LEFT(M1310,1)</f>
        <v>M</v>
      </c>
      <c r="AK1310" t="str">
        <f>_xlfn.CONCAT(AG1310,AH1310,AI1310,AJ1310)</f>
        <v>CFBM</v>
      </c>
    </row>
    <row r="1311" spans="1:37" ht="15.75" hidden="1" customHeight="1" x14ac:dyDescent="0.2">
      <c r="A1311" s="1">
        <v>1018806</v>
      </c>
      <c r="B1311" s="1" t="s">
        <v>29</v>
      </c>
      <c r="C1311" s="1" t="s">
        <v>30</v>
      </c>
      <c r="D1311" s="1" t="s">
        <v>762</v>
      </c>
      <c r="E1311" s="1" t="s">
        <v>763</v>
      </c>
      <c r="F1311" s="1" t="s">
        <v>88</v>
      </c>
      <c r="G1311" s="1" t="s">
        <v>766</v>
      </c>
      <c r="H1311" s="1">
        <v>16002</v>
      </c>
      <c r="I1311" s="1" t="s">
        <v>134</v>
      </c>
      <c r="J1311" s="1">
        <v>8</v>
      </c>
      <c r="K1311" s="1" t="s">
        <v>35</v>
      </c>
      <c r="L1311" s="1">
        <v>46</v>
      </c>
      <c r="M1311" s="1" t="str">
        <f>IF(L1311&lt;=45,"Joven","Mayor")</f>
        <v>Mayor</v>
      </c>
      <c r="N1311" s="1">
        <v>51</v>
      </c>
      <c r="O1311" s="1" t="s">
        <v>36</v>
      </c>
      <c r="P1311" s="1">
        <v>0.35699999999999998</v>
      </c>
      <c r="Q1311" s="1">
        <v>92.460999999999999</v>
      </c>
      <c r="R1311" s="1">
        <v>-0.10131561</v>
      </c>
      <c r="S1311" s="1">
        <v>-9.0661819999999995</v>
      </c>
      <c r="T1311" s="1">
        <v>0.60987749999999996</v>
      </c>
      <c r="U1311" s="1">
        <v>51.7</v>
      </c>
      <c r="V1311" s="1">
        <v>109</v>
      </c>
      <c r="W1311" s="1">
        <v>181</v>
      </c>
      <c r="X1311" s="1">
        <v>1.6605504587155964</v>
      </c>
      <c r="Y1311" s="1">
        <v>111</v>
      </c>
      <c r="Z1311" s="1">
        <v>181</v>
      </c>
      <c r="AA1311" s="1">
        <v>1.6306306306306306</v>
      </c>
      <c r="AB1311" s="1">
        <v>111.43012270945449</v>
      </c>
      <c r="AC1311" s="1">
        <v>181.03232288719531</v>
      </c>
      <c r="AD1311" s="1">
        <v>1.6246264339062357</v>
      </c>
      <c r="AE1311" t="s">
        <v>4817</v>
      </c>
      <c r="AF1311" t="str">
        <f>IF(X1311&lt;$AF$1,"Bajo","Alto")</f>
        <v>Bajo</v>
      </c>
      <c r="AG1311" t="str">
        <f>LEFT(AE1311,1)</f>
        <v>C</v>
      </c>
      <c r="AH1311" t="str">
        <f>K1311</f>
        <v>M</v>
      </c>
      <c r="AI1311" t="str">
        <f>LEFT(AF1311,1)</f>
        <v>B</v>
      </c>
      <c r="AJ1311" t="str">
        <f>LEFT(M1311,1)</f>
        <v>M</v>
      </c>
      <c r="AK1311" t="str">
        <f>_xlfn.CONCAT(AG1311,AH1311,AI1311,AJ1311)</f>
        <v>CMBM</v>
      </c>
    </row>
    <row r="1312" spans="1:37" ht="15.75" hidden="1" customHeight="1" x14ac:dyDescent="0.2">
      <c r="A1312" s="1">
        <v>2718702</v>
      </c>
      <c r="B1312" s="1" t="s">
        <v>3409</v>
      </c>
      <c r="C1312" s="1" t="s">
        <v>973</v>
      </c>
      <c r="D1312" s="1" t="s">
        <v>3586</v>
      </c>
      <c r="E1312" s="1" t="s">
        <v>316</v>
      </c>
      <c r="F1312" s="1" t="s">
        <v>37</v>
      </c>
      <c r="G1312" s="1" t="s">
        <v>3588</v>
      </c>
      <c r="H1312" s="1">
        <v>110</v>
      </c>
      <c r="I1312" s="1" t="s">
        <v>42</v>
      </c>
      <c r="J1312" s="1">
        <v>15</v>
      </c>
      <c r="K1312" s="1" t="s">
        <v>35</v>
      </c>
      <c r="L1312" s="1">
        <v>52</v>
      </c>
      <c r="M1312" s="1" t="str">
        <f>IF(L1312&lt;=45,"Joven","Mayor")</f>
        <v>Mayor</v>
      </c>
      <c r="N1312" s="1">
        <v>61</v>
      </c>
      <c r="O1312" s="1" t="s">
        <v>36</v>
      </c>
      <c r="P1312" s="1">
        <v>0.76</v>
      </c>
      <c r="Q1312" s="1">
        <v>90.968000000000004</v>
      </c>
      <c r="R1312" s="1">
        <v>-1.6669084999999999</v>
      </c>
      <c r="S1312" s="1">
        <v>9.6772869999999998</v>
      </c>
      <c r="T1312" s="1">
        <v>2.9206948000000001</v>
      </c>
      <c r="U1312" s="1">
        <v>6.9790000000000001</v>
      </c>
      <c r="V1312" s="1">
        <v>109</v>
      </c>
      <c r="W1312" s="1">
        <v>181</v>
      </c>
      <c r="X1312" s="1">
        <v>1.6605504587155964</v>
      </c>
      <c r="Y1312" s="1">
        <v>116</v>
      </c>
      <c r="Z1312" s="1">
        <v>181</v>
      </c>
      <c r="AA1312" s="1">
        <v>1.5603448275862069</v>
      </c>
      <c r="AB1312" s="1">
        <v>114.06593978603431</v>
      </c>
      <c r="AC1312" s="1">
        <v>181.22346730323079</v>
      </c>
      <c r="AD1312" s="1">
        <v>1.5887605681693506</v>
      </c>
      <c r="AE1312" t="s">
        <v>4817</v>
      </c>
      <c r="AF1312" t="str">
        <f>IF(X1312&lt;$AF$1,"Bajo","Alto")</f>
        <v>Bajo</v>
      </c>
      <c r="AG1312" t="str">
        <f>LEFT(AE1312,1)</f>
        <v>C</v>
      </c>
      <c r="AH1312" t="str">
        <f>K1312</f>
        <v>M</v>
      </c>
      <c r="AI1312" t="str">
        <f>LEFT(AF1312,1)</f>
        <v>B</v>
      </c>
      <c r="AJ1312" t="str">
        <f>LEFT(M1312,1)</f>
        <v>M</v>
      </c>
      <c r="AK1312" t="str">
        <f>_xlfn.CONCAT(AG1312,AH1312,AI1312,AJ1312)</f>
        <v>CMBM</v>
      </c>
    </row>
    <row r="1313" spans="1:37" ht="15.75" hidden="1" customHeight="1" x14ac:dyDescent="0.2">
      <c r="A1313" s="1">
        <v>1077802</v>
      </c>
      <c r="B1313" s="1" t="s">
        <v>1067</v>
      </c>
      <c r="C1313" s="1" t="s">
        <v>1068</v>
      </c>
      <c r="D1313" s="1" t="s">
        <v>1492</v>
      </c>
      <c r="E1313" s="1" t="s">
        <v>732</v>
      </c>
      <c r="F1313" s="1" t="s">
        <v>37</v>
      </c>
      <c r="G1313" s="1" t="s">
        <v>1493</v>
      </c>
      <c r="H1313" s="1">
        <v>23</v>
      </c>
      <c r="I1313" s="1" t="s">
        <v>65</v>
      </c>
      <c r="J1313" s="1">
        <v>2</v>
      </c>
      <c r="K1313" s="1" t="s">
        <v>35</v>
      </c>
      <c r="L1313" s="1">
        <v>32</v>
      </c>
      <c r="M1313" s="1" t="str">
        <f>IF(L1313&lt;=45,"Joven","Mayor")</f>
        <v>Joven</v>
      </c>
      <c r="N1313" s="1">
        <v>45</v>
      </c>
      <c r="O1313" s="1" t="s">
        <v>36</v>
      </c>
      <c r="P1313" s="1">
        <v>0.33300000000000002</v>
      </c>
      <c r="Q1313" s="1">
        <v>70.031999999999996</v>
      </c>
      <c r="R1313" s="1">
        <v>13.056727</v>
      </c>
      <c r="S1313" s="1">
        <v>-0.49158663000000002</v>
      </c>
      <c r="T1313" s="1">
        <v>-9.2243309999999994</v>
      </c>
      <c r="U1313" s="1">
        <v>7.2519999999999998</v>
      </c>
      <c r="V1313" s="1">
        <v>139</v>
      </c>
      <c r="W1313" s="1">
        <v>233</v>
      </c>
      <c r="X1313" s="1">
        <v>1.6762589928057554</v>
      </c>
      <c r="Y1313" s="1">
        <v>143</v>
      </c>
      <c r="Z1313" s="1">
        <v>233</v>
      </c>
      <c r="AA1313" s="1">
        <v>1.6293706293706294</v>
      </c>
      <c r="AB1313" s="1">
        <v>148.26321643548411</v>
      </c>
      <c r="AC1313" s="1">
        <v>230.94871180186871</v>
      </c>
      <c r="AD1313" s="1">
        <v>1.5576939267492873</v>
      </c>
      <c r="AE1313" t="s">
        <v>4817</v>
      </c>
      <c r="AF1313" t="str">
        <f>IF(X1313&lt;$AF$1,"Bajo","Alto")</f>
        <v>Bajo</v>
      </c>
      <c r="AG1313" t="str">
        <f>LEFT(AE1313,1)</f>
        <v>C</v>
      </c>
      <c r="AH1313" t="str">
        <f>K1313</f>
        <v>M</v>
      </c>
      <c r="AI1313" t="str">
        <f>LEFT(AF1313,1)</f>
        <v>B</v>
      </c>
      <c r="AJ1313" t="str">
        <f>LEFT(M1313,1)</f>
        <v>J</v>
      </c>
      <c r="AK1313" t="str">
        <f>_xlfn.CONCAT(AG1313,AH1313,AI1313,AJ1313)</f>
        <v>CMBJ</v>
      </c>
    </row>
    <row r="1314" spans="1:37" ht="15.75" hidden="1" customHeight="1" x14ac:dyDescent="0.2">
      <c r="A1314" s="1">
        <v>10111710</v>
      </c>
      <c r="B1314" s="1" t="s">
        <v>29</v>
      </c>
      <c r="C1314" s="1" t="s">
        <v>30</v>
      </c>
      <c r="D1314" s="1" t="s">
        <v>119</v>
      </c>
      <c r="E1314" s="1" t="s">
        <v>120</v>
      </c>
      <c r="F1314" s="1" t="s">
        <v>75</v>
      </c>
      <c r="G1314" s="1" t="s">
        <v>127</v>
      </c>
      <c r="H1314" s="1">
        <v>2252</v>
      </c>
      <c r="I1314" s="1" t="s">
        <v>93</v>
      </c>
      <c r="J1314" s="1">
        <v>9</v>
      </c>
      <c r="K1314" s="1" t="s">
        <v>35</v>
      </c>
      <c r="L1314" s="1">
        <v>43</v>
      </c>
      <c r="M1314" s="1" t="str">
        <f>IF(L1314&lt;=45,"Joven","Mayor")</f>
        <v>Joven</v>
      </c>
      <c r="N1314" s="1">
        <v>44</v>
      </c>
      <c r="O1314" s="1" t="s">
        <v>36</v>
      </c>
      <c r="P1314" s="1">
        <v>0.36099999999999999</v>
      </c>
      <c r="Q1314" s="1">
        <v>91.46</v>
      </c>
      <c r="R1314" s="1">
        <v>2.7115827000000001</v>
      </c>
      <c r="S1314" s="1">
        <v>7.2462330000000001</v>
      </c>
      <c r="T1314" s="1">
        <v>0.61940220000000001</v>
      </c>
      <c r="U1314" s="1">
        <v>28.707000000000001</v>
      </c>
      <c r="V1314" s="1">
        <v>95</v>
      </c>
      <c r="W1314" s="1">
        <v>159</v>
      </c>
      <c r="X1314" s="1">
        <v>1.6736842105263159</v>
      </c>
      <c r="Y1314" s="1">
        <v>97</v>
      </c>
      <c r="Z1314" s="1">
        <v>159</v>
      </c>
      <c r="AA1314" s="1">
        <v>1.6391752577319587</v>
      </c>
      <c r="AB1314" s="1">
        <v>96.572726405681578</v>
      </c>
      <c r="AC1314" s="1">
        <v>158.9907089858543</v>
      </c>
      <c r="AD1314" s="1">
        <v>1.6463313701838342</v>
      </c>
      <c r="AE1314" t="s">
        <v>4815</v>
      </c>
      <c r="AF1314" t="str">
        <f>IF(X1314&lt;$AF$1,"Bajo","Alto")</f>
        <v>Bajo</v>
      </c>
      <c r="AG1314" t="str">
        <f>LEFT(AE1314,1)</f>
        <v>I</v>
      </c>
      <c r="AH1314" t="str">
        <f>K1314</f>
        <v>M</v>
      </c>
      <c r="AI1314" t="str">
        <f>LEFT(AF1314,1)</f>
        <v>B</v>
      </c>
      <c r="AJ1314" t="str">
        <f>LEFT(M1314,1)</f>
        <v>J</v>
      </c>
      <c r="AK1314" t="str">
        <f>_xlfn.CONCAT(AG1314,AH1314,AI1314,AJ1314)</f>
        <v>IMBJ</v>
      </c>
    </row>
    <row r="1315" spans="1:37" ht="15.75" hidden="1" customHeight="1" x14ac:dyDescent="0.2">
      <c r="A1315" s="1">
        <v>299102</v>
      </c>
      <c r="B1315" s="1" t="s">
        <v>3890</v>
      </c>
      <c r="C1315" s="1" t="s">
        <v>1695</v>
      </c>
      <c r="D1315" s="1" t="s">
        <v>4108</v>
      </c>
      <c r="E1315" s="1" t="s">
        <v>770</v>
      </c>
      <c r="F1315" s="1" t="s">
        <v>37</v>
      </c>
      <c r="G1315" s="1" t="s">
        <v>4110</v>
      </c>
      <c r="H1315" s="1">
        <v>2346</v>
      </c>
      <c r="I1315" s="1" t="s">
        <v>4111</v>
      </c>
      <c r="J1315" s="1">
        <v>2350</v>
      </c>
      <c r="K1315" s="1" t="s">
        <v>49</v>
      </c>
      <c r="L1315" s="1">
        <v>40</v>
      </c>
      <c r="M1315" s="1" t="str">
        <f>IF(L1315&lt;=45,"Joven","Mayor")</f>
        <v>Joven</v>
      </c>
      <c r="N1315" s="1">
        <v>33</v>
      </c>
      <c r="O1315" s="1" t="s">
        <v>50</v>
      </c>
      <c r="P1315" s="1">
        <v>6.0999999999999999E-2</v>
      </c>
      <c r="Q1315" s="1">
        <v>30.504000000000001</v>
      </c>
      <c r="R1315" s="1">
        <v>18.423352999999999</v>
      </c>
      <c r="S1315" s="1">
        <v>-2.8079420000000002</v>
      </c>
      <c r="T1315" s="1">
        <v>-4.9020130000000002</v>
      </c>
      <c r="U1315" s="1">
        <v>1.375</v>
      </c>
      <c r="V1315" s="1">
        <v>81</v>
      </c>
      <c r="W1315" s="1">
        <v>136</v>
      </c>
      <c r="X1315" s="1">
        <v>1.6790123456790123</v>
      </c>
      <c r="Y1315" s="1">
        <v>83</v>
      </c>
      <c r="Z1315" s="1">
        <v>136</v>
      </c>
      <c r="AA1315" s="1">
        <v>1.6385542168674698</v>
      </c>
      <c r="AB1315" s="1">
        <v>83.438187562295752</v>
      </c>
      <c r="AC1315" s="1">
        <v>135.33164820688671</v>
      </c>
      <c r="AD1315" s="1">
        <v>1.6219389725579405</v>
      </c>
      <c r="AE1315" t="s">
        <v>4817</v>
      </c>
      <c r="AF1315" t="str">
        <f>IF(X1315&lt;$AF$1,"Bajo","Alto")</f>
        <v>Bajo</v>
      </c>
      <c r="AG1315" t="str">
        <f>LEFT(AE1315,1)</f>
        <v>C</v>
      </c>
      <c r="AH1315" t="str">
        <f>K1315</f>
        <v>F</v>
      </c>
      <c r="AI1315" t="str">
        <f>LEFT(AF1315,1)</f>
        <v>B</v>
      </c>
      <c r="AJ1315" t="str">
        <f>LEFT(M1315,1)</f>
        <v>J</v>
      </c>
      <c r="AK1315" t="str">
        <f>_xlfn.CONCAT(AG1315,AH1315,AI1315,AJ1315)</f>
        <v>CFBJ</v>
      </c>
    </row>
    <row r="1316" spans="1:37" ht="15.75" hidden="1" customHeight="1" x14ac:dyDescent="0.2">
      <c r="A1316" s="1">
        <v>1096101</v>
      </c>
      <c r="B1316" s="1" t="s">
        <v>719</v>
      </c>
      <c r="C1316" s="1" t="s">
        <v>98</v>
      </c>
      <c r="D1316" s="1" t="s">
        <v>1625</v>
      </c>
      <c r="E1316" s="1" t="s">
        <v>701</v>
      </c>
      <c r="F1316" s="1" t="s">
        <v>32</v>
      </c>
      <c r="G1316" s="1" t="s">
        <v>1626</v>
      </c>
      <c r="H1316" s="1">
        <v>1234</v>
      </c>
      <c r="I1316" s="1" t="s">
        <v>39</v>
      </c>
      <c r="J1316" s="1">
        <v>11</v>
      </c>
      <c r="K1316" s="1" t="s">
        <v>49</v>
      </c>
      <c r="L1316" s="1">
        <v>45</v>
      </c>
      <c r="M1316" s="1" t="str">
        <f>IF(L1316&lt;=45,"Joven","Mayor")</f>
        <v>Joven</v>
      </c>
      <c r="N1316" s="1">
        <v>48</v>
      </c>
      <c r="O1316" s="1" t="s">
        <v>50</v>
      </c>
      <c r="P1316" s="1">
        <v>0.19700000000000001</v>
      </c>
      <c r="Q1316" s="1">
        <v>93.751000000000005</v>
      </c>
      <c r="R1316" s="1">
        <v>2.0280282000000001</v>
      </c>
      <c r="S1316" s="1">
        <v>-1.3069147999999999</v>
      </c>
      <c r="T1316" s="1">
        <v>-3.9539933</v>
      </c>
      <c r="U1316" s="1">
        <v>42.085000000000001</v>
      </c>
      <c r="V1316" s="1">
        <v>64</v>
      </c>
      <c r="W1316" s="1">
        <v>105</v>
      </c>
      <c r="X1316" s="1">
        <v>1.640625</v>
      </c>
      <c r="Y1316" s="1">
        <v>64</v>
      </c>
      <c r="Z1316" s="1">
        <v>105</v>
      </c>
      <c r="AA1316" s="1">
        <v>1.640625</v>
      </c>
      <c r="AB1316" s="1">
        <v>65.640504830267901</v>
      </c>
      <c r="AC1316" s="1">
        <v>104.8879836727601</v>
      </c>
      <c r="AD1316" s="1">
        <v>1.597915554488462</v>
      </c>
      <c r="AE1316" t="s">
        <v>4816</v>
      </c>
      <c r="AF1316" t="str">
        <f>IF(X1316&lt;$AF$1,"Bajo","Alto")</f>
        <v>Bajo</v>
      </c>
      <c r="AG1316" t="str">
        <f>LEFT(AE1316,1)</f>
        <v>D</v>
      </c>
      <c r="AH1316" t="str">
        <f>K1316</f>
        <v>F</v>
      </c>
      <c r="AI1316" t="str">
        <f>LEFT(AF1316,1)</f>
        <v>B</v>
      </c>
      <c r="AJ1316" t="str">
        <f>LEFT(M1316,1)</f>
        <v>J</v>
      </c>
      <c r="AK1316" t="str">
        <f>_xlfn.CONCAT(AG1316,AH1316,AI1316,AJ1316)</f>
        <v>DFBJ</v>
      </c>
    </row>
    <row r="1317" spans="1:37" ht="15.75" hidden="1" customHeight="1" x14ac:dyDescent="0.2">
      <c r="A1317" s="1">
        <v>1010404</v>
      </c>
      <c r="B1317" s="1" t="s">
        <v>29</v>
      </c>
      <c r="C1317" s="1" t="s">
        <v>30</v>
      </c>
      <c r="D1317" s="1" t="s">
        <v>60</v>
      </c>
      <c r="E1317" s="1" t="s">
        <v>61</v>
      </c>
      <c r="F1317" s="1" t="s">
        <v>61</v>
      </c>
      <c r="G1317" s="1" t="s">
        <v>66</v>
      </c>
      <c r="H1317" s="1">
        <v>499</v>
      </c>
      <c r="I1317" s="1" t="s">
        <v>48</v>
      </c>
      <c r="J1317" s="1">
        <v>4</v>
      </c>
      <c r="K1317" s="1" t="s">
        <v>35</v>
      </c>
      <c r="L1317" s="1">
        <v>37</v>
      </c>
      <c r="M1317" s="1" t="str">
        <f>IF(L1317&lt;=45,"Joven","Mayor")</f>
        <v>Joven</v>
      </c>
      <c r="N1317" s="1">
        <v>37</v>
      </c>
      <c r="O1317" s="1" t="s">
        <v>36</v>
      </c>
      <c r="P1317" s="1">
        <v>3.5000000000000003E-2</v>
      </c>
      <c r="Q1317" s="1">
        <v>90.234999999999999</v>
      </c>
      <c r="R1317" s="1">
        <v>4.1317386999999997</v>
      </c>
      <c r="S1317" s="1">
        <v>7.1661200000000003</v>
      </c>
      <c r="T1317" s="1">
        <v>-0.61458634999999995</v>
      </c>
      <c r="U1317" s="1">
        <v>0.61499999999999999</v>
      </c>
      <c r="V1317" s="1">
        <v>86</v>
      </c>
      <c r="W1317" s="1">
        <v>161</v>
      </c>
      <c r="X1317" s="1">
        <v>1.8720930232558139</v>
      </c>
      <c r="Y1317" s="1">
        <v>87</v>
      </c>
      <c r="Z1317" s="1">
        <v>161</v>
      </c>
      <c r="AA1317" s="1">
        <v>1.8505747126436782</v>
      </c>
      <c r="AB1317" s="1">
        <v>87.413322618243228</v>
      </c>
      <c r="AC1317" s="1">
        <v>160.9907378401476</v>
      </c>
      <c r="AD1317" s="1">
        <v>1.8417185506520113</v>
      </c>
      <c r="AE1317" t="s">
        <v>4817</v>
      </c>
      <c r="AF1317" t="str">
        <f>IF(X1317&lt;$AF$1,"Bajo","Alto")</f>
        <v>Alto</v>
      </c>
      <c r="AG1317" t="str">
        <f>LEFT(AE1317,1)</f>
        <v>C</v>
      </c>
      <c r="AH1317" t="str">
        <f>K1317</f>
        <v>M</v>
      </c>
      <c r="AI1317" t="str">
        <f>LEFT(AF1317,1)</f>
        <v>A</v>
      </c>
      <c r="AJ1317" t="str">
        <f>LEFT(M1317,1)</f>
        <v>J</v>
      </c>
      <c r="AK1317" t="str">
        <f>_xlfn.CONCAT(AG1317,AH1317,AI1317,AJ1317)</f>
        <v>CMAJ</v>
      </c>
    </row>
    <row r="1318" spans="1:37" ht="15.75" hidden="1" customHeight="1" x14ac:dyDescent="0.2">
      <c r="A1318" s="1">
        <v>1522907</v>
      </c>
      <c r="B1318" s="1" t="s">
        <v>2077</v>
      </c>
      <c r="C1318" s="1" t="s">
        <v>57</v>
      </c>
      <c r="D1318" s="1" t="s">
        <v>438</v>
      </c>
      <c r="E1318" s="1" t="s">
        <v>443</v>
      </c>
      <c r="F1318" s="1" t="s">
        <v>43</v>
      </c>
      <c r="G1318" s="1" t="s">
        <v>2273</v>
      </c>
      <c r="H1318" s="1">
        <v>800</v>
      </c>
      <c r="I1318" s="1" t="s">
        <v>2274</v>
      </c>
      <c r="J1318" s="1">
        <v>3957</v>
      </c>
      <c r="K1318" s="1" t="s">
        <v>35</v>
      </c>
      <c r="L1318" s="1">
        <v>37</v>
      </c>
      <c r="M1318" s="1" t="str">
        <f>IF(L1318&lt;=45,"Joven","Mayor")</f>
        <v>Joven</v>
      </c>
      <c r="N1318" s="1">
        <v>40</v>
      </c>
      <c r="O1318" s="1" t="s">
        <v>36</v>
      </c>
      <c r="P1318" s="1">
        <v>0.34899999999999998</v>
      </c>
      <c r="Q1318" s="1">
        <v>91.697999999999993</v>
      </c>
      <c r="R1318" s="1">
        <v>4.5031230000000004</v>
      </c>
      <c r="S1318" s="1">
        <v>1.6371979999999999</v>
      </c>
      <c r="T1318" s="1">
        <v>-0.32551488000000001</v>
      </c>
      <c r="U1318" s="1">
        <v>1.6850000000000001</v>
      </c>
      <c r="V1318" s="1">
        <v>96</v>
      </c>
      <c r="W1318" s="1">
        <v>161</v>
      </c>
      <c r="X1318" s="1">
        <v>1.6770833333333333</v>
      </c>
      <c r="Y1318" s="1">
        <v>98</v>
      </c>
      <c r="Z1318" s="1">
        <v>161</v>
      </c>
      <c r="AA1318" s="1">
        <v>1.6428571428571428</v>
      </c>
      <c r="AB1318" s="1">
        <v>97.731398454063765</v>
      </c>
      <c r="AC1318" s="1">
        <v>160.98035786138371</v>
      </c>
      <c r="AD1318" s="1">
        <v>1.6471713329370659</v>
      </c>
      <c r="AE1318" t="s">
        <v>4817</v>
      </c>
      <c r="AF1318" t="str">
        <f>IF(X1318&lt;$AF$1,"Bajo","Alto")</f>
        <v>Bajo</v>
      </c>
      <c r="AG1318" t="str">
        <f>LEFT(AE1318,1)</f>
        <v>C</v>
      </c>
      <c r="AH1318" t="str">
        <f>K1318</f>
        <v>M</v>
      </c>
      <c r="AI1318" t="str">
        <f>LEFT(AF1318,1)</f>
        <v>B</v>
      </c>
      <c r="AJ1318" t="str">
        <f>LEFT(M1318,1)</f>
        <v>J</v>
      </c>
      <c r="AK1318" t="str">
        <f>_xlfn.CONCAT(AG1318,AH1318,AI1318,AJ1318)</f>
        <v>CMBJ</v>
      </c>
    </row>
    <row r="1319" spans="1:37" ht="15.75" hidden="1" customHeight="1" x14ac:dyDescent="0.2">
      <c r="A1319" s="1">
        <v>10111802</v>
      </c>
      <c r="B1319" s="1" t="s">
        <v>29</v>
      </c>
      <c r="C1319" s="1" t="s">
        <v>30</v>
      </c>
      <c r="D1319" s="1" t="s">
        <v>128</v>
      </c>
      <c r="E1319" s="1" t="s">
        <v>129</v>
      </c>
      <c r="F1319" s="1" t="s">
        <v>37</v>
      </c>
      <c r="G1319" s="1" t="s">
        <v>131</v>
      </c>
      <c r="H1319" s="1">
        <v>1377</v>
      </c>
      <c r="I1319" s="1" t="s">
        <v>65</v>
      </c>
      <c r="J1319" s="1">
        <v>2</v>
      </c>
      <c r="K1319" s="1" t="s">
        <v>35</v>
      </c>
      <c r="L1319" s="1">
        <v>59</v>
      </c>
      <c r="M1319" s="1" t="str">
        <f>IF(L1319&lt;=45,"Joven","Mayor")</f>
        <v>Mayor</v>
      </c>
      <c r="N1319" s="1">
        <v>63</v>
      </c>
      <c r="O1319" s="1" t="s">
        <v>36</v>
      </c>
      <c r="P1319" s="1">
        <v>0.318</v>
      </c>
      <c r="Q1319" s="1">
        <v>94.811000000000007</v>
      </c>
      <c r="R1319" s="1">
        <v>-0.20160839</v>
      </c>
      <c r="S1319" s="1">
        <v>-0.31046196999999998</v>
      </c>
      <c r="T1319" s="1">
        <v>-3.3894449999999998</v>
      </c>
      <c r="U1319" s="1">
        <v>0.254</v>
      </c>
      <c r="V1319" s="1">
        <v>83</v>
      </c>
      <c r="W1319" s="1">
        <v>138</v>
      </c>
      <c r="X1319" s="1">
        <v>1.6626506024096386</v>
      </c>
      <c r="Y1319" s="1">
        <v>85</v>
      </c>
      <c r="Z1319" s="1">
        <v>138</v>
      </c>
      <c r="AA1319" s="1">
        <v>1.6235294117647059</v>
      </c>
      <c r="AB1319" s="1">
        <v>87.216211684988366</v>
      </c>
      <c r="AC1319" s="1">
        <v>137.876846574512</v>
      </c>
      <c r="AD1319" s="1">
        <v>1.5808625932126255</v>
      </c>
      <c r="AE1319" t="s">
        <v>4817</v>
      </c>
      <c r="AF1319" t="str">
        <f>IF(X1319&lt;$AF$1,"Bajo","Alto")</f>
        <v>Bajo</v>
      </c>
      <c r="AG1319" t="str">
        <f>LEFT(AE1319,1)</f>
        <v>C</v>
      </c>
      <c r="AH1319" t="str">
        <f>K1319</f>
        <v>M</v>
      </c>
      <c r="AI1319" t="str">
        <f>LEFT(AF1319,1)</f>
        <v>B</v>
      </c>
      <c r="AJ1319" t="str">
        <f>LEFT(M1319,1)</f>
        <v>M</v>
      </c>
      <c r="AK1319" t="str">
        <f>_xlfn.CONCAT(AG1319,AH1319,AI1319,AJ1319)</f>
        <v>CMBM</v>
      </c>
    </row>
    <row r="1320" spans="1:37" ht="15.75" hidden="1" customHeight="1" x14ac:dyDescent="0.2">
      <c r="A1320" s="1">
        <v>314303</v>
      </c>
      <c r="B1320" s="1" t="s">
        <v>4122</v>
      </c>
      <c r="C1320" s="1" t="s">
        <v>628</v>
      </c>
      <c r="D1320" s="1" t="s">
        <v>4218</v>
      </c>
      <c r="E1320" s="1" t="s">
        <v>665</v>
      </c>
      <c r="F1320" s="1" t="s">
        <v>63</v>
      </c>
      <c r="G1320" s="1" t="s">
        <v>4221</v>
      </c>
      <c r="H1320" s="1">
        <v>1255</v>
      </c>
      <c r="I1320" s="1" t="s">
        <v>65</v>
      </c>
      <c r="J1320" s="1">
        <v>2</v>
      </c>
      <c r="K1320" s="1" t="s">
        <v>35</v>
      </c>
      <c r="L1320" s="1">
        <v>66</v>
      </c>
      <c r="M1320" s="1" t="str">
        <f>IF(L1320&lt;=45,"Joven","Mayor")</f>
        <v>Mayor</v>
      </c>
      <c r="N1320" s="1">
        <v>75</v>
      </c>
      <c r="O1320" s="1" t="s">
        <v>36</v>
      </c>
      <c r="P1320" s="1">
        <v>0.27300000000000002</v>
      </c>
      <c r="Q1320" s="1">
        <v>94.096999999999994</v>
      </c>
      <c r="R1320" s="1">
        <v>1.0718316999999999</v>
      </c>
      <c r="S1320" s="1">
        <v>2.2085697999999998</v>
      </c>
      <c r="T1320" s="1">
        <v>4.4245853000000004</v>
      </c>
      <c r="U1320" s="1">
        <v>1.345</v>
      </c>
      <c r="V1320" s="1">
        <v>86</v>
      </c>
      <c r="W1320" s="1">
        <v>143</v>
      </c>
      <c r="X1320" s="1">
        <v>1.6627906976744187</v>
      </c>
      <c r="Y1320" s="1">
        <v>90</v>
      </c>
      <c r="Z1320" s="1">
        <v>143</v>
      </c>
      <c r="AA1320" s="1">
        <v>1.5888888888888888</v>
      </c>
      <c r="AB1320" s="1">
        <v>89.446746542934534</v>
      </c>
      <c r="AC1320" s="1">
        <v>143.26814458196989</v>
      </c>
      <c r="AD1320" s="1">
        <v>1.6017144291905689</v>
      </c>
      <c r="AE1320" t="s">
        <v>4817</v>
      </c>
      <c r="AF1320" t="str">
        <f>IF(X1320&lt;$AF$1,"Bajo","Alto")</f>
        <v>Bajo</v>
      </c>
      <c r="AG1320" t="str">
        <f>LEFT(AE1320,1)</f>
        <v>C</v>
      </c>
      <c r="AH1320" t="str">
        <f>K1320</f>
        <v>M</v>
      </c>
      <c r="AI1320" t="str">
        <f>LEFT(AF1320,1)</f>
        <v>B</v>
      </c>
      <c r="AJ1320" t="str">
        <f>LEFT(M1320,1)</f>
        <v>M</v>
      </c>
      <c r="AK1320" t="str">
        <f>_xlfn.CONCAT(AG1320,AH1320,AI1320,AJ1320)</f>
        <v>CMBM</v>
      </c>
    </row>
    <row r="1321" spans="1:37" ht="15.75" hidden="1" customHeight="1" x14ac:dyDescent="0.2">
      <c r="A1321" s="1">
        <v>2828004</v>
      </c>
      <c r="B1321" s="1" t="s">
        <v>1775</v>
      </c>
      <c r="C1321" s="1" t="s">
        <v>561</v>
      </c>
      <c r="D1321" s="1" t="s">
        <v>1775</v>
      </c>
      <c r="E1321" s="1" t="s">
        <v>556</v>
      </c>
      <c r="F1321" s="1" t="s">
        <v>61</v>
      </c>
      <c r="G1321" s="1" t="s">
        <v>3833</v>
      </c>
      <c r="H1321" s="1">
        <v>453</v>
      </c>
      <c r="I1321" s="1" t="s">
        <v>294</v>
      </c>
      <c r="J1321" s="1">
        <v>16</v>
      </c>
      <c r="K1321" s="1" t="s">
        <v>35</v>
      </c>
      <c r="L1321" s="1">
        <v>46</v>
      </c>
      <c r="M1321" s="1" t="str">
        <f>IF(L1321&lt;=45,"Joven","Mayor")</f>
        <v>Mayor</v>
      </c>
      <c r="N1321" s="1">
        <v>49</v>
      </c>
      <c r="O1321" s="1" t="s">
        <v>36</v>
      </c>
      <c r="P1321" s="1">
        <v>9.0999999999999998E-2</v>
      </c>
      <c r="Q1321" s="1">
        <v>90.602999999999994</v>
      </c>
      <c r="R1321" s="1">
        <v>4.8306889999999996</v>
      </c>
      <c r="S1321" s="1">
        <v>4.4001403000000003</v>
      </c>
      <c r="T1321" s="1">
        <v>-2.7599640000000001</v>
      </c>
      <c r="U1321" s="1">
        <v>2.5049999999999999</v>
      </c>
      <c r="V1321" s="1">
        <v>89</v>
      </c>
      <c r="W1321" s="1">
        <v>166</v>
      </c>
      <c r="X1321" s="1">
        <v>1.8651685393258426</v>
      </c>
      <c r="Y1321" s="1">
        <v>90</v>
      </c>
      <c r="Z1321" s="1">
        <v>166</v>
      </c>
      <c r="AA1321" s="1">
        <v>1.8444444444444446</v>
      </c>
      <c r="AB1321" s="1">
        <v>91.869827616069415</v>
      </c>
      <c r="AC1321" s="1">
        <v>165.75929277659861</v>
      </c>
      <c r="AD1321" s="1">
        <v>1.8042843562232267</v>
      </c>
      <c r="AE1321" t="s">
        <v>4817</v>
      </c>
      <c r="AF1321" t="str">
        <f>IF(X1321&lt;$AF$1,"Bajo","Alto")</f>
        <v>Alto</v>
      </c>
      <c r="AG1321" t="str">
        <f>LEFT(AE1321,1)</f>
        <v>C</v>
      </c>
      <c r="AH1321" t="str">
        <f>K1321</f>
        <v>M</v>
      </c>
      <c r="AI1321" t="str">
        <f>LEFT(AF1321,1)</f>
        <v>A</v>
      </c>
      <c r="AJ1321" t="str">
        <f>LEFT(M1321,1)</f>
        <v>M</v>
      </c>
      <c r="AK1321" t="str">
        <f>_xlfn.CONCAT(AG1321,AH1321,AI1321,AJ1321)</f>
        <v>CMAM</v>
      </c>
    </row>
    <row r="1322" spans="1:37" ht="15.75" hidden="1" customHeight="1" x14ac:dyDescent="0.2">
      <c r="A1322" s="1">
        <v>252501</v>
      </c>
      <c r="B1322" s="1" t="s">
        <v>3169</v>
      </c>
      <c r="C1322" s="1" t="s">
        <v>821</v>
      </c>
      <c r="D1322" s="1" t="s">
        <v>3212</v>
      </c>
      <c r="E1322" s="1" t="s">
        <v>821</v>
      </c>
      <c r="F1322" s="1" t="s">
        <v>32</v>
      </c>
      <c r="G1322" s="1" t="s">
        <v>3213</v>
      </c>
      <c r="H1322" s="1">
        <v>346</v>
      </c>
      <c r="I1322" s="1" t="s">
        <v>39</v>
      </c>
      <c r="J1322" s="1">
        <v>11</v>
      </c>
      <c r="K1322" s="1" t="s">
        <v>35</v>
      </c>
      <c r="L1322" s="1">
        <v>46</v>
      </c>
      <c r="M1322" s="1" t="str">
        <f>IF(L1322&lt;=45,"Joven","Mayor")</f>
        <v>Mayor</v>
      </c>
      <c r="N1322" s="1">
        <v>51</v>
      </c>
      <c r="O1322" s="1" t="s">
        <v>36</v>
      </c>
      <c r="P1322" s="1">
        <v>0.36099999999999999</v>
      </c>
      <c r="Q1322" s="1">
        <v>93.944000000000003</v>
      </c>
      <c r="R1322" s="1">
        <v>0.14353898000000001</v>
      </c>
      <c r="S1322" s="1">
        <v>4.8072239999999997</v>
      </c>
      <c r="T1322" s="1">
        <v>-2.5163305</v>
      </c>
      <c r="U1322" s="1">
        <v>22.06</v>
      </c>
      <c r="V1322" s="1">
        <v>101</v>
      </c>
      <c r="W1322" s="1">
        <v>169</v>
      </c>
      <c r="X1322" s="1">
        <v>1.6732673267326732</v>
      </c>
      <c r="Y1322" s="1">
        <v>106</v>
      </c>
      <c r="Z1322" s="1">
        <v>169</v>
      </c>
      <c r="AA1322" s="1">
        <v>1.5943396226415094</v>
      </c>
      <c r="AB1322" s="1">
        <v>104.1855280705249</v>
      </c>
      <c r="AC1322" s="1">
        <v>169.05656218335429</v>
      </c>
      <c r="AD1322" s="1">
        <v>1.6226491847209059</v>
      </c>
      <c r="AE1322" t="s">
        <v>4816</v>
      </c>
      <c r="AF1322" t="str">
        <f>IF(X1322&lt;$AF$1,"Bajo","Alto")</f>
        <v>Bajo</v>
      </c>
      <c r="AG1322" t="str">
        <f>LEFT(AE1322,1)</f>
        <v>D</v>
      </c>
      <c r="AH1322" t="str">
        <f>K1322</f>
        <v>M</v>
      </c>
      <c r="AI1322" t="str">
        <f>LEFT(AF1322,1)</f>
        <v>B</v>
      </c>
      <c r="AJ1322" t="str">
        <f>LEFT(M1322,1)</f>
        <v>M</v>
      </c>
      <c r="AK1322" t="str">
        <f>_xlfn.CONCAT(AG1322,AH1322,AI1322,AJ1322)</f>
        <v>DMBM</v>
      </c>
    </row>
    <row r="1323" spans="1:37" ht="15.75" hidden="1" customHeight="1" x14ac:dyDescent="0.2">
      <c r="A1323" s="1">
        <v>2313903</v>
      </c>
      <c r="B1323" s="1" t="s">
        <v>319</v>
      </c>
      <c r="C1323" s="1" t="s">
        <v>1989</v>
      </c>
      <c r="D1323" s="1" t="s">
        <v>2987</v>
      </c>
      <c r="E1323" s="1" t="s">
        <v>176</v>
      </c>
      <c r="F1323" s="1" t="s">
        <v>63</v>
      </c>
      <c r="G1323" s="1" t="s">
        <v>2990</v>
      </c>
      <c r="H1323" s="1">
        <v>826</v>
      </c>
      <c r="I1323" s="1" t="s">
        <v>87</v>
      </c>
      <c r="J1323" s="1">
        <v>14</v>
      </c>
      <c r="K1323" s="1" t="s">
        <v>35</v>
      </c>
      <c r="L1323" s="1">
        <v>64</v>
      </c>
      <c r="M1323" s="1" t="str">
        <f>IF(L1323&lt;=45,"Joven","Mayor")</f>
        <v>Mayor</v>
      </c>
      <c r="N1323" s="1">
        <v>59</v>
      </c>
      <c r="O1323" s="1" t="s">
        <v>36</v>
      </c>
      <c r="P1323" s="1">
        <v>0.59699999999999998</v>
      </c>
      <c r="Q1323" s="1">
        <v>92.826999999999998</v>
      </c>
      <c r="R1323" s="1">
        <v>2.8514151999999999</v>
      </c>
      <c r="S1323" s="1">
        <v>2.5586674</v>
      </c>
      <c r="T1323" s="1">
        <v>-4.2504324999999996</v>
      </c>
      <c r="U1323" s="1">
        <v>2.2410000000000001</v>
      </c>
      <c r="V1323" s="1">
        <v>104</v>
      </c>
      <c r="W1323" s="1">
        <v>175</v>
      </c>
      <c r="X1323" s="1">
        <v>1.6826923076923077</v>
      </c>
      <c r="Y1323" s="1">
        <v>108</v>
      </c>
      <c r="Z1323" s="1">
        <v>175</v>
      </c>
      <c r="AA1323" s="1">
        <v>1.6203703703703705</v>
      </c>
      <c r="AB1323" s="1">
        <v>107.4197619678478</v>
      </c>
      <c r="AC1323" s="1">
        <v>174.59280050839789</v>
      </c>
      <c r="AD1323" s="1">
        <v>1.6253322229540583</v>
      </c>
      <c r="AE1323" t="s">
        <v>4816</v>
      </c>
      <c r="AF1323" t="str">
        <f>IF(X1323&lt;$AF$1,"Bajo","Alto")</f>
        <v>Bajo</v>
      </c>
      <c r="AG1323" t="str">
        <f>LEFT(AE1323,1)</f>
        <v>D</v>
      </c>
      <c r="AH1323" t="str">
        <f>K1323</f>
        <v>M</v>
      </c>
      <c r="AI1323" t="str">
        <f>LEFT(AF1323,1)</f>
        <v>B</v>
      </c>
      <c r="AJ1323" t="str">
        <f>LEFT(M1323,1)</f>
        <v>M</v>
      </c>
      <c r="AK1323" t="str">
        <f>_xlfn.CONCAT(AG1323,AH1323,AI1323,AJ1323)</f>
        <v>DMBM</v>
      </c>
    </row>
    <row r="1324" spans="1:37" ht="15.75" hidden="1" customHeight="1" x14ac:dyDescent="0.2">
      <c r="A1324" s="1">
        <v>1034705</v>
      </c>
      <c r="B1324" s="1" t="s">
        <v>783</v>
      </c>
      <c r="C1324" s="1" t="s">
        <v>81</v>
      </c>
      <c r="D1324" s="1" t="s">
        <v>856</v>
      </c>
      <c r="E1324" s="1" t="s">
        <v>857</v>
      </c>
      <c r="F1324" s="1" t="s">
        <v>40</v>
      </c>
      <c r="G1324" s="1" t="s">
        <v>859</v>
      </c>
      <c r="H1324" s="1">
        <v>1372</v>
      </c>
      <c r="I1324" s="1" t="s">
        <v>108</v>
      </c>
      <c r="J1324" s="1">
        <v>3</v>
      </c>
      <c r="K1324" s="1" t="s">
        <v>35</v>
      </c>
      <c r="L1324" s="1">
        <v>37</v>
      </c>
      <c r="M1324" s="1" t="str">
        <f>IF(L1324&lt;=45,"Joven","Mayor")</f>
        <v>Joven</v>
      </c>
      <c r="N1324" s="1">
        <v>38</v>
      </c>
      <c r="O1324" s="1" t="s">
        <v>36</v>
      </c>
      <c r="P1324" s="1">
        <v>0.22900000000000001</v>
      </c>
      <c r="Q1324" s="1">
        <v>87.1</v>
      </c>
      <c r="R1324" s="1">
        <v>7.0324106000000004</v>
      </c>
      <c r="S1324" s="1">
        <v>5.0823710000000002</v>
      </c>
      <c r="T1324" s="1">
        <v>-3.5722770000000001</v>
      </c>
      <c r="U1324" s="1">
        <v>22.704000000000001</v>
      </c>
      <c r="V1324" s="1">
        <v>86</v>
      </c>
      <c r="W1324" s="1">
        <v>161</v>
      </c>
      <c r="X1324" s="1">
        <v>1.8720930232558139</v>
      </c>
      <c r="Y1324" s="1">
        <v>90</v>
      </c>
      <c r="Z1324" s="1">
        <v>161</v>
      </c>
      <c r="AA1324" s="1">
        <v>1.788888888888889</v>
      </c>
      <c r="AB1324" s="1">
        <v>88.699051451481637</v>
      </c>
      <c r="AC1324" s="1">
        <v>160.87409874466221</v>
      </c>
      <c r="AD1324" s="1">
        <v>1.8137070928279353</v>
      </c>
      <c r="AE1324" t="s">
        <v>4817</v>
      </c>
      <c r="AF1324" t="str">
        <f>IF(X1324&lt;$AF$1,"Bajo","Alto")</f>
        <v>Alto</v>
      </c>
      <c r="AG1324" t="str">
        <f>LEFT(AE1324,1)</f>
        <v>C</v>
      </c>
      <c r="AH1324" t="str">
        <f>K1324</f>
        <v>M</v>
      </c>
      <c r="AI1324" t="str">
        <f>LEFT(AF1324,1)</f>
        <v>A</v>
      </c>
      <c r="AJ1324" t="str">
        <f>LEFT(M1324,1)</f>
        <v>J</v>
      </c>
      <c r="AK1324" t="str">
        <f>_xlfn.CONCAT(AG1324,AH1324,AI1324,AJ1324)</f>
        <v>CMAJ</v>
      </c>
    </row>
    <row r="1325" spans="1:37" ht="15.75" hidden="1" customHeight="1" x14ac:dyDescent="0.2">
      <c r="A1325" s="1">
        <v>10123808</v>
      </c>
      <c r="B1325" s="1" t="s">
        <v>29</v>
      </c>
      <c r="C1325" s="1" t="s">
        <v>30</v>
      </c>
      <c r="D1325" s="1" t="s">
        <v>477</v>
      </c>
      <c r="E1325" s="1" t="s">
        <v>478</v>
      </c>
      <c r="F1325" s="1" t="s">
        <v>46</v>
      </c>
      <c r="G1325" s="1" t="s">
        <v>485</v>
      </c>
      <c r="H1325" s="1">
        <v>1165</v>
      </c>
      <c r="I1325" s="1" t="s">
        <v>48</v>
      </c>
      <c r="J1325" s="1">
        <v>4</v>
      </c>
      <c r="K1325" s="1" t="s">
        <v>49</v>
      </c>
      <c r="L1325" s="1">
        <v>43</v>
      </c>
      <c r="M1325" s="1" t="str">
        <f>IF(L1325&lt;=45,"Joven","Mayor")</f>
        <v>Joven</v>
      </c>
      <c r="N1325" s="1">
        <v>41</v>
      </c>
      <c r="O1325" s="1" t="s">
        <v>50</v>
      </c>
      <c r="P1325" s="1">
        <v>0.29399999999999998</v>
      </c>
      <c r="Q1325" s="1">
        <v>86.281000000000006</v>
      </c>
      <c r="R1325" s="1">
        <v>7.4057490000000001</v>
      </c>
      <c r="S1325" s="1">
        <v>5.2692265999999996</v>
      </c>
      <c r="T1325" s="1">
        <v>-12.105095</v>
      </c>
      <c r="U1325" s="1">
        <v>65.968000000000004</v>
      </c>
      <c r="V1325" s="1">
        <v>95</v>
      </c>
      <c r="W1325" s="1">
        <v>180</v>
      </c>
      <c r="X1325" s="1">
        <v>1.8947368421052631</v>
      </c>
      <c r="Y1325" s="1">
        <v>110</v>
      </c>
      <c r="Z1325" s="1">
        <v>180</v>
      </c>
      <c r="AA1325" s="1">
        <v>1.6363636363636365</v>
      </c>
      <c r="AB1325" s="1">
        <v>105.46996696195011</v>
      </c>
      <c r="AC1325" s="1">
        <v>181.44996996467901</v>
      </c>
      <c r="AD1325" s="1">
        <v>1.720394679085657</v>
      </c>
      <c r="AE1325" t="s">
        <v>4817</v>
      </c>
      <c r="AF1325" t="str">
        <f>IF(X1325&lt;$AF$1,"Bajo","Alto")</f>
        <v>Alto</v>
      </c>
      <c r="AG1325" t="str">
        <f>LEFT(AE1325,1)</f>
        <v>C</v>
      </c>
      <c r="AH1325" t="str">
        <f>K1325</f>
        <v>F</v>
      </c>
      <c r="AI1325" t="str">
        <f>LEFT(AF1325,1)</f>
        <v>A</v>
      </c>
      <c r="AJ1325" t="str">
        <f>LEFT(M1325,1)</f>
        <v>J</v>
      </c>
      <c r="AK1325" t="str">
        <f>_xlfn.CONCAT(AG1325,AH1325,AI1325,AJ1325)</f>
        <v>CFAJ</v>
      </c>
    </row>
    <row r="1326" spans="1:37" ht="15.75" hidden="1" customHeight="1" x14ac:dyDescent="0.2">
      <c r="A1326" s="1">
        <v>135804</v>
      </c>
      <c r="B1326" s="1" t="s">
        <v>956</v>
      </c>
      <c r="C1326" s="1" t="s">
        <v>163</v>
      </c>
      <c r="D1326" s="1" t="s">
        <v>2065</v>
      </c>
      <c r="E1326" s="1" t="s">
        <v>695</v>
      </c>
      <c r="F1326" s="1" t="s">
        <v>61</v>
      </c>
      <c r="G1326" s="1" t="s">
        <v>2068</v>
      </c>
      <c r="H1326" s="1">
        <v>24031</v>
      </c>
      <c r="I1326" s="1" t="s">
        <v>2069</v>
      </c>
      <c r="J1326" s="1">
        <v>4282</v>
      </c>
      <c r="K1326" s="1" t="s">
        <v>35</v>
      </c>
      <c r="L1326" s="1">
        <v>43</v>
      </c>
      <c r="M1326" s="1" t="str">
        <f>IF(L1326&lt;=45,"Joven","Mayor")</f>
        <v>Joven</v>
      </c>
      <c r="N1326" s="1">
        <v>50</v>
      </c>
      <c r="O1326" s="1" t="s">
        <v>36</v>
      </c>
      <c r="P1326" s="1">
        <v>0.56699999999999995</v>
      </c>
      <c r="Q1326" s="1">
        <v>74.418000000000006</v>
      </c>
      <c r="R1326" s="1">
        <v>-11.264517</v>
      </c>
      <c r="S1326" s="1">
        <v>6.0087856999999998</v>
      </c>
      <c r="T1326" s="1">
        <v>4.2090339999999999</v>
      </c>
      <c r="U1326" s="1">
        <v>3.96</v>
      </c>
      <c r="V1326" s="1">
        <v>93</v>
      </c>
      <c r="W1326" s="1">
        <v>156</v>
      </c>
      <c r="X1326" s="1">
        <v>1.6774193548387097</v>
      </c>
      <c r="Y1326" s="1">
        <v>98</v>
      </c>
      <c r="Z1326" s="1">
        <v>156</v>
      </c>
      <c r="AA1326" s="1">
        <v>1.5918367346938775</v>
      </c>
      <c r="AB1326" s="1">
        <v>95.905175464378317</v>
      </c>
      <c r="AC1326" s="1">
        <v>156.09302319430981</v>
      </c>
      <c r="AD1326" s="1">
        <v>1.6275766395139626</v>
      </c>
      <c r="AE1326" t="s">
        <v>4817</v>
      </c>
      <c r="AF1326" t="str">
        <f>IF(X1326&lt;$AF$1,"Bajo","Alto")</f>
        <v>Bajo</v>
      </c>
      <c r="AG1326" t="str">
        <f>LEFT(AE1326,1)</f>
        <v>C</v>
      </c>
      <c r="AH1326" t="str">
        <f>K1326</f>
        <v>M</v>
      </c>
      <c r="AI1326" t="str">
        <f>LEFT(AF1326,1)</f>
        <v>B</v>
      </c>
      <c r="AJ1326" t="str">
        <f>LEFT(M1326,1)</f>
        <v>J</v>
      </c>
      <c r="AK1326" t="str">
        <f>_xlfn.CONCAT(AG1326,AH1326,AI1326,AJ1326)</f>
        <v>CMBJ</v>
      </c>
    </row>
    <row r="1327" spans="1:37" ht="15.75" hidden="1" customHeight="1" x14ac:dyDescent="0.2">
      <c r="A1327" s="1">
        <v>262001</v>
      </c>
      <c r="B1327" s="1" t="s">
        <v>3358</v>
      </c>
      <c r="C1327" s="1" t="s">
        <v>968</v>
      </c>
      <c r="D1327" s="1" t="s">
        <v>3372</v>
      </c>
      <c r="E1327" s="1" t="s">
        <v>1983</v>
      </c>
      <c r="F1327" s="1" t="s">
        <v>32</v>
      </c>
      <c r="G1327" s="1" t="s">
        <v>3373</v>
      </c>
      <c r="H1327" s="1">
        <v>125</v>
      </c>
      <c r="I1327" s="1" t="s">
        <v>39</v>
      </c>
      <c r="J1327" s="1">
        <v>11</v>
      </c>
      <c r="K1327" s="1" t="s">
        <v>35</v>
      </c>
      <c r="L1327" s="1">
        <v>54</v>
      </c>
      <c r="M1327" s="1" t="str">
        <f>IF(L1327&lt;=45,"Joven","Mayor")</f>
        <v>Mayor</v>
      </c>
      <c r="N1327" s="1">
        <v>40</v>
      </c>
      <c r="O1327" s="1" t="s">
        <v>36</v>
      </c>
      <c r="P1327" s="1">
        <v>0.35799999999999998</v>
      </c>
      <c r="Q1327" s="1">
        <v>94.396000000000001</v>
      </c>
      <c r="R1327" s="1">
        <v>-0.93912879999999999</v>
      </c>
      <c r="S1327" s="1">
        <v>0.79768150000000004</v>
      </c>
      <c r="T1327" s="1">
        <v>14.285879</v>
      </c>
      <c r="U1327" s="1">
        <v>63.822000000000003</v>
      </c>
      <c r="V1327" s="1">
        <v>68</v>
      </c>
      <c r="W1327" s="1">
        <v>127</v>
      </c>
      <c r="X1327" s="1">
        <v>1.8676470588235294</v>
      </c>
      <c r="Y1327" s="1">
        <v>83</v>
      </c>
      <c r="Z1327" s="1">
        <v>127</v>
      </c>
      <c r="AA1327" s="1">
        <v>1.5301204819277108</v>
      </c>
      <c r="AB1327" s="1">
        <v>79.222257139828116</v>
      </c>
      <c r="AC1327" s="1">
        <v>130.4755307673222</v>
      </c>
      <c r="AD1327" s="1">
        <v>1.6469554829399964</v>
      </c>
      <c r="AE1327" t="s">
        <v>4816</v>
      </c>
      <c r="AF1327" t="str">
        <f>IF(X1327&lt;$AF$1,"Bajo","Alto")</f>
        <v>Alto</v>
      </c>
      <c r="AG1327" t="str">
        <f>LEFT(AE1327,1)</f>
        <v>D</v>
      </c>
      <c r="AH1327" t="str">
        <f>K1327</f>
        <v>M</v>
      </c>
      <c r="AI1327" t="str">
        <f>LEFT(AF1327,1)</f>
        <v>A</v>
      </c>
      <c r="AJ1327" t="str">
        <f>LEFT(M1327,1)</f>
        <v>M</v>
      </c>
      <c r="AK1327" t="str">
        <f>_xlfn.CONCAT(AG1327,AH1327,AI1327,AJ1327)</f>
        <v>DMAM</v>
      </c>
    </row>
    <row r="1328" spans="1:37" ht="15.75" hidden="1" customHeight="1" x14ac:dyDescent="0.2">
      <c r="A1328" s="1">
        <v>2310603</v>
      </c>
      <c r="B1328" s="1" t="s">
        <v>319</v>
      </c>
      <c r="C1328" s="1" t="s">
        <v>1989</v>
      </c>
      <c r="D1328" s="1" t="s">
        <v>2931</v>
      </c>
      <c r="E1328" s="1" t="s">
        <v>95</v>
      </c>
      <c r="F1328" s="1" t="s">
        <v>63</v>
      </c>
      <c r="G1328" s="1" t="s">
        <v>2934</v>
      </c>
      <c r="H1328" s="1">
        <v>1244</v>
      </c>
      <c r="I1328" s="1" t="s">
        <v>48</v>
      </c>
      <c r="J1328" s="1">
        <v>4</v>
      </c>
      <c r="K1328" s="1" t="s">
        <v>35</v>
      </c>
      <c r="L1328" s="1">
        <v>35</v>
      </c>
      <c r="M1328" s="1" t="str">
        <f>IF(L1328&lt;=45,"Joven","Mayor")</f>
        <v>Joven</v>
      </c>
      <c r="N1328" s="1">
        <v>29</v>
      </c>
      <c r="O1328" s="1" t="s">
        <v>36</v>
      </c>
      <c r="P1328" s="1">
        <v>0.36</v>
      </c>
      <c r="Q1328" s="1">
        <v>90.111999999999995</v>
      </c>
      <c r="R1328" s="1">
        <v>5.4118709999999997</v>
      </c>
      <c r="S1328" s="1">
        <v>3.5679994000000002</v>
      </c>
      <c r="T1328" s="1">
        <v>1.6000631000000001</v>
      </c>
      <c r="U1328" s="1">
        <v>28.120999999999999</v>
      </c>
      <c r="V1328" s="1">
        <v>93</v>
      </c>
      <c r="W1328" s="1">
        <v>156</v>
      </c>
      <c r="X1328" s="1">
        <v>1.6774193548387097</v>
      </c>
      <c r="Y1328" s="1">
        <v>99</v>
      </c>
      <c r="Z1328" s="1">
        <v>156</v>
      </c>
      <c r="AA1328" s="1">
        <v>1.5757575757575757</v>
      </c>
      <c r="AB1328" s="1">
        <v>98.067870677565907</v>
      </c>
      <c r="AC1328" s="1">
        <v>156.13463232635149</v>
      </c>
      <c r="AD1328" s="1">
        <v>1.5921079069790489</v>
      </c>
      <c r="AE1328" t="s">
        <v>4817</v>
      </c>
      <c r="AF1328" t="str">
        <f>IF(X1328&lt;$AF$1,"Bajo","Alto")</f>
        <v>Bajo</v>
      </c>
      <c r="AG1328" t="str">
        <f>LEFT(AE1328,1)</f>
        <v>C</v>
      </c>
      <c r="AH1328" t="str">
        <f>K1328</f>
        <v>M</v>
      </c>
      <c r="AI1328" t="str">
        <f>LEFT(AF1328,1)</f>
        <v>B</v>
      </c>
      <c r="AJ1328" t="str">
        <f>LEFT(M1328,1)</f>
        <v>J</v>
      </c>
      <c r="AK1328" t="str">
        <f>_xlfn.CONCAT(AG1328,AH1328,AI1328,AJ1328)</f>
        <v>CMBJ</v>
      </c>
    </row>
    <row r="1329" spans="1:37" ht="15.75" hidden="1" customHeight="1" x14ac:dyDescent="0.2">
      <c r="A1329" s="1">
        <v>4685006</v>
      </c>
      <c r="B1329" s="1" t="s">
        <v>4382</v>
      </c>
      <c r="C1329" s="1" t="s">
        <v>669</v>
      </c>
      <c r="D1329" s="1" t="s">
        <v>4448</v>
      </c>
      <c r="E1329" s="1" t="s">
        <v>1932</v>
      </c>
      <c r="F1329" s="1" t="s">
        <v>88</v>
      </c>
      <c r="G1329" s="1" t="s">
        <v>4450</v>
      </c>
      <c r="H1329" s="1">
        <v>2375</v>
      </c>
      <c r="I1329" s="1" t="s">
        <v>4451</v>
      </c>
      <c r="J1329" s="1">
        <v>787</v>
      </c>
      <c r="K1329" s="1" t="s">
        <v>49</v>
      </c>
      <c r="L1329" s="1">
        <v>44</v>
      </c>
      <c r="M1329" s="1" t="str">
        <f>IF(L1329&lt;=45,"Joven","Mayor")</f>
        <v>Joven</v>
      </c>
      <c r="N1329" s="1">
        <v>40</v>
      </c>
      <c r="O1329" s="1" t="s">
        <v>50</v>
      </c>
      <c r="P1329" s="1">
        <v>0.375</v>
      </c>
      <c r="Q1329" s="1">
        <v>91.793999999999997</v>
      </c>
      <c r="R1329" s="1">
        <v>-4.6674685</v>
      </c>
      <c r="S1329" s="1">
        <v>-0.4618659</v>
      </c>
      <c r="T1329" s="1">
        <v>5.4182300000000003</v>
      </c>
      <c r="U1329" s="1">
        <v>36.021000000000001</v>
      </c>
      <c r="V1329" s="1">
        <v>78</v>
      </c>
      <c r="W1329" s="1">
        <v>131</v>
      </c>
      <c r="X1329" s="1">
        <v>1.6794871794871795</v>
      </c>
      <c r="Y1329" s="1">
        <v>88</v>
      </c>
      <c r="Z1329" s="1">
        <v>131</v>
      </c>
      <c r="AA1329" s="1">
        <v>1.4886363636363635</v>
      </c>
      <c r="AB1329" s="1">
        <v>84.962911526302832</v>
      </c>
      <c r="AC1329" s="1">
        <v>131.83106430841329</v>
      </c>
      <c r="AD1329" s="1">
        <v>1.5516307285161832</v>
      </c>
      <c r="AE1329" t="s">
        <v>4817</v>
      </c>
      <c r="AF1329" t="str">
        <f>IF(X1329&lt;$AF$1,"Bajo","Alto")</f>
        <v>Bajo</v>
      </c>
      <c r="AG1329" t="str">
        <f>LEFT(AE1329,1)</f>
        <v>C</v>
      </c>
      <c r="AH1329" t="str">
        <f>K1329</f>
        <v>F</v>
      </c>
      <c r="AI1329" t="str">
        <f>LEFT(AF1329,1)</f>
        <v>B</v>
      </c>
      <c r="AJ1329" t="str">
        <f>LEFT(M1329,1)</f>
        <v>J</v>
      </c>
      <c r="AK1329" t="str">
        <f>_xlfn.CONCAT(AG1329,AH1329,AI1329,AJ1329)</f>
        <v>CFBJ</v>
      </c>
    </row>
    <row r="1330" spans="1:37" ht="15.75" hidden="1" customHeight="1" x14ac:dyDescent="0.2">
      <c r="A1330" s="1">
        <v>1095504</v>
      </c>
      <c r="B1330" s="1" t="s">
        <v>719</v>
      </c>
      <c r="C1330" s="1" t="s">
        <v>98</v>
      </c>
      <c r="D1330" s="1" t="s">
        <v>1621</v>
      </c>
      <c r="E1330" s="1" t="s">
        <v>690</v>
      </c>
      <c r="F1330" s="1" t="s">
        <v>61</v>
      </c>
      <c r="G1330" s="1" t="s">
        <v>1624</v>
      </c>
      <c r="H1330" s="1">
        <v>2842</v>
      </c>
      <c r="I1330" s="1" t="s">
        <v>134</v>
      </c>
      <c r="J1330" s="1">
        <v>8</v>
      </c>
      <c r="K1330" s="1" t="s">
        <v>35</v>
      </c>
      <c r="L1330" s="1">
        <v>56</v>
      </c>
      <c r="M1330" s="1" t="str">
        <f>IF(L1330&lt;=45,"Joven","Mayor")</f>
        <v>Mayor</v>
      </c>
      <c r="N1330" s="1">
        <v>38</v>
      </c>
      <c r="O1330" s="1" t="s">
        <v>36</v>
      </c>
      <c r="P1330" s="1">
        <v>0.10199999999999999</v>
      </c>
      <c r="Q1330" s="1">
        <v>69.760999999999996</v>
      </c>
      <c r="R1330" s="1">
        <v>13.049344</v>
      </c>
      <c r="S1330" s="1">
        <v>-1.3752407</v>
      </c>
      <c r="T1330" s="1">
        <v>-4.8773455999999999</v>
      </c>
      <c r="U1330" s="1">
        <v>8.8469999999999995</v>
      </c>
      <c r="V1330" s="1">
        <v>95</v>
      </c>
      <c r="W1330" s="1">
        <v>158</v>
      </c>
      <c r="X1330" s="1">
        <v>1.6631578947368422</v>
      </c>
      <c r="Y1330" s="1">
        <v>98</v>
      </c>
      <c r="Z1330" s="1">
        <v>158</v>
      </c>
      <c r="AA1330" s="1">
        <v>1.6122448979591837</v>
      </c>
      <c r="AB1330" s="1">
        <v>98.397014781878624</v>
      </c>
      <c r="AC1330" s="1">
        <v>157.68294958133171</v>
      </c>
      <c r="AD1330" s="1">
        <v>1.6025176163207295</v>
      </c>
      <c r="AE1330" t="s">
        <v>4817</v>
      </c>
      <c r="AF1330" t="str">
        <f>IF(X1330&lt;$AF$1,"Bajo","Alto")</f>
        <v>Bajo</v>
      </c>
      <c r="AG1330" t="str">
        <f>LEFT(AE1330,1)</f>
        <v>C</v>
      </c>
      <c r="AH1330" t="str">
        <f>K1330</f>
        <v>M</v>
      </c>
      <c r="AI1330" t="str">
        <f>LEFT(AF1330,1)</f>
        <v>B</v>
      </c>
      <c r="AJ1330" t="str">
        <f>LEFT(M1330,1)</f>
        <v>M</v>
      </c>
      <c r="AK1330" t="str">
        <f>_xlfn.CONCAT(AG1330,AH1330,AI1330,AJ1330)</f>
        <v>CMBM</v>
      </c>
    </row>
    <row r="1331" spans="1:37" ht="15.75" hidden="1" customHeight="1" x14ac:dyDescent="0.2">
      <c r="A1331" s="1">
        <v>1074305</v>
      </c>
      <c r="B1331" s="1" t="s">
        <v>1067</v>
      </c>
      <c r="C1331" s="1" t="s">
        <v>1068</v>
      </c>
      <c r="D1331" s="1" t="s">
        <v>1447</v>
      </c>
      <c r="E1331" s="1" t="s">
        <v>665</v>
      </c>
      <c r="F1331" s="1" t="s">
        <v>40</v>
      </c>
      <c r="G1331" s="1" t="s">
        <v>1451</v>
      </c>
      <c r="H1331" s="1">
        <v>319</v>
      </c>
      <c r="I1331" s="1" t="s">
        <v>91</v>
      </c>
      <c r="J1331" s="1">
        <v>6</v>
      </c>
      <c r="K1331" s="1" t="s">
        <v>35</v>
      </c>
      <c r="L1331" s="1">
        <v>42</v>
      </c>
      <c r="M1331" s="1" t="str">
        <f>IF(L1331&lt;=45,"Joven","Mayor")</f>
        <v>Joven</v>
      </c>
      <c r="N1331" s="1">
        <v>49</v>
      </c>
      <c r="O1331" s="1" t="s">
        <v>36</v>
      </c>
      <c r="P1331" s="1">
        <v>0.16800000000000001</v>
      </c>
      <c r="Q1331" s="1">
        <v>91.450999999999993</v>
      </c>
      <c r="R1331" s="1">
        <v>4.6711819999999999</v>
      </c>
      <c r="S1331" s="1">
        <v>2.1554685</v>
      </c>
      <c r="T1331" s="1">
        <v>-5.7940645000000002</v>
      </c>
      <c r="U1331" s="1">
        <v>0.99</v>
      </c>
      <c r="V1331" s="1">
        <v>87</v>
      </c>
      <c r="W1331" s="1">
        <v>146</v>
      </c>
      <c r="X1331" s="1">
        <v>1.6781609195402298</v>
      </c>
      <c r="Y1331" s="1">
        <v>88</v>
      </c>
      <c r="Z1331" s="1">
        <v>146</v>
      </c>
      <c r="AA1331" s="1">
        <v>1.6590909090909092</v>
      </c>
      <c r="AB1331" s="1">
        <v>90.492708076776808</v>
      </c>
      <c r="AC1331" s="1">
        <v>145.55697085731339</v>
      </c>
      <c r="AD1331" s="1">
        <v>1.6084939212319556</v>
      </c>
      <c r="AE1331" t="s">
        <v>4817</v>
      </c>
      <c r="AF1331" t="str">
        <f>IF(X1331&lt;$AF$1,"Bajo","Alto")</f>
        <v>Bajo</v>
      </c>
      <c r="AG1331" t="str">
        <f>LEFT(AE1331,1)</f>
        <v>C</v>
      </c>
      <c r="AH1331" t="str">
        <f>K1331</f>
        <v>M</v>
      </c>
      <c r="AI1331" t="str">
        <f>LEFT(AF1331,1)</f>
        <v>B</v>
      </c>
      <c r="AJ1331" t="str">
        <f>LEFT(M1331,1)</f>
        <v>J</v>
      </c>
      <c r="AK1331" t="str">
        <f>_xlfn.CONCAT(AG1331,AH1331,AI1331,AJ1331)</f>
        <v>CMBJ</v>
      </c>
    </row>
    <row r="1332" spans="1:37" ht="15.75" customHeight="1" x14ac:dyDescent="0.2">
      <c r="A1332" s="1">
        <v>1534006</v>
      </c>
      <c r="B1332" s="1" t="s">
        <v>2077</v>
      </c>
      <c r="C1332" s="1" t="s">
        <v>57</v>
      </c>
      <c r="D1332" s="1" t="s">
        <v>2438</v>
      </c>
      <c r="E1332" s="1" t="s">
        <v>1433</v>
      </c>
      <c r="F1332" s="1" t="s">
        <v>88</v>
      </c>
      <c r="G1332" s="1" t="s">
        <v>2442</v>
      </c>
      <c r="H1332" s="1">
        <v>5104</v>
      </c>
      <c r="I1332" s="1" t="s">
        <v>2443</v>
      </c>
      <c r="J1332" s="1">
        <v>4040</v>
      </c>
      <c r="K1332" s="1" t="s">
        <v>49</v>
      </c>
      <c r="L1332" s="1">
        <v>40</v>
      </c>
      <c r="M1332" s="1" t="str">
        <f>IF(L1332&lt;=45,"Joven","Mayor")</f>
        <v>Joven</v>
      </c>
      <c r="N1332" s="1">
        <v>28</v>
      </c>
      <c r="O1332" s="1" t="s">
        <v>50</v>
      </c>
      <c r="P1332" s="1">
        <v>0.35199999999999998</v>
      </c>
      <c r="Q1332" s="1">
        <v>46.384</v>
      </c>
      <c r="R1332" s="1">
        <v>16.251785000000002</v>
      </c>
      <c r="S1332" s="1">
        <v>4.1760735999999996</v>
      </c>
      <c r="T1332" s="1">
        <v>0.66478145</v>
      </c>
      <c r="U1332" s="1">
        <v>38.579000000000001</v>
      </c>
      <c r="V1332" s="1">
        <v>98</v>
      </c>
      <c r="W1332" s="1">
        <v>187</v>
      </c>
      <c r="X1332" s="1">
        <v>1.9081632653061225</v>
      </c>
      <c r="Y1332" s="1">
        <v>98</v>
      </c>
      <c r="Z1332" s="1">
        <v>187</v>
      </c>
      <c r="AA1332" s="1">
        <v>1.9081632653061225</v>
      </c>
      <c r="AB1332" s="1">
        <v>98.59672661823106</v>
      </c>
      <c r="AC1332" s="1">
        <v>187.18465328751199</v>
      </c>
      <c r="AD1332" s="1">
        <v>1.898487502656103</v>
      </c>
      <c r="AE1332" t="s">
        <v>4818</v>
      </c>
      <c r="AF1332" t="str">
        <f>IF(X1332&lt;$AF$1,"Bajo","Alto")</f>
        <v>Alto</v>
      </c>
      <c r="AG1332" t="str">
        <f>LEFT(AE1332,1)</f>
        <v>S</v>
      </c>
      <c r="AH1332" t="str">
        <f>K1332</f>
        <v>F</v>
      </c>
      <c r="AI1332" t="str">
        <f>LEFT(AF1332,1)</f>
        <v>A</v>
      </c>
      <c r="AJ1332" t="str">
        <f>LEFT(M1332,1)</f>
        <v>J</v>
      </c>
      <c r="AK1332" t="str">
        <f>_xlfn.CONCAT(AG1332,AH1332,AI1332,AJ1332)</f>
        <v>SFAJ</v>
      </c>
    </row>
    <row r="1333" spans="1:37" ht="15.75" hidden="1" customHeight="1" x14ac:dyDescent="0.2">
      <c r="A1333" s="1">
        <v>10729802</v>
      </c>
      <c r="B1333" s="1" t="s">
        <v>1067</v>
      </c>
      <c r="C1333" s="1" t="s">
        <v>1068</v>
      </c>
      <c r="D1333" s="1" t="s">
        <v>1356</v>
      </c>
      <c r="E1333" s="1" t="s">
        <v>608</v>
      </c>
      <c r="F1333" s="1" t="s">
        <v>37</v>
      </c>
      <c r="G1333" s="1" t="s">
        <v>1358</v>
      </c>
      <c r="H1333" s="1">
        <v>381</v>
      </c>
      <c r="I1333" s="1" t="s">
        <v>39</v>
      </c>
      <c r="J1333" s="1">
        <v>11</v>
      </c>
      <c r="K1333" s="1" t="s">
        <v>49</v>
      </c>
      <c r="L1333" s="1">
        <v>59</v>
      </c>
      <c r="M1333" s="1" t="str">
        <f>IF(L1333&lt;=45,"Joven","Mayor")</f>
        <v>Mayor</v>
      </c>
      <c r="N1333" s="1">
        <v>63</v>
      </c>
      <c r="O1333" s="1" t="s">
        <v>50</v>
      </c>
      <c r="P1333" s="1">
        <v>1.532</v>
      </c>
      <c r="Q1333" s="1">
        <v>88.635999999999996</v>
      </c>
      <c r="R1333" s="1">
        <v>-5.5644093000000003</v>
      </c>
      <c r="S1333" s="1">
        <v>5.6001409999999998</v>
      </c>
      <c r="T1333" s="1">
        <v>-0.14570565999999999</v>
      </c>
      <c r="U1333" s="1">
        <v>50.279000000000003</v>
      </c>
      <c r="V1333" s="1">
        <v>85</v>
      </c>
      <c r="W1333" s="1">
        <v>154</v>
      </c>
      <c r="X1333" s="1">
        <v>1.8117647058823529</v>
      </c>
      <c r="Y1333" s="1">
        <v>92</v>
      </c>
      <c r="Z1333" s="1">
        <v>154</v>
      </c>
      <c r="AA1333" s="1">
        <v>1.673913043478261</v>
      </c>
      <c r="AB1333" s="1">
        <v>91.93358345504339</v>
      </c>
      <c r="AC1333" s="1">
        <v>154.04273372885879</v>
      </c>
      <c r="AD1333" s="1">
        <v>1.6755871786961021</v>
      </c>
      <c r="AE1333" t="s">
        <v>4816</v>
      </c>
      <c r="AF1333" t="str">
        <f>IF(X1333&lt;$AF$1,"Bajo","Alto")</f>
        <v>Alto</v>
      </c>
      <c r="AG1333" t="str">
        <f>LEFT(AE1333,1)</f>
        <v>D</v>
      </c>
      <c r="AH1333" t="str">
        <f>K1333</f>
        <v>F</v>
      </c>
      <c r="AI1333" t="str">
        <f>LEFT(AF1333,1)</f>
        <v>A</v>
      </c>
      <c r="AJ1333" t="str">
        <f>LEFT(M1333,1)</f>
        <v>M</v>
      </c>
      <c r="AK1333" t="str">
        <f>_xlfn.CONCAT(AG1333,AH1333,AI1333,AJ1333)</f>
        <v>DFAM</v>
      </c>
    </row>
    <row r="1334" spans="1:37" ht="15.75" hidden="1" customHeight="1" x14ac:dyDescent="0.2">
      <c r="A1334" s="1">
        <v>116702</v>
      </c>
      <c r="B1334" s="1" t="s">
        <v>1648</v>
      </c>
      <c r="C1334" s="1" t="s">
        <v>51</v>
      </c>
      <c r="D1334" s="1" t="s">
        <v>1750</v>
      </c>
      <c r="E1334" s="1" t="s">
        <v>715</v>
      </c>
      <c r="F1334" s="1" t="s">
        <v>37</v>
      </c>
      <c r="G1334" s="1" t="s">
        <v>1751</v>
      </c>
      <c r="H1334" s="1">
        <v>2227</v>
      </c>
      <c r="I1334" s="1" t="s">
        <v>108</v>
      </c>
      <c r="J1334" s="1">
        <v>3</v>
      </c>
      <c r="K1334" s="1" t="s">
        <v>35</v>
      </c>
      <c r="L1334" s="1">
        <v>52</v>
      </c>
      <c r="M1334" s="1" t="str">
        <f>IF(L1334&lt;=45,"Joven","Mayor")</f>
        <v>Mayor</v>
      </c>
      <c r="N1334" s="1">
        <v>60</v>
      </c>
      <c r="O1334" s="1" t="s">
        <v>36</v>
      </c>
      <c r="P1334" s="1">
        <v>1.512</v>
      </c>
      <c r="Q1334" s="1">
        <v>84.093000000000004</v>
      </c>
      <c r="R1334" s="1">
        <v>-7.6510644000000001</v>
      </c>
      <c r="S1334" s="1">
        <v>7.0546913</v>
      </c>
      <c r="T1334" s="1">
        <v>1.7503777</v>
      </c>
      <c r="U1334" s="1">
        <v>0.442</v>
      </c>
      <c r="V1334" s="1">
        <v>113</v>
      </c>
      <c r="W1334" s="1">
        <v>188</v>
      </c>
      <c r="X1334" s="1">
        <v>1.663716814159292</v>
      </c>
      <c r="Y1334" s="1">
        <v>117</v>
      </c>
      <c r="Z1334" s="1">
        <v>188</v>
      </c>
      <c r="AA1334" s="1">
        <v>1.6068376068376069</v>
      </c>
      <c r="AB1334" s="1">
        <v>118.2283008659219</v>
      </c>
      <c r="AC1334" s="1">
        <v>187.72900661287991</v>
      </c>
      <c r="AD1334" s="1">
        <v>1.5878516838855365</v>
      </c>
      <c r="AE1334" t="s">
        <v>4817</v>
      </c>
      <c r="AF1334" t="str">
        <f>IF(X1334&lt;$AF$1,"Bajo","Alto")</f>
        <v>Bajo</v>
      </c>
      <c r="AG1334" t="str">
        <f>LEFT(AE1334,1)</f>
        <v>C</v>
      </c>
      <c r="AH1334" t="str">
        <f>K1334</f>
        <v>M</v>
      </c>
      <c r="AI1334" t="str">
        <f>LEFT(AF1334,1)</f>
        <v>B</v>
      </c>
      <c r="AJ1334" t="str">
        <f>LEFT(M1334,1)</f>
        <v>M</v>
      </c>
      <c r="AK1334" t="str">
        <f>_xlfn.CONCAT(AG1334,AH1334,AI1334,AJ1334)</f>
        <v>CMBM</v>
      </c>
    </row>
    <row r="1335" spans="1:37" ht="15.75" hidden="1" customHeight="1" x14ac:dyDescent="0.2">
      <c r="A1335" s="1">
        <v>190106</v>
      </c>
      <c r="B1335" s="1" t="s">
        <v>2656</v>
      </c>
      <c r="C1335" s="1" t="s">
        <v>323</v>
      </c>
      <c r="D1335" s="1" t="s">
        <v>2657</v>
      </c>
      <c r="E1335" s="1" t="s">
        <v>32</v>
      </c>
      <c r="F1335" s="1" t="s">
        <v>88</v>
      </c>
      <c r="G1335" s="1" t="s">
        <v>2662</v>
      </c>
      <c r="H1335" s="1">
        <v>62701</v>
      </c>
      <c r="I1335" s="1" t="s">
        <v>2663</v>
      </c>
      <c r="J1335" s="1">
        <v>2620</v>
      </c>
      <c r="K1335" s="1" t="s">
        <v>35</v>
      </c>
      <c r="L1335" s="1">
        <v>52</v>
      </c>
      <c r="M1335" s="1" t="str">
        <f>IF(L1335&lt;=45,"Joven","Mayor")</f>
        <v>Mayor</v>
      </c>
      <c r="N1335" s="1">
        <v>53</v>
      </c>
      <c r="O1335" s="1" t="s">
        <v>36</v>
      </c>
      <c r="P1335" s="1">
        <v>0.34100000000000003</v>
      </c>
      <c r="Q1335" s="1">
        <v>70.716999999999999</v>
      </c>
      <c r="R1335" s="1">
        <v>11.864914000000001</v>
      </c>
      <c r="S1335" s="1">
        <v>-7.3347405999999999</v>
      </c>
      <c r="T1335" s="1">
        <v>-8.4743779999999997</v>
      </c>
      <c r="U1335" s="1">
        <v>3.347</v>
      </c>
      <c r="V1335" s="1">
        <v>128</v>
      </c>
      <c r="W1335" s="1">
        <v>213</v>
      </c>
      <c r="X1335" s="1">
        <v>1.6640625</v>
      </c>
      <c r="Y1335" s="1">
        <v>134</v>
      </c>
      <c r="Z1335" s="1">
        <v>213</v>
      </c>
      <c r="AA1335" s="1">
        <v>1.5895522388059702</v>
      </c>
      <c r="AB1335" s="1">
        <v>136.18134128243611</v>
      </c>
      <c r="AC1335" s="1">
        <v>212.59020940196109</v>
      </c>
      <c r="AD1335" s="1">
        <v>1.5610817708209763</v>
      </c>
      <c r="AE1335" t="s">
        <v>4817</v>
      </c>
      <c r="AF1335" t="str">
        <f>IF(X1335&lt;$AF$1,"Bajo","Alto")</f>
        <v>Bajo</v>
      </c>
      <c r="AG1335" t="str">
        <f>LEFT(AE1335,1)</f>
        <v>C</v>
      </c>
      <c r="AH1335" t="str">
        <f>K1335</f>
        <v>M</v>
      </c>
      <c r="AI1335" t="str">
        <f>LEFT(AF1335,1)</f>
        <v>B</v>
      </c>
      <c r="AJ1335" t="str">
        <f>LEFT(M1335,1)</f>
        <v>M</v>
      </c>
      <c r="AK1335" t="str">
        <f>_xlfn.CONCAT(AG1335,AH1335,AI1335,AJ1335)</f>
        <v>CMBM</v>
      </c>
    </row>
    <row r="1336" spans="1:37" ht="15.75" hidden="1" customHeight="1" x14ac:dyDescent="0.2">
      <c r="A1336" s="1">
        <v>242903</v>
      </c>
      <c r="B1336" s="1" t="s">
        <v>1548</v>
      </c>
      <c r="C1336" s="1" t="s">
        <v>1993</v>
      </c>
      <c r="D1336" s="1" t="s">
        <v>3140</v>
      </c>
      <c r="E1336" s="1" t="s">
        <v>1695</v>
      </c>
      <c r="F1336" s="1" t="s">
        <v>63</v>
      </c>
      <c r="G1336" s="1" t="s">
        <v>3143</v>
      </c>
      <c r="H1336" s="1">
        <v>3180</v>
      </c>
      <c r="I1336" s="1" t="s">
        <v>65</v>
      </c>
      <c r="J1336" s="1">
        <v>2</v>
      </c>
      <c r="K1336" s="1" t="s">
        <v>35</v>
      </c>
      <c r="L1336" s="1">
        <v>34</v>
      </c>
      <c r="M1336" s="1" t="str">
        <f>IF(L1336&lt;=45,"Joven","Mayor")</f>
        <v>Joven</v>
      </c>
      <c r="N1336" s="1">
        <v>25</v>
      </c>
      <c r="O1336" s="1" t="s">
        <v>36</v>
      </c>
      <c r="P1336" s="1">
        <v>0.35899999999999999</v>
      </c>
      <c r="Q1336" s="1">
        <v>84.558000000000007</v>
      </c>
      <c r="R1336" s="1">
        <v>8.2004199999999994</v>
      </c>
      <c r="S1336" s="1">
        <v>5.3199085999999998</v>
      </c>
      <c r="T1336" s="1">
        <v>-7.4520770000000001</v>
      </c>
      <c r="U1336" s="1">
        <v>10.659000000000001</v>
      </c>
      <c r="V1336" s="1">
        <v>56</v>
      </c>
      <c r="W1336" s="1">
        <v>94</v>
      </c>
      <c r="X1336" s="1">
        <v>1.6785714285714286</v>
      </c>
      <c r="Y1336" s="1">
        <v>60</v>
      </c>
      <c r="Z1336" s="1">
        <v>94</v>
      </c>
      <c r="AA1336" s="1">
        <v>1.5666666666666667</v>
      </c>
      <c r="AB1336" s="1">
        <v>59.028822537005453</v>
      </c>
      <c r="AC1336" s="1">
        <v>93.724834272753924</v>
      </c>
      <c r="AD1336" s="1">
        <v>1.5877808542428129</v>
      </c>
      <c r="AE1336" t="s">
        <v>4817</v>
      </c>
      <c r="AF1336" t="str">
        <f>IF(X1336&lt;$AF$1,"Bajo","Alto")</f>
        <v>Bajo</v>
      </c>
      <c r="AG1336" t="str">
        <f>LEFT(AE1336,1)</f>
        <v>C</v>
      </c>
      <c r="AH1336" t="str">
        <f>K1336</f>
        <v>M</v>
      </c>
      <c r="AI1336" t="str">
        <f>LEFT(AF1336,1)</f>
        <v>B</v>
      </c>
      <c r="AJ1336" t="str">
        <f>LEFT(M1336,1)</f>
        <v>J</v>
      </c>
      <c r="AK1336" t="str">
        <f>_xlfn.CONCAT(AG1336,AH1336,AI1336,AJ1336)</f>
        <v>CMBJ</v>
      </c>
    </row>
    <row r="1337" spans="1:37" ht="15.75" hidden="1" customHeight="1" x14ac:dyDescent="0.2">
      <c r="A1337" s="1">
        <v>1528304</v>
      </c>
      <c r="B1337" s="1" t="s">
        <v>2077</v>
      </c>
      <c r="C1337" s="1" t="s">
        <v>57</v>
      </c>
      <c r="D1337" s="1" t="s">
        <v>2351</v>
      </c>
      <c r="E1337" s="1" t="s">
        <v>569</v>
      </c>
      <c r="F1337" s="1" t="s">
        <v>61</v>
      </c>
      <c r="G1337" s="1" t="s">
        <v>2354</v>
      </c>
      <c r="H1337" s="1">
        <v>1117</v>
      </c>
      <c r="I1337" s="1" t="s">
        <v>1035</v>
      </c>
      <c r="J1337" s="1">
        <v>3866</v>
      </c>
      <c r="K1337" s="1" t="s">
        <v>49</v>
      </c>
      <c r="L1337" s="1">
        <v>41</v>
      </c>
      <c r="M1337" s="1" t="str">
        <f>IF(L1337&lt;=45,"Joven","Mayor")</f>
        <v>Joven</v>
      </c>
      <c r="N1337" s="1">
        <v>39</v>
      </c>
      <c r="O1337" s="1" t="s">
        <v>50</v>
      </c>
      <c r="P1337" s="1">
        <v>0.36599999999999999</v>
      </c>
      <c r="Q1337" s="1">
        <v>87.245000000000005</v>
      </c>
      <c r="R1337" s="1">
        <v>6.6627764999999997</v>
      </c>
      <c r="S1337" s="1">
        <v>5.9395876000000003</v>
      </c>
      <c r="T1337" s="1">
        <v>-0.50905096999999999</v>
      </c>
      <c r="U1337" s="1">
        <v>7.3529999999999998</v>
      </c>
      <c r="V1337" s="1">
        <v>84</v>
      </c>
      <c r="W1337" s="1">
        <v>142</v>
      </c>
      <c r="X1337" s="1">
        <v>1.6904761904761905</v>
      </c>
      <c r="Y1337" s="1">
        <v>88</v>
      </c>
      <c r="Z1337" s="1">
        <v>142</v>
      </c>
      <c r="AA1337" s="1">
        <v>1.6136363636363635</v>
      </c>
      <c r="AB1337" s="1">
        <v>87.694453869154358</v>
      </c>
      <c r="AC1337" s="1">
        <v>142.01216455021091</v>
      </c>
      <c r="AD1337" s="1">
        <v>1.6193973311254324</v>
      </c>
      <c r="AE1337" t="s">
        <v>4817</v>
      </c>
      <c r="AF1337" t="str">
        <f>IF(X1337&lt;$AF$1,"Bajo","Alto")</f>
        <v>Bajo</v>
      </c>
      <c r="AG1337" t="str">
        <f>LEFT(AE1337,1)</f>
        <v>C</v>
      </c>
      <c r="AH1337" t="str">
        <f>K1337</f>
        <v>F</v>
      </c>
      <c r="AI1337" t="str">
        <f>LEFT(AF1337,1)</f>
        <v>B</v>
      </c>
      <c r="AJ1337" t="str">
        <f>LEFT(M1337,1)</f>
        <v>J</v>
      </c>
      <c r="AK1337" t="str">
        <f>_xlfn.CONCAT(AG1337,AH1337,AI1337,AJ1337)</f>
        <v>CFBJ</v>
      </c>
    </row>
    <row r="1338" spans="1:37" ht="15.75" hidden="1" customHeight="1" x14ac:dyDescent="0.2">
      <c r="A1338" s="1">
        <v>10118103</v>
      </c>
      <c r="B1338" s="1" t="s">
        <v>29</v>
      </c>
      <c r="C1338" s="1" t="s">
        <v>30</v>
      </c>
      <c r="D1338" s="1" t="s">
        <v>307</v>
      </c>
      <c r="E1338" s="1" t="s">
        <v>308</v>
      </c>
      <c r="F1338" s="1" t="s">
        <v>63</v>
      </c>
      <c r="G1338" s="1" t="s">
        <v>310</v>
      </c>
      <c r="H1338" s="1">
        <v>215</v>
      </c>
      <c r="I1338" s="1" t="s">
        <v>91</v>
      </c>
      <c r="J1338" s="1">
        <v>6</v>
      </c>
      <c r="K1338" s="1" t="s">
        <v>35</v>
      </c>
      <c r="L1338" s="1">
        <v>47</v>
      </c>
      <c r="M1338" s="1" t="str">
        <f>IF(L1338&lt;=45,"Joven","Mayor")</f>
        <v>Mayor</v>
      </c>
      <c r="N1338" s="1">
        <v>31</v>
      </c>
      <c r="O1338" s="1" t="s">
        <v>36</v>
      </c>
      <c r="P1338" s="1">
        <v>0.443</v>
      </c>
      <c r="Q1338" s="1">
        <v>85.864000000000004</v>
      </c>
      <c r="R1338" s="1">
        <v>8.0384720000000005</v>
      </c>
      <c r="S1338" s="1">
        <v>-3.3760762</v>
      </c>
      <c r="T1338" s="1">
        <v>4.4238200000000001</v>
      </c>
      <c r="U1338" s="1">
        <v>6.6680000000000001</v>
      </c>
      <c r="V1338" s="1">
        <v>102</v>
      </c>
      <c r="W1338" s="1">
        <v>170</v>
      </c>
      <c r="X1338" s="1">
        <v>1.6666666666666667</v>
      </c>
      <c r="Y1338" s="1">
        <v>107</v>
      </c>
      <c r="Z1338" s="1">
        <v>170</v>
      </c>
      <c r="AA1338" s="1">
        <v>1.5887850467289719</v>
      </c>
      <c r="AB1338" s="1">
        <v>106.0927300684132</v>
      </c>
      <c r="AC1338" s="1">
        <v>170.03346582111411</v>
      </c>
      <c r="AD1338" s="1">
        <v>1.6026872502146861</v>
      </c>
      <c r="AE1338" t="s">
        <v>4817</v>
      </c>
      <c r="AF1338" t="str">
        <f>IF(X1338&lt;$AF$1,"Bajo","Alto")</f>
        <v>Bajo</v>
      </c>
      <c r="AG1338" t="str">
        <f>LEFT(AE1338,1)</f>
        <v>C</v>
      </c>
      <c r="AH1338" t="str">
        <f>K1338</f>
        <v>M</v>
      </c>
      <c r="AI1338" t="str">
        <f>LEFT(AF1338,1)</f>
        <v>B</v>
      </c>
      <c r="AJ1338" t="str">
        <f>LEFT(M1338,1)</f>
        <v>M</v>
      </c>
      <c r="AK1338" t="str">
        <f>_xlfn.CONCAT(AG1338,AH1338,AI1338,AJ1338)</f>
        <v>CMBM</v>
      </c>
    </row>
    <row r="1339" spans="1:37" ht="15.75" hidden="1" customHeight="1" x14ac:dyDescent="0.2">
      <c r="A1339" s="1">
        <v>2715101</v>
      </c>
      <c r="B1339" s="1" t="s">
        <v>3409</v>
      </c>
      <c r="C1339" s="1" t="s">
        <v>973</v>
      </c>
      <c r="D1339" s="1" t="s">
        <v>3515</v>
      </c>
      <c r="E1339" s="1" t="s">
        <v>215</v>
      </c>
      <c r="F1339" s="1" t="s">
        <v>32</v>
      </c>
      <c r="G1339" s="1" t="s">
        <v>3516</v>
      </c>
      <c r="H1339" s="1">
        <v>477</v>
      </c>
      <c r="I1339" s="1" t="s">
        <v>100</v>
      </c>
      <c r="J1339" s="1">
        <v>1</v>
      </c>
      <c r="K1339" s="1" t="s">
        <v>35</v>
      </c>
      <c r="L1339" s="1">
        <v>25</v>
      </c>
      <c r="M1339" s="1" t="str">
        <f>IF(L1339&lt;=45,"Joven","Mayor")</f>
        <v>Joven</v>
      </c>
      <c r="N1339" s="1">
        <v>33</v>
      </c>
      <c r="O1339" s="1" t="s">
        <v>36</v>
      </c>
      <c r="P1339" s="1">
        <v>0.68799999999999994</v>
      </c>
      <c r="Q1339" s="1">
        <v>89.066000000000003</v>
      </c>
      <c r="R1339" s="1">
        <v>5.2270909999999997</v>
      </c>
      <c r="S1339" s="1">
        <v>6.3620204999999999</v>
      </c>
      <c r="T1339" s="1">
        <v>-3.3631853999999999</v>
      </c>
      <c r="U1339" s="1">
        <v>2.093</v>
      </c>
      <c r="V1339" s="1">
        <v>84</v>
      </c>
      <c r="W1339" s="1">
        <v>141</v>
      </c>
      <c r="X1339" s="1">
        <v>1.6785714285714286</v>
      </c>
      <c r="Y1339" s="1">
        <v>85</v>
      </c>
      <c r="Z1339" s="1">
        <v>141</v>
      </c>
      <c r="AA1339" s="1">
        <v>1.6588235294117648</v>
      </c>
      <c r="AB1339" s="1">
        <v>86.0259325659772</v>
      </c>
      <c r="AC1339" s="1">
        <v>140.81582465192611</v>
      </c>
      <c r="AD1339" s="1">
        <v>1.6368997167677088</v>
      </c>
      <c r="AE1339" t="s">
        <v>4817</v>
      </c>
      <c r="AF1339" t="str">
        <f>IF(X1339&lt;$AF$1,"Bajo","Alto")</f>
        <v>Bajo</v>
      </c>
      <c r="AG1339" t="str">
        <f>LEFT(AE1339,1)</f>
        <v>C</v>
      </c>
      <c r="AH1339" t="str">
        <f>K1339</f>
        <v>M</v>
      </c>
      <c r="AI1339" t="str">
        <f>LEFT(AF1339,1)</f>
        <v>B</v>
      </c>
      <c r="AJ1339" t="str">
        <f>LEFT(M1339,1)</f>
        <v>J</v>
      </c>
      <c r="AK1339" t="str">
        <f>_xlfn.CONCAT(AG1339,AH1339,AI1339,AJ1339)</f>
        <v>CMBJ</v>
      </c>
    </row>
    <row r="1340" spans="1:37" ht="15.75" hidden="1" customHeight="1" x14ac:dyDescent="0.2">
      <c r="A1340" s="1">
        <v>313102</v>
      </c>
      <c r="B1340" s="1" t="s">
        <v>4122</v>
      </c>
      <c r="C1340" s="1" t="s">
        <v>628</v>
      </c>
      <c r="D1340" s="1" t="s">
        <v>798</v>
      </c>
      <c r="E1340" s="1" t="s">
        <v>628</v>
      </c>
      <c r="F1340" s="1" t="s">
        <v>37</v>
      </c>
      <c r="G1340" s="1" t="s">
        <v>4200</v>
      </c>
      <c r="H1340" s="1">
        <v>2994</v>
      </c>
      <c r="I1340" s="1" t="s">
        <v>87</v>
      </c>
      <c r="J1340" s="1">
        <v>14</v>
      </c>
      <c r="K1340" s="1" t="s">
        <v>35</v>
      </c>
      <c r="L1340" s="1">
        <v>37</v>
      </c>
      <c r="M1340" s="1" t="str">
        <f>IF(L1340&lt;=45,"Joven","Mayor")</f>
        <v>Joven</v>
      </c>
      <c r="N1340" s="1">
        <v>37</v>
      </c>
      <c r="O1340" s="1" t="s">
        <v>36</v>
      </c>
      <c r="P1340" s="1">
        <v>0.34100000000000003</v>
      </c>
      <c r="Q1340" s="1">
        <v>93.331999999999994</v>
      </c>
      <c r="R1340" s="1">
        <v>-1.4134026</v>
      </c>
      <c r="S1340" s="1">
        <v>4.5828103999999996</v>
      </c>
      <c r="T1340" s="1">
        <v>2.0449991000000001</v>
      </c>
      <c r="U1340" s="1">
        <v>4.9420000000000002</v>
      </c>
      <c r="V1340" s="1">
        <v>127</v>
      </c>
      <c r="W1340" s="1">
        <v>213</v>
      </c>
      <c r="X1340" s="1">
        <v>1.6771653543307086</v>
      </c>
      <c r="Y1340" s="1">
        <v>128</v>
      </c>
      <c r="Z1340" s="1">
        <v>213</v>
      </c>
      <c r="AA1340" s="1">
        <v>1.6640625</v>
      </c>
      <c r="AB1340" s="1">
        <v>129.09586266944461</v>
      </c>
      <c r="AC1340" s="1">
        <v>212.93571107015799</v>
      </c>
      <c r="AD1340" s="1">
        <v>1.6494386935961598</v>
      </c>
      <c r="AE1340" t="s">
        <v>4816</v>
      </c>
      <c r="AF1340" t="str">
        <f>IF(X1340&lt;$AF$1,"Bajo","Alto")</f>
        <v>Bajo</v>
      </c>
      <c r="AG1340" t="str">
        <f>LEFT(AE1340,1)</f>
        <v>D</v>
      </c>
      <c r="AH1340" t="str">
        <f>K1340</f>
        <v>M</v>
      </c>
      <c r="AI1340" t="str">
        <f>LEFT(AF1340,1)</f>
        <v>B</v>
      </c>
      <c r="AJ1340" t="str">
        <f>LEFT(M1340,1)</f>
        <v>J</v>
      </c>
      <c r="AK1340" t="str">
        <f>_xlfn.CONCAT(AG1340,AH1340,AI1340,AJ1340)</f>
        <v>DMBJ</v>
      </c>
    </row>
    <row r="1341" spans="1:37" ht="15.75" hidden="1" customHeight="1" x14ac:dyDescent="0.2">
      <c r="A1341" s="1">
        <v>1079703</v>
      </c>
      <c r="B1341" s="1" t="s">
        <v>1067</v>
      </c>
      <c r="C1341" s="1" t="s">
        <v>1068</v>
      </c>
      <c r="D1341" s="1" t="s">
        <v>1526</v>
      </c>
      <c r="E1341" s="1" t="s">
        <v>781</v>
      </c>
      <c r="F1341" s="1" t="s">
        <v>63</v>
      </c>
      <c r="G1341" s="1" t="s">
        <v>1527</v>
      </c>
      <c r="H1341" s="1">
        <v>436</v>
      </c>
      <c r="I1341" s="1" t="s">
        <v>134</v>
      </c>
      <c r="J1341" s="1">
        <v>8</v>
      </c>
      <c r="K1341" s="1" t="s">
        <v>35</v>
      </c>
      <c r="L1341" s="1">
        <v>46</v>
      </c>
      <c r="M1341" s="1" t="str">
        <f>IF(L1341&lt;=45,"Joven","Mayor")</f>
        <v>Mayor</v>
      </c>
      <c r="N1341" s="1">
        <v>46</v>
      </c>
      <c r="O1341" s="1" t="s">
        <v>36</v>
      </c>
      <c r="P1341" s="1">
        <v>0.246</v>
      </c>
      <c r="Q1341" s="1">
        <v>89.355000000000004</v>
      </c>
      <c r="R1341" s="1">
        <v>6.6930579999999997</v>
      </c>
      <c r="S1341" s="1">
        <v>0.43591973000000001</v>
      </c>
      <c r="T1341" s="1">
        <v>-3.8839375999999999</v>
      </c>
      <c r="U1341" s="1">
        <v>6.5030000000000001</v>
      </c>
      <c r="V1341" s="1">
        <v>84</v>
      </c>
      <c r="W1341" s="1">
        <v>140</v>
      </c>
      <c r="X1341" s="1">
        <v>1.6666666666666667</v>
      </c>
      <c r="Y1341" s="1">
        <v>84</v>
      </c>
      <c r="Z1341" s="1">
        <v>140</v>
      </c>
      <c r="AA1341" s="1">
        <v>1.6666666666666667</v>
      </c>
      <c r="AB1341" s="1">
        <v>86.313294831892108</v>
      </c>
      <c r="AC1341" s="1">
        <v>139.74619859744371</v>
      </c>
      <c r="AD1341" s="1">
        <v>1.6190576303409581</v>
      </c>
      <c r="AE1341" t="s">
        <v>4817</v>
      </c>
      <c r="AF1341" t="str">
        <f>IF(X1341&lt;$AF$1,"Bajo","Alto")</f>
        <v>Bajo</v>
      </c>
      <c r="AG1341" t="str">
        <f>LEFT(AE1341,1)</f>
        <v>C</v>
      </c>
      <c r="AH1341" t="str">
        <f>K1341</f>
        <v>M</v>
      </c>
      <c r="AI1341" t="str">
        <f>LEFT(AF1341,1)</f>
        <v>B</v>
      </c>
      <c r="AJ1341" t="str">
        <f>LEFT(M1341,1)</f>
        <v>M</v>
      </c>
      <c r="AK1341" t="str">
        <f>_xlfn.CONCAT(AG1341,AH1341,AI1341,AJ1341)</f>
        <v>CMBM</v>
      </c>
    </row>
    <row r="1342" spans="1:37" ht="15.75" hidden="1" customHeight="1" x14ac:dyDescent="0.2">
      <c r="A1342" s="1">
        <v>1525001</v>
      </c>
      <c r="B1342" s="1" t="s">
        <v>2077</v>
      </c>
      <c r="C1342" s="1" t="s">
        <v>57</v>
      </c>
      <c r="D1342" s="1" t="s">
        <v>2310</v>
      </c>
      <c r="E1342" s="1" t="s">
        <v>500</v>
      </c>
      <c r="F1342" s="1" t="s">
        <v>32</v>
      </c>
      <c r="G1342" s="1" t="s">
        <v>2311</v>
      </c>
      <c r="H1342" s="1">
        <v>1529</v>
      </c>
      <c r="I1342" s="1" t="s">
        <v>65</v>
      </c>
      <c r="J1342" s="1">
        <v>2</v>
      </c>
      <c r="K1342" s="1" t="s">
        <v>35</v>
      </c>
      <c r="L1342" s="1">
        <v>54</v>
      </c>
      <c r="M1342" s="1" t="str">
        <f>IF(L1342&lt;=45,"Joven","Mayor")</f>
        <v>Mayor</v>
      </c>
      <c r="N1342" s="1">
        <v>67</v>
      </c>
      <c r="O1342" s="1" t="s">
        <v>36</v>
      </c>
      <c r="P1342" s="1">
        <v>0.34799999999999998</v>
      </c>
      <c r="Q1342" s="1">
        <v>90.085999999999999</v>
      </c>
      <c r="R1342" s="1">
        <v>3.5587240000000002</v>
      </c>
      <c r="S1342" s="1">
        <v>8.4252859999999998</v>
      </c>
      <c r="T1342" s="1">
        <v>1.1541735</v>
      </c>
      <c r="U1342" s="1">
        <v>5.2270000000000003</v>
      </c>
      <c r="V1342" s="1">
        <v>96</v>
      </c>
      <c r="W1342" s="1">
        <v>179</v>
      </c>
      <c r="X1342" s="1">
        <v>1.8645833333333333</v>
      </c>
      <c r="Y1342" s="1">
        <v>101</v>
      </c>
      <c r="Z1342" s="1">
        <v>179</v>
      </c>
      <c r="AA1342" s="1">
        <v>1.7722772277227723</v>
      </c>
      <c r="AB1342" s="1">
        <v>100.1737978909425</v>
      </c>
      <c r="AC1342" s="1">
        <v>179.1046827493301</v>
      </c>
      <c r="AD1342" s="1">
        <v>1.7879394264787516</v>
      </c>
      <c r="AE1342" t="s">
        <v>4817</v>
      </c>
      <c r="AF1342" t="str">
        <f>IF(X1342&lt;$AF$1,"Bajo","Alto")</f>
        <v>Alto</v>
      </c>
      <c r="AG1342" t="str">
        <f>LEFT(AE1342,1)</f>
        <v>C</v>
      </c>
      <c r="AH1342" t="str">
        <f>K1342</f>
        <v>M</v>
      </c>
      <c r="AI1342" t="str">
        <f>LEFT(AF1342,1)</f>
        <v>A</v>
      </c>
      <c r="AJ1342" t="str">
        <f>LEFT(M1342,1)</f>
        <v>M</v>
      </c>
      <c r="AK1342" t="str">
        <f>_xlfn.CONCAT(AG1342,AH1342,AI1342,AJ1342)</f>
        <v>CMAM</v>
      </c>
    </row>
    <row r="1343" spans="1:37" ht="15.75" hidden="1" customHeight="1" x14ac:dyDescent="0.2">
      <c r="A1343" s="1">
        <v>156406</v>
      </c>
      <c r="B1343" s="1" t="s">
        <v>2077</v>
      </c>
      <c r="C1343" s="1" t="s">
        <v>57</v>
      </c>
      <c r="D1343" s="1" t="s">
        <v>2493</v>
      </c>
      <c r="E1343" s="1" t="s">
        <v>710</v>
      </c>
      <c r="F1343" s="1" t="s">
        <v>88</v>
      </c>
      <c r="G1343" s="1" t="s">
        <v>2500</v>
      </c>
      <c r="H1343" s="1">
        <v>4510</v>
      </c>
      <c r="I1343" s="1" t="s">
        <v>2501</v>
      </c>
      <c r="J1343" s="1">
        <v>3144</v>
      </c>
      <c r="K1343" s="1" t="s">
        <v>35</v>
      </c>
      <c r="L1343" s="1">
        <v>29</v>
      </c>
      <c r="M1343" s="1" t="str">
        <f>IF(L1343&lt;=45,"Joven","Mayor")</f>
        <v>Joven</v>
      </c>
      <c r="N1343" s="1">
        <v>56</v>
      </c>
      <c r="O1343" s="1" t="s">
        <v>36</v>
      </c>
      <c r="P1343" s="1">
        <v>4.1000000000000002E-2</v>
      </c>
      <c r="Q1343" s="1">
        <v>75.908000000000001</v>
      </c>
      <c r="R1343" s="1">
        <v>11.700596000000001</v>
      </c>
      <c r="S1343" s="1">
        <v>1.7264131</v>
      </c>
      <c r="T1343" s="1">
        <v>-5.6614532000000004</v>
      </c>
      <c r="U1343" s="1">
        <v>17.699000000000002</v>
      </c>
      <c r="V1343" s="1">
        <v>81</v>
      </c>
      <c r="W1343" s="1">
        <v>136</v>
      </c>
      <c r="X1343" s="1">
        <v>1.6790123456790123</v>
      </c>
      <c r="Y1343" s="1">
        <v>82</v>
      </c>
      <c r="Z1343" s="1">
        <v>136</v>
      </c>
      <c r="AA1343" s="1">
        <v>1.6585365853658536</v>
      </c>
      <c r="AB1343" s="1">
        <v>83.959004978553594</v>
      </c>
      <c r="AC1343" s="1">
        <v>135.1393137299315</v>
      </c>
      <c r="AD1343" s="1">
        <v>1.6095868902263832</v>
      </c>
      <c r="AE1343" t="s">
        <v>4817</v>
      </c>
      <c r="AF1343" t="str">
        <f>IF(X1343&lt;$AF$1,"Bajo","Alto")</f>
        <v>Bajo</v>
      </c>
      <c r="AG1343" t="str">
        <f>LEFT(AE1343,1)</f>
        <v>C</v>
      </c>
      <c r="AH1343" t="str">
        <f>K1343</f>
        <v>M</v>
      </c>
      <c r="AI1343" t="str">
        <f>LEFT(AF1343,1)</f>
        <v>B</v>
      </c>
      <c r="AJ1343" t="str">
        <f>LEFT(M1343,1)</f>
        <v>J</v>
      </c>
      <c r="AK1343" t="str">
        <f>_xlfn.CONCAT(AG1343,AH1343,AI1343,AJ1343)</f>
        <v>CMBJ</v>
      </c>
    </row>
    <row r="1344" spans="1:37" ht="15.75" hidden="1" customHeight="1" x14ac:dyDescent="0.2">
      <c r="A1344" s="1">
        <v>1531807</v>
      </c>
      <c r="B1344" s="1" t="s">
        <v>2077</v>
      </c>
      <c r="C1344" s="1" t="s">
        <v>57</v>
      </c>
      <c r="D1344" s="1" t="s">
        <v>593</v>
      </c>
      <c r="E1344" s="1" t="s">
        <v>2401</v>
      </c>
      <c r="F1344" s="1" t="s">
        <v>43</v>
      </c>
      <c r="G1344" s="1" t="s">
        <v>2404</v>
      </c>
      <c r="H1344" s="1">
        <v>293</v>
      </c>
      <c r="I1344" s="1" t="s">
        <v>2405</v>
      </c>
      <c r="J1344" s="1">
        <v>3877</v>
      </c>
      <c r="K1344" s="1" t="s">
        <v>35</v>
      </c>
      <c r="L1344" s="1">
        <v>39</v>
      </c>
      <c r="M1344" s="1" t="str">
        <f>IF(L1344&lt;=45,"Joven","Mayor")</f>
        <v>Joven</v>
      </c>
      <c r="N1344" s="1">
        <v>44</v>
      </c>
      <c r="O1344" s="1" t="s">
        <v>36</v>
      </c>
      <c r="P1344" s="1">
        <v>0.52900000000000003</v>
      </c>
      <c r="Q1344" s="1">
        <v>88.82</v>
      </c>
      <c r="R1344" s="1">
        <v>6.0306540000000002</v>
      </c>
      <c r="S1344" s="1">
        <v>4.5892056999999999</v>
      </c>
      <c r="T1344" s="1">
        <v>-5.5748873000000003</v>
      </c>
      <c r="U1344" s="1">
        <v>2.8010000000000002</v>
      </c>
      <c r="V1344" s="1">
        <v>89</v>
      </c>
      <c r="W1344" s="1">
        <v>149</v>
      </c>
      <c r="X1344" s="1">
        <v>1.6741573033707866</v>
      </c>
      <c r="Y1344" s="1">
        <v>91</v>
      </c>
      <c r="Z1344" s="1">
        <v>149</v>
      </c>
      <c r="AA1344" s="1">
        <v>1.6373626373626373</v>
      </c>
      <c r="AB1344" s="1">
        <v>92.562050666359937</v>
      </c>
      <c r="AC1344" s="1">
        <v>148.39238784337289</v>
      </c>
      <c r="AD1344" s="1">
        <v>1.6031665977048575</v>
      </c>
      <c r="AE1344" t="s">
        <v>4815</v>
      </c>
      <c r="AF1344" t="str">
        <f>IF(X1344&lt;$AF$1,"Bajo","Alto")</f>
        <v>Bajo</v>
      </c>
      <c r="AG1344" t="str">
        <f>LEFT(AE1344,1)</f>
        <v>I</v>
      </c>
      <c r="AH1344" t="str">
        <f>K1344</f>
        <v>M</v>
      </c>
      <c r="AI1344" t="str">
        <f>LEFT(AF1344,1)</f>
        <v>B</v>
      </c>
      <c r="AJ1344" t="str">
        <f>LEFT(M1344,1)</f>
        <v>J</v>
      </c>
      <c r="AK1344" t="str">
        <f>_xlfn.CONCAT(AG1344,AH1344,AI1344,AJ1344)</f>
        <v>IMBJ</v>
      </c>
    </row>
    <row r="1345" spans="1:37" ht="15.75" hidden="1" customHeight="1" x14ac:dyDescent="0.2">
      <c r="A1345" s="1">
        <v>2816004</v>
      </c>
      <c r="B1345" s="1" t="s">
        <v>1775</v>
      </c>
      <c r="C1345" s="1" t="s">
        <v>561</v>
      </c>
      <c r="D1345" s="1" t="s">
        <v>3787</v>
      </c>
      <c r="E1345" s="1" t="s">
        <v>234</v>
      </c>
      <c r="F1345" s="1" t="s">
        <v>61</v>
      </c>
      <c r="G1345" s="1" t="s">
        <v>3788</v>
      </c>
      <c r="H1345" s="1">
        <v>8019</v>
      </c>
      <c r="I1345" s="1" t="s">
        <v>85</v>
      </c>
      <c r="J1345" s="1">
        <v>12</v>
      </c>
      <c r="K1345" s="1" t="s">
        <v>35</v>
      </c>
      <c r="L1345" s="1">
        <v>38</v>
      </c>
      <c r="M1345" s="1" t="str">
        <f>IF(L1345&lt;=45,"Joven","Mayor")</f>
        <v>Joven</v>
      </c>
      <c r="N1345" s="1">
        <v>43</v>
      </c>
      <c r="O1345" s="1" t="s">
        <v>36</v>
      </c>
      <c r="P1345" s="1">
        <v>0.36899999999999999</v>
      </c>
      <c r="Q1345" s="1">
        <v>87.67</v>
      </c>
      <c r="R1345" s="1">
        <v>-4.5597953999999996</v>
      </c>
      <c r="S1345" s="1">
        <v>10.275188999999999</v>
      </c>
      <c r="T1345" s="1">
        <v>0.84947490000000003</v>
      </c>
      <c r="U1345" s="1">
        <v>2.0350000000000001</v>
      </c>
      <c r="V1345" s="1">
        <v>91</v>
      </c>
      <c r="W1345" s="1">
        <v>168</v>
      </c>
      <c r="X1345" s="1">
        <v>1.8461538461538463</v>
      </c>
      <c r="Y1345" s="1">
        <v>93</v>
      </c>
      <c r="Z1345" s="1">
        <v>168</v>
      </c>
      <c r="AA1345" s="1">
        <v>1.8064516129032258</v>
      </c>
      <c r="AB1345" s="1">
        <v>93.582802455072851</v>
      </c>
      <c r="AC1345" s="1">
        <v>167.92223357844929</v>
      </c>
      <c r="AD1345" s="1">
        <v>1.7943706447460286</v>
      </c>
      <c r="AE1345" t="s">
        <v>4815</v>
      </c>
      <c r="AF1345" t="str">
        <f>IF(X1345&lt;$AF$1,"Bajo","Alto")</f>
        <v>Alto</v>
      </c>
      <c r="AG1345" t="str">
        <f>LEFT(AE1345,1)</f>
        <v>I</v>
      </c>
      <c r="AH1345" t="str">
        <f>K1345</f>
        <v>M</v>
      </c>
      <c r="AI1345" t="str">
        <f>LEFT(AF1345,1)</f>
        <v>A</v>
      </c>
      <c r="AJ1345" t="str">
        <f>LEFT(M1345,1)</f>
        <v>J</v>
      </c>
      <c r="AK1345" t="str">
        <f>_xlfn.CONCAT(AG1345,AH1345,AI1345,AJ1345)</f>
        <v>IMAJ</v>
      </c>
    </row>
    <row r="1346" spans="1:37" ht="15.75" hidden="1" customHeight="1" x14ac:dyDescent="0.2">
      <c r="A1346" s="1">
        <v>132204</v>
      </c>
      <c r="B1346" s="1" t="s">
        <v>956</v>
      </c>
      <c r="C1346" s="1" t="s">
        <v>163</v>
      </c>
      <c r="D1346" s="1" t="s">
        <v>1985</v>
      </c>
      <c r="E1346" s="1" t="s">
        <v>418</v>
      </c>
      <c r="F1346" s="1" t="s">
        <v>61</v>
      </c>
      <c r="G1346" s="1" t="s">
        <v>1987</v>
      </c>
      <c r="H1346" s="1">
        <v>611</v>
      </c>
      <c r="I1346" s="1" t="s">
        <v>45</v>
      </c>
      <c r="J1346" s="1">
        <v>17</v>
      </c>
      <c r="K1346" s="1" t="s">
        <v>35</v>
      </c>
      <c r="L1346" s="1">
        <v>49</v>
      </c>
      <c r="M1346" s="1" t="str">
        <f>IF(L1346&lt;=45,"Joven","Mayor")</f>
        <v>Mayor</v>
      </c>
      <c r="N1346" s="1">
        <v>34</v>
      </c>
      <c r="O1346" s="1" t="s">
        <v>36</v>
      </c>
      <c r="P1346" s="1">
        <v>0.374</v>
      </c>
      <c r="Q1346" s="1">
        <v>93.263000000000005</v>
      </c>
      <c r="R1346" s="1">
        <v>1.7664218</v>
      </c>
      <c r="S1346" s="1">
        <v>4.0076803999999999</v>
      </c>
      <c r="T1346" s="1">
        <v>-8.2122729999999997</v>
      </c>
      <c r="U1346" s="1">
        <v>28.407</v>
      </c>
      <c r="V1346" s="1">
        <v>90</v>
      </c>
      <c r="W1346" s="1">
        <v>150</v>
      </c>
      <c r="X1346" s="1">
        <v>1.6666666666666667</v>
      </c>
      <c r="Y1346" s="1">
        <v>94</v>
      </c>
      <c r="Z1346" s="1">
        <v>150</v>
      </c>
      <c r="AA1346" s="1">
        <v>1.5957446808510638</v>
      </c>
      <c r="AB1346" s="1">
        <v>95.790633484469026</v>
      </c>
      <c r="AC1346" s="1">
        <v>149.74741697380929</v>
      </c>
      <c r="AD1346" s="1">
        <v>1.5632782822977001</v>
      </c>
      <c r="AE1346" t="s">
        <v>4817</v>
      </c>
      <c r="AF1346" t="str">
        <f>IF(X1346&lt;$AF$1,"Bajo","Alto")</f>
        <v>Bajo</v>
      </c>
      <c r="AG1346" t="str">
        <f>LEFT(AE1346,1)</f>
        <v>C</v>
      </c>
      <c r="AH1346" t="str">
        <f>K1346</f>
        <v>M</v>
      </c>
      <c r="AI1346" t="str">
        <f>LEFT(AF1346,1)</f>
        <v>B</v>
      </c>
      <c r="AJ1346" t="str">
        <f>LEFT(M1346,1)</f>
        <v>M</v>
      </c>
      <c r="AK1346" t="str">
        <f>_xlfn.CONCAT(AG1346,AH1346,AI1346,AJ1346)</f>
        <v>CMBM</v>
      </c>
    </row>
    <row r="1347" spans="1:37" ht="15.75" hidden="1" customHeight="1" x14ac:dyDescent="0.2">
      <c r="A1347" s="1">
        <v>1515102</v>
      </c>
      <c r="B1347" s="1" t="s">
        <v>2077</v>
      </c>
      <c r="C1347" s="1" t="s">
        <v>57</v>
      </c>
      <c r="D1347" s="1" t="s">
        <v>1710</v>
      </c>
      <c r="E1347" s="1" t="s">
        <v>215</v>
      </c>
      <c r="F1347" s="1" t="s">
        <v>37</v>
      </c>
      <c r="G1347" s="1" t="s">
        <v>2174</v>
      </c>
      <c r="H1347" s="1">
        <v>214</v>
      </c>
      <c r="I1347" s="1" t="s">
        <v>73</v>
      </c>
      <c r="J1347" s="1">
        <v>5</v>
      </c>
      <c r="K1347" s="1" t="s">
        <v>35</v>
      </c>
      <c r="L1347" s="1">
        <v>37</v>
      </c>
      <c r="M1347" s="1" t="str">
        <f>IF(L1347&lt;=45,"Joven","Mayor")</f>
        <v>Joven</v>
      </c>
      <c r="N1347" s="1">
        <v>50</v>
      </c>
      <c r="O1347" s="1" t="s">
        <v>36</v>
      </c>
      <c r="P1347" s="1">
        <v>0.42</v>
      </c>
      <c r="Q1347" s="1">
        <v>90.742000000000004</v>
      </c>
      <c r="R1347" s="1">
        <v>-2.9511924</v>
      </c>
      <c r="S1347" s="1">
        <v>8.2696190000000005</v>
      </c>
      <c r="T1347" s="1">
        <v>-2.4010292999999998</v>
      </c>
      <c r="U1347" s="1">
        <v>4.8849999999999998</v>
      </c>
      <c r="V1347" s="1">
        <v>103</v>
      </c>
      <c r="W1347" s="1">
        <v>173</v>
      </c>
      <c r="X1347" s="1">
        <v>1.6796116504854368</v>
      </c>
      <c r="Y1347" s="1">
        <v>104</v>
      </c>
      <c r="Z1347" s="1">
        <v>173</v>
      </c>
      <c r="AA1347" s="1">
        <v>1.6634615384615385</v>
      </c>
      <c r="AB1347" s="1">
        <v>104.6691053092934</v>
      </c>
      <c r="AC1347" s="1">
        <v>172.93190663962099</v>
      </c>
      <c r="AD1347" s="1">
        <v>1.6521771742350668</v>
      </c>
      <c r="AE1347" t="s">
        <v>4817</v>
      </c>
      <c r="AF1347" t="str">
        <f>IF(X1347&lt;$AF$1,"Bajo","Alto")</f>
        <v>Bajo</v>
      </c>
      <c r="AG1347" t="str">
        <f>LEFT(AE1347,1)</f>
        <v>C</v>
      </c>
      <c r="AH1347" t="str">
        <f>K1347</f>
        <v>M</v>
      </c>
      <c r="AI1347" t="str">
        <f>LEFT(AF1347,1)</f>
        <v>B</v>
      </c>
      <c r="AJ1347" t="str">
        <f>LEFT(M1347,1)</f>
        <v>J</v>
      </c>
      <c r="AK1347" t="str">
        <f>_xlfn.CONCAT(AG1347,AH1347,AI1347,AJ1347)</f>
        <v>CMBJ</v>
      </c>
    </row>
    <row r="1348" spans="1:37" ht="15.75" hidden="1" customHeight="1" x14ac:dyDescent="0.2">
      <c r="A1348" s="1">
        <v>1072802</v>
      </c>
      <c r="B1348" s="1" t="s">
        <v>1067</v>
      </c>
      <c r="C1348" s="1" t="s">
        <v>1068</v>
      </c>
      <c r="D1348" s="1" t="s">
        <v>705</v>
      </c>
      <c r="E1348" s="1" t="s">
        <v>561</v>
      </c>
      <c r="F1348" s="1" t="s">
        <v>37</v>
      </c>
      <c r="G1348" s="1" t="s">
        <v>1336</v>
      </c>
      <c r="H1348" s="1">
        <v>122</v>
      </c>
      <c r="I1348" s="1" t="s">
        <v>65</v>
      </c>
      <c r="J1348" s="1">
        <v>2</v>
      </c>
      <c r="K1348" s="1" t="s">
        <v>35</v>
      </c>
      <c r="L1348" s="1">
        <v>27</v>
      </c>
      <c r="M1348" s="1" t="str">
        <f>IF(L1348&lt;=45,"Joven","Mayor")</f>
        <v>Joven</v>
      </c>
      <c r="N1348" s="1">
        <v>26</v>
      </c>
      <c r="O1348" s="1" t="s">
        <v>36</v>
      </c>
      <c r="P1348" s="1">
        <v>12.728999999999999</v>
      </c>
      <c r="Q1348" s="1">
        <v>90.12</v>
      </c>
      <c r="R1348" s="1">
        <v>-0.63293049999999995</v>
      </c>
      <c r="S1348" s="1">
        <v>2.5433566999999999</v>
      </c>
      <c r="T1348" s="1">
        <v>-0.47774482000000001</v>
      </c>
      <c r="U1348" s="1">
        <v>16.175999999999998</v>
      </c>
      <c r="V1348" s="1">
        <v>75</v>
      </c>
      <c r="W1348" s="1">
        <v>126</v>
      </c>
      <c r="X1348" s="1">
        <v>1.68</v>
      </c>
      <c r="Y1348" s="1">
        <v>77</v>
      </c>
      <c r="Z1348" s="1">
        <v>126</v>
      </c>
      <c r="AA1348" s="1">
        <v>1.6363636363636365</v>
      </c>
      <c r="AB1348" s="1">
        <v>77.272481342425635</v>
      </c>
      <c r="AC1348" s="1">
        <v>125.93725302846219</v>
      </c>
      <c r="AD1348" s="1">
        <v>1.6297814026494537</v>
      </c>
      <c r="AE1348" t="s">
        <v>4817</v>
      </c>
      <c r="AF1348" t="str">
        <f>IF(X1348&lt;$AF$1,"Bajo","Alto")</f>
        <v>Bajo</v>
      </c>
      <c r="AG1348" t="str">
        <f>LEFT(AE1348,1)</f>
        <v>C</v>
      </c>
      <c r="AH1348" t="str">
        <f>K1348</f>
        <v>M</v>
      </c>
      <c r="AI1348" t="str">
        <f>LEFT(AF1348,1)</f>
        <v>B</v>
      </c>
      <c r="AJ1348" t="str">
        <f>LEFT(M1348,1)</f>
        <v>J</v>
      </c>
      <c r="AK1348" t="str">
        <f>_xlfn.CONCAT(AG1348,AH1348,AI1348,AJ1348)</f>
        <v>CMBJ</v>
      </c>
    </row>
    <row r="1349" spans="1:37" ht="15.75" hidden="1" customHeight="1" x14ac:dyDescent="0.2">
      <c r="A1349" s="1">
        <v>10713701</v>
      </c>
      <c r="B1349" s="1" t="s">
        <v>1067</v>
      </c>
      <c r="C1349" s="1" t="s">
        <v>1068</v>
      </c>
      <c r="D1349" s="1" t="s">
        <v>1133</v>
      </c>
      <c r="E1349" s="1" t="s">
        <v>1134</v>
      </c>
      <c r="F1349" s="1" t="s">
        <v>32</v>
      </c>
      <c r="G1349" s="1" t="s">
        <v>1135</v>
      </c>
      <c r="H1349" s="1">
        <v>654</v>
      </c>
      <c r="I1349" s="1" t="s">
        <v>39</v>
      </c>
      <c r="J1349" s="1">
        <v>11</v>
      </c>
      <c r="K1349" s="1" t="s">
        <v>35</v>
      </c>
      <c r="L1349" s="1">
        <v>45</v>
      </c>
      <c r="M1349" s="1" t="str">
        <f>IF(L1349&lt;=45,"Joven","Mayor")</f>
        <v>Joven</v>
      </c>
      <c r="N1349" s="1">
        <v>42</v>
      </c>
      <c r="O1349" s="1" t="s">
        <v>36</v>
      </c>
      <c r="P1349" s="1">
        <v>0.28599999999999998</v>
      </c>
      <c r="Q1349" s="1">
        <v>93.292000000000002</v>
      </c>
      <c r="R1349" s="1">
        <v>1.4446806000000001</v>
      </c>
      <c r="S1349" s="1">
        <v>4.7087529999999997</v>
      </c>
      <c r="T1349" s="1">
        <v>-2.5122738</v>
      </c>
      <c r="U1349" s="1">
        <v>28.472999999999999</v>
      </c>
      <c r="V1349" s="1">
        <v>90</v>
      </c>
      <c r="W1349" s="1">
        <v>151</v>
      </c>
      <c r="X1349" s="1">
        <v>1.6777777777777778</v>
      </c>
      <c r="Y1349" s="1">
        <v>93</v>
      </c>
      <c r="Z1349" s="1">
        <v>151</v>
      </c>
      <c r="AA1349" s="1">
        <v>1.6236559139784945</v>
      </c>
      <c r="AB1349" s="1">
        <v>91.6229995403869</v>
      </c>
      <c r="AC1349" s="1">
        <v>150.98636724539759</v>
      </c>
      <c r="AD1349" s="1">
        <v>1.6479090185084331</v>
      </c>
      <c r="AE1349" t="s">
        <v>4816</v>
      </c>
      <c r="AF1349" t="str">
        <f>IF(X1349&lt;$AF$1,"Bajo","Alto")</f>
        <v>Bajo</v>
      </c>
      <c r="AG1349" t="str">
        <f>LEFT(AE1349,1)</f>
        <v>D</v>
      </c>
      <c r="AH1349" t="str">
        <f>K1349</f>
        <v>M</v>
      </c>
      <c r="AI1349" t="str">
        <f>LEFT(AF1349,1)</f>
        <v>B</v>
      </c>
      <c r="AJ1349" t="str">
        <f>LEFT(M1349,1)</f>
        <v>J</v>
      </c>
      <c r="AK1349" t="str">
        <f>_xlfn.CONCAT(AG1349,AH1349,AI1349,AJ1349)</f>
        <v>DMBJ</v>
      </c>
    </row>
    <row r="1350" spans="1:37" ht="15.75" hidden="1" customHeight="1" x14ac:dyDescent="0.2">
      <c r="A1350" s="1">
        <v>10727707</v>
      </c>
      <c r="B1350" s="1" t="s">
        <v>1067</v>
      </c>
      <c r="C1350" s="1" t="s">
        <v>1068</v>
      </c>
      <c r="D1350" s="1" t="s">
        <v>1326</v>
      </c>
      <c r="E1350" s="1" t="s">
        <v>550</v>
      </c>
      <c r="F1350" s="1" t="s">
        <v>43</v>
      </c>
      <c r="G1350" s="1" t="s">
        <v>1331</v>
      </c>
      <c r="H1350" s="1">
        <v>2151</v>
      </c>
      <c r="I1350" s="1" t="s">
        <v>1332</v>
      </c>
      <c r="J1350" s="1">
        <v>3677</v>
      </c>
      <c r="K1350" s="1" t="s">
        <v>35</v>
      </c>
      <c r="L1350" s="1">
        <v>41</v>
      </c>
      <c r="M1350" s="1" t="str">
        <f>IF(L1350&lt;=45,"Joven","Mayor")</f>
        <v>Joven</v>
      </c>
      <c r="N1350" s="1">
        <v>44</v>
      </c>
      <c r="O1350" s="1" t="s">
        <v>36</v>
      </c>
      <c r="P1350" s="1">
        <v>0.33400000000000002</v>
      </c>
      <c r="Q1350" s="1">
        <v>93.593000000000004</v>
      </c>
      <c r="R1350" s="1">
        <v>-1.3707558</v>
      </c>
      <c r="S1350" s="1">
        <v>3.6876297</v>
      </c>
      <c r="T1350" s="1">
        <v>5.8515905999999998</v>
      </c>
      <c r="U1350" s="1">
        <v>49.703000000000003</v>
      </c>
      <c r="V1350" s="1">
        <v>70</v>
      </c>
      <c r="W1350" s="1">
        <v>131</v>
      </c>
      <c r="X1350" s="1">
        <v>1.8714285714285714</v>
      </c>
      <c r="Y1350" s="1">
        <v>76</v>
      </c>
      <c r="Z1350" s="1">
        <v>131</v>
      </c>
      <c r="AA1350" s="1">
        <v>1.7236842105263157</v>
      </c>
      <c r="AB1350" s="1">
        <v>73.81528679611597</v>
      </c>
      <c r="AC1350" s="1">
        <v>131.03106435675821</v>
      </c>
      <c r="AD1350" s="1">
        <v>1.7751209816291444</v>
      </c>
      <c r="AE1350" t="s">
        <v>4817</v>
      </c>
      <c r="AF1350" t="str">
        <f>IF(X1350&lt;$AF$1,"Bajo","Alto")</f>
        <v>Alto</v>
      </c>
      <c r="AG1350" t="str">
        <f>LEFT(AE1350,1)</f>
        <v>C</v>
      </c>
      <c r="AH1350" t="str">
        <f>K1350</f>
        <v>M</v>
      </c>
      <c r="AI1350" t="str">
        <f>LEFT(AF1350,1)</f>
        <v>A</v>
      </c>
      <c r="AJ1350" t="str">
        <f>LEFT(M1350,1)</f>
        <v>J</v>
      </c>
      <c r="AK1350" t="str">
        <f>_xlfn.CONCAT(AG1350,AH1350,AI1350,AJ1350)</f>
        <v>CMAJ</v>
      </c>
    </row>
    <row r="1351" spans="1:37" ht="15.75" hidden="1" customHeight="1" x14ac:dyDescent="0.2">
      <c r="A1351" s="1">
        <v>252802</v>
      </c>
      <c r="B1351" s="1" t="s">
        <v>3169</v>
      </c>
      <c r="C1351" s="1" t="s">
        <v>821</v>
      </c>
      <c r="D1351" s="1" t="s">
        <v>3216</v>
      </c>
      <c r="E1351" s="1" t="s">
        <v>561</v>
      </c>
      <c r="F1351" s="1" t="s">
        <v>37</v>
      </c>
      <c r="G1351" s="1" t="s">
        <v>3217</v>
      </c>
      <c r="H1351" s="1">
        <v>608</v>
      </c>
      <c r="I1351" s="1" t="s">
        <v>39</v>
      </c>
      <c r="J1351" s="1">
        <v>11</v>
      </c>
      <c r="K1351" s="1" t="s">
        <v>35</v>
      </c>
      <c r="L1351" s="1">
        <v>44</v>
      </c>
      <c r="M1351" s="1" t="str">
        <f>IF(L1351&lt;=45,"Joven","Mayor")</f>
        <v>Joven</v>
      </c>
      <c r="N1351" s="1">
        <v>43</v>
      </c>
      <c r="O1351" s="1" t="s">
        <v>36</v>
      </c>
      <c r="P1351" s="1">
        <v>0.41199999999999998</v>
      </c>
      <c r="Q1351" s="1">
        <v>91.655000000000001</v>
      </c>
      <c r="R1351" s="1">
        <v>3.3298402</v>
      </c>
      <c r="S1351" s="1">
        <v>5.3721075000000003</v>
      </c>
      <c r="T1351" s="1">
        <v>-5.2691090000000003</v>
      </c>
      <c r="U1351" s="1">
        <v>3.4060000000000001</v>
      </c>
      <c r="V1351" s="1">
        <v>105</v>
      </c>
      <c r="W1351" s="1">
        <v>177</v>
      </c>
      <c r="X1351" s="1">
        <v>1.6857142857142857</v>
      </c>
      <c r="Y1351" s="1">
        <v>108</v>
      </c>
      <c r="Z1351" s="1">
        <v>177</v>
      </c>
      <c r="AA1351" s="1">
        <v>1.6388888888888888</v>
      </c>
      <c r="AB1351" s="1">
        <v>108.9643262904265</v>
      </c>
      <c r="AC1351" s="1">
        <v>176.71122948793979</v>
      </c>
      <c r="AD1351" s="1">
        <v>1.6217347044109194</v>
      </c>
      <c r="AE1351" t="s">
        <v>4816</v>
      </c>
      <c r="AF1351" t="str">
        <f>IF(X1351&lt;$AF$1,"Bajo","Alto")</f>
        <v>Bajo</v>
      </c>
      <c r="AG1351" t="str">
        <f>LEFT(AE1351,1)</f>
        <v>D</v>
      </c>
      <c r="AH1351" t="str">
        <f>K1351</f>
        <v>M</v>
      </c>
      <c r="AI1351" t="str">
        <f>LEFT(AF1351,1)</f>
        <v>B</v>
      </c>
      <c r="AJ1351" t="str">
        <f>LEFT(M1351,1)</f>
        <v>J</v>
      </c>
      <c r="AK1351" t="str">
        <f>_xlfn.CONCAT(AG1351,AH1351,AI1351,AJ1351)</f>
        <v>DMBJ</v>
      </c>
    </row>
    <row r="1352" spans="1:37" ht="15.75" hidden="1" customHeight="1" x14ac:dyDescent="0.2">
      <c r="A1352" s="1">
        <v>2816006</v>
      </c>
      <c r="B1352" s="1" t="s">
        <v>1775</v>
      </c>
      <c r="C1352" s="1" t="s">
        <v>561</v>
      </c>
      <c r="D1352" s="1" t="s">
        <v>3787</v>
      </c>
      <c r="E1352" s="1" t="s">
        <v>234</v>
      </c>
      <c r="F1352" s="1" t="s">
        <v>88</v>
      </c>
      <c r="G1352" s="1" t="s">
        <v>3789</v>
      </c>
      <c r="H1352" s="1">
        <v>10852</v>
      </c>
      <c r="I1352" s="1" t="s">
        <v>108</v>
      </c>
      <c r="J1352" s="1">
        <v>3</v>
      </c>
      <c r="K1352" s="1" t="s">
        <v>49</v>
      </c>
      <c r="L1352" s="1">
        <v>52</v>
      </c>
      <c r="M1352" s="1" t="str">
        <f>IF(L1352&lt;=45,"Joven","Mayor")</f>
        <v>Mayor</v>
      </c>
      <c r="N1352" s="1">
        <v>37</v>
      </c>
      <c r="O1352" s="1" t="s">
        <v>50</v>
      </c>
      <c r="P1352" s="1">
        <v>0.108</v>
      </c>
      <c r="Q1352" s="1">
        <v>70.162999999999997</v>
      </c>
      <c r="R1352" s="1">
        <v>-13.056851</v>
      </c>
      <c r="S1352" s="1">
        <v>-0.55900574000000003</v>
      </c>
      <c r="T1352" s="1">
        <v>8.7593774999999994</v>
      </c>
      <c r="U1352" s="1">
        <v>53.331000000000003</v>
      </c>
      <c r="V1352" s="1">
        <v>118</v>
      </c>
      <c r="W1352" s="1">
        <v>222</v>
      </c>
      <c r="X1352" s="1">
        <v>1.8813559322033899</v>
      </c>
      <c r="Y1352" s="1">
        <v>128</v>
      </c>
      <c r="Z1352" s="1">
        <v>222</v>
      </c>
      <c r="AA1352" s="1">
        <v>1.734375</v>
      </c>
      <c r="AB1352" s="1">
        <v>123.4765503762694</v>
      </c>
      <c r="AC1352" s="1">
        <v>218.80158449027289</v>
      </c>
      <c r="AD1352" s="1">
        <v>1.7720092100364</v>
      </c>
      <c r="AE1352" t="s">
        <v>4817</v>
      </c>
      <c r="AF1352" t="str">
        <f>IF(X1352&lt;$AF$1,"Bajo","Alto")</f>
        <v>Alto</v>
      </c>
      <c r="AG1352" t="str">
        <f>LEFT(AE1352,1)</f>
        <v>C</v>
      </c>
      <c r="AH1352" t="str">
        <f>K1352</f>
        <v>F</v>
      </c>
      <c r="AI1352" t="str">
        <f>LEFT(AF1352,1)</f>
        <v>A</v>
      </c>
      <c r="AJ1352" t="str">
        <f>LEFT(M1352,1)</f>
        <v>M</v>
      </c>
      <c r="AK1352" t="str">
        <f>_xlfn.CONCAT(AG1352,AH1352,AI1352,AJ1352)</f>
        <v>CFAM</v>
      </c>
    </row>
    <row r="1353" spans="1:37" ht="15.75" hidden="1" customHeight="1" x14ac:dyDescent="0.2">
      <c r="A1353" s="1">
        <v>10115004</v>
      </c>
      <c r="B1353" s="1" t="s">
        <v>29</v>
      </c>
      <c r="C1353" s="1" t="s">
        <v>30</v>
      </c>
      <c r="D1353" s="1" t="s">
        <v>204</v>
      </c>
      <c r="E1353" s="1" t="s">
        <v>205</v>
      </c>
      <c r="F1353" s="1" t="s">
        <v>61</v>
      </c>
      <c r="G1353" s="1" t="s">
        <v>209</v>
      </c>
      <c r="H1353" s="1">
        <v>78</v>
      </c>
      <c r="I1353" s="1" t="s">
        <v>48</v>
      </c>
      <c r="J1353" s="1">
        <v>4</v>
      </c>
      <c r="K1353" s="1" t="s">
        <v>35</v>
      </c>
      <c r="L1353" s="1">
        <v>37</v>
      </c>
      <c r="M1353" s="1" t="str">
        <f>IF(L1353&lt;=45,"Joven","Mayor")</f>
        <v>Joven</v>
      </c>
      <c r="N1353" s="1">
        <v>32</v>
      </c>
      <c r="O1353" s="1" t="s">
        <v>36</v>
      </c>
      <c r="P1353" s="1">
        <v>0.36199999999999999</v>
      </c>
      <c r="Q1353" s="1">
        <v>85.073999999999998</v>
      </c>
      <c r="R1353" s="1">
        <v>8.1698269999999997</v>
      </c>
      <c r="S1353" s="1">
        <v>4.5039562999999996</v>
      </c>
      <c r="T1353" s="1">
        <v>-4.4415902999999997</v>
      </c>
      <c r="U1353" s="1">
        <v>60.128999999999998</v>
      </c>
      <c r="V1353" s="1">
        <v>97</v>
      </c>
      <c r="W1353" s="1">
        <v>163</v>
      </c>
      <c r="X1353" s="1">
        <v>1.6804123711340206</v>
      </c>
      <c r="Y1353" s="1">
        <v>98</v>
      </c>
      <c r="Z1353" s="1">
        <v>163</v>
      </c>
      <c r="AA1353" s="1">
        <v>1.6632653061224489</v>
      </c>
      <c r="AB1353" s="1">
        <v>99.8838426172872</v>
      </c>
      <c r="AC1353" s="1">
        <v>162.74280669374139</v>
      </c>
      <c r="AD1353" s="1">
        <v>1.6293206431524991</v>
      </c>
      <c r="AE1353" t="s">
        <v>4817</v>
      </c>
      <c r="AF1353" t="str">
        <f>IF(X1353&lt;$AF$1,"Bajo","Alto")</f>
        <v>Bajo</v>
      </c>
      <c r="AG1353" t="str">
        <f>LEFT(AE1353,1)</f>
        <v>C</v>
      </c>
      <c r="AH1353" t="str">
        <f>K1353</f>
        <v>M</v>
      </c>
      <c r="AI1353" t="str">
        <f>LEFT(AF1353,1)</f>
        <v>B</v>
      </c>
      <c r="AJ1353" t="str">
        <f>LEFT(M1353,1)</f>
        <v>J</v>
      </c>
      <c r="AK1353" t="str">
        <f>_xlfn.CONCAT(AG1353,AH1353,AI1353,AJ1353)</f>
        <v>CMBJ</v>
      </c>
    </row>
    <row r="1354" spans="1:37" ht="15.75" hidden="1" customHeight="1" x14ac:dyDescent="0.2">
      <c r="A1354" s="1">
        <v>194001</v>
      </c>
      <c r="B1354" s="1" t="s">
        <v>2656</v>
      </c>
      <c r="C1354" s="1" t="s">
        <v>323</v>
      </c>
      <c r="D1354" s="1" t="s">
        <v>2715</v>
      </c>
      <c r="E1354" s="1" t="s">
        <v>657</v>
      </c>
      <c r="F1354" s="1" t="s">
        <v>32</v>
      </c>
      <c r="G1354" s="1" t="s">
        <v>2716</v>
      </c>
      <c r="H1354" s="1">
        <v>3391</v>
      </c>
      <c r="I1354" s="1" t="s">
        <v>100</v>
      </c>
      <c r="J1354" s="1">
        <v>1</v>
      </c>
      <c r="K1354" s="1" t="s">
        <v>35</v>
      </c>
      <c r="L1354" s="1">
        <v>53</v>
      </c>
      <c r="M1354" s="1" t="str">
        <f>IF(L1354&lt;=45,"Joven","Mayor")</f>
        <v>Mayor</v>
      </c>
      <c r="N1354" s="1">
        <v>49</v>
      </c>
      <c r="O1354" s="1" t="s">
        <v>36</v>
      </c>
      <c r="P1354" s="1">
        <v>0.13300000000000001</v>
      </c>
      <c r="Q1354" s="1">
        <v>91.084000000000003</v>
      </c>
      <c r="R1354" s="1">
        <v>4.5290346000000001</v>
      </c>
      <c r="S1354" s="1">
        <v>3.9224383999999999</v>
      </c>
      <c r="T1354" s="1">
        <v>-5.461652</v>
      </c>
      <c r="U1354" s="1">
        <v>0.53100000000000003</v>
      </c>
      <c r="V1354" s="1">
        <v>84</v>
      </c>
      <c r="W1354" s="1">
        <v>140</v>
      </c>
      <c r="X1354" s="1">
        <v>1.6666666666666667</v>
      </c>
      <c r="Y1354" s="1">
        <v>86</v>
      </c>
      <c r="Z1354" s="1">
        <v>140</v>
      </c>
      <c r="AA1354" s="1">
        <v>1.6279069767441861</v>
      </c>
      <c r="AB1354" s="1">
        <v>86.949933463355364</v>
      </c>
      <c r="AC1354" s="1">
        <v>139.64995602193719</v>
      </c>
      <c r="AD1354" s="1">
        <v>1.6060961804046923</v>
      </c>
      <c r="AE1354" t="s">
        <v>4817</v>
      </c>
      <c r="AF1354" t="str">
        <f>IF(X1354&lt;$AF$1,"Bajo","Alto")</f>
        <v>Bajo</v>
      </c>
      <c r="AG1354" t="str">
        <f>LEFT(AE1354,1)</f>
        <v>C</v>
      </c>
      <c r="AH1354" t="str">
        <f>K1354</f>
        <v>M</v>
      </c>
      <c r="AI1354" t="str">
        <f>LEFT(AF1354,1)</f>
        <v>B</v>
      </c>
      <c r="AJ1354" t="str">
        <f>LEFT(M1354,1)</f>
        <v>M</v>
      </c>
      <c r="AK1354" t="str">
        <f>_xlfn.CONCAT(AG1354,AH1354,AI1354,AJ1354)</f>
        <v>CMBM</v>
      </c>
    </row>
    <row r="1355" spans="1:37" ht="15.75" hidden="1" customHeight="1" x14ac:dyDescent="0.2">
      <c r="A1355" s="1">
        <v>10110303</v>
      </c>
      <c r="B1355" s="1" t="s">
        <v>29</v>
      </c>
      <c r="C1355" s="1" t="s">
        <v>30</v>
      </c>
      <c r="D1355" s="1" t="s">
        <v>80</v>
      </c>
      <c r="E1355" s="1" t="s">
        <v>81</v>
      </c>
      <c r="F1355" s="1" t="s">
        <v>63</v>
      </c>
      <c r="G1355" s="1" t="s">
        <v>84</v>
      </c>
      <c r="H1355" s="1">
        <v>4521</v>
      </c>
      <c r="I1355" s="1" t="s">
        <v>85</v>
      </c>
      <c r="J1355" s="1">
        <v>12</v>
      </c>
      <c r="K1355" s="1" t="s">
        <v>35</v>
      </c>
      <c r="L1355" s="1">
        <v>58</v>
      </c>
      <c r="M1355" s="1" t="str">
        <f>IF(L1355&lt;=45,"Joven","Mayor")</f>
        <v>Mayor</v>
      </c>
      <c r="N1355" s="1">
        <v>51</v>
      </c>
      <c r="O1355" s="1" t="s">
        <v>36</v>
      </c>
      <c r="P1355" s="1">
        <v>0.92200000000000004</v>
      </c>
      <c r="Q1355" s="1">
        <v>82.972999999999999</v>
      </c>
      <c r="R1355" s="1">
        <v>-9.0583650000000002</v>
      </c>
      <c r="S1355" s="1">
        <v>3.8943509999999999</v>
      </c>
      <c r="T1355" s="1">
        <v>9.096895</v>
      </c>
      <c r="U1355" s="1">
        <v>8.3469999999999995</v>
      </c>
      <c r="V1355" s="1">
        <v>101</v>
      </c>
      <c r="W1355" s="1">
        <v>169</v>
      </c>
      <c r="X1355" s="1">
        <v>1.6732673267326732</v>
      </c>
      <c r="Y1355" s="1">
        <v>110</v>
      </c>
      <c r="Z1355" s="1">
        <v>169</v>
      </c>
      <c r="AA1355" s="1">
        <v>1.5363636363636364</v>
      </c>
      <c r="AB1355" s="1">
        <v>109.21593340161481</v>
      </c>
      <c r="AC1355" s="1">
        <v>169.87836816684279</v>
      </c>
      <c r="AD1355" s="1">
        <v>1.5554357580972802</v>
      </c>
      <c r="AE1355" t="s">
        <v>4815</v>
      </c>
      <c r="AF1355" t="str">
        <f>IF(X1355&lt;$AF$1,"Bajo","Alto")</f>
        <v>Bajo</v>
      </c>
      <c r="AG1355" t="str">
        <f>LEFT(AE1355,1)</f>
        <v>I</v>
      </c>
      <c r="AH1355" t="str">
        <f>K1355</f>
        <v>M</v>
      </c>
      <c r="AI1355" t="str">
        <f>LEFT(AF1355,1)</f>
        <v>B</v>
      </c>
      <c r="AJ1355" t="str">
        <f>LEFT(M1355,1)</f>
        <v>M</v>
      </c>
      <c r="AK1355" t="str">
        <f>_xlfn.CONCAT(AG1355,AH1355,AI1355,AJ1355)</f>
        <v>IMBM</v>
      </c>
    </row>
    <row r="1356" spans="1:37" ht="15.75" hidden="1" customHeight="1" x14ac:dyDescent="0.2">
      <c r="A1356" s="1">
        <v>2312403</v>
      </c>
      <c r="B1356" s="1" t="s">
        <v>319</v>
      </c>
      <c r="C1356" s="1" t="s">
        <v>1989</v>
      </c>
      <c r="D1356" s="1" t="s">
        <v>1046</v>
      </c>
      <c r="E1356" s="1" t="s">
        <v>145</v>
      </c>
      <c r="F1356" s="1" t="s">
        <v>63</v>
      </c>
      <c r="G1356" s="1" t="s">
        <v>2962</v>
      </c>
      <c r="H1356" s="1">
        <v>4674</v>
      </c>
      <c r="I1356" s="1" t="s">
        <v>2963</v>
      </c>
      <c r="J1356" s="1">
        <v>4018</v>
      </c>
      <c r="K1356" s="1" t="s">
        <v>35</v>
      </c>
      <c r="L1356" s="1">
        <v>53</v>
      </c>
      <c r="M1356" s="1" t="str">
        <f>IF(L1356&lt;=45,"Joven","Mayor")</f>
        <v>Mayor</v>
      </c>
      <c r="N1356" s="1">
        <v>53</v>
      </c>
      <c r="O1356" s="1" t="s">
        <v>36</v>
      </c>
      <c r="P1356" s="1">
        <v>0.159</v>
      </c>
      <c r="Q1356" s="1">
        <v>88.02</v>
      </c>
      <c r="R1356" s="1">
        <v>-6.9709396000000003</v>
      </c>
      <c r="S1356" s="1">
        <v>-3.3134077</v>
      </c>
      <c r="T1356" s="1">
        <v>7.2567539999999999</v>
      </c>
      <c r="U1356" s="1">
        <v>74.069000000000003</v>
      </c>
      <c r="V1356" s="1">
        <v>105</v>
      </c>
      <c r="W1356" s="1">
        <v>175</v>
      </c>
      <c r="X1356" s="1">
        <v>1.6666666666666667</v>
      </c>
      <c r="Y1356" s="1">
        <v>107</v>
      </c>
      <c r="Z1356" s="1">
        <v>175</v>
      </c>
      <c r="AA1356" s="1">
        <v>1.6355140186915889</v>
      </c>
      <c r="AB1356" s="1">
        <v>110.47475225087349</v>
      </c>
      <c r="AC1356" s="1">
        <v>174.86142069292509</v>
      </c>
      <c r="AD1356" s="1">
        <v>1.5828179482660258</v>
      </c>
      <c r="AE1356" t="s">
        <v>4817</v>
      </c>
      <c r="AF1356" t="str">
        <f>IF(X1356&lt;$AF$1,"Bajo","Alto")</f>
        <v>Bajo</v>
      </c>
      <c r="AG1356" t="str">
        <f>LEFT(AE1356,1)</f>
        <v>C</v>
      </c>
      <c r="AH1356" t="str">
        <f>K1356</f>
        <v>M</v>
      </c>
      <c r="AI1356" t="str">
        <f>LEFT(AF1356,1)</f>
        <v>B</v>
      </c>
      <c r="AJ1356" t="str">
        <f>LEFT(M1356,1)</f>
        <v>M</v>
      </c>
      <c r="AK1356" t="str">
        <f>_xlfn.CONCAT(AG1356,AH1356,AI1356,AJ1356)</f>
        <v>CMBM</v>
      </c>
    </row>
    <row r="1357" spans="1:37" ht="15.75" hidden="1" customHeight="1" x14ac:dyDescent="0.2">
      <c r="A1357" s="1">
        <v>444003</v>
      </c>
      <c r="B1357" s="1" t="s">
        <v>4314</v>
      </c>
      <c r="C1357" s="1" t="s">
        <v>995</v>
      </c>
      <c r="D1357" s="1" t="s">
        <v>579</v>
      </c>
      <c r="E1357" s="1" t="s">
        <v>657</v>
      </c>
      <c r="F1357" s="1" t="s">
        <v>63</v>
      </c>
      <c r="G1357" s="1" t="s">
        <v>4380</v>
      </c>
      <c r="H1357" s="1">
        <v>793</v>
      </c>
      <c r="I1357" s="1" t="s">
        <v>65</v>
      </c>
      <c r="J1357" s="1">
        <v>2</v>
      </c>
      <c r="K1357" s="1" t="s">
        <v>49</v>
      </c>
      <c r="L1357" s="1">
        <v>50</v>
      </c>
      <c r="M1357" s="1" t="str">
        <f>IF(L1357&lt;=45,"Joven","Mayor")</f>
        <v>Mayor</v>
      </c>
      <c r="N1357" s="1">
        <v>49</v>
      </c>
      <c r="O1357" s="1" t="s">
        <v>50</v>
      </c>
      <c r="P1357" s="1">
        <v>0.88700000000000001</v>
      </c>
      <c r="Q1357" s="1">
        <v>92.561999999999998</v>
      </c>
      <c r="R1357" s="1">
        <v>1.0646814</v>
      </c>
      <c r="S1357" s="1">
        <v>7.1191673</v>
      </c>
      <c r="T1357" s="1">
        <v>-4.184558</v>
      </c>
      <c r="U1357" s="1">
        <v>16.358000000000001</v>
      </c>
      <c r="V1357" s="1">
        <v>90</v>
      </c>
      <c r="W1357" s="1">
        <v>149</v>
      </c>
      <c r="X1357" s="1">
        <v>1.6555555555555554</v>
      </c>
      <c r="Y1357" s="1">
        <v>94</v>
      </c>
      <c r="Z1357" s="1">
        <v>149</v>
      </c>
      <c r="AA1357" s="1">
        <v>1.5851063829787233</v>
      </c>
      <c r="AB1357" s="1">
        <v>93.18963818543989</v>
      </c>
      <c r="AC1357" s="1">
        <v>149.1865480119377</v>
      </c>
      <c r="AD1357" s="1">
        <v>1.6008920188644629</v>
      </c>
      <c r="AE1357" t="s">
        <v>4817</v>
      </c>
      <c r="AF1357" t="str">
        <f>IF(X1357&lt;$AF$1,"Bajo","Alto")</f>
        <v>Bajo</v>
      </c>
      <c r="AG1357" t="str">
        <f>LEFT(AE1357,1)</f>
        <v>C</v>
      </c>
      <c r="AH1357" t="str">
        <f>K1357</f>
        <v>F</v>
      </c>
      <c r="AI1357" t="str">
        <f>LEFT(AF1357,1)</f>
        <v>B</v>
      </c>
      <c r="AJ1357" t="str">
        <f>LEFT(M1357,1)</f>
        <v>M</v>
      </c>
      <c r="AK1357" t="str">
        <f>_xlfn.CONCAT(AG1357,AH1357,AI1357,AJ1357)</f>
        <v>CFBM</v>
      </c>
    </row>
    <row r="1358" spans="1:37" ht="15.75" customHeight="1" x14ac:dyDescent="0.2">
      <c r="A1358" s="1">
        <v>155513</v>
      </c>
      <c r="B1358" s="1" t="s">
        <v>2077</v>
      </c>
      <c r="C1358" s="1" t="s">
        <v>57</v>
      </c>
      <c r="D1358" s="1" t="s">
        <v>2476</v>
      </c>
      <c r="E1358" s="1" t="s">
        <v>690</v>
      </c>
      <c r="F1358" s="1" t="s">
        <v>163</v>
      </c>
      <c r="G1358" s="1" t="s">
        <v>2486</v>
      </c>
      <c r="H1358" s="1">
        <v>7684</v>
      </c>
      <c r="I1358" s="1" t="s">
        <v>2487</v>
      </c>
      <c r="J1358" s="1">
        <v>2804</v>
      </c>
      <c r="K1358" s="1" t="s">
        <v>49</v>
      </c>
      <c r="L1358" s="1">
        <v>39</v>
      </c>
      <c r="M1358" s="1" t="str">
        <f>IF(L1358&lt;=45,"Joven","Mayor")</f>
        <v>Joven</v>
      </c>
      <c r="N1358" s="1">
        <v>52</v>
      </c>
      <c r="O1358" s="1" t="s">
        <v>50</v>
      </c>
      <c r="P1358" s="1">
        <v>0.38900000000000001</v>
      </c>
      <c r="Q1358" s="1">
        <v>81.135000000000005</v>
      </c>
      <c r="R1358" s="1">
        <v>8.9160160000000008</v>
      </c>
      <c r="S1358" s="1">
        <v>7.6395682999999996</v>
      </c>
      <c r="T1358" s="1">
        <v>-5.5511439999999999</v>
      </c>
      <c r="U1358" s="1">
        <v>67.557000000000002</v>
      </c>
      <c r="V1358" s="1">
        <v>72</v>
      </c>
      <c r="W1358" s="1">
        <v>104</v>
      </c>
      <c r="X1358" s="1">
        <v>1.4444444444444444</v>
      </c>
      <c r="Y1358" s="1">
        <v>75</v>
      </c>
      <c r="Z1358" s="1">
        <v>104</v>
      </c>
      <c r="AA1358" s="1">
        <v>1.3866666666666667</v>
      </c>
      <c r="AB1358" s="1">
        <v>74.274162147117522</v>
      </c>
      <c r="AC1358" s="1">
        <v>103.70573415037281</v>
      </c>
      <c r="AD1358" s="1">
        <v>1.3962558600790287</v>
      </c>
      <c r="AE1358" t="s">
        <v>4818</v>
      </c>
      <c r="AF1358" t="str">
        <f>IF(X1358&lt;$AF$1,"Bajo","Alto")</f>
        <v>Bajo</v>
      </c>
      <c r="AG1358" t="str">
        <f>LEFT(AE1358,1)</f>
        <v>S</v>
      </c>
      <c r="AH1358" t="str">
        <f>K1358</f>
        <v>F</v>
      </c>
      <c r="AI1358" t="str">
        <f>LEFT(AF1358,1)</f>
        <v>B</v>
      </c>
      <c r="AJ1358" t="str">
        <f>LEFT(M1358,1)</f>
        <v>J</v>
      </c>
      <c r="AK1358" t="str">
        <f>_xlfn.CONCAT(AG1358,AH1358,AI1358,AJ1358)</f>
        <v>SFBJ</v>
      </c>
    </row>
    <row r="1359" spans="1:37" ht="15.75" hidden="1" customHeight="1" x14ac:dyDescent="0.2">
      <c r="A1359" s="1">
        <v>284106</v>
      </c>
      <c r="B1359" s="1" t="s">
        <v>1775</v>
      </c>
      <c r="C1359" s="1" t="s">
        <v>561</v>
      </c>
      <c r="D1359" s="1" t="s">
        <v>3854</v>
      </c>
      <c r="E1359" s="1" t="s">
        <v>988</v>
      </c>
      <c r="F1359" s="1" t="s">
        <v>88</v>
      </c>
      <c r="G1359" s="1" t="s">
        <v>3860</v>
      </c>
      <c r="H1359" s="1">
        <v>2752</v>
      </c>
      <c r="I1359" s="1" t="s">
        <v>91</v>
      </c>
      <c r="J1359" s="1">
        <v>6</v>
      </c>
      <c r="K1359" s="1" t="s">
        <v>35</v>
      </c>
      <c r="L1359" s="1">
        <v>23</v>
      </c>
      <c r="M1359" s="1" t="str">
        <f>IF(L1359&lt;=45,"Joven","Mayor")</f>
        <v>Joven</v>
      </c>
      <c r="N1359" s="1">
        <v>20</v>
      </c>
      <c r="O1359" s="1" t="s">
        <v>36</v>
      </c>
      <c r="P1359" s="1">
        <v>0.63700000000000001</v>
      </c>
      <c r="Q1359" s="1">
        <v>82.956999999999994</v>
      </c>
      <c r="R1359" s="1">
        <v>8.0767489999999995</v>
      </c>
      <c r="S1359" s="1">
        <v>7.8943995999999999</v>
      </c>
      <c r="T1359" s="1">
        <v>-9.2599745000000002</v>
      </c>
      <c r="U1359" s="1">
        <v>7.3079999999999998</v>
      </c>
      <c r="V1359" s="1">
        <v>70</v>
      </c>
      <c r="W1359" s="1">
        <v>131</v>
      </c>
      <c r="X1359" s="1">
        <v>1.8714285714285714</v>
      </c>
      <c r="Y1359" s="1">
        <v>75</v>
      </c>
      <c r="Z1359" s="1">
        <v>131</v>
      </c>
      <c r="AA1359" s="1">
        <v>1.7466666666666666</v>
      </c>
      <c r="AB1359" s="1">
        <v>75.524361269515566</v>
      </c>
      <c r="AC1359" s="1">
        <v>131.06291450372191</v>
      </c>
      <c r="AD1359" s="1">
        <v>1.7353726969767007</v>
      </c>
      <c r="AE1359" t="s">
        <v>4817</v>
      </c>
      <c r="AF1359" t="str">
        <f>IF(X1359&lt;$AF$1,"Bajo","Alto")</f>
        <v>Alto</v>
      </c>
      <c r="AG1359" t="str">
        <f>LEFT(AE1359,1)</f>
        <v>C</v>
      </c>
      <c r="AH1359" t="str">
        <f>K1359</f>
        <v>M</v>
      </c>
      <c r="AI1359" t="str">
        <f>LEFT(AF1359,1)</f>
        <v>A</v>
      </c>
      <c r="AJ1359" t="str">
        <f>LEFT(M1359,1)</f>
        <v>J</v>
      </c>
      <c r="AK1359" t="str">
        <f>_xlfn.CONCAT(AG1359,AH1359,AI1359,AJ1359)</f>
        <v>CMAJ</v>
      </c>
    </row>
    <row r="1360" spans="1:37" ht="15.75" hidden="1" customHeight="1" x14ac:dyDescent="0.2">
      <c r="A1360" s="1">
        <v>10125301</v>
      </c>
      <c r="B1360" s="1" t="s">
        <v>29</v>
      </c>
      <c r="C1360" s="1" t="s">
        <v>30</v>
      </c>
      <c r="D1360" s="1" t="s">
        <v>505</v>
      </c>
      <c r="E1360" s="1" t="s">
        <v>506</v>
      </c>
      <c r="F1360" s="1" t="s">
        <v>32</v>
      </c>
      <c r="G1360" s="1" t="s">
        <v>507</v>
      </c>
      <c r="H1360" s="1">
        <v>481</v>
      </c>
      <c r="I1360" s="1" t="s">
        <v>108</v>
      </c>
      <c r="J1360" s="1">
        <v>3</v>
      </c>
      <c r="K1360" s="1" t="s">
        <v>35</v>
      </c>
      <c r="L1360" s="1">
        <v>42</v>
      </c>
      <c r="M1360" s="1" t="str">
        <f>IF(L1360&lt;=45,"Joven","Mayor")</f>
        <v>Joven</v>
      </c>
      <c r="N1360" s="1">
        <v>55</v>
      </c>
      <c r="O1360" s="1" t="s">
        <v>36</v>
      </c>
      <c r="P1360" s="1">
        <v>0.35899999999999999</v>
      </c>
      <c r="Q1360" s="1">
        <v>94.307000000000002</v>
      </c>
      <c r="R1360" s="1">
        <v>1.1268138999999999</v>
      </c>
      <c r="S1360" s="1">
        <v>0.76862589999999997</v>
      </c>
      <c r="T1360" s="1">
        <v>-1.4870957</v>
      </c>
      <c r="U1360" s="1">
        <v>0.60399999999999998</v>
      </c>
      <c r="V1360" s="1">
        <v>85</v>
      </c>
      <c r="W1360" s="1">
        <v>159</v>
      </c>
      <c r="X1360" s="1">
        <v>1.8705882352941177</v>
      </c>
      <c r="Y1360" s="1">
        <v>86</v>
      </c>
      <c r="Z1360" s="1">
        <v>159</v>
      </c>
      <c r="AA1360" s="1">
        <v>1.8488372093023255</v>
      </c>
      <c r="AB1360" s="1">
        <v>86.08729909605222</v>
      </c>
      <c r="AC1360" s="1">
        <v>158.97239984863151</v>
      </c>
      <c r="AD1360" s="1">
        <v>1.8466417406272377</v>
      </c>
      <c r="AE1360" t="s">
        <v>4817</v>
      </c>
      <c r="AF1360" t="str">
        <f>IF(X1360&lt;$AF$1,"Bajo","Alto")</f>
        <v>Alto</v>
      </c>
      <c r="AG1360" t="str">
        <f>LEFT(AE1360,1)</f>
        <v>C</v>
      </c>
      <c r="AH1360" t="str">
        <f>K1360</f>
        <v>M</v>
      </c>
      <c r="AI1360" t="str">
        <f>LEFT(AF1360,1)</f>
        <v>A</v>
      </c>
      <c r="AJ1360" t="str">
        <f>LEFT(M1360,1)</f>
        <v>J</v>
      </c>
      <c r="AK1360" t="str">
        <f>_xlfn.CONCAT(AG1360,AH1360,AI1360,AJ1360)</f>
        <v>CMAJ</v>
      </c>
    </row>
    <row r="1361" spans="1:37" ht="15.75" hidden="1" customHeight="1" x14ac:dyDescent="0.2">
      <c r="A1361" s="1">
        <v>520101</v>
      </c>
      <c r="B1361" s="1" t="s">
        <v>4529</v>
      </c>
      <c r="C1361" s="1" t="s">
        <v>685</v>
      </c>
      <c r="D1361" s="1" t="s">
        <v>4530</v>
      </c>
      <c r="E1361" s="1" t="s">
        <v>32</v>
      </c>
      <c r="F1361" s="1" t="s">
        <v>32</v>
      </c>
      <c r="G1361" s="1" t="s">
        <v>4531</v>
      </c>
      <c r="H1361" s="1">
        <v>4049</v>
      </c>
      <c r="I1361" s="1" t="s">
        <v>87</v>
      </c>
      <c r="J1361" s="1">
        <v>14</v>
      </c>
      <c r="K1361" s="1" t="s">
        <v>35</v>
      </c>
      <c r="L1361" s="1">
        <v>49</v>
      </c>
      <c r="M1361" s="1" t="str">
        <f>IF(L1361&lt;=45,"Joven","Mayor")</f>
        <v>Mayor</v>
      </c>
      <c r="N1361" s="1">
        <v>57</v>
      </c>
      <c r="O1361" s="1" t="s">
        <v>36</v>
      </c>
      <c r="P1361" s="1">
        <v>0.35699999999999998</v>
      </c>
      <c r="Q1361" s="1">
        <v>89.466999999999999</v>
      </c>
      <c r="R1361" s="1">
        <v>-3.3160721999999998</v>
      </c>
      <c r="S1361" s="1">
        <v>9.8748140000000006</v>
      </c>
      <c r="T1361" s="1">
        <v>13.486131</v>
      </c>
      <c r="U1361" s="1">
        <v>2.77</v>
      </c>
      <c r="V1361" s="1">
        <v>97</v>
      </c>
      <c r="W1361" s="1">
        <v>180</v>
      </c>
      <c r="X1361" s="1">
        <v>1.8556701030927836</v>
      </c>
      <c r="Y1361" s="1">
        <v>114</v>
      </c>
      <c r="Z1361" s="1">
        <v>180</v>
      </c>
      <c r="AA1361" s="1">
        <v>1.5789473684210527</v>
      </c>
      <c r="AB1361" s="1">
        <v>107.8515399191178</v>
      </c>
      <c r="AC1361" s="1">
        <v>182.96589143783009</v>
      </c>
      <c r="AD1361" s="1">
        <v>1.6964606307433678</v>
      </c>
      <c r="AE1361" t="s">
        <v>4816</v>
      </c>
      <c r="AF1361" t="str">
        <f>IF(X1361&lt;$AF$1,"Bajo","Alto")</f>
        <v>Alto</v>
      </c>
      <c r="AG1361" t="str">
        <f>LEFT(AE1361,1)</f>
        <v>D</v>
      </c>
      <c r="AH1361" t="str">
        <f>K1361</f>
        <v>M</v>
      </c>
      <c r="AI1361" t="str">
        <f>LEFT(AF1361,1)</f>
        <v>A</v>
      </c>
      <c r="AJ1361" t="str">
        <f>LEFT(M1361,1)</f>
        <v>M</v>
      </c>
      <c r="AK1361" t="str">
        <f>_xlfn.CONCAT(AG1361,AH1361,AI1361,AJ1361)</f>
        <v>DMAM</v>
      </c>
    </row>
    <row r="1362" spans="1:37" ht="15.75" hidden="1" customHeight="1" x14ac:dyDescent="0.2">
      <c r="A1362" s="1">
        <v>195502</v>
      </c>
      <c r="B1362" s="1" t="s">
        <v>2656</v>
      </c>
      <c r="C1362" s="1" t="s">
        <v>323</v>
      </c>
      <c r="D1362" s="1" t="s">
        <v>2747</v>
      </c>
      <c r="E1362" s="1" t="s">
        <v>690</v>
      </c>
      <c r="F1362" s="1" t="s">
        <v>37</v>
      </c>
      <c r="G1362" s="1" t="s">
        <v>2748</v>
      </c>
      <c r="H1362" s="1">
        <v>83</v>
      </c>
      <c r="I1362" s="1" t="s">
        <v>42</v>
      </c>
      <c r="J1362" s="1">
        <v>15</v>
      </c>
      <c r="K1362" s="1" t="s">
        <v>35</v>
      </c>
      <c r="L1362" s="1">
        <v>46</v>
      </c>
      <c r="M1362" s="1" t="str">
        <f>IF(L1362&lt;=45,"Joven","Mayor")</f>
        <v>Mayor</v>
      </c>
      <c r="N1362" s="1">
        <v>58</v>
      </c>
      <c r="O1362" s="1" t="s">
        <v>36</v>
      </c>
      <c r="P1362" s="1">
        <v>0.16</v>
      </c>
      <c r="Q1362" s="1">
        <v>53.119</v>
      </c>
      <c r="R1362" s="1">
        <v>15.552562999999999</v>
      </c>
      <c r="S1362" s="1">
        <v>-2.477938</v>
      </c>
      <c r="T1362" s="1">
        <v>-0.55223935999999996</v>
      </c>
      <c r="U1362" s="1">
        <v>3.0470000000000002</v>
      </c>
      <c r="V1362" s="1">
        <v>125</v>
      </c>
      <c r="W1362" s="1">
        <v>233</v>
      </c>
      <c r="X1362" s="1">
        <v>1.8640000000000001</v>
      </c>
      <c r="Y1362" s="1">
        <v>130</v>
      </c>
      <c r="Z1362" s="1">
        <v>233</v>
      </c>
      <c r="AA1362" s="1">
        <v>1.7923076923076924</v>
      </c>
      <c r="AB1362" s="1">
        <v>129.4253051281421</v>
      </c>
      <c r="AC1362" s="1">
        <v>232.95062440646419</v>
      </c>
      <c r="AD1362" s="1">
        <v>1.7998846838786524</v>
      </c>
      <c r="AE1362" t="s">
        <v>4817</v>
      </c>
      <c r="AF1362" t="str">
        <f>IF(X1362&lt;$AF$1,"Bajo","Alto")</f>
        <v>Alto</v>
      </c>
      <c r="AG1362" t="str">
        <f>LEFT(AE1362,1)</f>
        <v>C</v>
      </c>
      <c r="AH1362" t="str">
        <f>K1362</f>
        <v>M</v>
      </c>
      <c r="AI1362" t="str">
        <f>LEFT(AF1362,1)</f>
        <v>A</v>
      </c>
      <c r="AJ1362" t="str">
        <f>LEFT(M1362,1)</f>
        <v>M</v>
      </c>
      <c r="AK1362" t="str">
        <f>_xlfn.CONCAT(AG1362,AH1362,AI1362,AJ1362)</f>
        <v>CMAM</v>
      </c>
    </row>
    <row r="1363" spans="1:37" ht="15.75" hidden="1" customHeight="1" x14ac:dyDescent="0.2">
      <c r="A1363" s="1">
        <v>299402</v>
      </c>
      <c r="B1363" s="1" t="s">
        <v>3890</v>
      </c>
      <c r="C1363" s="1" t="s">
        <v>1695</v>
      </c>
      <c r="D1363" s="1" t="s">
        <v>4114</v>
      </c>
      <c r="E1363" s="1" t="s">
        <v>775</v>
      </c>
      <c r="F1363" s="1" t="s">
        <v>37</v>
      </c>
      <c r="G1363" s="1" t="s">
        <v>4115</v>
      </c>
      <c r="H1363" s="1">
        <v>30</v>
      </c>
      <c r="I1363" s="1" t="s">
        <v>42</v>
      </c>
      <c r="J1363" s="1">
        <v>15</v>
      </c>
      <c r="K1363" s="1" t="s">
        <v>35</v>
      </c>
      <c r="L1363" s="1">
        <v>67</v>
      </c>
      <c r="M1363" s="1" t="str">
        <f>IF(L1363&lt;=45,"Joven","Mayor")</f>
        <v>Mayor</v>
      </c>
      <c r="N1363" s="1">
        <v>71</v>
      </c>
      <c r="O1363" s="1" t="s">
        <v>36</v>
      </c>
      <c r="P1363" s="1">
        <v>0.246</v>
      </c>
      <c r="Q1363" s="1">
        <v>94.617999999999995</v>
      </c>
      <c r="R1363" s="1">
        <v>0.46636270000000002</v>
      </c>
      <c r="S1363" s="1">
        <v>0.94091999999999998</v>
      </c>
      <c r="T1363" s="1">
        <v>-2.9949808</v>
      </c>
      <c r="U1363" s="1">
        <v>0.249</v>
      </c>
      <c r="V1363" s="1">
        <v>99</v>
      </c>
      <c r="W1363" s="1">
        <v>165</v>
      </c>
      <c r="X1363" s="1">
        <v>1.6666666666666667</v>
      </c>
      <c r="Y1363" s="1">
        <v>100</v>
      </c>
      <c r="Z1363" s="1">
        <v>165</v>
      </c>
      <c r="AA1363" s="1">
        <v>1.65</v>
      </c>
      <c r="AB1363" s="1">
        <v>101.5294496489155</v>
      </c>
      <c r="AC1363" s="1">
        <v>165.24486535047839</v>
      </c>
      <c r="AD1363" s="1">
        <v>1.6275560039169725</v>
      </c>
      <c r="AE1363" t="s">
        <v>4817</v>
      </c>
      <c r="AF1363" t="str">
        <f>IF(X1363&lt;$AF$1,"Bajo","Alto")</f>
        <v>Bajo</v>
      </c>
      <c r="AG1363" t="str">
        <f>LEFT(AE1363,1)</f>
        <v>C</v>
      </c>
      <c r="AH1363" t="str">
        <f>K1363</f>
        <v>M</v>
      </c>
      <c r="AI1363" t="str">
        <f>LEFT(AF1363,1)</f>
        <v>B</v>
      </c>
      <c r="AJ1363" t="str">
        <f>LEFT(M1363,1)</f>
        <v>M</v>
      </c>
      <c r="AK1363" t="str">
        <f>_xlfn.CONCAT(AG1363,AH1363,AI1363,AJ1363)</f>
        <v>CMBM</v>
      </c>
    </row>
    <row r="1364" spans="1:37" ht="15.75" hidden="1" customHeight="1" x14ac:dyDescent="0.2">
      <c r="A1364" s="1">
        <v>293103</v>
      </c>
      <c r="B1364" s="1" t="s">
        <v>3890</v>
      </c>
      <c r="C1364" s="1" t="s">
        <v>1695</v>
      </c>
      <c r="D1364" s="1" t="s">
        <v>3991</v>
      </c>
      <c r="E1364" s="1" t="s">
        <v>628</v>
      </c>
      <c r="F1364" s="1" t="s">
        <v>63</v>
      </c>
      <c r="G1364" s="1" t="s">
        <v>3994</v>
      </c>
      <c r="H1364" s="1">
        <v>120</v>
      </c>
      <c r="I1364" s="1" t="s">
        <v>294</v>
      </c>
      <c r="J1364" s="1">
        <v>16</v>
      </c>
      <c r="K1364" s="1" t="s">
        <v>35</v>
      </c>
      <c r="L1364" s="1">
        <v>33</v>
      </c>
      <c r="M1364" s="1" t="str">
        <f>IF(L1364&lt;=45,"Joven","Mayor")</f>
        <v>Joven</v>
      </c>
      <c r="N1364" s="1">
        <v>40</v>
      </c>
      <c r="O1364" s="1" t="s">
        <v>36</v>
      </c>
      <c r="P1364" s="1">
        <v>0.371</v>
      </c>
      <c r="Q1364" s="1">
        <v>91.653999999999996</v>
      </c>
      <c r="R1364" s="1">
        <v>3.3199158</v>
      </c>
      <c r="S1364" s="1">
        <v>5.4340999999999999</v>
      </c>
      <c r="T1364" s="1">
        <v>3.5369999999999999</v>
      </c>
      <c r="U1364" s="1">
        <v>2.6379999999999999</v>
      </c>
      <c r="V1364" s="1">
        <v>97</v>
      </c>
      <c r="W1364" s="1">
        <v>163</v>
      </c>
      <c r="X1364" s="1">
        <v>1.6804123711340206</v>
      </c>
      <c r="Y1364" s="1">
        <v>98</v>
      </c>
      <c r="Z1364" s="1">
        <v>163</v>
      </c>
      <c r="AA1364" s="1">
        <v>1.6632653061224489</v>
      </c>
      <c r="AB1364" s="1">
        <v>99.529727326927514</v>
      </c>
      <c r="AC1364" s="1">
        <v>162.81289838900329</v>
      </c>
      <c r="AD1364" s="1">
        <v>1.6358218068277042</v>
      </c>
      <c r="AE1364" t="s">
        <v>4817</v>
      </c>
      <c r="AF1364" t="str">
        <f>IF(X1364&lt;$AF$1,"Bajo","Alto")</f>
        <v>Bajo</v>
      </c>
      <c r="AG1364" t="str">
        <f>LEFT(AE1364,1)</f>
        <v>C</v>
      </c>
      <c r="AH1364" t="str">
        <f>K1364</f>
        <v>M</v>
      </c>
      <c r="AI1364" t="str">
        <f>LEFT(AF1364,1)</f>
        <v>B</v>
      </c>
      <c r="AJ1364" t="str">
        <f>LEFT(M1364,1)</f>
        <v>J</v>
      </c>
      <c r="AK1364" t="str">
        <f>_xlfn.CONCAT(AG1364,AH1364,AI1364,AJ1364)</f>
        <v>CMBJ</v>
      </c>
    </row>
    <row r="1365" spans="1:37" ht="15.75" hidden="1" customHeight="1" x14ac:dyDescent="0.2">
      <c r="A1365" s="1">
        <v>278803</v>
      </c>
      <c r="B1365" s="1" t="s">
        <v>3409</v>
      </c>
      <c r="C1365" s="1" t="s">
        <v>973</v>
      </c>
      <c r="D1365" s="1" t="s">
        <v>3754</v>
      </c>
      <c r="E1365" s="1" t="s">
        <v>763</v>
      </c>
      <c r="F1365" s="1" t="s">
        <v>63</v>
      </c>
      <c r="G1365" s="1" t="s">
        <v>3758</v>
      </c>
      <c r="H1365" s="1">
        <v>719</v>
      </c>
      <c r="I1365" s="1" t="s">
        <v>3759</v>
      </c>
      <c r="J1365" s="1">
        <v>3927</v>
      </c>
      <c r="K1365" s="1" t="s">
        <v>35</v>
      </c>
      <c r="L1365" s="1">
        <v>46</v>
      </c>
      <c r="M1365" s="1" t="str">
        <f>IF(L1365&lt;=45,"Joven","Mayor")</f>
        <v>Mayor</v>
      </c>
      <c r="N1365" s="1">
        <v>50</v>
      </c>
      <c r="O1365" s="1" t="s">
        <v>36</v>
      </c>
      <c r="P1365" s="1">
        <v>0.34799999999999998</v>
      </c>
      <c r="Q1365" s="1">
        <v>91.977000000000004</v>
      </c>
      <c r="R1365" s="1">
        <v>2.8935602</v>
      </c>
      <c r="S1365" s="1">
        <v>5.5684294999999997</v>
      </c>
      <c r="T1365" s="1">
        <v>0.20731042</v>
      </c>
      <c r="U1365" s="1">
        <v>2.9380000000000002</v>
      </c>
      <c r="V1365" s="1">
        <v>103</v>
      </c>
      <c r="W1365" s="1">
        <v>172</v>
      </c>
      <c r="X1365" s="1">
        <v>1.6699029126213591</v>
      </c>
      <c r="Y1365" s="1">
        <v>104</v>
      </c>
      <c r="Z1365" s="1">
        <v>172</v>
      </c>
      <c r="AA1365" s="1">
        <v>1.6538461538461537</v>
      </c>
      <c r="AB1365" s="1">
        <v>103.8473530875187</v>
      </c>
      <c r="AC1365" s="1">
        <v>172.0097288370803</v>
      </c>
      <c r="AD1365" s="1">
        <v>1.6563708532091028</v>
      </c>
      <c r="AE1365" t="s">
        <v>4817</v>
      </c>
      <c r="AF1365" t="str">
        <f>IF(X1365&lt;$AF$1,"Bajo","Alto")</f>
        <v>Bajo</v>
      </c>
      <c r="AG1365" t="str">
        <f>LEFT(AE1365,1)</f>
        <v>C</v>
      </c>
      <c r="AH1365" t="str">
        <f>K1365</f>
        <v>M</v>
      </c>
      <c r="AI1365" t="str">
        <f>LEFT(AF1365,1)</f>
        <v>B</v>
      </c>
      <c r="AJ1365" t="str">
        <f>LEFT(M1365,1)</f>
        <v>M</v>
      </c>
      <c r="AK1365" t="str">
        <f>_xlfn.CONCAT(AG1365,AH1365,AI1365,AJ1365)</f>
        <v>CMBM</v>
      </c>
    </row>
    <row r="1366" spans="1:37" ht="15.75" hidden="1" customHeight="1" x14ac:dyDescent="0.2">
      <c r="A1366" s="1">
        <v>440104</v>
      </c>
      <c r="B1366" s="1" t="s">
        <v>4314</v>
      </c>
      <c r="C1366" s="1" t="s">
        <v>995</v>
      </c>
      <c r="D1366" s="1" t="s">
        <v>1687</v>
      </c>
      <c r="E1366" s="1" t="s">
        <v>32</v>
      </c>
      <c r="F1366" s="1" t="s">
        <v>61</v>
      </c>
      <c r="G1366" s="1" t="s">
        <v>4316</v>
      </c>
      <c r="H1366" s="1">
        <v>6826</v>
      </c>
      <c r="I1366" s="1" t="s">
        <v>4317</v>
      </c>
      <c r="J1366" s="1">
        <v>3676</v>
      </c>
      <c r="K1366" s="1" t="s">
        <v>35</v>
      </c>
      <c r="L1366" s="1">
        <v>40</v>
      </c>
      <c r="M1366" s="1" t="str">
        <f>IF(L1366&lt;=45,"Joven","Mayor")</f>
        <v>Joven</v>
      </c>
      <c r="N1366" s="1">
        <v>46</v>
      </c>
      <c r="O1366" s="1" t="s">
        <v>36</v>
      </c>
      <c r="P1366" s="1">
        <v>0.37</v>
      </c>
      <c r="Q1366" s="1">
        <v>81.400999999999996</v>
      </c>
      <c r="R1366" s="1">
        <v>10.256664000000001</v>
      </c>
      <c r="S1366" s="1">
        <v>-0.63069370000000002</v>
      </c>
      <c r="T1366" s="1">
        <v>-3.9087540000000001</v>
      </c>
      <c r="U1366" s="1">
        <v>84.203000000000003</v>
      </c>
      <c r="V1366" s="1">
        <v>97</v>
      </c>
      <c r="W1366" s="1">
        <v>163</v>
      </c>
      <c r="X1366" s="1">
        <v>1.6804123711340206</v>
      </c>
      <c r="Y1366" s="1">
        <v>98</v>
      </c>
      <c r="Z1366" s="1">
        <v>163</v>
      </c>
      <c r="AA1366" s="1">
        <v>1.6632653061224489</v>
      </c>
      <c r="AB1366" s="1">
        <v>99.841913411893302</v>
      </c>
      <c r="AC1366" s="1">
        <v>162.6208416899276</v>
      </c>
      <c r="AD1366" s="1">
        <v>1.6287833048535705</v>
      </c>
      <c r="AE1366" t="s">
        <v>4817</v>
      </c>
      <c r="AF1366" t="str">
        <f>IF(X1366&lt;$AF$1,"Bajo","Alto")</f>
        <v>Bajo</v>
      </c>
      <c r="AG1366" t="str">
        <f>LEFT(AE1366,1)</f>
        <v>C</v>
      </c>
      <c r="AH1366" t="str">
        <f>K1366</f>
        <v>M</v>
      </c>
      <c r="AI1366" t="str">
        <f>LEFT(AF1366,1)</f>
        <v>B</v>
      </c>
      <c r="AJ1366" t="str">
        <f>LEFT(M1366,1)</f>
        <v>J</v>
      </c>
      <c r="AK1366" t="str">
        <f>_xlfn.CONCAT(AG1366,AH1366,AI1366,AJ1366)</f>
        <v>CMBJ</v>
      </c>
    </row>
    <row r="1367" spans="1:37" ht="15.75" hidden="1" customHeight="1" x14ac:dyDescent="0.2">
      <c r="A1367" s="1">
        <v>1055905</v>
      </c>
      <c r="B1367" s="1" t="s">
        <v>694</v>
      </c>
      <c r="C1367" s="1" t="s">
        <v>879</v>
      </c>
      <c r="D1367" s="1" t="s">
        <v>1004</v>
      </c>
      <c r="E1367" s="1" t="s">
        <v>1005</v>
      </c>
      <c r="F1367" s="1" t="s">
        <v>40</v>
      </c>
      <c r="G1367" s="1" t="s">
        <v>1007</v>
      </c>
      <c r="H1367" s="1">
        <v>6590</v>
      </c>
      <c r="I1367" s="1" t="s">
        <v>1008</v>
      </c>
      <c r="J1367" s="1">
        <v>2068</v>
      </c>
      <c r="K1367" s="1" t="s">
        <v>35</v>
      </c>
      <c r="L1367" s="1">
        <v>55</v>
      </c>
      <c r="M1367" s="1" t="str">
        <f>IF(L1367&lt;=45,"Joven","Mayor")</f>
        <v>Mayor</v>
      </c>
      <c r="N1367" s="1">
        <v>50</v>
      </c>
      <c r="O1367" s="1" t="s">
        <v>36</v>
      </c>
      <c r="P1367" s="1">
        <v>3.306</v>
      </c>
      <c r="Q1367" s="1">
        <v>86.165000000000006</v>
      </c>
      <c r="R1367" s="1">
        <v>6.2439723000000003</v>
      </c>
      <c r="S1367" s="1">
        <v>-6.723808</v>
      </c>
      <c r="T1367" s="1">
        <v>-5.6681220000000003</v>
      </c>
      <c r="U1367" s="1">
        <v>4.968</v>
      </c>
      <c r="V1367" s="1">
        <v>73</v>
      </c>
      <c r="W1367" s="1">
        <v>136</v>
      </c>
      <c r="X1367" s="1">
        <v>1.8630136986301369</v>
      </c>
      <c r="Y1367" s="1">
        <v>77</v>
      </c>
      <c r="Z1367" s="1">
        <v>136</v>
      </c>
      <c r="AA1367" s="1">
        <v>1.7662337662337662</v>
      </c>
      <c r="AB1367" s="1">
        <v>76.3961914341794</v>
      </c>
      <c r="AC1367" s="1">
        <v>136.4214790128685</v>
      </c>
      <c r="AD1367" s="1">
        <v>1.7857104713185217</v>
      </c>
      <c r="AE1367" t="s">
        <v>4817</v>
      </c>
      <c r="AF1367" t="str">
        <f>IF(X1367&lt;$AF$1,"Bajo","Alto")</f>
        <v>Alto</v>
      </c>
      <c r="AG1367" t="str">
        <f>LEFT(AE1367,1)</f>
        <v>C</v>
      </c>
      <c r="AH1367" t="str">
        <f>K1367</f>
        <v>M</v>
      </c>
      <c r="AI1367" t="str">
        <f>LEFT(AF1367,1)</f>
        <v>A</v>
      </c>
      <c r="AJ1367" t="str">
        <f>LEFT(M1367,1)</f>
        <v>M</v>
      </c>
      <c r="AK1367" t="str">
        <f>_xlfn.CONCAT(AG1367,AH1367,AI1367,AJ1367)</f>
        <v>CMAM</v>
      </c>
    </row>
    <row r="1368" spans="1:37" ht="15.75" hidden="1" customHeight="1" x14ac:dyDescent="0.2">
      <c r="A1368" s="1">
        <v>10110301</v>
      </c>
      <c r="B1368" s="1" t="s">
        <v>29</v>
      </c>
      <c r="C1368" s="1" t="s">
        <v>30</v>
      </c>
      <c r="D1368" s="1" t="s">
        <v>80</v>
      </c>
      <c r="E1368" s="1" t="s">
        <v>81</v>
      </c>
      <c r="F1368" s="1" t="s">
        <v>32</v>
      </c>
      <c r="G1368" s="1" t="s">
        <v>82</v>
      </c>
      <c r="H1368" s="1">
        <v>763</v>
      </c>
      <c r="I1368" s="1" t="s">
        <v>34</v>
      </c>
      <c r="J1368" s="1">
        <v>10</v>
      </c>
      <c r="K1368" s="1" t="s">
        <v>35</v>
      </c>
      <c r="L1368" s="1">
        <v>42</v>
      </c>
      <c r="M1368" s="1" t="str">
        <f>IF(L1368&lt;=45,"Joven","Mayor")</f>
        <v>Joven</v>
      </c>
      <c r="N1368" s="1">
        <v>28</v>
      </c>
      <c r="O1368" s="1" t="s">
        <v>36</v>
      </c>
      <c r="P1368" s="1">
        <v>9.7000000000000003E-2</v>
      </c>
      <c r="Q1368" s="1">
        <v>93.677999999999997</v>
      </c>
      <c r="R1368" s="1">
        <v>0.91081089999999998</v>
      </c>
      <c r="S1368" s="1">
        <v>4.5848874999999998</v>
      </c>
      <c r="T1368" s="1">
        <v>5.8291563999999996</v>
      </c>
      <c r="U1368" s="1">
        <v>39.664000000000001</v>
      </c>
      <c r="V1368" s="1">
        <v>95</v>
      </c>
      <c r="W1368" s="1">
        <v>175</v>
      </c>
      <c r="X1368" s="1">
        <v>1.8421052631578947</v>
      </c>
      <c r="Y1368" s="1">
        <v>96</v>
      </c>
      <c r="Z1368" s="1">
        <v>175</v>
      </c>
      <c r="AA1368" s="1">
        <v>1.8229166666666667</v>
      </c>
      <c r="AB1368" s="1">
        <v>99.079084660537092</v>
      </c>
      <c r="AC1368" s="1">
        <v>175.21229021665701</v>
      </c>
      <c r="AD1368" s="1">
        <v>1.7684084468176717</v>
      </c>
      <c r="AE1368" t="s">
        <v>4815</v>
      </c>
      <c r="AF1368" t="str">
        <f>IF(X1368&lt;$AF$1,"Bajo","Alto")</f>
        <v>Alto</v>
      </c>
      <c r="AG1368" t="str">
        <f>LEFT(AE1368,1)</f>
        <v>I</v>
      </c>
      <c r="AH1368" t="str">
        <f>K1368</f>
        <v>M</v>
      </c>
      <c r="AI1368" t="str">
        <f>LEFT(AF1368,1)</f>
        <v>A</v>
      </c>
      <c r="AJ1368" t="str">
        <f>LEFT(M1368,1)</f>
        <v>J</v>
      </c>
      <c r="AK1368" t="str">
        <f>_xlfn.CONCAT(AG1368,AH1368,AI1368,AJ1368)</f>
        <v>IMAJ</v>
      </c>
    </row>
    <row r="1369" spans="1:37" ht="15.75" hidden="1" customHeight="1" x14ac:dyDescent="0.2">
      <c r="A1369" s="1">
        <v>1527104</v>
      </c>
      <c r="B1369" s="1" t="s">
        <v>2077</v>
      </c>
      <c r="C1369" s="1" t="s">
        <v>57</v>
      </c>
      <c r="D1369" s="1" t="s">
        <v>2328</v>
      </c>
      <c r="E1369" s="1" t="s">
        <v>546</v>
      </c>
      <c r="F1369" s="1" t="s">
        <v>61</v>
      </c>
      <c r="G1369" s="1" t="s">
        <v>2332</v>
      </c>
      <c r="H1369" s="1">
        <v>2708</v>
      </c>
      <c r="I1369" s="1" t="s">
        <v>294</v>
      </c>
      <c r="J1369" s="1">
        <v>16</v>
      </c>
      <c r="K1369" s="1" t="s">
        <v>35</v>
      </c>
      <c r="L1369" s="1">
        <v>38</v>
      </c>
      <c r="M1369" s="1" t="str">
        <f>IF(L1369&lt;=45,"Joven","Mayor")</f>
        <v>Joven</v>
      </c>
      <c r="N1369" s="1">
        <v>51</v>
      </c>
      <c r="O1369" s="1" t="s">
        <v>36</v>
      </c>
      <c r="P1369" s="1">
        <v>0.47599999999999998</v>
      </c>
      <c r="Q1369" s="1">
        <v>93.738</v>
      </c>
      <c r="R1369" s="1">
        <v>0.39317723999999998</v>
      </c>
      <c r="S1369" s="1">
        <v>5.0165369999999996</v>
      </c>
      <c r="T1369" s="1">
        <v>-2.4719730000000002</v>
      </c>
      <c r="U1369" s="1">
        <v>0.82099999999999995</v>
      </c>
      <c r="V1369" s="1">
        <v>72</v>
      </c>
      <c r="W1369" s="1">
        <v>121</v>
      </c>
      <c r="X1369" s="1">
        <v>1.6805555555555556</v>
      </c>
      <c r="Y1369" s="1">
        <v>73</v>
      </c>
      <c r="Z1369" s="1">
        <v>121</v>
      </c>
      <c r="AA1369" s="1">
        <v>1.6575342465753424</v>
      </c>
      <c r="AB1369" s="1">
        <v>73.442573563494079</v>
      </c>
      <c r="AC1369" s="1">
        <v>120.9305328110036</v>
      </c>
      <c r="AD1369" s="1">
        <v>1.6465998799246089</v>
      </c>
      <c r="AE1369" t="s">
        <v>4817</v>
      </c>
      <c r="AF1369" t="str">
        <f>IF(X1369&lt;$AF$1,"Bajo","Alto")</f>
        <v>Bajo</v>
      </c>
      <c r="AG1369" t="str">
        <f>LEFT(AE1369,1)</f>
        <v>C</v>
      </c>
      <c r="AH1369" t="str">
        <f>K1369</f>
        <v>M</v>
      </c>
      <c r="AI1369" t="str">
        <f>LEFT(AF1369,1)</f>
        <v>B</v>
      </c>
      <c r="AJ1369" t="str">
        <f>LEFT(M1369,1)</f>
        <v>J</v>
      </c>
      <c r="AK1369" t="str">
        <f>_xlfn.CONCAT(AG1369,AH1369,AI1369,AJ1369)</f>
        <v>CMBJ</v>
      </c>
    </row>
    <row r="1370" spans="1:37" ht="15.75" hidden="1" customHeight="1" x14ac:dyDescent="0.2">
      <c r="A1370" s="1">
        <v>10129103</v>
      </c>
      <c r="B1370" s="1" t="s">
        <v>29</v>
      </c>
      <c r="C1370" s="1" t="s">
        <v>30</v>
      </c>
      <c r="D1370" s="1" t="s">
        <v>589</v>
      </c>
      <c r="E1370" s="1" t="s">
        <v>590</v>
      </c>
      <c r="F1370" s="1" t="s">
        <v>63</v>
      </c>
      <c r="G1370" s="1" t="s">
        <v>591</v>
      </c>
      <c r="H1370" s="1">
        <v>1826</v>
      </c>
      <c r="I1370" s="1" t="s">
        <v>592</v>
      </c>
      <c r="J1370" s="1">
        <v>2942</v>
      </c>
      <c r="K1370" s="1" t="s">
        <v>35</v>
      </c>
      <c r="L1370" s="1">
        <v>44</v>
      </c>
      <c r="M1370" s="1" t="str">
        <f>IF(L1370&lt;=45,"Joven","Mayor")</f>
        <v>Joven</v>
      </c>
      <c r="N1370" s="1">
        <v>35</v>
      </c>
      <c r="O1370" s="1" t="s">
        <v>36</v>
      </c>
      <c r="P1370" s="1">
        <v>0.59099999999999997</v>
      </c>
      <c r="Q1370" s="1">
        <v>76.266000000000005</v>
      </c>
      <c r="R1370" s="1">
        <v>11.259117</v>
      </c>
      <c r="S1370" s="1">
        <v>3.5265949999999999</v>
      </c>
      <c r="T1370" s="1">
        <v>-8.2553070000000002</v>
      </c>
      <c r="U1370" s="1">
        <v>2.1549999999999998</v>
      </c>
      <c r="V1370" s="1">
        <v>85</v>
      </c>
      <c r="W1370" s="1">
        <v>159</v>
      </c>
      <c r="X1370" s="1">
        <v>1.8705882352941177</v>
      </c>
      <c r="Y1370" s="1">
        <v>90</v>
      </c>
      <c r="Z1370" s="1">
        <v>159</v>
      </c>
      <c r="AA1370" s="1">
        <v>1.7666666666666666</v>
      </c>
      <c r="AB1370" s="1">
        <v>90.724115011345475</v>
      </c>
      <c r="AC1370" s="1">
        <v>157.63962514319661</v>
      </c>
      <c r="AD1370" s="1">
        <v>1.7375713736472715</v>
      </c>
      <c r="AE1370" t="s">
        <v>4817</v>
      </c>
      <c r="AF1370" t="str">
        <f>IF(X1370&lt;$AF$1,"Bajo","Alto")</f>
        <v>Alto</v>
      </c>
      <c r="AG1370" t="str">
        <f>LEFT(AE1370,1)</f>
        <v>C</v>
      </c>
      <c r="AH1370" t="str">
        <f>K1370</f>
        <v>M</v>
      </c>
      <c r="AI1370" t="str">
        <f>LEFT(AF1370,1)</f>
        <v>A</v>
      </c>
      <c r="AJ1370" t="str">
        <f>LEFT(M1370,1)</f>
        <v>J</v>
      </c>
      <c r="AK1370" t="str">
        <f>_xlfn.CONCAT(AG1370,AH1370,AI1370,AJ1370)</f>
        <v>CMAJ</v>
      </c>
    </row>
    <row r="1371" spans="1:37" ht="15.75" hidden="1" customHeight="1" x14ac:dyDescent="0.2">
      <c r="A1371" s="1">
        <v>1237505</v>
      </c>
      <c r="B1371" s="1" t="s">
        <v>1798</v>
      </c>
      <c r="C1371" s="1" t="s">
        <v>54</v>
      </c>
      <c r="D1371" s="1" t="s">
        <v>1832</v>
      </c>
      <c r="E1371" s="1" t="s">
        <v>1833</v>
      </c>
      <c r="F1371" s="1" t="s">
        <v>40</v>
      </c>
      <c r="G1371" s="1" t="s">
        <v>1836</v>
      </c>
      <c r="H1371" s="1">
        <v>7219</v>
      </c>
      <c r="I1371" s="1" t="s">
        <v>134</v>
      </c>
      <c r="J1371" s="1">
        <v>8</v>
      </c>
      <c r="K1371" s="1" t="s">
        <v>35</v>
      </c>
      <c r="L1371" s="1">
        <v>30</v>
      </c>
      <c r="M1371" s="1" t="str">
        <f>IF(L1371&lt;=45,"Joven","Mayor")</f>
        <v>Joven</v>
      </c>
      <c r="N1371" s="1">
        <v>38</v>
      </c>
      <c r="O1371" s="1" t="s">
        <v>36</v>
      </c>
      <c r="P1371" s="1">
        <v>0.34699999999999998</v>
      </c>
      <c r="Q1371" s="1">
        <v>89.457999999999998</v>
      </c>
      <c r="R1371" s="1">
        <v>5.4419903999999999</v>
      </c>
      <c r="S1371" s="1">
        <v>5.1737080000000004</v>
      </c>
      <c r="T1371" s="1">
        <v>-3.1205148999999999</v>
      </c>
      <c r="U1371" s="1">
        <v>9.1189999999999998</v>
      </c>
      <c r="V1371" s="1">
        <v>69</v>
      </c>
      <c r="W1371" s="1">
        <v>116</v>
      </c>
      <c r="X1371" s="1">
        <v>1.681159420289855</v>
      </c>
      <c r="Y1371" s="1">
        <v>70</v>
      </c>
      <c r="Z1371" s="1">
        <v>116</v>
      </c>
      <c r="AA1371" s="1">
        <v>1.6571428571428573</v>
      </c>
      <c r="AB1371" s="1">
        <v>70.802961619060397</v>
      </c>
      <c r="AC1371" s="1">
        <v>115.8824365565833</v>
      </c>
      <c r="AD1371" s="1">
        <v>1.6366891145043199</v>
      </c>
      <c r="AE1371" t="s">
        <v>4817</v>
      </c>
      <c r="AF1371" t="str">
        <f>IF(X1371&lt;$AF$1,"Bajo","Alto")</f>
        <v>Bajo</v>
      </c>
      <c r="AG1371" t="str">
        <f>LEFT(AE1371,1)</f>
        <v>C</v>
      </c>
      <c r="AH1371" t="str">
        <f>K1371</f>
        <v>M</v>
      </c>
      <c r="AI1371" t="str">
        <f>LEFT(AF1371,1)</f>
        <v>B</v>
      </c>
      <c r="AJ1371" t="str">
        <f>LEFT(M1371,1)</f>
        <v>J</v>
      </c>
      <c r="AK1371" t="str">
        <f>_xlfn.CONCAT(AG1371,AH1371,AI1371,AJ1371)</f>
        <v>CMBJ</v>
      </c>
    </row>
    <row r="1372" spans="1:37" ht="15.75" hidden="1" customHeight="1" x14ac:dyDescent="0.2">
      <c r="A1372" s="1">
        <v>481006</v>
      </c>
      <c r="B1372" s="1" t="s">
        <v>4465</v>
      </c>
      <c r="C1372" s="1" t="s">
        <v>2650</v>
      </c>
      <c r="D1372" s="1" t="s">
        <v>4496</v>
      </c>
      <c r="E1372" s="1" t="s">
        <v>75</v>
      </c>
      <c r="F1372" s="1" t="s">
        <v>88</v>
      </c>
      <c r="G1372" s="1" t="s">
        <v>4497</v>
      </c>
      <c r="H1372" s="1">
        <v>912</v>
      </c>
      <c r="I1372" s="1" t="s">
        <v>4498</v>
      </c>
      <c r="J1372" s="1">
        <v>2198</v>
      </c>
      <c r="K1372" s="1" t="s">
        <v>35</v>
      </c>
      <c r="L1372" s="1">
        <v>48</v>
      </c>
      <c r="M1372" s="1" t="str">
        <f>IF(L1372&lt;=45,"Joven","Mayor")</f>
        <v>Mayor</v>
      </c>
      <c r="N1372" s="1">
        <v>52</v>
      </c>
      <c r="O1372" s="1" t="s">
        <v>36</v>
      </c>
      <c r="P1372" s="1">
        <v>0.34</v>
      </c>
      <c r="Q1372" s="1">
        <v>91.378</v>
      </c>
      <c r="R1372" s="1">
        <v>4.84185</v>
      </c>
      <c r="S1372" s="1">
        <v>-1.5350509000000001</v>
      </c>
      <c r="T1372" s="1">
        <v>-5.4357657000000001</v>
      </c>
      <c r="U1372" s="1">
        <v>46.515000000000001</v>
      </c>
      <c r="V1372" s="1">
        <v>109</v>
      </c>
      <c r="W1372" s="1">
        <v>203</v>
      </c>
      <c r="X1372" s="1">
        <v>1.8623853211009174</v>
      </c>
      <c r="Y1372" s="1">
        <v>114</v>
      </c>
      <c r="Z1372" s="1">
        <v>203</v>
      </c>
      <c r="AA1372" s="1">
        <v>1.7807017543859649</v>
      </c>
      <c r="AB1372" s="1">
        <v>114.2883447602032</v>
      </c>
      <c r="AC1372" s="1">
        <v>202.9396819570029</v>
      </c>
      <c r="AD1372" s="1">
        <v>1.7756813468845454</v>
      </c>
      <c r="AE1372" t="s">
        <v>4817</v>
      </c>
      <c r="AF1372" t="str">
        <f>IF(X1372&lt;$AF$1,"Bajo","Alto")</f>
        <v>Alto</v>
      </c>
      <c r="AG1372" t="str">
        <f>LEFT(AE1372,1)</f>
        <v>C</v>
      </c>
      <c r="AH1372" t="str">
        <f>K1372</f>
        <v>M</v>
      </c>
      <c r="AI1372" t="str">
        <f>LEFT(AF1372,1)</f>
        <v>A</v>
      </c>
      <c r="AJ1372" t="str">
        <f>LEFT(M1372,1)</f>
        <v>M</v>
      </c>
      <c r="AK1372" t="str">
        <f>_xlfn.CONCAT(AG1372,AH1372,AI1372,AJ1372)</f>
        <v>CMAM</v>
      </c>
    </row>
    <row r="1373" spans="1:37" ht="15.75" hidden="1" customHeight="1" x14ac:dyDescent="0.2">
      <c r="A1373" s="1">
        <v>10123501</v>
      </c>
      <c r="B1373" s="1" t="s">
        <v>29</v>
      </c>
      <c r="C1373" s="1" t="s">
        <v>30</v>
      </c>
      <c r="D1373" s="1" t="s">
        <v>464</v>
      </c>
      <c r="E1373" s="1" t="s">
        <v>465</v>
      </c>
      <c r="F1373" s="1" t="s">
        <v>32</v>
      </c>
      <c r="G1373" s="1" t="s">
        <v>466</v>
      </c>
      <c r="H1373" s="1">
        <v>2747</v>
      </c>
      <c r="I1373" s="1" t="s">
        <v>39</v>
      </c>
      <c r="J1373" s="1">
        <v>11</v>
      </c>
      <c r="K1373" s="1" t="s">
        <v>35</v>
      </c>
      <c r="L1373" s="1">
        <v>55</v>
      </c>
      <c r="M1373" s="1" t="str">
        <f>IF(L1373&lt;=45,"Joven","Mayor")</f>
        <v>Mayor</v>
      </c>
      <c r="N1373" s="1">
        <v>60</v>
      </c>
      <c r="O1373" s="1" t="s">
        <v>36</v>
      </c>
      <c r="P1373" s="1">
        <v>0.42499999999999999</v>
      </c>
      <c r="Q1373" s="1">
        <v>70.313000000000002</v>
      </c>
      <c r="R1373" s="1">
        <v>12.481153000000001</v>
      </c>
      <c r="S1373" s="1">
        <v>-4.4587589999999997</v>
      </c>
      <c r="T1373" s="1">
        <v>-3.6259592</v>
      </c>
      <c r="U1373" s="1">
        <v>46.832999999999998</v>
      </c>
      <c r="V1373" s="1">
        <v>114</v>
      </c>
      <c r="W1373" s="1">
        <v>192</v>
      </c>
      <c r="X1373" s="1">
        <v>1.6842105263157894</v>
      </c>
      <c r="Y1373" s="1">
        <v>115</v>
      </c>
      <c r="Z1373" s="1">
        <v>192</v>
      </c>
      <c r="AA1373" s="1">
        <v>1.6695652173913043</v>
      </c>
      <c r="AB1373" s="1">
        <v>116.80744145117841</v>
      </c>
      <c r="AC1373" s="1">
        <v>191.29943657366579</v>
      </c>
      <c r="AD1373" s="1">
        <v>1.6377333001820995</v>
      </c>
      <c r="AE1373" t="s">
        <v>4816</v>
      </c>
      <c r="AF1373" t="str">
        <f>IF(X1373&lt;$AF$1,"Bajo","Alto")</f>
        <v>Bajo</v>
      </c>
      <c r="AG1373" t="str">
        <f>LEFT(AE1373,1)</f>
        <v>D</v>
      </c>
      <c r="AH1373" t="str">
        <f>K1373</f>
        <v>M</v>
      </c>
      <c r="AI1373" t="str">
        <f>LEFT(AF1373,1)</f>
        <v>B</v>
      </c>
      <c r="AJ1373" t="str">
        <f>LEFT(M1373,1)</f>
        <v>M</v>
      </c>
      <c r="AK1373" t="str">
        <f>_xlfn.CONCAT(AG1373,AH1373,AI1373,AJ1373)</f>
        <v>DMBM</v>
      </c>
    </row>
    <row r="1374" spans="1:37" ht="15.75" hidden="1" customHeight="1" x14ac:dyDescent="0.2">
      <c r="A1374" s="1">
        <v>1090401</v>
      </c>
      <c r="B1374" s="1" t="s">
        <v>719</v>
      </c>
      <c r="C1374" s="1" t="s">
        <v>98</v>
      </c>
      <c r="D1374" s="1" t="s">
        <v>1537</v>
      </c>
      <c r="E1374" s="1" t="s">
        <v>61</v>
      </c>
      <c r="F1374" s="1" t="s">
        <v>32</v>
      </c>
      <c r="G1374" s="1" t="s">
        <v>1538</v>
      </c>
      <c r="H1374" s="1">
        <v>3405</v>
      </c>
      <c r="I1374" s="1" t="s">
        <v>100</v>
      </c>
      <c r="J1374" s="1">
        <v>1</v>
      </c>
      <c r="K1374" s="1" t="s">
        <v>35</v>
      </c>
      <c r="L1374" s="1">
        <v>42</v>
      </c>
      <c r="M1374" s="1" t="str">
        <f>IF(L1374&lt;=45,"Joven","Mayor")</f>
        <v>Joven</v>
      </c>
      <c r="N1374" s="1">
        <v>46</v>
      </c>
      <c r="O1374" s="1" t="s">
        <v>36</v>
      </c>
      <c r="P1374" s="1">
        <v>1.5289999999999999</v>
      </c>
      <c r="Q1374" s="1">
        <v>91.266000000000005</v>
      </c>
      <c r="R1374" s="1">
        <v>-4.7618327000000003</v>
      </c>
      <c r="S1374" s="1">
        <v>-0.7488226</v>
      </c>
      <c r="T1374" s="1">
        <v>0.83384440000000004</v>
      </c>
      <c r="U1374" s="1">
        <v>10.441000000000001</v>
      </c>
      <c r="V1374" s="1">
        <v>85</v>
      </c>
      <c r="W1374" s="1">
        <v>159</v>
      </c>
      <c r="X1374" s="1">
        <v>1.8705882352941177</v>
      </c>
      <c r="Y1374" s="1">
        <v>87</v>
      </c>
      <c r="Z1374" s="1">
        <v>159</v>
      </c>
      <c r="AA1374" s="1">
        <v>1.8275862068965518</v>
      </c>
      <c r="AB1374" s="1">
        <v>87.514688281939243</v>
      </c>
      <c r="AC1374" s="1">
        <v>158.77942281218751</v>
      </c>
      <c r="AD1374" s="1">
        <v>1.8143174126457517</v>
      </c>
      <c r="AE1374" t="s">
        <v>4817</v>
      </c>
      <c r="AF1374" t="str">
        <f>IF(X1374&lt;$AF$1,"Bajo","Alto")</f>
        <v>Alto</v>
      </c>
      <c r="AG1374" t="str">
        <f>LEFT(AE1374,1)</f>
        <v>C</v>
      </c>
      <c r="AH1374" t="str">
        <f>K1374</f>
        <v>M</v>
      </c>
      <c r="AI1374" t="str">
        <f>LEFT(AF1374,1)</f>
        <v>A</v>
      </c>
      <c r="AJ1374" t="str">
        <f>LEFT(M1374,1)</f>
        <v>J</v>
      </c>
      <c r="AK1374" t="str">
        <f>_xlfn.CONCAT(AG1374,AH1374,AI1374,AJ1374)</f>
        <v>CMAJ</v>
      </c>
    </row>
    <row r="1375" spans="1:37" ht="15.75" hidden="1" customHeight="1" x14ac:dyDescent="0.2">
      <c r="A1375" s="1">
        <v>1033103</v>
      </c>
      <c r="B1375" s="1" t="s">
        <v>783</v>
      </c>
      <c r="C1375" s="1" t="s">
        <v>81</v>
      </c>
      <c r="D1375" s="1" t="s">
        <v>828</v>
      </c>
      <c r="E1375" s="1" t="s">
        <v>628</v>
      </c>
      <c r="F1375" s="1" t="s">
        <v>63</v>
      </c>
      <c r="G1375" s="1" t="s">
        <v>829</v>
      </c>
      <c r="H1375" s="1">
        <v>1464</v>
      </c>
      <c r="I1375" s="1" t="s">
        <v>108</v>
      </c>
      <c r="J1375" s="1">
        <v>3</v>
      </c>
      <c r="K1375" s="1" t="s">
        <v>49</v>
      </c>
      <c r="L1375" s="1">
        <v>51</v>
      </c>
      <c r="M1375" s="1" t="str">
        <f>IF(L1375&lt;=45,"Joven","Mayor")</f>
        <v>Mayor</v>
      </c>
      <c r="N1375" s="1">
        <v>58</v>
      </c>
      <c r="O1375" s="1" t="s">
        <v>50</v>
      </c>
      <c r="P1375" s="1">
        <v>8.7999999999999995E-2</v>
      </c>
      <c r="Q1375" s="1">
        <v>66.647000000000006</v>
      </c>
      <c r="R1375" s="1">
        <v>13.3933325</v>
      </c>
      <c r="S1375" s="1">
        <v>-3.2964574999999998</v>
      </c>
      <c r="T1375" s="1">
        <v>-6.2768164000000004</v>
      </c>
      <c r="U1375" s="1">
        <v>27.347999999999999</v>
      </c>
      <c r="V1375" s="1">
        <v>68</v>
      </c>
      <c r="W1375" s="1">
        <v>127</v>
      </c>
      <c r="X1375" s="1">
        <v>1.8676470588235294</v>
      </c>
      <c r="Y1375" s="1">
        <v>70</v>
      </c>
      <c r="Z1375" s="1">
        <v>127</v>
      </c>
      <c r="AA1375" s="1">
        <v>1.8142857142857143</v>
      </c>
      <c r="AB1375" s="1">
        <v>70.981654342891488</v>
      </c>
      <c r="AC1375" s="1">
        <v>126.3480021544128</v>
      </c>
      <c r="AD1375" s="1">
        <v>1.7800092618870613</v>
      </c>
      <c r="AE1375" t="s">
        <v>4817</v>
      </c>
      <c r="AF1375" t="str">
        <f>IF(X1375&lt;$AF$1,"Bajo","Alto")</f>
        <v>Alto</v>
      </c>
      <c r="AG1375" t="str">
        <f>LEFT(AE1375,1)</f>
        <v>C</v>
      </c>
      <c r="AH1375" t="str">
        <f>K1375</f>
        <v>F</v>
      </c>
      <c r="AI1375" t="str">
        <f>LEFT(AF1375,1)</f>
        <v>A</v>
      </c>
      <c r="AJ1375" t="str">
        <f>LEFT(M1375,1)</f>
        <v>M</v>
      </c>
      <c r="AK1375" t="str">
        <f>_xlfn.CONCAT(AG1375,AH1375,AI1375,AJ1375)</f>
        <v>CFAM</v>
      </c>
    </row>
    <row r="1376" spans="1:37" ht="15.75" hidden="1" customHeight="1" x14ac:dyDescent="0.2">
      <c r="A1376" s="1">
        <v>2719301</v>
      </c>
      <c r="B1376" s="1" t="s">
        <v>3409</v>
      </c>
      <c r="C1376" s="1" t="s">
        <v>973</v>
      </c>
      <c r="D1376" s="1" t="s">
        <v>3604</v>
      </c>
      <c r="E1376" s="1" t="s">
        <v>342</v>
      </c>
      <c r="F1376" s="1" t="s">
        <v>32</v>
      </c>
      <c r="G1376" s="1" t="s">
        <v>3605</v>
      </c>
      <c r="H1376" s="1">
        <v>178</v>
      </c>
      <c r="I1376" s="1" t="s">
        <v>34</v>
      </c>
      <c r="J1376" s="1">
        <v>10</v>
      </c>
      <c r="K1376" s="1" t="s">
        <v>35</v>
      </c>
      <c r="L1376" s="1">
        <v>50</v>
      </c>
      <c r="M1376" s="1" t="str">
        <f>IF(L1376&lt;=45,"Joven","Mayor")</f>
        <v>Mayor</v>
      </c>
      <c r="N1376" s="1">
        <v>45</v>
      </c>
      <c r="O1376" s="1" t="s">
        <v>36</v>
      </c>
      <c r="P1376" s="1">
        <v>0.35599999999999998</v>
      </c>
      <c r="Q1376" s="1">
        <v>92.986000000000004</v>
      </c>
      <c r="R1376" s="1">
        <v>1.5588318999999999</v>
      </c>
      <c r="S1376" s="1">
        <v>5.4350180000000003</v>
      </c>
      <c r="T1376" s="1">
        <v>-5.7020179999999998</v>
      </c>
      <c r="U1376" s="1">
        <v>2.915</v>
      </c>
      <c r="V1376" s="1">
        <v>89</v>
      </c>
      <c r="W1376" s="1">
        <v>163</v>
      </c>
      <c r="X1376" s="1">
        <v>1.8314606741573034</v>
      </c>
      <c r="Y1376" s="1">
        <v>89</v>
      </c>
      <c r="Z1376" s="1">
        <v>163</v>
      </c>
      <c r="AA1376" s="1">
        <v>1.8314606741573034</v>
      </c>
      <c r="AB1376" s="1">
        <v>92.533826190532636</v>
      </c>
      <c r="AC1376" s="1">
        <v>162.19348761025091</v>
      </c>
      <c r="AD1376" s="1">
        <v>1.7528021296372733</v>
      </c>
      <c r="AE1376" t="s">
        <v>4815</v>
      </c>
      <c r="AF1376" t="str">
        <f>IF(X1376&lt;$AF$1,"Bajo","Alto")</f>
        <v>Alto</v>
      </c>
      <c r="AG1376" t="str">
        <f>LEFT(AE1376,1)</f>
        <v>I</v>
      </c>
      <c r="AH1376" t="str">
        <f>K1376</f>
        <v>M</v>
      </c>
      <c r="AI1376" t="str">
        <f>LEFT(AF1376,1)</f>
        <v>A</v>
      </c>
      <c r="AJ1376" t="str">
        <f>LEFT(M1376,1)</f>
        <v>M</v>
      </c>
      <c r="AK1376" t="str">
        <f>_xlfn.CONCAT(AG1376,AH1376,AI1376,AJ1376)</f>
        <v>IMAM</v>
      </c>
    </row>
    <row r="1377" spans="1:37" ht="15.75" hidden="1" customHeight="1" x14ac:dyDescent="0.2">
      <c r="A1377" s="1">
        <v>239803</v>
      </c>
      <c r="B1377" s="1" t="s">
        <v>319</v>
      </c>
      <c r="C1377" s="1" t="s">
        <v>1989</v>
      </c>
      <c r="D1377" s="1" t="s">
        <v>3114</v>
      </c>
      <c r="E1377" s="1" t="s">
        <v>1796</v>
      </c>
      <c r="F1377" s="1" t="s">
        <v>63</v>
      </c>
      <c r="G1377" s="1" t="s">
        <v>3117</v>
      </c>
      <c r="H1377" s="1">
        <v>3000</v>
      </c>
      <c r="I1377" s="1" t="s">
        <v>108</v>
      </c>
      <c r="J1377" s="1">
        <v>3</v>
      </c>
      <c r="K1377" s="1" t="s">
        <v>35</v>
      </c>
      <c r="L1377" s="1">
        <v>32</v>
      </c>
      <c r="M1377" s="1" t="str">
        <f>IF(L1377&lt;=45,"Joven","Mayor")</f>
        <v>Joven</v>
      </c>
      <c r="N1377" s="1">
        <v>41</v>
      </c>
      <c r="O1377" s="1" t="s">
        <v>36</v>
      </c>
      <c r="P1377" s="1">
        <v>0.154</v>
      </c>
      <c r="Q1377" s="1">
        <v>83.816999999999993</v>
      </c>
      <c r="R1377" s="1">
        <v>8.3703575000000008</v>
      </c>
      <c r="S1377" s="1">
        <v>6.0585785000000003</v>
      </c>
      <c r="T1377" s="1">
        <v>-14.207096999999999</v>
      </c>
      <c r="U1377" s="1">
        <v>10.916</v>
      </c>
      <c r="V1377" s="1">
        <v>85</v>
      </c>
      <c r="W1377" s="1">
        <v>159</v>
      </c>
      <c r="X1377" s="1">
        <v>1.8705882352941177</v>
      </c>
      <c r="Y1377" s="1">
        <v>101</v>
      </c>
      <c r="Z1377" s="1">
        <v>159</v>
      </c>
      <c r="AA1377" s="1">
        <v>1.5742574257425743</v>
      </c>
      <c r="AB1377" s="1">
        <v>95.898781955994536</v>
      </c>
      <c r="AC1377" s="1">
        <v>161.00894722555631</v>
      </c>
      <c r="AD1377" s="1">
        <v>1.678946738858885</v>
      </c>
      <c r="AE1377" t="s">
        <v>4817</v>
      </c>
      <c r="AF1377" t="str">
        <f>IF(X1377&lt;$AF$1,"Bajo","Alto")</f>
        <v>Alto</v>
      </c>
      <c r="AG1377" t="str">
        <f>LEFT(AE1377,1)</f>
        <v>C</v>
      </c>
      <c r="AH1377" t="str">
        <f>K1377</f>
        <v>M</v>
      </c>
      <c r="AI1377" t="str">
        <f>LEFT(AF1377,1)</f>
        <v>A</v>
      </c>
      <c r="AJ1377" t="str">
        <f>LEFT(M1377,1)</f>
        <v>J</v>
      </c>
      <c r="AK1377" t="str">
        <f>_xlfn.CONCAT(AG1377,AH1377,AI1377,AJ1377)</f>
        <v>CMAJ</v>
      </c>
    </row>
    <row r="1378" spans="1:37" ht="15.75" hidden="1" customHeight="1" x14ac:dyDescent="0.2">
      <c r="A1378" s="1">
        <v>191002</v>
      </c>
      <c r="B1378" s="1" t="s">
        <v>2656</v>
      </c>
      <c r="C1378" s="1" t="s">
        <v>323</v>
      </c>
      <c r="D1378" s="1" t="s">
        <v>2670</v>
      </c>
      <c r="E1378" s="1" t="s">
        <v>75</v>
      </c>
      <c r="F1378" s="1" t="s">
        <v>37</v>
      </c>
      <c r="G1378" s="1" t="s">
        <v>2672</v>
      </c>
      <c r="H1378" s="1">
        <v>2466</v>
      </c>
      <c r="I1378" s="1" t="s">
        <v>65</v>
      </c>
      <c r="J1378" s="1">
        <v>2</v>
      </c>
      <c r="K1378" s="1" t="s">
        <v>49</v>
      </c>
      <c r="L1378" s="1">
        <v>49</v>
      </c>
      <c r="M1378" s="1" t="str">
        <f>IF(L1378&lt;=45,"Joven","Mayor")</f>
        <v>Mayor</v>
      </c>
      <c r="N1378" s="1">
        <v>41</v>
      </c>
      <c r="O1378" s="1" t="s">
        <v>50</v>
      </c>
      <c r="P1378" s="1">
        <v>1.786</v>
      </c>
      <c r="Q1378" s="1">
        <v>56.283999999999999</v>
      </c>
      <c r="R1378" s="1">
        <v>-14.456567</v>
      </c>
      <c r="S1378" s="1">
        <v>6.0846825000000004</v>
      </c>
      <c r="T1378" s="1">
        <v>14.332679000000001</v>
      </c>
      <c r="U1378" s="1">
        <v>48.134</v>
      </c>
      <c r="V1378" s="1">
        <v>128</v>
      </c>
      <c r="W1378" s="1">
        <v>239</v>
      </c>
      <c r="X1378" s="1">
        <v>1.8671875</v>
      </c>
      <c r="Y1378" s="1">
        <v>143</v>
      </c>
      <c r="Z1378" s="1">
        <v>239</v>
      </c>
      <c r="AA1378" s="1">
        <v>1.6713286713286712</v>
      </c>
      <c r="AB1378" s="1">
        <v>140.10681881743241</v>
      </c>
      <c r="AC1378" s="1">
        <v>235.76943060079881</v>
      </c>
      <c r="AD1378" s="1">
        <v>1.6827834119053158</v>
      </c>
      <c r="AE1378" t="s">
        <v>4817</v>
      </c>
      <c r="AF1378" t="str">
        <f>IF(X1378&lt;$AF$1,"Bajo","Alto")</f>
        <v>Alto</v>
      </c>
      <c r="AG1378" t="str">
        <f>LEFT(AE1378,1)</f>
        <v>C</v>
      </c>
      <c r="AH1378" t="str">
        <f>K1378</f>
        <v>F</v>
      </c>
      <c r="AI1378" t="str">
        <f>LEFT(AF1378,1)</f>
        <v>A</v>
      </c>
      <c r="AJ1378" t="str">
        <f>LEFT(M1378,1)</f>
        <v>M</v>
      </c>
      <c r="AK1378" t="str">
        <f>_xlfn.CONCAT(AG1378,AH1378,AI1378,AJ1378)</f>
        <v>CFAM</v>
      </c>
    </row>
    <row r="1379" spans="1:37" ht="15.75" hidden="1" customHeight="1" x14ac:dyDescent="0.2">
      <c r="A1379" s="1">
        <v>1523803</v>
      </c>
      <c r="B1379" s="1" t="s">
        <v>2077</v>
      </c>
      <c r="C1379" s="1" t="s">
        <v>57</v>
      </c>
      <c r="D1379" s="1" t="s">
        <v>2285</v>
      </c>
      <c r="E1379" s="1" t="s">
        <v>478</v>
      </c>
      <c r="F1379" s="1" t="s">
        <v>63</v>
      </c>
      <c r="G1379" s="1" t="s">
        <v>2289</v>
      </c>
      <c r="H1379" s="1">
        <v>3023</v>
      </c>
      <c r="I1379" s="1" t="s">
        <v>2290</v>
      </c>
      <c r="J1379" s="1">
        <v>3873</v>
      </c>
      <c r="K1379" s="1" t="s">
        <v>35</v>
      </c>
      <c r="L1379" s="1">
        <v>47</v>
      </c>
      <c r="M1379" s="1" t="str">
        <f>IF(L1379&lt;=45,"Joven","Mayor")</f>
        <v>Mayor</v>
      </c>
      <c r="N1379" s="1">
        <v>49</v>
      </c>
      <c r="O1379" s="1" t="s">
        <v>36</v>
      </c>
      <c r="P1379" s="1">
        <v>0.375</v>
      </c>
      <c r="Q1379" s="1">
        <v>93.98</v>
      </c>
      <c r="R1379" s="1">
        <v>1.8249966</v>
      </c>
      <c r="S1379" s="1">
        <v>0.43910771999999998</v>
      </c>
      <c r="T1379" s="1">
        <v>-4.1734685999999996</v>
      </c>
      <c r="U1379" s="1">
        <v>30.734999999999999</v>
      </c>
      <c r="V1379" s="1">
        <v>100</v>
      </c>
      <c r="W1379" s="1">
        <v>167</v>
      </c>
      <c r="X1379" s="1">
        <v>1.67</v>
      </c>
      <c r="Y1379" s="1">
        <v>100</v>
      </c>
      <c r="Z1379" s="1">
        <v>167</v>
      </c>
      <c r="AA1379" s="1">
        <v>1.67</v>
      </c>
      <c r="AB1379" s="1">
        <v>103.08254153795041</v>
      </c>
      <c r="AC1379" s="1">
        <v>166.6299398004326</v>
      </c>
      <c r="AD1379" s="1">
        <v>1.6164710077417608</v>
      </c>
      <c r="AE1379" t="s">
        <v>4817</v>
      </c>
      <c r="AF1379" t="str">
        <f>IF(X1379&lt;$AF$1,"Bajo","Alto")</f>
        <v>Bajo</v>
      </c>
      <c r="AG1379" t="str">
        <f>LEFT(AE1379,1)</f>
        <v>C</v>
      </c>
      <c r="AH1379" t="str">
        <f>K1379</f>
        <v>M</v>
      </c>
      <c r="AI1379" t="str">
        <f>LEFT(AF1379,1)</f>
        <v>B</v>
      </c>
      <c r="AJ1379" t="str">
        <f>LEFT(M1379,1)</f>
        <v>M</v>
      </c>
      <c r="AK1379" t="str">
        <f>_xlfn.CONCAT(AG1379,AH1379,AI1379,AJ1379)</f>
        <v>CMBM</v>
      </c>
    </row>
    <row r="1380" spans="1:37" ht="15.75" hidden="1" customHeight="1" x14ac:dyDescent="0.2">
      <c r="A1380" s="1">
        <v>297606</v>
      </c>
      <c r="B1380" s="1" t="s">
        <v>3890</v>
      </c>
      <c r="C1380" s="1" t="s">
        <v>1695</v>
      </c>
      <c r="D1380" s="1" t="s">
        <v>4064</v>
      </c>
      <c r="E1380" s="1" t="s">
        <v>727</v>
      </c>
      <c r="F1380" s="1" t="s">
        <v>88</v>
      </c>
      <c r="G1380" s="1" t="s">
        <v>4067</v>
      </c>
      <c r="H1380" s="1">
        <v>3761</v>
      </c>
      <c r="I1380" s="1" t="s">
        <v>48</v>
      </c>
      <c r="J1380" s="1">
        <v>4</v>
      </c>
      <c r="K1380" s="1" t="s">
        <v>35</v>
      </c>
      <c r="L1380" s="1">
        <v>35</v>
      </c>
      <c r="M1380" s="1" t="str">
        <f>IF(L1380&lt;=45,"Joven","Mayor")</f>
        <v>Joven</v>
      </c>
      <c r="N1380" s="1">
        <v>45</v>
      </c>
      <c r="O1380" s="1" t="s">
        <v>36</v>
      </c>
      <c r="P1380" s="1">
        <v>0.33600000000000002</v>
      </c>
      <c r="Q1380" s="1">
        <v>89.212999999999994</v>
      </c>
      <c r="R1380" s="1">
        <v>3.9489554999999998</v>
      </c>
      <c r="S1380" s="1">
        <v>9.1859219999999997</v>
      </c>
      <c r="T1380" s="1">
        <v>-5.3387419999999999</v>
      </c>
      <c r="U1380" s="1">
        <v>12.241</v>
      </c>
      <c r="V1380" s="1">
        <v>91</v>
      </c>
      <c r="W1380" s="1">
        <v>153</v>
      </c>
      <c r="X1380" s="1">
        <v>1.6813186813186813</v>
      </c>
      <c r="Y1380" s="1">
        <v>92</v>
      </c>
      <c r="Z1380" s="1">
        <v>153</v>
      </c>
      <c r="AA1380" s="1">
        <v>1.6630434782608696</v>
      </c>
      <c r="AB1380" s="1">
        <v>94.233953261503757</v>
      </c>
      <c r="AC1380" s="1">
        <v>152.70846321440149</v>
      </c>
      <c r="AD1380" s="1">
        <v>1.620524852551056</v>
      </c>
      <c r="AE1380" t="s">
        <v>4817</v>
      </c>
      <c r="AF1380" t="str">
        <f>IF(X1380&lt;$AF$1,"Bajo","Alto")</f>
        <v>Bajo</v>
      </c>
      <c r="AG1380" t="str">
        <f>LEFT(AE1380,1)</f>
        <v>C</v>
      </c>
      <c r="AH1380" t="str">
        <f>K1380</f>
        <v>M</v>
      </c>
      <c r="AI1380" t="str">
        <f>LEFT(AF1380,1)</f>
        <v>B</v>
      </c>
      <c r="AJ1380" t="str">
        <f>LEFT(M1380,1)</f>
        <v>J</v>
      </c>
      <c r="AK1380" t="str">
        <f>_xlfn.CONCAT(AG1380,AH1380,AI1380,AJ1380)</f>
        <v>CMBJ</v>
      </c>
    </row>
    <row r="1381" spans="1:37" ht="15.75" hidden="1" customHeight="1" x14ac:dyDescent="0.2">
      <c r="A1381" s="1">
        <v>4664004</v>
      </c>
      <c r="B1381" s="1" t="s">
        <v>4382</v>
      </c>
      <c r="C1381" s="1" t="s">
        <v>669</v>
      </c>
      <c r="D1381" s="1" t="s">
        <v>4423</v>
      </c>
      <c r="E1381" s="1" t="s">
        <v>4424</v>
      </c>
      <c r="F1381" s="1" t="s">
        <v>61</v>
      </c>
      <c r="G1381" s="1" t="s">
        <v>4426</v>
      </c>
      <c r="H1381" s="1">
        <v>19</v>
      </c>
      <c r="I1381" s="1" t="s">
        <v>134</v>
      </c>
      <c r="J1381" s="1">
        <v>8</v>
      </c>
      <c r="K1381" s="1" t="s">
        <v>35</v>
      </c>
      <c r="L1381" s="1">
        <v>47</v>
      </c>
      <c r="M1381" s="1" t="str">
        <f>IF(L1381&lt;=45,"Joven","Mayor")</f>
        <v>Mayor</v>
      </c>
      <c r="N1381" s="1">
        <v>43</v>
      </c>
      <c r="O1381" s="1" t="s">
        <v>36</v>
      </c>
      <c r="P1381" s="1">
        <v>11.727</v>
      </c>
      <c r="Q1381" s="1">
        <v>84.602999999999994</v>
      </c>
      <c r="R1381" s="1">
        <v>3.3315706</v>
      </c>
      <c r="S1381" s="1">
        <v>8.8072119999999998</v>
      </c>
      <c r="T1381" s="1">
        <v>-0.94920444000000004</v>
      </c>
      <c r="U1381" s="1">
        <v>7.5209999999999999</v>
      </c>
      <c r="V1381" s="1">
        <v>100</v>
      </c>
      <c r="W1381" s="1">
        <v>167</v>
      </c>
      <c r="X1381" s="1">
        <v>1.67</v>
      </c>
      <c r="Y1381" s="1">
        <v>100</v>
      </c>
      <c r="Z1381" s="1">
        <v>167</v>
      </c>
      <c r="AA1381" s="1">
        <v>1.67</v>
      </c>
      <c r="AB1381" s="1">
        <v>100.7317467884845</v>
      </c>
      <c r="AC1381" s="1">
        <v>166.97708336752979</v>
      </c>
      <c r="AD1381" s="1">
        <v>1.6576410981748044</v>
      </c>
      <c r="AE1381" t="s">
        <v>4817</v>
      </c>
      <c r="AF1381" t="str">
        <f>IF(X1381&lt;$AF$1,"Bajo","Alto")</f>
        <v>Bajo</v>
      </c>
      <c r="AG1381" t="str">
        <f>LEFT(AE1381,1)</f>
        <v>C</v>
      </c>
      <c r="AH1381" t="str">
        <f>K1381</f>
        <v>M</v>
      </c>
      <c r="AI1381" t="str">
        <f>LEFT(AF1381,1)</f>
        <v>B</v>
      </c>
      <c r="AJ1381" t="str">
        <f>LEFT(M1381,1)</f>
        <v>M</v>
      </c>
      <c r="AK1381" t="str">
        <f>_xlfn.CONCAT(AG1381,AH1381,AI1381,AJ1381)</f>
        <v>CMBM</v>
      </c>
    </row>
    <row r="1382" spans="1:37" ht="15.75" hidden="1" customHeight="1" x14ac:dyDescent="0.2">
      <c r="A1382" s="1">
        <v>271901</v>
      </c>
      <c r="B1382" s="1" t="s">
        <v>3409</v>
      </c>
      <c r="C1382" s="1" t="s">
        <v>973</v>
      </c>
      <c r="D1382" s="1" t="s">
        <v>3595</v>
      </c>
      <c r="E1382" s="1" t="s">
        <v>323</v>
      </c>
      <c r="F1382" s="1" t="s">
        <v>32</v>
      </c>
      <c r="G1382" s="1" t="s">
        <v>3596</v>
      </c>
      <c r="H1382" s="1">
        <v>55815</v>
      </c>
      <c r="I1382" s="1" t="s">
        <v>85</v>
      </c>
      <c r="J1382" s="1">
        <v>12</v>
      </c>
      <c r="K1382" s="1" t="s">
        <v>35</v>
      </c>
      <c r="L1382" s="1">
        <v>45</v>
      </c>
      <c r="M1382" s="1" t="str">
        <f>IF(L1382&lt;=45,"Joven","Mayor")</f>
        <v>Joven</v>
      </c>
      <c r="N1382" s="1">
        <v>51</v>
      </c>
      <c r="O1382" s="1" t="s">
        <v>36</v>
      </c>
      <c r="P1382" s="1">
        <v>1.1599999999999999</v>
      </c>
      <c r="Q1382" s="1">
        <v>82.507000000000005</v>
      </c>
      <c r="R1382" s="1">
        <v>7.1802583000000002</v>
      </c>
      <c r="S1382" s="1">
        <v>10.419661</v>
      </c>
      <c r="T1382" s="1">
        <v>-3.8058252000000001</v>
      </c>
      <c r="U1382" s="1">
        <v>4.0209999999999999</v>
      </c>
      <c r="V1382" s="1">
        <v>106</v>
      </c>
      <c r="W1382" s="1">
        <v>178</v>
      </c>
      <c r="X1382" s="1">
        <v>1.679245283018868</v>
      </c>
      <c r="Y1382" s="1">
        <v>107</v>
      </c>
      <c r="Z1382" s="1">
        <v>178</v>
      </c>
      <c r="AA1382" s="1">
        <v>1.6635514018691588</v>
      </c>
      <c r="AB1382" s="1">
        <v>110.01642751717689</v>
      </c>
      <c r="AC1382" s="1">
        <v>177.60746107479369</v>
      </c>
      <c r="AD1382" s="1">
        <v>1.6143721904355037</v>
      </c>
      <c r="AE1382" t="s">
        <v>4815</v>
      </c>
      <c r="AF1382" t="str">
        <f>IF(X1382&lt;$AF$1,"Bajo","Alto")</f>
        <v>Bajo</v>
      </c>
      <c r="AG1382" t="str">
        <f>LEFT(AE1382,1)</f>
        <v>I</v>
      </c>
      <c r="AH1382" t="str">
        <f>K1382</f>
        <v>M</v>
      </c>
      <c r="AI1382" t="str">
        <f>LEFT(AF1382,1)</f>
        <v>B</v>
      </c>
      <c r="AJ1382" t="str">
        <f>LEFT(M1382,1)</f>
        <v>J</v>
      </c>
      <c r="AK1382" t="str">
        <f>_xlfn.CONCAT(AG1382,AH1382,AI1382,AJ1382)</f>
        <v>IMBJ</v>
      </c>
    </row>
    <row r="1383" spans="1:37" ht="15.75" hidden="1" customHeight="1" x14ac:dyDescent="0.2">
      <c r="A1383" s="1">
        <v>1032208</v>
      </c>
      <c r="B1383" s="1" t="s">
        <v>783</v>
      </c>
      <c r="C1383" s="1" t="s">
        <v>81</v>
      </c>
      <c r="D1383" s="1" t="s">
        <v>816</v>
      </c>
      <c r="E1383" s="1" t="s">
        <v>418</v>
      </c>
      <c r="F1383" s="1" t="s">
        <v>46</v>
      </c>
      <c r="G1383" s="1" t="s">
        <v>819</v>
      </c>
      <c r="H1383" s="1">
        <v>2602</v>
      </c>
      <c r="I1383" s="1" t="s">
        <v>73</v>
      </c>
      <c r="J1383" s="1">
        <v>5</v>
      </c>
      <c r="K1383" s="1" t="s">
        <v>35</v>
      </c>
      <c r="L1383" s="1">
        <v>59</v>
      </c>
      <c r="M1383" s="1" t="str">
        <f>IF(L1383&lt;=45,"Joven","Mayor")</f>
        <v>Mayor</v>
      </c>
      <c r="N1383" s="1">
        <v>51</v>
      </c>
      <c r="O1383" s="1" t="s">
        <v>36</v>
      </c>
      <c r="P1383" s="1">
        <v>0.32600000000000001</v>
      </c>
      <c r="Q1383" s="1">
        <v>93.825000000000003</v>
      </c>
      <c r="R1383" s="1">
        <v>-1.9009404999999999</v>
      </c>
      <c r="S1383" s="1">
        <v>1.1500629</v>
      </c>
      <c r="T1383" s="1">
        <v>-2.7170624999999999</v>
      </c>
      <c r="U1383" s="1">
        <v>0.89600000000000002</v>
      </c>
      <c r="V1383" s="1">
        <v>94</v>
      </c>
      <c r="W1383" s="1">
        <v>157</v>
      </c>
      <c r="X1383" s="1">
        <v>1.6702127659574468</v>
      </c>
      <c r="Y1383" s="1">
        <v>96</v>
      </c>
      <c r="Z1383" s="1">
        <v>157</v>
      </c>
      <c r="AA1383" s="1">
        <v>1.6354166666666667</v>
      </c>
      <c r="AB1383" s="1">
        <v>96.217117263423688</v>
      </c>
      <c r="AC1383" s="1">
        <v>157.15532839935801</v>
      </c>
      <c r="AD1383" s="1">
        <v>1.6333406452938868</v>
      </c>
      <c r="AE1383" t="s">
        <v>4817</v>
      </c>
      <c r="AF1383" t="str">
        <f>IF(X1383&lt;$AF$1,"Bajo","Alto")</f>
        <v>Bajo</v>
      </c>
      <c r="AG1383" t="str">
        <f>LEFT(AE1383,1)</f>
        <v>C</v>
      </c>
      <c r="AH1383" t="str">
        <f>K1383</f>
        <v>M</v>
      </c>
      <c r="AI1383" t="str">
        <f>LEFT(AF1383,1)</f>
        <v>B</v>
      </c>
      <c r="AJ1383" t="str">
        <f>LEFT(M1383,1)</f>
        <v>M</v>
      </c>
      <c r="AK1383" t="str">
        <f>_xlfn.CONCAT(AG1383,AH1383,AI1383,AJ1383)</f>
        <v>CMBM</v>
      </c>
    </row>
    <row r="1384" spans="1:37" ht="15.75" hidden="1" customHeight="1" x14ac:dyDescent="0.2">
      <c r="A1384" s="1">
        <v>522707</v>
      </c>
      <c r="B1384" s="1" t="s">
        <v>4529</v>
      </c>
      <c r="C1384" s="1" t="s">
        <v>685</v>
      </c>
      <c r="D1384" s="1" t="s">
        <v>4570</v>
      </c>
      <c r="E1384" s="1" t="s">
        <v>973</v>
      </c>
      <c r="F1384" s="1" t="s">
        <v>43</v>
      </c>
      <c r="G1384" s="1" t="s">
        <v>4576</v>
      </c>
      <c r="H1384" s="1">
        <v>1363</v>
      </c>
      <c r="I1384" s="1" t="s">
        <v>4577</v>
      </c>
      <c r="J1384" s="1">
        <v>2502</v>
      </c>
      <c r="K1384" s="1" t="s">
        <v>35</v>
      </c>
      <c r="L1384" s="1">
        <v>45</v>
      </c>
      <c r="M1384" s="1" t="str">
        <f>IF(L1384&lt;=45,"Joven","Mayor")</f>
        <v>Joven</v>
      </c>
      <c r="N1384" s="1">
        <v>60</v>
      </c>
      <c r="O1384" s="1" t="s">
        <v>36</v>
      </c>
      <c r="P1384" s="1">
        <v>0.38400000000000001</v>
      </c>
      <c r="Q1384" s="1">
        <v>92.793999999999997</v>
      </c>
      <c r="R1384" s="1">
        <v>2.3541764999999999</v>
      </c>
      <c r="S1384" s="1">
        <v>4.2743916999999998</v>
      </c>
      <c r="T1384" s="1">
        <v>0.88415880000000002</v>
      </c>
      <c r="U1384" s="1">
        <v>1.373</v>
      </c>
      <c r="V1384" s="1">
        <v>113</v>
      </c>
      <c r="W1384" s="1">
        <v>190</v>
      </c>
      <c r="X1384" s="1">
        <v>1.6814159292035398</v>
      </c>
      <c r="Y1384" s="1">
        <v>123</v>
      </c>
      <c r="Z1384" s="1">
        <v>190</v>
      </c>
      <c r="AA1384" s="1">
        <v>1.5447154471544715</v>
      </c>
      <c r="AB1384" s="1">
        <v>122.3063969881775</v>
      </c>
      <c r="AC1384" s="1">
        <v>190.11625586546921</v>
      </c>
      <c r="AD1384" s="1">
        <v>1.5544261015541683</v>
      </c>
      <c r="AE1384" t="s">
        <v>4817</v>
      </c>
      <c r="AF1384" t="str">
        <f>IF(X1384&lt;$AF$1,"Bajo","Alto")</f>
        <v>Bajo</v>
      </c>
      <c r="AG1384" t="str">
        <f>LEFT(AE1384,1)</f>
        <v>C</v>
      </c>
      <c r="AH1384" t="str">
        <f>K1384</f>
        <v>M</v>
      </c>
      <c r="AI1384" t="str">
        <f>LEFT(AF1384,1)</f>
        <v>B</v>
      </c>
      <c r="AJ1384" t="str">
        <f>LEFT(M1384,1)</f>
        <v>J</v>
      </c>
      <c r="AK1384" t="str">
        <f>_xlfn.CONCAT(AG1384,AH1384,AI1384,AJ1384)</f>
        <v>CMBJ</v>
      </c>
    </row>
    <row r="1385" spans="1:37" ht="15.75" hidden="1" customHeight="1" x14ac:dyDescent="0.2">
      <c r="A1385" s="1">
        <v>270402</v>
      </c>
      <c r="B1385" s="1" t="s">
        <v>3409</v>
      </c>
      <c r="C1385" s="1" t="s">
        <v>973</v>
      </c>
      <c r="D1385" s="1" t="s">
        <v>3418</v>
      </c>
      <c r="E1385" s="1" t="s">
        <v>61</v>
      </c>
      <c r="F1385" s="1" t="s">
        <v>37</v>
      </c>
      <c r="G1385" s="1" t="s">
        <v>3419</v>
      </c>
      <c r="H1385" s="1">
        <v>440</v>
      </c>
      <c r="I1385" s="1" t="s">
        <v>108</v>
      </c>
      <c r="J1385" s="1">
        <v>3</v>
      </c>
      <c r="K1385" s="1" t="s">
        <v>35</v>
      </c>
      <c r="L1385" s="1">
        <v>38</v>
      </c>
      <c r="M1385" s="1" t="str">
        <f>IF(L1385&lt;=45,"Joven","Mayor")</f>
        <v>Joven</v>
      </c>
      <c r="N1385" s="1">
        <v>52</v>
      </c>
      <c r="O1385" s="1" t="s">
        <v>36</v>
      </c>
      <c r="P1385" s="1">
        <v>5.7000000000000002E-2</v>
      </c>
      <c r="Q1385" s="1">
        <v>94.134</v>
      </c>
      <c r="R1385" s="1">
        <v>5.1495355E-2</v>
      </c>
      <c r="S1385" s="1">
        <v>4.5057070000000001</v>
      </c>
      <c r="T1385" s="1">
        <v>-0.17860915999999999</v>
      </c>
      <c r="U1385" s="1">
        <v>18.591999999999999</v>
      </c>
      <c r="V1385" s="1">
        <v>110</v>
      </c>
      <c r="W1385" s="1">
        <v>185</v>
      </c>
      <c r="X1385" s="1">
        <v>1.6818181818181819</v>
      </c>
      <c r="Y1385" s="1">
        <v>110</v>
      </c>
      <c r="Z1385" s="1">
        <v>185</v>
      </c>
      <c r="AA1385" s="1">
        <v>1.6818181818181819</v>
      </c>
      <c r="AB1385" s="1">
        <v>110.1179234174888</v>
      </c>
      <c r="AC1385" s="1">
        <v>184.98663186469179</v>
      </c>
      <c r="AD1385" s="1">
        <v>1.6798957528771601</v>
      </c>
      <c r="AE1385" t="s">
        <v>4817</v>
      </c>
      <c r="AF1385" t="str">
        <f>IF(X1385&lt;$AF$1,"Bajo","Alto")</f>
        <v>Bajo</v>
      </c>
      <c r="AG1385" t="str">
        <f>LEFT(AE1385,1)</f>
        <v>C</v>
      </c>
      <c r="AH1385" t="str">
        <f>K1385</f>
        <v>M</v>
      </c>
      <c r="AI1385" t="str">
        <f>LEFT(AF1385,1)</f>
        <v>B</v>
      </c>
      <c r="AJ1385" t="str">
        <f>LEFT(M1385,1)</f>
        <v>J</v>
      </c>
      <c r="AK1385" t="str">
        <f>_xlfn.CONCAT(AG1385,AH1385,AI1385,AJ1385)</f>
        <v>CMBJ</v>
      </c>
    </row>
    <row r="1386" spans="1:37" ht="15.75" hidden="1" customHeight="1" x14ac:dyDescent="0.2">
      <c r="A1386" s="1">
        <v>111303</v>
      </c>
      <c r="B1386" s="1" t="s">
        <v>1648</v>
      </c>
      <c r="C1386" s="1" t="s">
        <v>51</v>
      </c>
      <c r="D1386" s="1" t="s">
        <v>1672</v>
      </c>
      <c r="E1386" s="1" t="s">
        <v>163</v>
      </c>
      <c r="F1386" s="1" t="s">
        <v>63</v>
      </c>
      <c r="G1386" s="1" t="s">
        <v>1673</v>
      </c>
      <c r="H1386" s="1">
        <v>4844</v>
      </c>
      <c r="I1386" s="1" t="s">
        <v>65</v>
      </c>
      <c r="J1386" s="1">
        <v>2</v>
      </c>
      <c r="K1386" s="1" t="s">
        <v>35</v>
      </c>
      <c r="L1386" s="1">
        <v>52</v>
      </c>
      <c r="M1386" s="1" t="str">
        <f>IF(L1386&lt;=45,"Joven","Mayor")</f>
        <v>Mayor</v>
      </c>
      <c r="N1386" s="1">
        <v>52</v>
      </c>
      <c r="O1386" s="1" t="s">
        <v>36</v>
      </c>
      <c r="P1386" s="1">
        <v>0.74299999999999999</v>
      </c>
      <c r="Q1386" s="1">
        <v>90.908000000000001</v>
      </c>
      <c r="R1386" s="1">
        <v>4.3151735999999996</v>
      </c>
      <c r="S1386" s="1">
        <v>-4.5046299999999997</v>
      </c>
      <c r="T1386" s="1">
        <v>-2.6147840000000002</v>
      </c>
      <c r="U1386" s="1">
        <v>0.502</v>
      </c>
      <c r="V1386" s="1">
        <v>87</v>
      </c>
      <c r="W1386" s="1">
        <v>162</v>
      </c>
      <c r="X1386" s="1">
        <v>1.8620689655172413</v>
      </c>
      <c r="Y1386" s="1">
        <v>89</v>
      </c>
      <c r="Z1386" s="1">
        <v>162</v>
      </c>
      <c r="AA1386" s="1">
        <v>1.8202247191011236</v>
      </c>
      <c r="AB1386" s="1">
        <v>90.595303775094408</v>
      </c>
      <c r="AC1386" s="1">
        <v>161.60322695833469</v>
      </c>
      <c r="AD1386" s="1">
        <v>1.7837925391753153</v>
      </c>
      <c r="AE1386" t="s">
        <v>4817</v>
      </c>
      <c r="AF1386" t="str">
        <f>IF(X1386&lt;$AF$1,"Bajo","Alto")</f>
        <v>Alto</v>
      </c>
      <c r="AG1386" t="str">
        <f>LEFT(AE1386,1)</f>
        <v>C</v>
      </c>
      <c r="AH1386" t="str">
        <f>K1386</f>
        <v>M</v>
      </c>
      <c r="AI1386" t="str">
        <f>LEFT(AF1386,1)</f>
        <v>A</v>
      </c>
      <c r="AJ1386" t="str">
        <f>LEFT(M1386,1)</f>
        <v>M</v>
      </c>
      <c r="AK1386" t="str">
        <f>_xlfn.CONCAT(AG1386,AH1386,AI1386,AJ1386)</f>
        <v>CMAM</v>
      </c>
    </row>
    <row r="1387" spans="1:37" ht="15.75" hidden="1" customHeight="1" x14ac:dyDescent="0.2">
      <c r="A1387" s="1">
        <v>2911504</v>
      </c>
      <c r="B1387" s="1" t="s">
        <v>3890</v>
      </c>
      <c r="C1387" s="1" t="s">
        <v>1695</v>
      </c>
      <c r="D1387" s="1" t="s">
        <v>1779</v>
      </c>
      <c r="E1387" s="1" t="s">
        <v>112</v>
      </c>
      <c r="F1387" s="1" t="s">
        <v>61</v>
      </c>
      <c r="G1387" s="1" t="s">
        <v>3946</v>
      </c>
      <c r="H1387" s="1">
        <v>786</v>
      </c>
      <c r="I1387" s="1" t="s">
        <v>3947</v>
      </c>
      <c r="J1387" s="1">
        <v>1990</v>
      </c>
      <c r="K1387" s="1" t="s">
        <v>35</v>
      </c>
      <c r="L1387" s="1">
        <v>41</v>
      </c>
      <c r="M1387" s="1" t="str">
        <f>IF(L1387&lt;=45,"Joven","Mayor")</f>
        <v>Joven</v>
      </c>
      <c r="N1387" s="1">
        <v>41</v>
      </c>
      <c r="O1387" s="1" t="s">
        <v>36</v>
      </c>
      <c r="P1387" s="1">
        <v>0.47499999999999998</v>
      </c>
      <c r="Q1387" s="1">
        <v>91.078999999999994</v>
      </c>
      <c r="R1387" s="1">
        <v>4.4636784</v>
      </c>
      <c r="S1387" s="1">
        <v>3.8090459999999999</v>
      </c>
      <c r="T1387" s="1">
        <v>-2.879864</v>
      </c>
      <c r="U1387" s="1">
        <v>12.68</v>
      </c>
      <c r="V1387" s="1">
        <v>110</v>
      </c>
      <c r="W1387" s="1">
        <v>185</v>
      </c>
      <c r="X1387" s="1">
        <v>1.6818181818181819</v>
      </c>
      <c r="Y1387" s="1">
        <v>115</v>
      </c>
      <c r="Z1387" s="1">
        <v>185</v>
      </c>
      <c r="AA1387" s="1">
        <v>1.6086956521739131</v>
      </c>
      <c r="AB1387" s="1">
        <v>117.1658933109084</v>
      </c>
      <c r="AC1387" s="1">
        <v>184.91708487771029</v>
      </c>
      <c r="AD1387" s="1">
        <v>1.5782501174383494</v>
      </c>
      <c r="AE1387" t="s">
        <v>4817</v>
      </c>
      <c r="AF1387" t="str">
        <f>IF(X1387&lt;$AF$1,"Bajo","Alto")</f>
        <v>Bajo</v>
      </c>
      <c r="AG1387" t="str">
        <f>LEFT(AE1387,1)</f>
        <v>C</v>
      </c>
      <c r="AH1387" t="str">
        <f>K1387</f>
        <v>M</v>
      </c>
      <c r="AI1387" t="str">
        <f>LEFT(AF1387,1)</f>
        <v>B</v>
      </c>
      <c r="AJ1387" t="str">
        <f>LEFT(M1387,1)</f>
        <v>J</v>
      </c>
      <c r="AK1387" t="str">
        <f>_xlfn.CONCAT(AG1387,AH1387,AI1387,AJ1387)</f>
        <v>CMBJ</v>
      </c>
    </row>
    <row r="1388" spans="1:37" ht="15.75" hidden="1" customHeight="1" x14ac:dyDescent="0.2">
      <c r="A1388" s="1">
        <v>526002</v>
      </c>
      <c r="B1388" s="1" t="s">
        <v>4529</v>
      </c>
      <c r="C1388" s="1" t="s">
        <v>685</v>
      </c>
      <c r="D1388" s="1" t="s">
        <v>4664</v>
      </c>
      <c r="E1388" s="1" t="s">
        <v>1458</v>
      </c>
      <c r="F1388" s="1" t="s">
        <v>37</v>
      </c>
      <c r="G1388" s="1" t="s">
        <v>4665</v>
      </c>
      <c r="H1388" s="1">
        <v>1321</v>
      </c>
      <c r="I1388" s="1" t="s">
        <v>39</v>
      </c>
      <c r="J1388" s="1">
        <v>11</v>
      </c>
      <c r="K1388" s="1" t="s">
        <v>35</v>
      </c>
      <c r="L1388" s="1">
        <v>29</v>
      </c>
      <c r="M1388" s="1" t="str">
        <f>IF(L1388&lt;=45,"Joven","Mayor")</f>
        <v>Joven</v>
      </c>
      <c r="N1388" s="1">
        <v>31</v>
      </c>
      <c r="O1388" s="1" t="s">
        <v>36</v>
      </c>
      <c r="P1388" s="1">
        <v>0.45200000000000001</v>
      </c>
      <c r="Q1388" s="1">
        <v>94.623999999999995</v>
      </c>
      <c r="R1388" s="1">
        <v>-0.25371078000000002</v>
      </c>
      <c r="S1388" s="1">
        <v>-1.209349</v>
      </c>
      <c r="T1388" s="1">
        <v>1.802678</v>
      </c>
      <c r="U1388" s="1">
        <v>2.3660000000000001</v>
      </c>
      <c r="V1388" s="1">
        <v>83</v>
      </c>
      <c r="W1388" s="1">
        <v>153</v>
      </c>
      <c r="X1388" s="1">
        <v>1.8433734939759037</v>
      </c>
      <c r="Y1388" s="1">
        <v>85</v>
      </c>
      <c r="Z1388" s="1">
        <v>153</v>
      </c>
      <c r="AA1388" s="1">
        <v>1.8</v>
      </c>
      <c r="AB1388" s="1">
        <v>84.059934220851574</v>
      </c>
      <c r="AC1388" s="1">
        <v>152.9871938958604</v>
      </c>
      <c r="AD1388" s="1">
        <v>1.8199775590344325</v>
      </c>
      <c r="AE1388" t="s">
        <v>4816</v>
      </c>
      <c r="AF1388" t="str">
        <f>IF(X1388&lt;$AF$1,"Bajo","Alto")</f>
        <v>Alto</v>
      </c>
      <c r="AG1388" t="str">
        <f>LEFT(AE1388,1)</f>
        <v>D</v>
      </c>
      <c r="AH1388" t="str">
        <f>K1388</f>
        <v>M</v>
      </c>
      <c r="AI1388" t="str">
        <f>LEFT(AF1388,1)</f>
        <v>A</v>
      </c>
      <c r="AJ1388" t="str">
        <f>LEFT(M1388,1)</f>
        <v>J</v>
      </c>
      <c r="AK1388" t="str">
        <f>_xlfn.CONCAT(AG1388,AH1388,AI1388,AJ1388)</f>
        <v>DMAJ</v>
      </c>
    </row>
    <row r="1389" spans="1:37" ht="15.75" hidden="1" customHeight="1" x14ac:dyDescent="0.2">
      <c r="A1389" s="1">
        <v>1220003</v>
      </c>
      <c r="B1389" s="1" t="s">
        <v>1798</v>
      </c>
      <c r="C1389" s="1" t="s">
        <v>54</v>
      </c>
      <c r="D1389" s="1" t="s">
        <v>1813</v>
      </c>
      <c r="E1389" s="1" t="s">
        <v>1814</v>
      </c>
      <c r="F1389" s="1" t="s">
        <v>63</v>
      </c>
      <c r="G1389" s="1" t="s">
        <v>1816</v>
      </c>
      <c r="H1389" s="1">
        <v>110</v>
      </c>
      <c r="I1389" s="1" t="s">
        <v>294</v>
      </c>
      <c r="J1389" s="1">
        <v>16</v>
      </c>
      <c r="K1389" s="1" t="s">
        <v>35</v>
      </c>
      <c r="L1389" s="1">
        <v>35</v>
      </c>
      <c r="M1389" s="1" t="str">
        <f>IF(L1389&lt;=45,"Joven","Mayor")</f>
        <v>Joven</v>
      </c>
      <c r="N1389" s="1">
        <v>27</v>
      </c>
      <c r="O1389" s="1" t="s">
        <v>36</v>
      </c>
      <c r="P1389" s="1">
        <v>0.36099999999999999</v>
      </c>
      <c r="Q1389" s="1">
        <v>92.138999999999996</v>
      </c>
      <c r="R1389" s="1">
        <v>-3.9312304999999999</v>
      </c>
      <c r="S1389" s="1">
        <v>-2.0255618000000002</v>
      </c>
      <c r="T1389" s="1">
        <v>-2.2036555</v>
      </c>
      <c r="U1389" s="1">
        <v>78.784000000000006</v>
      </c>
      <c r="V1389" s="1">
        <v>101</v>
      </c>
      <c r="W1389" s="1">
        <v>170</v>
      </c>
      <c r="X1389" s="1">
        <v>1.6831683168316831</v>
      </c>
      <c r="Y1389" s="1">
        <v>101</v>
      </c>
      <c r="Z1389" s="1">
        <v>170</v>
      </c>
      <c r="AA1389" s="1">
        <v>1.6831683168316831</v>
      </c>
      <c r="AB1389" s="1">
        <v>102.963239798893</v>
      </c>
      <c r="AC1389" s="1">
        <v>170.22034314900159</v>
      </c>
      <c r="AD1389" s="1">
        <v>1.6532147150912757</v>
      </c>
      <c r="AE1389" t="s">
        <v>4817</v>
      </c>
      <c r="AF1389" t="str">
        <f>IF(X1389&lt;$AF$1,"Bajo","Alto")</f>
        <v>Bajo</v>
      </c>
      <c r="AG1389" t="str">
        <f>LEFT(AE1389,1)</f>
        <v>C</v>
      </c>
      <c r="AH1389" t="str">
        <f>K1389</f>
        <v>M</v>
      </c>
      <c r="AI1389" t="str">
        <f>LEFT(AF1389,1)</f>
        <v>B</v>
      </c>
      <c r="AJ1389" t="str">
        <f>LEFT(M1389,1)</f>
        <v>J</v>
      </c>
      <c r="AK1389" t="str">
        <f>_xlfn.CONCAT(AG1389,AH1389,AI1389,AJ1389)</f>
        <v>CMBJ</v>
      </c>
    </row>
    <row r="1390" spans="1:37" ht="15.75" hidden="1" customHeight="1" x14ac:dyDescent="0.2">
      <c r="A1390" s="1">
        <v>442402</v>
      </c>
      <c r="B1390" s="1" t="s">
        <v>4314</v>
      </c>
      <c r="C1390" s="1" t="s">
        <v>995</v>
      </c>
      <c r="D1390" s="1" t="s">
        <v>4370</v>
      </c>
      <c r="E1390" s="1" t="s">
        <v>1993</v>
      </c>
      <c r="F1390" s="1" t="s">
        <v>37</v>
      </c>
      <c r="G1390" s="1" t="s">
        <v>4372</v>
      </c>
      <c r="H1390" s="1">
        <v>672</v>
      </c>
      <c r="I1390" s="1" t="s">
        <v>65</v>
      </c>
      <c r="J1390" s="1">
        <v>2</v>
      </c>
      <c r="K1390" s="1" t="s">
        <v>35</v>
      </c>
      <c r="L1390" s="1">
        <v>39</v>
      </c>
      <c r="M1390" s="1" t="str">
        <f>IF(L1390&lt;=45,"Joven","Mayor")</f>
        <v>Joven</v>
      </c>
      <c r="N1390" s="1">
        <v>56</v>
      </c>
      <c r="O1390" s="1" t="s">
        <v>36</v>
      </c>
      <c r="P1390" s="1">
        <v>0.34899999999999998</v>
      </c>
      <c r="Q1390" s="1">
        <v>93.234999999999999</v>
      </c>
      <c r="R1390" s="1">
        <v>2.0678600999999999</v>
      </c>
      <c r="S1390" s="1">
        <v>3.3920821999999999</v>
      </c>
      <c r="T1390" s="1">
        <v>1.1029384</v>
      </c>
      <c r="U1390" s="1">
        <v>1.85</v>
      </c>
      <c r="V1390" s="1">
        <v>101</v>
      </c>
      <c r="W1390" s="1">
        <v>170</v>
      </c>
      <c r="X1390" s="1">
        <v>1.6831683168316831</v>
      </c>
      <c r="Y1390" s="1">
        <v>105</v>
      </c>
      <c r="Z1390" s="1">
        <v>170</v>
      </c>
      <c r="AA1390" s="1">
        <v>1.6190476190476191</v>
      </c>
      <c r="AB1390" s="1">
        <v>104.3068411396932</v>
      </c>
      <c r="AC1390" s="1">
        <v>170.2572342311887</v>
      </c>
      <c r="AD1390" s="1">
        <v>1.6322729398273241</v>
      </c>
      <c r="AE1390" t="s">
        <v>4817</v>
      </c>
      <c r="AF1390" t="str">
        <f>IF(X1390&lt;$AF$1,"Bajo","Alto")</f>
        <v>Bajo</v>
      </c>
      <c r="AG1390" t="str">
        <f>LEFT(AE1390,1)</f>
        <v>C</v>
      </c>
      <c r="AH1390" t="str">
        <f>K1390</f>
        <v>M</v>
      </c>
      <c r="AI1390" t="str">
        <f>LEFT(AF1390,1)</f>
        <v>B</v>
      </c>
      <c r="AJ1390" t="str">
        <f>LEFT(M1390,1)</f>
        <v>J</v>
      </c>
      <c r="AK1390" t="str">
        <f>_xlfn.CONCAT(AG1390,AH1390,AI1390,AJ1390)</f>
        <v>CMBJ</v>
      </c>
    </row>
    <row r="1391" spans="1:37" ht="15.75" hidden="1" customHeight="1" x14ac:dyDescent="0.2">
      <c r="A1391" s="1">
        <v>640404</v>
      </c>
      <c r="B1391" s="1" t="s">
        <v>4718</v>
      </c>
      <c r="C1391" s="1" t="s">
        <v>710</v>
      </c>
      <c r="D1391" s="1" t="s">
        <v>4732</v>
      </c>
      <c r="E1391" s="1" t="s">
        <v>61</v>
      </c>
      <c r="F1391" s="1" t="s">
        <v>61</v>
      </c>
      <c r="G1391" s="1" t="s">
        <v>4737</v>
      </c>
      <c r="H1391" s="1">
        <v>2627</v>
      </c>
      <c r="I1391" s="1" t="s">
        <v>4738</v>
      </c>
      <c r="J1391" s="1">
        <v>4486</v>
      </c>
      <c r="K1391" s="1" t="s">
        <v>49</v>
      </c>
      <c r="L1391" s="1">
        <v>38</v>
      </c>
      <c r="M1391" s="1" t="str">
        <f>IF(L1391&lt;=45,"Joven","Mayor")</f>
        <v>Joven</v>
      </c>
      <c r="N1391" s="1">
        <v>25</v>
      </c>
      <c r="O1391" s="1" t="s">
        <v>50</v>
      </c>
      <c r="P1391" s="1">
        <v>0.104</v>
      </c>
      <c r="Q1391" s="1">
        <v>89.340999999999994</v>
      </c>
      <c r="R1391" s="1">
        <v>6.4477463000000004</v>
      </c>
      <c r="S1391" s="1">
        <v>1.9424075000000001</v>
      </c>
      <c r="T1391" s="1">
        <v>-8.0303620000000002</v>
      </c>
      <c r="U1391" s="1">
        <v>17.591000000000001</v>
      </c>
      <c r="V1391" s="1">
        <v>76</v>
      </c>
      <c r="W1391" s="1">
        <v>144</v>
      </c>
      <c r="X1391" s="1">
        <v>1.8947368421052631</v>
      </c>
      <c r="Y1391" s="1">
        <v>87</v>
      </c>
      <c r="Z1391" s="1">
        <v>144</v>
      </c>
      <c r="AA1391" s="1">
        <v>1.6551724137931034</v>
      </c>
      <c r="AB1391" s="1">
        <v>81.960254019508511</v>
      </c>
      <c r="AC1391" s="1">
        <v>144.40403378750031</v>
      </c>
      <c r="AD1391" s="1">
        <v>1.7618787974123247</v>
      </c>
      <c r="AE1391" t="s">
        <v>4817</v>
      </c>
      <c r="AF1391" t="str">
        <f>IF(X1391&lt;$AF$1,"Bajo","Alto")</f>
        <v>Alto</v>
      </c>
      <c r="AG1391" t="str">
        <f>LEFT(AE1391,1)</f>
        <v>C</v>
      </c>
      <c r="AH1391" t="str">
        <f>K1391</f>
        <v>F</v>
      </c>
      <c r="AI1391" t="str">
        <f>LEFT(AF1391,1)</f>
        <v>A</v>
      </c>
      <c r="AJ1391" t="str">
        <f>LEFT(M1391,1)</f>
        <v>J</v>
      </c>
      <c r="AK1391" t="str">
        <f>_xlfn.CONCAT(AG1391,AH1391,AI1391,AJ1391)</f>
        <v>CFAJ</v>
      </c>
    </row>
    <row r="1392" spans="1:37" ht="15.75" hidden="1" customHeight="1" x14ac:dyDescent="0.2">
      <c r="A1392" s="1">
        <v>2720501</v>
      </c>
      <c r="B1392" s="1" t="s">
        <v>3409</v>
      </c>
      <c r="C1392" s="1" t="s">
        <v>973</v>
      </c>
      <c r="D1392" s="1" t="s">
        <v>1775</v>
      </c>
      <c r="E1392" s="1" t="s">
        <v>364</v>
      </c>
      <c r="F1392" s="1" t="s">
        <v>32</v>
      </c>
      <c r="G1392" s="1" t="s">
        <v>3626</v>
      </c>
      <c r="H1392" s="1">
        <v>2075</v>
      </c>
      <c r="I1392" s="1" t="s">
        <v>108</v>
      </c>
      <c r="J1392" s="1">
        <v>3</v>
      </c>
      <c r="K1392" s="1" t="s">
        <v>35</v>
      </c>
      <c r="L1392" s="1">
        <v>52</v>
      </c>
      <c r="M1392" s="1" t="str">
        <f>IF(L1392&lt;=45,"Joven","Mayor")</f>
        <v>Mayor</v>
      </c>
      <c r="N1392" s="1">
        <v>53</v>
      </c>
      <c r="O1392" s="1" t="s">
        <v>36</v>
      </c>
      <c r="P1392" s="1">
        <v>0.44900000000000001</v>
      </c>
      <c r="Q1392" s="1">
        <v>53.26</v>
      </c>
      <c r="R1392" s="1">
        <v>-14.7987795</v>
      </c>
      <c r="S1392" s="1">
        <v>7.7511067000000002</v>
      </c>
      <c r="T1392" s="1">
        <v>8.6906180000000006</v>
      </c>
      <c r="U1392" s="1">
        <v>29.08</v>
      </c>
      <c r="V1392" s="1">
        <v>94</v>
      </c>
      <c r="W1392" s="1">
        <v>157</v>
      </c>
      <c r="X1392" s="1">
        <v>1.6702127659574468</v>
      </c>
      <c r="Y1392" s="1">
        <v>104</v>
      </c>
      <c r="Z1392" s="1">
        <v>157</v>
      </c>
      <c r="AA1392" s="1">
        <v>1.5096153846153846</v>
      </c>
      <c r="AB1392" s="1">
        <v>100.0224032602157</v>
      </c>
      <c r="AC1392" s="1">
        <v>157.3128121759969</v>
      </c>
      <c r="AD1392" s="1">
        <v>1.5727757687118951</v>
      </c>
      <c r="AE1392" t="s">
        <v>4817</v>
      </c>
      <c r="AF1392" t="str">
        <f>IF(X1392&lt;$AF$1,"Bajo","Alto")</f>
        <v>Bajo</v>
      </c>
      <c r="AG1392" t="str">
        <f>LEFT(AE1392,1)</f>
        <v>C</v>
      </c>
      <c r="AH1392" t="str">
        <f>K1392</f>
        <v>M</v>
      </c>
      <c r="AI1392" t="str">
        <f>LEFT(AF1392,1)</f>
        <v>B</v>
      </c>
      <c r="AJ1392" t="str">
        <f>LEFT(M1392,1)</f>
        <v>M</v>
      </c>
      <c r="AK1392" t="str">
        <f>_xlfn.CONCAT(AG1392,AH1392,AI1392,AJ1392)</f>
        <v>CMBM</v>
      </c>
    </row>
    <row r="1393" spans="1:37" ht="15.75" hidden="1" customHeight="1" x14ac:dyDescent="0.2">
      <c r="A1393" s="1">
        <v>255404</v>
      </c>
      <c r="B1393" s="1" t="s">
        <v>3169</v>
      </c>
      <c r="C1393" s="1" t="s">
        <v>821</v>
      </c>
      <c r="D1393" s="1" t="s">
        <v>3272</v>
      </c>
      <c r="E1393" s="1" t="s">
        <v>3148</v>
      </c>
      <c r="F1393" s="1" t="s">
        <v>61</v>
      </c>
      <c r="G1393" s="1" t="s">
        <v>3274</v>
      </c>
      <c r="H1393" s="1">
        <v>20434</v>
      </c>
      <c r="I1393" s="1" t="s">
        <v>3275</v>
      </c>
      <c r="J1393" s="1">
        <v>3496</v>
      </c>
      <c r="K1393" s="1" t="s">
        <v>35</v>
      </c>
      <c r="L1393" s="1">
        <v>32</v>
      </c>
      <c r="M1393" s="1" t="str">
        <f>IF(L1393&lt;=45,"Joven","Mayor")</f>
        <v>Joven</v>
      </c>
      <c r="N1393" s="1">
        <v>30</v>
      </c>
      <c r="O1393" s="1" t="s">
        <v>36</v>
      </c>
      <c r="P1393" s="1">
        <v>0.61199999999999999</v>
      </c>
      <c r="Q1393" s="1">
        <v>88.662999999999997</v>
      </c>
      <c r="R1393" s="1">
        <v>3.7234267999999999</v>
      </c>
      <c r="S1393" s="1">
        <v>10.235537000000001</v>
      </c>
      <c r="T1393" s="1">
        <v>-8.691948</v>
      </c>
      <c r="U1393" s="1">
        <v>22.573</v>
      </c>
      <c r="V1393" s="1">
        <v>98</v>
      </c>
      <c r="W1393" s="1">
        <v>165</v>
      </c>
      <c r="X1393" s="1">
        <v>1.6836734693877551</v>
      </c>
      <c r="Y1393" s="1">
        <v>104</v>
      </c>
      <c r="Z1393" s="1">
        <v>165</v>
      </c>
      <c r="AA1393" s="1">
        <v>1.5865384615384615</v>
      </c>
      <c r="AB1393" s="1">
        <v>104.279456353805</v>
      </c>
      <c r="AC1393" s="1">
        <v>165.0695818870804</v>
      </c>
      <c r="AD1393" s="1">
        <v>1.5829539936133092</v>
      </c>
      <c r="AE1393" t="s">
        <v>4817</v>
      </c>
      <c r="AF1393" t="str">
        <f>IF(X1393&lt;$AF$1,"Bajo","Alto")</f>
        <v>Bajo</v>
      </c>
      <c r="AG1393" t="str">
        <f>LEFT(AE1393,1)</f>
        <v>C</v>
      </c>
      <c r="AH1393" t="str">
        <f>K1393</f>
        <v>M</v>
      </c>
      <c r="AI1393" t="str">
        <f>LEFT(AF1393,1)</f>
        <v>B</v>
      </c>
      <c r="AJ1393" t="str">
        <f>LEFT(M1393,1)</f>
        <v>J</v>
      </c>
      <c r="AK1393" t="str">
        <f>_xlfn.CONCAT(AG1393,AH1393,AI1393,AJ1393)</f>
        <v>CMBJ</v>
      </c>
    </row>
    <row r="1394" spans="1:37" ht="15.75" hidden="1" customHeight="1" x14ac:dyDescent="0.2">
      <c r="A1394" s="1">
        <v>2722101</v>
      </c>
      <c r="B1394" s="1" t="s">
        <v>3409</v>
      </c>
      <c r="C1394" s="1" t="s">
        <v>973</v>
      </c>
      <c r="D1394" s="1" t="s">
        <v>929</v>
      </c>
      <c r="E1394" s="1" t="s">
        <v>3650</v>
      </c>
      <c r="F1394" s="1" t="s">
        <v>32</v>
      </c>
      <c r="G1394" s="1" t="s">
        <v>3651</v>
      </c>
      <c r="H1394" s="1">
        <v>2136</v>
      </c>
      <c r="I1394" s="1" t="s">
        <v>65</v>
      </c>
      <c r="J1394" s="1">
        <v>2</v>
      </c>
      <c r="K1394" s="1" t="s">
        <v>35</v>
      </c>
      <c r="L1394" s="1">
        <v>56</v>
      </c>
      <c r="M1394" s="1" t="str">
        <f>IF(L1394&lt;=45,"Joven","Mayor")</f>
        <v>Mayor</v>
      </c>
      <c r="N1394" s="1">
        <v>65</v>
      </c>
      <c r="O1394" s="1" t="s">
        <v>36</v>
      </c>
      <c r="P1394" s="1">
        <v>0.75900000000000001</v>
      </c>
      <c r="Q1394" s="1">
        <v>90.813000000000002</v>
      </c>
      <c r="R1394" s="1">
        <v>4.9198539999999999</v>
      </c>
      <c r="S1394" s="1">
        <v>2.7795326999999999</v>
      </c>
      <c r="T1394" s="1">
        <v>-3.1265879999999999</v>
      </c>
      <c r="U1394" s="1">
        <v>4.84</v>
      </c>
      <c r="V1394" s="1">
        <v>88</v>
      </c>
      <c r="W1394" s="1">
        <v>147</v>
      </c>
      <c r="X1394" s="1">
        <v>1.6704545454545454</v>
      </c>
      <c r="Y1394" s="1">
        <v>99</v>
      </c>
      <c r="Z1394" s="1">
        <v>147</v>
      </c>
      <c r="AA1394" s="1">
        <v>1.4848484848484849</v>
      </c>
      <c r="AB1394" s="1">
        <v>97.161827833346933</v>
      </c>
      <c r="AC1394" s="1">
        <v>147.38114968187301</v>
      </c>
      <c r="AD1394" s="1">
        <v>1.5168626709520412</v>
      </c>
      <c r="AE1394" t="s">
        <v>4817</v>
      </c>
      <c r="AF1394" t="str">
        <f>IF(X1394&lt;$AF$1,"Bajo","Alto")</f>
        <v>Bajo</v>
      </c>
      <c r="AG1394" t="str">
        <f>LEFT(AE1394,1)</f>
        <v>C</v>
      </c>
      <c r="AH1394" t="str">
        <f>K1394</f>
        <v>M</v>
      </c>
      <c r="AI1394" t="str">
        <f>LEFT(AF1394,1)</f>
        <v>B</v>
      </c>
      <c r="AJ1394" t="str">
        <f>LEFT(M1394,1)</f>
        <v>M</v>
      </c>
      <c r="AK1394" t="str">
        <f>_xlfn.CONCAT(AG1394,AH1394,AI1394,AJ1394)</f>
        <v>CMBM</v>
      </c>
    </row>
    <row r="1395" spans="1:37" ht="15.75" hidden="1" customHeight="1" x14ac:dyDescent="0.2">
      <c r="A1395" s="1">
        <v>2830009</v>
      </c>
      <c r="B1395" s="1" t="s">
        <v>1775</v>
      </c>
      <c r="C1395" s="1" t="s">
        <v>561</v>
      </c>
      <c r="D1395" s="1" t="s">
        <v>3836</v>
      </c>
      <c r="E1395" s="1" t="s">
        <v>613</v>
      </c>
      <c r="F1395" s="1" t="s">
        <v>189</v>
      </c>
      <c r="G1395" s="1" t="s">
        <v>3841</v>
      </c>
      <c r="H1395" s="1">
        <v>262</v>
      </c>
      <c r="I1395" s="1" t="s">
        <v>134</v>
      </c>
      <c r="J1395" s="1">
        <v>8</v>
      </c>
      <c r="K1395" s="1" t="s">
        <v>35</v>
      </c>
      <c r="L1395" s="1">
        <v>38</v>
      </c>
      <c r="M1395" s="1" t="str">
        <f>IF(L1395&lt;=45,"Joven","Mayor")</f>
        <v>Joven</v>
      </c>
      <c r="N1395" s="1">
        <v>47</v>
      </c>
      <c r="O1395" s="1" t="s">
        <v>36</v>
      </c>
      <c r="P1395" s="1">
        <v>0.312</v>
      </c>
      <c r="Q1395" s="1">
        <v>91.605000000000004</v>
      </c>
      <c r="R1395" s="1">
        <v>4.8785496000000004</v>
      </c>
      <c r="S1395" s="1">
        <v>0.42996982</v>
      </c>
      <c r="T1395" s="1">
        <v>-2.4115663000000001</v>
      </c>
      <c r="U1395" s="1">
        <v>68.052000000000007</v>
      </c>
      <c r="V1395" s="1">
        <v>98</v>
      </c>
      <c r="W1395" s="1">
        <v>165</v>
      </c>
      <c r="X1395" s="1">
        <v>1.6836734693877551</v>
      </c>
      <c r="Y1395" s="1">
        <v>103</v>
      </c>
      <c r="Z1395" s="1">
        <v>165</v>
      </c>
      <c r="AA1395" s="1">
        <v>1.6019417475728155</v>
      </c>
      <c r="AB1395" s="1">
        <v>104.5497951860004</v>
      </c>
      <c r="AC1395" s="1">
        <v>164.68555940657549</v>
      </c>
      <c r="AD1395" s="1">
        <v>1.5751877764426985</v>
      </c>
      <c r="AE1395" t="s">
        <v>4817</v>
      </c>
      <c r="AF1395" t="str">
        <f>IF(X1395&lt;$AF$1,"Bajo","Alto")</f>
        <v>Bajo</v>
      </c>
      <c r="AG1395" t="str">
        <f>LEFT(AE1395,1)</f>
        <v>C</v>
      </c>
      <c r="AH1395" t="str">
        <f>K1395</f>
        <v>M</v>
      </c>
      <c r="AI1395" t="str">
        <f>LEFT(AF1395,1)</f>
        <v>B</v>
      </c>
      <c r="AJ1395" t="str">
        <f>LEFT(M1395,1)</f>
        <v>J</v>
      </c>
      <c r="AK1395" t="str">
        <f>_xlfn.CONCAT(AG1395,AH1395,AI1395,AJ1395)</f>
        <v>CMBJ</v>
      </c>
    </row>
    <row r="1396" spans="1:37" ht="15.75" hidden="1" customHeight="1" x14ac:dyDescent="0.2">
      <c r="A1396" s="1">
        <v>241301</v>
      </c>
      <c r="B1396" s="1" t="s">
        <v>1548</v>
      </c>
      <c r="C1396" s="1" t="s">
        <v>1993</v>
      </c>
      <c r="D1396" s="1" t="s">
        <v>1659</v>
      </c>
      <c r="E1396" s="1" t="s">
        <v>163</v>
      </c>
      <c r="F1396" s="1" t="s">
        <v>32</v>
      </c>
      <c r="G1396" s="1" t="s">
        <v>3129</v>
      </c>
      <c r="H1396" s="1">
        <v>1159</v>
      </c>
      <c r="I1396" s="1" t="s">
        <v>100</v>
      </c>
      <c r="J1396" s="1">
        <v>1</v>
      </c>
      <c r="K1396" s="1" t="s">
        <v>35</v>
      </c>
      <c r="L1396" s="1">
        <v>49</v>
      </c>
      <c r="M1396" s="1" t="str">
        <f>IF(L1396&lt;=45,"Joven","Mayor")</f>
        <v>Mayor</v>
      </c>
      <c r="N1396" s="1">
        <v>50</v>
      </c>
      <c r="O1396" s="1" t="s">
        <v>36</v>
      </c>
      <c r="P1396" s="1">
        <v>0.375</v>
      </c>
      <c r="Q1396" s="1">
        <v>91.856999999999999</v>
      </c>
      <c r="R1396" s="1">
        <v>3.4910462</v>
      </c>
      <c r="S1396" s="1">
        <v>4.3985156999999999</v>
      </c>
      <c r="T1396" s="1">
        <v>-3.3039070000000001</v>
      </c>
      <c r="U1396" s="1">
        <v>10.706</v>
      </c>
      <c r="V1396" s="1">
        <v>123</v>
      </c>
      <c r="W1396" s="1">
        <v>229</v>
      </c>
      <c r="X1396" s="1">
        <v>1.8617886178861789</v>
      </c>
      <c r="Y1396" s="1">
        <v>131</v>
      </c>
      <c r="Z1396" s="1">
        <v>229</v>
      </c>
      <c r="AA1396" s="1">
        <v>1.748091603053435</v>
      </c>
      <c r="AB1396" s="1">
        <v>127.7853940632142</v>
      </c>
      <c r="AC1396" s="1">
        <v>229.02280130763941</v>
      </c>
      <c r="AD1396" s="1">
        <v>1.7922455299886937</v>
      </c>
      <c r="AE1396" t="s">
        <v>4817</v>
      </c>
      <c r="AF1396" t="str">
        <f>IF(X1396&lt;$AF$1,"Bajo","Alto")</f>
        <v>Alto</v>
      </c>
      <c r="AG1396" t="str">
        <f>LEFT(AE1396,1)</f>
        <v>C</v>
      </c>
      <c r="AH1396" t="str">
        <f>K1396</f>
        <v>M</v>
      </c>
      <c r="AI1396" t="str">
        <f>LEFT(AF1396,1)</f>
        <v>A</v>
      </c>
      <c r="AJ1396" t="str">
        <f>LEFT(M1396,1)</f>
        <v>M</v>
      </c>
      <c r="AK1396" t="str">
        <f>_xlfn.CONCAT(AG1396,AH1396,AI1396,AJ1396)</f>
        <v>CMAM</v>
      </c>
    </row>
    <row r="1397" spans="1:37" ht="15.75" hidden="1" customHeight="1" x14ac:dyDescent="0.2">
      <c r="A1397" s="1">
        <v>10710002</v>
      </c>
      <c r="B1397" s="1" t="s">
        <v>1067</v>
      </c>
      <c r="C1397" s="1" t="s">
        <v>1068</v>
      </c>
      <c r="D1397" s="1" t="s">
        <v>1088</v>
      </c>
      <c r="E1397" s="1" t="s">
        <v>70</v>
      </c>
      <c r="F1397" s="1" t="s">
        <v>37</v>
      </c>
      <c r="G1397" s="1" t="s">
        <v>1090</v>
      </c>
      <c r="H1397" s="1">
        <v>1073</v>
      </c>
      <c r="I1397" s="1" t="s">
        <v>48</v>
      </c>
      <c r="J1397" s="1">
        <v>4</v>
      </c>
      <c r="K1397" s="1" t="s">
        <v>35</v>
      </c>
      <c r="L1397" s="1">
        <v>53</v>
      </c>
      <c r="M1397" s="1" t="str">
        <f>IF(L1397&lt;=45,"Joven","Mayor")</f>
        <v>Mayor</v>
      </c>
      <c r="N1397" s="1">
        <v>54</v>
      </c>
      <c r="O1397" s="1" t="s">
        <v>36</v>
      </c>
      <c r="P1397" s="1">
        <v>0.36699999999999999</v>
      </c>
      <c r="Q1397" s="1">
        <v>93.855000000000004</v>
      </c>
      <c r="R1397" s="1">
        <v>0.41897917000000001</v>
      </c>
      <c r="S1397" s="1">
        <v>-4.6321700000000003</v>
      </c>
      <c r="T1397" s="1">
        <v>-1.9193524</v>
      </c>
      <c r="U1397" s="1">
        <v>0.91600000000000004</v>
      </c>
      <c r="V1397" s="1">
        <v>85</v>
      </c>
      <c r="W1397" s="1">
        <v>142</v>
      </c>
      <c r="X1397" s="1">
        <v>1.6705882352941177</v>
      </c>
      <c r="Y1397" s="1">
        <v>86</v>
      </c>
      <c r="Z1397" s="1">
        <v>142</v>
      </c>
      <c r="AA1397" s="1">
        <v>1.6511627906976745</v>
      </c>
      <c r="AB1397" s="1">
        <v>87.190982482875825</v>
      </c>
      <c r="AC1397" s="1">
        <v>142.0208106293326</v>
      </c>
      <c r="AD1397" s="1">
        <v>1.6288474631791798</v>
      </c>
      <c r="AE1397" t="s">
        <v>4817</v>
      </c>
      <c r="AF1397" t="str">
        <f>IF(X1397&lt;$AF$1,"Bajo","Alto")</f>
        <v>Bajo</v>
      </c>
      <c r="AG1397" t="str">
        <f>LEFT(AE1397,1)</f>
        <v>C</v>
      </c>
      <c r="AH1397" t="str">
        <f>K1397</f>
        <v>M</v>
      </c>
      <c r="AI1397" t="str">
        <f>LEFT(AF1397,1)</f>
        <v>B</v>
      </c>
      <c r="AJ1397" t="str">
        <f>LEFT(M1397,1)</f>
        <v>M</v>
      </c>
      <c r="AK1397" t="str">
        <f>_xlfn.CONCAT(AG1397,AH1397,AI1397,AJ1397)</f>
        <v>CMBM</v>
      </c>
    </row>
    <row r="1398" spans="1:37" ht="15.75" hidden="1" customHeight="1" x14ac:dyDescent="0.2">
      <c r="A1398" s="1">
        <v>1070704</v>
      </c>
      <c r="B1398" s="1" t="s">
        <v>1067</v>
      </c>
      <c r="C1398" s="1" t="s">
        <v>1068</v>
      </c>
      <c r="D1398" s="1" t="s">
        <v>1078</v>
      </c>
      <c r="E1398" s="1" t="s">
        <v>43</v>
      </c>
      <c r="F1398" s="1" t="s">
        <v>61</v>
      </c>
      <c r="G1398" s="1" t="s">
        <v>1079</v>
      </c>
      <c r="H1398" s="1">
        <v>300</v>
      </c>
      <c r="I1398" s="1" t="s">
        <v>108</v>
      </c>
      <c r="J1398" s="1">
        <v>3</v>
      </c>
      <c r="K1398" s="1" t="s">
        <v>35</v>
      </c>
      <c r="L1398" s="1">
        <v>51</v>
      </c>
      <c r="M1398" s="1" t="str">
        <f>IF(L1398&lt;=45,"Joven","Mayor")</f>
        <v>Mayor</v>
      </c>
      <c r="N1398" s="1">
        <v>45</v>
      </c>
      <c r="O1398" s="1" t="s">
        <v>36</v>
      </c>
      <c r="P1398" s="1">
        <v>0.35799999999999998</v>
      </c>
      <c r="Q1398" s="1">
        <v>93.084000000000003</v>
      </c>
      <c r="R1398" s="1">
        <v>2.9903683999999999</v>
      </c>
      <c r="S1398" s="1">
        <v>-1.2214366999999999</v>
      </c>
      <c r="T1398" s="1">
        <v>-5.9656156999999999</v>
      </c>
      <c r="U1398" s="1">
        <v>10.696</v>
      </c>
      <c r="V1398" s="1">
        <v>101</v>
      </c>
      <c r="W1398" s="1">
        <v>188</v>
      </c>
      <c r="X1398" s="1">
        <v>1.8613861386138615</v>
      </c>
      <c r="Y1398" s="1">
        <v>105</v>
      </c>
      <c r="Z1398" s="1">
        <v>188</v>
      </c>
      <c r="AA1398" s="1">
        <v>1.7904761904761906</v>
      </c>
      <c r="AB1398" s="1">
        <v>105.753541278315</v>
      </c>
      <c r="AC1398" s="1">
        <v>187.6054654910358</v>
      </c>
      <c r="AD1398" s="1">
        <v>1.7739875490061223</v>
      </c>
      <c r="AE1398" t="s">
        <v>4817</v>
      </c>
      <c r="AF1398" t="str">
        <f>IF(X1398&lt;$AF$1,"Bajo","Alto")</f>
        <v>Alto</v>
      </c>
      <c r="AG1398" t="str">
        <f>LEFT(AE1398,1)</f>
        <v>C</v>
      </c>
      <c r="AH1398" t="str">
        <f>K1398</f>
        <v>M</v>
      </c>
      <c r="AI1398" t="str">
        <f>LEFT(AF1398,1)</f>
        <v>A</v>
      </c>
      <c r="AJ1398" t="str">
        <f>LEFT(M1398,1)</f>
        <v>M</v>
      </c>
      <c r="AK1398" t="str">
        <f>_xlfn.CONCAT(AG1398,AH1398,AI1398,AJ1398)</f>
        <v>CMAM</v>
      </c>
    </row>
    <row r="1399" spans="1:37" ht="15.75" hidden="1" customHeight="1" x14ac:dyDescent="0.2">
      <c r="A1399" s="1">
        <v>112904</v>
      </c>
      <c r="B1399" s="1" t="s">
        <v>1648</v>
      </c>
      <c r="C1399" s="1" t="s">
        <v>51</v>
      </c>
      <c r="D1399" s="1" t="s">
        <v>1694</v>
      </c>
      <c r="E1399" s="1" t="s">
        <v>1695</v>
      </c>
      <c r="F1399" s="1" t="s">
        <v>61</v>
      </c>
      <c r="G1399" s="1" t="s">
        <v>1698</v>
      </c>
      <c r="H1399" s="1">
        <v>3512</v>
      </c>
      <c r="I1399" s="1" t="s">
        <v>1699</v>
      </c>
      <c r="J1399" s="1">
        <v>3563</v>
      </c>
      <c r="K1399" s="1" t="s">
        <v>35</v>
      </c>
      <c r="L1399" s="1">
        <v>46</v>
      </c>
      <c r="M1399" s="1" t="str">
        <f>IF(L1399&lt;=45,"Joven","Mayor")</f>
        <v>Mayor</v>
      </c>
      <c r="N1399" s="1">
        <v>47</v>
      </c>
      <c r="O1399" s="1" t="s">
        <v>36</v>
      </c>
      <c r="P1399" s="1">
        <v>0.33300000000000002</v>
      </c>
      <c r="Q1399" s="1">
        <v>84.236999999999995</v>
      </c>
      <c r="R1399" s="1">
        <v>8.8438599999999994</v>
      </c>
      <c r="S1399" s="1">
        <v>-3.0745618000000001</v>
      </c>
      <c r="T1399" s="1">
        <v>-11.788444</v>
      </c>
      <c r="U1399" s="1">
        <v>2.9329999999999998</v>
      </c>
      <c r="V1399" s="1">
        <v>86</v>
      </c>
      <c r="W1399" s="1">
        <v>160</v>
      </c>
      <c r="X1399" s="1">
        <v>1.8604651162790697</v>
      </c>
      <c r="Y1399" s="1">
        <v>96</v>
      </c>
      <c r="Z1399" s="1">
        <v>160</v>
      </c>
      <c r="AA1399" s="1">
        <v>1.6666666666666667</v>
      </c>
      <c r="AB1399" s="1">
        <v>95.626863481080363</v>
      </c>
      <c r="AC1399" s="1">
        <v>159.4855588692767</v>
      </c>
      <c r="AD1399" s="1">
        <v>1.6677903369781724</v>
      </c>
      <c r="AE1399" t="s">
        <v>4817</v>
      </c>
      <c r="AF1399" t="str">
        <f>IF(X1399&lt;$AF$1,"Bajo","Alto")</f>
        <v>Alto</v>
      </c>
      <c r="AG1399" t="str">
        <f>LEFT(AE1399,1)</f>
        <v>C</v>
      </c>
      <c r="AH1399" t="str">
        <f>K1399</f>
        <v>M</v>
      </c>
      <c r="AI1399" t="str">
        <f>LEFT(AF1399,1)</f>
        <v>A</v>
      </c>
      <c r="AJ1399" t="str">
        <f>LEFT(M1399,1)</f>
        <v>M</v>
      </c>
      <c r="AK1399" t="str">
        <f>_xlfn.CONCAT(AG1399,AH1399,AI1399,AJ1399)</f>
        <v>CMAM</v>
      </c>
    </row>
    <row r="1400" spans="1:37" ht="15.75" hidden="1" customHeight="1" x14ac:dyDescent="0.2">
      <c r="A1400" s="1">
        <v>10716001</v>
      </c>
      <c r="B1400" s="1" t="s">
        <v>1067</v>
      </c>
      <c r="C1400" s="1" t="s">
        <v>1068</v>
      </c>
      <c r="D1400" s="1" t="s">
        <v>1152</v>
      </c>
      <c r="E1400" s="1" t="s">
        <v>234</v>
      </c>
      <c r="F1400" s="1" t="s">
        <v>32</v>
      </c>
      <c r="G1400" s="1" t="s">
        <v>1153</v>
      </c>
      <c r="H1400" s="1">
        <v>1555</v>
      </c>
      <c r="I1400" s="1" t="s">
        <v>39</v>
      </c>
      <c r="J1400" s="1">
        <v>11</v>
      </c>
      <c r="K1400" s="1" t="s">
        <v>35</v>
      </c>
      <c r="L1400" s="1">
        <v>36</v>
      </c>
      <c r="M1400" s="1" t="str">
        <f>IF(L1400&lt;=45,"Joven","Mayor")</f>
        <v>Joven</v>
      </c>
      <c r="N1400" s="1">
        <v>30</v>
      </c>
      <c r="O1400" s="1" t="s">
        <v>36</v>
      </c>
      <c r="P1400" s="1">
        <v>0.50900000000000001</v>
      </c>
      <c r="Q1400" s="1">
        <v>92.343999999999994</v>
      </c>
      <c r="R1400" s="1">
        <v>4.0875180000000002</v>
      </c>
      <c r="S1400" s="1">
        <v>0.25547724999999999</v>
      </c>
      <c r="T1400" s="1">
        <v>-3.2454667000000001</v>
      </c>
      <c r="U1400" s="1">
        <v>40.941000000000003</v>
      </c>
      <c r="V1400" s="1">
        <v>118</v>
      </c>
      <c r="W1400" s="1">
        <v>217</v>
      </c>
      <c r="X1400" s="1">
        <v>1.8389830508474576</v>
      </c>
      <c r="Y1400" s="1">
        <v>120</v>
      </c>
      <c r="Z1400" s="1">
        <v>217</v>
      </c>
      <c r="AA1400" s="1">
        <v>1.8083333333333333</v>
      </c>
      <c r="AB1400" s="1">
        <v>121.264187468</v>
      </c>
      <c r="AC1400" s="1">
        <v>216.99164796775219</v>
      </c>
      <c r="AD1400" s="1">
        <v>1.7894124596762204</v>
      </c>
      <c r="AE1400" t="s">
        <v>4816</v>
      </c>
      <c r="AF1400" t="str">
        <f>IF(X1400&lt;$AF$1,"Bajo","Alto")</f>
        <v>Alto</v>
      </c>
      <c r="AG1400" t="str">
        <f>LEFT(AE1400,1)</f>
        <v>D</v>
      </c>
      <c r="AH1400" t="str">
        <f>K1400</f>
        <v>M</v>
      </c>
      <c r="AI1400" t="str">
        <f>LEFT(AF1400,1)</f>
        <v>A</v>
      </c>
      <c r="AJ1400" t="str">
        <f>LEFT(M1400,1)</f>
        <v>J</v>
      </c>
      <c r="AK1400" t="str">
        <f>_xlfn.CONCAT(AG1400,AH1400,AI1400,AJ1400)</f>
        <v>DMAJ</v>
      </c>
    </row>
    <row r="1401" spans="1:37" ht="15.75" hidden="1" customHeight="1" x14ac:dyDescent="0.2">
      <c r="A1401" s="1">
        <v>10127702</v>
      </c>
      <c r="B1401" s="1" t="s">
        <v>29</v>
      </c>
      <c r="C1401" s="1" t="s">
        <v>30</v>
      </c>
      <c r="D1401" s="1" t="s">
        <v>549</v>
      </c>
      <c r="E1401" s="1" t="s">
        <v>550</v>
      </c>
      <c r="F1401" s="1" t="s">
        <v>37</v>
      </c>
      <c r="G1401" s="1" t="s">
        <v>553</v>
      </c>
      <c r="H1401" s="1">
        <v>1133</v>
      </c>
      <c r="I1401" s="1" t="s">
        <v>65</v>
      </c>
      <c r="J1401" s="1">
        <v>2</v>
      </c>
      <c r="K1401" s="1" t="s">
        <v>35</v>
      </c>
      <c r="L1401" s="1">
        <v>50</v>
      </c>
      <c r="M1401" s="1" t="str">
        <f>IF(L1401&lt;=45,"Joven","Mayor")</f>
        <v>Mayor</v>
      </c>
      <c r="N1401" s="1">
        <v>59</v>
      </c>
      <c r="O1401" s="1" t="s">
        <v>36</v>
      </c>
      <c r="P1401" s="1">
        <v>0.37</v>
      </c>
      <c r="Q1401" s="1">
        <v>68.777000000000001</v>
      </c>
      <c r="R1401" s="1">
        <v>12.839152</v>
      </c>
      <c r="S1401" s="1">
        <v>4.1573289999999998</v>
      </c>
      <c r="T1401" s="1">
        <v>-6.1528834999999997</v>
      </c>
      <c r="U1401" s="1">
        <v>0.98399999999999999</v>
      </c>
      <c r="V1401" s="1">
        <v>73</v>
      </c>
      <c r="W1401" s="1">
        <v>122</v>
      </c>
      <c r="X1401" s="1">
        <v>1.6712328767123288</v>
      </c>
      <c r="Y1401" s="1">
        <v>74</v>
      </c>
      <c r="Z1401" s="1">
        <v>122</v>
      </c>
      <c r="AA1401" s="1">
        <v>1.6486486486486487</v>
      </c>
      <c r="AB1401" s="1">
        <v>75.794932838708746</v>
      </c>
      <c r="AC1401" s="1">
        <v>121.4043934467572</v>
      </c>
      <c r="AD1401" s="1">
        <v>1.6017481499073978</v>
      </c>
      <c r="AE1401" t="s">
        <v>4817</v>
      </c>
      <c r="AF1401" t="str">
        <f>IF(X1401&lt;$AF$1,"Bajo","Alto")</f>
        <v>Bajo</v>
      </c>
      <c r="AG1401" t="str">
        <f>LEFT(AE1401,1)</f>
        <v>C</v>
      </c>
      <c r="AH1401" t="str">
        <f>K1401</f>
        <v>M</v>
      </c>
      <c r="AI1401" t="str">
        <f>LEFT(AF1401,1)</f>
        <v>B</v>
      </c>
      <c r="AJ1401" t="str">
        <f>LEFT(M1401,1)</f>
        <v>M</v>
      </c>
      <c r="AK1401" t="str">
        <f>_xlfn.CONCAT(AG1401,AH1401,AI1401,AJ1401)</f>
        <v>CMBM</v>
      </c>
    </row>
    <row r="1402" spans="1:37" ht="15.75" hidden="1" customHeight="1" x14ac:dyDescent="0.2">
      <c r="A1402" s="1">
        <v>522703</v>
      </c>
      <c r="B1402" s="1" t="s">
        <v>4529</v>
      </c>
      <c r="C1402" s="1" t="s">
        <v>685</v>
      </c>
      <c r="D1402" s="1" t="s">
        <v>4570</v>
      </c>
      <c r="E1402" s="1" t="s">
        <v>973</v>
      </c>
      <c r="F1402" s="1" t="s">
        <v>63</v>
      </c>
      <c r="G1402" s="1" t="s">
        <v>4572</v>
      </c>
      <c r="H1402" s="1">
        <v>635</v>
      </c>
      <c r="I1402" s="1" t="s">
        <v>294</v>
      </c>
      <c r="J1402" s="1">
        <v>16</v>
      </c>
      <c r="K1402" s="1" t="s">
        <v>49</v>
      </c>
      <c r="L1402" s="1">
        <v>33</v>
      </c>
      <c r="M1402" s="1" t="str">
        <f>IF(L1402&lt;=45,"Joven","Mayor")</f>
        <v>Joven</v>
      </c>
      <c r="N1402" s="1">
        <v>39</v>
      </c>
      <c r="O1402" s="1" t="s">
        <v>50</v>
      </c>
      <c r="P1402" s="1">
        <v>0.35</v>
      </c>
      <c r="Q1402" s="1">
        <v>92.123999999999995</v>
      </c>
      <c r="R1402" s="1">
        <v>4.0659979999999996</v>
      </c>
      <c r="S1402" s="1">
        <v>1.5951607000000001</v>
      </c>
      <c r="T1402" s="1">
        <v>-5.3585940000000001</v>
      </c>
      <c r="U1402" s="1">
        <v>33.527999999999999</v>
      </c>
      <c r="V1402" s="1">
        <v>75</v>
      </c>
      <c r="W1402" s="1">
        <v>127</v>
      </c>
      <c r="X1402" s="1">
        <v>1.6933333333333334</v>
      </c>
      <c r="Y1402" s="1">
        <v>81</v>
      </c>
      <c r="Z1402" s="1">
        <v>127</v>
      </c>
      <c r="AA1402" s="1">
        <v>1.5679012345679013</v>
      </c>
      <c r="AB1402" s="1">
        <v>78.314392724223353</v>
      </c>
      <c r="AC1402" s="1">
        <v>127.0053066256955</v>
      </c>
      <c r="AD1402" s="1">
        <v>1.6217364676877792</v>
      </c>
      <c r="AE1402" t="s">
        <v>4817</v>
      </c>
      <c r="AF1402" t="str">
        <f>IF(X1402&lt;$AF$1,"Bajo","Alto")</f>
        <v>Bajo</v>
      </c>
      <c r="AG1402" t="str">
        <f>LEFT(AE1402,1)</f>
        <v>C</v>
      </c>
      <c r="AH1402" t="str">
        <f>K1402</f>
        <v>F</v>
      </c>
      <c r="AI1402" t="str">
        <f>LEFT(AF1402,1)</f>
        <v>B</v>
      </c>
      <c r="AJ1402" t="str">
        <f>LEFT(M1402,1)</f>
        <v>J</v>
      </c>
      <c r="AK1402" t="str">
        <f>_xlfn.CONCAT(AG1402,AH1402,AI1402,AJ1402)</f>
        <v>CFBJ</v>
      </c>
    </row>
    <row r="1403" spans="1:37" ht="15.75" hidden="1" customHeight="1" x14ac:dyDescent="0.2">
      <c r="A1403" s="1">
        <v>10120201</v>
      </c>
      <c r="B1403" s="1" t="s">
        <v>29</v>
      </c>
      <c r="C1403" s="1" t="s">
        <v>30</v>
      </c>
      <c r="D1403" s="1" t="s">
        <v>357</v>
      </c>
      <c r="E1403" s="1" t="s">
        <v>358</v>
      </c>
      <c r="F1403" s="1" t="s">
        <v>32</v>
      </c>
      <c r="G1403" s="1" t="s">
        <v>359</v>
      </c>
      <c r="H1403" s="1">
        <v>2487</v>
      </c>
      <c r="I1403" s="1" t="s">
        <v>360</v>
      </c>
      <c r="J1403" s="1">
        <v>2537</v>
      </c>
      <c r="K1403" s="1" t="s">
        <v>35</v>
      </c>
      <c r="L1403" s="1">
        <v>46</v>
      </c>
      <c r="M1403" s="1" t="str">
        <f>IF(L1403&lt;=45,"Joven","Mayor")</f>
        <v>Mayor</v>
      </c>
      <c r="N1403" s="1">
        <v>46</v>
      </c>
      <c r="O1403" s="1" t="s">
        <v>36</v>
      </c>
      <c r="P1403" s="1">
        <v>0.34499999999999997</v>
      </c>
      <c r="Q1403" s="1">
        <v>90.775000000000006</v>
      </c>
      <c r="R1403" s="1">
        <v>5.2591457000000004</v>
      </c>
      <c r="S1403" s="1">
        <v>-2.0571830000000002</v>
      </c>
      <c r="T1403" s="1">
        <v>-1.4706079000000001</v>
      </c>
      <c r="U1403" s="1">
        <v>6.1340000000000003</v>
      </c>
      <c r="V1403" s="1">
        <v>110</v>
      </c>
      <c r="W1403" s="1">
        <v>184</v>
      </c>
      <c r="X1403" s="1">
        <v>1.6727272727272726</v>
      </c>
      <c r="Y1403" s="1">
        <v>112</v>
      </c>
      <c r="Z1403" s="1">
        <v>184</v>
      </c>
      <c r="AA1403" s="1">
        <v>1.6428571428571428</v>
      </c>
      <c r="AB1403" s="1">
        <v>113.0923314529139</v>
      </c>
      <c r="AC1403" s="1">
        <v>183.91373030256639</v>
      </c>
      <c r="AD1403" s="1">
        <v>1.6262263580545164</v>
      </c>
      <c r="AE1403" t="s">
        <v>4817</v>
      </c>
      <c r="AF1403" t="str">
        <f>IF(X1403&lt;$AF$1,"Bajo","Alto")</f>
        <v>Bajo</v>
      </c>
      <c r="AG1403" t="str">
        <f>LEFT(AE1403,1)</f>
        <v>C</v>
      </c>
      <c r="AH1403" t="str">
        <f>K1403</f>
        <v>M</v>
      </c>
      <c r="AI1403" t="str">
        <f>LEFT(AF1403,1)</f>
        <v>B</v>
      </c>
      <c r="AJ1403" t="str">
        <f>LEFT(M1403,1)</f>
        <v>M</v>
      </c>
      <c r="AK1403" t="str">
        <f>_xlfn.CONCAT(AG1403,AH1403,AI1403,AJ1403)</f>
        <v>CMBM</v>
      </c>
    </row>
    <row r="1404" spans="1:37" ht="15.75" hidden="1" customHeight="1" x14ac:dyDescent="0.2">
      <c r="A1404" s="1">
        <v>1018007</v>
      </c>
      <c r="B1404" s="1" t="s">
        <v>29</v>
      </c>
      <c r="C1404" s="1" t="s">
        <v>30</v>
      </c>
      <c r="D1404" s="1" t="s">
        <v>743</v>
      </c>
      <c r="E1404" s="1" t="s">
        <v>744</v>
      </c>
      <c r="F1404" s="1" t="s">
        <v>43</v>
      </c>
      <c r="G1404" s="1" t="s">
        <v>747</v>
      </c>
      <c r="H1404" s="1">
        <v>5043</v>
      </c>
      <c r="I1404" s="1" t="s">
        <v>65</v>
      </c>
      <c r="J1404" s="1">
        <v>2</v>
      </c>
      <c r="K1404" s="1" t="s">
        <v>35</v>
      </c>
      <c r="L1404" s="1">
        <v>55</v>
      </c>
      <c r="M1404" s="1" t="str">
        <f>IF(L1404&lt;=45,"Joven","Mayor")</f>
        <v>Mayor</v>
      </c>
      <c r="N1404" s="1">
        <v>61</v>
      </c>
      <c r="O1404" s="1" t="s">
        <v>36</v>
      </c>
      <c r="P1404" s="1">
        <v>0.34499999999999997</v>
      </c>
      <c r="Q1404" s="1">
        <v>94.381</v>
      </c>
      <c r="R1404" s="1">
        <v>1.2086437999999999</v>
      </c>
      <c r="S1404" s="1">
        <v>3.9482759999999999E-2</v>
      </c>
      <c r="T1404" s="1">
        <v>-4.7786673999999998</v>
      </c>
      <c r="U1404" s="1">
        <v>6.8689999999999998</v>
      </c>
      <c r="V1404" s="1">
        <v>98</v>
      </c>
      <c r="W1404" s="1">
        <v>164</v>
      </c>
      <c r="X1404" s="1">
        <v>1.6734693877551021</v>
      </c>
      <c r="Y1404" s="1">
        <v>104</v>
      </c>
      <c r="Z1404" s="1">
        <v>164</v>
      </c>
      <c r="AA1404" s="1">
        <v>1.5769230769230769</v>
      </c>
      <c r="AB1404" s="1">
        <v>101.3248467007918</v>
      </c>
      <c r="AC1404" s="1">
        <v>164.01307478963369</v>
      </c>
      <c r="AD1404" s="1">
        <v>1.6186856445384785</v>
      </c>
      <c r="AE1404" t="s">
        <v>4817</v>
      </c>
      <c r="AF1404" t="str">
        <f>IF(X1404&lt;$AF$1,"Bajo","Alto")</f>
        <v>Bajo</v>
      </c>
      <c r="AG1404" t="str">
        <f>LEFT(AE1404,1)</f>
        <v>C</v>
      </c>
      <c r="AH1404" t="str">
        <f>K1404</f>
        <v>M</v>
      </c>
      <c r="AI1404" t="str">
        <f>LEFT(AF1404,1)</f>
        <v>B</v>
      </c>
      <c r="AJ1404" t="str">
        <f>LEFT(M1404,1)</f>
        <v>M</v>
      </c>
      <c r="AK1404" t="str">
        <f>_xlfn.CONCAT(AG1404,AH1404,AI1404,AJ1404)</f>
        <v>CMBM</v>
      </c>
    </row>
    <row r="1405" spans="1:37" ht="15.75" hidden="1" customHeight="1" x14ac:dyDescent="0.2">
      <c r="A1405" s="1">
        <v>1090406</v>
      </c>
      <c r="B1405" s="1" t="s">
        <v>719</v>
      </c>
      <c r="C1405" s="1" t="s">
        <v>98</v>
      </c>
      <c r="D1405" s="1" t="s">
        <v>1537</v>
      </c>
      <c r="E1405" s="1" t="s">
        <v>61</v>
      </c>
      <c r="F1405" s="1" t="s">
        <v>88</v>
      </c>
      <c r="G1405" s="1" t="s">
        <v>1541</v>
      </c>
      <c r="H1405" s="1">
        <v>2374</v>
      </c>
      <c r="I1405" s="1" t="s">
        <v>1542</v>
      </c>
      <c r="J1405" s="1">
        <v>4482</v>
      </c>
      <c r="K1405" s="1" t="s">
        <v>35</v>
      </c>
      <c r="L1405" s="1">
        <v>70</v>
      </c>
      <c r="M1405" s="1" t="str">
        <f>IF(L1405&lt;=45,"Joven","Mayor")</f>
        <v>Mayor</v>
      </c>
      <c r="N1405" s="1">
        <v>62</v>
      </c>
      <c r="O1405" s="1" t="s">
        <v>36</v>
      </c>
      <c r="P1405" s="1">
        <v>0.53</v>
      </c>
      <c r="Q1405" s="1">
        <v>44.869</v>
      </c>
      <c r="R1405" s="1">
        <v>16.732741999999998</v>
      </c>
      <c r="S1405" s="1">
        <v>-0.71605229999999997</v>
      </c>
      <c r="T1405" s="1">
        <v>-6.4160320000000004</v>
      </c>
      <c r="U1405" s="1">
        <v>1.649</v>
      </c>
      <c r="V1405" s="1">
        <v>95</v>
      </c>
      <c r="W1405" s="1">
        <v>159</v>
      </c>
      <c r="X1405" s="1">
        <v>1.6736842105263159</v>
      </c>
      <c r="Y1405" s="1">
        <v>99</v>
      </c>
      <c r="Z1405" s="1">
        <v>159</v>
      </c>
      <c r="AA1405" s="1">
        <v>1.606060606060606</v>
      </c>
      <c r="AB1405" s="1">
        <v>98.427877378230278</v>
      </c>
      <c r="AC1405" s="1">
        <v>158.33937469625019</v>
      </c>
      <c r="AD1405" s="1">
        <v>1.6086842357455002</v>
      </c>
      <c r="AE1405" t="s">
        <v>4817</v>
      </c>
      <c r="AF1405" t="str">
        <f>IF(X1405&lt;$AF$1,"Bajo","Alto")</f>
        <v>Bajo</v>
      </c>
      <c r="AG1405" t="str">
        <f>LEFT(AE1405,1)</f>
        <v>C</v>
      </c>
      <c r="AH1405" t="str">
        <f>K1405</f>
        <v>M</v>
      </c>
      <c r="AI1405" t="str">
        <f>LEFT(AF1405,1)</f>
        <v>B</v>
      </c>
      <c r="AJ1405" t="str">
        <f>LEFT(M1405,1)</f>
        <v>M</v>
      </c>
      <c r="AK1405" t="str">
        <f>_xlfn.CONCAT(AG1405,AH1405,AI1405,AJ1405)</f>
        <v>CMBM</v>
      </c>
    </row>
    <row r="1406" spans="1:37" ht="15.75" hidden="1" customHeight="1" x14ac:dyDescent="0.2">
      <c r="A1406" s="1">
        <v>1514203</v>
      </c>
      <c r="B1406" s="1" t="s">
        <v>2077</v>
      </c>
      <c r="C1406" s="1" t="s">
        <v>57</v>
      </c>
      <c r="D1406" s="1" t="s">
        <v>2164</v>
      </c>
      <c r="E1406" s="1" t="s">
        <v>181</v>
      </c>
      <c r="F1406" s="1" t="s">
        <v>63</v>
      </c>
      <c r="G1406" s="1" t="s">
        <v>2166</v>
      </c>
      <c r="H1406" s="1">
        <v>5216</v>
      </c>
      <c r="I1406" s="1" t="s">
        <v>2167</v>
      </c>
      <c r="J1406" s="1">
        <v>2280</v>
      </c>
      <c r="K1406" s="1" t="s">
        <v>35</v>
      </c>
      <c r="L1406" s="1">
        <v>66</v>
      </c>
      <c r="M1406" s="1" t="str">
        <f>IF(L1406&lt;=45,"Joven","Mayor")</f>
        <v>Mayor</v>
      </c>
      <c r="N1406" s="1">
        <v>66</v>
      </c>
      <c r="O1406" s="1" t="s">
        <v>36</v>
      </c>
      <c r="P1406" s="1">
        <v>0.36199999999999999</v>
      </c>
      <c r="Q1406" s="1">
        <v>93.766000000000005</v>
      </c>
      <c r="R1406" s="1">
        <v>-1.6431043999999999</v>
      </c>
      <c r="S1406" s="1">
        <v>2.191945</v>
      </c>
      <c r="T1406" s="1">
        <v>-1.1172447999999999</v>
      </c>
      <c r="U1406" s="1">
        <v>10.17</v>
      </c>
      <c r="V1406" s="1">
        <v>93</v>
      </c>
      <c r="W1406" s="1">
        <v>173</v>
      </c>
      <c r="X1406" s="1">
        <v>1.8602150537634408</v>
      </c>
      <c r="Y1406" s="1">
        <v>98</v>
      </c>
      <c r="Z1406" s="1">
        <v>173</v>
      </c>
      <c r="AA1406" s="1">
        <v>1.7653061224489797</v>
      </c>
      <c r="AB1406" s="1">
        <v>97.142939426447811</v>
      </c>
      <c r="AC1406" s="1">
        <v>172.96711076549261</v>
      </c>
      <c r="AD1406" s="1">
        <v>1.7805422791067116</v>
      </c>
      <c r="AE1406" t="s">
        <v>4817</v>
      </c>
      <c r="AF1406" t="str">
        <f>IF(X1406&lt;$AF$1,"Bajo","Alto")</f>
        <v>Alto</v>
      </c>
      <c r="AG1406" t="str">
        <f>LEFT(AE1406,1)</f>
        <v>C</v>
      </c>
      <c r="AH1406" t="str">
        <f>K1406</f>
        <v>M</v>
      </c>
      <c r="AI1406" t="str">
        <f>LEFT(AF1406,1)</f>
        <v>A</v>
      </c>
      <c r="AJ1406" t="str">
        <f>LEFT(M1406,1)</f>
        <v>M</v>
      </c>
      <c r="AK1406" t="str">
        <f>_xlfn.CONCAT(AG1406,AH1406,AI1406,AJ1406)</f>
        <v>CMAM</v>
      </c>
    </row>
    <row r="1407" spans="1:37" ht="15.75" hidden="1" customHeight="1" x14ac:dyDescent="0.2">
      <c r="A1407" s="1">
        <v>278002</v>
      </c>
      <c r="B1407" s="1" t="s">
        <v>3409</v>
      </c>
      <c r="C1407" s="1" t="s">
        <v>973</v>
      </c>
      <c r="D1407" s="1" t="s">
        <v>3738</v>
      </c>
      <c r="E1407" s="1" t="s">
        <v>744</v>
      </c>
      <c r="F1407" s="1" t="s">
        <v>37</v>
      </c>
      <c r="G1407" s="1" t="s">
        <v>3740</v>
      </c>
      <c r="H1407" s="1">
        <v>968</v>
      </c>
      <c r="I1407" s="1" t="s">
        <v>3741</v>
      </c>
      <c r="J1407" s="1">
        <v>2225</v>
      </c>
      <c r="K1407" s="1" t="s">
        <v>35</v>
      </c>
      <c r="L1407" s="1">
        <v>42</v>
      </c>
      <c r="M1407" s="1" t="str">
        <f>IF(L1407&lt;=45,"Joven","Mayor")</f>
        <v>Joven</v>
      </c>
      <c r="N1407" s="1">
        <v>38</v>
      </c>
      <c r="O1407" s="1" t="s">
        <v>36</v>
      </c>
      <c r="P1407" s="1">
        <v>0.30599999999999999</v>
      </c>
      <c r="Q1407" s="1">
        <v>61.057000000000002</v>
      </c>
      <c r="R1407" s="1">
        <v>14.353308</v>
      </c>
      <c r="S1407" s="1">
        <v>2.7912756999999999</v>
      </c>
      <c r="T1407" s="1">
        <v>-4.4092927</v>
      </c>
      <c r="U1407" s="1">
        <v>5.6890000000000001</v>
      </c>
      <c r="V1407" s="1">
        <v>85</v>
      </c>
      <c r="W1407" s="1">
        <v>159</v>
      </c>
      <c r="X1407" s="1">
        <v>1.8705882352941177</v>
      </c>
      <c r="Y1407" s="1">
        <v>86</v>
      </c>
      <c r="Z1407" s="1">
        <v>159</v>
      </c>
      <c r="AA1407" s="1">
        <v>1.8488372093023255</v>
      </c>
      <c r="AB1407" s="1">
        <v>88.590052753275586</v>
      </c>
      <c r="AC1407" s="1">
        <v>157.7605997212172</v>
      </c>
      <c r="AD1407" s="1">
        <v>1.780793608517002</v>
      </c>
      <c r="AE1407" t="s">
        <v>4817</v>
      </c>
      <c r="AF1407" t="str">
        <f>IF(X1407&lt;$AF$1,"Bajo","Alto")</f>
        <v>Alto</v>
      </c>
      <c r="AG1407" t="str">
        <f>LEFT(AE1407,1)</f>
        <v>C</v>
      </c>
      <c r="AH1407" t="str">
        <f>K1407</f>
        <v>M</v>
      </c>
      <c r="AI1407" t="str">
        <f>LEFT(AF1407,1)</f>
        <v>A</v>
      </c>
      <c r="AJ1407" t="str">
        <f>LEFT(M1407,1)</f>
        <v>J</v>
      </c>
      <c r="AK1407" t="str">
        <f>_xlfn.CONCAT(AG1407,AH1407,AI1407,AJ1407)</f>
        <v>CMAJ</v>
      </c>
    </row>
    <row r="1408" spans="1:37" ht="15.75" hidden="1" customHeight="1" x14ac:dyDescent="0.2">
      <c r="A1408" s="1">
        <v>286006</v>
      </c>
      <c r="B1408" s="1" t="s">
        <v>1775</v>
      </c>
      <c r="C1408" s="1" t="s">
        <v>561</v>
      </c>
      <c r="D1408" s="1" t="s">
        <v>3882</v>
      </c>
      <c r="E1408" s="1" t="s">
        <v>1458</v>
      </c>
      <c r="F1408" s="1" t="s">
        <v>88</v>
      </c>
      <c r="G1408" s="1" t="s">
        <v>3883</v>
      </c>
      <c r="H1408" s="1">
        <v>29</v>
      </c>
      <c r="I1408" s="1" t="s">
        <v>45</v>
      </c>
      <c r="J1408" s="1">
        <v>17</v>
      </c>
      <c r="K1408" s="1" t="s">
        <v>35</v>
      </c>
      <c r="L1408" s="1">
        <v>41</v>
      </c>
      <c r="M1408" s="1" t="str">
        <f>IF(L1408&lt;=45,"Joven","Mayor")</f>
        <v>Joven</v>
      </c>
      <c r="N1408" s="1">
        <v>41</v>
      </c>
      <c r="O1408" s="1" t="s">
        <v>36</v>
      </c>
      <c r="P1408" s="1">
        <v>0.502</v>
      </c>
      <c r="Q1408" s="1">
        <v>91.427999999999997</v>
      </c>
      <c r="R1408" s="1">
        <v>2.8746711999999999</v>
      </c>
      <c r="S1408" s="1">
        <v>6.8941464000000003</v>
      </c>
      <c r="T1408" s="1">
        <v>-3.546996</v>
      </c>
      <c r="U1408" s="1">
        <v>9.92</v>
      </c>
      <c r="V1408" s="1">
        <v>85</v>
      </c>
      <c r="W1408" s="1">
        <v>159</v>
      </c>
      <c r="X1408" s="1">
        <v>1.8705882352941177</v>
      </c>
      <c r="Y1408" s="1">
        <v>85</v>
      </c>
      <c r="Z1408" s="1">
        <v>159</v>
      </c>
      <c r="AA1408" s="1">
        <v>1.8705882352941177</v>
      </c>
      <c r="AB1408" s="1">
        <v>87.559330877274533</v>
      </c>
      <c r="AC1408" s="1">
        <v>158.81915222214269</v>
      </c>
      <c r="AD1408" s="1">
        <v>1.8138461158953785</v>
      </c>
      <c r="AE1408" t="s">
        <v>4817</v>
      </c>
      <c r="AF1408" t="str">
        <f>IF(X1408&lt;$AF$1,"Bajo","Alto")</f>
        <v>Alto</v>
      </c>
      <c r="AG1408" t="str">
        <f>LEFT(AE1408,1)</f>
        <v>C</v>
      </c>
      <c r="AH1408" t="str">
        <f>K1408</f>
        <v>M</v>
      </c>
      <c r="AI1408" t="str">
        <f>LEFT(AF1408,1)</f>
        <v>A</v>
      </c>
      <c r="AJ1408" t="str">
        <f>LEFT(M1408,1)</f>
        <v>J</v>
      </c>
      <c r="AK1408" t="str">
        <f>_xlfn.CONCAT(AG1408,AH1408,AI1408,AJ1408)</f>
        <v>CMAJ</v>
      </c>
    </row>
    <row r="1409" spans="1:37" ht="15.75" hidden="1" customHeight="1" x14ac:dyDescent="0.2">
      <c r="A1409" s="1">
        <v>311906</v>
      </c>
      <c r="B1409" s="1" t="s">
        <v>4122</v>
      </c>
      <c r="C1409" s="1" t="s">
        <v>628</v>
      </c>
      <c r="D1409" s="1" t="s">
        <v>4176</v>
      </c>
      <c r="E1409" s="1" t="s">
        <v>323</v>
      </c>
      <c r="F1409" s="1" t="s">
        <v>88</v>
      </c>
      <c r="G1409" s="1" t="s">
        <v>4179</v>
      </c>
      <c r="H1409" s="1">
        <v>22595</v>
      </c>
      <c r="I1409" s="1" t="s">
        <v>73</v>
      </c>
      <c r="J1409" s="1">
        <v>5</v>
      </c>
      <c r="K1409" s="1" t="s">
        <v>35</v>
      </c>
      <c r="L1409" s="1">
        <v>59</v>
      </c>
      <c r="M1409" s="1" t="str">
        <f>IF(L1409&lt;=45,"Joven","Mayor")</f>
        <v>Mayor</v>
      </c>
      <c r="N1409" s="1">
        <v>42</v>
      </c>
      <c r="O1409" s="1" t="s">
        <v>36</v>
      </c>
      <c r="P1409" s="1">
        <v>0.10299999999999999</v>
      </c>
      <c r="Q1409" s="1">
        <v>91.126999999999995</v>
      </c>
      <c r="R1409" s="1">
        <v>2.9288523</v>
      </c>
      <c r="S1409" s="1">
        <v>7.7428249999999998</v>
      </c>
      <c r="T1409" s="1">
        <v>-3.4031039999999999</v>
      </c>
      <c r="U1409" s="1">
        <v>3.254</v>
      </c>
      <c r="V1409" s="1">
        <v>95</v>
      </c>
      <c r="W1409" s="1">
        <v>159</v>
      </c>
      <c r="X1409" s="1">
        <v>1.6736842105263159</v>
      </c>
      <c r="Y1409" s="1">
        <v>100</v>
      </c>
      <c r="Z1409" s="1">
        <v>159</v>
      </c>
      <c r="AA1409" s="1">
        <v>1.59</v>
      </c>
      <c r="AB1409" s="1">
        <v>97.503698677635384</v>
      </c>
      <c r="AC1409" s="1">
        <v>159.01642381780809</v>
      </c>
      <c r="AD1409" s="1">
        <v>1.6308758126555254</v>
      </c>
      <c r="AE1409" t="s">
        <v>4817</v>
      </c>
      <c r="AF1409" t="str">
        <f>IF(X1409&lt;$AF$1,"Bajo","Alto")</f>
        <v>Bajo</v>
      </c>
      <c r="AG1409" t="str">
        <f>LEFT(AE1409,1)</f>
        <v>C</v>
      </c>
      <c r="AH1409" t="str">
        <f>K1409</f>
        <v>M</v>
      </c>
      <c r="AI1409" t="str">
        <f>LEFT(AF1409,1)</f>
        <v>B</v>
      </c>
      <c r="AJ1409" t="str">
        <f>LEFT(M1409,1)</f>
        <v>M</v>
      </c>
      <c r="AK1409" t="str">
        <f>_xlfn.CONCAT(AG1409,AH1409,AI1409,AJ1409)</f>
        <v>CMBM</v>
      </c>
    </row>
    <row r="1410" spans="1:37" ht="15.75" hidden="1" customHeight="1" x14ac:dyDescent="0.2">
      <c r="A1410" s="1">
        <v>10732201</v>
      </c>
      <c r="B1410" s="1" t="s">
        <v>1067</v>
      </c>
      <c r="C1410" s="1" t="s">
        <v>1068</v>
      </c>
      <c r="D1410" s="1" t="s">
        <v>1402</v>
      </c>
      <c r="E1410" s="1" t="s">
        <v>1403</v>
      </c>
      <c r="F1410" s="1" t="s">
        <v>32</v>
      </c>
      <c r="G1410" s="1" t="s">
        <v>1404</v>
      </c>
      <c r="H1410" s="1">
        <v>12</v>
      </c>
      <c r="I1410" s="1" t="s">
        <v>1405</v>
      </c>
      <c r="J1410" s="1">
        <v>2578</v>
      </c>
      <c r="K1410" s="1" t="s">
        <v>35</v>
      </c>
      <c r="L1410" s="1">
        <v>49</v>
      </c>
      <c r="M1410" s="1" t="str">
        <f>IF(L1410&lt;=45,"Joven","Mayor")</f>
        <v>Mayor</v>
      </c>
      <c r="N1410" s="1">
        <v>60</v>
      </c>
      <c r="O1410" s="1" t="s">
        <v>36</v>
      </c>
      <c r="P1410" s="1">
        <v>0.38300000000000001</v>
      </c>
      <c r="Q1410" s="1">
        <v>89.215999999999994</v>
      </c>
      <c r="R1410" s="1">
        <v>-6.3287085999999997</v>
      </c>
      <c r="S1410" s="1">
        <v>-2.541579</v>
      </c>
      <c r="T1410" s="1">
        <v>5.8969544999999997</v>
      </c>
      <c r="U1410" s="1">
        <v>2.895</v>
      </c>
      <c r="V1410" s="1">
        <v>92</v>
      </c>
      <c r="W1410" s="1">
        <v>154</v>
      </c>
      <c r="X1410" s="1">
        <v>1.673913043478261</v>
      </c>
      <c r="Y1410" s="1">
        <v>98</v>
      </c>
      <c r="Z1410" s="1">
        <v>154</v>
      </c>
      <c r="AA1410" s="1">
        <v>1.5714285714285714</v>
      </c>
      <c r="AB1410" s="1">
        <v>95.930967279163497</v>
      </c>
      <c r="AC1410" s="1">
        <v>153.5960337070201</v>
      </c>
      <c r="AD1410" s="1">
        <v>1.6011100280063748</v>
      </c>
      <c r="AE1410" t="s">
        <v>4817</v>
      </c>
      <c r="AF1410" t="str">
        <f>IF(X1410&lt;$AF$1,"Bajo","Alto")</f>
        <v>Bajo</v>
      </c>
      <c r="AG1410" t="str">
        <f>LEFT(AE1410,1)</f>
        <v>C</v>
      </c>
      <c r="AH1410" t="str">
        <f>K1410</f>
        <v>M</v>
      </c>
      <c r="AI1410" t="str">
        <f>LEFT(AF1410,1)</f>
        <v>B</v>
      </c>
      <c r="AJ1410" t="str">
        <f>LEFT(M1410,1)</f>
        <v>M</v>
      </c>
      <c r="AK1410" t="str">
        <f>_xlfn.CONCAT(AG1410,AH1410,AI1410,AJ1410)</f>
        <v>CMBM</v>
      </c>
    </row>
    <row r="1411" spans="1:37" ht="15.75" hidden="1" customHeight="1" x14ac:dyDescent="0.2">
      <c r="A1411" s="1">
        <v>116102</v>
      </c>
      <c r="B1411" s="1" t="s">
        <v>1648</v>
      </c>
      <c r="C1411" s="1" t="s">
        <v>51</v>
      </c>
      <c r="D1411" s="1" t="s">
        <v>1738</v>
      </c>
      <c r="E1411" s="1" t="s">
        <v>701</v>
      </c>
      <c r="F1411" s="1" t="s">
        <v>37</v>
      </c>
      <c r="G1411" s="1" t="s">
        <v>1739</v>
      </c>
      <c r="H1411" s="1">
        <v>639</v>
      </c>
      <c r="I1411" s="1" t="s">
        <v>42</v>
      </c>
      <c r="J1411" s="1">
        <v>15</v>
      </c>
      <c r="K1411" s="1" t="s">
        <v>49</v>
      </c>
      <c r="L1411" s="1">
        <v>29</v>
      </c>
      <c r="M1411" s="1" t="str">
        <f>IF(L1411&lt;=45,"Joven","Mayor")</f>
        <v>Joven</v>
      </c>
      <c r="N1411" s="1">
        <v>32</v>
      </c>
      <c r="O1411" s="1" t="s">
        <v>50</v>
      </c>
      <c r="P1411" s="1">
        <v>0.21199999999999999</v>
      </c>
      <c r="Q1411" s="1">
        <v>93.603999999999999</v>
      </c>
      <c r="R1411" s="1">
        <v>-1.4806211</v>
      </c>
      <c r="S1411" s="1">
        <v>3.5048887999999998</v>
      </c>
      <c r="T1411" s="1">
        <v>3.3513237999999999</v>
      </c>
      <c r="U1411" s="1">
        <v>16.289000000000001</v>
      </c>
      <c r="V1411" s="1">
        <v>69</v>
      </c>
      <c r="W1411" s="1">
        <v>117</v>
      </c>
      <c r="X1411" s="1">
        <v>1.6956521739130435</v>
      </c>
      <c r="Y1411" s="1">
        <v>69</v>
      </c>
      <c r="Z1411" s="1">
        <v>117</v>
      </c>
      <c r="AA1411" s="1">
        <v>1.6956521739130435</v>
      </c>
      <c r="AB1411" s="1">
        <v>70.694206706190698</v>
      </c>
      <c r="AC1411" s="1">
        <v>116.74145439596759</v>
      </c>
      <c r="AD1411" s="1">
        <v>1.651358149913924</v>
      </c>
      <c r="AE1411" t="s">
        <v>4817</v>
      </c>
      <c r="AF1411" t="str">
        <f>IF(X1411&lt;$AF$1,"Bajo","Alto")</f>
        <v>Bajo</v>
      </c>
      <c r="AG1411" t="str">
        <f>LEFT(AE1411,1)</f>
        <v>C</v>
      </c>
      <c r="AH1411" t="str">
        <f>K1411</f>
        <v>F</v>
      </c>
      <c r="AI1411" t="str">
        <f>LEFT(AF1411,1)</f>
        <v>B</v>
      </c>
      <c r="AJ1411" t="str">
        <f>LEFT(M1411,1)</f>
        <v>J</v>
      </c>
      <c r="AK1411" t="str">
        <f>_xlfn.CONCAT(AG1411,AH1411,AI1411,AJ1411)</f>
        <v>CFBJ</v>
      </c>
    </row>
    <row r="1412" spans="1:37" ht="15.75" hidden="1" customHeight="1" x14ac:dyDescent="0.2">
      <c r="A1412" s="1">
        <v>257302</v>
      </c>
      <c r="B1412" s="1" t="s">
        <v>3169</v>
      </c>
      <c r="C1412" s="1" t="s">
        <v>821</v>
      </c>
      <c r="D1412" s="1" t="s">
        <v>3311</v>
      </c>
      <c r="E1412" s="1" t="s">
        <v>1021</v>
      </c>
      <c r="F1412" s="1" t="s">
        <v>37</v>
      </c>
      <c r="G1412" s="1" t="s">
        <v>3313</v>
      </c>
      <c r="H1412" s="1">
        <v>3173</v>
      </c>
      <c r="I1412" s="1" t="s">
        <v>3314</v>
      </c>
      <c r="J1412" s="1">
        <v>3366</v>
      </c>
      <c r="K1412" s="1" t="s">
        <v>35</v>
      </c>
      <c r="L1412" s="1">
        <v>53</v>
      </c>
      <c r="M1412" s="1" t="str">
        <f>IF(L1412&lt;=45,"Joven","Mayor")</f>
        <v>Mayor</v>
      </c>
      <c r="N1412" s="1">
        <v>55</v>
      </c>
      <c r="O1412" s="1" t="s">
        <v>36</v>
      </c>
      <c r="P1412" s="1">
        <v>0.40699999999999997</v>
      </c>
      <c r="Q1412" s="1">
        <v>82.372</v>
      </c>
      <c r="R1412" s="1">
        <v>9.8755369999999996</v>
      </c>
      <c r="S1412" s="1">
        <v>0.99644094999999999</v>
      </c>
      <c r="T1412" s="1">
        <v>-7.5889720000000001</v>
      </c>
      <c r="U1412" s="1">
        <v>35.276000000000003</v>
      </c>
      <c r="V1412" s="1">
        <v>89</v>
      </c>
      <c r="W1412" s="1">
        <v>149</v>
      </c>
      <c r="X1412" s="1">
        <v>1.6741573033707866</v>
      </c>
      <c r="Y1412" s="1">
        <v>92</v>
      </c>
      <c r="Z1412" s="1">
        <v>149</v>
      </c>
      <c r="AA1412" s="1">
        <v>1.6195652173913044</v>
      </c>
      <c r="AB1412" s="1">
        <v>93.503071183023394</v>
      </c>
      <c r="AC1412" s="1">
        <v>148.88349614439309</v>
      </c>
      <c r="AD1412" s="1">
        <v>1.5922845555839313</v>
      </c>
      <c r="AE1412" t="s">
        <v>4817</v>
      </c>
      <c r="AF1412" t="str">
        <f>IF(X1412&lt;$AF$1,"Bajo","Alto")</f>
        <v>Bajo</v>
      </c>
      <c r="AG1412" t="str">
        <f>LEFT(AE1412,1)</f>
        <v>C</v>
      </c>
      <c r="AH1412" t="str">
        <f>K1412</f>
        <v>M</v>
      </c>
      <c r="AI1412" t="str">
        <f>LEFT(AF1412,1)</f>
        <v>B</v>
      </c>
      <c r="AJ1412" t="str">
        <f>LEFT(M1412,1)</f>
        <v>M</v>
      </c>
      <c r="AK1412" t="str">
        <f>_xlfn.CONCAT(AG1412,AH1412,AI1412,AJ1412)</f>
        <v>CMBM</v>
      </c>
    </row>
    <row r="1413" spans="1:37" ht="15.75" hidden="1" customHeight="1" x14ac:dyDescent="0.2">
      <c r="A1413" s="1">
        <v>1528009</v>
      </c>
      <c r="B1413" s="1" t="s">
        <v>2077</v>
      </c>
      <c r="C1413" s="1" t="s">
        <v>57</v>
      </c>
      <c r="D1413" s="1" t="s">
        <v>2343</v>
      </c>
      <c r="E1413" s="1" t="s">
        <v>556</v>
      </c>
      <c r="F1413" s="1" t="s">
        <v>189</v>
      </c>
      <c r="G1413" s="1" t="s">
        <v>2349</v>
      </c>
      <c r="H1413" s="1">
        <v>781</v>
      </c>
      <c r="I1413" s="1" t="s">
        <v>2350</v>
      </c>
      <c r="J1413" s="1">
        <v>3918</v>
      </c>
      <c r="K1413" s="1" t="s">
        <v>35</v>
      </c>
      <c r="L1413" s="1">
        <v>49</v>
      </c>
      <c r="M1413" s="1" t="str">
        <f>IF(L1413&lt;=45,"Joven","Mayor")</f>
        <v>Mayor</v>
      </c>
      <c r="N1413" s="1">
        <v>48</v>
      </c>
      <c r="O1413" s="1" t="s">
        <v>36</v>
      </c>
      <c r="P1413" s="1">
        <v>0.31</v>
      </c>
      <c r="Q1413" s="1">
        <v>76.573999999999998</v>
      </c>
      <c r="R1413" s="1">
        <v>11.264010000000001</v>
      </c>
      <c r="S1413" s="1">
        <v>3.3025462999999999</v>
      </c>
      <c r="T1413" s="1">
        <v>-3.8311918</v>
      </c>
      <c r="U1413" s="1">
        <v>2.3540000000000001</v>
      </c>
      <c r="V1413" s="1">
        <v>57</v>
      </c>
      <c r="W1413" s="1">
        <v>106</v>
      </c>
      <c r="X1413" s="1">
        <v>1.8596491228070176</v>
      </c>
      <c r="Y1413" s="1">
        <v>58</v>
      </c>
      <c r="Z1413" s="1">
        <v>106</v>
      </c>
      <c r="AA1413" s="1">
        <v>1.8275862068965518</v>
      </c>
      <c r="AB1413" s="1">
        <v>58.543046066127317</v>
      </c>
      <c r="AC1413" s="1">
        <v>105.763115540557</v>
      </c>
      <c r="AD1413" s="1">
        <v>1.8065871635905695</v>
      </c>
      <c r="AE1413" t="s">
        <v>4817</v>
      </c>
      <c r="AF1413" t="str">
        <f>IF(X1413&lt;$AF$1,"Bajo","Alto")</f>
        <v>Alto</v>
      </c>
      <c r="AG1413" t="str">
        <f>LEFT(AE1413,1)</f>
        <v>C</v>
      </c>
      <c r="AH1413" t="str">
        <f>K1413</f>
        <v>M</v>
      </c>
      <c r="AI1413" t="str">
        <f>LEFT(AF1413,1)</f>
        <v>A</v>
      </c>
      <c r="AJ1413" t="str">
        <f>LEFT(M1413,1)</f>
        <v>M</v>
      </c>
      <c r="AK1413" t="str">
        <f>_xlfn.CONCAT(AG1413,AH1413,AI1413,AJ1413)</f>
        <v>CMAM</v>
      </c>
    </row>
    <row r="1414" spans="1:37" ht="15.75" hidden="1" customHeight="1" x14ac:dyDescent="0.2">
      <c r="A1414" s="1">
        <v>317904</v>
      </c>
      <c r="B1414" s="1" t="s">
        <v>4122</v>
      </c>
      <c r="C1414" s="1" t="s">
        <v>628</v>
      </c>
      <c r="D1414" s="1" t="s">
        <v>4259</v>
      </c>
      <c r="E1414" s="1" t="s">
        <v>739</v>
      </c>
      <c r="F1414" s="1" t="s">
        <v>61</v>
      </c>
      <c r="G1414" s="1" t="s">
        <v>4261</v>
      </c>
      <c r="H1414" s="1">
        <v>15522</v>
      </c>
      <c r="I1414" s="1" t="s">
        <v>4262</v>
      </c>
      <c r="J1414" s="1">
        <v>2704</v>
      </c>
      <c r="K1414" s="1" t="s">
        <v>35</v>
      </c>
      <c r="L1414" s="1">
        <v>55</v>
      </c>
      <c r="M1414" s="1" t="str">
        <f>IF(L1414&lt;=45,"Joven","Mayor")</f>
        <v>Mayor</v>
      </c>
      <c r="N1414" s="1">
        <v>61</v>
      </c>
      <c r="O1414" s="1" t="s">
        <v>36</v>
      </c>
      <c r="P1414" s="1">
        <v>0.20799999999999999</v>
      </c>
      <c r="Q1414" s="1">
        <v>74.239999999999995</v>
      </c>
      <c r="R1414" s="1">
        <v>11.572977</v>
      </c>
      <c r="S1414" s="1">
        <v>4.9493999999999998</v>
      </c>
      <c r="T1414" s="1">
        <v>-8.1630090000000006</v>
      </c>
      <c r="U1414" s="1">
        <v>6.0650000000000004</v>
      </c>
      <c r="V1414" s="1">
        <v>89</v>
      </c>
      <c r="W1414" s="1">
        <v>149</v>
      </c>
      <c r="X1414" s="1">
        <v>1.6741573033707866</v>
      </c>
      <c r="Y1414" s="1">
        <v>93</v>
      </c>
      <c r="Z1414" s="1">
        <v>149</v>
      </c>
      <c r="AA1414" s="1">
        <v>1.6021505376344085</v>
      </c>
      <c r="AB1414" s="1">
        <v>93.209897645218462</v>
      </c>
      <c r="AC1414" s="1">
        <v>148.3422874262269</v>
      </c>
      <c r="AD1414" s="1">
        <v>1.591486431954436</v>
      </c>
      <c r="AE1414" t="s">
        <v>4817</v>
      </c>
      <c r="AF1414" t="str">
        <f>IF(X1414&lt;$AF$1,"Bajo","Alto")</f>
        <v>Bajo</v>
      </c>
      <c r="AG1414" t="str">
        <f>LEFT(AE1414,1)</f>
        <v>C</v>
      </c>
      <c r="AH1414" t="str">
        <f>K1414</f>
        <v>M</v>
      </c>
      <c r="AI1414" t="str">
        <f>LEFT(AF1414,1)</f>
        <v>B</v>
      </c>
      <c r="AJ1414" t="str">
        <f>LEFT(M1414,1)</f>
        <v>M</v>
      </c>
      <c r="AK1414" t="str">
        <f>_xlfn.CONCAT(AG1414,AH1414,AI1414,AJ1414)</f>
        <v>CMBM</v>
      </c>
    </row>
    <row r="1415" spans="1:37" ht="15.75" hidden="1" customHeight="1" x14ac:dyDescent="0.2">
      <c r="A1415" s="1">
        <v>524506</v>
      </c>
      <c r="B1415" s="1" t="s">
        <v>4529</v>
      </c>
      <c r="C1415" s="1" t="s">
        <v>685</v>
      </c>
      <c r="D1415" s="1" t="s">
        <v>4620</v>
      </c>
      <c r="E1415" s="1" t="s">
        <v>3682</v>
      </c>
      <c r="F1415" s="1" t="s">
        <v>88</v>
      </c>
      <c r="G1415" s="1" t="s">
        <v>4622</v>
      </c>
      <c r="H1415" s="1">
        <v>193</v>
      </c>
      <c r="I1415" s="1" t="s">
        <v>294</v>
      </c>
      <c r="J1415" s="1">
        <v>16</v>
      </c>
      <c r="K1415" s="1" t="s">
        <v>35</v>
      </c>
      <c r="L1415" s="1">
        <v>53</v>
      </c>
      <c r="M1415" s="1" t="str">
        <f>IF(L1415&lt;=45,"Joven","Mayor")</f>
        <v>Mayor</v>
      </c>
      <c r="N1415" s="1">
        <v>56</v>
      </c>
      <c r="O1415" s="1" t="s">
        <v>36</v>
      </c>
      <c r="P1415" s="1">
        <v>1.099</v>
      </c>
      <c r="Q1415" s="1">
        <v>93.835999999999999</v>
      </c>
      <c r="R1415" s="1">
        <v>-0.50660190000000005</v>
      </c>
      <c r="S1415" s="1">
        <v>3.8268460000000002</v>
      </c>
      <c r="T1415" s="1">
        <v>-0.90999377000000004</v>
      </c>
      <c r="U1415" s="1">
        <v>0.98</v>
      </c>
      <c r="V1415" s="1">
        <v>71</v>
      </c>
      <c r="W1415" s="1">
        <v>132</v>
      </c>
      <c r="X1415" s="1">
        <v>1.8591549295774648</v>
      </c>
      <c r="Y1415" s="1">
        <v>76</v>
      </c>
      <c r="Z1415" s="1">
        <v>132</v>
      </c>
      <c r="AA1415" s="1">
        <v>1.736842105263158</v>
      </c>
      <c r="AB1415" s="1">
        <v>76.514511444282562</v>
      </c>
      <c r="AC1415" s="1">
        <v>131.95158839520079</v>
      </c>
      <c r="AD1415" s="1">
        <v>1.7245302349121996</v>
      </c>
      <c r="AE1415" t="s">
        <v>4817</v>
      </c>
      <c r="AF1415" t="str">
        <f>IF(X1415&lt;$AF$1,"Bajo","Alto")</f>
        <v>Alto</v>
      </c>
      <c r="AG1415" t="str">
        <f>LEFT(AE1415,1)</f>
        <v>C</v>
      </c>
      <c r="AH1415" t="str">
        <f>K1415</f>
        <v>M</v>
      </c>
      <c r="AI1415" t="str">
        <f>LEFT(AF1415,1)</f>
        <v>A</v>
      </c>
      <c r="AJ1415" t="str">
        <f>LEFT(M1415,1)</f>
        <v>M</v>
      </c>
      <c r="AK1415" t="str">
        <f>_xlfn.CONCAT(AG1415,AH1415,AI1415,AJ1415)</f>
        <v>CMAM</v>
      </c>
    </row>
    <row r="1416" spans="1:37" ht="15.75" hidden="1" customHeight="1" x14ac:dyDescent="0.2">
      <c r="A1416" s="1">
        <v>10730703</v>
      </c>
      <c r="B1416" s="1" t="s">
        <v>1067</v>
      </c>
      <c r="C1416" s="1" t="s">
        <v>1068</v>
      </c>
      <c r="D1416" s="1" t="s">
        <v>1373</v>
      </c>
      <c r="E1416" s="1" t="s">
        <v>1374</v>
      </c>
      <c r="F1416" s="1" t="s">
        <v>63</v>
      </c>
      <c r="G1416" s="1" t="s">
        <v>1377</v>
      </c>
      <c r="H1416" s="1">
        <v>318</v>
      </c>
      <c r="I1416" s="1" t="s">
        <v>108</v>
      </c>
      <c r="J1416" s="1">
        <v>3</v>
      </c>
      <c r="K1416" s="1" t="s">
        <v>35</v>
      </c>
      <c r="L1416" s="1">
        <v>30</v>
      </c>
      <c r="M1416" s="1" t="str">
        <f>IF(L1416&lt;=45,"Joven","Mayor")</f>
        <v>Joven</v>
      </c>
      <c r="N1416" s="1">
        <v>33</v>
      </c>
      <c r="O1416" s="1" t="s">
        <v>36</v>
      </c>
      <c r="P1416" s="1">
        <v>0.53800000000000003</v>
      </c>
      <c r="Q1416" s="1">
        <v>83.358000000000004</v>
      </c>
      <c r="R1416" s="1">
        <v>6.7716016999999997</v>
      </c>
      <c r="S1416" s="1">
        <v>10.792026</v>
      </c>
      <c r="T1416" s="1">
        <v>-3.9427363999999998</v>
      </c>
      <c r="U1416" s="1">
        <v>17.145</v>
      </c>
      <c r="V1416" s="1">
        <v>76</v>
      </c>
      <c r="W1416" s="1">
        <v>128</v>
      </c>
      <c r="X1416" s="1">
        <v>1.6842105263157894</v>
      </c>
      <c r="Y1416" s="1">
        <v>77</v>
      </c>
      <c r="Z1416" s="1">
        <v>128</v>
      </c>
      <c r="AA1416" s="1">
        <v>1.6623376623376624</v>
      </c>
      <c r="AB1416" s="1">
        <v>78.949304231831775</v>
      </c>
      <c r="AC1416" s="1">
        <v>127.4907801673648</v>
      </c>
      <c r="AD1416" s="1">
        <v>1.614843619051952</v>
      </c>
      <c r="AE1416" t="s">
        <v>4817</v>
      </c>
      <c r="AF1416" t="str">
        <f>IF(X1416&lt;$AF$1,"Bajo","Alto")</f>
        <v>Bajo</v>
      </c>
      <c r="AG1416" t="str">
        <f>LEFT(AE1416,1)</f>
        <v>C</v>
      </c>
      <c r="AH1416" t="str">
        <f>K1416</f>
        <v>M</v>
      </c>
      <c r="AI1416" t="str">
        <f>LEFT(AF1416,1)</f>
        <v>B</v>
      </c>
      <c r="AJ1416" t="str">
        <f>LEFT(M1416,1)</f>
        <v>J</v>
      </c>
      <c r="AK1416" t="str">
        <f>_xlfn.CONCAT(AG1416,AH1416,AI1416,AJ1416)</f>
        <v>CMBJ</v>
      </c>
    </row>
    <row r="1417" spans="1:37" ht="15.75" hidden="1" customHeight="1" x14ac:dyDescent="0.2">
      <c r="A1417" s="1">
        <v>113701</v>
      </c>
      <c r="B1417" s="1" t="s">
        <v>1648</v>
      </c>
      <c r="C1417" s="1" t="s">
        <v>51</v>
      </c>
      <c r="D1417" s="1" t="s">
        <v>1706</v>
      </c>
      <c r="E1417" s="1" t="s">
        <v>647</v>
      </c>
      <c r="F1417" s="1" t="s">
        <v>32</v>
      </c>
      <c r="G1417" s="1" t="s">
        <v>1707</v>
      </c>
      <c r="H1417" s="1">
        <v>1664</v>
      </c>
      <c r="I1417" s="1" t="s">
        <v>100</v>
      </c>
      <c r="J1417" s="1">
        <v>1</v>
      </c>
      <c r="K1417" s="1" t="s">
        <v>35</v>
      </c>
      <c r="L1417" s="1">
        <v>34</v>
      </c>
      <c r="M1417" s="1" t="str">
        <f>IF(L1417&lt;=45,"Joven","Mayor")</f>
        <v>Joven</v>
      </c>
      <c r="N1417" s="1">
        <v>41</v>
      </c>
      <c r="O1417" s="1" t="s">
        <v>36</v>
      </c>
      <c r="P1417" s="1">
        <v>0.32800000000000001</v>
      </c>
      <c r="Q1417" s="1">
        <v>88.66</v>
      </c>
      <c r="R1417" s="1">
        <v>-4.3625980000000002</v>
      </c>
      <c r="S1417" s="1">
        <v>9.2730409999999992</v>
      </c>
      <c r="T1417" s="1">
        <v>-4.4983864000000002</v>
      </c>
      <c r="U1417" s="1">
        <v>10.762</v>
      </c>
      <c r="V1417" s="1">
        <v>76</v>
      </c>
      <c r="W1417" s="1">
        <v>128</v>
      </c>
      <c r="X1417" s="1">
        <v>1.6842105263157894</v>
      </c>
      <c r="Y1417" s="1">
        <v>81</v>
      </c>
      <c r="Z1417" s="1">
        <v>128</v>
      </c>
      <c r="AA1417" s="1">
        <v>1.5802469135802468</v>
      </c>
      <c r="AB1417" s="1">
        <v>78.711276462273645</v>
      </c>
      <c r="AC1417" s="1">
        <v>128.31158067683779</v>
      </c>
      <c r="AD1417" s="1">
        <v>1.6301549974016443</v>
      </c>
      <c r="AE1417" t="s">
        <v>4817</v>
      </c>
      <c r="AF1417" t="str">
        <f>IF(X1417&lt;$AF$1,"Bajo","Alto")</f>
        <v>Bajo</v>
      </c>
      <c r="AG1417" t="str">
        <f>LEFT(AE1417,1)</f>
        <v>C</v>
      </c>
      <c r="AH1417" t="str">
        <f>K1417</f>
        <v>M</v>
      </c>
      <c r="AI1417" t="str">
        <f>LEFT(AF1417,1)</f>
        <v>B</v>
      </c>
      <c r="AJ1417" t="str">
        <f>LEFT(M1417,1)</f>
        <v>J</v>
      </c>
      <c r="AK1417" t="str">
        <f>_xlfn.CONCAT(AG1417,AH1417,AI1417,AJ1417)</f>
        <v>CMBJ</v>
      </c>
    </row>
    <row r="1418" spans="1:37" ht="15.75" hidden="1" customHeight="1" x14ac:dyDescent="0.2">
      <c r="A1418" s="1">
        <v>151904</v>
      </c>
      <c r="B1418" s="1" t="s">
        <v>2077</v>
      </c>
      <c r="C1418" s="1" t="s">
        <v>57</v>
      </c>
      <c r="D1418" s="1" t="s">
        <v>2224</v>
      </c>
      <c r="E1418" s="1" t="s">
        <v>323</v>
      </c>
      <c r="F1418" s="1" t="s">
        <v>61</v>
      </c>
      <c r="G1418" s="1" t="s">
        <v>2225</v>
      </c>
      <c r="H1418" s="1">
        <v>771</v>
      </c>
      <c r="I1418" s="1" t="s">
        <v>2226</v>
      </c>
      <c r="J1418" s="1">
        <v>2453</v>
      </c>
      <c r="K1418" s="1" t="s">
        <v>49</v>
      </c>
      <c r="L1418" s="1">
        <v>58</v>
      </c>
      <c r="M1418" s="1" t="str">
        <f>IF(L1418&lt;=45,"Joven","Mayor")</f>
        <v>Mayor</v>
      </c>
      <c r="N1418" s="1">
        <v>52</v>
      </c>
      <c r="O1418" s="1" t="s">
        <v>50</v>
      </c>
      <c r="P1418" s="1">
        <v>0.438</v>
      </c>
      <c r="Q1418" s="1">
        <v>94.412999999999997</v>
      </c>
      <c r="R1418" s="1">
        <v>-0.72169059999999996</v>
      </c>
      <c r="S1418" s="1">
        <v>-1.221698</v>
      </c>
      <c r="T1418" s="1">
        <v>-1.3250862000000001</v>
      </c>
      <c r="U1418" s="1">
        <v>19.309999999999999</v>
      </c>
      <c r="V1418" s="1">
        <v>102</v>
      </c>
      <c r="W1418" s="1">
        <v>169</v>
      </c>
      <c r="X1418" s="1">
        <v>1.6568627450980393</v>
      </c>
      <c r="Y1418" s="1">
        <v>105</v>
      </c>
      <c r="Z1418" s="1">
        <v>169</v>
      </c>
      <c r="AA1418" s="1">
        <v>1.6095238095238096</v>
      </c>
      <c r="AB1418" s="1">
        <v>106.0125484119485</v>
      </c>
      <c r="AC1418" s="1">
        <v>168.93168098952401</v>
      </c>
      <c r="AD1418" s="1">
        <v>1.5935064623961441</v>
      </c>
      <c r="AE1418" t="s">
        <v>4817</v>
      </c>
      <c r="AF1418" t="str">
        <f>IF(X1418&lt;$AF$1,"Bajo","Alto")</f>
        <v>Bajo</v>
      </c>
      <c r="AG1418" t="str">
        <f>LEFT(AE1418,1)</f>
        <v>C</v>
      </c>
      <c r="AH1418" t="str">
        <f>K1418</f>
        <v>F</v>
      </c>
      <c r="AI1418" t="str">
        <f>LEFT(AF1418,1)</f>
        <v>B</v>
      </c>
      <c r="AJ1418" t="str">
        <f>LEFT(M1418,1)</f>
        <v>M</v>
      </c>
      <c r="AK1418" t="str">
        <f>_xlfn.CONCAT(AG1418,AH1418,AI1418,AJ1418)</f>
        <v>CFBM</v>
      </c>
    </row>
    <row r="1419" spans="1:37" ht="15.75" hidden="1" customHeight="1" x14ac:dyDescent="0.2">
      <c r="A1419" s="1">
        <v>1533405</v>
      </c>
      <c r="B1419" s="1" t="s">
        <v>2077</v>
      </c>
      <c r="C1419" s="1" t="s">
        <v>57</v>
      </c>
      <c r="D1419" s="1" t="s">
        <v>2426</v>
      </c>
      <c r="E1419" s="1" t="s">
        <v>1423</v>
      </c>
      <c r="F1419" s="1" t="s">
        <v>40</v>
      </c>
      <c r="G1419" s="1" t="s">
        <v>2431</v>
      </c>
      <c r="H1419" s="1">
        <v>3402</v>
      </c>
      <c r="I1419" s="1" t="s">
        <v>2432</v>
      </c>
      <c r="J1419" s="1">
        <v>2461</v>
      </c>
      <c r="K1419" s="1" t="s">
        <v>35</v>
      </c>
      <c r="L1419" s="1">
        <v>34</v>
      </c>
      <c r="M1419" s="1" t="str">
        <f>IF(L1419&lt;=45,"Joven","Mayor")</f>
        <v>Joven</v>
      </c>
      <c r="N1419" s="1">
        <v>45</v>
      </c>
      <c r="O1419" s="1" t="s">
        <v>36</v>
      </c>
      <c r="P1419" s="1">
        <v>0.183</v>
      </c>
      <c r="Q1419" s="1">
        <v>92.317999999999998</v>
      </c>
      <c r="R1419" s="1">
        <v>0.80058527000000002</v>
      </c>
      <c r="S1419" s="1">
        <v>8.5799690000000002</v>
      </c>
      <c r="T1419" s="1">
        <v>-1.9335865000000001</v>
      </c>
      <c r="U1419" s="1">
        <v>6.1680000000000001</v>
      </c>
      <c r="V1419" s="1">
        <v>76</v>
      </c>
      <c r="W1419" s="1">
        <v>128</v>
      </c>
      <c r="X1419" s="1">
        <v>1.6842105263157894</v>
      </c>
      <c r="Y1419" s="1">
        <v>76</v>
      </c>
      <c r="Z1419" s="1">
        <v>128</v>
      </c>
      <c r="AA1419" s="1">
        <v>1.6842105263157894</v>
      </c>
      <c r="AB1419" s="1">
        <v>77.137662859242482</v>
      </c>
      <c r="AC1419" s="1">
        <v>127.99460002036631</v>
      </c>
      <c r="AD1419" s="1">
        <v>1.6593009857444787</v>
      </c>
      <c r="AE1419" t="s">
        <v>4817</v>
      </c>
      <c r="AF1419" t="str">
        <f>IF(X1419&lt;$AF$1,"Bajo","Alto")</f>
        <v>Bajo</v>
      </c>
      <c r="AG1419" t="str">
        <f>LEFT(AE1419,1)</f>
        <v>C</v>
      </c>
      <c r="AH1419" t="str">
        <f>K1419</f>
        <v>M</v>
      </c>
      <c r="AI1419" t="str">
        <f>LEFT(AF1419,1)</f>
        <v>B</v>
      </c>
      <c r="AJ1419" t="str">
        <f>LEFT(M1419,1)</f>
        <v>J</v>
      </c>
      <c r="AK1419" t="str">
        <f>_xlfn.CONCAT(AG1419,AH1419,AI1419,AJ1419)</f>
        <v>CMBJ</v>
      </c>
    </row>
    <row r="1420" spans="1:37" ht="15.75" hidden="1" customHeight="1" x14ac:dyDescent="0.2">
      <c r="A1420" s="1">
        <v>528004</v>
      </c>
      <c r="B1420" s="1" t="s">
        <v>4529</v>
      </c>
      <c r="C1420" s="1" t="s">
        <v>685</v>
      </c>
      <c r="D1420" s="1" t="s">
        <v>4672</v>
      </c>
      <c r="E1420" s="1" t="s">
        <v>744</v>
      </c>
      <c r="F1420" s="1" t="s">
        <v>61</v>
      </c>
      <c r="G1420" s="1" t="s">
        <v>4675</v>
      </c>
      <c r="H1420" s="1">
        <v>2559</v>
      </c>
      <c r="I1420" s="1" t="s">
        <v>4676</v>
      </c>
      <c r="J1420" s="1">
        <v>2462</v>
      </c>
      <c r="K1420" s="1" t="s">
        <v>35</v>
      </c>
      <c r="L1420" s="1">
        <v>36</v>
      </c>
      <c r="M1420" s="1" t="str">
        <f>IF(L1420&lt;=45,"Joven","Mayor")</f>
        <v>Joven</v>
      </c>
      <c r="N1420" s="1">
        <v>38</v>
      </c>
      <c r="O1420" s="1" t="s">
        <v>50</v>
      </c>
      <c r="P1420" s="1">
        <v>0.374</v>
      </c>
      <c r="Q1420" s="1">
        <v>86.867999999999995</v>
      </c>
      <c r="R1420" s="1">
        <v>3.3801426999999999</v>
      </c>
      <c r="S1420" s="1">
        <v>12.924607999999999</v>
      </c>
      <c r="T1420" s="1">
        <v>0.19578396000000001</v>
      </c>
      <c r="U1420" s="1">
        <v>4.1559999999999997</v>
      </c>
      <c r="V1420" s="1">
        <v>85</v>
      </c>
      <c r="W1420" s="1">
        <v>159</v>
      </c>
      <c r="X1420" s="1">
        <v>1.8705882352941177</v>
      </c>
      <c r="Y1420" s="1">
        <v>87</v>
      </c>
      <c r="Z1420" s="1">
        <v>159</v>
      </c>
      <c r="AA1420" s="1">
        <v>1.8275862068965518</v>
      </c>
      <c r="AB1420" s="1">
        <v>86.855975217969217</v>
      </c>
      <c r="AC1420" s="1">
        <v>159.0127399994285</v>
      </c>
      <c r="AD1420" s="1">
        <v>1.8307633942325607</v>
      </c>
      <c r="AE1420" t="s">
        <v>4817</v>
      </c>
      <c r="AF1420" t="str">
        <f>IF(X1420&lt;$AF$1,"Bajo","Alto")</f>
        <v>Alto</v>
      </c>
      <c r="AG1420" t="str">
        <f>LEFT(AE1420,1)</f>
        <v>C</v>
      </c>
      <c r="AH1420" t="str">
        <f>K1420</f>
        <v>M</v>
      </c>
      <c r="AI1420" t="str">
        <f>LEFT(AF1420,1)</f>
        <v>A</v>
      </c>
      <c r="AJ1420" t="str">
        <f>LEFT(M1420,1)</f>
        <v>J</v>
      </c>
      <c r="AK1420" t="str">
        <f>_xlfn.CONCAT(AG1420,AH1420,AI1420,AJ1420)</f>
        <v>CMAJ</v>
      </c>
    </row>
    <row r="1421" spans="1:37" ht="15.75" hidden="1" customHeight="1" x14ac:dyDescent="0.2">
      <c r="A1421" s="1">
        <v>10712101</v>
      </c>
      <c r="B1421" s="1" t="s">
        <v>1067</v>
      </c>
      <c r="C1421" s="1" t="s">
        <v>1068</v>
      </c>
      <c r="D1421" s="1" t="s">
        <v>1114</v>
      </c>
      <c r="E1421" s="1" t="s">
        <v>136</v>
      </c>
      <c r="F1421" s="1" t="s">
        <v>32</v>
      </c>
      <c r="G1421" s="1" t="s">
        <v>1115</v>
      </c>
      <c r="H1421" s="1">
        <v>2528</v>
      </c>
      <c r="I1421" s="1" t="s">
        <v>1116</v>
      </c>
      <c r="J1421" s="1">
        <v>3029</v>
      </c>
      <c r="K1421" s="1" t="s">
        <v>49</v>
      </c>
      <c r="L1421" s="1">
        <v>39</v>
      </c>
      <c r="M1421" s="1" t="str">
        <f>IF(L1421&lt;=45,"Joven","Mayor")</f>
        <v>Joven</v>
      </c>
      <c r="N1421" s="1">
        <v>42</v>
      </c>
      <c r="O1421" s="1" t="s">
        <v>50</v>
      </c>
      <c r="P1421" s="1">
        <v>1.1240000000000001</v>
      </c>
      <c r="Q1421" s="1">
        <v>93.085999999999999</v>
      </c>
      <c r="R1421" s="1">
        <v>2.7055232999999999</v>
      </c>
      <c r="S1421" s="1">
        <v>1.2155491</v>
      </c>
      <c r="T1421" s="1">
        <v>-2.0484662</v>
      </c>
      <c r="U1421" s="1">
        <v>41.186999999999998</v>
      </c>
      <c r="V1421" s="1">
        <v>89</v>
      </c>
      <c r="W1421" s="1">
        <v>151</v>
      </c>
      <c r="X1421" s="1">
        <v>1.696629213483146</v>
      </c>
      <c r="Y1421" s="1">
        <v>91</v>
      </c>
      <c r="Z1421" s="1">
        <v>151</v>
      </c>
      <c r="AA1421" s="1">
        <v>1.6593406593406594</v>
      </c>
      <c r="AB1421" s="1">
        <v>90.372918930547712</v>
      </c>
      <c r="AC1421" s="1">
        <v>151.0107377644276</v>
      </c>
      <c r="AD1421" s="1">
        <v>1.6709733352806777</v>
      </c>
      <c r="AE1421" t="s">
        <v>4817</v>
      </c>
      <c r="AF1421" t="str">
        <f>IF(X1421&lt;$AF$1,"Bajo","Alto")</f>
        <v>Bajo</v>
      </c>
      <c r="AG1421" t="str">
        <f>LEFT(AE1421,1)</f>
        <v>C</v>
      </c>
      <c r="AH1421" t="str">
        <f>K1421</f>
        <v>F</v>
      </c>
      <c r="AI1421" t="str">
        <f>LEFT(AF1421,1)</f>
        <v>B</v>
      </c>
      <c r="AJ1421" t="str">
        <f>LEFT(M1421,1)</f>
        <v>J</v>
      </c>
      <c r="AK1421" t="str">
        <f>_xlfn.CONCAT(AG1421,AH1421,AI1421,AJ1421)</f>
        <v>CFBJ</v>
      </c>
    </row>
    <row r="1422" spans="1:37" ht="15.75" hidden="1" customHeight="1" x14ac:dyDescent="0.2">
      <c r="A1422" s="1">
        <v>159102</v>
      </c>
      <c r="B1422" s="1" t="s">
        <v>2077</v>
      </c>
      <c r="C1422" s="1" t="s">
        <v>57</v>
      </c>
      <c r="D1422" s="1" t="s">
        <v>2533</v>
      </c>
      <c r="E1422" s="1" t="s">
        <v>770</v>
      </c>
      <c r="F1422" s="1" t="s">
        <v>37</v>
      </c>
      <c r="G1422" s="1" t="s">
        <v>2535</v>
      </c>
      <c r="H1422" s="1">
        <v>0</v>
      </c>
      <c r="I1422" s="1" t="s">
        <v>2536</v>
      </c>
      <c r="J1422" s="1">
        <v>2335</v>
      </c>
      <c r="K1422" s="1" t="s">
        <v>35</v>
      </c>
      <c r="L1422" s="1">
        <v>53</v>
      </c>
      <c r="M1422" s="1" t="str">
        <f>IF(L1422&lt;=45,"Joven","Mayor")</f>
        <v>Mayor</v>
      </c>
      <c r="N1422" s="1">
        <v>50</v>
      </c>
      <c r="O1422" s="1" t="s">
        <v>36</v>
      </c>
      <c r="P1422" s="1">
        <v>0.35799999999999998</v>
      </c>
      <c r="Q1422" s="1">
        <v>91.254000000000005</v>
      </c>
      <c r="R1422" s="1">
        <v>-5.0865499999999999</v>
      </c>
      <c r="S1422" s="1">
        <v>-0.93621140000000003</v>
      </c>
      <c r="T1422" s="1">
        <v>3.8568992999999998</v>
      </c>
      <c r="U1422" s="1">
        <v>36.021999999999998</v>
      </c>
      <c r="V1422" s="1">
        <v>99</v>
      </c>
      <c r="W1422" s="1">
        <v>184</v>
      </c>
      <c r="X1422" s="1">
        <v>1.8585858585858586</v>
      </c>
      <c r="Y1422" s="1">
        <v>109</v>
      </c>
      <c r="Z1422" s="1">
        <v>184</v>
      </c>
      <c r="AA1422" s="1">
        <v>1.6880733944954129</v>
      </c>
      <c r="AB1422" s="1">
        <v>106.5333953237746</v>
      </c>
      <c r="AC1422" s="1">
        <v>184.79403538066069</v>
      </c>
      <c r="AD1422" s="1">
        <v>1.7346113377785211</v>
      </c>
      <c r="AE1422" t="s">
        <v>4817</v>
      </c>
      <c r="AF1422" t="str">
        <f>IF(X1422&lt;$AF$1,"Bajo","Alto")</f>
        <v>Alto</v>
      </c>
      <c r="AG1422" t="str">
        <f>LEFT(AE1422,1)</f>
        <v>C</v>
      </c>
      <c r="AH1422" t="str">
        <f>K1422</f>
        <v>M</v>
      </c>
      <c r="AI1422" t="str">
        <f>LEFT(AF1422,1)</f>
        <v>A</v>
      </c>
      <c r="AJ1422" t="str">
        <f>LEFT(M1422,1)</f>
        <v>M</v>
      </c>
      <c r="AK1422" t="str">
        <f>_xlfn.CONCAT(AG1422,AH1422,AI1422,AJ1422)</f>
        <v>CMAM</v>
      </c>
    </row>
    <row r="1423" spans="1:37" ht="15.75" hidden="1" customHeight="1" x14ac:dyDescent="0.2">
      <c r="A1423" s="1">
        <v>10111203</v>
      </c>
      <c r="B1423" s="1" t="s">
        <v>29</v>
      </c>
      <c r="C1423" s="1" t="s">
        <v>30</v>
      </c>
      <c r="D1423" s="1" t="s">
        <v>105</v>
      </c>
      <c r="E1423" s="1" t="s">
        <v>106</v>
      </c>
      <c r="F1423" s="1" t="s">
        <v>63</v>
      </c>
      <c r="G1423" s="1" t="s">
        <v>109</v>
      </c>
      <c r="H1423" s="1">
        <v>3928</v>
      </c>
      <c r="I1423" s="1" t="s">
        <v>110</v>
      </c>
      <c r="J1423" s="1">
        <v>3763</v>
      </c>
      <c r="K1423" s="1" t="s">
        <v>35</v>
      </c>
      <c r="L1423" s="1">
        <v>28</v>
      </c>
      <c r="M1423" s="1" t="str">
        <f>IF(L1423&lt;=45,"Joven","Mayor")</f>
        <v>Joven</v>
      </c>
      <c r="N1423" s="1">
        <v>25</v>
      </c>
      <c r="O1423" s="1" t="s">
        <v>36</v>
      </c>
      <c r="P1423" s="1">
        <v>0.34399999999999997</v>
      </c>
      <c r="Q1423" s="1">
        <v>91.263000000000005</v>
      </c>
      <c r="R1423" s="1">
        <v>-1.1602519</v>
      </c>
      <c r="S1423" s="1">
        <v>10.070883</v>
      </c>
      <c r="T1423" s="1">
        <v>-2.2718823000000001</v>
      </c>
      <c r="U1423" s="1">
        <v>52.021000000000001</v>
      </c>
      <c r="V1423" s="1">
        <v>77</v>
      </c>
      <c r="W1423" s="1">
        <v>144</v>
      </c>
      <c r="X1423" s="1">
        <v>1.8701298701298701</v>
      </c>
      <c r="Y1423" s="1">
        <v>77</v>
      </c>
      <c r="Z1423" s="1">
        <v>144</v>
      </c>
      <c r="AA1423" s="1">
        <v>1.8701298701298701</v>
      </c>
      <c r="AB1423" s="1">
        <v>78.683698849810753</v>
      </c>
      <c r="AC1423" s="1">
        <v>144.00573589325899</v>
      </c>
      <c r="AD1423" s="1">
        <v>1.8301851336212995</v>
      </c>
      <c r="AE1423" t="s">
        <v>4817</v>
      </c>
      <c r="AF1423" t="str">
        <f>IF(X1423&lt;$AF$1,"Bajo","Alto")</f>
        <v>Alto</v>
      </c>
      <c r="AG1423" t="str">
        <f>LEFT(AE1423,1)</f>
        <v>C</v>
      </c>
      <c r="AH1423" t="str">
        <f>K1423</f>
        <v>M</v>
      </c>
      <c r="AI1423" t="str">
        <f>LEFT(AF1423,1)</f>
        <v>A</v>
      </c>
      <c r="AJ1423" t="str">
        <f>LEFT(M1423,1)</f>
        <v>J</v>
      </c>
      <c r="AK1423" t="str">
        <f>_xlfn.CONCAT(AG1423,AH1423,AI1423,AJ1423)</f>
        <v>CMAJ</v>
      </c>
    </row>
    <row r="1424" spans="1:37" ht="15.75" hidden="1" customHeight="1" x14ac:dyDescent="0.2">
      <c r="A1424" s="1">
        <v>10714801</v>
      </c>
      <c r="B1424" s="1" t="s">
        <v>1067</v>
      </c>
      <c r="C1424" s="1" t="s">
        <v>1068</v>
      </c>
      <c r="D1424" s="1" t="s">
        <v>1141</v>
      </c>
      <c r="E1424" s="1" t="s">
        <v>201</v>
      </c>
      <c r="F1424" s="1" t="s">
        <v>32</v>
      </c>
      <c r="G1424" s="1" t="s">
        <v>1142</v>
      </c>
      <c r="H1424" s="1">
        <v>2086</v>
      </c>
      <c r="I1424" s="1" t="s">
        <v>1143</v>
      </c>
      <c r="J1424" s="1">
        <v>2196</v>
      </c>
      <c r="K1424" s="1" t="s">
        <v>49</v>
      </c>
      <c r="L1424" s="1">
        <v>41</v>
      </c>
      <c r="M1424" s="1" t="str">
        <f>IF(L1424&lt;=45,"Joven","Mayor")</f>
        <v>Joven</v>
      </c>
      <c r="N1424" s="1">
        <v>31</v>
      </c>
      <c r="O1424" s="1" t="s">
        <v>50</v>
      </c>
      <c r="P1424" s="1">
        <v>0.35499999999999998</v>
      </c>
      <c r="Q1424" s="1">
        <v>94.662999999999997</v>
      </c>
      <c r="R1424" s="1">
        <v>0.24635638000000001</v>
      </c>
      <c r="S1424" s="1">
        <v>1.1174488</v>
      </c>
      <c r="T1424" s="1">
        <v>4.6630406000000004</v>
      </c>
      <c r="U1424" s="1">
        <v>32.832000000000001</v>
      </c>
      <c r="V1424" s="1">
        <v>75</v>
      </c>
      <c r="W1424" s="1">
        <v>142</v>
      </c>
      <c r="X1424" s="1">
        <v>1.8933333333333333</v>
      </c>
      <c r="Y1424" s="1">
        <v>85</v>
      </c>
      <c r="Z1424" s="1">
        <v>142</v>
      </c>
      <c r="AA1424" s="1">
        <v>1.6705882352941177</v>
      </c>
      <c r="AB1424" s="1">
        <v>81.954602658015801</v>
      </c>
      <c r="AC1424" s="1">
        <v>142.26164534455171</v>
      </c>
      <c r="AD1424" s="1">
        <v>1.7358591309165161</v>
      </c>
      <c r="AE1424" t="s">
        <v>4817</v>
      </c>
      <c r="AF1424" t="str">
        <f>IF(X1424&lt;$AF$1,"Bajo","Alto")</f>
        <v>Alto</v>
      </c>
      <c r="AG1424" t="str">
        <f>LEFT(AE1424,1)</f>
        <v>C</v>
      </c>
      <c r="AH1424" t="str">
        <f>K1424</f>
        <v>F</v>
      </c>
      <c r="AI1424" t="str">
        <f>LEFT(AF1424,1)</f>
        <v>A</v>
      </c>
      <c r="AJ1424" t="str">
        <f>LEFT(M1424,1)</f>
        <v>J</v>
      </c>
      <c r="AK1424" t="str">
        <f>_xlfn.CONCAT(AG1424,AH1424,AI1424,AJ1424)</f>
        <v>CFAJ</v>
      </c>
    </row>
    <row r="1425" spans="1:37" ht="15.75" hidden="1" customHeight="1" x14ac:dyDescent="0.2">
      <c r="A1425" s="1">
        <v>284105</v>
      </c>
      <c r="B1425" s="1" t="s">
        <v>1775</v>
      </c>
      <c r="C1425" s="1" t="s">
        <v>561</v>
      </c>
      <c r="D1425" s="1" t="s">
        <v>3854</v>
      </c>
      <c r="E1425" s="1" t="s">
        <v>988</v>
      </c>
      <c r="F1425" s="1" t="s">
        <v>40</v>
      </c>
      <c r="G1425" s="1" t="s">
        <v>3859</v>
      </c>
      <c r="H1425" s="1">
        <v>651</v>
      </c>
      <c r="I1425" s="1" t="s">
        <v>48</v>
      </c>
      <c r="J1425" s="1">
        <v>4</v>
      </c>
      <c r="K1425" s="1" t="s">
        <v>35</v>
      </c>
      <c r="L1425" s="1">
        <v>36</v>
      </c>
      <c r="M1425" s="1" t="str">
        <f>IF(L1425&lt;=45,"Joven","Mayor")</f>
        <v>Joven</v>
      </c>
      <c r="N1425" s="1">
        <v>25</v>
      </c>
      <c r="O1425" s="1" t="s">
        <v>36</v>
      </c>
      <c r="P1425" s="1">
        <v>0.23100000000000001</v>
      </c>
      <c r="Q1425" s="1">
        <v>89.471000000000004</v>
      </c>
      <c r="R1425" s="1">
        <v>4.2337300000000004</v>
      </c>
      <c r="S1425" s="1">
        <v>8.2650330000000007</v>
      </c>
      <c r="T1425" s="1">
        <v>-1.0092691</v>
      </c>
      <c r="U1425" s="1">
        <v>1.994</v>
      </c>
      <c r="V1425" s="1">
        <v>114</v>
      </c>
      <c r="W1425" s="1">
        <v>192</v>
      </c>
      <c r="X1425" s="1">
        <v>1.6842105263157894</v>
      </c>
      <c r="Y1425" s="1">
        <v>120</v>
      </c>
      <c r="Z1425" s="1">
        <v>192</v>
      </c>
      <c r="AA1425" s="1">
        <v>1.6</v>
      </c>
      <c r="AB1425" s="1">
        <v>119.047832674619</v>
      </c>
      <c r="AC1425" s="1">
        <v>191.9878270257154</v>
      </c>
      <c r="AD1425" s="1">
        <v>1.6126948530886376</v>
      </c>
      <c r="AE1425" t="s">
        <v>4817</v>
      </c>
      <c r="AF1425" t="str">
        <f>IF(X1425&lt;$AF$1,"Bajo","Alto")</f>
        <v>Bajo</v>
      </c>
      <c r="AG1425" t="str">
        <f>LEFT(AE1425,1)</f>
        <v>C</v>
      </c>
      <c r="AH1425" t="str">
        <f>K1425</f>
        <v>M</v>
      </c>
      <c r="AI1425" t="str">
        <f>LEFT(AF1425,1)</f>
        <v>B</v>
      </c>
      <c r="AJ1425" t="str">
        <f>LEFT(M1425,1)</f>
        <v>J</v>
      </c>
      <c r="AK1425" t="str">
        <f>_xlfn.CONCAT(AG1425,AH1425,AI1425,AJ1425)</f>
        <v>CMBJ</v>
      </c>
    </row>
    <row r="1426" spans="1:37" ht="15.75" hidden="1" customHeight="1" x14ac:dyDescent="0.2">
      <c r="A1426" s="1">
        <v>127504</v>
      </c>
      <c r="B1426" s="1" t="s">
        <v>1798</v>
      </c>
      <c r="C1426" s="1" t="s">
        <v>54</v>
      </c>
      <c r="D1426" s="1" t="s">
        <v>1911</v>
      </c>
      <c r="E1426" s="1" t="s">
        <v>1912</v>
      </c>
      <c r="F1426" s="1" t="s">
        <v>61</v>
      </c>
      <c r="G1426" s="1" t="s">
        <v>1914</v>
      </c>
      <c r="H1426" s="1">
        <v>3472</v>
      </c>
      <c r="I1426" s="1" t="s">
        <v>134</v>
      </c>
      <c r="J1426" s="1">
        <v>8</v>
      </c>
      <c r="K1426" s="1" t="s">
        <v>49</v>
      </c>
      <c r="L1426" s="1">
        <v>41</v>
      </c>
      <c r="M1426" s="1" t="str">
        <f>IF(L1426&lt;=45,"Joven","Mayor")</f>
        <v>Joven</v>
      </c>
      <c r="N1426" s="1">
        <v>42</v>
      </c>
      <c r="O1426" s="1" t="s">
        <v>50</v>
      </c>
      <c r="P1426" s="1">
        <v>3.7999999999999999E-2</v>
      </c>
      <c r="Q1426" s="1">
        <v>92.95</v>
      </c>
      <c r="R1426" s="1">
        <v>2.2111301000000001</v>
      </c>
      <c r="S1426" s="1">
        <v>4.4067736000000002</v>
      </c>
      <c r="T1426" s="1">
        <v>9.8016799999999993</v>
      </c>
      <c r="U1426" s="1">
        <v>53.823</v>
      </c>
      <c r="V1426" s="1">
        <v>84</v>
      </c>
      <c r="W1426" s="1">
        <v>159</v>
      </c>
      <c r="X1426" s="1">
        <v>1.8928571428571428</v>
      </c>
      <c r="Y1426" s="1">
        <v>98</v>
      </c>
      <c r="Z1426" s="1">
        <v>159</v>
      </c>
      <c r="AA1426" s="1">
        <v>1.6224489795918366</v>
      </c>
      <c r="AB1426" s="1">
        <v>92.988147775255356</v>
      </c>
      <c r="AC1426" s="1">
        <v>161.78621403666239</v>
      </c>
      <c r="AD1426" s="1">
        <v>1.739858443332867</v>
      </c>
      <c r="AE1426" t="s">
        <v>4817</v>
      </c>
      <c r="AF1426" t="str">
        <f>IF(X1426&lt;$AF$1,"Bajo","Alto")</f>
        <v>Alto</v>
      </c>
      <c r="AG1426" t="str">
        <f>LEFT(AE1426,1)</f>
        <v>C</v>
      </c>
      <c r="AH1426" t="str">
        <f>K1426</f>
        <v>F</v>
      </c>
      <c r="AI1426" t="str">
        <f>LEFT(AF1426,1)</f>
        <v>A</v>
      </c>
      <c r="AJ1426" t="str">
        <f>LEFT(M1426,1)</f>
        <v>J</v>
      </c>
      <c r="AK1426" t="str">
        <f>_xlfn.CONCAT(AG1426,AH1426,AI1426,AJ1426)</f>
        <v>CFAJ</v>
      </c>
    </row>
    <row r="1427" spans="1:37" ht="15.75" hidden="1" customHeight="1" x14ac:dyDescent="0.2">
      <c r="A1427" s="1">
        <v>298907</v>
      </c>
      <c r="B1427" s="1" t="s">
        <v>3890</v>
      </c>
      <c r="C1427" s="1" t="s">
        <v>1695</v>
      </c>
      <c r="D1427" s="1" t="s">
        <v>4099</v>
      </c>
      <c r="E1427" s="1" t="s">
        <v>4100</v>
      </c>
      <c r="F1427" s="1" t="s">
        <v>43</v>
      </c>
      <c r="G1427" s="1" t="s">
        <v>4107</v>
      </c>
      <c r="H1427" s="1">
        <v>301</v>
      </c>
      <c r="I1427" s="1" t="s">
        <v>134</v>
      </c>
      <c r="J1427" s="1">
        <v>8</v>
      </c>
      <c r="K1427" s="1" t="s">
        <v>35</v>
      </c>
      <c r="L1427" s="1">
        <v>39</v>
      </c>
      <c r="M1427" s="1" t="str">
        <f>IF(L1427&lt;=45,"Joven","Mayor")</f>
        <v>Joven</v>
      </c>
      <c r="N1427" s="1">
        <v>48</v>
      </c>
      <c r="O1427" s="1" t="s">
        <v>36</v>
      </c>
      <c r="P1427" s="1">
        <v>0.374</v>
      </c>
      <c r="Q1427" s="1">
        <v>87.903999999999996</v>
      </c>
      <c r="R1427" s="1">
        <v>5.7854685999999997</v>
      </c>
      <c r="S1427" s="1">
        <v>7.2873006</v>
      </c>
      <c r="T1427" s="1">
        <v>-0.63386374999999995</v>
      </c>
      <c r="U1427" s="1">
        <v>1.605</v>
      </c>
      <c r="V1427" s="1">
        <v>75</v>
      </c>
      <c r="W1427" s="1">
        <v>138</v>
      </c>
      <c r="X1427" s="1">
        <v>1.84</v>
      </c>
      <c r="Y1427" s="1">
        <v>75</v>
      </c>
      <c r="Z1427" s="1">
        <v>138</v>
      </c>
      <c r="AA1427" s="1">
        <v>1.84</v>
      </c>
      <c r="AB1427" s="1">
        <v>75.349419496115161</v>
      </c>
      <c r="AC1427" s="1">
        <v>137.958366812506</v>
      </c>
      <c r="AD1427" s="1">
        <v>1.8309147931739382</v>
      </c>
      <c r="AE1427" t="s">
        <v>4815</v>
      </c>
      <c r="AF1427" t="str">
        <f>IF(X1427&lt;$AF$1,"Bajo","Alto")</f>
        <v>Alto</v>
      </c>
      <c r="AG1427" t="str">
        <f>LEFT(AE1427,1)</f>
        <v>I</v>
      </c>
      <c r="AH1427" t="str">
        <f>K1427</f>
        <v>M</v>
      </c>
      <c r="AI1427" t="str">
        <f>LEFT(AF1427,1)</f>
        <v>A</v>
      </c>
      <c r="AJ1427" t="str">
        <f>LEFT(M1427,1)</f>
        <v>J</v>
      </c>
      <c r="AK1427" t="str">
        <f>_xlfn.CONCAT(AG1427,AH1427,AI1427,AJ1427)</f>
        <v>IMAJ</v>
      </c>
    </row>
    <row r="1428" spans="1:37" ht="15.75" hidden="1" customHeight="1" x14ac:dyDescent="0.2">
      <c r="A1428" s="1">
        <v>1529802</v>
      </c>
      <c r="B1428" s="1" t="s">
        <v>2077</v>
      </c>
      <c r="C1428" s="1" t="s">
        <v>57</v>
      </c>
      <c r="D1428" s="1" t="s">
        <v>2374</v>
      </c>
      <c r="E1428" s="1" t="s">
        <v>608</v>
      </c>
      <c r="F1428" s="1" t="s">
        <v>37</v>
      </c>
      <c r="G1428" s="1" t="s">
        <v>2376</v>
      </c>
      <c r="H1428" s="1">
        <v>1987</v>
      </c>
      <c r="I1428" s="1" t="s">
        <v>2377</v>
      </c>
      <c r="J1428" s="1">
        <v>2093</v>
      </c>
      <c r="K1428" s="1" t="s">
        <v>35</v>
      </c>
      <c r="L1428" s="1">
        <v>39</v>
      </c>
      <c r="M1428" s="1" t="str">
        <f>IF(L1428&lt;=45,"Joven","Mayor")</f>
        <v>Joven</v>
      </c>
      <c r="N1428" s="1">
        <v>36</v>
      </c>
      <c r="O1428" s="1" t="s">
        <v>36</v>
      </c>
      <c r="P1428" s="1">
        <v>0.36299999999999999</v>
      </c>
      <c r="Q1428" s="1">
        <v>90.113</v>
      </c>
      <c r="R1428" s="1">
        <v>6.0682280000000004</v>
      </c>
      <c r="S1428" s="1">
        <v>0.74300250000000001</v>
      </c>
      <c r="T1428" s="1">
        <v>-4.8049635999999998</v>
      </c>
      <c r="U1428" s="1">
        <v>3.1269999999999998</v>
      </c>
      <c r="V1428" s="1">
        <v>92</v>
      </c>
      <c r="W1428" s="1">
        <v>155</v>
      </c>
      <c r="X1428" s="1">
        <v>1.6847826086956521</v>
      </c>
      <c r="Y1428" s="1">
        <v>97</v>
      </c>
      <c r="Z1428" s="1">
        <v>155</v>
      </c>
      <c r="AA1428" s="1">
        <v>1.597938144329897</v>
      </c>
      <c r="AB1428" s="1">
        <v>95.362299284466644</v>
      </c>
      <c r="AC1428" s="1">
        <v>154.87408984397231</v>
      </c>
      <c r="AD1428" s="1">
        <v>1.6240599377955582</v>
      </c>
      <c r="AE1428" t="s">
        <v>4817</v>
      </c>
      <c r="AF1428" t="str">
        <f>IF(X1428&lt;$AF$1,"Bajo","Alto")</f>
        <v>Bajo</v>
      </c>
      <c r="AG1428" t="str">
        <f>LEFT(AE1428,1)</f>
        <v>C</v>
      </c>
      <c r="AH1428" t="str">
        <f>K1428</f>
        <v>M</v>
      </c>
      <c r="AI1428" t="str">
        <f>LEFT(AF1428,1)</f>
        <v>B</v>
      </c>
      <c r="AJ1428" t="str">
        <f>LEFT(M1428,1)</f>
        <v>J</v>
      </c>
      <c r="AK1428" t="str">
        <f>_xlfn.CONCAT(AG1428,AH1428,AI1428,AJ1428)</f>
        <v>CMBJ</v>
      </c>
    </row>
    <row r="1429" spans="1:37" ht="15.75" hidden="1" customHeight="1" x14ac:dyDescent="0.2">
      <c r="A1429" s="1">
        <v>241303</v>
      </c>
      <c r="B1429" s="1" t="s">
        <v>1548</v>
      </c>
      <c r="C1429" s="1" t="s">
        <v>1993</v>
      </c>
      <c r="D1429" s="1" t="s">
        <v>1659</v>
      </c>
      <c r="E1429" s="1" t="s">
        <v>163</v>
      </c>
      <c r="F1429" s="1" t="s">
        <v>63</v>
      </c>
      <c r="G1429" s="1" t="s">
        <v>3131</v>
      </c>
      <c r="H1429" s="1">
        <v>529</v>
      </c>
      <c r="I1429" s="1" t="s">
        <v>134</v>
      </c>
      <c r="J1429" s="1">
        <v>8</v>
      </c>
      <c r="K1429" s="1" t="s">
        <v>35</v>
      </c>
      <c r="L1429" s="1">
        <v>48</v>
      </c>
      <c r="M1429" s="1" t="str">
        <f>IF(L1429&lt;=45,"Joven","Mayor")</f>
        <v>Mayor</v>
      </c>
      <c r="N1429" s="1">
        <v>54</v>
      </c>
      <c r="O1429" s="1" t="s">
        <v>36</v>
      </c>
      <c r="P1429" s="1">
        <v>5.1999999999999998E-2</v>
      </c>
      <c r="Q1429" s="1">
        <v>92.146000000000001</v>
      </c>
      <c r="R1429" s="1">
        <v>4.1383200000000002</v>
      </c>
      <c r="S1429" s="1">
        <v>1.5912693</v>
      </c>
      <c r="T1429" s="1">
        <v>-3.0371160000000001</v>
      </c>
      <c r="U1429" s="1">
        <v>0.40300000000000002</v>
      </c>
      <c r="V1429" s="1">
        <v>86</v>
      </c>
      <c r="W1429" s="1">
        <v>144</v>
      </c>
      <c r="X1429" s="1">
        <v>1.6744186046511629</v>
      </c>
      <c r="Y1429" s="1">
        <v>88</v>
      </c>
      <c r="Z1429" s="1">
        <v>144</v>
      </c>
      <c r="AA1429" s="1">
        <v>1.6363636363636365</v>
      </c>
      <c r="AB1429" s="1">
        <v>89.730797036223066</v>
      </c>
      <c r="AC1429" s="1">
        <v>143.5858093785769</v>
      </c>
      <c r="AD1429" s="1">
        <v>1.6001842636103334</v>
      </c>
      <c r="AE1429" t="s">
        <v>4817</v>
      </c>
      <c r="AF1429" t="str">
        <f>IF(X1429&lt;$AF$1,"Bajo","Alto")</f>
        <v>Bajo</v>
      </c>
      <c r="AG1429" t="str">
        <f>LEFT(AE1429,1)</f>
        <v>C</v>
      </c>
      <c r="AH1429" t="str">
        <f>K1429</f>
        <v>M</v>
      </c>
      <c r="AI1429" t="str">
        <f>LEFT(AF1429,1)</f>
        <v>B</v>
      </c>
      <c r="AJ1429" t="str">
        <f>LEFT(M1429,1)</f>
        <v>M</v>
      </c>
      <c r="AK1429" t="str">
        <f>_xlfn.CONCAT(AG1429,AH1429,AI1429,AJ1429)</f>
        <v>CMBM</v>
      </c>
    </row>
    <row r="1430" spans="1:37" ht="15.75" hidden="1" customHeight="1" x14ac:dyDescent="0.2">
      <c r="A1430" s="1">
        <v>442204</v>
      </c>
      <c r="B1430" s="1" t="s">
        <v>4314</v>
      </c>
      <c r="C1430" s="1" t="s">
        <v>995</v>
      </c>
      <c r="D1430" s="1" t="s">
        <v>4363</v>
      </c>
      <c r="E1430" s="1" t="s">
        <v>418</v>
      </c>
      <c r="F1430" s="1" t="s">
        <v>61</v>
      </c>
      <c r="G1430" s="1" t="s">
        <v>4368</v>
      </c>
      <c r="H1430" s="1">
        <v>1112</v>
      </c>
      <c r="I1430" s="1" t="s">
        <v>4369</v>
      </c>
      <c r="J1430" s="1">
        <v>3599</v>
      </c>
      <c r="K1430" s="1" t="s">
        <v>35</v>
      </c>
      <c r="L1430" s="1">
        <v>29</v>
      </c>
      <c r="M1430" s="1" t="str">
        <f>IF(L1430&lt;=45,"Joven","Mayor")</f>
        <v>Joven</v>
      </c>
      <c r="N1430" s="1">
        <v>56</v>
      </c>
      <c r="O1430" s="1" t="s">
        <v>36</v>
      </c>
      <c r="P1430" s="1">
        <v>0.36599999999999999</v>
      </c>
      <c r="Q1430" s="1">
        <v>92.152000000000001</v>
      </c>
      <c r="R1430" s="1">
        <v>2.2258483999999998</v>
      </c>
      <c r="S1430" s="1">
        <v>6.4991770000000004</v>
      </c>
      <c r="T1430" s="1">
        <v>-0.20761425999999999</v>
      </c>
      <c r="U1430" s="1">
        <v>44.765000000000001</v>
      </c>
      <c r="V1430" s="1">
        <v>99</v>
      </c>
      <c r="W1430" s="1">
        <v>167</v>
      </c>
      <c r="X1430" s="1">
        <v>1.6868686868686869</v>
      </c>
      <c r="Y1430" s="1">
        <v>99</v>
      </c>
      <c r="Z1430" s="1">
        <v>167</v>
      </c>
      <c r="AA1430" s="1">
        <v>1.6868686868686869</v>
      </c>
      <c r="AB1430" s="1">
        <v>99.144291838432309</v>
      </c>
      <c r="AC1430" s="1">
        <v>166.98803300172679</v>
      </c>
      <c r="AD1430" s="1">
        <v>1.6842929623609004</v>
      </c>
      <c r="AE1430" t="s">
        <v>4817</v>
      </c>
      <c r="AF1430" t="str">
        <f>IF(X1430&lt;$AF$1,"Bajo","Alto")</f>
        <v>Bajo</v>
      </c>
      <c r="AG1430" t="str">
        <f>LEFT(AE1430,1)</f>
        <v>C</v>
      </c>
      <c r="AH1430" t="str">
        <f>K1430</f>
        <v>M</v>
      </c>
      <c r="AI1430" t="str">
        <f>LEFT(AF1430,1)</f>
        <v>B</v>
      </c>
      <c r="AJ1430" t="str">
        <f>LEFT(M1430,1)</f>
        <v>J</v>
      </c>
      <c r="AK1430" t="str">
        <f>_xlfn.CONCAT(AG1430,AH1430,AI1430,AJ1430)</f>
        <v>CMBJ</v>
      </c>
    </row>
    <row r="1431" spans="1:37" ht="15.75" hidden="1" customHeight="1" x14ac:dyDescent="0.2">
      <c r="A1431" s="1">
        <v>116003</v>
      </c>
      <c r="B1431" s="1" t="s">
        <v>1648</v>
      </c>
      <c r="C1431" s="1" t="s">
        <v>51</v>
      </c>
      <c r="D1431" s="1" t="s">
        <v>1735</v>
      </c>
      <c r="E1431" s="1" t="s">
        <v>1458</v>
      </c>
      <c r="F1431" s="1" t="s">
        <v>63</v>
      </c>
      <c r="G1431" s="1" t="s">
        <v>1737</v>
      </c>
      <c r="H1431" s="1">
        <v>549</v>
      </c>
      <c r="I1431" s="1" t="s">
        <v>65</v>
      </c>
      <c r="J1431" s="1">
        <v>2</v>
      </c>
      <c r="K1431" s="1" t="s">
        <v>49</v>
      </c>
      <c r="L1431" s="1">
        <v>39</v>
      </c>
      <c r="M1431" s="1" t="str">
        <f>IF(L1431&lt;=45,"Joven","Mayor")</f>
        <v>Joven</v>
      </c>
      <c r="N1431" s="1">
        <v>44</v>
      </c>
      <c r="O1431" s="1" t="s">
        <v>50</v>
      </c>
      <c r="P1431" s="1">
        <v>5.0999999999999997E-2</v>
      </c>
      <c r="Q1431" s="1">
        <v>4.5590000000000002</v>
      </c>
      <c r="R1431" s="1">
        <v>23.292994</v>
      </c>
      <c r="S1431" s="1">
        <v>-3.0803256000000001</v>
      </c>
      <c r="T1431" s="1">
        <v>-2.8372538</v>
      </c>
      <c r="U1431" s="1">
        <v>26.989000000000001</v>
      </c>
      <c r="V1431" s="1">
        <v>100</v>
      </c>
      <c r="W1431" s="1">
        <v>189</v>
      </c>
      <c r="X1431" s="1">
        <v>1.89</v>
      </c>
      <c r="Y1431" s="1">
        <v>101</v>
      </c>
      <c r="Z1431" s="1">
        <v>189</v>
      </c>
      <c r="AA1431" s="1">
        <v>1.8712871287128714</v>
      </c>
      <c r="AB1431" s="1">
        <v>101.708886234037</v>
      </c>
      <c r="AC1431" s="1">
        <v>188.22382596928759</v>
      </c>
      <c r="AD1431" s="1">
        <v>1.8506133823565385</v>
      </c>
      <c r="AE1431" t="s">
        <v>4817</v>
      </c>
      <c r="AF1431" t="str">
        <f>IF(X1431&lt;$AF$1,"Bajo","Alto")</f>
        <v>Alto</v>
      </c>
      <c r="AG1431" t="str">
        <f>LEFT(AE1431,1)</f>
        <v>C</v>
      </c>
      <c r="AH1431" t="str">
        <f>K1431</f>
        <v>F</v>
      </c>
      <c r="AI1431" t="str">
        <f>LEFT(AF1431,1)</f>
        <v>A</v>
      </c>
      <c r="AJ1431" t="str">
        <f>LEFT(M1431,1)</f>
        <v>J</v>
      </c>
      <c r="AK1431" t="str">
        <f>_xlfn.CONCAT(AG1431,AH1431,AI1431,AJ1431)</f>
        <v>CFAJ</v>
      </c>
    </row>
    <row r="1432" spans="1:37" ht="15.75" hidden="1" customHeight="1" x14ac:dyDescent="0.2">
      <c r="A1432" s="1">
        <v>127503</v>
      </c>
      <c r="B1432" s="1" t="s">
        <v>1798</v>
      </c>
      <c r="C1432" s="1" t="s">
        <v>54</v>
      </c>
      <c r="D1432" s="1" t="s">
        <v>1911</v>
      </c>
      <c r="E1432" s="1" t="s">
        <v>1912</v>
      </c>
      <c r="F1432" s="1" t="s">
        <v>63</v>
      </c>
      <c r="G1432" s="1" t="s">
        <v>1913</v>
      </c>
      <c r="H1432" s="1">
        <v>61</v>
      </c>
      <c r="I1432" s="1" t="s">
        <v>45</v>
      </c>
      <c r="J1432" s="1">
        <v>17</v>
      </c>
      <c r="K1432" s="1" t="s">
        <v>35</v>
      </c>
      <c r="L1432" s="1">
        <v>47</v>
      </c>
      <c r="M1432" s="1" t="str">
        <f>IF(L1432&lt;=45,"Joven","Mayor")</f>
        <v>Mayor</v>
      </c>
      <c r="N1432" s="1">
        <v>45</v>
      </c>
      <c r="O1432" s="1" t="s">
        <v>36</v>
      </c>
      <c r="P1432" s="1">
        <v>0.34799999999999998</v>
      </c>
      <c r="Q1432" s="1">
        <v>91.628</v>
      </c>
      <c r="R1432" s="1">
        <v>2.494567</v>
      </c>
      <c r="S1432" s="1">
        <v>7.2834659999999998</v>
      </c>
      <c r="T1432" s="1">
        <v>1.0174022</v>
      </c>
      <c r="U1432" s="1">
        <v>3.91</v>
      </c>
      <c r="V1432" s="1">
        <v>83</v>
      </c>
      <c r="W1432" s="1">
        <v>139</v>
      </c>
      <c r="X1432" s="1">
        <v>1.6746987951807228</v>
      </c>
      <c r="Y1432" s="1">
        <v>85</v>
      </c>
      <c r="Z1432" s="1">
        <v>139</v>
      </c>
      <c r="AA1432" s="1">
        <v>1.6352941176470588</v>
      </c>
      <c r="AB1432" s="1">
        <v>85.59030649694887</v>
      </c>
      <c r="AC1432" s="1">
        <v>138.9958424980214</v>
      </c>
      <c r="AD1432" s="1">
        <v>1.6239671078053253</v>
      </c>
      <c r="AE1432" t="s">
        <v>4817</v>
      </c>
      <c r="AF1432" t="str">
        <f>IF(X1432&lt;$AF$1,"Bajo","Alto")</f>
        <v>Bajo</v>
      </c>
      <c r="AG1432" t="str">
        <f>LEFT(AE1432,1)</f>
        <v>C</v>
      </c>
      <c r="AH1432" t="str">
        <f>K1432</f>
        <v>M</v>
      </c>
      <c r="AI1432" t="str">
        <f>LEFT(AF1432,1)</f>
        <v>B</v>
      </c>
      <c r="AJ1432" t="str">
        <f>LEFT(M1432,1)</f>
        <v>M</v>
      </c>
      <c r="AK1432" t="str">
        <f>_xlfn.CONCAT(AG1432,AH1432,AI1432,AJ1432)</f>
        <v>CMBM</v>
      </c>
    </row>
    <row r="1433" spans="1:37" ht="15.75" hidden="1" customHeight="1" x14ac:dyDescent="0.2">
      <c r="A1433" s="1">
        <v>2715401</v>
      </c>
      <c r="B1433" s="1" t="s">
        <v>3409</v>
      </c>
      <c r="C1433" s="1" t="s">
        <v>973</v>
      </c>
      <c r="D1433" s="1" t="s">
        <v>3519</v>
      </c>
      <c r="E1433" s="1" t="s">
        <v>221</v>
      </c>
      <c r="F1433" s="1" t="s">
        <v>32</v>
      </c>
      <c r="G1433" s="1" t="s">
        <v>3520</v>
      </c>
      <c r="H1433" s="1">
        <v>898</v>
      </c>
      <c r="I1433" s="1" t="s">
        <v>3085</v>
      </c>
      <c r="J1433" s="1">
        <v>2303</v>
      </c>
      <c r="K1433" s="1" t="s">
        <v>35</v>
      </c>
      <c r="L1433" s="1">
        <v>41</v>
      </c>
      <c r="M1433" s="1" t="str">
        <f>IF(L1433&lt;=45,"Joven","Mayor")</f>
        <v>Joven</v>
      </c>
      <c r="N1433" s="1">
        <v>40</v>
      </c>
      <c r="O1433" s="1" t="s">
        <v>36</v>
      </c>
      <c r="P1433" s="1">
        <v>0.156</v>
      </c>
      <c r="Q1433" s="1">
        <v>92.748000000000005</v>
      </c>
      <c r="R1433" s="1">
        <v>3.2218556</v>
      </c>
      <c r="S1433" s="1">
        <v>2.2124450000000002</v>
      </c>
      <c r="T1433" s="1">
        <v>-3.4525087000000001</v>
      </c>
      <c r="U1433" s="1">
        <v>8.2379999999999995</v>
      </c>
      <c r="V1433" s="1">
        <v>115</v>
      </c>
      <c r="W1433" s="1">
        <v>194</v>
      </c>
      <c r="X1433" s="1">
        <v>1.6869565217391305</v>
      </c>
      <c r="Y1433" s="1">
        <v>121</v>
      </c>
      <c r="Z1433" s="1">
        <v>194</v>
      </c>
      <c r="AA1433" s="1">
        <v>1.6033057851239669</v>
      </c>
      <c r="AB1433" s="1">
        <v>118.5852162670317</v>
      </c>
      <c r="AC1433" s="1">
        <v>194.37055536152459</v>
      </c>
      <c r="AD1433" s="1">
        <v>1.639079148988003</v>
      </c>
      <c r="AE1433" t="s">
        <v>4817</v>
      </c>
      <c r="AF1433" t="str">
        <f>IF(X1433&lt;$AF$1,"Bajo","Alto")</f>
        <v>Bajo</v>
      </c>
      <c r="AG1433" t="str">
        <f>LEFT(AE1433,1)</f>
        <v>C</v>
      </c>
      <c r="AH1433" t="str">
        <f>K1433</f>
        <v>M</v>
      </c>
      <c r="AI1433" t="str">
        <f>LEFT(AF1433,1)</f>
        <v>B</v>
      </c>
      <c r="AJ1433" t="str">
        <f>LEFT(M1433,1)</f>
        <v>J</v>
      </c>
      <c r="AK1433" t="str">
        <f>_xlfn.CONCAT(AG1433,AH1433,AI1433,AJ1433)</f>
        <v>CMBJ</v>
      </c>
    </row>
    <row r="1434" spans="1:37" ht="15.75" hidden="1" customHeight="1" x14ac:dyDescent="0.2">
      <c r="A1434" s="1">
        <v>524603</v>
      </c>
      <c r="B1434" s="1" t="s">
        <v>4529</v>
      </c>
      <c r="C1434" s="1" t="s">
        <v>685</v>
      </c>
      <c r="D1434" s="1" t="s">
        <v>4626</v>
      </c>
      <c r="E1434" s="1" t="s">
        <v>669</v>
      </c>
      <c r="F1434" s="1" t="s">
        <v>63</v>
      </c>
      <c r="G1434" s="1" t="s">
        <v>4629</v>
      </c>
      <c r="H1434" s="1">
        <v>618</v>
      </c>
      <c r="I1434" s="1" t="s">
        <v>91</v>
      </c>
      <c r="J1434" s="1">
        <v>6</v>
      </c>
      <c r="K1434" s="1" t="s">
        <v>35</v>
      </c>
      <c r="L1434" s="1">
        <v>65</v>
      </c>
      <c r="M1434" s="1" t="str">
        <f>IF(L1434&lt;=45,"Joven","Mayor")</f>
        <v>Mayor</v>
      </c>
      <c r="N1434" s="1">
        <v>69</v>
      </c>
      <c r="O1434" s="1" t="s">
        <v>36</v>
      </c>
      <c r="P1434" s="1">
        <v>0.34799999999999998</v>
      </c>
      <c r="Q1434" s="1">
        <v>74.727999999999994</v>
      </c>
      <c r="R1434" s="1">
        <v>11.703666</v>
      </c>
      <c r="S1434" s="1">
        <v>-3.3491209</v>
      </c>
      <c r="T1434" s="1">
        <v>-4.0562215000000004</v>
      </c>
      <c r="U1434" s="1">
        <v>0.20300000000000001</v>
      </c>
      <c r="V1434" s="1">
        <v>114</v>
      </c>
      <c r="W1434" s="1">
        <v>191</v>
      </c>
      <c r="X1434" s="1">
        <v>1.6754385964912282</v>
      </c>
      <c r="Y1434" s="1">
        <v>115</v>
      </c>
      <c r="Z1434" s="1">
        <v>191</v>
      </c>
      <c r="AA1434" s="1">
        <v>1.6608695652173913</v>
      </c>
      <c r="AB1434" s="1">
        <v>117.3926794468846</v>
      </c>
      <c r="AC1434" s="1">
        <v>190.663038798456</v>
      </c>
      <c r="AD1434" s="1">
        <v>1.6241476018504479</v>
      </c>
      <c r="AE1434" t="s">
        <v>4817</v>
      </c>
      <c r="AF1434" t="str">
        <f>IF(X1434&lt;$AF$1,"Bajo","Alto")</f>
        <v>Bajo</v>
      </c>
      <c r="AG1434" t="str">
        <f>LEFT(AE1434,1)</f>
        <v>C</v>
      </c>
      <c r="AH1434" t="str">
        <f>K1434</f>
        <v>M</v>
      </c>
      <c r="AI1434" t="str">
        <f>LEFT(AF1434,1)</f>
        <v>B</v>
      </c>
      <c r="AJ1434" t="str">
        <f>LEFT(M1434,1)</f>
        <v>M</v>
      </c>
      <c r="AK1434" t="str">
        <f>_xlfn.CONCAT(AG1434,AH1434,AI1434,AJ1434)</f>
        <v>CMBM</v>
      </c>
    </row>
    <row r="1435" spans="1:37" ht="15.75" hidden="1" customHeight="1" x14ac:dyDescent="0.2">
      <c r="A1435" s="1">
        <v>315506</v>
      </c>
      <c r="B1435" s="1" t="s">
        <v>4122</v>
      </c>
      <c r="C1435" s="1" t="s">
        <v>628</v>
      </c>
      <c r="D1435" s="1" t="s">
        <v>4232</v>
      </c>
      <c r="E1435" s="1" t="s">
        <v>690</v>
      </c>
      <c r="F1435" s="1" t="s">
        <v>88</v>
      </c>
      <c r="G1435" s="1" t="s">
        <v>4235</v>
      </c>
      <c r="H1435" s="1">
        <v>5442</v>
      </c>
      <c r="I1435" s="1" t="s">
        <v>65</v>
      </c>
      <c r="J1435" s="1">
        <v>2</v>
      </c>
      <c r="K1435" s="1" t="s">
        <v>35</v>
      </c>
      <c r="L1435" s="1">
        <v>43</v>
      </c>
      <c r="M1435" s="1" t="str">
        <f>IF(L1435&lt;=45,"Joven","Mayor")</f>
        <v>Joven</v>
      </c>
      <c r="N1435" s="1">
        <v>42</v>
      </c>
      <c r="O1435" s="1" t="s">
        <v>36</v>
      </c>
      <c r="P1435" s="1">
        <v>3.5000000000000003E-2</v>
      </c>
      <c r="Q1435" s="1">
        <v>94.554000000000002</v>
      </c>
      <c r="R1435" s="1">
        <v>-0.90711059999999999</v>
      </c>
      <c r="S1435" s="1">
        <v>0.32864221999999998</v>
      </c>
      <c r="T1435" s="1">
        <v>4.6382479999999999</v>
      </c>
      <c r="U1435" s="1">
        <v>6.3140000000000001</v>
      </c>
      <c r="V1435" s="1">
        <v>105</v>
      </c>
      <c r="W1435" s="1">
        <v>193</v>
      </c>
      <c r="X1435" s="1">
        <v>1.838095238095238</v>
      </c>
      <c r="Y1435" s="1">
        <v>108</v>
      </c>
      <c r="Z1435" s="1">
        <v>193</v>
      </c>
      <c r="AA1435" s="1">
        <v>1.787037037037037</v>
      </c>
      <c r="AB1435" s="1">
        <v>108.9419459379064</v>
      </c>
      <c r="AC1435" s="1">
        <v>193.25745542913361</v>
      </c>
      <c r="AD1435" s="1">
        <v>1.7739489942586899</v>
      </c>
      <c r="AE1435" t="s">
        <v>4815</v>
      </c>
      <c r="AF1435" t="str">
        <f>IF(X1435&lt;$AF$1,"Bajo","Alto")</f>
        <v>Alto</v>
      </c>
      <c r="AG1435" t="str">
        <f>LEFT(AE1435,1)</f>
        <v>I</v>
      </c>
      <c r="AH1435" t="str">
        <f>K1435</f>
        <v>M</v>
      </c>
      <c r="AI1435" t="str">
        <f>LEFT(AF1435,1)</f>
        <v>A</v>
      </c>
      <c r="AJ1435" t="str">
        <f>LEFT(M1435,1)</f>
        <v>J</v>
      </c>
      <c r="AK1435" t="str">
        <f>_xlfn.CONCAT(AG1435,AH1435,AI1435,AJ1435)</f>
        <v>IMAJ</v>
      </c>
    </row>
    <row r="1436" spans="1:37" ht="15.75" hidden="1" customHeight="1" x14ac:dyDescent="0.2">
      <c r="A1436" s="1">
        <v>155508</v>
      </c>
      <c r="B1436" s="1" t="s">
        <v>2077</v>
      </c>
      <c r="C1436" s="1" t="s">
        <v>57</v>
      </c>
      <c r="D1436" s="1" t="s">
        <v>2476</v>
      </c>
      <c r="E1436" s="1" t="s">
        <v>690</v>
      </c>
      <c r="F1436" s="1" t="s">
        <v>46</v>
      </c>
      <c r="G1436" s="1" t="s">
        <v>2480</v>
      </c>
      <c r="H1436" s="1">
        <v>1300</v>
      </c>
      <c r="I1436" s="1" t="s">
        <v>91</v>
      </c>
      <c r="J1436" s="1">
        <v>6</v>
      </c>
      <c r="K1436" s="1" t="s">
        <v>35</v>
      </c>
      <c r="L1436" s="1">
        <v>47</v>
      </c>
      <c r="M1436" s="1" t="str">
        <f>IF(L1436&lt;=45,"Joven","Mayor")</f>
        <v>Mayor</v>
      </c>
      <c r="N1436" s="1">
        <v>55</v>
      </c>
      <c r="O1436" s="1" t="s">
        <v>36</v>
      </c>
      <c r="P1436" s="1">
        <v>0.35299999999999998</v>
      </c>
      <c r="Q1436" s="1">
        <v>88.491</v>
      </c>
      <c r="R1436" s="1">
        <v>6.8808249999999997</v>
      </c>
      <c r="S1436" s="1">
        <v>-2.2136632999999999</v>
      </c>
      <c r="T1436" s="1">
        <v>-6.5401499999999997</v>
      </c>
      <c r="U1436" s="1">
        <v>3.641</v>
      </c>
      <c r="V1436" s="1">
        <v>108</v>
      </c>
      <c r="W1436" s="1">
        <v>181</v>
      </c>
      <c r="X1436" s="1">
        <v>1.6759259259259258</v>
      </c>
      <c r="Y1436" s="1">
        <v>112</v>
      </c>
      <c r="Z1436" s="1">
        <v>181</v>
      </c>
      <c r="AA1436" s="1">
        <v>1.6160714285714286</v>
      </c>
      <c r="AB1436" s="1">
        <v>112.87823886230029</v>
      </c>
      <c r="AC1436" s="1">
        <v>180.96109782691661</v>
      </c>
      <c r="AD1436" s="1">
        <v>1.603153093553048</v>
      </c>
      <c r="AE1436" t="s">
        <v>4817</v>
      </c>
      <c r="AF1436" t="str">
        <f>IF(X1436&lt;$AF$1,"Bajo","Alto")</f>
        <v>Bajo</v>
      </c>
      <c r="AG1436" t="str">
        <f>LEFT(AE1436,1)</f>
        <v>C</v>
      </c>
      <c r="AH1436" t="str">
        <f>K1436</f>
        <v>M</v>
      </c>
      <c r="AI1436" t="str">
        <f>LEFT(AF1436,1)</f>
        <v>B</v>
      </c>
      <c r="AJ1436" t="str">
        <f>LEFT(M1436,1)</f>
        <v>M</v>
      </c>
      <c r="AK1436" t="str">
        <f>_xlfn.CONCAT(AG1436,AH1436,AI1436,AJ1436)</f>
        <v>CMBM</v>
      </c>
    </row>
    <row r="1437" spans="1:37" ht="15.75" hidden="1" customHeight="1" x14ac:dyDescent="0.2">
      <c r="A1437" s="1">
        <v>600107</v>
      </c>
      <c r="B1437" s="1" t="s">
        <v>4700</v>
      </c>
      <c r="C1437" s="1" t="s">
        <v>1458</v>
      </c>
      <c r="D1437" s="1" t="s">
        <v>4701</v>
      </c>
      <c r="E1437" s="1" t="s">
        <v>32</v>
      </c>
      <c r="F1437" s="1" t="s">
        <v>43</v>
      </c>
      <c r="G1437" s="1" t="s">
        <v>4707</v>
      </c>
      <c r="H1437" s="1">
        <v>322</v>
      </c>
      <c r="I1437" s="1" t="s">
        <v>48</v>
      </c>
      <c r="J1437" s="1">
        <v>4</v>
      </c>
      <c r="K1437" s="1" t="s">
        <v>35</v>
      </c>
      <c r="L1437" s="1">
        <v>52</v>
      </c>
      <c r="M1437" s="1" t="str">
        <f>IF(L1437&lt;=45,"Joven","Mayor")</f>
        <v>Mayor</v>
      </c>
      <c r="N1437" s="1">
        <v>66</v>
      </c>
      <c r="O1437" s="1" t="s">
        <v>36</v>
      </c>
      <c r="P1437" s="1">
        <v>0.378</v>
      </c>
      <c r="Q1437" s="1">
        <v>88.870999999999995</v>
      </c>
      <c r="R1437" s="1">
        <v>-6.6709576000000004</v>
      </c>
      <c r="S1437" s="1">
        <v>2.0375760000000001</v>
      </c>
      <c r="T1437" s="1">
        <v>5.42957</v>
      </c>
      <c r="U1437" s="1">
        <v>69.183000000000007</v>
      </c>
      <c r="V1437" s="1">
        <v>105</v>
      </c>
      <c r="W1437" s="1">
        <v>176</v>
      </c>
      <c r="X1437" s="1">
        <v>1.6761904761904762</v>
      </c>
      <c r="Y1437" s="1">
        <v>115</v>
      </c>
      <c r="Z1437" s="1">
        <v>176</v>
      </c>
      <c r="AA1437" s="1">
        <v>1.5304347826086957</v>
      </c>
      <c r="AB1437" s="1">
        <v>110.88838532034789</v>
      </c>
      <c r="AC1437" s="1">
        <v>176.62966590299951</v>
      </c>
      <c r="AD1437" s="1">
        <v>1.5928599320184</v>
      </c>
      <c r="AE1437" t="s">
        <v>4817</v>
      </c>
      <c r="AF1437" t="str">
        <f>IF(X1437&lt;$AF$1,"Bajo","Alto")</f>
        <v>Bajo</v>
      </c>
      <c r="AG1437" t="str">
        <f>LEFT(AE1437,1)</f>
        <v>C</v>
      </c>
      <c r="AH1437" t="str">
        <f>K1437</f>
        <v>M</v>
      </c>
      <c r="AI1437" t="str">
        <f>LEFT(AF1437,1)</f>
        <v>B</v>
      </c>
      <c r="AJ1437" t="str">
        <f>LEFT(M1437,1)</f>
        <v>M</v>
      </c>
      <c r="AK1437" t="str">
        <f>_xlfn.CONCAT(AG1437,AH1437,AI1437,AJ1437)</f>
        <v>CMBM</v>
      </c>
    </row>
    <row r="1438" spans="1:37" ht="15.75" hidden="1" customHeight="1" x14ac:dyDescent="0.2">
      <c r="A1438" s="1">
        <v>316408</v>
      </c>
      <c r="B1438" s="1" t="s">
        <v>4122</v>
      </c>
      <c r="C1438" s="1" t="s">
        <v>628</v>
      </c>
      <c r="D1438" s="1" t="s">
        <v>4246</v>
      </c>
      <c r="E1438" s="1" t="s">
        <v>710</v>
      </c>
      <c r="F1438" s="1" t="s">
        <v>46</v>
      </c>
      <c r="G1438" s="1" t="s">
        <v>4248</v>
      </c>
      <c r="H1438" s="1">
        <v>1439</v>
      </c>
      <c r="I1438" s="1" t="s">
        <v>45</v>
      </c>
      <c r="J1438" s="1">
        <v>17</v>
      </c>
      <c r="K1438" s="1" t="s">
        <v>35</v>
      </c>
      <c r="L1438" s="1">
        <v>46</v>
      </c>
      <c r="M1438" s="1" t="str">
        <f>IF(L1438&lt;=45,"Joven","Mayor")</f>
        <v>Mayor</v>
      </c>
      <c r="N1438" s="1">
        <v>45</v>
      </c>
      <c r="O1438" s="1" t="s">
        <v>36</v>
      </c>
      <c r="P1438" s="1">
        <v>0.9</v>
      </c>
      <c r="Q1438" s="1">
        <v>89.728999999999999</v>
      </c>
      <c r="R1438" s="1">
        <v>4.7434139999999996</v>
      </c>
      <c r="S1438" s="1">
        <v>6.0858429999999997</v>
      </c>
      <c r="T1438" s="1">
        <v>0.53594920000000001</v>
      </c>
      <c r="U1438" s="1">
        <v>1.44</v>
      </c>
      <c r="V1438" s="1">
        <v>113</v>
      </c>
      <c r="W1438" s="1">
        <v>210</v>
      </c>
      <c r="X1438" s="1">
        <v>1.8584070796460177</v>
      </c>
      <c r="Y1438" s="1">
        <v>115</v>
      </c>
      <c r="Z1438" s="1">
        <v>210</v>
      </c>
      <c r="AA1438" s="1">
        <v>1.826086956521739</v>
      </c>
      <c r="AB1438" s="1">
        <v>114.527271769319</v>
      </c>
      <c r="AC1438" s="1">
        <v>210.0095205787743</v>
      </c>
      <c r="AD1438" s="1">
        <v>1.833707529519919</v>
      </c>
      <c r="AE1438" t="s">
        <v>4817</v>
      </c>
      <c r="AF1438" t="str">
        <f>IF(X1438&lt;$AF$1,"Bajo","Alto")</f>
        <v>Alto</v>
      </c>
      <c r="AG1438" t="str">
        <f>LEFT(AE1438,1)</f>
        <v>C</v>
      </c>
      <c r="AH1438" t="str">
        <f>K1438</f>
        <v>M</v>
      </c>
      <c r="AI1438" t="str">
        <f>LEFT(AF1438,1)</f>
        <v>A</v>
      </c>
      <c r="AJ1438" t="str">
        <f>LEFT(M1438,1)</f>
        <v>M</v>
      </c>
      <c r="AK1438" t="str">
        <f>_xlfn.CONCAT(AG1438,AH1438,AI1438,AJ1438)</f>
        <v>CMAM</v>
      </c>
    </row>
    <row r="1439" spans="1:37" ht="15.75" hidden="1" customHeight="1" x14ac:dyDescent="0.2">
      <c r="A1439" s="1">
        <v>1034611</v>
      </c>
      <c r="B1439" s="1" t="s">
        <v>783</v>
      </c>
      <c r="C1439" s="1" t="s">
        <v>81</v>
      </c>
      <c r="D1439" s="1" t="s">
        <v>403</v>
      </c>
      <c r="E1439" s="1" t="s">
        <v>669</v>
      </c>
      <c r="F1439" s="1" t="s">
        <v>51</v>
      </c>
      <c r="G1439" s="1" t="s">
        <v>854</v>
      </c>
      <c r="H1439" s="1">
        <v>22279</v>
      </c>
      <c r="I1439" s="1" t="s">
        <v>855</v>
      </c>
      <c r="J1439" s="1">
        <v>2265</v>
      </c>
      <c r="K1439" s="1" t="s">
        <v>49</v>
      </c>
      <c r="L1439" s="1">
        <v>38</v>
      </c>
      <c r="M1439" s="1" t="str">
        <f>IF(L1439&lt;=45,"Joven","Mayor")</f>
        <v>Joven</v>
      </c>
      <c r="N1439" s="1">
        <v>42</v>
      </c>
      <c r="O1439" s="1" t="s">
        <v>50</v>
      </c>
      <c r="P1439" s="1">
        <v>0.33100000000000002</v>
      </c>
      <c r="Q1439" s="1">
        <v>92.728999999999999</v>
      </c>
      <c r="R1439" s="1">
        <v>0.63955580000000001</v>
      </c>
      <c r="S1439" s="1">
        <v>7.7469644999999998</v>
      </c>
      <c r="T1439" s="1">
        <v>8.8964320000000008</v>
      </c>
      <c r="U1439" s="1">
        <v>34.987000000000002</v>
      </c>
      <c r="V1439" s="1">
        <v>96</v>
      </c>
      <c r="W1439" s="1">
        <v>181</v>
      </c>
      <c r="X1439" s="1">
        <v>1.8854166666666667</v>
      </c>
      <c r="Y1439" s="1">
        <v>106</v>
      </c>
      <c r="Z1439" s="1">
        <v>181</v>
      </c>
      <c r="AA1439" s="1">
        <v>1.7075471698113207</v>
      </c>
      <c r="AB1439" s="1">
        <v>103.350759259713</v>
      </c>
      <c r="AC1439" s="1">
        <v>181.6061586956871</v>
      </c>
      <c r="AD1439" s="1">
        <v>1.7571826273605202</v>
      </c>
      <c r="AE1439" t="s">
        <v>4817</v>
      </c>
      <c r="AF1439" t="str">
        <f>IF(X1439&lt;$AF$1,"Bajo","Alto")</f>
        <v>Alto</v>
      </c>
      <c r="AG1439" t="str">
        <f>LEFT(AE1439,1)</f>
        <v>C</v>
      </c>
      <c r="AH1439" t="str">
        <f>K1439</f>
        <v>F</v>
      </c>
      <c r="AI1439" t="str">
        <f>LEFT(AF1439,1)</f>
        <v>A</v>
      </c>
      <c r="AJ1439" t="str">
        <f>LEFT(M1439,1)</f>
        <v>J</v>
      </c>
      <c r="AK1439" t="str">
        <f>_xlfn.CONCAT(AG1439,AH1439,AI1439,AJ1439)</f>
        <v>CFAJ</v>
      </c>
    </row>
    <row r="1440" spans="1:37" ht="15.75" hidden="1" customHeight="1" x14ac:dyDescent="0.2">
      <c r="A1440" s="1">
        <v>2712401</v>
      </c>
      <c r="B1440" s="1" t="s">
        <v>3409</v>
      </c>
      <c r="C1440" s="1" t="s">
        <v>973</v>
      </c>
      <c r="D1440" s="1" t="s">
        <v>3469</v>
      </c>
      <c r="E1440" s="1" t="s">
        <v>145</v>
      </c>
      <c r="F1440" s="1" t="s">
        <v>32</v>
      </c>
      <c r="G1440" s="1" t="s">
        <v>3470</v>
      </c>
      <c r="H1440" s="1">
        <v>292</v>
      </c>
      <c r="I1440" s="1" t="s">
        <v>39</v>
      </c>
      <c r="J1440" s="1">
        <v>11</v>
      </c>
      <c r="K1440" s="1" t="s">
        <v>35</v>
      </c>
      <c r="L1440" s="1">
        <v>47</v>
      </c>
      <c r="M1440" s="1" t="str">
        <f>IF(L1440&lt;=45,"Joven","Mayor")</f>
        <v>Mayor</v>
      </c>
      <c r="N1440" s="1">
        <v>59</v>
      </c>
      <c r="O1440" s="1" t="s">
        <v>36</v>
      </c>
      <c r="P1440" s="1">
        <v>0.373</v>
      </c>
      <c r="Q1440" s="1">
        <v>91.602999999999994</v>
      </c>
      <c r="R1440" s="1">
        <v>3.6447682000000001</v>
      </c>
      <c r="S1440" s="1">
        <v>4.746842</v>
      </c>
      <c r="T1440" s="1">
        <v>-6.5588170000000003</v>
      </c>
      <c r="U1440" s="1">
        <v>0.95899999999999996</v>
      </c>
      <c r="V1440" s="1">
        <v>105</v>
      </c>
      <c r="W1440" s="1">
        <v>177</v>
      </c>
      <c r="X1440" s="1">
        <v>1.6857142857142857</v>
      </c>
      <c r="Y1440" s="1">
        <v>108</v>
      </c>
      <c r="Z1440" s="1">
        <v>177</v>
      </c>
      <c r="AA1440" s="1">
        <v>1.6388888888888888</v>
      </c>
      <c r="AB1440" s="1">
        <v>109.6812739111037</v>
      </c>
      <c r="AC1440" s="1">
        <v>176.41267236676501</v>
      </c>
      <c r="AD1440" s="1">
        <v>1.6084119565364172</v>
      </c>
      <c r="AE1440" t="s">
        <v>4816</v>
      </c>
      <c r="AF1440" t="str">
        <f>IF(X1440&lt;$AF$1,"Bajo","Alto")</f>
        <v>Bajo</v>
      </c>
      <c r="AG1440" t="str">
        <f>LEFT(AE1440,1)</f>
        <v>D</v>
      </c>
      <c r="AH1440" t="str">
        <f>K1440</f>
        <v>M</v>
      </c>
      <c r="AI1440" t="str">
        <f>LEFT(AF1440,1)</f>
        <v>B</v>
      </c>
      <c r="AJ1440" t="str">
        <f>LEFT(M1440,1)</f>
        <v>M</v>
      </c>
      <c r="AK1440" t="str">
        <f>_xlfn.CONCAT(AG1440,AH1440,AI1440,AJ1440)</f>
        <v>DMBM</v>
      </c>
    </row>
    <row r="1441" spans="1:37" ht="15.75" hidden="1" customHeight="1" x14ac:dyDescent="0.2">
      <c r="A1441" s="1">
        <v>528003</v>
      </c>
      <c r="B1441" s="1" t="s">
        <v>4529</v>
      </c>
      <c r="C1441" s="1" t="s">
        <v>685</v>
      </c>
      <c r="D1441" s="1" t="s">
        <v>4672</v>
      </c>
      <c r="E1441" s="1" t="s">
        <v>744</v>
      </c>
      <c r="F1441" s="1" t="s">
        <v>63</v>
      </c>
      <c r="G1441" s="1" t="s">
        <v>4674</v>
      </c>
      <c r="H1441" s="1">
        <v>1064</v>
      </c>
      <c r="I1441" s="1" t="s">
        <v>91</v>
      </c>
      <c r="J1441" s="1">
        <v>6</v>
      </c>
      <c r="K1441" s="1" t="s">
        <v>49</v>
      </c>
      <c r="L1441" s="1">
        <v>30</v>
      </c>
      <c r="M1441" s="1" t="str">
        <f>IF(L1441&lt;=45,"Joven","Mayor")</f>
        <v>Joven</v>
      </c>
      <c r="N1441" s="1">
        <v>22</v>
      </c>
      <c r="O1441" s="1" t="s">
        <v>50</v>
      </c>
      <c r="P1441" s="1">
        <v>1.0680000000000001</v>
      </c>
      <c r="Q1441" s="1">
        <v>79.197000000000003</v>
      </c>
      <c r="R1441" s="1">
        <v>-9.5953350000000004</v>
      </c>
      <c r="S1441" s="1">
        <v>7.0725420000000003</v>
      </c>
      <c r="T1441" s="1">
        <v>10.836288</v>
      </c>
      <c r="U1441" s="1">
        <v>78.334000000000003</v>
      </c>
      <c r="V1441" s="1">
        <v>89</v>
      </c>
      <c r="W1441" s="1">
        <v>151</v>
      </c>
      <c r="X1441" s="1">
        <v>1.696629213483146</v>
      </c>
      <c r="Y1441" s="1">
        <v>102</v>
      </c>
      <c r="Z1441" s="1">
        <v>151</v>
      </c>
      <c r="AA1441" s="1">
        <v>1.4803921568627452</v>
      </c>
      <c r="AB1441" s="1">
        <v>95.873138694791805</v>
      </c>
      <c r="AC1441" s="1">
        <v>150.9394725332163</v>
      </c>
      <c r="AD1441" s="1">
        <v>1.5743666535600331</v>
      </c>
      <c r="AE1441" t="s">
        <v>4817</v>
      </c>
      <c r="AF1441" t="str">
        <f>IF(X1441&lt;$AF$1,"Bajo","Alto")</f>
        <v>Bajo</v>
      </c>
      <c r="AG1441" t="str">
        <f>LEFT(AE1441,1)</f>
        <v>C</v>
      </c>
      <c r="AH1441" t="str">
        <f>K1441</f>
        <v>F</v>
      </c>
      <c r="AI1441" t="str">
        <f>LEFT(AF1441,1)</f>
        <v>B</v>
      </c>
      <c r="AJ1441" t="str">
        <f>LEFT(M1441,1)</f>
        <v>J</v>
      </c>
      <c r="AK1441" t="str">
        <f>_xlfn.CONCAT(AG1441,AH1441,AI1441,AJ1441)</f>
        <v>CFBJ</v>
      </c>
    </row>
    <row r="1442" spans="1:37" ht="15.75" hidden="1" customHeight="1" x14ac:dyDescent="0.2">
      <c r="A1442" s="1">
        <v>278205</v>
      </c>
      <c r="B1442" s="1" t="s">
        <v>3409</v>
      </c>
      <c r="C1442" s="1" t="s">
        <v>973</v>
      </c>
      <c r="D1442" s="1" t="s">
        <v>3742</v>
      </c>
      <c r="E1442" s="1" t="s">
        <v>752</v>
      </c>
      <c r="F1442" s="1" t="s">
        <v>40</v>
      </c>
      <c r="G1442" s="1" t="s">
        <v>3744</v>
      </c>
      <c r="H1442" s="1">
        <v>1765</v>
      </c>
      <c r="I1442" s="1" t="s">
        <v>294</v>
      </c>
      <c r="J1442" s="1">
        <v>16</v>
      </c>
      <c r="K1442" s="1" t="s">
        <v>35</v>
      </c>
      <c r="L1442" s="1">
        <v>50</v>
      </c>
      <c r="M1442" s="1" t="str">
        <f>IF(L1442&lt;=45,"Joven","Mayor")</f>
        <v>Mayor</v>
      </c>
      <c r="N1442" s="1">
        <v>53</v>
      </c>
      <c r="O1442" s="1" t="s">
        <v>36</v>
      </c>
      <c r="P1442" s="1">
        <v>0.35699999999999998</v>
      </c>
      <c r="Q1442" s="1">
        <v>92.552000000000007</v>
      </c>
      <c r="R1442" s="1">
        <v>3.9499593000000002</v>
      </c>
      <c r="S1442" s="1">
        <v>-2.3555613999999999E-2</v>
      </c>
      <c r="T1442" s="1">
        <v>-5.5301704000000003</v>
      </c>
      <c r="U1442" s="1">
        <v>11.1</v>
      </c>
      <c r="V1442" s="1">
        <v>99</v>
      </c>
      <c r="W1442" s="1">
        <v>166</v>
      </c>
      <c r="X1442" s="1">
        <v>1.6767676767676767</v>
      </c>
      <c r="Y1442" s="1">
        <v>102</v>
      </c>
      <c r="Z1442" s="1">
        <v>166</v>
      </c>
      <c r="AA1442" s="1">
        <v>1.6274509803921569</v>
      </c>
      <c r="AB1442" s="1">
        <v>105.6691554161234</v>
      </c>
      <c r="AC1442" s="1">
        <v>165.2273680396747</v>
      </c>
      <c r="AD1442" s="1">
        <v>1.5636291156961748</v>
      </c>
      <c r="AE1442" t="s">
        <v>4817</v>
      </c>
      <c r="AF1442" t="str">
        <f>IF(X1442&lt;$AF$1,"Bajo","Alto")</f>
        <v>Bajo</v>
      </c>
      <c r="AG1442" t="str">
        <f>LEFT(AE1442,1)</f>
        <v>C</v>
      </c>
      <c r="AH1442" t="str">
        <f>K1442</f>
        <v>M</v>
      </c>
      <c r="AI1442" t="str">
        <f>LEFT(AF1442,1)</f>
        <v>B</v>
      </c>
      <c r="AJ1442" t="str">
        <f>LEFT(M1442,1)</f>
        <v>M</v>
      </c>
      <c r="AK1442" t="str">
        <f>_xlfn.CONCAT(AG1442,AH1442,AI1442,AJ1442)</f>
        <v>CMBM</v>
      </c>
    </row>
    <row r="1443" spans="1:37" ht="15.75" hidden="1" customHeight="1" x14ac:dyDescent="0.2">
      <c r="A1443" s="1">
        <v>278210</v>
      </c>
      <c r="B1443" s="1" t="s">
        <v>3409</v>
      </c>
      <c r="C1443" s="1" t="s">
        <v>973</v>
      </c>
      <c r="D1443" s="1" t="s">
        <v>3742</v>
      </c>
      <c r="E1443" s="1" t="s">
        <v>752</v>
      </c>
      <c r="F1443" s="1" t="s">
        <v>75</v>
      </c>
      <c r="G1443" s="1" t="s">
        <v>3749</v>
      </c>
      <c r="H1443" s="1">
        <v>40236</v>
      </c>
      <c r="I1443" s="1" t="s">
        <v>3750</v>
      </c>
      <c r="J1443" s="1">
        <v>5003</v>
      </c>
      <c r="K1443" s="1" t="s">
        <v>35</v>
      </c>
      <c r="L1443" s="1">
        <v>25</v>
      </c>
      <c r="M1443" s="1" t="str">
        <f>IF(L1443&lt;=45,"Joven","Mayor")</f>
        <v>Joven</v>
      </c>
      <c r="N1443" s="1">
        <v>27</v>
      </c>
      <c r="O1443" s="1" t="s">
        <v>36</v>
      </c>
      <c r="P1443" s="1">
        <v>0.58899999999999997</v>
      </c>
      <c r="Q1443" s="1">
        <v>92.543000000000006</v>
      </c>
      <c r="R1443" s="1">
        <v>2.5349537999999998</v>
      </c>
      <c r="S1443" s="1">
        <v>4.4857969999999998</v>
      </c>
      <c r="T1443" s="1">
        <v>5.0004616000000004</v>
      </c>
      <c r="U1443" s="1">
        <v>1.208</v>
      </c>
      <c r="V1443" s="1">
        <v>115</v>
      </c>
      <c r="W1443" s="1">
        <v>194</v>
      </c>
      <c r="X1443" s="1">
        <v>1.6869565217391305</v>
      </c>
      <c r="Y1443" s="1">
        <v>120</v>
      </c>
      <c r="Z1443" s="1">
        <v>194</v>
      </c>
      <c r="AA1443" s="1">
        <v>1.6166666666666667</v>
      </c>
      <c r="AB1443" s="1">
        <v>119.4434805653966</v>
      </c>
      <c r="AC1443" s="1">
        <v>194.2204366573196</v>
      </c>
      <c r="AD1443" s="1">
        <v>1.6260446843809262</v>
      </c>
      <c r="AE1443" t="s">
        <v>4817</v>
      </c>
      <c r="AF1443" t="str">
        <f>IF(X1443&lt;$AF$1,"Bajo","Alto")</f>
        <v>Bajo</v>
      </c>
      <c r="AG1443" t="str">
        <f>LEFT(AE1443,1)</f>
        <v>C</v>
      </c>
      <c r="AH1443" t="str">
        <f>K1443</f>
        <v>M</v>
      </c>
      <c r="AI1443" t="str">
        <f>LEFT(AF1443,1)</f>
        <v>B</v>
      </c>
      <c r="AJ1443" t="str">
        <f>LEFT(M1443,1)</f>
        <v>J</v>
      </c>
      <c r="AK1443" t="str">
        <f>_xlfn.CONCAT(AG1443,AH1443,AI1443,AJ1443)</f>
        <v>CMBJ</v>
      </c>
    </row>
    <row r="1444" spans="1:37" ht="15.75" hidden="1" customHeight="1" x14ac:dyDescent="0.2">
      <c r="A1444" s="1">
        <v>4656007</v>
      </c>
      <c r="B1444" s="1" t="s">
        <v>4382</v>
      </c>
      <c r="C1444" s="1" t="s">
        <v>669</v>
      </c>
      <c r="D1444" s="1" t="s">
        <v>4417</v>
      </c>
      <c r="E1444" s="1" t="s">
        <v>4418</v>
      </c>
      <c r="F1444" s="1" t="s">
        <v>43</v>
      </c>
      <c r="G1444" s="1" t="s">
        <v>4420</v>
      </c>
      <c r="H1444" s="1">
        <v>1041</v>
      </c>
      <c r="I1444" s="1" t="s">
        <v>134</v>
      </c>
      <c r="J1444" s="1">
        <v>8</v>
      </c>
      <c r="K1444" s="1" t="s">
        <v>35</v>
      </c>
      <c r="L1444" s="1">
        <v>42</v>
      </c>
      <c r="M1444" s="1" t="str">
        <f>IF(L1444&lt;=45,"Joven","Mayor")</f>
        <v>Joven</v>
      </c>
      <c r="N1444" s="1">
        <v>45</v>
      </c>
      <c r="O1444" s="1" t="s">
        <v>36</v>
      </c>
      <c r="P1444" s="1">
        <v>0.16400000000000001</v>
      </c>
      <c r="Q1444" s="1">
        <v>91.299000000000007</v>
      </c>
      <c r="R1444" s="1">
        <v>4.6569314000000004</v>
      </c>
      <c r="S1444" s="1">
        <v>2.7631733000000001</v>
      </c>
      <c r="T1444" s="1">
        <v>4.1031884999999999</v>
      </c>
      <c r="U1444" s="1">
        <v>0.49399999999999999</v>
      </c>
      <c r="V1444" s="1">
        <v>100</v>
      </c>
      <c r="W1444" s="1">
        <v>187</v>
      </c>
      <c r="X1444" s="1">
        <v>1.87</v>
      </c>
      <c r="Y1444" s="1">
        <v>106</v>
      </c>
      <c r="Z1444" s="1">
        <v>187</v>
      </c>
      <c r="AA1444" s="1">
        <v>1.7641509433962264</v>
      </c>
      <c r="AB1444" s="1">
        <v>103.6790925960163</v>
      </c>
      <c r="AC1444" s="1">
        <v>187.02155274127841</v>
      </c>
      <c r="AD1444" s="1">
        <v>1.8038502079682013</v>
      </c>
      <c r="AE1444" t="s">
        <v>4817</v>
      </c>
      <c r="AF1444" t="str">
        <f>IF(X1444&lt;$AF$1,"Bajo","Alto")</f>
        <v>Alto</v>
      </c>
      <c r="AG1444" t="str">
        <f>LEFT(AE1444,1)</f>
        <v>C</v>
      </c>
      <c r="AH1444" t="str">
        <f>K1444</f>
        <v>M</v>
      </c>
      <c r="AI1444" t="str">
        <f>LEFT(AF1444,1)</f>
        <v>A</v>
      </c>
      <c r="AJ1444" t="str">
        <f>LEFT(M1444,1)</f>
        <v>J</v>
      </c>
      <c r="AK1444" t="str">
        <f>_xlfn.CONCAT(AG1444,AH1444,AI1444,AJ1444)</f>
        <v>CMAJ</v>
      </c>
    </row>
    <row r="1445" spans="1:37" ht="15.75" hidden="1" customHeight="1" x14ac:dyDescent="0.2">
      <c r="A1445" s="1">
        <v>1245004</v>
      </c>
      <c r="B1445" s="1" t="s">
        <v>1798</v>
      </c>
      <c r="C1445" s="1" t="s">
        <v>54</v>
      </c>
      <c r="D1445" s="1" t="s">
        <v>1856</v>
      </c>
      <c r="E1445" s="1" t="s">
        <v>1857</v>
      </c>
      <c r="F1445" s="1" t="s">
        <v>61</v>
      </c>
      <c r="G1445" s="1" t="s">
        <v>1859</v>
      </c>
      <c r="H1445" s="1">
        <v>797</v>
      </c>
      <c r="I1445" s="1" t="s">
        <v>1860</v>
      </c>
      <c r="J1445" s="1">
        <v>4105</v>
      </c>
      <c r="K1445" s="1" t="s">
        <v>35</v>
      </c>
      <c r="L1445" s="1">
        <v>59</v>
      </c>
      <c r="M1445" s="1" t="str">
        <f>IF(L1445&lt;=45,"Joven","Mayor")</f>
        <v>Mayor</v>
      </c>
      <c r="N1445" s="1">
        <v>54</v>
      </c>
      <c r="O1445" s="1" t="s">
        <v>36</v>
      </c>
      <c r="P1445" s="1">
        <v>0.625</v>
      </c>
      <c r="Q1445" s="1">
        <v>88.927999999999997</v>
      </c>
      <c r="R1445" s="1">
        <v>4.6214456999999998</v>
      </c>
      <c r="S1445" s="1">
        <v>-8.1256950000000003</v>
      </c>
      <c r="T1445" s="1">
        <v>-6.2897069999999999</v>
      </c>
      <c r="U1445" s="1">
        <v>0.81599999999999995</v>
      </c>
      <c r="V1445" s="1">
        <v>77</v>
      </c>
      <c r="W1445" s="1">
        <v>143</v>
      </c>
      <c r="X1445" s="1">
        <v>1.8571428571428572</v>
      </c>
      <c r="Y1445" s="1">
        <v>77</v>
      </c>
      <c r="Z1445" s="1">
        <v>143</v>
      </c>
      <c r="AA1445" s="1">
        <v>1.8571428571428572</v>
      </c>
      <c r="AB1445" s="1">
        <v>80.699628671790833</v>
      </c>
      <c r="AC1445" s="1">
        <v>142.13923335430221</v>
      </c>
      <c r="AD1445" s="1">
        <v>1.761336894527596</v>
      </c>
      <c r="AE1445" t="s">
        <v>4817</v>
      </c>
      <c r="AF1445" t="str">
        <f>IF(X1445&lt;$AF$1,"Bajo","Alto")</f>
        <v>Alto</v>
      </c>
      <c r="AG1445" t="str">
        <f>LEFT(AE1445,1)</f>
        <v>C</v>
      </c>
      <c r="AH1445" t="str">
        <f>K1445</f>
        <v>M</v>
      </c>
      <c r="AI1445" t="str">
        <f>LEFT(AF1445,1)</f>
        <v>A</v>
      </c>
      <c r="AJ1445" t="str">
        <f>LEFT(M1445,1)</f>
        <v>M</v>
      </c>
      <c r="AK1445" t="str">
        <f>_xlfn.CONCAT(AG1445,AH1445,AI1445,AJ1445)</f>
        <v>CMAM</v>
      </c>
    </row>
    <row r="1446" spans="1:37" ht="15.75" hidden="1" customHeight="1" x14ac:dyDescent="0.2">
      <c r="A1446" s="1">
        <v>2313908</v>
      </c>
      <c r="B1446" s="1" t="s">
        <v>319</v>
      </c>
      <c r="C1446" s="1" t="s">
        <v>1989</v>
      </c>
      <c r="D1446" s="1" t="s">
        <v>2987</v>
      </c>
      <c r="E1446" s="1" t="s">
        <v>176</v>
      </c>
      <c r="F1446" s="1" t="s">
        <v>46</v>
      </c>
      <c r="G1446" s="1" t="s">
        <v>2994</v>
      </c>
      <c r="H1446" s="1">
        <v>14262</v>
      </c>
      <c r="I1446" s="1" t="s">
        <v>91</v>
      </c>
      <c r="J1446" s="1">
        <v>6</v>
      </c>
      <c r="K1446" s="1" t="s">
        <v>35</v>
      </c>
      <c r="L1446" s="1">
        <v>46</v>
      </c>
      <c r="M1446" s="1" t="str">
        <f>IF(L1446&lt;=45,"Joven","Mayor")</f>
        <v>Mayor</v>
      </c>
      <c r="N1446" s="1">
        <v>36</v>
      </c>
      <c r="O1446" s="1" t="s">
        <v>36</v>
      </c>
      <c r="P1446" s="1">
        <v>0.46400000000000002</v>
      </c>
      <c r="Q1446" s="1">
        <v>77.734999999999999</v>
      </c>
      <c r="R1446" s="1">
        <v>-10.083753</v>
      </c>
      <c r="S1446" s="1">
        <v>7.3567103999999999</v>
      </c>
      <c r="T1446" s="1">
        <v>11.872633</v>
      </c>
      <c r="U1446" s="1">
        <v>13.827999999999999</v>
      </c>
      <c r="V1446" s="1">
        <v>105</v>
      </c>
      <c r="W1446" s="1">
        <v>195</v>
      </c>
      <c r="X1446" s="1">
        <v>1.8571428571428572</v>
      </c>
      <c r="Y1446" s="1">
        <v>122</v>
      </c>
      <c r="Z1446" s="1">
        <v>195</v>
      </c>
      <c r="AA1446" s="1">
        <v>1.598360655737705</v>
      </c>
      <c r="AB1446" s="1">
        <v>115.0979803625883</v>
      </c>
      <c r="AC1446" s="1">
        <v>196.17759266594479</v>
      </c>
      <c r="AD1446" s="1">
        <v>1.7044399219511481</v>
      </c>
      <c r="AE1446" t="s">
        <v>4817</v>
      </c>
      <c r="AF1446" t="str">
        <f>IF(X1446&lt;$AF$1,"Bajo","Alto")</f>
        <v>Alto</v>
      </c>
      <c r="AG1446" t="str">
        <f>LEFT(AE1446,1)</f>
        <v>C</v>
      </c>
      <c r="AH1446" t="str">
        <f>K1446</f>
        <v>M</v>
      </c>
      <c r="AI1446" t="str">
        <f>LEFT(AF1446,1)</f>
        <v>A</v>
      </c>
      <c r="AJ1446" t="str">
        <f>LEFT(M1446,1)</f>
        <v>M</v>
      </c>
      <c r="AK1446" t="str">
        <f>_xlfn.CONCAT(AG1446,AH1446,AI1446,AJ1446)</f>
        <v>CMAM</v>
      </c>
    </row>
    <row r="1447" spans="1:37" ht="15.75" hidden="1" customHeight="1" x14ac:dyDescent="0.2">
      <c r="A1447" s="1">
        <v>1079405</v>
      </c>
      <c r="B1447" s="1" t="s">
        <v>1067</v>
      </c>
      <c r="C1447" s="1" t="s">
        <v>1068</v>
      </c>
      <c r="D1447" s="1" t="s">
        <v>1522</v>
      </c>
      <c r="E1447" s="1" t="s">
        <v>775</v>
      </c>
      <c r="F1447" s="1" t="s">
        <v>40</v>
      </c>
      <c r="G1447" s="1" t="s">
        <v>1525</v>
      </c>
      <c r="H1447" s="1">
        <v>30</v>
      </c>
      <c r="I1447" s="1" t="s">
        <v>91</v>
      </c>
      <c r="J1447" s="1">
        <v>6</v>
      </c>
      <c r="K1447" s="1" t="s">
        <v>35</v>
      </c>
      <c r="L1447" s="1">
        <v>41</v>
      </c>
      <c r="M1447" s="1" t="str">
        <f>IF(L1447&lt;=45,"Joven","Mayor")</f>
        <v>Joven</v>
      </c>
      <c r="N1447" s="1">
        <v>42</v>
      </c>
      <c r="O1447" s="1" t="s">
        <v>36</v>
      </c>
      <c r="P1447" s="1">
        <v>0.36199999999999999</v>
      </c>
      <c r="Q1447" s="1">
        <v>93.716999999999999</v>
      </c>
      <c r="R1447" s="1">
        <v>-1.4287346999999999</v>
      </c>
      <c r="S1447" s="1">
        <v>2.9926998999999999</v>
      </c>
      <c r="T1447" s="1">
        <v>-2.1324364999999998</v>
      </c>
      <c r="U1447" s="1">
        <v>10.541</v>
      </c>
      <c r="V1447" s="1">
        <v>64</v>
      </c>
      <c r="W1447" s="1">
        <v>108</v>
      </c>
      <c r="X1447" s="1">
        <v>1.6875</v>
      </c>
      <c r="Y1447" s="1">
        <v>65</v>
      </c>
      <c r="Z1447" s="1">
        <v>108</v>
      </c>
      <c r="AA1447" s="1">
        <v>1.6615384615384616</v>
      </c>
      <c r="AB1447" s="1">
        <v>64.92312488524658</v>
      </c>
      <c r="AC1447" s="1">
        <v>107.99962767941911</v>
      </c>
      <c r="AD1447" s="1">
        <v>1.6635001452920117</v>
      </c>
      <c r="AE1447" t="s">
        <v>4817</v>
      </c>
      <c r="AF1447" t="str">
        <f>IF(X1447&lt;$AF$1,"Bajo","Alto")</f>
        <v>Bajo</v>
      </c>
      <c r="AG1447" t="str">
        <f>LEFT(AE1447,1)</f>
        <v>C</v>
      </c>
      <c r="AH1447" t="str">
        <f>K1447</f>
        <v>M</v>
      </c>
      <c r="AI1447" t="str">
        <f>LEFT(AF1447,1)</f>
        <v>B</v>
      </c>
      <c r="AJ1447" t="str">
        <f>LEFT(M1447,1)</f>
        <v>J</v>
      </c>
      <c r="AK1447" t="str">
        <f>_xlfn.CONCAT(AG1447,AH1447,AI1447,AJ1447)</f>
        <v>CMBJ</v>
      </c>
    </row>
    <row r="1448" spans="1:37" ht="15.75" hidden="1" customHeight="1" x14ac:dyDescent="0.2">
      <c r="A1448" s="1">
        <v>640701</v>
      </c>
      <c r="B1448" s="1" t="s">
        <v>4718</v>
      </c>
      <c r="C1448" s="1" t="s">
        <v>710</v>
      </c>
      <c r="D1448" s="1" t="s">
        <v>4739</v>
      </c>
      <c r="E1448" s="1" t="s">
        <v>43</v>
      </c>
      <c r="F1448" s="1" t="s">
        <v>32</v>
      </c>
      <c r="G1448" s="1" t="s">
        <v>4740</v>
      </c>
      <c r="H1448" s="1">
        <v>554</v>
      </c>
      <c r="I1448" s="1" t="s">
        <v>65</v>
      </c>
      <c r="J1448" s="1">
        <v>2</v>
      </c>
      <c r="K1448" s="1" t="s">
        <v>35</v>
      </c>
      <c r="L1448" s="1">
        <v>46</v>
      </c>
      <c r="M1448" s="1" t="str">
        <f>IF(L1448&lt;=45,"Joven","Mayor")</f>
        <v>Mayor</v>
      </c>
      <c r="N1448" s="1">
        <v>50</v>
      </c>
      <c r="O1448" s="1" t="s">
        <v>36</v>
      </c>
      <c r="P1448" s="1">
        <v>0.36099999999999999</v>
      </c>
      <c r="Q1448" s="1">
        <v>94.74</v>
      </c>
      <c r="R1448" s="1">
        <v>-0.28065503000000003</v>
      </c>
      <c r="S1448" s="1">
        <v>0.50839230000000002</v>
      </c>
      <c r="T1448" s="1">
        <v>-1.768005</v>
      </c>
      <c r="U1448" s="1">
        <v>20.536999999999999</v>
      </c>
      <c r="V1448" s="1">
        <v>96</v>
      </c>
      <c r="W1448" s="1">
        <v>161</v>
      </c>
      <c r="X1448" s="1">
        <v>1.6770833333333333</v>
      </c>
      <c r="Y1448" s="1">
        <v>98</v>
      </c>
      <c r="Z1448" s="1">
        <v>161</v>
      </c>
      <c r="AA1448" s="1">
        <v>1.6428571428571428</v>
      </c>
      <c r="AB1448" s="1">
        <v>97.280961008239046</v>
      </c>
      <c r="AC1448" s="1">
        <v>160.92335512287761</v>
      </c>
      <c r="AD1448" s="1">
        <v>1.6542122266786456</v>
      </c>
      <c r="AE1448" t="s">
        <v>4817</v>
      </c>
      <c r="AF1448" t="str">
        <f>IF(X1448&lt;$AF$1,"Bajo","Alto")</f>
        <v>Bajo</v>
      </c>
      <c r="AG1448" t="str">
        <f>LEFT(AE1448,1)</f>
        <v>C</v>
      </c>
      <c r="AH1448" t="str">
        <f>K1448</f>
        <v>M</v>
      </c>
      <c r="AI1448" t="str">
        <f>LEFT(AF1448,1)</f>
        <v>B</v>
      </c>
      <c r="AJ1448" t="str">
        <f>LEFT(M1448,1)</f>
        <v>M</v>
      </c>
      <c r="AK1448" t="str">
        <f>_xlfn.CONCAT(AG1448,AH1448,AI1448,AJ1448)</f>
        <v>CMBM</v>
      </c>
    </row>
    <row r="1449" spans="1:37" ht="15.75" hidden="1" customHeight="1" x14ac:dyDescent="0.2">
      <c r="A1449" s="1">
        <v>2313004</v>
      </c>
      <c r="B1449" s="1" t="s">
        <v>319</v>
      </c>
      <c r="C1449" s="1" t="s">
        <v>1989</v>
      </c>
      <c r="D1449" s="1" t="s">
        <v>2966</v>
      </c>
      <c r="E1449" s="1" t="s">
        <v>158</v>
      </c>
      <c r="F1449" s="1" t="s">
        <v>61</v>
      </c>
      <c r="G1449" s="1" t="s">
        <v>2969</v>
      </c>
      <c r="H1449" s="1">
        <v>2567</v>
      </c>
      <c r="I1449" s="1" t="s">
        <v>2970</v>
      </c>
      <c r="J1449" s="1">
        <v>3938</v>
      </c>
      <c r="K1449" s="1" t="s">
        <v>35</v>
      </c>
      <c r="L1449" s="1">
        <v>63</v>
      </c>
      <c r="M1449" s="1" t="str">
        <f>IF(L1449&lt;=45,"Joven","Mayor")</f>
        <v>Mayor</v>
      </c>
      <c r="N1449" s="1">
        <v>69</v>
      </c>
      <c r="O1449" s="1" t="s">
        <v>36</v>
      </c>
      <c r="P1449" s="1">
        <v>0.314</v>
      </c>
      <c r="Q1449" s="1">
        <v>88.515000000000001</v>
      </c>
      <c r="R1449" s="1">
        <v>-6.8413589999999997</v>
      </c>
      <c r="S1449" s="1">
        <v>2.3749242000000002</v>
      </c>
      <c r="T1449" s="1">
        <v>0.95588200000000001</v>
      </c>
      <c r="U1449" s="1">
        <v>1.448</v>
      </c>
      <c r="V1449" s="1">
        <v>93</v>
      </c>
      <c r="W1449" s="1">
        <v>156</v>
      </c>
      <c r="X1449" s="1">
        <v>1.6774193548387097</v>
      </c>
      <c r="Y1449" s="1">
        <v>96</v>
      </c>
      <c r="Z1449" s="1">
        <v>156</v>
      </c>
      <c r="AA1449" s="1">
        <v>1.625</v>
      </c>
      <c r="AB1449" s="1">
        <v>96.637258424853371</v>
      </c>
      <c r="AC1449" s="1">
        <v>155.91156054241989</v>
      </c>
      <c r="AD1449" s="1">
        <v>1.6133690367847007</v>
      </c>
      <c r="AE1449" t="s">
        <v>4817</v>
      </c>
      <c r="AF1449" t="str">
        <f>IF(X1449&lt;$AF$1,"Bajo","Alto")</f>
        <v>Bajo</v>
      </c>
      <c r="AG1449" t="str">
        <f>LEFT(AE1449,1)</f>
        <v>C</v>
      </c>
      <c r="AH1449" t="str">
        <f>K1449</f>
        <v>M</v>
      </c>
      <c r="AI1449" t="str">
        <f>LEFT(AF1449,1)</f>
        <v>B</v>
      </c>
      <c r="AJ1449" t="str">
        <f>LEFT(M1449,1)</f>
        <v>M</v>
      </c>
      <c r="AK1449" t="str">
        <f>_xlfn.CONCAT(AG1449,AH1449,AI1449,AJ1449)</f>
        <v>CMBM</v>
      </c>
    </row>
    <row r="1450" spans="1:37" ht="15.75" hidden="1" customHeight="1" x14ac:dyDescent="0.2">
      <c r="A1450" s="1">
        <v>194603</v>
      </c>
      <c r="B1450" s="1" t="s">
        <v>2656</v>
      </c>
      <c r="C1450" s="1" t="s">
        <v>323</v>
      </c>
      <c r="D1450" s="1" t="s">
        <v>2730</v>
      </c>
      <c r="E1450" s="1" t="s">
        <v>669</v>
      </c>
      <c r="F1450" s="1" t="s">
        <v>63</v>
      </c>
      <c r="G1450" s="1" t="s">
        <v>2732</v>
      </c>
      <c r="H1450" s="1">
        <v>1074</v>
      </c>
      <c r="I1450" s="1" t="s">
        <v>65</v>
      </c>
      <c r="J1450" s="1">
        <v>2</v>
      </c>
      <c r="K1450" s="1" t="s">
        <v>35</v>
      </c>
      <c r="L1450" s="1">
        <v>33</v>
      </c>
      <c r="M1450" s="1" t="str">
        <f>IF(L1450&lt;=45,"Joven","Mayor")</f>
        <v>Joven</v>
      </c>
      <c r="N1450" s="1">
        <v>30</v>
      </c>
      <c r="O1450" s="1" t="s">
        <v>36</v>
      </c>
      <c r="P1450" s="1">
        <v>0.37</v>
      </c>
      <c r="Q1450" s="1">
        <v>77.093000000000004</v>
      </c>
      <c r="R1450" s="1">
        <v>-11.048242</v>
      </c>
      <c r="S1450" s="1">
        <v>3.7315469000000001</v>
      </c>
      <c r="T1450" s="1">
        <v>0.81243050000000006</v>
      </c>
      <c r="U1450" s="1">
        <v>6.3049999999999997</v>
      </c>
      <c r="V1450" s="1">
        <v>96</v>
      </c>
      <c r="W1450" s="1">
        <v>162</v>
      </c>
      <c r="X1450" s="1">
        <v>1.6875</v>
      </c>
      <c r="Y1450" s="1">
        <v>99</v>
      </c>
      <c r="Z1450" s="1">
        <v>162</v>
      </c>
      <c r="AA1450" s="1">
        <v>1.6363636363636365</v>
      </c>
      <c r="AB1450" s="1">
        <v>99.486316582969266</v>
      </c>
      <c r="AC1450" s="1">
        <v>161.77102767658829</v>
      </c>
      <c r="AD1450" s="1">
        <v>1.6260630932262432</v>
      </c>
      <c r="AE1450" t="s">
        <v>4817</v>
      </c>
      <c r="AF1450" t="str">
        <f>IF(X1450&lt;$AF$1,"Bajo","Alto")</f>
        <v>Bajo</v>
      </c>
      <c r="AG1450" t="str">
        <f>LEFT(AE1450,1)</f>
        <v>C</v>
      </c>
      <c r="AH1450" t="str">
        <f>K1450</f>
        <v>M</v>
      </c>
      <c r="AI1450" t="str">
        <f>LEFT(AF1450,1)</f>
        <v>B</v>
      </c>
      <c r="AJ1450" t="str">
        <f>LEFT(M1450,1)</f>
        <v>J</v>
      </c>
      <c r="AK1450" t="str">
        <f>_xlfn.CONCAT(AG1450,AH1450,AI1450,AJ1450)</f>
        <v>CMBJ</v>
      </c>
    </row>
    <row r="1451" spans="1:37" ht="15.75" hidden="1" customHeight="1" x14ac:dyDescent="0.2">
      <c r="A1451" s="1">
        <v>2910306</v>
      </c>
      <c r="B1451" s="1" t="s">
        <v>3890</v>
      </c>
      <c r="C1451" s="1" t="s">
        <v>1695</v>
      </c>
      <c r="D1451" s="1" t="s">
        <v>3922</v>
      </c>
      <c r="E1451" s="1" t="s">
        <v>81</v>
      </c>
      <c r="F1451" s="1" t="s">
        <v>88</v>
      </c>
      <c r="G1451" s="1" t="s">
        <v>3925</v>
      </c>
      <c r="H1451" s="1">
        <v>788</v>
      </c>
      <c r="I1451" s="1" t="s">
        <v>91</v>
      </c>
      <c r="J1451" s="1">
        <v>6</v>
      </c>
      <c r="K1451" s="1" t="s">
        <v>35</v>
      </c>
      <c r="L1451" s="1">
        <v>41</v>
      </c>
      <c r="M1451" s="1" t="str">
        <f>IF(L1451&lt;=45,"Joven","Mayor")</f>
        <v>Joven</v>
      </c>
      <c r="N1451" s="1">
        <v>44</v>
      </c>
      <c r="O1451" s="1" t="s">
        <v>36</v>
      </c>
      <c r="P1451" s="1">
        <v>0.34100000000000003</v>
      </c>
      <c r="Q1451" s="1">
        <v>94.744</v>
      </c>
      <c r="R1451" s="1">
        <v>-0.30612563999999998</v>
      </c>
      <c r="S1451" s="1">
        <v>0.43584886</v>
      </c>
      <c r="T1451" s="1">
        <v>-2.8491553999999999</v>
      </c>
      <c r="U1451" s="1">
        <v>40.610999999999997</v>
      </c>
      <c r="V1451" s="1">
        <v>69</v>
      </c>
      <c r="W1451" s="1">
        <v>129</v>
      </c>
      <c r="X1451" s="1">
        <v>1.8695652173913044</v>
      </c>
      <c r="Y1451" s="1">
        <v>71</v>
      </c>
      <c r="Z1451" s="1">
        <v>129</v>
      </c>
      <c r="AA1451" s="1">
        <v>1.8169014084507042</v>
      </c>
      <c r="AB1451" s="1">
        <v>70.70414580525312</v>
      </c>
      <c r="AC1451" s="1">
        <v>129.18848454896531</v>
      </c>
      <c r="AD1451" s="1">
        <v>1.8271698650430053</v>
      </c>
      <c r="AE1451" t="s">
        <v>4817</v>
      </c>
      <c r="AF1451" t="str">
        <f>IF(X1451&lt;$AF$1,"Bajo","Alto")</f>
        <v>Alto</v>
      </c>
      <c r="AG1451" t="str">
        <f>LEFT(AE1451,1)</f>
        <v>C</v>
      </c>
      <c r="AH1451" t="str">
        <f>K1451</f>
        <v>M</v>
      </c>
      <c r="AI1451" t="str">
        <f>LEFT(AF1451,1)</f>
        <v>A</v>
      </c>
      <c r="AJ1451" t="str">
        <f>LEFT(M1451,1)</f>
        <v>J</v>
      </c>
      <c r="AK1451" t="str">
        <f>_xlfn.CONCAT(AG1451,AH1451,AI1451,AJ1451)</f>
        <v>CMAJ</v>
      </c>
    </row>
    <row r="1452" spans="1:37" ht="15.75" hidden="1" customHeight="1" x14ac:dyDescent="0.2">
      <c r="A1452" s="1">
        <v>1052702</v>
      </c>
      <c r="B1452" s="1" t="s">
        <v>694</v>
      </c>
      <c r="C1452" s="1" t="s">
        <v>879</v>
      </c>
      <c r="D1452" s="1" t="s">
        <v>972</v>
      </c>
      <c r="E1452" s="1" t="s">
        <v>973</v>
      </c>
      <c r="F1452" s="1" t="s">
        <v>37</v>
      </c>
      <c r="G1452" s="1" t="s">
        <v>975</v>
      </c>
      <c r="H1452" s="1">
        <v>3148</v>
      </c>
      <c r="I1452" s="1" t="s">
        <v>65</v>
      </c>
      <c r="J1452" s="1">
        <v>2</v>
      </c>
      <c r="K1452" s="1" t="s">
        <v>35</v>
      </c>
      <c r="L1452" s="1">
        <v>41</v>
      </c>
      <c r="M1452" s="1" t="str">
        <f>IF(L1452&lt;=45,"Joven","Mayor")</f>
        <v>Joven</v>
      </c>
      <c r="N1452" s="1">
        <v>50</v>
      </c>
      <c r="O1452" s="1" t="s">
        <v>36</v>
      </c>
      <c r="P1452" s="1">
        <v>7.8E-2</v>
      </c>
      <c r="Q1452" s="1">
        <v>91.801000000000002</v>
      </c>
      <c r="R1452" s="1">
        <v>-2.7459307000000002</v>
      </c>
      <c r="S1452" s="1">
        <v>6.5731580000000003</v>
      </c>
      <c r="T1452" s="1">
        <v>1.8335920000000001</v>
      </c>
      <c r="U1452" s="1">
        <v>1.8740000000000001</v>
      </c>
      <c r="V1452" s="1">
        <v>84</v>
      </c>
      <c r="W1452" s="1">
        <v>157</v>
      </c>
      <c r="X1452" s="1">
        <v>1.8690476190476191</v>
      </c>
      <c r="Y1452" s="1">
        <v>85</v>
      </c>
      <c r="Z1452" s="1">
        <v>157</v>
      </c>
      <c r="AA1452" s="1">
        <v>1.8470588235294119</v>
      </c>
      <c r="AB1452" s="1">
        <v>86.076364119916434</v>
      </c>
      <c r="AC1452" s="1">
        <v>156.56764741096319</v>
      </c>
      <c r="AD1452" s="1">
        <v>1.8189389039811501</v>
      </c>
      <c r="AE1452" t="s">
        <v>4817</v>
      </c>
      <c r="AF1452" t="str">
        <f>IF(X1452&lt;$AF$1,"Bajo","Alto")</f>
        <v>Alto</v>
      </c>
      <c r="AG1452" t="str">
        <f>LEFT(AE1452,1)</f>
        <v>C</v>
      </c>
      <c r="AH1452" t="str">
        <f>K1452</f>
        <v>M</v>
      </c>
      <c r="AI1452" t="str">
        <f>LEFT(AF1452,1)</f>
        <v>A</v>
      </c>
      <c r="AJ1452" t="str">
        <f>LEFT(M1452,1)</f>
        <v>J</v>
      </c>
      <c r="AK1452" t="str">
        <f>_xlfn.CONCAT(AG1452,AH1452,AI1452,AJ1452)</f>
        <v>CMAJ</v>
      </c>
    </row>
    <row r="1453" spans="1:37" ht="15.75" hidden="1" customHeight="1" x14ac:dyDescent="0.2">
      <c r="A1453" s="1">
        <v>1241502</v>
      </c>
      <c r="B1453" s="1" t="s">
        <v>1798</v>
      </c>
      <c r="C1453" s="1" t="s">
        <v>54</v>
      </c>
      <c r="D1453" s="1" t="s">
        <v>1844</v>
      </c>
      <c r="E1453" s="1" t="s">
        <v>1845</v>
      </c>
      <c r="F1453" s="1" t="s">
        <v>37</v>
      </c>
      <c r="G1453" s="1" t="s">
        <v>1846</v>
      </c>
      <c r="H1453" s="1">
        <v>26</v>
      </c>
      <c r="I1453" s="1" t="s">
        <v>39</v>
      </c>
      <c r="J1453" s="1">
        <v>11</v>
      </c>
      <c r="K1453" s="1" t="s">
        <v>49</v>
      </c>
      <c r="L1453" s="1">
        <v>46</v>
      </c>
      <c r="M1453" s="1" t="str">
        <f>IF(L1453&lt;=45,"Joven","Mayor")</f>
        <v>Mayor</v>
      </c>
      <c r="N1453" s="1">
        <v>58</v>
      </c>
      <c r="O1453" s="1" t="s">
        <v>50</v>
      </c>
      <c r="P1453" s="1">
        <v>0.42599999999999999</v>
      </c>
      <c r="Q1453" s="1">
        <v>92.769000000000005</v>
      </c>
      <c r="R1453" s="1">
        <v>-2.3344459999999998</v>
      </c>
      <c r="S1453" s="1">
        <v>4.3671220000000002</v>
      </c>
      <c r="T1453" s="1">
        <v>2.3024100999999999</v>
      </c>
      <c r="U1453" s="1">
        <v>7.4409999999999998</v>
      </c>
      <c r="V1453" s="1">
        <v>99</v>
      </c>
      <c r="W1453" s="1">
        <v>166</v>
      </c>
      <c r="X1453" s="1">
        <v>1.6767676767676767</v>
      </c>
      <c r="Y1453" s="1">
        <v>101</v>
      </c>
      <c r="Z1453" s="1">
        <v>166</v>
      </c>
      <c r="AA1453" s="1">
        <v>1.6435643564356435</v>
      </c>
      <c r="AB1453" s="1">
        <v>100.80824757697199</v>
      </c>
      <c r="AC1453" s="1">
        <v>166.107032152579</v>
      </c>
      <c r="AD1453" s="1">
        <v>1.6477524026568184</v>
      </c>
      <c r="AE1453" t="s">
        <v>4816</v>
      </c>
      <c r="AF1453" t="str">
        <f>IF(X1453&lt;$AF$1,"Bajo","Alto")</f>
        <v>Bajo</v>
      </c>
      <c r="AG1453" t="str">
        <f>LEFT(AE1453,1)</f>
        <v>D</v>
      </c>
      <c r="AH1453" t="str">
        <f>K1453</f>
        <v>F</v>
      </c>
      <c r="AI1453" t="str">
        <f>LEFT(AF1453,1)</f>
        <v>B</v>
      </c>
      <c r="AJ1453" t="str">
        <f>LEFT(M1453,1)</f>
        <v>M</v>
      </c>
      <c r="AK1453" t="str">
        <f>_xlfn.CONCAT(AG1453,AH1453,AI1453,AJ1453)</f>
        <v>DFBM</v>
      </c>
    </row>
    <row r="1454" spans="1:37" ht="15.75" hidden="1" customHeight="1" x14ac:dyDescent="0.2">
      <c r="A1454" s="1">
        <v>480703</v>
      </c>
      <c r="B1454" s="1" t="s">
        <v>4465</v>
      </c>
      <c r="C1454" s="1" t="s">
        <v>2650</v>
      </c>
      <c r="D1454" s="1" t="s">
        <v>4486</v>
      </c>
      <c r="E1454" s="1" t="s">
        <v>43</v>
      </c>
      <c r="F1454" s="1" t="s">
        <v>63</v>
      </c>
      <c r="G1454" s="1" t="s">
        <v>4488</v>
      </c>
      <c r="H1454" s="1">
        <v>7113</v>
      </c>
      <c r="I1454" s="1" t="s">
        <v>4489</v>
      </c>
      <c r="J1454" s="1">
        <v>870</v>
      </c>
      <c r="K1454" s="1" t="s">
        <v>35</v>
      </c>
      <c r="L1454" s="1">
        <v>48</v>
      </c>
      <c r="M1454" s="1" t="str">
        <f>IF(L1454&lt;=45,"Joven","Mayor")</f>
        <v>Mayor</v>
      </c>
      <c r="N1454" s="1">
        <v>49</v>
      </c>
      <c r="O1454" s="1" t="s">
        <v>36</v>
      </c>
      <c r="P1454" s="1">
        <v>0.308</v>
      </c>
      <c r="Q1454" s="1">
        <v>92.933999999999997</v>
      </c>
      <c r="R1454" s="1">
        <v>1.8029539999999999</v>
      </c>
      <c r="S1454" s="1">
        <v>5.1369319999999998</v>
      </c>
      <c r="T1454" s="1">
        <v>4.0424642999999998</v>
      </c>
      <c r="U1454" s="1">
        <v>18.61</v>
      </c>
      <c r="V1454" s="1">
        <v>76</v>
      </c>
      <c r="W1454" s="1">
        <v>141</v>
      </c>
      <c r="X1454" s="1">
        <v>1.8552631578947369</v>
      </c>
      <c r="Y1454" s="1">
        <v>77</v>
      </c>
      <c r="Z1454" s="1">
        <v>141</v>
      </c>
      <c r="AA1454" s="1">
        <v>1.8311688311688312</v>
      </c>
      <c r="AB1454" s="1">
        <v>78.842236852581891</v>
      </c>
      <c r="AC1454" s="1">
        <v>140.86069020823649</v>
      </c>
      <c r="AD1454" s="1">
        <v>1.786614584155138</v>
      </c>
      <c r="AE1454" t="s">
        <v>4817</v>
      </c>
      <c r="AF1454" t="str">
        <f>IF(X1454&lt;$AF$1,"Bajo","Alto")</f>
        <v>Alto</v>
      </c>
      <c r="AG1454" t="str">
        <f>LEFT(AE1454,1)</f>
        <v>C</v>
      </c>
      <c r="AH1454" t="str">
        <f>K1454</f>
        <v>M</v>
      </c>
      <c r="AI1454" t="str">
        <f>LEFT(AF1454,1)</f>
        <v>A</v>
      </c>
      <c r="AJ1454" t="str">
        <f>LEFT(M1454,1)</f>
        <v>M</v>
      </c>
      <c r="AK1454" t="str">
        <f>_xlfn.CONCAT(AG1454,AH1454,AI1454,AJ1454)</f>
        <v>CMAM</v>
      </c>
    </row>
    <row r="1455" spans="1:37" ht="15.75" hidden="1" customHeight="1" x14ac:dyDescent="0.2">
      <c r="A1455" s="1">
        <v>271601</v>
      </c>
      <c r="B1455" s="1" t="s">
        <v>3409</v>
      </c>
      <c r="C1455" s="1" t="s">
        <v>973</v>
      </c>
      <c r="D1455" s="1" t="s">
        <v>3530</v>
      </c>
      <c r="E1455" s="1" t="s">
        <v>244</v>
      </c>
      <c r="F1455" s="1" t="s">
        <v>32</v>
      </c>
      <c r="G1455" s="1" t="s">
        <v>3531</v>
      </c>
      <c r="H1455" s="1">
        <v>393</v>
      </c>
      <c r="I1455" s="1" t="s">
        <v>294</v>
      </c>
      <c r="J1455" s="1">
        <v>16</v>
      </c>
      <c r="K1455" s="1" t="s">
        <v>35</v>
      </c>
      <c r="L1455" s="1">
        <v>45</v>
      </c>
      <c r="M1455" s="1" t="str">
        <f>IF(L1455&lt;=45,"Joven","Mayor")</f>
        <v>Joven</v>
      </c>
      <c r="N1455" s="1">
        <v>54</v>
      </c>
      <c r="O1455" s="1" t="s">
        <v>36</v>
      </c>
      <c r="P1455" s="1">
        <v>0.126</v>
      </c>
      <c r="Q1455" s="1">
        <v>94.468999999999994</v>
      </c>
      <c r="R1455" s="1">
        <v>-1.0678394</v>
      </c>
      <c r="S1455" s="1">
        <v>-0.24116542999999999</v>
      </c>
      <c r="T1455" s="1">
        <v>-0.53419159999999999</v>
      </c>
      <c r="U1455" s="1">
        <v>0.81200000000000006</v>
      </c>
      <c r="V1455" s="1">
        <v>84</v>
      </c>
      <c r="W1455" s="1">
        <v>157</v>
      </c>
      <c r="X1455" s="1">
        <v>1.8690476190476191</v>
      </c>
      <c r="Y1455" s="1">
        <v>85</v>
      </c>
      <c r="Z1455" s="1">
        <v>157</v>
      </c>
      <c r="AA1455" s="1">
        <v>1.8470588235294119</v>
      </c>
      <c r="AB1455" s="1">
        <v>84.632698258864366</v>
      </c>
      <c r="AC1455" s="1">
        <v>157.02114617335201</v>
      </c>
      <c r="AD1455" s="1">
        <v>1.8553248260273414</v>
      </c>
      <c r="AE1455" t="s">
        <v>4817</v>
      </c>
      <c r="AF1455" t="str">
        <f>IF(X1455&lt;$AF$1,"Bajo","Alto")</f>
        <v>Alto</v>
      </c>
      <c r="AG1455" t="str">
        <f>LEFT(AE1455,1)</f>
        <v>C</v>
      </c>
      <c r="AH1455" t="str">
        <f>K1455</f>
        <v>M</v>
      </c>
      <c r="AI1455" t="str">
        <f>LEFT(AF1455,1)</f>
        <v>A</v>
      </c>
      <c r="AJ1455" t="str">
        <f>LEFT(M1455,1)</f>
        <v>J</v>
      </c>
      <c r="AK1455" t="str">
        <f>_xlfn.CONCAT(AG1455,AH1455,AI1455,AJ1455)</f>
        <v>CMAJ</v>
      </c>
    </row>
    <row r="1456" spans="1:37" ht="15.75" hidden="1" customHeight="1" x14ac:dyDescent="0.2">
      <c r="A1456" s="1">
        <v>2311202</v>
      </c>
      <c r="B1456" s="1" t="s">
        <v>319</v>
      </c>
      <c r="C1456" s="1" t="s">
        <v>1989</v>
      </c>
      <c r="D1456" s="1" t="s">
        <v>2941</v>
      </c>
      <c r="E1456" s="1" t="s">
        <v>106</v>
      </c>
      <c r="F1456" s="1" t="s">
        <v>37</v>
      </c>
      <c r="G1456" s="1" t="s">
        <v>2943</v>
      </c>
      <c r="H1456" s="1">
        <v>202</v>
      </c>
      <c r="I1456" s="1" t="s">
        <v>134</v>
      </c>
      <c r="J1456" s="1">
        <v>8</v>
      </c>
      <c r="K1456" s="1" t="s">
        <v>35</v>
      </c>
      <c r="L1456" s="1">
        <v>54</v>
      </c>
      <c r="M1456" s="1" t="str">
        <f>IF(L1456&lt;=45,"Joven","Mayor")</f>
        <v>Mayor</v>
      </c>
      <c r="N1456" s="1">
        <v>55</v>
      </c>
      <c r="O1456" s="1" t="s">
        <v>36</v>
      </c>
      <c r="P1456" s="1">
        <v>0.41199999999999998</v>
      </c>
      <c r="Q1456" s="1">
        <v>93.62</v>
      </c>
      <c r="R1456" s="1">
        <v>2.4400141</v>
      </c>
      <c r="S1456" s="1">
        <v>0.29117522000000001</v>
      </c>
      <c r="T1456" s="1">
        <v>-1.2850587</v>
      </c>
      <c r="U1456" s="1">
        <v>0.96799999999999997</v>
      </c>
      <c r="V1456" s="1">
        <v>121</v>
      </c>
      <c r="W1456" s="1">
        <v>203</v>
      </c>
      <c r="X1456" s="1">
        <v>1.6776859504132231</v>
      </c>
      <c r="Y1456" s="1">
        <v>122</v>
      </c>
      <c r="Z1456" s="1">
        <v>203</v>
      </c>
      <c r="AA1456" s="1">
        <v>1.6639344262295082</v>
      </c>
      <c r="AB1456" s="1">
        <v>122.0460454877707</v>
      </c>
      <c r="AC1456" s="1">
        <v>202.94894379810779</v>
      </c>
      <c r="AD1456" s="1">
        <v>1.6628883220836823</v>
      </c>
      <c r="AE1456" t="s">
        <v>4817</v>
      </c>
      <c r="AF1456" t="str">
        <f>IF(X1456&lt;$AF$1,"Bajo","Alto")</f>
        <v>Bajo</v>
      </c>
      <c r="AG1456" t="str">
        <f>LEFT(AE1456,1)</f>
        <v>C</v>
      </c>
      <c r="AH1456" t="str">
        <f>K1456</f>
        <v>M</v>
      </c>
      <c r="AI1456" t="str">
        <f>LEFT(AF1456,1)</f>
        <v>B</v>
      </c>
      <c r="AJ1456" t="str">
        <f>LEFT(M1456,1)</f>
        <v>M</v>
      </c>
      <c r="AK1456" t="str">
        <f>_xlfn.CONCAT(AG1456,AH1456,AI1456,AJ1456)</f>
        <v>CMBM</v>
      </c>
    </row>
    <row r="1457" spans="1:37" ht="15.75" hidden="1" customHeight="1" x14ac:dyDescent="0.2">
      <c r="A1457" s="1">
        <v>135502</v>
      </c>
      <c r="B1457" s="1" t="s">
        <v>956</v>
      </c>
      <c r="C1457" s="1" t="s">
        <v>163</v>
      </c>
      <c r="D1457" s="1" t="s">
        <v>2060</v>
      </c>
      <c r="E1457" s="1" t="s">
        <v>690</v>
      </c>
      <c r="F1457" s="1" t="s">
        <v>37</v>
      </c>
      <c r="G1457" s="1" t="s">
        <v>2061</v>
      </c>
      <c r="H1457" s="1">
        <v>17933</v>
      </c>
      <c r="I1457" s="1" t="s">
        <v>65</v>
      </c>
      <c r="J1457" s="1">
        <v>2</v>
      </c>
      <c r="K1457" s="1" t="s">
        <v>35</v>
      </c>
      <c r="L1457" s="1">
        <v>53</v>
      </c>
      <c r="M1457" s="1" t="str">
        <f>IF(L1457&lt;=45,"Joven","Mayor")</f>
        <v>Mayor</v>
      </c>
      <c r="N1457" s="1">
        <v>59</v>
      </c>
      <c r="O1457" s="1" t="s">
        <v>36</v>
      </c>
      <c r="P1457" s="1">
        <v>0.34</v>
      </c>
      <c r="Q1457" s="1">
        <v>72.658000000000001</v>
      </c>
      <c r="R1457" s="1">
        <v>12.430497000000001</v>
      </c>
      <c r="S1457" s="1">
        <v>-1.3913522</v>
      </c>
      <c r="T1457" s="1">
        <v>-2.3548322000000002</v>
      </c>
      <c r="U1457" s="1">
        <v>1.4770000000000001</v>
      </c>
      <c r="V1457" s="1">
        <v>110</v>
      </c>
      <c r="W1457" s="1">
        <v>204</v>
      </c>
      <c r="X1457" s="1">
        <v>1.8545454545454545</v>
      </c>
      <c r="Y1457" s="1">
        <v>115</v>
      </c>
      <c r="Z1457" s="1">
        <v>204</v>
      </c>
      <c r="AA1457" s="1">
        <v>1.7739130434782608</v>
      </c>
      <c r="AB1457" s="1">
        <v>116.669670339242</v>
      </c>
      <c r="AC1457" s="1">
        <v>203.17032030576959</v>
      </c>
      <c r="AD1457" s="1">
        <v>1.7414150542725326</v>
      </c>
      <c r="AE1457" t="s">
        <v>4817</v>
      </c>
      <c r="AF1457" t="str">
        <f>IF(X1457&lt;$AF$1,"Bajo","Alto")</f>
        <v>Alto</v>
      </c>
      <c r="AG1457" t="str">
        <f>LEFT(AE1457,1)</f>
        <v>C</v>
      </c>
      <c r="AH1457" t="str">
        <f>K1457</f>
        <v>M</v>
      </c>
      <c r="AI1457" t="str">
        <f>LEFT(AF1457,1)</f>
        <v>A</v>
      </c>
      <c r="AJ1457" t="str">
        <f>LEFT(M1457,1)</f>
        <v>M</v>
      </c>
      <c r="AK1457" t="str">
        <f>_xlfn.CONCAT(AG1457,AH1457,AI1457,AJ1457)</f>
        <v>CMAM</v>
      </c>
    </row>
    <row r="1458" spans="1:37" ht="15.75" hidden="1" customHeight="1" x14ac:dyDescent="0.2">
      <c r="A1458" s="1">
        <v>130405</v>
      </c>
      <c r="B1458" s="1" t="s">
        <v>956</v>
      </c>
      <c r="C1458" s="1" t="s">
        <v>163</v>
      </c>
      <c r="D1458" s="1" t="s">
        <v>1954</v>
      </c>
      <c r="E1458" s="1" t="s">
        <v>61</v>
      </c>
      <c r="F1458" s="1" t="s">
        <v>40</v>
      </c>
      <c r="G1458" s="1" t="s">
        <v>1958</v>
      </c>
      <c r="H1458" s="1">
        <v>2218</v>
      </c>
      <c r="I1458" s="1" t="s">
        <v>134</v>
      </c>
      <c r="J1458" s="1">
        <v>8</v>
      </c>
      <c r="K1458" s="1" t="s">
        <v>35</v>
      </c>
      <c r="L1458" s="1">
        <v>39</v>
      </c>
      <c r="M1458" s="1" t="str">
        <f>IF(L1458&lt;=45,"Joven","Mayor")</f>
        <v>Joven</v>
      </c>
      <c r="N1458" s="1">
        <v>49</v>
      </c>
      <c r="O1458" s="1" t="s">
        <v>36</v>
      </c>
      <c r="P1458" s="1">
        <v>0.255</v>
      </c>
      <c r="Q1458" s="1">
        <v>90.292000000000002</v>
      </c>
      <c r="R1458" s="1">
        <v>5.8764609999999999</v>
      </c>
      <c r="S1458" s="1">
        <v>1.1687341</v>
      </c>
      <c r="T1458" s="1">
        <v>-2.3117926</v>
      </c>
      <c r="U1458" s="1">
        <v>44.747999999999998</v>
      </c>
      <c r="V1458" s="1">
        <v>91</v>
      </c>
      <c r="W1458" s="1">
        <v>170</v>
      </c>
      <c r="X1458" s="1">
        <v>1.8681318681318682</v>
      </c>
      <c r="Y1458" s="1">
        <v>95</v>
      </c>
      <c r="Z1458" s="1">
        <v>170</v>
      </c>
      <c r="AA1458" s="1">
        <v>1.7894736842105263</v>
      </c>
      <c r="AB1458" s="1">
        <v>93.107495782934166</v>
      </c>
      <c r="AC1458" s="1">
        <v>170.02298916861719</v>
      </c>
      <c r="AD1458" s="1">
        <v>1.8260934604556402</v>
      </c>
      <c r="AE1458" t="s">
        <v>4817</v>
      </c>
      <c r="AF1458" t="str">
        <f>IF(X1458&lt;$AF$1,"Bajo","Alto")</f>
        <v>Alto</v>
      </c>
      <c r="AG1458" t="str">
        <f>LEFT(AE1458,1)</f>
        <v>C</v>
      </c>
      <c r="AH1458" t="str">
        <f>K1458</f>
        <v>M</v>
      </c>
      <c r="AI1458" t="str">
        <f>LEFT(AF1458,1)</f>
        <v>A</v>
      </c>
      <c r="AJ1458" t="str">
        <f>LEFT(M1458,1)</f>
        <v>J</v>
      </c>
      <c r="AK1458" t="str">
        <f>_xlfn.CONCAT(AG1458,AH1458,AI1458,AJ1458)</f>
        <v>CMAJ</v>
      </c>
    </row>
    <row r="1459" spans="1:37" ht="15.75" hidden="1" customHeight="1" x14ac:dyDescent="0.2">
      <c r="A1459" s="1">
        <v>1018802</v>
      </c>
      <c r="B1459" s="1" t="s">
        <v>29</v>
      </c>
      <c r="C1459" s="1" t="s">
        <v>30</v>
      </c>
      <c r="D1459" s="1" t="s">
        <v>762</v>
      </c>
      <c r="E1459" s="1" t="s">
        <v>763</v>
      </c>
      <c r="F1459" s="1" t="s">
        <v>37</v>
      </c>
      <c r="G1459" s="1" t="s">
        <v>764</v>
      </c>
      <c r="H1459" s="1">
        <v>2003</v>
      </c>
      <c r="I1459" s="1" t="s">
        <v>87</v>
      </c>
      <c r="J1459" s="1">
        <v>14</v>
      </c>
      <c r="K1459" s="1" t="s">
        <v>35</v>
      </c>
      <c r="L1459" s="1">
        <v>44</v>
      </c>
      <c r="M1459" s="1" t="str">
        <f>IF(L1459&lt;=45,"Joven","Mayor")</f>
        <v>Joven</v>
      </c>
      <c r="N1459" s="1">
        <v>32</v>
      </c>
      <c r="O1459" s="1" t="s">
        <v>36</v>
      </c>
      <c r="P1459" s="1">
        <v>0.57899999999999996</v>
      </c>
      <c r="Q1459" s="1">
        <v>91.186000000000007</v>
      </c>
      <c r="R1459" s="1">
        <v>2.3427916</v>
      </c>
      <c r="S1459" s="1">
        <v>-8.3475439999999992</v>
      </c>
      <c r="T1459" s="1">
        <v>-3.4370026999999999</v>
      </c>
      <c r="U1459" s="1">
        <v>7.492</v>
      </c>
      <c r="V1459" s="1">
        <v>101</v>
      </c>
      <c r="W1459" s="1">
        <v>171</v>
      </c>
      <c r="X1459" s="1">
        <v>1.693069306930693</v>
      </c>
      <c r="Y1459" s="1">
        <v>102</v>
      </c>
      <c r="Z1459" s="1">
        <v>171</v>
      </c>
      <c r="AA1459" s="1">
        <v>1.6764705882352942</v>
      </c>
      <c r="AB1459" s="1">
        <v>103.5760811703105</v>
      </c>
      <c r="AC1459" s="1">
        <v>170.75237651929049</v>
      </c>
      <c r="AD1459" s="1">
        <v>1.6485695789023123</v>
      </c>
      <c r="AE1459" t="s">
        <v>4816</v>
      </c>
      <c r="AF1459" t="str">
        <f>IF(X1459&lt;$AF$1,"Bajo","Alto")</f>
        <v>Bajo</v>
      </c>
      <c r="AG1459" t="str">
        <f>LEFT(AE1459,1)</f>
        <v>D</v>
      </c>
      <c r="AH1459" t="str">
        <f>K1459</f>
        <v>M</v>
      </c>
      <c r="AI1459" t="str">
        <f>LEFT(AF1459,1)</f>
        <v>B</v>
      </c>
      <c r="AJ1459" t="str">
        <f>LEFT(M1459,1)</f>
        <v>J</v>
      </c>
      <c r="AK1459" t="str">
        <f>_xlfn.CONCAT(AG1459,AH1459,AI1459,AJ1459)</f>
        <v>DMBJ</v>
      </c>
    </row>
    <row r="1460" spans="1:37" ht="15.75" hidden="1" customHeight="1" x14ac:dyDescent="0.2">
      <c r="A1460" s="1">
        <v>10725103</v>
      </c>
      <c r="B1460" s="1" t="s">
        <v>1067</v>
      </c>
      <c r="C1460" s="1" t="s">
        <v>1068</v>
      </c>
      <c r="D1460" s="1" t="s">
        <v>1286</v>
      </c>
      <c r="E1460" s="1" t="s">
        <v>1287</v>
      </c>
      <c r="F1460" s="1" t="s">
        <v>63</v>
      </c>
      <c r="G1460" s="1" t="s">
        <v>1290</v>
      </c>
      <c r="H1460" s="1">
        <v>612</v>
      </c>
      <c r="I1460" s="1" t="s">
        <v>1291</v>
      </c>
      <c r="J1460" s="1">
        <v>3206</v>
      </c>
      <c r="K1460" s="1" t="s">
        <v>35</v>
      </c>
      <c r="L1460" s="1">
        <v>50</v>
      </c>
      <c r="M1460" s="1" t="str">
        <f>IF(L1460&lt;=45,"Joven","Mayor")</f>
        <v>Mayor</v>
      </c>
      <c r="N1460" s="1">
        <v>52</v>
      </c>
      <c r="O1460" s="1" t="s">
        <v>36</v>
      </c>
      <c r="P1460" s="1">
        <v>0.42299999999999999</v>
      </c>
      <c r="Q1460" s="1">
        <v>89.29</v>
      </c>
      <c r="R1460" s="1">
        <v>6.0156809999999998</v>
      </c>
      <c r="S1460" s="1">
        <v>-3.5631846999999999</v>
      </c>
      <c r="T1460" s="1">
        <v>-5.4364594999999998</v>
      </c>
      <c r="U1460" s="1">
        <v>4.3410000000000002</v>
      </c>
      <c r="V1460" s="1">
        <v>87</v>
      </c>
      <c r="W1460" s="1">
        <v>146</v>
      </c>
      <c r="X1460" s="1">
        <v>1.6781609195402298</v>
      </c>
      <c r="Y1460" s="1">
        <v>89</v>
      </c>
      <c r="Z1460" s="1">
        <v>146</v>
      </c>
      <c r="AA1460" s="1">
        <v>1.6404494382022472</v>
      </c>
      <c r="AB1460" s="1">
        <v>92.38933950813248</v>
      </c>
      <c r="AC1460" s="1">
        <v>145.24853242577089</v>
      </c>
      <c r="AD1460" s="1">
        <v>1.5721351965394832</v>
      </c>
      <c r="AE1460" t="s">
        <v>4817</v>
      </c>
      <c r="AF1460" t="str">
        <f>IF(X1460&lt;$AF$1,"Bajo","Alto")</f>
        <v>Bajo</v>
      </c>
      <c r="AG1460" t="str">
        <f>LEFT(AE1460,1)</f>
        <v>C</v>
      </c>
      <c r="AH1460" t="str">
        <f>K1460</f>
        <v>M</v>
      </c>
      <c r="AI1460" t="str">
        <f>LEFT(AF1460,1)</f>
        <v>B</v>
      </c>
      <c r="AJ1460" t="str">
        <f>LEFT(M1460,1)</f>
        <v>M</v>
      </c>
      <c r="AK1460" t="str">
        <f>_xlfn.CONCAT(AG1460,AH1460,AI1460,AJ1460)</f>
        <v>CMBM</v>
      </c>
    </row>
    <row r="1461" spans="1:37" ht="15.75" hidden="1" customHeight="1" x14ac:dyDescent="0.2">
      <c r="A1461" s="1">
        <v>294608</v>
      </c>
      <c r="B1461" s="1" t="s">
        <v>3890</v>
      </c>
      <c r="C1461" s="1" t="s">
        <v>1695</v>
      </c>
      <c r="D1461" s="1" t="s">
        <v>4017</v>
      </c>
      <c r="E1461" s="1" t="s">
        <v>669</v>
      </c>
      <c r="F1461" s="1" t="s">
        <v>46</v>
      </c>
      <c r="G1461" s="1" t="s">
        <v>4020</v>
      </c>
      <c r="H1461" s="1">
        <v>943</v>
      </c>
      <c r="I1461" s="1" t="s">
        <v>4021</v>
      </c>
      <c r="J1461" s="1">
        <v>2693</v>
      </c>
      <c r="K1461" s="1" t="s">
        <v>49</v>
      </c>
      <c r="L1461" s="1">
        <v>56</v>
      </c>
      <c r="M1461" s="1" t="str">
        <f>IF(L1461&lt;=45,"Joven","Mayor")</f>
        <v>Mayor</v>
      </c>
      <c r="N1461" s="1">
        <v>60</v>
      </c>
      <c r="O1461" s="1" t="s">
        <v>50</v>
      </c>
      <c r="P1461" s="1">
        <v>0.36</v>
      </c>
      <c r="Q1461" s="1">
        <v>93.76</v>
      </c>
      <c r="R1461" s="1">
        <v>0.65444820000000004</v>
      </c>
      <c r="S1461" s="1">
        <v>4.5449643000000002</v>
      </c>
      <c r="T1461" s="1">
        <v>-2.4788222000000002</v>
      </c>
      <c r="U1461" s="1">
        <v>13.526</v>
      </c>
      <c r="V1461" s="1">
        <v>82</v>
      </c>
      <c r="W1461" s="1">
        <v>152</v>
      </c>
      <c r="X1461" s="1">
        <v>1.8536585365853659</v>
      </c>
      <c r="Y1461" s="1">
        <v>90</v>
      </c>
      <c r="Z1461" s="1">
        <v>152</v>
      </c>
      <c r="AA1461" s="1">
        <v>1.6888888888888889</v>
      </c>
      <c r="AB1461" s="1">
        <v>88.099280061369655</v>
      </c>
      <c r="AC1461" s="1">
        <v>152.03077041290859</v>
      </c>
      <c r="AD1461" s="1">
        <v>1.7256755141132196</v>
      </c>
      <c r="AE1461" t="s">
        <v>4817</v>
      </c>
      <c r="AF1461" t="str">
        <f>IF(X1461&lt;$AF$1,"Bajo","Alto")</f>
        <v>Alto</v>
      </c>
      <c r="AG1461" t="str">
        <f>LEFT(AE1461,1)</f>
        <v>C</v>
      </c>
      <c r="AH1461" t="str">
        <f>K1461</f>
        <v>F</v>
      </c>
      <c r="AI1461" t="str">
        <f>LEFT(AF1461,1)</f>
        <v>A</v>
      </c>
      <c r="AJ1461" t="str">
        <f>LEFT(M1461,1)</f>
        <v>M</v>
      </c>
      <c r="AK1461" t="str">
        <f>_xlfn.CONCAT(AG1461,AH1461,AI1461,AJ1461)</f>
        <v>CFAM</v>
      </c>
    </row>
    <row r="1462" spans="1:37" ht="15.75" hidden="1" customHeight="1" x14ac:dyDescent="0.2">
      <c r="A1462" s="1">
        <v>312205</v>
      </c>
      <c r="B1462" s="1" t="s">
        <v>4122</v>
      </c>
      <c r="C1462" s="1" t="s">
        <v>628</v>
      </c>
      <c r="D1462" s="1" t="s">
        <v>4182</v>
      </c>
      <c r="E1462" s="1" t="s">
        <v>418</v>
      </c>
      <c r="F1462" s="1" t="s">
        <v>40</v>
      </c>
      <c r="G1462" s="1" t="s">
        <v>4185</v>
      </c>
      <c r="H1462" s="1">
        <v>26478</v>
      </c>
      <c r="I1462" s="1" t="s">
        <v>4186</v>
      </c>
      <c r="J1462" s="1">
        <v>2232</v>
      </c>
      <c r="K1462" s="1" t="s">
        <v>35</v>
      </c>
      <c r="L1462" s="1">
        <v>41</v>
      </c>
      <c r="M1462" s="1" t="str">
        <f>IF(L1462&lt;=45,"Joven","Mayor")</f>
        <v>Joven</v>
      </c>
      <c r="N1462" s="1">
        <v>39</v>
      </c>
      <c r="O1462" s="1" t="s">
        <v>36</v>
      </c>
      <c r="P1462" s="1">
        <v>2.4609999999999999</v>
      </c>
      <c r="Q1462" s="1">
        <v>82.918000000000006</v>
      </c>
      <c r="R1462" s="1">
        <v>8.8529949999999999</v>
      </c>
      <c r="S1462" s="1">
        <v>3.4033283999999999</v>
      </c>
      <c r="T1462" s="1">
        <v>-0.16738273000000001</v>
      </c>
      <c r="U1462" s="1">
        <v>21.292000000000002</v>
      </c>
      <c r="V1462" s="1">
        <v>91</v>
      </c>
      <c r="W1462" s="1">
        <v>170</v>
      </c>
      <c r="X1462" s="1">
        <v>1.8681318681318682</v>
      </c>
      <c r="Y1462" s="1">
        <v>97</v>
      </c>
      <c r="Z1462" s="1">
        <v>170</v>
      </c>
      <c r="AA1462" s="1">
        <v>1.7525773195876289</v>
      </c>
      <c r="AB1462" s="1">
        <v>97.125205229547191</v>
      </c>
      <c r="AC1462" s="1">
        <v>169.98466769347621</v>
      </c>
      <c r="AD1462" s="1">
        <v>1.7501601905677506</v>
      </c>
      <c r="AE1462" t="s">
        <v>4817</v>
      </c>
      <c r="AF1462" t="str">
        <f>IF(X1462&lt;$AF$1,"Bajo","Alto")</f>
        <v>Alto</v>
      </c>
      <c r="AG1462" t="str">
        <f>LEFT(AE1462,1)</f>
        <v>C</v>
      </c>
      <c r="AH1462" t="str">
        <f>K1462</f>
        <v>M</v>
      </c>
      <c r="AI1462" t="str">
        <f>LEFT(AF1462,1)</f>
        <v>A</v>
      </c>
      <c r="AJ1462" t="str">
        <f>LEFT(M1462,1)</f>
        <v>J</v>
      </c>
      <c r="AK1462" t="str">
        <f>_xlfn.CONCAT(AG1462,AH1462,AI1462,AJ1462)</f>
        <v>CMAJ</v>
      </c>
    </row>
    <row r="1463" spans="1:37" ht="15.75" hidden="1" customHeight="1" x14ac:dyDescent="0.2">
      <c r="A1463" s="1">
        <v>172804</v>
      </c>
      <c r="B1463" s="1" t="s">
        <v>2551</v>
      </c>
      <c r="C1463" s="1" t="s">
        <v>2552</v>
      </c>
      <c r="D1463" s="1" t="s">
        <v>2615</v>
      </c>
      <c r="E1463" s="1" t="s">
        <v>561</v>
      </c>
      <c r="F1463" s="1" t="s">
        <v>61</v>
      </c>
      <c r="G1463" s="1" t="s">
        <v>2619</v>
      </c>
      <c r="H1463" s="1">
        <v>1635</v>
      </c>
      <c r="I1463" s="1" t="s">
        <v>2620</v>
      </c>
      <c r="J1463" s="1">
        <v>3469</v>
      </c>
      <c r="K1463" s="1" t="s">
        <v>35</v>
      </c>
      <c r="L1463" s="1">
        <v>62</v>
      </c>
      <c r="M1463" s="1" t="str">
        <f>IF(L1463&lt;=45,"Joven","Mayor")</f>
        <v>Mayor</v>
      </c>
      <c r="N1463" s="1">
        <v>67</v>
      </c>
      <c r="O1463" s="1" t="s">
        <v>36</v>
      </c>
      <c r="P1463" s="1">
        <v>0.34799999999999998</v>
      </c>
      <c r="Q1463" s="1">
        <v>94.290999999999997</v>
      </c>
      <c r="R1463" s="1">
        <v>-1.1497189000000001</v>
      </c>
      <c r="S1463" s="1">
        <v>-0.80797719999999995</v>
      </c>
      <c r="T1463" s="1">
        <v>5.2137703999999996</v>
      </c>
      <c r="U1463" s="1">
        <v>0.50800000000000001</v>
      </c>
      <c r="V1463" s="1">
        <v>87</v>
      </c>
      <c r="W1463" s="1">
        <v>146</v>
      </c>
      <c r="X1463" s="1">
        <v>1.6781609195402298</v>
      </c>
      <c r="Y1463" s="1">
        <v>97</v>
      </c>
      <c r="Z1463" s="1">
        <v>146</v>
      </c>
      <c r="AA1463" s="1">
        <v>1.5051546391752577</v>
      </c>
      <c r="AB1463" s="1">
        <v>93.69076929838684</v>
      </c>
      <c r="AC1463" s="1">
        <v>146.84988858578251</v>
      </c>
      <c r="AD1463" s="1">
        <v>1.5673890788333078</v>
      </c>
      <c r="AE1463" t="s">
        <v>4817</v>
      </c>
      <c r="AF1463" t="str">
        <f>IF(X1463&lt;$AF$1,"Bajo","Alto")</f>
        <v>Bajo</v>
      </c>
      <c r="AG1463" t="str">
        <f>LEFT(AE1463,1)</f>
        <v>C</v>
      </c>
      <c r="AH1463" t="str">
        <f>K1463</f>
        <v>M</v>
      </c>
      <c r="AI1463" t="str">
        <f>LEFT(AF1463,1)</f>
        <v>B</v>
      </c>
      <c r="AJ1463" t="str">
        <f>LEFT(M1463,1)</f>
        <v>M</v>
      </c>
      <c r="AK1463" t="str">
        <f>_xlfn.CONCAT(AG1463,AH1463,AI1463,AJ1463)</f>
        <v>CMBM</v>
      </c>
    </row>
    <row r="1464" spans="1:37" ht="15.75" hidden="1" customHeight="1" x14ac:dyDescent="0.2">
      <c r="A1464" s="1">
        <v>1220001</v>
      </c>
      <c r="B1464" s="1" t="s">
        <v>1798</v>
      </c>
      <c r="C1464" s="1" t="s">
        <v>54</v>
      </c>
      <c r="D1464" s="1" t="s">
        <v>1813</v>
      </c>
      <c r="E1464" s="1" t="s">
        <v>1814</v>
      </c>
      <c r="F1464" s="1" t="s">
        <v>32</v>
      </c>
      <c r="G1464" s="1" t="s">
        <v>1815</v>
      </c>
      <c r="H1464" s="1">
        <v>5045</v>
      </c>
      <c r="I1464" s="1" t="s">
        <v>85</v>
      </c>
      <c r="J1464" s="1">
        <v>12</v>
      </c>
      <c r="K1464" s="1" t="s">
        <v>35</v>
      </c>
      <c r="L1464" s="1">
        <v>35</v>
      </c>
      <c r="M1464" s="1" t="str">
        <f>IF(L1464&lt;=45,"Joven","Mayor")</f>
        <v>Joven</v>
      </c>
      <c r="N1464" s="1">
        <v>44</v>
      </c>
      <c r="O1464" s="1" t="s">
        <v>36</v>
      </c>
      <c r="P1464" s="1">
        <v>0.39700000000000002</v>
      </c>
      <c r="Q1464" s="1">
        <v>83.114999999999995</v>
      </c>
      <c r="R1464" s="1">
        <v>6.5916652999999998</v>
      </c>
      <c r="S1464" s="1">
        <v>11.459713000000001</v>
      </c>
      <c r="T1464" s="1">
        <v>-3.6583364</v>
      </c>
      <c r="U1464" s="1">
        <v>0.77300000000000002</v>
      </c>
      <c r="V1464" s="1">
        <v>64</v>
      </c>
      <c r="W1464" s="1">
        <v>108</v>
      </c>
      <c r="X1464" s="1">
        <v>1.6875</v>
      </c>
      <c r="Y1464" s="1">
        <v>64</v>
      </c>
      <c r="Z1464" s="1">
        <v>108</v>
      </c>
      <c r="AA1464" s="1">
        <v>1.6875</v>
      </c>
      <c r="AB1464" s="1">
        <v>65.783785131203558</v>
      </c>
      <c r="AC1464" s="1">
        <v>107.9713461812466</v>
      </c>
      <c r="AD1464" s="1">
        <v>1.6413063791616942</v>
      </c>
      <c r="AE1464" t="s">
        <v>4815</v>
      </c>
      <c r="AF1464" t="str">
        <f>IF(X1464&lt;$AF$1,"Bajo","Alto")</f>
        <v>Bajo</v>
      </c>
      <c r="AG1464" t="str">
        <f>LEFT(AE1464,1)</f>
        <v>I</v>
      </c>
      <c r="AH1464" t="str">
        <f>K1464</f>
        <v>M</v>
      </c>
      <c r="AI1464" t="str">
        <f>LEFT(AF1464,1)</f>
        <v>B</v>
      </c>
      <c r="AJ1464" t="str">
        <f>LEFT(M1464,1)</f>
        <v>J</v>
      </c>
      <c r="AK1464" t="str">
        <f>_xlfn.CONCAT(AG1464,AH1464,AI1464,AJ1464)</f>
        <v>IMBJ</v>
      </c>
    </row>
    <row r="1465" spans="1:37" ht="15.75" hidden="1" customHeight="1" x14ac:dyDescent="0.2">
      <c r="A1465" s="1">
        <v>317002</v>
      </c>
      <c r="B1465" s="1" t="s">
        <v>4122</v>
      </c>
      <c r="C1465" s="1" t="s">
        <v>628</v>
      </c>
      <c r="D1465" s="1" t="s">
        <v>278</v>
      </c>
      <c r="E1465" s="1" t="s">
        <v>720</v>
      </c>
      <c r="F1465" s="1" t="s">
        <v>37</v>
      </c>
      <c r="G1465" s="1" t="s">
        <v>4250</v>
      </c>
      <c r="H1465" s="1">
        <v>6021</v>
      </c>
      <c r="I1465" s="1" t="s">
        <v>87</v>
      </c>
      <c r="J1465" s="1">
        <v>14</v>
      </c>
      <c r="K1465" s="1" t="s">
        <v>35</v>
      </c>
      <c r="L1465" s="1">
        <v>53</v>
      </c>
      <c r="M1465" s="1" t="str">
        <f>IF(L1465&lt;=45,"Joven","Mayor")</f>
        <v>Mayor</v>
      </c>
      <c r="N1465" s="1">
        <v>50</v>
      </c>
      <c r="O1465" s="1" t="s">
        <v>36</v>
      </c>
      <c r="P1465" s="1">
        <v>0.38600000000000001</v>
      </c>
      <c r="Q1465" s="1">
        <v>89.887</v>
      </c>
      <c r="R1465" s="1">
        <v>-5.9994069999999997</v>
      </c>
      <c r="S1465" s="1">
        <v>-1.8721197999999999</v>
      </c>
      <c r="T1465" s="1">
        <v>1.9398093000000001</v>
      </c>
      <c r="U1465" s="1">
        <v>12.077</v>
      </c>
      <c r="V1465" s="1">
        <v>96</v>
      </c>
      <c r="W1465" s="1">
        <v>178</v>
      </c>
      <c r="X1465" s="1">
        <v>1.8541666666666667</v>
      </c>
      <c r="Y1465" s="1">
        <v>99</v>
      </c>
      <c r="Z1465" s="1">
        <v>178</v>
      </c>
      <c r="AA1465" s="1">
        <v>1.797979797979798</v>
      </c>
      <c r="AB1465" s="1">
        <v>100.432648933368</v>
      </c>
      <c r="AC1465" s="1">
        <v>177.86414543837691</v>
      </c>
      <c r="AD1465" s="1">
        <v>1.7709793311971767</v>
      </c>
      <c r="AE1465" t="s">
        <v>4816</v>
      </c>
      <c r="AF1465" t="str">
        <f>IF(X1465&lt;$AF$1,"Bajo","Alto")</f>
        <v>Alto</v>
      </c>
      <c r="AG1465" t="str">
        <f>LEFT(AE1465,1)</f>
        <v>D</v>
      </c>
      <c r="AH1465" t="str">
        <f>K1465</f>
        <v>M</v>
      </c>
      <c r="AI1465" t="str">
        <f>LEFT(AF1465,1)</f>
        <v>A</v>
      </c>
      <c r="AJ1465" t="str">
        <f>LEFT(M1465,1)</f>
        <v>M</v>
      </c>
      <c r="AK1465" t="str">
        <f>_xlfn.CONCAT(AG1465,AH1465,AI1465,AJ1465)</f>
        <v>DMAM</v>
      </c>
    </row>
    <row r="1466" spans="1:37" ht="15.75" hidden="1" customHeight="1" x14ac:dyDescent="0.2">
      <c r="A1466" s="1">
        <v>1057811</v>
      </c>
      <c r="B1466" s="1" t="s">
        <v>694</v>
      </c>
      <c r="C1466" s="1" t="s">
        <v>879</v>
      </c>
      <c r="D1466" s="1" t="s">
        <v>1031</v>
      </c>
      <c r="E1466" s="1" t="s">
        <v>732</v>
      </c>
      <c r="F1466" s="1" t="s">
        <v>51</v>
      </c>
      <c r="G1466" s="1" t="s">
        <v>1034</v>
      </c>
      <c r="H1466" s="1">
        <v>2243</v>
      </c>
      <c r="I1466" s="1" t="s">
        <v>1035</v>
      </c>
      <c r="J1466" s="1">
        <v>3537</v>
      </c>
      <c r="K1466" s="1" t="s">
        <v>35</v>
      </c>
      <c r="L1466" s="1">
        <v>40</v>
      </c>
      <c r="M1466" s="1" t="str">
        <f>IF(L1466&lt;=45,"Joven","Mayor")</f>
        <v>Joven</v>
      </c>
      <c r="N1466" s="1">
        <v>45</v>
      </c>
      <c r="O1466" s="1" t="s">
        <v>36</v>
      </c>
      <c r="P1466" s="1">
        <v>0.379</v>
      </c>
      <c r="Q1466" s="1">
        <v>78.382000000000005</v>
      </c>
      <c r="R1466" s="1">
        <v>8.6018290000000004</v>
      </c>
      <c r="S1466" s="1">
        <v>11.2400675</v>
      </c>
      <c r="T1466" s="1">
        <v>-4.4333819999999999</v>
      </c>
      <c r="U1466" s="1">
        <v>4.4340000000000002</v>
      </c>
      <c r="V1466" s="1">
        <v>77</v>
      </c>
      <c r="W1466" s="1">
        <v>130</v>
      </c>
      <c r="X1466" s="1">
        <v>1.6883116883116882</v>
      </c>
      <c r="Y1466" s="1">
        <v>87</v>
      </c>
      <c r="Z1466" s="1">
        <v>130</v>
      </c>
      <c r="AA1466" s="1">
        <v>1.4942528735632183</v>
      </c>
      <c r="AB1466" s="1">
        <v>84.729887935738589</v>
      </c>
      <c r="AC1466" s="1">
        <v>130.46132414839849</v>
      </c>
      <c r="AD1466" s="1">
        <v>1.5397320511900576</v>
      </c>
      <c r="AE1466" t="s">
        <v>4817</v>
      </c>
      <c r="AF1466" t="str">
        <f>IF(X1466&lt;$AF$1,"Bajo","Alto")</f>
        <v>Bajo</v>
      </c>
      <c r="AG1466" t="str">
        <f>LEFT(AE1466,1)</f>
        <v>C</v>
      </c>
      <c r="AH1466" t="str">
        <f>K1466</f>
        <v>M</v>
      </c>
      <c r="AI1466" t="str">
        <f>LEFT(AF1466,1)</f>
        <v>B</v>
      </c>
      <c r="AJ1466" t="str">
        <f>LEFT(M1466,1)</f>
        <v>J</v>
      </c>
      <c r="AK1466" t="str">
        <f>_xlfn.CONCAT(AG1466,AH1466,AI1466,AJ1466)</f>
        <v>CMBJ</v>
      </c>
    </row>
    <row r="1467" spans="1:37" ht="15.75" hidden="1" customHeight="1" x14ac:dyDescent="0.2">
      <c r="A1467" s="1">
        <v>1260805</v>
      </c>
      <c r="B1467" s="1" t="s">
        <v>1798</v>
      </c>
      <c r="C1467" s="1" t="s">
        <v>54</v>
      </c>
      <c r="D1467" s="1" t="s">
        <v>1871</v>
      </c>
      <c r="E1467" s="1" t="s">
        <v>1872</v>
      </c>
      <c r="F1467" s="1" t="s">
        <v>40</v>
      </c>
      <c r="G1467" s="1" t="s">
        <v>1877</v>
      </c>
      <c r="H1467" s="1">
        <v>9316</v>
      </c>
      <c r="I1467" s="1" t="s">
        <v>1878</v>
      </c>
      <c r="J1467" s="1">
        <v>3684</v>
      </c>
      <c r="K1467" s="1" t="s">
        <v>35</v>
      </c>
      <c r="L1467" s="1">
        <v>33</v>
      </c>
      <c r="M1467" s="1" t="str">
        <f>IF(L1467&lt;=45,"Joven","Mayor")</f>
        <v>Joven</v>
      </c>
      <c r="N1467" s="1">
        <v>29</v>
      </c>
      <c r="O1467" s="1" t="s">
        <v>36</v>
      </c>
      <c r="P1467" s="1">
        <v>0.23200000000000001</v>
      </c>
      <c r="Q1467" s="1">
        <v>93.811999999999998</v>
      </c>
      <c r="R1467" s="1">
        <v>-0.77820610000000001</v>
      </c>
      <c r="S1467" s="1">
        <v>4.2136664000000001</v>
      </c>
      <c r="T1467" s="1">
        <v>-1.5133669000000001</v>
      </c>
      <c r="U1467" s="1">
        <v>0.77900000000000003</v>
      </c>
      <c r="V1467" s="1">
        <v>83</v>
      </c>
      <c r="W1467" s="1">
        <v>155</v>
      </c>
      <c r="X1467" s="1">
        <v>1.8674698795180722</v>
      </c>
      <c r="Y1467" s="1">
        <v>85</v>
      </c>
      <c r="Z1467" s="1">
        <v>155</v>
      </c>
      <c r="AA1467" s="1">
        <v>1.8235294117647058</v>
      </c>
      <c r="AB1467" s="1">
        <v>86.158808599459007</v>
      </c>
      <c r="AC1467" s="1">
        <v>155.05157522764009</v>
      </c>
      <c r="AD1467" s="1">
        <v>1.7996021271423854</v>
      </c>
      <c r="AE1467" t="s">
        <v>4817</v>
      </c>
      <c r="AF1467" t="str">
        <f>IF(X1467&lt;$AF$1,"Bajo","Alto")</f>
        <v>Alto</v>
      </c>
      <c r="AG1467" t="str">
        <f>LEFT(AE1467,1)</f>
        <v>C</v>
      </c>
      <c r="AH1467" t="str">
        <f>K1467</f>
        <v>M</v>
      </c>
      <c r="AI1467" t="str">
        <f>LEFT(AF1467,1)</f>
        <v>A</v>
      </c>
      <c r="AJ1467" t="str">
        <f>LEFT(M1467,1)</f>
        <v>J</v>
      </c>
      <c r="AK1467" t="str">
        <f>_xlfn.CONCAT(AG1467,AH1467,AI1467,AJ1467)</f>
        <v>CMAJ</v>
      </c>
    </row>
    <row r="1468" spans="1:37" ht="15.75" hidden="1" customHeight="1" x14ac:dyDescent="0.2">
      <c r="A1468" s="1">
        <v>10912402</v>
      </c>
      <c r="B1468" s="1" t="s">
        <v>719</v>
      </c>
      <c r="C1468" s="1" t="s">
        <v>98</v>
      </c>
      <c r="D1468" s="1" t="s">
        <v>1570</v>
      </c>
      <c r="E1468" s="1" t="s">
        <v>145</v>
      </c>
      <c r="F1468" s="1" t="s">
        <v>37</v>
      </c>
      <c r="G1468" s="1" t="s">
        <v>1571</v>
      </c>
      <c r="H1468" s="1">
        <v>7135</v>
      </c>
      <c r="I1468" s="1" t="s">
        <v>1572</v>
      </c>
      <c r="J1468" s="1">
        <v>1995</v>
      </c>
      <c r="K1468" s="1" t="s">
        <v>35</v>
      </c>
      <c r="L1468" s="1">
        <v>29</v>
      </c>
      <c r="M1468" s="1" t="str">
        <f>IF(L1468&lt;=45,"Joven","Mayor")</f>
        <v>Joven</v>
      </c>
      <c r="N1468" s="1">
        <v>30</v>
      </c>
      <c r="O1468" s="1" t="s">
        <v>36</v>
      </c>
      <c r="P1468" s="1">
        <v>0.34799999999999998</v>
      </c>
      <c r="Q1468" s="1">
        <v>87.581999999999994</v>
      </c>
      <c r="R1468" s="1">
        <v>7.3468030000000004</v>
      </c>
      <c r="S1468" s="1">
        <v>2.5503125</v>
      </c>
      <c r="T1468" s="1">
        <v>-5.559615</v>
      </c>
      <c r="U1468" s="1">
        <v>11.214</v>
      </c>
      <c r="V1468" s="1">
        <v>103</v>
      </c>
      <c r="W1468" s="1">
        <v>174</v>
      </c>
      <c r="X1468" s="1">
        <v>1.6893203883495145</v>
      </c>
      <c r="Y1468" s="1">
        <v>105</v>
      </c>
      <c r="Z1468" s="1">
        <v>174</v>
      </c>
      <c r="AA1468" s="1">
        <v>1.6571428571428573</v>
      </c>
      <c r="AB1468" s="1">
        <v>107.16578786043461</v>
      </c>
      <c r="AC1468" s="1">
        <v>173.56901810062249</v>
      </c>
      <c r="AD1468" s="1">
        <v>1.619630868824171</v>
      </c>
      <c r="AE1468" t="s">
        <v>4817</v>
      </c>
      <c r="AF1468" t="str">
        <f>IF(X1468&lt;$AF$1,"Bajo","Alto")</f>
        <v>Bajo</v>
      </c>
      <c r="AG1468" t="str">
        <f>LEFT(AE1468,1)</f>
        <v>C</v>
      </c>
      <c r="AH1468" t="str">
        <f>K1468</f>
        <v>M</v>
      </c>
      <c r="AI1468" t="str">
        <f>LEFT(AF1468,1)</f>
        <v>B</v>
      </c>
      <c r="AJ1468" t="str">
        <f>LEFT(M1468,1)</f>
        <v>J</v>
      </c>
      <c r="AK1468" t="str">
        <f>_xlfn.CONCAT(AG1468,AH1468,AI1468,AJ1468)</f>
        <v>CMBJ</v>
      </c>
    </row>
    <row r="1469" spans="1:37" ht="15.75" hidden="1" customHeight="1" x14ac:dyDescent="0.2">
      <c r="A1469" s="1">
        <v>1051406</v>
      </c>
      <c r="B1469" s="1" t="s">
        <v>694</v>
      </c>
      <c r="C1469" s="1" t="s">
        <v>879</v>
      </c>
      <c r="D1469" s="1" t="s">
        <v>946</v>
      </c>
      <c r="E1469" s="1" t="s">
        <v>947</v>
      </c>
      <c r="F1469" s="1" t="s">
        <v>88</v>
      </c>
      <c r="G1469" s="1" t="s">
        <v>950</v>
      </c>
      <c r="H1469" s="1">
        <v>2523</v>
      </c>
      <c r="I1469" s="1" t="s">
        <v>65</v>
      </c>
      <c r="J1469" s="1">
        <v>2</v>
      </c>
      <c r="K1469" s="1" t="s">
        <v>35</v>
      </c>
      <c r="L1469" s="1">
        <v>39</v>
      </c>
      <c r="M1469" s="1" t="str">
        <f>IF(L1469&lt;=45,"Joven","Mayor")</f>
        <v>Joven</v>
      </c>
      <c r="N1469" s="1">
        <v>59</v>
      </c>
      <c r="O1469" s="1" t="s">
        <v>36</v>
      </c>
      <c r="P1469" s="1">
        <v>2.254</v>
      </c>
      <c r="Q1469" s="1">
        <v>91.093999999999994</v>
      </c>
      <c r="R1469" s="1">
        <v>4.6164889999999996</v>
      </c>
      <c r="S1469" s="1">
        <v>1.1043613000000001</v>
      </c>
      <c r="T1469" s="1">
        <v>-4.3748440000000004</v>
      </c>
      <c r="U1469" s="1">
        <v>8.7430000000000003</v>
      </c>
      <c r="V1469" s="1">
        <v>98</v>
      </c>
      <c r="W1469" s="1">
        <v>183</v>
      </c>
      <c r="X1469" s="1">
        <v>1.8673469387755102</v>
      </c>
      <c r="Y1469" s="1">
        <v>106</v>
      </c>
      <c r="Z1469" s="1">
        <v>183</v>
      </c>
      <c r="AA1469" s="1">
        <v>1.7264150943396226</v>
      </c>
      <c r="AB1469" s="1">
        <v>102.8687454302444</v>
      </c>
      <c r="AC1469" s="1">
        <v>183.6110191158896</v>
      </c>
      <c r="AD1469" s="1">
        <v>1.7849057879333892</v>
      </c>
      <c r="AE1469" t="s">
        <v>4817</v>
      </c>
      <c r="AF1469" t="str">
        <f>IF(X1469&lt;$AF$1,"Bajo","Alto")</f>
        <v>Alto</v>
      </c>
      <c r="AG1469" t="str">
        <f>LEFT(AE1469,1)</f>
        <v>C</v>
      </c>
      <c r="AH1469" t="str">
        <f>K1469</f>
        <v>M</v>
      </c>
      <c r="AI1469" t="str">
        <f>LEFT(AF1469,1)</f>
        <v>A</v>
      </c>
      <c r="AJ1469" t="str">
        <f>LEFT(M1469,1)</f>
        <v>J</v>
      </c>
      <c r="AK1469" t="str">
        <f>_xlfn.CONCAT(AG1469,AH1469,AI1469,AJ1469)</f>
        <v>CMAJ</v>
      </c>
    </row>
    <row r="1470" spans="1:37" ht="15.75" hidden="1" customHeight="1" x14ac:dyDescent="0.2">
      <c r="A1470" s="1">
        <v>298702</v>
      </c>
      <c r="B1470" s="1" t="s">
        <v>3890</v>
      </c>
      <c r="C1470" s="1" t="s">
        <v>1695</v>
      </c>
      <c r="D1470" s="1" t="s">
        <v>4092</v>
      </c>
      <c r="E1470" s="1" t="s">
        <v>1780</v>
      </c>
      <c r="F1470" s="1" t="s">
        <v>37</v>
      </c>
      <c r="G1470" s="1" t="s">
        <v>4093</v>
      </c>
      <c r="H1470" s="1">
        <v>2967</v>
      </c>
      <c r="I1470" s="1" t="s">
        <v>4094</v>
      </c>
      <c r="J1470" s="1">
        <v>3881</v>
      </c>
      <c r="K1470" s="1" t="s">
        <v>35</v>
      </c>
      <c r="L1470" s="1">
        <v>44</v>
      </c>
      <c r="M1470" s="1" t="str">
        <f>IF(L1470&lt;=45,"Joven","Mayor")</f>
        <v>Joven</v>
      </c>
      <c r="N1470" s="1">
        <v>55</v>
      </c>
      <c r="O1470" s="1" t="s">
        <v>36</v>
      </c>
      <c r="P1470" s="1">
        <v>0.34100000000000003</v>
      </c>
      <c r="Q1470" s="1">
        <v>93.703000000000003</v>
      </c>
      <c r="R1470" s="1">
        <v>-1.3274463000000001</v>
      </c>
      <c r="S1470" s="1">
        <v>3.3231432000000001</v>
      </c>
      <c r="T1470" s="1">
        <v>-1.3497933</v>
      </c>
      <c r="U1470" s="1">
        <v>0.86599999999999999</v>
      </c>
      <c r="V1470" s="1">
        <v>103</v>
      </c>
      <c r="W1470" s="1">
        <v>174</v>
      </c>
      <c r="X1470" s="1">
        <v>1.6893203883495145</v>
      </c>
      <c r="Y1470" s="1">
        <v>103</v>
      </c>
      <c r="Z1470" s="1">
        <v>174</v>
      </c>
      <c r="AA1470" s="1">
        <v>1.6893203883495145</v>
      </c>
      <c r="AB1470" s="1">
        <v>104.1492269781393</v>
      </c>
      <c r="AC1470" s="1">
        <v>173.9517176457739</v>
      </c>
      <c r="AD1470" s="1">
        <v>1.6702161186687059</v>
      </c>
      <c r="AE1470" t="s">
        <v>4817</v>
      </c>
      <c r="AF1470" t="str">
        <f>IF(X1470&lt;$AF$1,"Bajo","Alto")</f>
        <v>Bajo</v>
      </c>
      <c r="AG1470" t="str">
        <f>LEFT(AE1470,1)</f>
        <v>C</v>
      </c>
      <c r="AH1470" t="str">
        <f>K1470</f>
        <v>M</v>
      </c>
      <c r="AI1470" t="str">
        <f>LEFT(AF1470,1)</f>
        <v>B</v>
      </c>
      <c r="AJ1470" t="str">
        <f>LEFT(M1470,1)</f>
        <v>J</v>
      </c>
      <c r="AK1470" t="str">
        <f>_xlfn.CONCAT(AG1470,AH1470,AI1470,AJ1470)</f>
        <v>CMBJ</v>
      </c>
    </row>
    <row r="1471" spans="1:37" ht="15.75" hidden="1" customHeight="1" x14ac:dyDescent="0.2">
      <c r="A1471" s="1">
        <v>1512702</v>
      </c>
      <c r="B1471" s="1" t="s">
        <v>2077</v>
      </c>
      <c r="C1471" s="1" t="s">
        <v>57</v>
      </c>
      <c r="D1471" s="1" t="s">
        <v>2133</v>
      </c>
      <c r="E1471" s="1" t="s">
        <v>153</v>
      </c>
      <c r="F1471" s="1" t="s">
        <v>37</v>
      </c>
      <c r="G1471" s="1" t="s">
        <v>2134</v>
      </c>
      <c r="H1471" s="1">
        <v>269</v>
      </c>
      <c r="I1471" s="1" t="s">
        <v>65</v>
      </c>
      <c r="J1471" s="1">
        <v>2</v>
      </c>
      <c r="K1471" s="1" t="s">
        <v>35</v>
      </c>
      <c r="L1471" s="1">
        <v>54</v>
      </c>
      <c r="M1471" s="1" t="str">
        <f>IF(L1471&lt;=45,"Joven","Mayor")</f>
        <v>Mayor</v>
      </c>
      <c r="N1471" s="1">
        <v>58</v>
      </c>
      <c r="O1471" s="1" t="s">
        <v>36</v>
      </c>
      <c r="P1471" s="1">
        <v>0.20399999999999999</v>
      </c>
      <c r="Q1471" s="1">
        <v>90.655000000000001</v>
      </c>
      <c r="R1471" s="1">
        <v>3.6107947999999999</v>
      </c>
      <c r="S1471" s="1">
        <v>-7.3051496</v>
      </c>
      <c r="T1471" s="1">
        <v>-3.9299917</v>
      </c>
      <c r="U1471" s="1">
        <v>7.4889999999999999</v>
      </c>
      <c r="V1471" s="1">
        <v>89</v>
      </c>
      <c r="W1471" s="1">
        <v>165</v>
      </c>
      <c r="X1471" s="1">
        <v>1.853932584269663</v>
      </c>
      <c r="Y1471" s="1">
        <v>95</v>
      </c>
      <c r="Z1471" s="1">
        <v>165</v>
      </c>
      <c r="AA1471" s="1">
        <v>1.736842105263158</v>
      </c>
      <c r="AB1471" s="1">
        <v>92.035110309305537</v>
      </c>
      <c r="AC1471" s="1">
        <v>164.81762155079059</v>
      </c>
      <c r="AD1471" s="1">
        <v>1.7908124518662756</v>
      </c>
      <c r="AE1471" t="s">
        <v>4817</v>
      </c>
      <c r="AF1471" t="str">
        <f>IF(X1471&lt;$AF$1,"Bajo","Alto")</f>
        <v>Alto</v>
      </c>
      <c r="AG1471" t="str">
        <f>LEFT(AE1471,1)</f>
        <v>C</v>
      </c>
      <c r="AH1471" t="str">
        <f>K1471</f>
        <v>M</v>
      </c>
      <c r="AI1471" t="str">
        <f>LEFT(AF1471,1)</f>
        <v>A</v>
      </c>
      <c r="AJ1471" t="str">
        <f>LEFT(M1471,1)</f>
        <v>M</v>
      </c>
      <c r="AK1471" t="str">
        <f>_xlfn.CONCAT(AG1471,AH1471,AI1471,AJ1471)</f>
        <v>CMAM</v>
      </c>
    </row>
    <row r="1472" spans="1:37" ht="15.75" hidden="1" customHeight="1" x14ac:dyDescent="0.2">
      <c r="A1472" s="1">
        <v>239601</v>
      </c>
      <c r="B1472" s="1" t="s">
        <v>319</v>
      </c>
      <c r="C1472" s="1" t="s">
        <v>1989</v>
      </c>
      <c r="D1472" s="1" t="s">
        <v>319</v>
      </c>
      <c r="E1472" s="1" t="s">
        <v>3109</v>
      </c>
      <c r="F1472" s="1" t="s">
        <v>32</v>
      </c>
      <c r="G1472" s="1" t="s">
        <v>3110</v>
      </c>
      <c r="H1472" s="1">
        <v>2080</v>
      </c>
      <c r="I1472" s="1" t="s">
        <v>65</v>
      </c>
      <c r="J1472" s="1">
        <v>2</v>
      </c>
      <c r="K1472" s="1" t="s">
        <v>35</v>
      </c>
      <c r="L1472" s="1">
        <v>42</v>
      </c>
      <c r="M1472" s="1" t="str">
        <f>IF(L1472&lt;=45,"Joven","Mayor")</f>
        <v>Joven</v>
      </c>
      <c r="N1472" s="1">
        <v>51</v>
      </c>
      <c r="O1472" s="1" t="s">
        <v>36</v>
      </c>
      <c r="P1472" s="1">
        <v>0.36299999999999999</v>
      </c>
      <c r="Q1472" s="1">
        <v>91.307000000000002</v>
      </c>
      <c r="R1472" s="1">
        <v>4.8297615</v>
      </c>
      <c r="S1472" s="1">
        <v>1.8366369</v>
      </c>
      <c r="T1472" s="1">
        <v>-0.83269846000000003</v>
      </c>
      <c r="U1472" s="1">
        <v>44.198999999999998</v>
      </c>
      <c r="V1472" s="1">
        <v>81</v>
      </c>
      <c r="W1472" s="1">
        <v>137</v>
      </c>
      <c r="X1472" s="1">
        <v>1.691358024691358</v>
      </c>
      <c r="Y1472" s="1">
        <v>84</v>
      </c>
      <c r="Z1472" s="1">
        <v>137</v>
      </c>
      <c r="AA1472" s="1">
        <v>1.6309523809523809</v>
      </c>
      <c r="AB1472" s="1">
        <v>84.456179195952245</v>
      </c>
      <c r="AC1472" s="1">
        <v>136.97099902572199</v>
      </c>
      <c r="AD1472" s="1">
        <v>1.6217996164369064</v>
      </c>
      <c r="AE1472" t="s">
        <v>4817</v>
      </c>
      <c r="AF1472" t="str">
        <f>IF(X1472&lt;$AF$1,"Bajo","Alto")</f>
        <v>Bajo</v>
      </c>
      <c r="AG1472" t="str">
        <f>LEFT(AE1472,1)</f>
        <v>C</v>
      </c>
      <c r="AH1472" t="str">
        <f>K1472</f>
        <v>M</v>
      </c>
      <c r="AI1472" t="str">
        <f>LEFT(AF1472,1)</f>
        <v>B</v>
      </c>
      <c r="AJ1472" t="str">
        <f>LEFT(M1472,1)</f>
        <v>J</v>
      </c>
      <c r="AK1472" t="str">
        <f>_xlfn.CONCAT(AG1472,AH1472,AI1472,AJ1472)</f>
        <v>CMBJ</v>
      </c>
    </row>
    <row r="1473" spans="1:37" ht="15.75" hidden="1" customHeight="1" x14ac:dyDescent="0.2">
      <c r="A1473" s="1">
        <v>270703</v>
      </c>
      <c r="B1473" s="1" t="s">
        <v>3409</v>
      </c>
      <c r="C1473" s="1" t="s">
        <v>973</v>
      </c>
      <c r="D1473" s="1" t="s">
        <v>3420</v>
      </c>
      <c r="E1473" s="1" t="s">
        <v>43</v>
      </c>
      <c r="F1473" s="1" t="s">
        <v>63</v>
      </c>
      <c r="G1473" s="1" t="s">
        <v>3422</v>
      </c>
      <c r="H1473" s="1">
        <v>52</v>
      </c>
      <c r="I1473" s="1" t="s">
        <v>48</v>
      </c>
      <c r="J1473" s="1">
        <v>4</v>
      </c>
      <c r="K1473" s="1" t="s">
        <v>49</v>
      </c>
      <c r="L1473" s="1">
        <v>40</v>
      </c>
      <c r="M1473" s="1" t="str">
        <f>IF(L1473&lt;=45,"Joven","Mayor")</f>
        <v>Joven</v>
      </c>
      <c r="N1473" s="1">
        <v>44</v>
      </c>
      <c r="O1473" s="1" t="s">
        <v>50</v>
      </c>
      <c r="P1473" s="1">
        <v>0.35199999999999998</v>
      </c>
      <c r="Q1473" s="1">
        <v>90.334000000000003</v>
      </c>
      <c r="R1473" s="1">
        <v>4.0623506999999996</v>
      </c>
      <c r="S1473" s="1">
        <v>6.8845653999999996</v>
      </c>
      <c r="T1473" s="1">
        <v>-4.1676599999999997</v>
      </c>
      <c r="U1473" s="1">
        <v>8.7349999999999994</v>
      </c>
      <c r="V1473" s="1">
        <v>61</v>
      </c>
      <c r="W1473" s="1">
        <v>115</v>
      </c>
      <c r="X1473" s="1">
        <v>1.8852459016393444</v>
      </c>
      <c r="Y1473" s="1">
        <v>65</v>
      </c>
      <c r="Z1473" s="1">
        <v>115</v>
      </c>
      <c r="AA1473" s="1">
        <v>1.7692307692307692</v>
      </c>
      <c r="AB1473" s="1">
        <v>63.382329233832927</v>
      </c>
      <c r="AC1473" s="1">
        <v>115.20462737444269</v>
      </c>
      <c r="AD1473" s="1">
        <v>1.8176142904030022</v>
      </c>
      <c r="AE1473" t="s">
        <v>4817</v>
      </c>
      <c r="AF1473" t="str">
        <f>IF(X1473&lt;$AF$1,"Bajo","Alto")</f>
        <v>Alto</v>
      </c>
      <c r="AG1473" t="str">
        <f>LEFT(AE1473,1)</f>
        <v>C</v>
      </c>
      <c r="AH1473" t="str">
        <f>K1473</f>
        <v>F</v>
      </c>
      <c r="AI1473" t="str">
        <f>LEFT(AF1473,1)</f>
        <v>A</v>
      </c>
      <c r="AJ1473" t="str">
        <f>LEFT(M1473,1)</f>
        <v>J</v>
      </c>
      <c r="AK1473" t="str">
        <f>_xlfn.CONCAT(AG1473,AH1473,AI1473,AJ1473)</f>
        <v>CFAJ</v>
      </c>
    </row>
    <row r="1474" spans="1:37" ht="15.75" hidden="1" customHeight="1" x14ac:dyDescent="0.2">
      <c r="A1474" s="1">
        <v>116409</v>
      </c>
      <c r="B1474" s="1" t="s">
        <v>1648</v>
      </c>
      <c r="C1474" s="1" t="s">
        <v>51</v>
      </c>
      <c r="D1474" s="1" t="s">
        <v>1742</v>
      </c>
      <c r="E1474" s="1" t="s">
        <v>710</v>
      </c>
      <c r="F1474" s="1" t="s">
        <v>189</v>
      </c>
      <c r="G1474" s="1" t="s">
        <v>1746</v>
      </c>
      <c r="H1474" s="1">
        <v>5771</v>
      </c>
      <c r="I1474" s="1" t="s">
        <v>134</v>
      </c>
      <c r="J1474" s="1">
        <v>8</v>
      </c>
      <c r="K1474" s="1" t="s">
        <v>49</v>
      </c>
      <c r="L1474" s="1">
        <v>50</v>
      </c>
      <c r="M1474" s="1" t="str">
        <f>IF(L1474&lt;=45,"Joven","Mayor")</f>
        <v>Mayor</v>
      </c>
      <c r="N1474" s="1">
        <v>42</v>
      </c>
      <c r="O1474" s="1" t="s">
        <v>50</v>
      </c>
      <c r="P1474" s="1">
        <v>0.71399999999999997</v>
      </c>
      <c r="Q1474" s="1">
        <v>87.126999999999995</v>
      </c>
      <c r="R1474" s="1">
        <v>3.4628177</v>
      </c>
      <c r="S1474" s="1">
        <v>-12.407446999999999</v>
      </c>
      <c r="T1474" s="1">
        <v>-10.965180999999999</v>
      </c>
      <c r="U1474" s="1">
        <v>0.92100000000000004</v>
      </c>
      <c r="V1474" s="1">
        <v>68</v>
      </c>
      <c r="W1474" s="1">
        <v>113</v>
      </c>
      <c r="X1474" s="1">
        <v>1.661764705882353</v>
      </c>
      <c r="Y1474" s="1">
        <v>73</v>
      </c>
      <c r="Z1474" s="1">
        <v>113</v>
      </c>
      <c r="AA1474" s="1">
        <v>1.547945205479452</v>
      </c>
      <c r="AB1474" s="1">
        <v>72.845318559547195</v>
      </c>
      <c r="AC1474" s="1">
        <v>111.8880163489257</v>
      </c>
      <c r="AD1474" s="1">
        <v>1.5359671501396919</v>
      </c>
      <c r="AE1474" t="s">
        <v>4817</v>
      </c>
      <c r="AF1474" t="str">
        <f>IF(X1474&lt;$AF$1,"Bajo","Alto")</f>
        <v>Bajo</v>
      </c>
      <c r="AG1474" t="str">
        <f>LEFT(AE1474,1)</f>
        <v>C</v>
      </c>
      <c r="AH1474" t="str">
        <f>K1474</f>
        <v>F</v>
      </c>
      <c r="AI1474" t="str">
        <f>LEFT(AF1474,1)</f>
        <v>B</v>
      </c>
      <c r="AJ1474" t="str">
        <f>LEFT(M1474,1)</f>
        <v>M</v>
      </c>
      <c r="AK1474" t="str">
        <f>_xlfn.CONCAT(AG1474,AH1474,AI1474,AJ1474)</f>
        <v>CFBM</v>
      </c>
    </row>
    <row r="1475" spans="1:37" ht="15.75" hidden="1" customHeight="1" x14ac:dyDescent="0.2">
      <c r="A1475" s="1">
        <v>1262502</v>
      </c>
      <c r="B1475" s="1" t="s">
        <v>1798</v>
      </c>
      <c r="C1475" s="1" t="s">
        <v>54</v>
      </c>
      <c r="D1475" s="1" t="s">
        <v>1879</v>
      </c>
      <c r="E1475" s="1" t="s">
        <v>1880</v>
      </c>
      <c r="F1475" s="1" t="s">
        <v>37</v>
      </c>
      <c r="G1475" s="1" t="s">
        <v>1882</v>
      </c>
      <c r="H1475" s="1">
        <v>2707</v>
      </c>
      <c r="I1475" s="1" t="s">
        <v>1364</v>
      </c>
      <c r="J1475" s="1">
        <v>2616</v>
      </c>
      <c r="K1475" s="1" t="s">
        <v>35</v>
      </c>
      <c r="L1475" s="1">
        <v>55</v>
      </c>
      <c r="M1475" s="1" t="str">
        <f>IF(L1475&lt;=45,"Joven","Mayor")</f>
        <v>Mayor</v>
      </c>
      <c r="N1475" s="1">
        <v>46</v>
      </c>
      <c r="O1475" s="1" t="s">
        <v>36</v>
      </c>
      <c r="P1475" s="1">
        <v>0.41099999999999998</v>
      </c>
      <c r="Q1475" s="1">
        <v>92.106999999999999</v>
      </c>
      <c r="R1475" s="1">
        <v>3.3118333999999998</v>
      </c>
      <c r="S1475" s="1">
        <v>-4.0598916999999997</v>
      </c>
      <c r="T1475" s="1">
        <v>-1.6187210999999999</v>
      </c>
      <c r="U1475" s="1">
        <v>14.308999999999999</v>
      </c>
      <c r="V1475" s="1">
        <v>100</v>
      </c>
      <c r="W1475" s="1">
        <v>168</v>
      </c>
      <c r="X1475" s="1">
        <v>1.68</v>
      </c>
      <c r="Y1475" s="1">
        <v>100</v>
      </c>
      <c r="Z1475" s="1">
        <v>168</v>
      </c>
      <c r="AA1475" s="1">
        <v>1.68</v>
      </c>
      <c r="AB1475" s="1">
        <v>101.37250657634949</v>
      </c>
      <c r="AC1475" s="1">
        <v>167.96120591074259</v>
      </c>
      <c r="AD1475" s="1">
        <v>1.6568713903137169</v>
      </c>
      <c r="AE1475" t="s">
        <v>4817</v>
      </c>
      <c r="AF1475" t="str">
        <f>IF(X1475&lt;$AF$1,"Bajo","Alto")</f>
        <v>Bajo</v>
      </c>
      <c r="AG1475" t="str">
        <f>LEFT(AE1475,1)</f>
        <v>C</v>
      </c>
      <c r="AH1475" t="str">
        <f>K1475</f>
        <v>M</v>
      </c>
      <c r="AI1475" t="str">
        <f>LEFT(AF1475,1)</f>
        <v>B</v>
      </c>
      <c r="AJ1475" t="str">
        <f>LEFT(M1475,1)</f>
        <v>M</v>
      </c>
      <c r="AK1475" t="str">
        <f>_xlfn.CONCAT(AG1475,AH1475,AI1475,AJ1475)</f>
        <v>CMBM</v>
      </c>
    </row>
    <row r="1476" spans="1:37" ht="15.75" hidden="1" customHeight="1" x14ac:dyDescent="0.2">
      <c r="A1476" s="1">
        <v>267002</v>
      </c>
      <c r="B1476" s="1" t="s">
        <v>3358</v>
      </c>
      <c r="C1476" s="1" t="s">
        <v>968</v>
      </c>
      <c r="D1476" s="1" t="s">
        <v>3402</v>
      </c>
      <c r="E1476" s="1" t="s">
        <v>720</v>
      </c>
      <c r="F1476" s="1" t="s">
        <v>37</v>
      </c>
      <c r="G1476" s="1" t="s">
        <v>3405</v>
      </c>
      <c r="H1476" s="1">
        <v>1517</v>
      </c>
      <c r="I1476" s="1" t="s">
        <v>3406</v>
      </c>
      <c r="J1476" s="1">
        <v>3915</v>
      </c>
      <c r="K1476" s="1" t="s">
        <v>35</v>
      </c>
      <c r="L1476" s="1">
        <v>29</v>
      </c>
      <c r="M1476" s="1" t="str">
        <f>IF(L1476&lt;=45,"Joven","Mayor")</f>
        <v>Joven</v>
      </c>
      <c r="N1476" s="1">
        <v>34</v>
      </c>
      <c r="O1476" s="1" t="s">
        <v>36</v>
      </c>
      <c r="P1476" s="1">
        <v>2.7509999999999999</v>
      </c>
      <c r="Q1476" s="1">
        <v>82.852999999999994</v>
      </c>
      <c r="R1476" s="1">
        <v>-3.2052771999999998</v>
      </c>
      <c r="S1476" s="1">
        <v>-15.328514999999999</v>
      </c>
      <c r="T1476" s="1">
        <v>-1.2563337999999999</v>
      </c>
      <c r="U1476" s="1">
        <v>18.978999999999999</v>
      </c>
      <c r="V1476" s="1">
        <v>98</v>
      </c>
      <c r="W1476" s="1">
        <v>183</v>
      </c>
      <c r="X1476" s="1">
        <v>1.8673469387755102</v>
      </c>
      <c r="Y1476" s="1">
        <v>101</v>
      </c>
      <c r="Z1476" s="1">
        <v>183</v>
      </c>
      <c r="AA1476" s="1">
        <v>1.8118811881188119</v>
      </c>
      <c r="AB1476" s="1">
        <v>100.0548535736045</v>
      </c>
      <c r="AC1476" s="1">
        <v>183.26296418535091</v>
      </c>
      <c r="AD1476" s="1">
        <v>1.8316249301243048</v>
      </c>
      <c r="AE1476" t="s">
        <v>4817</v>
      </c>
      <c r="AF1476" t="str">
        <f>IF(X1476&lt;$AF$1,"Bajo","Alto")</f>
        <v>Alto</v>
      </c>
      <c r="AG1476" t="str">
        <f>LEFT(AE1476,1)</f>
        <v>C</v>
      </c>
      <c r="AH1476" t="str">
        <f>K1476</f>
        <v>M</v>
      </c>
      <c r="AI1476" t="str">
        <f>LEFT(AF1476,1)</f>
        <v>A</v>
      </c>
      <c r="AJ1476" t="str">
        <f>LEFT(M1476,1)</f>
        <v>J</v>
      </c>
      <c r="AK1476" t="str">
        <f>_xlfn.CONCAT(AG1476,AH1476,AI1476,AJ1476)</f>
        <v>CMAJ</v>
      </c>
    </row>
    <row r="1477" spans="1:37" ht="15.75" hidden="1" customHeight="1" x14ac:dyDescent="0.2">
      <c r="A1477" s="1">
        <v>10912004</v>
      </c>
      <c r="B1477" s="1" t="s">
        <v>719</v>
      </c>
      <c r="C1477" s="1" t="s">
        <v>98</v>
      </c>
      <c r="D1477" s="1" t="s">
        <v>1563</v>
      </c>
      <c r="E1477" s="1" t="s">
        <v>1564</v>
      </c>
      <c r="F1477" s="1" t="s">
        <v>61</v>
      </c>
      <c r="G1477" s="1" t="s">
        <v>1568</v>
      </c>
      <c r="H1477" s="1">
        <v>866</v>
      </c>
      <c r="I1477" s="1" t="s">
        <v>1569</v>
      </c>
      <c r="J1477" s="1">
        <v>2313</v>
      </c>
      <c r="K1477" s="1" t="s">
        <v>35</v>
      </c>
      <c r="L1477" s="1">
        <v>48</v>
      </c>
      <c r="M1477" s="1" t="str">
        <f>IF(L1477&lt;=45,"Joven","Mayor")</f>
        <v>Mayor</v>
      </c>
      <c r="N1477" s="1">
        <v>46</v>
      </c>
      <c r="O1477" s="1" t="s">
        <v>36</v>
      </c>
      <c r="P1477" s="1">
        <v>0.374</v>
      </c>
      <c r="Q1477" s="1">
        <v>79.16</v>
      </c>
      <c r="R1477" s="1">
        <v>10.524698000000001</v>
      </c>
      <c r="S1477" s="1">
        <v>3.4247017</v>
      </c>
      <c r="T1477" s="1">
        <v>-5.1256347</v>
      </c>
      <c r="U1477" s="1">
        <v>1.83</v>
      </c>
      <c r="V1477" s="1">
        <v>94</v>
      </c>
      <c r="W1477" s="1">
        <v>158</v>
      </c>
      <c r="X1477" s="1">
        <v>1.6808510638297873</v>
      </c>
      <c r="Y1477" s="1">
        <v>94</v>
      </c>
      <c r="Z1477" s="1">
        <v>158</v>
      </c>
      <c r="AA1477" s="1">
        <v>1.6808510638297873</v>
      </c>
      <c r="AB1477" s="1">
        <v>97.465729035900722</v>
      </c>
      <c r="AC1477" s="1">
        <v>157.63620835763089</v>
      </c>
      <c r="AD1477" s="1">
        <v>1.6173501180047281</v>
      </c>
      <c r="AE1477" t="s">
        <v>4817</v>
      </c>
      <c r="AF1477" t="str">
        <f>IF(X1477&lt;$AF$1,"Bajo","Alto")</f>
        <v>Bajo</v>
      </c>
      <c r="AG1477" t="str">
        <f>LEFT(AE1477,1)</f>
        <v>C</v>
      </c>
      <c r="AH1477" t="str">
        <f>K1477</f>
        <v>M</v>
      </c>
      <c r="AI1477" t="str">
        <f>LEFT(AF1477,1)</f>
        <v>B</v>
      </c>
      <c r="AJ1477" t="str">
        <f>LEFT(M1477,1)</f>
        <v>M</v>
      </c>
      <c r="AK1477" t="str">
        <f>_xlfn.CONCAT(AG1477,AH1477,AI1477,AJ1477)</f>
        <v>CMBM</v>
      </c>
    </row>
    <row r="1478" spans="1:37" ht="15.75" hidden="1" customHeight="1" x14ac:dyDescent="0.2">
      <c r="A1478" s="1">
        <v>10125001</v>
      </c>
      <c r="B1478" s="1" t="s">
        <v>29</v>
      </c>
      <c r="C1478" s="1" t="s">
        <v>30</v>
      </c>
      <c r="D1478" s="1" t="s">
        <v>499</v>
      </c>
      <c r="E1478" s="1" t="s">
        <v>500</v>
      </c>
      <c r="F1478" s="1" t="s">
        <v>32</v>
      </c>
      <c r="G1478" s="1" t="s">
        <v>501</v>
      </c>
      <c r="H1478" s="1">
        <v>6211</v>
      </c>
      <c r="I1478" s="1" t="s">
        <v>39</v>
      </c>
      <c r="J1478" s="1">
        <v>11</v>
      </c>
      <c r="K1478" s="1" t="s">
        <v>35</v>
      </c>
      <c r="L1478" s="1">
        <v>41</v>
      </c>
      <c r="M1478" s="1" t="str">
        <f>IF(L1478&lt;=45,"Joven","Mayor")</f>
        <v>Joven</v>
      </c>
      <c r="N1478" s="1">
        <v>48</v>
      </c>
      <c r="O1478" s="1" t="s">
        <v>36</v>
      </c>
      <c r="P1478" s="1">
        <v>0.155</v>
      </c>
      <c r="Q1478" s="1">
        <v>94.463999999999999</v>
      </c>
      <c r="R1478" s="1">
        <v>0.40693923999999998</v>
      </c>
      <c r="S1478" s="1">
        <v>2.1169856</v>
      </c>
      <c r="T1478" s="1">
        <v>-8.8452020000000005</v>
      </c>
      <c r="U1478" s="1">
        <v>4.6890000000000001</v>
      </c>
      <c r="V1478" s="1">
        <v>72</v>
      </c>
      <c r="W1478" s="1">
        <v>132</v>
      </c>
      <c r="X1478" s="1">
        <v>1.8333333333333333</v>
      </c>
      <c r="Y1478" s="1">
        <v>78</v>
      </c>
      <c r="Z1478" s="1">
        <v>132</v>
      </c>
      <c r="AA1478" s="1">
        <v>1.6923076923076923</v>
      </c>
      <c r="AB1478" s="1">
        <v>77.75564463590058</v>
      </c>
      <c r="AC1478" s="1">
        <v>132.42912465944761</v>
      </c>
      <c r="AD1478" s="1">
        <v>1.7031448363596193</v>
      </c>
      <c r="AE1478" t="s">
        <v>4816</v>
      </c>
      <c r="AF1478" t="str">
        <f>IF(X1478&lt;$AF$1,"Bajo","Alto")</f>
        <v>Alto</v>
      </c>
      <c r="AG1478" t="str">
        <f>LEFT(AE1478,1)</f>
        <v>D</v>
      </c>
      <c r="AH1478" t="str">
        <f>K1478</f>
        <v>M</v>
      </c>
      <c r="AI1478" t="str">
        <f>LEFT(AF1478,1)</f>
        <v>A</v>
      </c>
      <c r="AJ1478" t="str">
        <f>LEFT(M1478,1)</f>
        <v>J</v>
      </c>
      <c r="AK1478" t="str">
        <f>_xlfn.CONCAT(AG1478,AH1478,AI1478,AJ1478)</f>
        <v>DMAJ</v>
      </c>
    </row>
    <row r="1479" spans="1:37" ht="15.75" hidden="1" customHeight="1" x14ac:dyDescent="0.2">
      <c r="A1479" s="1">
        <v>250104</v>
      </c>
      <c r="B1479" s="1" t="s">
        <v>3169</v>
      </c>
      <c r="C1479" s="1" t="s">
        <v>821</v>
      </c>
      <c r="D1479" s="1" t="s">
        <v>3170</v>
      </c>
      <c r="E1479" s="1" t="s">
        <v>32</v>
      </c>
      <c r="F1479" s="1" t="s">
        <v>61</v>
      </c>
      <c r="G1479" s="1" t="s">
        <v>3174</v>
      </c>
      <c r="H1479" s="1">
        <v>3086</v>
      </c>
      <c r="I1479" s="1" t="s">
        <v>85</v>
      </c>
      <c r="J1479" s="1">
        <v>12</v>
      </c>
      <c r="K1479" s="1" t="s">
        <v>35</v>
      </c>
      <c r="L1479" s="1">
        <v>53</v>
      </c>
      <c r="M1479" s="1" t="str">
        <f>IF(L1479&lt;=45,"Joven","Mayor")</f>
        <v>Mayor</v>
      </c>
      <c r="N1479" s="1">
        <v>59</v>
      </c>
      <c r="O1479" s="1" t="s">
        <v>36</v>
      </c>
      <c r="P1479" s="1">
        <v>0.69199999999999995</v>
      </c>
      <c r="Q1479" s="1">
        <v>93.753</v>
      </c>
      <c r="R1479" s="1">
        <v>1.9094528</v>
      </c>
      <c r="S1479" s="1">
        <v>1.0248562000000001</v>
      </c>
      <c r="T1479" s="1">
        <v>-1.4155412999999999</v>
      </c>
      <c r="U1479" s="1">
        <v>1.42</v>
      </c>
      <c r="V1479" s="1">
        <v>98</v>
      </c>
      <c r="W1479" s="1">
        <v>164</v>
      </c>
      <c r="X1479" s="1">
        <v>1.6734693877551021</v>
      </c>
      <c r="Y1479" s="1">
        <v>99</v>
      </c>
      <c r="Z1479" s="1">
        <v>164</v>
      </c>
      <c r="AA1479" s="1">
        <v>1.6565656565656566</v>
      </c>
      <c r="AB1479" s="1">
        <v>99.081743374729285</v>
      </c>
      <c r="AC1479" s="1">
        <v>163.94995143994629</v>
      </c>
      <c r="AD1479" s="1">
        <v>1.6546938503078619</v>
      </c>
      <c r="AE1479" t="s">
        <v>4815</v>
      </c>
      <c r="AF1479" t="str">
        <f>IF(X1479&lt;$AF$1,"Bajo","Alto")</f>
        <v>Bajo</v>
      </c>
      <c r="AG1479" t="str">
        <f>LEFT(AE1479,1)</f>
        <v>I</v>
      </c>
      <c r="AH1479" t="str">
        <f>K1479</f>
        <v>M</v>
      </c>
      <c r="AI1479" t="str">
        <f>LEFT(AF1479,1)</f>
        <v>B</v>
      </c>
      <c r="AJ1479" t="str">
        <f>LEFT(M1479,1)</f>
        <v>M</v>
      </c>
      <c r="AK1479" t="str">
        <f>_xlfn.CONCAT(AG1479,AH1479,AI1479,AJ1479)</f>
        <v>IMBM</v>
      </c>
    </row>
    <row r="1480" spans="1:37" ht="15.75" hidden="1" customHeight="1" x14ac:dyDescent="0.2">
      <c r="A1480" s="1">
        <v>256106</v>
      </c>
      <c r="B1480" s="1" t="s">
        <v>3169</v>
      </c>
      <c r="C1480" s="1" t="s">
        <v>821</v>
      </c>
      <c r="D1480" s="1" t="s">
        <v>3285</v>
      </c>
      <c r="E1480" s="1" t="s">
        <v>701</v>
      </c>
      <c r="F1480" s="1" t="s">
        <v>88</v>
      </c>
      <c r="G1480" s="1" t="s">
        <v>3290</v>
      </c>
      <c r="H1480" s="1">
        <v>23458</v>
      </c>
      <c r="I1480" s="1" t="s">
        <v>108</v>
      </c>
      <c r="J1480" s="1">
        <v>3</v>
      </c>
      <c r="K1480" s="1" t="s">
        <v>35</v>
      </c>
      <c r="L1480" s="1">
        <v>45</v>
      </c>
      <c r="M1480" s="1" t="str">
        <f>IF(L1480&lt;=45,"Joven","Mayor")</f>
        <v>Joven</v>
      </c>
      <c r="N1480" s="1">
        <v>44</v>
      </c>
      <c r="O1480" s="1" t="s">
        <v>36</v>
      </c>
      <c r="P1480" s="1">
        <v>0.57599999999999996</v>
      </c>
      <c r="Q1480" s="1">
        <v>93.210999999999999</v>
      </c>
      <c r="R1480" s="1">
        <v>-1.2914939999999999</v>
      </c>
      <c r="S1480" s="1">
        <v>-5.0453809999999999</v>
      </c>
      <c r="T1480" s="1">
        <v>-0.44825387</v>
      </c>
      <c r="U1480" s="1">
        <v>22.489000000000001</v>
      </c>
      <c r="V1480" s="1">
        <v>97</v>
      </c>
      <c r="W1480" s="1">
        <v>181</v>
      </c>
      <c r="X1480" s="1">
        <v>1.865979381443299</v>
      </c>
      <c r="Y1480" s="1">
        <v>97</v>
      </c>
      <c r="Z1480" s="1">
        <v>181</v>
      </c>
      <c r="AA1480" s="1">
        <v>1.865979381443299</v>
      </c>
      <c r="AB1480" s="1">
        <v>97.435143325778654</v>
      </c>
      <c r="AC1480" s="1">
        <v>181.0492247553484</v>
      </c>
      <c r="AD1480" s="1">
        <v>1.8581511616399271</v>
      </c>
      <c r="AE1480" t="s">
        <v>4817</v>
      </c>
      <c r="AF1480" t="str">
        <f>IF(X1480&lt;$AF$1,"Bajo","Alto")</f>
        <v>Alto</v>
      </c>
      <c r="AG1480" t="str">
        <f>LEFT(AE1480,1)</f>
        <v>C</v>
      </c>
      <c r="AH1480" t="str">
        <f>K1480</f>
        <v>M</v>
      </c>
      <c r="AI1480" t="str">
        <f>LEFT(AF1480,1)</f>
        <v>A</v>
      </c>
      <c r="AJ1480" t="str">
        <f>LEFT(M1480,1)</f>
        <v>J</v>
      </c>
      <c r="AK1480" t="str">
        <f>_xlfn.CONCAT(AG1480,AH1480,AI1480,AJ1480)</f>
        <v>CMAJ</v>
      </c>
    </row>
    <row r="1481" spans="1:37" ht="15.75" hidden="1" customHeight="1" x14ac:dyDescent="0.2">
      <c r="A1481" s="1">
        <v>256408</v>
      </c>
      <c r="B1481" s="1" t="s">
        <v>3169</v>
      </c>
      <c r="C1481" s="1" t="s">
        <v>821</v>
      </c>
      <c r="D1481" s="1" t="s">
        <v>3295</v>
      </c>
      <c r="E1481" s="1" t="s">
        <v>710</v>
      </c>
      <c r="F1481" s="1" t="s">
        <v>46</v>
      </c>
      <c r="G1481" s="1" t="s">
        <v>3299</v>
      </c>
      <c r="H1481" s="1">
        <v>4620</v>
      </c>
      <c r="I1481" s="1" t="s">
        <v>3300</v>
      </c>
      <c r="J1481" s="1">
        <v>4257</v>
      </c>
      <c r="K1481" s="1" t="s">
        <v>49</v>
      </c>
      <c r="L1481" s="1">
        <v>29</v>
      </c>
      <c r="M1481" s="1" t="str">
        <f>IF(L1481&lt;=45,"Joven","Mayor")</f>
        <v>Joven</v>
      </c>
      <c r="N1481" s="1">
        <v>27</v>
      </c>
      <c r="O1481" s="1" t="s">
        <v>50</v>
      </c>
      <c r="P1481" s="1">
        <v>0.19400000000000001</v>
      </c>
      <c r="Q1481" s="1">
        <v>85.9</v>
      </c>
      <c r="R1481" s="1">
        <v>8.1023739999999993</v>
      </c>
      <c r="S1481" s="1">
        <v>3.2557301999999999</v>
      </c>
      <c r="T1481" s="1">
        <v>5.7315626000000002</v>
      </c>
      <c r="U1481" s="1">
        <v>3.56</v>
      </c>
      <c r="V1481" s="1">
        <v>69</v>
      </c>
      <c r="W1481" s="1">
        <v>130</v>
      </c>
      <c r="X1481" s="1">
        <v>1.8840579710144927</v>
      </c>
      <c r="Y1481" s="1">
        <v>82</v>
      </c>
      <c r="Z1481" s="1">
        <v>130</v>
      </c>
      <c r="AA1481" s="1">
        <v>1.5853658536585367</v>
      </c>
      <c r="AB1481" s="1">
        <v>79.792436060586851</v>
      </c>
      <c r="AC1481" s="1">
        <v>131.94665679316361</v>
      </c>
      <c r="AD1481" s="1">
        <v>1.6536236178198114</v>
      </c>
      <c r="AE1481" t="s">
        <v>4817</v>
      </c>
      <c r="AF1481" t="str">
        <f>IF(X1481&lt;$AF$1,"Bajo","Alto")</f>
        <v>Alto</v>
      </c>
      <c r="AG1481" t="str">
        <f>LEFT(AE1481,1)</f>
        <v>C</v>
      </c>
      <c r="AH1481" t="str">
        <f>K1481</f>
        <v>F</v>
      </c>
      <c r="AI1481" t="str">
        <f>LEFT(AF1481,1)</f>
        <v>A</v>
      </c>
      <c r="AJ1481" t="str">
        <f>LEFT(M1481,1)</f>
        <v>J</v>
      </c>
      <c r="AK1481" t="str">
        <f>_xlfn.CONCAT(AG1481,AH1481,AI1481,AJ1481)</f>
        <v>CFAJ</v>
      </c>
    </row>
    <row r="1482" spans="1:37" ht="15.75" hidden="1" customHeight="1" x14ac:dyDescent="0.2">
      <c r="A1482" s="1">
        <v>10111502</v>
      </c>
      <c r="B1482" s="1" t="s">
        <v>29</v>
      </c>
      <c r="C1482" s="1" t="s">
        <v>30</v>
      </c>
      <c r="D1482" s="1" t="s">
        <v>111</v>
      </c>
      <c r="E1482" s="1" t="s">
        <v>112</v>
      </c>
      <c r="F1482" s="1" t="s">
        <v>37</v>
      </c>
      <c r="G1482" s="1" t="s">
        <v>114</v>
      </c>
      <c r="H1482" s="1">
        <v>380</v>
      </c>
      <c r="I1482" s="1" t="s">
        <v>108</v>
      </c>
      <c r="J1482" s="1">
        <v>3</v>
      </c>
      <c r="K1482" s="1" t="s">
        <v>35</v>
      </c>
      <c r="L1482" s="1">
        <v>47</v>
      </c>
      <c r="M1482" s="1" t="str">
        <f>IF(L1482&lt;=45,"Joven","Mayor")</f>
        <v>Mayor</v>
      </c>
      <c r="N1482" s="1">
        <v>47</v>
      </c>
      <c r="O1482" s="1" t="s">
        <v>36</v>
      </c>
      <c r="P1482" s="1">
        <v>0.156</v>
      </c>
      <c r="Q1482" s="1">
        <v>94.096000000000004</v>
      </c>
      <c r="R1482" s="1">
        <v>1.5961502000000001</v>
      </c>
      <c r="S1482" s="1">
        <v>0.82779159999999996</v>
      </c>
      <c r="T1482" s="1">
        <v>-0.99596850000000003</v>
      </c>
      <c r="U1482" s="1">
        <v>3.3079999999999998</v>
      </c>
      <c r="V1482" s="1">
        <v>82</v>
      </c>
      <c r="W1482" s="1">
        <v>152</v>
      </c>
      <c r="X1482" s="1">
        <v>1.8536585365853659</v>
      </c>
      <c r="Y1482" s="1">
        <v>84</v>
      </c>
      <c r="Z1482" s="1">
        <v>152</v>
      </c>
      <c r="AA1482" s="1">
        <v>1.8095238095238095</v>
      </c>
      <c r="AB1482" s="1">
        <v>83.27464511682183</v>
      </c>
      <c r="AC1482" s="1">
        <v>151.9422718356559</v>
      </c>
      <c r="AD1482" s="1">
        <v>1.8245922468057798</v>
      </c>
      <c r="AE1482" t="s">
        <v>4817</v>
      </c>
      <c r="AF1482" t="str">
        <f>IF(X1482&lt;$AF$1,"Bajo","Alto")</f>
        <v>Alto</v>
      </c>
      <c r="AG1482" t="str">
        <f>LEFT(AE1482,1)</f>
        <v>C</v>
      </c>
      <c r="AH1482" t="str">
        <f>K1482</f>
        <v>M</v>
      </c>
      <c r="AI1482" t="str">
        <f>LEFT(AF1482,1)</f>
        <v>A</v>
      </c>
      <c r="AJ1482" t="str">
        <f>LEFT(M1482,1)</f>
        <v>M</v>
      </c>
      <c r="AK1482" t="str">
        <f>_xlfn.CONCAT(AG1482,AH1482,AI1482,AJ1482)</f>
        <v>CMAM</v>
      </c>
    </row>
    <row r="1483" spans="1:37" ht="15.75" hidden="1" customHeight="1" x14ac:dyDescent="0.2">
      <c r="A1483" s="1">
        <v>482005</v>
      </c>
      <c r="B1483" s="1" t="s">
        <v>4465</v>
      </c>
      <c r="C1483" s="1" t="s">
        <v>2650</v>
      </c>
      <c r="D1483" s="1" t="s">
        <v>929</v>
      </c>
      <c r="E1483" s="1" t="s">
        <v>1983</v>
      </c>
      <c r="F1483" s="1" t="s">
        <v>40</v>
      </c>
      <c r="G1483" s="1" t="s">
        <v>4523</v>
      </c>
      <c r="H1483" s="1">
        <v>3078</v>
      </c>
      <c r="I1483" s="1" t="s">
        <v>4524</v>
      </c>
      <c r="J1483" s="1">
        <v>4623</v>
      </c>
      <c r="K1483" s="1" t="s">
        <v>35</v>
      </c>
      <c r="L1483" s="1">
        <v>64</v>
      </c>
      <c r="M1483" s="1" t="str">
        <f>IF(L1483&lt;=45,"Joven","Mayor")</f>
        <v>Mayor</v>
      </c>
      <c r="N1483" s="1">
        <v>70</v>
      </c>
      <c r="O1483" s="1" t="s">
        <v>36</v>
      </c>
      <c r="P1483" s="1">
        <v>1.498</v>
      </c>
      <c r="Q1483" s="1">
        <v>93.162999999999997</v>
      </c>
      <c r="R1483" s="1">
        <v>5.7859384E-2</v>
      </c>
      <c r="S1483" s="1">
        <v>6.5856713999999998</v>
      </c>
      <c r="T1483" s="1">
        <v>-1.5915588000000001</v>
      </c>
      <c r="U1483" s="1">
        <v>7.6929999999999996</v>
      </c>
      <c r="V1483" s="1">
        <v>95</v>
      </c>
      <c r="W1483" s="1">
        <v>176</v>
      </c>
      <c r="X1483" s="1">
        <v>1.8526315789473684</v>
      </c>
      <c r="Y1483" s="1">
        <v>97</v>
      </c>
      <c r="Z1483" s="1">
        <v>176</v>
      </c>
      <c r="AA1483" s="1">
        <v>1.8144329896907216</v>
      </c>
      <c r="AB1483" s="1">
        <v>96.24097167052264</v>
      </c>
      <c r="AC1483" s="1">
        <v>175.95987670118851</v>
      </c>
      <c r="AD1483" s="1">
        <v>1.8283260616235313</v>
      </c>
      <c r="AE1483" t="s">
        <v>4817</v>
      </c>
      <c r="AF1483" t="str">
        <f>IF(X1483&lt;$AF$1,"Bajo","Alto")</f>
        <v>Alto</v>
      </c>
      <c r="AG1483" t="str">
        <f>LEFT(AE1483,1)</f>
        <v>C</v>
      </c>
      <c r="AH1483" t="str">
        <f>K1483</f>
        <v>M</v>
      </c>
      <c r="AI1483" t="str">
        <f>LEFT(AF1483,1)</f>
        <v>A</v>
      </c>
      <c r="AJ1483" t="str">
        <f>LEFT(M1483,1)</f>
        <v>M</v>
      </c>
      <c r="AK1483" t="str">
        <f>_xlfn.CONCAT(AG1483,AH1483,AI1483,AJ1483)</f>
        <v>CMAM</v>
      </c>
    </row>
    <row r="1484" spans="1:37" ht="15.75" hidden="1" customHeight="1" x14ac:dyDescent="0.2">
      <c r="A1484" s="1">
        <v>294004</v>
      </c>
      <c r="B1484" s="1" t="s">
        <v>3890</v>
      </c>
      <c r="C1484" s="1" t="s">
        <v>1695</v>
      </c>
      <c r="D1484" s="1" t="s">
        <v>4006</v>
      </c>
      <c r="E1484" s="1" t="s">
        <v>657</v>
      </c>
      <c r="F1484" s="1" t="s">
        <v>61</v>
      </c>
      <c r="G1484" s="1" t="s">
        <v>4008</v>
      </c>
      <c r="H1484" s="1">
        <v>791</v>
      </c>
      <c r="I1484" s="1" t="s">
        <v>91</v>
      </c>
      <c r="J1484" s="1">
        <v>6</v>
      </c>
      <c r="K1484" s="1" t="s">
        <v>35</v>
      </c>
      <c r="L1484" s="1">
        <v>38</v>
      </c>
      <c r="M1484" s="1" t="str">
        <f>IF(L1484&lt;=45,"Joven","Mayor")</f>
        <v>Joven</v>
      </c>
      <c r="N1484" s="1">
        <v>45</v>
      </c>
      <c r="O1484" s="1" t="s">
        <v>36</v>
      </c>
      <c r="P1484" s="1">
        <v>0.34200000000000003</v>
      </c>
      <c r="Q1484" s="1">
        <v>93.712000000000003</v>
      </c>
      <c r="R1484" s="1">
        <v>-1.012567</v>
      </c>
      <c r="S1484" s="1">
        <v>4.0088724999999998</v>
      </c>
      <c r="T1484" s="1">
        <v>-6.7580090000000004</v>
      </c>
      <c r="U1484" s="1">
        <v>17.216999999999999</v>
      </c>
      <c r="V1484" s="1">
        <v>94</v>
      </c>
      <c r="W1484" s="1">
        <v>159</v>
      </c>
      <c r="X1484" s="1">
        <v>1.6914893617021276</v>
      </c>
      <c r="Y1484" s="1">
        <v>97</v>
      </c>
      <c r="Z1484" s="1">
        <v>159</v>
      </c>
      <c r="AA1484" s="1">
        <v>1.6391752577319587</v>
      </c>
      <c r="AB1484" s="1">
        <v>97.936261864270136</v>
      </c>
      <c r="AC1484" s="1">
        <v>158.13062319993509</v>
      </c>
      <c r="AD1484" s="1">
        <v>1.6146279242216566</v>
      </c>
      <c r="AE1484" t="s">
        <v>4817</v>
      </c>
      <c r="AF1484" t="str">
        <f>IF(X1484&lt;$AF$1,"Bajo","Alto")</f>
        <v>Bajo</v>
      </c>
      <c r="AG1484" t="str">
        <f>LEFT(AE1484,1)</f>
        <v>C</v>
      </c>
      <c r="AH1484" t="str">
        <f>K1484</f>
        <v>M</v>
      </c>
      <c r="AI1484" t="str">
        <f>LEFT(AF1484,1)</f>
        <v>B</v>
      </c>
      <c r="AJ1484" t="str">
        <f>LEFT(M1484,1)</f>
        <v>J</v>
      </c>
      <c r="AK1484" t="str">
        <f>_xlfn.CONCAT(AG1484,AH1484,AI1484,AJ1484)</f>
        <v>CMBJ</v>
      </c>
    </row>
    <row r="1485" spans="1:37" ht="15.75" hidden="1" customHeight="1" x14ac:dyDescent="0.2">
      <c r="A1485" s="1">
        <v>10123505</v>
      </c>
      <c r="B1485" s="1" t="s">
        <v>29</v>
      </c>
      <c r="C1485" s="1" t="s">
        <v>30</v>
      </c>
      <c r="D1485" s="1" t="s">
        <v>464</v>
      </c>
      <c r="E1485" s="1" t="s">
        <v>465</v>
      </c>
      <c r="F1485" s="1" t="s">
        <v>40</v>
      </c>
      <c r="G1485" s="1" t="s">
        <v>469</v>
      </c>
      <c r="H1485" s="1">
        <v>292</v>
      </c>
      <c r="I1485" s="1" t="s">
        <v>134</v>
      </c>
      <c r="J1485" s="1">
        <v>8</v>
      </c>
      <c r="K1485" s="1" t="s">
        <v>49</v>
      </c>
      <c r="L1485" s="1">
        <v>55</v>
      </c>
      <c r="M1485" s="1" t="str">
        <f>IF(L1485&lt;=45,"Joven","Mayor")</f>
        <v>Mayor</v>
      </c>
      <c r="N1485" s="1">
        <v>56</v>
      </c>
      <c r="O1485" s="1" t="s">
        <v>50</v>
      </c>
      <c r="P1485" s="1">
        <v>0.35399999999999998</v>
      </c>
      <c r="Q1485" s="1">
        <v>80.563999999999993</v>
      </c>
      <c r="R1485" s="1">
        <v>-10.348668</v>
      </c>
      <c r="S1485" s="1">
        <v>-1.9010320000000001</v>
      </c>
      <c r="T1485" s="1">
        <v>9.3269680000000008</v>
      </c>
      <c r="U1485" s="1">
        <v>72.509</v>
      </c>
      <c r="V1485" s="1">
        <v>75</v>
      </c>
      <c r="W1485" s="1">
        <v>139</v>
      </c>
      <c r="X1485" s="1">
        <v>1.8533333333333333</v>
      </c>
      <c r="Y1485" s="1">
        <v>84</v>
      </c>
      <c r="Z1485" s="1">
        <v>139</v>
      </c>
      <c r="AA1485" s="1">
        <v>1.6547619047619047</v>
      </c>
      <c r="AB1485" s="1">
        <v>80.815334217423015</v>
      </c>
      <c r="AC1485" s="1">
        <v>139.75544927418471</v>
      </c>
      <c r="AD1485" s="1">
        <v>1.7293184595164957</v>
      </c>
      <c r="AE1485" t="s">
        <v>4817</v>
      </c>
      <c r="AF1485" t="str">
        <f>IF(X1485&lt;$AF$1,"Bajo","Alto")</f>
        <v>Alto</v>
      </c>
      <c r="AG1485" t="str">
        <f>LEFT(AE1485,1)</f>
        <v>C</v>
      </c>
      <c r="AH1485" t="str">
        <f>K1485</f>
        <v>F</v>
      </c>
      <c r="AI1485" t="str">
        <f>LEFT(AF1485,1)</f>
        <v>A</v>
      </c>
      <c r="AJ1485" t="str">
        <f>LEFT(M1485,1)</f>
        <v>M</v>
      </c>
      <c r="AK1485" t="str">
        <f>_xlfn.CONCAT(AG1485,AH1485,AI1485,AJ1485)</f>
        <v>CFAM</v>
      </c>
    </row>
    <row r="1486" spans="1:37" ht="15.75" hidden="1" customHeight="1" x14ac:dyDescent="0.2">
      <c r="A1486" s="1">
        <v>2313307</v>
      </c>
      <c r="B1486" s="1" t="s">
        <v>319</v>
      </c>
      <c r="C1486" s="1" t="s">
        <v>1989</v>
      </c>
      <c r="D1486" s="1" t="s">
        <v>2974</v>
      </c>
      <c r="E1486" s="1" t="s">
        <v>169</v>
      </c>
      <c r="F1486" s="1" t="s">
        <v>43</v>
      </c>
      <c r="G1486" s="1" t="s">
        <v>2982</v>
      </c>
      <c r="H1486" s="1">
        <v>2280</v>
      </c>
      <c r="I1486" s="1" t="s">
        <v>2983</v>
      </c>
      <c r="J1486" s="1">
        <v>5040</v>
      </c>
      <c r="K1486" s="1" t="s">
        <v>35</v>
      </c>
      <c r="L1486" s="1">
        <v>46</v>
      </c>
      <c r="M1486" s="1" t="str">
        <f>IF(L1486&lt;=45,"Joven","Mayor")</f>
        <v>Mayor</v>
      </c>
      <c r="N1486" s="1">
        <v>36</v>
      </c>
      <c r="O1486" s="1" t="s">
        <v>36</v>
      </c>
      <c r="P1486" s="1">
        <v>0.374</v>
      </c>
      <c r="Q1486" s="1">
        <v>82.483000000000004</v>
      </c>
      <c r="R1486" s="1">
        <v>-9.7971939999999993</v>
      </c>
      <c r="S1486" s="1">
        <v>1.3181368</v>
      </c>
      <c r="T1486" s="1">
        <v>7.6191240000000002</v>
      </c>
      <c r="U1486" s="1">
        <v>11.459</v>
      </c>
      <c r="V1486" s="1">
        <v>88</v>
      </c>
      <c r="W1486" s="1">
        <v>163</v>
      </c>
      <c r="X1486" s="1">
        <v>1.8522727272727273</v>
      </c>
      <c r="Y1486" s="1">
        <v>96</v>
      </c>
      <c r="Z1486" s="1">
        <v>163</v>
      </c>
      <c r="AA1486" s="1">
        <v>1.6979166666666667</v>
      </c>
      <c r="AB1486" s="1">
        <v>92.791741560921992</v>
      </c>
      <c r="AC1486" s="1">
        <v>161.958690254065</v>
      </c>
      <c r="AD1486" s="1">
        <v>1.7453998333217162</v>
      </c>
      <c r="AE1486" t="s">
        <v>4817</v>
      </c>
      <c r="AF1486" t="str">
        <f>IF(X1486&lt;$AF$1,"Bajo","Alto")</f>
        <v>Alto</v>
      </c>
      <c r="AG1486" t="str">
        <f>LEFT(AE1486,1)</f>
        <v>C</v>
      </c>
      <c r="AH1486" t="str">
        <f>K1486</f>
        <v>M</v>
      </c>
      <c r="AI1486" t="str">
        <f>LEFT(AF1486,1)</f>
        <v>A</v>
      </c>
      <c r="AJ1486" t="str">
        <f>LEFT(M1486,1)</f>
        <v>M</v>
      </c>
      <c r="AK1486" t="str">
        <f>_xlfn.CONCAT(AG1486,AH1486,AI1486,AJ1486)</f>
        <v>CMAM</v>
      </c>
    </row>
    <row r="1487" spans="1:37" ht="15.75" hidden="1" customHeight="1" x14ac:dyDescent="0.2">
      <c r="A1487" s="1">
        <v>295503</v>
      </c>
      <c r="B1487" s="1" t="s">
        <v>3890</v>
      </c>
      <c r="C1487" s="1" t="s">
        <v>1695</v>
      </c>
      <c r="D1487" s="1" t="s">
        <v>4030</v>
      </c>
      <c r="E1487" s="1" t="s">
        <v>690</v>
      </c>
      <c r="F1487" s="1" t="s">
        <v>63</v>
      </c>
      <c r="G1487" s="1" t="s">
        <v>4032</v>
      </c>
      <c r="H1487" s="1">
        <v>139</v>
      </c>
      <c r="I1487" s="1" t="s">
        <v>91</v>
      </c>
      <c r="J1487" s="1">
        <v>6</v>
      </c>
      <c r="K1487" s="1" t="s">
        <v>49</v>
      </c>
      <c r="L1487" s="1">
        <v>65</v>
      </c>
      <c r="M1487" s="1" t="str">
        <f>IF(L1487&lt;=45,"Joven","Mayor")</f>
        <v>Mayor</v>
      </c>
      <c r="N1487" s="1">
        <v>62</v>
      </c>
      <c r="O1487" s="1" t="s">
        <v>50</v>
      </c>
      <c r="P1487" s="1">
        <v>0.36199999999999999</v>
      </c>
      <c r="Q1487" s="1">
        <v>94.210999999999999</v>
      </c>
      <c r="R1487" s="1">
        <v>-1.1407875999999999</v>
      </c>
      <c r="S1487" s="1">
        <v>1.292492</v>
      </c>
      <c r="T1487" s="1">
        <v>-2.9973736</v>
      </c>
      <c r="U1487" s="1">
        <v>86.293000000000006</v>
      </c>
      <c r="V1487" s="1">
        <v>105</v>
      </c>
      <c r="W1487" s="1">
        <v>175</v>
      </c>
      <c r="X1487" s="1">
        <v>1.6666666666666667</v>
      </c>
      <c r="Y1487" s="1">
        <v>105</v>
      </c>
      <c r="Z1487" s="1">
        <v>175</v>
      </c>
      <c r="AA1487" s="1">
        <v>1.6666666666666667</v>
      </c>
      <c r="AB1487" s="1">
        <v>107.2617012041533</v>
      </c>
      <c r="AC1487" s="1">
        <v>174.96974895005181</v>
      </c>
      <c r="AD1487" s="1">
        <v>1.6312415986860813</v>
      </c>
      <c r="AE1487" t="s">
        <v>4817</v>
      </c>
      <c r="AF1487" t="str">
        <f>IF(X1487&lt;$AF$1,"Bajo","Alto")</f>
        <v>Bajo</v>
      </c>
      <c r="AG1487" t="str">
        <f>LEFT(AE1487,1)</f>
        <v>C</v>
      </c>
      <c r="AH1487" t="str">
        <f>K1487</f>
        <v>F</v>
      </c>
      <c r="AI1487" t="str">
        <f>LEFT(AF1487,1)</f>
        <v>B</v>
      </c>
      <c r="AJ1487" t="str">
        <f>LEFT(M1487,1)</f>
        <v>M</v>
      </c>
      <c r="AK1487" t="str">
        <f>_xlfn.CONCAT(AG1487,AH1487,AI1487,AJ1487)</f>
        <v>CFBM</v>
      </c>
    </row>
    <row r="1488" spans="1:37" ht="15.75" hidden="1" customHeight="1" x14ac:dyDescent="0.2">
      <c r="A1488" s="1">
        <v>1241004</v>
      </c>
      <c r="B1488" s="1" t="s">
        <v>1798</v>
      </c>
      <c r="C1488" s="1" t="s">
        <v>54</v>
      </c>
      <c r="D1488" s="1" t="s">
        <v>1837</v>
      </c>
      <c r="E1488" s="1" t="s">
        <v>1838</v>
      </c>
      <c r="F1488" s="1" t="s">
        <v>61</v>
      </c>
      <c r="G1488" s="1" t="s">
        <v>1840</v>
      </c>
      <c r="H1488" s="1">
        <v>243</v>
      </c>
      <c r="I1488" s="1" t="s">
        <v>45</v>
      </c>
      <c r="J1488" s="1">
        <v>17</v>
      </c>
      <c r="K1488" s="1" t="s">
        <v>35</v>
      </c>
      <c r="L1488" s="1">
        <v>58</v>
      </c>
      <c r="M1488" s="1" t="str">
        <f>IF(L1488&lt;=45,"Joven","Mayor")</f>
        <v>Mayor</v>
      </c>
      <c r="N1488" s="1">
        <v>49</v>
      </c>
      <c r="O1488" s="1" t="s">
        <v>36</v>
      </c>
      <c r="P1488" s="1">
        <v>0.747</v>
      </c>
      <c r="Q1488" s="1">
        <v>94.015000000000001</v>
      </c>
      <c r="R1488" s="1">
        <v>1.3738515</v>
      </c>
      <c r="S1488" s="1">
        <v>1.1964895</v>
      </c>
      <c r="T1488" s="1">
        <v>-4.0342574000000004</v>
      </c>
      <c r="U1488" s="1">
        <v>4.444</v>
      </c>
      <c r="V1488" s="1">
        <v>91</v>
      </c>
      <c r="W1488" s="1">
        <v>153</v>
      </c>
      <c r="X1488" s="1">
        <v>1.6813186813186813</v>
      </c>
      <c r="Y1488" s="1">
        <v>92</v>
      </c>
      <c r="Z1488" s="1">
        <v>153</v>
      </c>
      <c r="AA1488" s="1">
        <v>1.6630434782608696</v>
      </c>
      <c r="AB1488" s="1">
        <v>93.658986223749253</v>
      </c>
      <c r="AC1488" s="1">
        <v>152.90230276684039</v>
      </c>
      <c r="AD1488" s="1">
        <v>1.6325427909454429</v>
      </c>
      <c r="AE1488" t="s">
        <v>4817</v>
      </c>
      <c r="AF1488" t="str">
        <f>IF(X1488&lt;$AF$1,"Bajo","Alto")</f>
        <v>Bajo</v>
      </c>
      <c r="AG1488" t="str">
        <f>LEFT(AE1488,1)</f>
        <v>C</v>
      </c>
      <c r="AH1488" t="str">
        <f>K1488</f>
        <v>M</v>
      </c>
      <c r="AI1488" t="str">
        <f>LEFT(AF1488,1)</f>
        <v>B</v>
      </c>
      <c r="AJ1488" t="str">
        <f>LEFT(M1488,1)</f>
        <v>M</v>
      </c>
      <c r="AK1488" t="str">
        <f>_xlfn.CONCAT(AG1488,AH1488,AI1488,AJ1488)</f>
        <v>CMBM</v>
      </c>
    </row>
    <row r="1489" spans="1:37" ht="15.75" hidden="1" customHeight="1" x14ac:dyDescent="0.2">
      <c r="A1489" s="1">
        <v>2313306</v>
      </c>
      <c r="B1489" s="1" t="s">
        <v>319</v>
      </c>
      <c r="C1489" s="1" t="s">
        <v>1989</v>
      </c>
      <c r="D1489" s="1" t="s">
        <v>2974</v>
      </c>
      <c r="E1489" s="1" t="s">
        <v>169</v>
      </c>
      <c r="F1489" s="1" t="s">
        <v>88</v>
      </c>
      <c r="G1489" s="1" t="s">
        <v>2980</v>
      </c>
      <c r="H1489" s="1">
        <v>64</v>
      </c>
      <c r="I1489" s="1" t="s">
        <v>2981</v>
      </c>
      <c r="J1489" s="1">
        <v>2977</v>
      </c>
      <c r="K1489" s="1" t="s">
        <v>35</v>
      </c>
      <c r="L1489" s="1">
        <v>44</v>
      </c>
      <c r="M1489" s="1" t="str">
        <f>IF(L1489&lt;=45,"Joven","Mayor")</f>
        <v>Joven</v>
      </c>
      <c r="N1489" s="1">
        <v>56</v>
      </c>
      <c r="O1489" s="1" t="s">
        <v>36</v>
      </c>
      <c r="P1489" s="1">
        <v>0.96899999999999997</v>
      </c>
      <c r="Q1489" s="1">
        <v>93.027000000000001</v>
      </c>
      <c r="R1489" s="1">
        <v>0.16492599999999999</v>
      </c>
      <c r="S1489" s="1">
        <v>7.2105493999999997</v>
      </c>
      <c r="T1489" s="1">
        <v>-3.0951061000000002</v>
      </c>
      <c r="U1489" s="1">
        <v>4.1340000000000003</v>
      </c>
      <c r="V1489" s="1">
        <v>100</v>
      </c>
      <c r="W1489" s="1">
        <v>169</v>
      </c>
      <c r="X1489" s="1">
        <v>1.69</v>
      </c>
      <c r="Y1489" s="1">
        <v>102</v>
      </c>
      <c r="Z1489" s="1">
        <v>169</v>
      </c>
      <c r="AA1489" s="1">
        <v>1.6568627450980393</v>
      </c>
      <c r="AB1489" s="1">
        <v>102.8237723517623</v>
      </c>
      <c r="AC1489" s="1">
        <v>169.1314319632456</v>
      </c>
      <c r="AD1489" s="1">
        <v>1.6448670195122135</v>
      </c>
      <c r="AE1489" t="s">
        <v>4815</v>
      </c>
      <c r="AF1489" t="str">
        <f>IF(X1489&lt;$AF$1,"Bajo","Alto")</f>
        <v>Bajo</v>
      </c>
      <c r="AG1489" t="str">
        <f>LEFT(AE1489,1)</f>
        <v>I</v>
      </c>
      <c r="AH1489" t="str">
        <f>K1489</f>
        <v>M</v>
      </c>
      <c r="AI1489" t="str">
        <f>LEFT(AF1489,1)</f>
        <v>B</v>
      </c>
      <c r="AJ1489" t="str">
        <f>LEFT(M1489,1)</f>
        <v>J</v>
      </c>
      <c r="AK1489" t="str">
        <f>_xlfn.CONCAT(AG1489,AH1489,AI1489,AJ1489)</f>
        <v>IMBJ</v>
      </c>
    </row>
    <row r="1490" spans="1:37" ht="15.75" hidden="1" customHeight="1" x14ac:dyDescent="0.2">
      <c r="A1490" s="1">
        <v>10129802</v>
      </c>
      <c r="B1490" s="1" t="s">
        <v>29</v>
      </c>
      <c r="C1490" s="1" t="s">
        <v>30</v>
      </c>
      <c r="D1490" s="1" t="s">
        <v>607</v>
      </c>
      <c r="E1490" s="1" t="s">
        <v>608</v>
      </c>
      <c r="F1490" s="1" t="s">
        <v>37</v>
      </c>
      <c r="G1490" s="1" t="s">
        <v>610</v>
      </c>
      <c r="H1490" s="1">
        <v>957</v>
      </c>
      <c r="I1490" s="1" t="s">
        <v>611</v>
      </c>
      <c r="J1490" s="1">
        <v>2367</v>
      </c>
      <c r="K1490" s="1" t="s">
        <v>35</v>
      </c>
      <c r="L1490" s="1">
        <v>30</v>
      </c>
      <c r="M1490" s="1" t="str">
        <f>IF(L1490&lt;=45,"Joven","Mayor")</f>
        <v>Joven</v>
      </c>
      <c r="N1490" s="1">
        <v>47</v>
      </c>
      <c r="O1490" s="1" t="s">
        <v>36</v>
      </c>
      <c r="P1490" s="1">
        <v>6.3E-2</v>
      </c>
      <c r="Q1490" s="1">
        <v>80.403999999999996</v>
      </c>
      <c r="R1490" s="1">
        <v>9.7506029999999999</v>
      </c>
      <c r="S1490" s="1">
        <v>5.6591287000000001</v>
      </c>
      <c r="T1490" s="1">
        <v>-8.1522939999999995</v>
      </c>
      <c r="U1490" s="1">
        <v>2.073</v>
      </c>
      <c r="V1490" s="1">
        <v>82</v>
      </c>
      <c r="W1490" s="1">
        <v>153</v>
      </c>
      <c r="X1490" s="1">
        <v>1.8658536585365855</v>
      </c>
      <c r="Y1490" s="1">
        <v>88</v>
      </c>
      <c r="Z1490" s="1">
        <v>153</v>
      </c>
      <c r="AA1490" s="1">
        <v>1.7386363636363635</v>
      </c>
      <c r="AB1490" s="1">
        <v>87.127161194005339</v>
      </c>
      <c r="AC1490" s="1">
        <v>152.02109968507381</v>
      </c>
      <c r="AD1490" s="1">
        <v>1.7448186949023814</v>
      </c>
      <c r="AE1490" t="s">
        <v>4817</v>
      </c>
      <c r="AF1490" t="str">
        <f>IF(X1490&lt;$AF$1,"Bajo","Alto")</f>
        <v>Alto</v>
      </c>
      <c r="AG1490" t="str">
        <f>LEFT(AE1490,1)</f>
        <v>C</v>
      </c>
      <c r="AH1490" t="str">
        <f>K1490</f>
        <v>M</v>
      </c>
      <c r="AI1490" t="str">
        <f>LEFT(AF1490,1)</f>
        <v>A</v>
      </c>
      <c r="AJ1490" t="str">
        <f>LEFT(M1490,1)</f>
        <v>J</v>
      </c>
      <c r="AK1490" t="str">
        <f>_xlfn.CONCAT(AG1490,AH1490,AI1490,AJ1490)</f>
        <v>CMAJ</v>
      </c>
    </row>
    <row r="1491" spans="1:37" ht="15.75" hidden="1" customHeight="1" x14ac:dyDescent="0.2">
      <c r="A1491" s="1">
        <v>1095203</v>
      </c>
      <c r="B1491" s="1" t="s">
        <v>719</v>
      </c>
      <c r="C1491" s="1" t="s">
        <v>98</v>
      </c>
      <c r="D1491" s="1" t="s">
        <v>1615</v>
      </c>
      <c r="E1491" s="1" t="s">
        <v>685</v>
      </c>
      <c r="F1491" s="1" t="s">
        <v>63</v>
      </c>
      <c r="G1491" s="1" t="s">
        <v>1617</v>
      </c>
      <c r="H1491" s="1">
        <v>1494</v>
      </c>
      <c r="I1491" s="1" t="s">
        <v>134</v>
      </c>
      <c r="J1491" s="1">
        <v>8</v>
      </c>
      <c r="K1491" s="1" t="s">
        <v>35</v>
      </c>
      <c r="L1491" s="1">
        <v>37</v>
      </c>
      <c r="M1491" s="1" t="str">
        <f>IF(L1491&lt;=45,"Joven","Mayor")</f>
        <v>Joven</v>
      </c>
      <c r="N1491" s="1">
        <v>45</v>
      </c>
      <c r="O1491" s="1" t="s">
        <v>36</v>
      </c>
      <c r="P1491" s="1">
        <v>0.127</v>
      </c>
      <c r="Q1491" s="1">
        <v>91.039000000000001</v>
      </c>
      <c r="R1491" s="1">
        <v>5.5052750000000001</v>
      </c>
      <c r="S1491" s="1">
        <v>0.13029267999999999</v>
      </c>
      <c r="T1491" s="1">
        <v>-6.9867299999999997</v>
      </c>
      <c r="U1491" s="1">
        <v>15.933</v>
      </c>
      <c r="V1491" s="1">
        <v>89</v>
      </c>
      <c r="W1491" s="1">
        <v>166</v>
      </c>
      <c r="X1491" s="1">
        <v>1.8651685393258426</v>
      </c>
      <c r="Y1491" s="1">
        <v>96</v>
      </c>
      <c r="Z1491" s="1">
        <v>166</v>
      </c>
      <c r="AA1491" s="1">
        <v>1.7291666666666667</v>
      </c>
      <c r="AB1491" s="1">
        <v>93.691253499851655</v>
      </c>
      <c r="AC1491" s="1">
        <v>165.61881842754059</v>
      </c>
      <c r="AD1491" s="1">
        <v>1.7677084278502349</v>
      </c>
      <c r="AE1491" t="s">
        <v>4817</v>
      </c>
      <c r="AF1491" t="str">
        <f>IF(X1491&lt;$AF$1,"Bajo","Alto")</f>
        <v>Alto</v>
      </c>
      <c r="AG1491" t="str">
        <f>LEFT(AE1491,1)</f>
        <v>C</v>
      </c>
      <c r="AH1491" t="str">
        <f>K1491</f>
        <v>M</v>
      </c>
      <c r="AI1491" t="str">
        <f>LEFT(AF1491,1)</f>
        <v>A</v>
      </c>
      <c r="AJ1491" t="str">
        <f>LEFT(M1491,1)</f>
        <v>J</v>
      </c>
      <c r="AK1491" t="str">
        <f>_xlfn.CONCAT(AG1491,AH1491,AI1491,AJ1491)</f>
        <v>CMAJ</v>
      </c>
    </row>
    <row r="1492" spans="1:37" ht="15.75" hidden="1" customHeight="1" x14ac:dyDescent="0.2">
      <c r="A1492" s="1">
        <v>10911502</v>
      </c>
      <c r="B1492" s="1" t="s">
        <v>719</v>
      </c>
      <c r="C1492" s="1" t="s">
        <v>98</v>
      </c>
      <c r="D1492" s="1" t="s">
        <v>1557</v>
      </c>
      <c r="E1492" s="1" t="s">
        <v>112</v>
      </c>
      <c r="F1492" s="1" t="s">
        <v>37</v>
      </c>
      <c r="G1492" s="1" t="s">
        <v>1559</v>
      </c>
      <c r="H1492" s="1">
        <v>5952</v>
      </c>
      <c r="I1492" s="1" t="s">
        <v>1560</v>
      </c>
      <c r="J1492" s="1">
        <v>2047</v>
      </c>
      <c r="K1492" s="1" t="s">
        <v>35</v>
      </c>
      <c r="L1492" s="1">
        <v>30</v>
      </c>
      <c r="M1492" s="1" t="str">
        <f>IF(L1492&lt;=45,"Joven","Mayor")</f>
        <v>Joven</v>
      </c>
      <c r="N1492" s="1">
        <v>24</v>
      </c>
      <c r="O1492" s="1" t="s">
        <v>36</v>
      </c>
      <c r="P1492" s="1">
        <v>1.0029999999999999</v>
      </c>
      <c r="Q1492" s="1">
        <v>91.072000000000003</v>
      </c>
      <c r="R1492" s="1">
        <v>4.5825990000000001</v>
      </c>
      <c r="S1492" s="1">
        <v>2.8703818000000001</v>
      </c>
      <c r="T1492" s="1">
        <v>-6.5965923999999996</v>
      </c>
      <c r="U1492" s="1">
        <v>0.84899999999999998</v>
      </c>
      <c r="V1492" s="1">
        <v>74</v>
      </c>
      <c r="W1492" s="1">
        <v>138</v>
      </c>
      <c r="X1492" s="1">
        <v>1.8648648648648649</v>
      </c>
      <c r="Y1492" s="1">
        <v>79</v>
      </c>
      <c r="Z1492" s="1">
        <v>138</v>
      </c>
      <c r="AA1492" s="1">
        <v>1.7468354430379747</v>
      </c>
      <c r="AB1492" s="1">
        <v>78.220091264674238</v>
      </c>
      <c r="AC1492" s="1">
        <v>137.89053123859281</v>
      </c>
      <c r="AD1492" s="1">
        <v>1.7628531111273062</v>
      </c>
      <c r="AE1492" t="s">
        <v>4817</v>
      </c>
      <c r="AF1492" t="str">
        <f>IF(X1492&lt;$AF$1,"Bajo","Alto")</f>
        <v>Alto</v>
      </c>
      <c r="AG1492" t="str">
        <f>LEFT(AE1492,1)</f>
        <v>C</v>
      </c>
      <c r="AH1492" t="str">
        <f>K1492</f>
        <v>M</v>
      </c>
      <c r="AI1492" t="str">
        <f>LEFT(AF1492,1)</f>
        <v>A</v>
      </c>
      <c r="AJ1492" t="str">
        <f>LEFT(M1492,1)</f>
        <v>J</v>
      </c>
      <c r="AK1492" t="str">
        <f>_xlfn.CONCAT(AG1492,AH1492,AI1492,AJ1492)</f>
        <v>CMAJ</v>
      </c>
    </row>
    <row r="1493" spans="1:37" ht="15.75" hidden="1" customHeight="1" x14ac:dyDescent="0.2">
      <c r="A1493" s="1">
        <v>1528001</v>
      </c>
      <c r="B1493" s="1" t="s">
        <v>2077</v>
      </c>
      <c r="C1493" s="1" t="s">
        <v>57</v>
      </c>
      <c r="D1493" s="1" t="s">
        <v>2343</v>
      </c>
      <c r="E1493" s="1" t="s">
        <v>556</v>
      </c>
      <c r="F1493" s="1" t="s">
        <v>32</v>
      </c>
      <c r="G1493" s="1" t="s">
        <v>2344</v>
      </c>
      <c r="H1493" s="1">
        <v>2347</v>
      </c>
      <c r="I1493" s="1" t="s">
        <v>100</v>
      </c>
      <c r="J1493" s="1">
        <v>1</v>
      </c>
      <c r="K1493" s="1" t="s">
        <v>35</v>
      </c>
      <c r="L1493" s="1">
        <v>29</v>
      </c>
      <c r="M1493" s="1" t="str">
        <f>IF(L1493&lt;=45,"Joven","Mayor")</f>
        <v>Joven</v>
      </c>
      <c r="N1493" s="1">
        <v>35</v>
      </c>
      <c r="O1493" s="1" t="s">
        <v>36</v>
      </c>
      <c r="P1493" s="1">
        <v>0.39400000000000002</v>
      </c>
      <c r="Q1493" s="1">
        <v>92.822999999999993</v>
      </c>
      <c r="R1493" s="1">
        <v>3.0807910000000001</v>
      </c>
      <c r="S1493" s="1">
        <v>2.0772439999999999</v>
      </c>
      <c r="T1493" s="1">
        <v>8.3270149999999994</v>
      </c>
      <c r="U1493" s="1">
        <v>50.326000000000001</v>
      </c>
      <c r="V1493" s="1">
        <v>74</v>
      </c>
      <c r="W1493" s="1">
        <v>138</v>
      </c>
      <c r="X1493" s="1">
        <v>1.8648648648648649</v>
      </c>
      <c r="Y1493" s="1">
        <v>85</v>
      </c>
      <c r="Z1493" s="1">
        <v>138</v>
      </c>
      <c r="AA1493" s="1">
        <v>1.6235294117647059</v>
      </c>
      <c r="AB1493" s="1">
        <v>80.193683107533388</v>
      </c>
      <c r="AC1493" s="1">
        <v>138.71749207967969</v>
      </c>
      <c r="AD1493" s="1">
        <v>1.7297807845247672</v>
      </c>
      <c r="AE1493" t="s">
        <v>4817</v>
      </c>
      <c r="AF1493" t="str">
        <f>IF(X1493&lt;$AF$1,"Bajo","Alto")</f>
        <v>Alto</v>
      </c>
      <c r="AG1493" t="str">
        <f>LEFT(AE1493,1)</f>
        <v>C</v>
      </c>
      <c r="AH1493" t="str">
        <f>K1493</f>
        <v>M</v>
      </c>
      <c r="AI1493" t="str">
        <f>LEFT(AF1493,1)</f>
        <v>A</v>
      </c>
      <c r="AJ1493" t="str">
        <f>LEFT(M1493,1)</f>
        <v>J</v>
      </c>
      <c r="AK1493" t="str">
        <f>_xlfn.CONCAT(AG1493,AH1493,AI1493,AJ1493)</f>
        <v>CMAJ</v>
      </c>
    </row>
    <row r="1494" spans="1:37" ht="15.75" hidden="1" customHeight="1" x14ac:dyDescent="0.2">
      <c r="A1494" s="1">
        <v>299406</v>
      </c>
      <c r="B1494" s="1" t="s">
        <v>3890</v>
      </c>
      <c r="C1494" s="1" t="s">
        <v>1695</v>
      </c>
      <c r="D1494" s="1" t="s">
        <v>4114</v>
      </c>
      <c r="E1494" s="1" t="s">
        <v>775</v>
      </c>
      <c r="F1494" s="1" t="s">
        <v>88</v>
      </c>
      <c r="G1494" s="1" t="s">
        <v>4117</v>
      </c>
      <c r="H1494" s="1">
        <v>86</v>
      </c>
      <c r="I1494" s="1" t="s">
        <v>93</v>
      </c>
      <c r="J1494" s="1">
        <v>9</v>
      </c>
      <c r="K1494" s="1" t="s">
        <v>35</v>
      </c>
      <c r="L1494" s="1">
        <v>57</v>
      </c>
      <c r="M1494" s="1" t="str">
        <f>IF(L1494&lt;=45,"Joven","Mayor")</f>
        <v>Mayor</v>
      </c>
      <c r="N1494" s="1">
        <v>60</v>
      </c>
      <c r="O1494" s="1" t="s">
        <v>36</v>
      </c>
      <c r="P1494" s="1">
        <v>0.35599999999999998</v>
      </c>
      <c r="Q1494" s="1">
        <v>85.046000000000006</v>
      </c>
      <c r="R1494" s="1">
        <v>8.4235279999999992</v>
      </c>
      <c r="S1494" s="1">
        <v>3.4234621999999999</v>
      </c>
      <c r="T1494" s="1">
        <v>-5.5226790000000001</v>
      </c>
      <c r="U1494" s="1">
        <v>2.9249999999999998</v>
      </c>
      <c r="V1494" s="1">
        <v>100</v>
      </c>
      <c r="W1494" s="1">
        <v>168</v>
      </c>
      <c r="X1494" s="1">
        <v>1.68</v>
      </c>
      <c r="Y1494" s="1">
        <v>103</v>
      </c>
      <c r="Z1494" s="1">
        <v>168</v>
      </c>
      <c r="AA1494" s="1">
        <v>1.6310679611650485</v>
      </c>
      <c r="AB1494" s="1">
        <v>103.7703670625981</v>
      </c>
      <c r="AC1494" s="1">
        <v>167.990092613391</v>
      </c>
      <c r="AD1494" s="1">
        <v>1.6188638179534742</v>
      </c>
      <c r="AE1494" t="s">
        <v>4815</v>
      </c>
      <c r="AF1494" t="str">
        <f>IF(X1494&lt;$AF$1,"Bajo","Alto")</f>
        <v>Bajo</v>
      </c>
      <c r="AG1494" t="str">
        <f>LEFT(AE1494,1)</f>
        <v>I</v>
      </c>
      <c r="AH1494" t="str">
        <f>K1494</f>
        <v>M</v>
      </c>
      <c r="AI1494" t="str">
        <f>LEFT(AF1494,1)</f>
        <v>B</v>
      </c>
      <c r="AJ1494" t="str">
        <f>LEFT(M1494,1)</f>
        <v>M</v>
      </c>
      <c r="AK1494" t="str">
        <f>_xlfn.CONCAT(AG1494,AH1494,AI1494,AJ1494)</f>
        <v>IMBM</v>
      </c>
    </row>
    <row r="1495" spans="1:37" ht="15.75" hidden="1" customHeight="1" x14ac:dyDescent="0.2">
      <c r="A1495" s="1">
        <v>4656003</v>
      </c>
      <c r="B1495" s="1" t="s">
        <v>4382</v>
      </c>
      <c r="C1495" s="1" t="s">
        <v>669</v>
      </c>
      <c r="D1495" s="1" t="s">
        <v>4417</v>
      </c>
      <c r="E1495" s="1" t="s">
        <v>4418</v>
      </c>
      <c r="F1495" s="1" t="s">
        <v>63</v>
      </c>
      <c r="G1495" s="1" t="s">
        <v>4419</v>
      </c>
      <c r="H1495" s="1">
        <v>67</v>
      </c>
      <c r="I1495" s="1" t="s">
        <v>87</v>
      </c>
      <c r="J1495" s="1">
        <v>14</v>
      </c>
      <c r="K1495" s="1" t="s">
        <v>35</v>
      </c>
      <c r="L1495" s="1">
        <v>30</v>
      </c>
      <c r="M1495" s="1" t="str">
        <f>IF(L1495&lt;=45,"Joven","Mayor")</f>
        <v>Joven</v>
      </c>
      <c r="N1495" s="1">
        <v>48</v>
      </c>
      <c r="O1495" s="1" t="s">
        <v>36</v>
      </c>
      <c r="P1495" s="1">
        <v>0.372</v>
      </c>
      <c r="Q1495" s="1">
        <v>91.488</v>
      </c>
      <c r="R1495" s="1">
        <v>2.582338</v>
      </c>
      <c r="S1495" s="1">
        <v>7.4206785999999996</v>
      </c>
      <c r="T1495" s="1">
        <v>-5.2340983999999997</v>
      </c>
      <c r="U1495" s="1">
        <v>63.305999999999997</v>
      </c>
      <c r="V1495" s="1">
        <v>64</v>
      </c>
      <c r="W1495" s="1">
        <v>109</v>
      </c>
      <c r="X1495" s="1">
        <v>1.703125</v>
      </c>
      <c r="Y1495" s="1">
        <v>66</v>
      </c>
      <c r="Z1495" s="1">
        <v>109</v>
      </c>
      <c r="AA1495" s="1">
        <v>1.6515151515151516</v>
      </c>
      <c r="AB1495" s="1">
        <v>65.922544045133236</v>
      </c>
      <c r="AC1495" s="1">
        <v>108.91040194893959</v>
      </c>
      <c r="AD1495" s="1">
        <v>1.652096464517133</v>
      </c>
      <c r="AE1495" t="s">
        <v>4816</v>
      </c>
      <c r="AF1495" t="str">
        <f>IF(X1495&lt;$AF$1,"Bajo","Alto")</f>
        <v>Bajo</v>
      </c>
      <c r="AG1495" t="str">
        <f>LEFT(AE1495,1)</f>
        <v>D</v>
      </c>
      <c r="AH1495" t="str">
        <f>K1495</f>
        <v>M</v>
      </c>
      <c r="AI1495" t="str">
        <f>LEFT(AF1495,1)</f>
        <v>B</v>
      </c>
      <c r="AJ1495" t="str">
        <f>LEFT(M1495,1)</f>
        <v>J</v>
      </c>
      <c r="AK1495" t="str">
        <f>_xlfn.CONCAT(AG1495,AH1495,AI1495,AJ1495)</f>
        <v>DMBJ</v>
      </c>
    </row>
    <row r="1496" spans="1:37" ht="15.75" hidden="1" customHeight="1" x14ac:dyDescent="0.2">
      <c r="A1496" s="1">
        <v>194404</v>
      </c>
      <c r="B1496" s="1" t="s">
        <v>2656</v>
      </c>
      <c r="C1496" s="1" t="s">
        <v>323</v>
      </c>
      <c r="D1496" s="1" t="s">
        <v>2726</v>
      </c>
      <c r="E1496" s="1" t="s">
        <v>995</v>
      </c>
      <c r="F1496" s="1" t="s">
        <v>61</v>
      </c>
      <c r="G1496" s="1" t="s">
        <v>2727</v>
      </c>
      <c r="H1496" s="1">
        <v>1602</v>
      </c>
      <c r="I1496" s="1" t="s">
        <v>108</v>
      </c>
      <c r="J1496" s="1">
        <v>3</v>
      </c>
      <c r="K1496" s="1" t="s">
        <v>35</v>
      </c>
      <c r="L1496" s="1">
        <v>44</v>
      </c>
      <c r="M1496" s="1" t="str">
        <f>IF(L1496&lt;=45,"Joven","Mayor")</f>
        <v>Joven</v>
      </c>
      <c r="N1496" s="1">
        <v>47</v>
      </c>
      <c r="O1496" s="1" t="s">
        <v>36</v>
      </c>
      <c r="P1496" s="1">
        <v>0.54600000000000004</v>
      </c>
      <c r="Q1496" s="1">
        <v>92.364999999999995</v>
      </c>
      <c r="R1496" s="1">
        <v>3.0920477000000002</v>
      </c>
      <c r="S1496" s="1">
        <v>-3.6665537000000001</v>
      </c>
      <c r="T1496" s="1">
        <v>-1.9373997000000001</v>
      </c>
      <c r="U1496" s="1">
        <v>2.8450000000000002</v>
      </c>
      <c r="V1496" s="1">
        <v>91</v>
      </c>
      <c r="W1496" s="1">
        <v>154</v>
      </c>
      <c r="X1496" s="1">
        <v>1.6923076923076923</v>
      </c>
      <c r="Y1496" s="1">
        <v>93</v>
      </c>
      <c r="Z1496" s="1">
        <v>154</v>
      </c>
      <c r="AA1496" s="1">
        <v>1.6559139784946237</v>
      </c>
      <c r="AB1496" s="1">
        <v>92.198860586874389</v>
      </c>
      <c r="AC1496" s="1">
        <v>153.94577516159779</v>
      </c>
      <c r="AD1496" s="1">
        <v>1.6697145082020006</v>
      </c>
      <c r="AE1496" t="s">
        <v>4817</v>
      </c>
      <c r="AF1496" t="str">
        <f>IF(X1496&lt;$AF$1,"Bajo","Alto")</f>
        <v>Bajo</v>
      </c>
      <c r="AG1496" t="str">
        <f>LEFT(AE1496,1)</f>
        <v>C</v>
      </c>
      <c r="AH1496" t="str">
        <f>K1496</f>
        <v>M</v>
      </c>
      <c r="AI1496" t="str">
        <f>LEFT(AF1496,1)</f>
        <v>B</v>
      </c>
      <c r="AJ1496" t="str">
        <f>LEFT(M1496,1)</f>
        <v>J</v>
      </c>
      <c r="AK1496" t="str">
        <f>_xlfn.CONCAT(AG1496,AH1496,AI1496,AJ1496)</f>
        <v>CMBJ</v>
      </c>
    </row>
    <row r="1497" spans="1:37" ht="15.75" hidden="1" customHeight="1" x14ac:dyDescent="0.2">
      <c r="A1497" s="1">
        <v>173802</v>
      </c>
      <c r="B1497" s="1" t="s">
        <v>2551</v>
      </c>
      <c r="C1497" s="1" t="s">
        <v>2552</v>
      </c>
      <c r="D1497" s="1" t="s">
        <v>2636</v>
      </c>
      <c r="E1497" s="1" t="s">
        <v>2637</v>
      </c>
      <c r="F1497" s="1" t="s">
        <v>37</v>
      </c>
      <c r="G1497" s="1" t="s">
        <v>2639</v>
      </c>
      <c r="H1497" s="1">
        <v>8</v>
      </c>
      <c r="I1497" s="1" t="s">
        <v>65</v>
      </c>
      <c r="J1497" s="1">
        <v>2</v>
      </c>
      <c r="K1497" s="1" t="s">
        <v>35</v>
      </c>
      <c r="L1497" s="1">
        <v>35</v>
      </c>
      <c r="M1497" s="1" t="str">
        <f>IF(L1497&lt;=45,"Joven","Mayor")</f>
        <v>Joven</v>
      </c>
      <c r="N1497" s="1">
        <v>35</v>
      </c>
      <c r="O1497" s="1" t="s">
        <v>36</v>
      </c>
      <c r="P1497" s="1">
        <v>0.36199999999999999</v>
      </c>
      <c r="Q1497" s="1">
        <v>93.013000000000005</v>
      </c>
      <c r="R1497" s="1">
        <v>1.7006812</v>
      </c>
      <c r="S1497" s="1">
        <v>5.0466420000000003</v>
      </c>
      <c r="T1497" s="1">
        <v>-0.60571010000000003</v>
      </c>
      <c r="U1497" s="1">
        <v>21.489000000000001</v>
      </c>
      <c r="V1497" s="1">
        <v>75</v>
      </c>
      <c r="W1497" s="1">
        <v>127</v>
      </c>
      <c r="X1497" s="1">
        <v>1.6933333333333334</v>
      </c>
      <c r="Y1497" s="1">
        <v>78</v>
      </c>
      <c r="Z1497" s="1">
        <v>127</v>
      </c>
      <c r="AA1497" s="1">
        <v>1.6282051282051282</v>
      </c>
      <c r="AB1497" s="1">
        <v>78.312784580295101</v>
      </c>
      <c r="AC1497" s="1">
        <v>126.9506175846363</v>
      </c>
      <c r="AD1497" s="1">
        <v>1.6210714286946624</v>
      </c>
      <c r="AE1497" t="s">
        <v>4817</v>
      </c>
      <c r="AF1497" t="str">
        <f>IF(X1497&lt;$AF$1,"Bajo","Alto")</f>
        <v>Bajo</v>
      </c>
      <c r="AG1497" t="str">
        <f>LEFT(AE1497,1)</f>
        <v>C</v>
      </c>
      <c r="AH1497" t="str">
        <f>K1497</f>
        <v>M</v>
      </c>
      <c r="AI1497" t="str">
        <f>LEFT(AF1497,1)</f>
        <v>B</v>
      </c>
      <c r="AJ1497" t="str">
        <f>LEFT(M1497,1)</f>
        <v>J</v>
      </c>
      <c r="AK1497" t="str">
        <f>_xlfn.CONCAT(AG1497,AH1497,AI1497,AJ1497)</f>
        <v>CMBJ</v>
      </c>
    </row>
    <row r="1498" spans="1:37" ht="15.75" hidden="1" customHeight="1" x14ac:dyDescent="0.2">
      <c r="A1498" s="1">
        <v>4632002</v>
      </c>
      <c r="B1498" s="1" t="s">
        <v>4382</v>
      </c>
      <c r="C1498" s="1" t="s">
        <v>669</v>
      </c>
      <c r="D1498" s="1" t="s">
        <v>4391</v>
      </c>
      <c r="E1498" s="1" t="s">
        <v>3847</v>
      </c>
      <c r="F1498" s="1" t="s">
        <v>37</v>
      </c>
      <c r="G1498" s="1" t="s">
        <v>4392</v>
      </c>
      <c r="H1498" s="1">
        <v>2165</v>
      </c>
      <c r="I1498" s="1" t="s">
        <v>39</v>
      </c>
      <c r="J1498" s="1">
        <v>11</v>
      </c>
      <c r="K1498" s="1" t="s">
        <v>35</v>
      </c>
      <c r="L1498" s="1">
        <v>52</v>
      </c>
      <c r="M1498" s="1" t="str">
        <f>IF(L1498&lt;=45,"Joven","Mayor")</f>
        <v>Mayor</v>
      </c>
      <c r="N1498" s="1">
        <v>53</v>
      </c>
      <c r="O1498" s="1" t="s">
        <v>36</v>
      </c>
      <c r="P1498" s="1">
        <v>1.2</v>
      </c>
      <c r="Q1498" s="1">
        <v>59.445999999999998</v>
      </c>
      <c r="R1498" s="1">
        <v>14.23554</v>
      </c>
      <c r="S1498" s="1">
        <v>-4.8018489999999998</v>
      </c>
      <c r="T1498" s="1">
        <v>-7.0655250000000001</v>
      </c>
      <c r="U1498" s="1">
        <v>0.80700000000000005</v>
      </c>
      <c r="V1498" s="1">
        <v>95</v>
      </c>
      <c r="W1498" s="1">
        <v>176</v>
      </c>
      <c r="X1498" s="1">
        <v>1.8526315789473684</v>
      </c>
      <c r="Y1498" s="1">
        <v>103</v>
      </c>
      <c r="Z1498" s="1">
        <v>176</v>
      </c>
      <c r="AA1498" s="1">
        <v>1.7087378640776698</v>
      </c>
      <c r="AB1498" s="1">
        <v>100.0597875092717</v>
      </c>
      <c r="AC1498" s="1">
        <v>174.9094875300743</v>
      </c>
      <c r="AD1498" s="1">
        <v>1.7480497598884757</v>
      </c>
      <c r="AE1498" t="s">
        <v>4816</v>
      </c>
      <c r="AF1498" t="str">
        <f>IF(X1498&lt;$AF$1,"Bajo","Alto")</f>
        <v>Alto</v>
      </c>
      <c r="AG1498" t="str">
        <f>LEFT(AE1498,1)</f>
        <v>D</v>
      </c>
      <c r="AH1498" t="str">
        <f>K1498</f>
        <v>M</v>
      </c>
      <c r="AI1498" t="str">
        <f>LEFT(AF1498,1)</f>
        <v>A</v>
      </c>
      <c r="AJ1498" t="str">
        <f>LEFT(M1498,1)</f>
        <v>M</v>
      </c>
      <c r="AK1498" t="str">
        <f>_xlfn.CONCAT(AG1498,AH1498,AI1498,AJ1498)</f>
        <v>DMAM</v>
      </c>
    </row>
    <row r="1499" spans="1:37" ht="15.75" hidden="1" customHeight="1" x14ac:dyDescent="0.2">
      <c r="A1499" s="1">
        <v>171903</v>
      </c>
      <c r="B1499" s="1" t="s">
        <v>2551</v>
      </c>
      <c r="C1499" s="1" t="s">
        <v>2552</v>
      </c>
      <c r="D1499" s="1" t="s">
        <v>2596</v>
      </c>
      <c r="E1499" s="1" t="s">
        <v>323</v>
      </c>
      <c r="F1499" s="1" t="s">
        <v>63</v>
      </c>
      <c r="G1499" s="1" t="s">
        <v>2598</v>
      </c>
      <c r="H1499" s="1">
        <v>182</v>
      </c>
      <c r="I1499" s="1" t="s">
        <v>48</v>
      </c>
      <c r="J1499" s="1">
        <v>4</v>
      </c>
      <c r="K1499" s="1" t="s">
        <v>35</v>
      </c>
      <c r="L1499" s="1">
        <v>39</v>
      </c>
      <c r="M1499" s="1" t="str">
        <f>IF(L1499&lt;=45,"Joven","Mayor")</f>
        <v>Joven</v>
      </c>
      <c r="N1499" s="1">
        <v>24</v>
      </c>
      <c r="O1499" s="1" t="s">
        <v>36</v>
      </c>
      <c r="P1499" s="1">
        <v>0.33</v>
      </c>
      <c r="Q1499" s="1">
        <v>93.287999999999997</v>
      </c>
      <c r="R1499" s="1">
        <v>-1.6676820000000001</v>
      </c>
      <c r="S1499" s="1">
        <v>4.1860885999999997</v>
      </c>
      <c r="T1499" s="1">
        <v>-2.9338991999999999</v>
      </c>
      <c r="U1499" s="1">
        <v>5.1050000000000004</v>
      </c>
      <c r="V1499" s="1">
        <v>111</v>
      </c>
      <c r="W1499" s="1">
        <v>188</v>
      </c>
      <c r="X1499" s="1">
        <v>1.6936936936936937</v>
      </c>
      <c r="Y1499" s="1">
        <v>113</v>
      </c>
      <c r="Z1499" s="1">
        <v>188</v>
      </c>
      <c r="AA1499" s="1">
        <v>1.663716814159292</v>
      </c>
      <c r="AB1499" s="1">
        <v>113.874352374507</v>
      </c>
      <c r="AC1499" s="1">
        <v>187.85594645233229</v>
      </c>
      <c r="AD1499" s="1">
        <v>1.6496774079075907</v>
      </c>
      <c r="AE1499" t="s">
        <v>4817</v>
      </c>
      <c r="AF1499" t="str">
        <f>IF(X1499&lt;$AF$1,"Bajo","Alto")</f>
        <v>Bajo</v>
      </c>
      <c r="AG1499" t="str">
        <f>LEFT(AE1499,1)</f>
        <v>C</v>
      </c>
      <c r="AH1499" t="str">
        <f>K1499</f>
        <v>M</v>
      </c>
      <c r="AI1499" t="str">
        <f>LEFT(AF1499,1)</f>
        <v>B</v>
      </c>
      <c r="AJ1499" t="str">
        <f>LEFT(M1499,1)</f>
        <v>J</v>
      </c>
      <c r="AK1499" t="str">
        <f>_xlfn.CONCAT(AG1499,AH1499,AI1499,AJ1499)</f>
        <v>CMBJ</v>
      </c>
    </row>
    <row r="1500" spans="1:37" ht="15.75" hidden="1" customHeight="1" x14ac:dyDescent="0.2">
      <c r="A1500" s="1">
        <v>10114206</v>
      </c>
      <c r="B1500" s="1" t="s">
        <v>29</v>
      </c>
      <c r="C1500" s="1" t="s">
        <v>30</v>
      </c>
      <c r="D1500" s="1" t="s">
        <v>180</v>
      </c>
      <c r="E1500" s="1" t="s">
        <v>181</v>
      </c>
      <c r="F1500" s="1" t="s">
        <v>88</v>
      </c>
      <c r="G1500" s="1" t="s">
        <v>186</v>
      </c>
      <c r="H1500" s="1">
        <v>2822</v>
      </c>
      <c r="I1500" s="1" t="s">
        <v>134</v>
      </c>
      <c r="J1500" s="1">
        <v>8</v>
      </c>
      <c r="K1500" s="1" t="s">
        <v>35</v>
      </c>
      <c r="L1500" s="1">
        <v>65</v>
      </c>
      <c r="M1500" s="1" t="str">
        <f>IF(L1500&lt;=45,"Joven","Mayor")</f>
        <v>Mayor</v>
      </c>
      <c r="N1500" s="1">
        <v>57</v>
      </c>
      <c r="O1500" s="1" t="s">
        <v>36</v>
      </c>
      <c r="P1500" s="1">
        <v>0.32800000000000001</v>
      </c>
      <c r="Q1500" s="1">
        <v>67.554000000000002</v>
      </c>
      <c r="R1500" s="1">
        <v>13.00324</v>
      </c>
      <c r="S1500" s="1">
        <v>-4.637677</v>
      </c>
      <c r="T1500" s="1">
        <v>-10.77098</v>
      </c>
      <c r="U1500" s="1">
        <v>44.115000000000002</v>
      </c>
      <c r="V1500" s="1">
        <v>81</v>
      </c>
      <c r="W1500" s="1">
        <v>150</v>
      </c>
      <c r="X1500" s="1">
        <v>1.8518518518518519</v>
      </c>
      <c r="Y1500" s="1">
        <v>90</v>
      </c>
      <c r="Z1500" s="1">
        <v>150</v>
      </c>
      <c r="AA1500" s="1">
        <v>1.6666666666666667</v>
      </c>
      <c r="AB1500" s="1">
        <v>87.235179084546644</v>
      </c>
      <c r="AC1500" s="1">
        <v>149.59991006060679</v>
      </c>
      <c r="AD1500" s="1">
        <v>1.7149034555843286</v>
      </c>
      <c r="AE1500" t="s">
        <v>4817</v>
      </c>
      <c r="AF1500" t="str">
        <f>IF(X1500&lt;$AF$1,"Bajo","Alto")</f>
        <v>Alto</v>
      </c>
      <c r="AG1500" t="str">
        <f>LEFT(AE1500,1)</f>
        <v>C</v>
      </c>
      <c r="AH1500" t="str">
        <f>K1500</f>
        <v>M</v>
      </c>
      <c r="AI1500" t="str">
        <f>LEFT(AF1500,1)</f>
        <v>A</v>
      </c>
      <c r="AJ1500" t="str">
        <f>LEFT(M1500,1)</f>
        <v>M</v>
      </c>
      <c r="AK1500" t="str">
        <f>_xlfn.CONCAT(AG1500,AH1500,AI1500,AJ1500)</f>
        <v>CMAM</v>
      </c>
    </row>
    <row r="1501" spans="1:37" ht="15.75" hidden="1" customHeight="1" x14ac:dyDescent="0.2">
      <c r="A1501" s="1">
        <v>2826002</v>
      </c>
      <c r="B1501" s="1" t="s">
        <v>1775</v>
      </c>
      <c r="C1501" s="1" t="s">
        <v>561</v>
      </c>
      <c r="D1501" s="1" t="s">
        <v>3824</v>
      </c>
      <c r="E1501" s="1" t="s">
        <v>3825</v>
      </c>
      <c r="F1501" s="1" t="s">
        <v>37</v>
      </c>
      <c r="G1501" s="1" t="s">
        <v>3826</v>
      </c>
      <c r="H1501" s="1">
        <v>509</v>
      </c>
      <c r="I1501" s="1" t="s">
        <v>48</v>
      </c>
      <c r="J1501" s="1">
        <v>4</v>
      </c>
      <c r="K1501" s="1" t="s">
        <v>35</v>
      </c>
      <c r="L1501" s="1">
        <v>53</v>
      </c>
      <c r="M1501" s="1" t="str">
        <f>IF(L1501&lt;=45,"Joven","Mayor")</f>
        <v>Mayor</v>
      </c>
      <c r="N1501" s="1">
        <v>60</v>
      </c>
      <c r="O1501" s="1" t="s">
        <v>36</v>
      </c>
      <c r="P1501" s="1">
        <v>0.33300000000000002</v>
      </c>
      <c r="Q1501" s="1">
        <v>28.654</v>
      </c>
      <c r="R1501" s="1">
        <v>18.60699</v>
      </c>
      <c r="S1501" s="1">
        <v>-3.2957668</v>
      </c>
      <c r="T1501" s="1">
        <v>-8.1969960000000004</v>
      </c>
      <c r="U1501" s="1">
        <v>0.42499999999999999</v>
      </c>
      <c r="V1501" s="1">
        <v>81</v>
      </c>
      <c r="W1501" s="1">
        <v>150</v>
      </c>
      <c r="X1501" s="1">
        <v>1.8518518518518519</v>
      </c>
      <c r="Y1501" s="1">
        <v>91</v>
      </c>
      <c r="Z1501" s="1">
        <v>150</v>
      </c>
      <c r="AA1501" s="1">
        <v>1.6483516483516483</v>
      </c>
      <c r="AB1501" s="1">
        <v>85.875561904513916</v>
      </c>
      <c r="AC1501" s="1">
        <v>150.17848060891669</v>
      </c>
      <c r="AD1501" s="1">
        <v>1.7487918248022873</v>
      </c>
      <c r="AE1501" t="s">
        <v>4817</v>
      </c>
      <c r="AF1501" t="str">
        <f>IF(X1501&lt;$AF$1,"Bajo","Alto")</f>
        <v>Alto</v>
      </c>
      <c r="AG1501" t="str">
        <f>LEFT(AE1501,1)</f>
        <v>C</v>
      </c>
      <c r="AH1501" t="str">
        <f>K1501</f>
        <v>M</v>
      </c>
      <c r="AI1501" t="str">
        <f>LEFT(AF1501,1)</f>
        <v>A</v>
      </c>
      <c r="AJ1501" t="str">
        <f>LEFT(M1501,1)</f>
        <v>M</v>
      </c>
      <c r="AK1501" t="str">
        <f>_xlfn.CONCAT(AG1501,AH1501,AI1501,AJ1501)</f>
        <v>CMAM</v>
      </c>
    </row>
    <row r="1502" spans="1:37" ht="15.75" hidden="1" customHeight="1" x14ac:dyDescent="0.2">
      <c r="A1502" s="1">
        <v>10117005</v>
      </c>
      <c r="B1502" s="1" t="s">
        <v>29</v>
      </c>
      <c r="C1502" s="1" t="s">
        <v>30</v>
      </c>
      <c r="D1502" s="1" t="s">
        <v>285</v>
      </c>
      <c r="E1502" s="1" t="s">
        <v>286</v>
      </c>
      <c r="F1502" s="1" t="s">
        <v>40</v>
      </c>
      <c r="G1502" s="1" t="s">
        <v>289</v>
      </c>
      <c r="H1502" s="1">
        <v>258</v>
      </c>
      <c r="I1502" s="1" t="s">
        <v>48</v>
      </c>
      <c r="J1502" s="1">
        <v>4</v>
      </c>
      <c r="K1502" s="1" t="s">
        <v>35</v>
      </c>
      <c r="L1502" s="1">
        <v>40</v>
      </c>
      <c r="M1502" s="1" t="str">
        <f>IF(L1502&lt;=45,"Joven","Mayor")</f>
        <v>Joven</v>
      </c>
      <c r="N1502" s="1">
        <v>48</v>
      </c>
      <c r="O1502" s="1" t="s">
        <v>36</v>
      </c>
      <c r="P1502" s="1">
        <v>0.224</v>
      </c>
      <c r="Q1502" s="1">
        <v>92.018000000000001</v>
      </c>
      <c r="R1502" s="1">
        <v>2.4109422999999999</v>
      </c>
      <c r="S1502" s="1">
        <v>6.5888910000000003</v>
      </c>
      <c r="T1502" s="1">
        <v>-3.1440375</v>
      </c>
      <c r="U1502" s="1">
        <v>1.335</v>
      </c>
      <c r="V1502" s="1">
        <v>108</v>
      </c>
      <c r="W1502" s="1">
        <v>183</v>
      </c>
      <c r="X1502" s="1">
        <v>1.6944444444444444</v>
      </c>
      <c r="Y1502" s="1">
        <v>113</v>
      </c>
      <c r="Z1502" s="1">
        <v>183</v>
      </c>
      <c r="AA1502" s="1">
        <v>1.6194690265486726</v>
      </c>
      <c r="AB1502" s="1">
        <v>110.52490683639169</v>
      </c>
      <c r="AC1502" s="1">
        <v>183.10847421321111</v>
      </c>
      <c r="AD1502" s="1">
        <v>1.6567168383526778</v>
      </c>
      <c r="AE1502" t="s">
        <v>4817</v>
      </c>
      <c r="AF1502" t="str">
        <f>IF(X1502&lt;$AF$1,"Bajo","Alto")</f>
        <v>Bajo</v>
      </c>
      <c r="AG1502" t="str">
        <f>LEFT(AE1502,1)</f>
        <v>C</v>
      </c>
      <c r="AH1502" t="str">
        <f>K1502</f>
        <v>M</v>
      </c>
      <c r="AI1502" t="str">
        <f>LEFT(AF1502,1)</f>
        <v>B</v>
      </c>
      <c r="AJ1502" t="str">
        <f>LEFT(M1502,1)</f>
        <v>J</v>
      </c>
      <c r="AK1502" t="str">
        <f>_xlfn.CONCAT(AG1502,AH1502,AI1502,AJ1502)</f>
        <v>CMBJ</v>
      </c>
    </row>
    <row r="1503" spans="1:37" ht="15.75" hidden="1" customHeight="1" x14ac:dyDescent="0.2">
      <c r="A1503" s="1">
        <v>292802</v>
      </c>
      <c r="B1503" s="1" t="s">
        <v>3890</v>
      </c>
      <c r="C1503" s="1" t="s">
        <v>1695</v>
      </c>
      <c r="D1503" s="1" t="s">
        <v>3986</v>
      </c>
      <c r="E1503" s="1" t="s">
        <v>561</v>
      </c>
      <c r="F1503" s="1" t="s">
        <v>37</v>
      </c>
      <c r="G1503" s="1" t="s">
        <v>3989</v>
      </c>
      <c r="H1503" s="1">
        <v>1335</v>
      </c>
      <c r="I1503" s="1" t="s">
        <v>3990</v>
      </c>
      <c r="J1503" s="1">
        <v>2859</v>
      </c>
      <c r="K1503" s="1" t="s">
        <v>49</v>
      </c>
      <c r="L1503" s="1">
        <v>50</v>
      </c>
      <c r="M1503" s="1" t="str">
        <f>IF(L1503&lt;=45,"Joven","Mayor")</f>
        <v>Mayor</v>
      </c>
      <c r="N1503" s="1">
        <v>52</v>
      </c>
      <c r="O1503" s="1" t="s">
        <v>50</v>
      </c>
      <c r="P1503" s="1">
        <v>0.41699999999999998</v>
      </c>
      <c r="Q1503" s="1">
        <v>80.507000000000005</v>
      </c>
      <c r="R1503" s="1">
        <v>9.8791039999999999</v>
      </c>
      <c r="S1503" s="1">
        <v>4.6031620000000002</v>
      </c>
      <c r="T1503" s="1">
        <v>-5.2701690000000001</v>
      </c>
      <c r="U1503" s="1">
        <v>10.747</v>
      </c>
      <c r="V1503" s="1">
        <v>79</v>
      </c>
      <c r="W1503" s="1">
        <v>132</v>
      </c>
      <c r="X1503" s="1">
        <v>1.6708860759493671</v>
      </c>
      <c r="Y1503" s="1">
        <v>83</v>
      </c>
      <c r="Z1503" s="1">
        <v>132</v>
      </c>
      <c r="AA1503" s="1">
        <v>1.5903614457831325</v>
      </c>
      <c r="AB1503" s="1">
        <v>82.248273732427833</v>
      </c>
      <c r="AC1503" s="1">
        <v>131.8093991848236</v>
      </c>
      <c r="AD1503" s="1">
        <v>1.602579521773664</v>
      </c>
      <c r="AE1503" t="s">
        <v>4817</v>
      </c>
      <c r="AF1503" t="str">
        <f>IF(X1503&lt;$AF$1,"Bajo","Alto")</f>
        <v>Bajo</v>
      </c>
      <c r="AG1503" t="str">
        <f>LEFT(AE1503,1)</f>
        <v>C</v>
      </c>
      <c r="AH1503" t="str">
        <f>K1503</f>
        <v>F</v>
      </c>
      <c r="AI1503" t="str">
        <f>LEFT(AF1503,1)</f>
        <v>B</v>
      </c>
      <c r="AJ1503" t="str">
        <f>LEFT(M1503,1)</f>
        <v>M</v>
      </c>
      <c r="AK1503" t="str">
        <f>_xlfn.CONCAT(AG1503,AH1503,AI1503,AJ1503)</f>
        <v>CFBM</v>
      </c>
    </row>
    <row r="1504" spans="1:37" ht="15.75" hidden="1" customHeight="1" x14ac:dyDescent="0.2">
      <c r="A1504" s="1">
        <v>156404</v>
      </c>
      <c r="B1504" s="1" t="s">
        <v>2077</v>
      </c>
      <c r="C1504" s="1" t="s">
        <v>57</v>
      </c>
      <c r="D1504" s="1" t="s">
        <v>2493</v>
      </c>
      <c r="E1504" s="1" t="s">
        <v>710</v>
      </c>
      <c r="F1504" s="1" t="s">
        <v>61</v>
      </c>
      <c r="G1504" s="1" t="s">
        <v>2497</v>
      </c>
      <c r="H1504" s="1">
        <v>2288</v>
      </c>
      <c r="I1504" s="1" t="s">
        <v>65</v>
      </c>
      <c r="J1504" s="1">
        <v>2</v>
      </c>
      <c r="K1504" s="1" t="s">
        <v>35</v>
      </c>
      <c r="L1504" s="1">
        <v>40</v>
      </c>
      <c r="M1504" s="1" t="str">
        <f>IF(L1504&lt;=45,"Joven","Mayor")</f>
        <v>Joven</v>
      </c>
      <c r="N1504" s="1">
        <v>50</v>
      </c>
      <c r="O1504" s="1" t="s">
        <v>36</v>
      </c>
      <c r="P1504" s="1">
        <v>1.05</v>
      </c>
      <c r="Q1504" s="1">
        <v>88.507999999999996</v>
      </c>
      <c r="R1504" s="1">
        <v>-5.8330317000000003</v>
      </c>
      <c r="S1504" s="1">
        <v>5.4666199999999998</v>
      </c>
      <c r="T1504" s="1">
        <v>0.72396090000000002</v>
      </c>
      <c r="U1504" s="1">
        <v>38.200000000000003</v>
      </c>
      <c r="V1504" s="1">
        <v>72</v>
      </c>
      <c r="W1504" s="1">
        <v>122</v>
      </c>
      <c r="X1504" s="1">
        <v>1.6944444444444444</v>
      </c>
      <c r="Y1504" s="1">
        <v>73</v>
      </c>
      <c r="Z1504" s="1">
        <v>122</v>
      </c>
      <c r="AA1504" s="1">
        <v>1.6712328767123288</v>
      </c>
      <c r="AB1504" s="1">
        <v>73.398497921900343</v>
      </c>
      <c r="AC1504" s="1">
        <v>121.9523556245767</v>
      </c>
      <c r="AD1504" s="1">
        <v>1.6615102362767706</v>
      </c>
      <c r="AE1504" t="s">
        <v>4817</v>
      </c>
      <c r="AF1504" t="str">
        <f>IF(X1504&lt;$AF$1,"Bajo","Alto")</f>
        <v>Bajo</v>
      </c>
      <c r="AG1504" t="str">
        <f>LEFT(AE1504,1)</f>
        <v>C</v>
      </c>
      <c r="AH1504" t="str">
        <f>K1504</f>
        <v>M</v>
      </c>
      <c r="AI1504" t="str">
        <f>LEFT(AF1504,1)</f>
        <v>B</v>
      </c>
      <c r="AJ1504" t="str">
        <f>LEFT(M1504,1)</f>
        <v>J</v>
      </c>
      <c r="AK1504" t="str">
        <f>_xlfn.CONCAT(AG1504,AH1504,AI1504,AJ1504)</f>
        <v>CMBJ</v>
      </c>
    </row>
    <row r="1505" spans="1:37" ht="15.75" hidden="1" customHeight="1" x14ac:dyDescent="0.2">
      <c r="A1505" s="1">
        <v>2722001</v>
      </c>
      <c r="B1505" s="1" t="s">
        <v>3409</v>
      </c>
      <c r="C1505" s="1" t="s">
        <v>973</v>
      </c>
      <c r="D1505" s="1" t="s">
        <v>3645</v>
      </c>
      <c r="E1505" s="1" t="s">
        <v>414</v>
      </c>
      <c r="F1505" s="1" t="s">
        <v>32</v>
      </c>
      <c r="G1505" s="1" t="s">
        <v>3646</v>
      </c>
      <c r="H1505" s="1">
        <v>5119</v>
      </c>
      <c r="I1505" s="1" t="s">
        <v>100</v>
      </c>
      <c r="J1505" s="1">
        <v>1</v>
      </c>
      <c r="K1505" s="1" t="s">
        <v>35</v>
      </c>
      <c r="L1505" s="1">
        <v>44</v>
      </c>
      <c r="M1505" s="1" t="str">
        <f>IF(L1505&lt;=45,"Joven","Mayor")</f>
        <v>Joven</v>
      </c>
      <c r="N1505" s="1">
        <v>39</v>
      </c>
      <c r="O1505" s="1" t="s">
        <v>36</v>
      </c>
      <c r="P1505" s="1">
        <v>1.1930000000000001</v>
      </c>
      <c r="Q1505" s="1">
        <v>92.629000000000005</v>
      </c>
      <c r="R1505" s="1">
        <v>-3.4232616</v>
      </c>
      <c r="S1505" s="1">
        <v>-0.67721920000000002</v>
      </c>
      <c r="T1505" s="1">
        <v>0.26049143000000002</v>
      </c>
      <c r="U1505" s="1">
        <v>1.1990000000000001</v>
      </c>
      <c r="V1505" s="1">
        <v>74</v>
      </c>
      <c r="W1505" s="1">
        <v>138</v>
      </c>
      <c r="X1505" s="1">
        <v>1.8648648648648649</v>
      </c>
      <c r="Y1505" s="1">
        <v>76</v>
      </c>
      <c r="Z1505" s="1">
        <v>138</v>
      </c>
      <c r="AA1505" s="1">
        <v>1.8157894736842106</v>
      </c>
      <c r="AB1505" s="1">
        <v>76.176524820399663</v>
      </c>
      <c r="AC1505" s="1">
        <v>137.99402735125429</v>
      </c>
      <c r="AD1505" s="1">
        <v>1.8115033164954806</v>
      </c>
      <c r="AE1505" t="s">
        <v>4817</v>
      </c>
      <c r="AF1505" t="str">
        <f>IF(X1505&lt;$AF$1,"Bajo","Alto")</f>
        <v>Alto</v>
      </c>
      <c r="AG1505" t="str">
        <f>LEFT(AE1505,1)</f>
        <v>C</v>
      </c>
      <c r="AH1505" t="str">
        <f>K1505</f>
        <v>M</v>
      </c>
      <c r="AI1505" t="str">
        <f>LEFT(AF1505,1)</f>
        <v>A</v>
      </c>
      <c r="AJ1505" t="str">
        <f>LEFT(M1505,1)</f>
        <v>J</v>
      </c>
      <c r="AK1505" t="str">
        <f>_xlfn.CONCAT(AG1505,AH1505,AI1505,AJ1505)</f>
        <v>CMAJ</v>
      </c>
    </row>
    <row r="1506" spans="1:37" ht="15.75" hidden="1" customHeight="1" x14ac:dyDescent="0.2">
      <c r="A1506" s="1">
        <v>10710003</v>
      </c>
      <c r="B1506" s="1" t="s">
        <v>1067</v>
      </c>
      <c r="C1506" s="1" t="s">
        <v>1068</v>
      </c>
      <c r="D1506" s="1" t="s">
        <v>1088</v>
      </c>
      <c r="E1506" s="1" t="s">
        <v>70</v>
      </c>
      <c r="F1506" s="1" t="s">
        <v>63</v>
      </c>
      <c r="G1506" s="1" t="s">
        <v>1091</v>
      </c>
      <c r="H1506" s="1">
        <v>778</v>
      </c>
      <c r="I1506" s="1" t="s">
        <v>134</v>
      </c>
      <c r="J1506" s="1">
        <v>8</v>
      </c>
      <c r="K1506" s="1" t="s">
        <v>35</v>
      </c>
      <c r="L1506" s="1">
        <v>29</v>
      </c>
      <c r="M1506" s="1" t="str">
        <f>IF(L1506&lt;=45,"Joven","Mayor")</f>
        <v>Joven</v>
      </c>
      <c r="N1506" s="1">
        <v>44</v>
      </c>
      <c r="O1506" s="1" t="s">
        <v>36</v>
      </c>
      <c r="P1506" s="1">
        <v>0.376</v>
      </c>
      <c r="Q1506" s="1">
        <v>93.754999999999995</v>
      </c>
      <c r="R1506" s="1">
        <v>2.2994667999999998</v>
      </c>
      <c r="S1506" s="1">
        <v>6.9752455000000005E-2</v>
      </c>
      <c r="T1506" s="1">
        <v>-3.0874248</v>
      </c>
      <c r="U1506" s="1">
        <v>27.713000000000001</v>
      </c>
      <c r="V1506" s="1">
        <v>82</v>
      </c>
      <c r="W1506" s="1">
        <v>139</v>
      </c>
      <c r="X1506" s="1">
        <v>1.6951219512195121</v>
      </c>
      <c r="Y1506" s="1">
        <v>83</v>
      </c>
      <c r="Z1506" s="1">
        <v>139</v>
      </c>
      <c r="AA1506" s="1">
        <v>1.6746987951807228</v>
      </c>
      <c r="AB1506" s="1">
        <v>83.873785470231724</v>
      </c>
      <c r="AC1506" s="1">
        <v>138.95982260607431</v>
      </c>
      <c r="AD1506" s="1">
        <v>1.6567729932184065</v>
      </c>
      <c r="AE1506" t="s">
        <v>4817</v>
      </c>
      <c r="AF1506" t="str">
        <f>IF(X1506&lt;$AF$1,"Bajo","Alto")</f>
        <v>Bajo</v>
      </c>
      <c r="AG1506" t="str">
        <f>LEFT(AE1506,1)</f>
        <v>C</v>
      </c>
      <c r="AH1506" t="str">
        <f>K1506</f>
        <v>M</v>
      </c>
      <c r="AI1506" t="str">
        <f>LEFT(AF1506,1)</f>
        <v>B</v>
      </c>
      <c r="AJ1506" t="str">
        <f>LEFT(M1506,1)</f>
        <v>J</v>
      </c>
      <c r="AK1506" t="str">
        <f>_xlfn.CONCAT(AG1506,AH1506,AI1506,AJ1506)</f>
        <v>CMBJ</v>
      </c>
    </row>
    <row r="1507" spans="1:37" ht="15.75" hidden="1" customHeight="1" x14ac:dyDescent="0.2">
      <c r="A1507" s="1">
        <v>316410</v>
      </c>
      <c r="B1507" s="1" t="s">
        <v>4122</v>
      </c>
      <c r="C1507" s="1" t="s">
        <v>628</v>
      </c>
      <c r="D1507" s="1" t="s">
        <v>4246</v>
      </c>
      <c r="E1507" s="1" t="s">
        <v>710</v>
      </c>
      <c r="F1507" s="1" t="s">
        <v>75</v>
      </c>
      <c r="G1507" s="1" t="s">
        <v>4249</v>
      </c>
      <c r="H1507" s="1">
        <v>7724</v>
      </c>
      <c r="I1507" s="1" t="s">
        <v>134</v>
      </c>
      <c r="J1507" s="1">
        <v>8</v>
      </c>
      <c r="K1507" s="1" t="s">
        <v>35</v>
      </c>
      <c r="L1507" s="1">
        <v>64</v>
      </c>
      <c r="M1507" s="1" t="str">
        <f>IF(L1507&lt;=45,"Joven","Mayor")</f>
        <v>Mayor</v>
      </c>
      <c r="N1507" s="1">
        <v>65</v>
      </c>
      <c r="O1507" s="1" t="s">
        <v>36</v>
      </c>
      <c r="P1507" s="1">
        <v>0.35699999999999998</v>
      </c>
      <c r="Q1507" s="1">
        <v>91.975999999999999</v>
      </c>
      <c r="R1507" s="1">
        <v>3.5582793000000001</v>
      </c>
      <c r="S1507" s="1">
        <v>3.8454258000000001</v>
      </c>
      <c r="T1507" s="1">
        <v>-6.029515</v>
      </c>
      <c r="U1507" s="1">
        <v>8.4320000000000004</v>
      </c>
      <c r="V1507" s="1">
        <v>100</v>
      </c>
      <c r="W1507" s="1">
        <v>185</v>
      </c>
      <c r="X1507" s="1">
        <v>1.85</v>
      </c>
      <c r="Y1507" s="1">
        <v>105</v>
      </c>
      <c r="Z1507" s="1">
        <v>185</v>
      </c>
      <c r="AA1507" s="1">
        <v>1.7619047619047619</v>
      </c>
      <c r="AB1507" s="1">
        <v>105.01395207720699</v>
      </c>
      <c r="AC1507" s="1">
        <v>184.71185002217319</v>
      </c>
      <c r="AD1507" s="1">
        <v>1.7589267556216888</v>
      </c>
      <c r="AE1507" t="s">
        <v>4817</v>
      </c>
      <c r="AF1507" t="str">
        <f>IF(X1507&lt;$AF$1,"Bajo","Alto")</f>
        <v>Alto</v>
      </c>
      <c r="AG1507" t="str">
        <f>LEFT(AE1507,1)</f>
        <v>C</v>
      </c>
      <c r="AH1507" t="str">
        <f>K1507</f>
        <v>M</v>
      </c>
      <c r="AI1507" t="str">
        <f>LEFT(AF1507,1)</f>
        <v>A</v>
      </c>
      <c r="AJ1507" t="str">
        <f>LEFT(M1507,1)</f>
        <v>M</v>
      </c>
      <c r="AK1507" t="str">
        <f>_xlfn.CONCAT(AG1507,AH1507,AI1507,AJ1507)</f>
        <v>CMAM</v>
      </c>
    </row>
    <row r="1508" spans="1:37" ht="15.75" hidden="1" customHeight="1" x14ac:dyDescent="0.2">
      <c r="A1508" s="1">
        <v>294902</v>
      </c>
      <c r="B1508" s="1" t="s">
        <v>3890</v>
      </c>
      <c r="C1508" s="1" t="s">
        <v>1695</v>
      </c>
      <c r="D1508" s="1" t="s">
        <v>4022</v>
      </c>
      <c r="E1508" s="1" t="s">
        <v>673</v>
      </c>
      <c r="F1508" s="1" t="s">
        <v>37</v>
      </c>
      <c r="G1508" s="1" t="s">
        <v>4025</v>
      </c>
      <c r="H1508" s="1">
        <v>2028</v>
      </c>
      <c r="I1508" s="1" t="s">
        <v>4026</v>
      </c>
      <c r="J1508" s="1">
        <v>2161</v>
      </c>
      <c r="K1508" s="1" t="s">
        <v>49</v>
      </c>
      <c r="L1508" s="1">
        <v>35</v>
      </c>
      <c r="M1508" s="1" t="str">
        <f>IF(L1508&lt;=45,"Joven","Mayor")</f>
        <v>Joven</v>
      </c>
      <c r="N1508" s="1">
        <v>26</v>
      </c>
      <c r="O1508" s="1" t="s">
        <v>50</v>
      </c>
      <c r="P1508" s="1">
        <v>1.782</v>
      </c>
      <c r="Q1508" s="1">
        <v>93.165999999999997</v>
      </c>
      <c r="R1508" s="1">
        <v>2.2623456000000002</v>
      </c>
      <c r="S1508" s="1">
        <v>1.4510113</v>
      </c>
      <c r="T1508" s="1">
        <v>-5.2172885000000004</v>
      </c>
      <c r="U1508" s="1">
        <v>3.3530000000000002</v>
      </c>
      <c r="V1508" s="1">
        <v>73</v>
      </c>
      <c r="W1508" s="1">
        <v>124</v>
      </c>
      <c r="X1508" s="1">
        <v>1.6986301369863013</v>
      </c>
      <c r="Y1508" s="1">
        <v>73</v>
      </c>
      <c r="Z1508" s="1">
        <v>124</v>
      </c>
      <c r="AA1508" s="1">
        <v>1.6986301369863013</v>
      </c>
      <c r="AB1508" s="1">
        <v>75.971152132376574</v>
      </c>
      <c r="AC1508" s="1">
        <v>123.5772017812787</v>
      </c>
      <c r="AD1508" s="1">
        <v>1.6266332458134973</v>
      </c>
      <c r="AE1508" t="s">
        <v>4817</v>
      </c>
      <c r="AF1508" t="str">
        <f>IF(X1508&lt;$AF$1,"Bajo","Alto")</f>
        <v>Bajo</v>
      </c>
      <c r="AG1508" t="str">
        <f>LEFT(AE1508,1)</f>
        <v>C</v>
      </c>
      <c r="AH1508" t="str">
        <f>K1508</f>
        <v>F</v>
      </c>
      <c r="AI1508" t="str">
        <f>LEFT(AF1508,1)</f>
        <v>B</v>
      </c>
      <c r="AJ1508" t="str">
        <f>LEFT(M1508,1)</f>
        <v>J</v>
      </c>
      <c r="AK1508" t="str">
        <f>_xlfn.CONCAT(AG1508,AH1508,AI1508,AJ1508)</f>
        <v>CFBJ</v>
      </c>
    </row>
    <row r="1509" spans="1:37" ht="15.75" hidden="1" customHeight="1" x14ac:dyDescent="0.2">
      <c r="A1509" s="1">
        <v>232504</v>
      </c>
      <c r="B1509" s="1" t="s">
        <v>319</v>
      </c>
      <c r="C1509" s="1" t="s">
        <v>1989</v>
      </c>
      <c r="D1509" s="1" t="s">
        <v>3006</v>
      </c>
      <c r="E1509" s="1" t="s">
        <v>821</v>
      </c>
      <c r="F1509" s="1" t="s">
        <v>61</v>
      </c>
      <c r="G1509" s="1" t="s">
        <v>3009</v>
      </c>
      <c r="H1509" s="1">
        <v>37</v>
      </c>
      <c r="I1509" s="1" t="s">
        <v>134</v>
      </c>
      <c r="J1509" s="1">
        <v>8</v>
      </c>
      <c r="K1509" s="1" t="s">
        <v>35</v>
      </c>
      <c r="L1509" s="1">
        <v>43</v>
      </c>
      <c r="M1509" s="1" t="str">
        <f>IF(L1509&lt;=45,"Joven","Mayor")</f>
        <v>Joven</v>
      </c>
      <c r="N1509" s="1">
        <v>49</v>
      </c>
      <c r="O1509" s="1" t="s">
        <v>36</v>
      </c>
      <c r="P1509" s="1">
        <v>0.39400000000000002</v>
      </c>
      <c r="Q1509" s="1">
        <v>85.176000000000002</v>
      </c>
      <c r="R1509" s="1">
        <v>8.2533919999999998</v>
      </c>
      <c r="S1509" s="1">
        <v>3.9057868</v>
      </c>
      <c r="T1509" s="1">
        <v>-1.1016614</v>
      </c>
      <c r="U1509" s="1">
        <v>2.5219999999999998</v>
      </c>
      <c r="V1509" s="1">
        <v>92</v>
      </c>
      <c r="W1509" s="1">
        <v>156</v>
      </c>
      <c r="X1509" s="1">
        <v>1.6956521739130435</v>
      </c>
      <c r="Y1509" s="1">
        <v>92</v>
      </c>
      <c r="Z1509" s="1">
        <v>156</v>
      </c>
      <c r="AA1509" s="1">
        <v>1.6956521739130435</v>
      </c>
      <c r="AB1509" s="1">
        <v>92.675145885348229</v>
      </c>
      <c r="AC1509" s="1">
        <v>155.8942584496663</v>
      </c>
      <c r="AD1509" s="1">
        <v>1.682158220096343</v>
      </c>
      <c r="AE1509" t="s">
        <v>4817</v>
      </c>
      <c r="AF1509" t="str">
        <f>IF(X1509&lt;$AF$1,"Bajo","Alto")</f>
        <v>Bajo</v>
      </c>
      <c r="AG1509" t="str">
        <f>LEFT(AE1509,1)</f>
        <v>C</v>
      </c>
      <c r="AH1509" t="str">
        <f>K1509</f>
        <v>M</v>
      </c>
      <c r="AI1509" t="str">
        <f>LEFT(AF1509,1)</f>
        <v>B</v>
      </c>
      <c r="AJ1509" t="str">
        <f>LEFT(M1509,1)</f>
        <v>J</v>
      </c>
      <c r="AK1509" t="str">
        <f>_xlfn.CONCAT(AG1509,AH1509,AI1509,AJ1509)</f>
        <v>CMBJ</v>
      </c>
    </row>
    <row r="1510" spans="1:37" ht="15.75" hidden="1" customHeight="1" x14ac:dyDescent="0.2">
      <c r="A1510" s="1">
        <v>1030704</v>
      </c>
      <c r="B1510" s="1" t="s">
        <v>783</v>
      </c>
      <c r="C1510" s="1" t="s">
        <v>81</v>
      </c>
      <c r="D1510" s="1" t="s">
        <v>792</v>
      </c>
      <c r="E1510" s="1" t="s">
        <v>43</v>
      </c>
      <c r="F1510" s="1" t="s">
        <v>61</v>
      </c>
      <c r="G1510" s="1" t="s">
        <v>796</v>
      </c>
      <c r="H1510" s="1">
        <v>6522</v>
      </c>
      <c r="I1510" s="1" t="s">
        <v>108</v>
      </c>
      <c r="J1510" s="1">
        <v>3</v>
      </c>
      <c r="K1510" s="1" t="s">
        <v>35</v>
      </c>
      <c r="L1510" s="1">
        <v>48</v>
      </c>
      <c r="M1510" s="1" t="str">
        <f>IF(L1510&lt;=45,"Joven","Mayor")</f>
        <v>Mayor</v>
      </c>
      <c r="N1510" s="1">
        <v>51</v>
      </c>
      <c r="O1510" s="1" t="s">
        <v>36</v>
      </c>
      <c r="P1510" s="1">
        <v>1.0129999999999999</v>
      </c>
      <c r="Q1510" s="1">
        <v>93.596000000000004</v>
      </c>
      <c r="R1510" s="1">
        <v>-1.4972943999999999</v>
      </c>
      <c r="S1510" s="1">
        <v>-2.6329277000000002</v>
      </c>
      <c r="T1510" s="1">
        <v>-0.36307299999999998</v>
      </c>
      <c r="U1510" s="1">
        <v>36.381</v>
      </c>
      <c r="V1510" s="1">
        <v>93</v>
      </c>
      <c r="W1510" s="1">
        <v>172</v>
      </c>
      <c r="X1510" s="1">
        <v>1.8494623655913978</v>
      </c>
      <c r="Y1510" s="1">
        <v>97</v>
      </c>
      <c r="Z1510" s="1">
        <v>172</v>
      </c>
      <c r="AA1510" s="1">
        <v>1.7731958762886597</v>
      </c>
      <c r="AB1510" s="1">
        <v>96.712897516551038</v>
      </c>
      <c r="AC1510" s="1">
        <v>172.04724087252859</v>
      </c>
      <c r="AD1510" s="1">
        <v>1.7789482611984111</v>
      </c>
      <c r="AE1510" t="s">
        <v>4817</v>
      </c>
      <c r="AF1510" t="str">
        <f>IF(X1510&lt;$AF$1,"Bajo","Alto")</f>
        <v>Alto</v>
      </c>
      <c r="AG1510" t="str">
        <f>LEFT(AE1510,1)</f>
        <v>C</v>
      </c>
      <c r="AH1510" t="str">
        <f>K1510</f>
        <v>M</v>
      </c>
      <c r="AI1510" t="str">
        <f>LEFT(AF1510,1)</f>
        <v>A</v>
      </c>
      <c r="AJ1510" t="str">
        <f>LEFT(M1510,1)</f>
        <v>M</v>
      </c>
      <c r="AK1510" t="str">
        <f>_xlfn.CONCAT(AG1510,AH1510,AI1510,AJ1510)</f>
        <v>CMAM</v>
      </c>
    </row>
    <row r="1511" spans="1:37" ht="15.75" hidden="1" customHeight="1" x14ac:dyDescent="0.2">
      <c r="A1511" s="1">
        <v>117005</v>
      </c>
      <c r="B1511" s="1" t="s">
        <v>1648</v>
      </c>
      <c r="C1511" s="1" t="s">
        <v>51</v>
      </c>
      <c r="D1511" s="1" t="s">
        <v>1755</v>
      </c>
      <c r="E1511" s="1" t="s">
        <v>720</v>
      </c>
      <c r="F1511" s="1" t="s">
        <v>40</v>
      </c>
      <c r="G1511" s="1" t="s">
        <v>1760</v>
      </c>
      <c r="H1511" s="1">
        <v>1198</v>
      </c>
      <c r="I1511" s="1" t="s">
        <v>134</v>
      </c>
      <c r="J1511" s="1">
        <v>8</v>
      </c>
      <c r="K1511" s="1" t="s">
        <v>35</v>
      </c>
      <c r="L1511" s="1">
        <v>48</v>
      </c>
      <c r="M1511" s="1" t="str">
        <f>IF(L1511&lt;=45,"Joven","Mayor")</f>
        <v>Mayor</v>
      </c>
      <c r="N1511" s="1">
        <v>50</v>
      </c>
      <c r="O1511" s="1" t="s">
        <v>36</v>
      </c>
      <c r="P1511" s="1">
        <v>41.161999999999999</v>
      </c>
      <c r="Q1511" s="1">
        <v>28.649000000000001</v>
      </c>
      <c r="R1511" s="1">
        <v>-6.3270439999999999</v>
      </c>
      <c r="S1511" s="1">
        <v>5.0686692999999998</v>
      </c>
      <c r="T1511" s="1">
        <v>0.94420550000000003</v>
      </c>
      <c r="U1511" s="1">
        <v>0.66700000000000004</v>
      </c>
      <c r="V1511" s="1">
        <v>86</v>
      </c>
      <c r="W1511" s="1">
        <v>159</v>
      </c>
      <c r="X1511" s="1">
        <v>1.8488372093023255</v>
      </c>
      <c r="Y1511" s="1">
        <v>89</v>
      </c>
      <c r="Z1511" s="1">
        <v>159</v>
      </c>
      <c r="AA1511" s="1">
        <v>1.7865168539325842</v>
      </c>
      <c r="AB1511" s="1">
        <v>88.196935294443392</v>
      </c>
      <c r="AC1511" s="1">
        <v>158.9124953799915</v>
      </c>
      <c r="AD1511" s="1">
        <v>1.8017915798260549</v>
      </c>
      <c r="AE1511" t="s">
        <v>4817</v>
      </c>
      <c r="AF1511" t="str">
        <f>IF(X1511&lt;$AF$1,"Bajo","Alto")</f>
        <v>Alto</v>
      </c>
      <c r="AG1511" t="str">
        <f>LEFT(AE1511,1)</f>
        <v>C</v>
      </c>
      <c r="AH1511" t="str">
        <f>K1511</f>
        <v>M</v>
      </c>
      <c r="AI1511" t="str">
        <f>LEFT(AF1511,1)</f>
        <v>A</v>
      </c>
      <c r="AJ1511" t="str">
        <f>LEFT(M1511,1)</f>
        <v>M</v>
      </c>
      <c r="AK1511" t="str">
        <f>_xlfn.CONCAT(AG1511,AH1511,AI1511,AJ1511)</f>
        <v>CMAM</v>
      </c>
    </row>
    <row r="1512" spans="1:37" ht="15.75" hidden="1" customHeight="1" x14ac:dyDescent="0.2">
      <c r="A1512" s="1">
        <v>247806</v>
      </c>
      <c r="B1512" s="1" t="s">
        <v>1548</v>
      </c>
      <c r="C1512" s="1" t="s">
        <v>1993</v>
      </c>
      <c r="D1512" s="1" t="s">
        <v>3159</v>
      </c>
      <c r="E1512" s="1" t="s">
        <v>732</v>
      </c>
      <c r="F1512" s="1" t="s">
        <v>88</v>
      </c>
      <c r="G1512" s="1" t="s">
        <v>3162</v>
      </c>
      <c r="H1512" s="1">
        <v>2753</v>
      </c>
      <c r="I1512" s="1" t="s">
        <v>48</v>
      </c>
      <c r="J1512" s="1">
        <v>4</v>
      </c>
      <c r="K1512" s="1" t="s">
        <v>35</v>
      </c>
      <c r="L1512" s="1">
        <v>37</v>
      </c>
      <c r="M1512" s="1" t="str">
        <f>IF(L1512&lt;=45,"Joven","Mayor")</f>
        <v>Joven</v>
      </c>
      <c r="N1512" s="1">
        <v>48</v>
      </c>
      <c r="O1512" s="1" t="s">
        <v>36</v>
      </c>
      <c r="P1512" s="1">
        <v>0.375</v>
      </c>
      <c r="Q1512" s="1">
        <v>76.331000000000003</v>
      </c>
      <c r="R1512" s="1">
        <v>10.924226000000001</v>
      </c>
      <c r="S1512" s="1">
        <v>5.4711610000000004</v>
      </c>
      <c r="T1512" s="1">
        <v>-3.7571460000000001</v>
      </c>
      <c r="U1512" s="1">
        <v>4.2850000000000001</v>
      </c>
      <c r="V1512" s="1">
        <v>81</v>
      </c>
      <c r="W1512" s="1">
        <v>151</v>
      </c>
      <c r="X1512" s="1">
        <v>1.8641975308641976</v>
      </c>
      <c r="Y1512" s="1">
        <v>84</v>
      </c>
      <c r="Z1512" s="1">
        <v>151</v>
      </c>
      <c r="AA1512" s="1">
        <v>1.7976190476190477</v>
      </c>
      <c r="AB1512" s="1">
        <v>83.315959574483486</v>
      </c>
      <c r="AC1512" s="1">
        <v>150.60993692325249</v>
      </c>
      <c r="AD1512" s="1">
        <v>1.8076961207967481</v>
      </c>
      <c r="AE1512" t="s">
        <v>4817</v>
      </c>
      <c r="AF1512" t="str">
        <f>IF(X1512&lt;$AF$1,"Bajo","Alto")</f>
        <v>Alto</v>
      </c>
      <c r="AG1512" t="str">
        <f>LEFT(AE1512,1)</f>
        <v>C</v>
      </c>
      <c r="AH1512" t="str">
        <f>K1512</f>
        <v>M</v>
      </c>
      <c r="AI1512" t="str">
        <f>LEFT(AF1512,1)</f>
        <v>A</v>
      </c>
      <c r="AJ1512" t="str">
        <f>LEFT(M1512,1)</f>
        <v>J</v>
      </c>
      <c r="AK1512" t="str">
        <f>_xlfn.CONCAT(AG1512,AH1512,AI1512,AJ1512)</f>
        <v>CMAJ</v>
      </c>
    </row>
    <row r="1513" spans="1:37" ht="15.75" hidden="1" customHeight="1" x14ac:dyDescent="0.2">
      <c r="A1513" s="1">
        <v>1241507</v>
      </c>
      <c r="B1513" s="1" t="s">
        <v>1798</v>
      </c>
      <c r="C1513" s="1" t="s">
        <v>54</v>
      </c>
      <c r="D1513" s="1" t="s">
        <v>1844</v>
      </c>
      <c r="E1513" s="1" t="s">
        <v>1845</v>
      </c>
      <c r="F1513" s="1" t="s">
        <v>43</v>
      </c>
      <c r="G1513" s="1" t="s">
        <v>1850</v>
      </c>
      <c r="H1513" s="1">
        <v>39</v>
      </c>
      <c r="I1513" s="1" t="s">
        <v>45</v>
      </c>
      <c r="J1513" s="1">
        <v>17</v>
      </c>
      <c r="K1513" s="1" t="s">
        <v>35</v>
      </c>
      <c r="L1513" s="1">
        <v>52</v>
      </c>
      <c r="M1513" s="1" t="str">
        <f>IF(L1513&lt;=45,"Joven","Mayor")</f>
        <v>Mayor</v>
      </c>
      <c r="N1513" s="1">
        <v>41</v>
      </c>
      <c r="O1513" s="1" t="s">
        <v>36</v>
      </c>
      <c r="P1513" s="1">
        <v>0.311</v>
      </c>
      <c r="Q1513" s="1">
        <v>89.137</v>
      </c>
      <c r="R1513" s="1">
        <v>0.45646920000000002</v>
      </c>
      <c r="S1513" s="1">
        <v>13.665485</v>
      </c>
      <c r="T1513" s="1">
        <v>-0.63747156000000005</v>
      </c>
      <c r="U1513" s="1">
        <v>1.4330000000000001</v>
      </c>
      <c r="V1513" s="1">
        <v>91</v>
      </c>
      <c r="W1513" s="1">
        <v>153</v>
      </c>
      <c r="X1513" s="1">
        <v>1.6813186813186813</v>
      </c>
      <c r="Y1513" s="1">
        <v>94</v>
      </c>
      <c r="Z1513" s="1">
        <v>153</v>
      </c>
      <c r="AA1513" s="1">
        <v>1.6276595744680851</v>
      </c>
      <c r="AB1513" s="1">
        <v>94.405834731800496</v>
      </c>
      <c r="AC1513" s="1">
        <v>152.9460273710115</v>
      </c>
      <c r="AD1513" s="1">
        <v>1.6200908323677139</v>
      </c>
      <c r="AE1513" t="s">
        <v>4817</v>
      </c>
      <c r="AF1513" t="str">
        <f>IF(X1513&lt;$AF$1,"Bajo","Alto")</f>
        <v>Bajo</v>
      </c>
      <c r="AG1513" t="str">
        <f>LEFT(AE1513,1)</f>
        <v>C</v>
      </c>
      <c r="AH1513" t="str">
        <f>K1513</f>
        <v>M</v>
      </c>
      <c r="AI1513" t="str">
        <f>LEFT(AF1513,1)</f>
        <v>B</v>
      </c>
      <c r="AJ1513" t="str">
        <f>LEFT(M1513,1)</f>
        <v>M</v>
      </c>
      <c r="AK1513" t="str">
        <f>_xlfn.CONCAT(AG1513,AH1513,AI1513,AJ1513)</f>
        <v>CMBM</v>
      </c>
    </row>
    <row r="1514" spans="1:37" ht="15.75" hidden="1" customHeight="1" x14ac:dyDescent="0.2">
      <c r="A1514" s="1">
        <v>133303</v>
      </c>
      <c r="B1514" s="1" t="s">
        <v>956</v>
      </c>
      <c r="C1514" s="1" t="s">
        <v>163</v>
      </c>
      <c r="D1514" s="1" t="s">
        <v>2024</v>
      </c>
      <c r="E1514" s="1" t="s">
        <v>2025</v>
      </c>
      <c r="F1514" s="1" t="s">
        <v>63</v>
      </c>
      <c r="G1514" s="1" t="s">
        <v>2026</v>
      </c>
      <c r="H1514" s="1">
        <v>4178</v>
      </c>
      <c r="I1514" s="1" t="s">
        <v>39</v>
      </c>
      <c r="J1514" s="1">
        <v>11</v>
      </c>
      <c r="K1514" s="1" t="s">
        <v>35</v>
      </c>
      <c r="L1514" s="1">
        <v>40</v>
      </c>
      <c r="M1514" s="1" t="str">
        <f>IF(L1514&lt;=45,"Joven","Mayor")</f>
        <v>Joven</v>
      </c>
      <c r="N1514" s="1">
        <v>46</v>
      </c>
      <c r="O1514" s="1" t="s">
        <v>36</v>
      </c>
      <c r="P1514" s="1">
        <v>3.9E-2</v>
      </c>
      <c r="Q1514" s="1">
        <v>22.664000000000001</v>
      </c>
      <c r="R1514" s="1">
        <v>19.606833000000002</v>
      </c>
      <c r="S1514" s="1">
        <v>0.69288340000000004</v>
      </c>
      <c r="T1514" s="1">
        <v>-1.6715329000000001</v>
      </c>
      <c r="U1514" s="1">
        <v>9.2949999999999999</v>
      </c>
      <c r="V1514" s="1">
        <v>83</v>
      </c>
      <c r="W1514" s="1">
        <v>142</v>
      </c>
      <c r="X1514" s="1">
        <v>1.7108433734939759</v>
      </c>
      <c r="Y1514" s="1">
        <v>84</v>
      </c>
      <c r="Z1514" s="1">
        <v>142</v>
      </c>
      <c r="AA1514" s="1">
        <v>1.6904761904761905</v>
      </c>
      <c r="AB1514" s="1">
        <v>83.693921892093158</v>
      </c>
      <c r="AC1514" s="1">
        <v>141.64787948386041</v>
      </c>
      <c r="AD1514" s="1">
        <v>1.6924512112897214</v>
      </c>
      <c r="AE1514" t="s">
        <v>4816</v>
      </c>
      <c r="AF1514" t="str">
        <f>IF(X1514&lt;$AF$1,"Bajo","Alto")</f>
        <v>Bajo</v>
      </c>
      <c r="AG1514" t="str">
        <f>LEFT(AE1514,1)</f>
        <v>D</v>
      </c>
      <c r="AH1514" t="str">
        <f>K1514</f>
        <v>M</v>
      </c>
      <c r="AI1514" t="str">
        <f>LEFT(AF1514,1)</f>
        <v>B</v>
      </c>
      <c r="AJ1514" t="str">
        <f>LEFT(M1514,1)</f>
        <v>J</v>
      </c>
      <c r="AK1514" t="str">
        <f>_xlfn.CONCAT(AG1514,AH1514,AI1514,AJ1514)</f>
        <v>DMBJ</v>
      </c>
    </row>
    <row r="1515" spans="1:37" ht="15.75" hidden="1" customHeight="1" x14ac:dyDescent="0.2">
      <c r="A1515" s="1">
        <v>1072203</v>
      </c>
      <c r="B1515" s="1" t="s">
        <v>1067</v>
      </c>
      <c r="C1515" s="1" t="s">
        <v>1068</v>
      </c>
      <c r="D1515" s="1" t="s">
        <v>1240</v>
      </c>
      <c r="E1515" s="1" t="s">
        <v>418</v>
      </c>
      <c r="F1515" s="1" t="s">
        <v>63</v>
      </c>
      <c r="G1515" s="1" t="s">
        <v>1241</v>
      </c>
      <c r="H1515" s="1">
        <v>54</v>
      </c>
      <c r="I1515" s="1" t="s">
        <v>1242</v>
      </c>
      <c r="J1515" s="1">
        <v>475</v>
      </c>
      <c r="K1515" s="1" t="s">
        <v>35</v>
      </c>
      <c r="L1515" s="1">
        <v>49</v>
      </c>
      <c r="M1515" s="1" t="str">
        <f>IF(L1515&lt;=45,"Joven","Mayor")</f>
        <v>Mayor</v>
      </c>
      <c r="N1515" s="1">
        <v>55</v>
      </c>
      <c r="O1515" s="1" t="s">
        <v>36</v>
      </c>
      <c r="P1515" s="1">
        <v>0.32</v>
      </c>
      <c r="Q1515" s="1">
        <v>73.506</v>
      </c>
      <c r="R1515" s="1">
        <v>12.230888999999999</v>
      </c>
      <c r="S1515" s="1">
        <v>1.5593090999999999</v>
      </c>
      <c r="T1515" s="1">
        <v>-8.5101750000000003</v>
      </c>
      <c r="U1515" s="1">
        <v>0.44500000000000001</v>
      </c>
      <c r="V1515" s="1">
        <v>88</v>
      </c>
      <c r="W1515" s="1">
        <v>148</v>
      </c>
      <c r="X1515" s="1">
        <v>1.6818181818181819</v>
      </c>
      <c r="Y1515" s="1">
        <v>94</v>
      </c>
      <c r="Z1515" s="1">
        <v>148</v>
      </c>
      <c r="AA1515" s="1">
        <v>1.574468085106383</v>
      </c>
      <c r="AB1515" s="1">
        <v>92.950486501831847</v>
      </c>
      <c r="AC1515" s="1">
        <v>147.85031106160659</v>
      </c>
      <c r="AD1515" s="1">
        <v>1.5906351502387541</v>
      </c>
      <c r="AE1515" t="s">
        <v>4817</v>
      </c>
      <c r="AF1515" t="str">
        <f>IF(X1515&lt;$AF$1,"Bajo","Alto")</f>
        <v>Bajo</v>
      </c>
      <c r="AG1515" t="str">
        <f>LEFT(AE1515,1)</f>
        <v>C</v>
      </c>
      <c r="AH1515" t="str">
        <f>K1515</f>
        <v>M</v>
      </c>
      <c r="AI1515" t="str">
        <f>LEFT(AF1515,1)</f>
        <v>B</v>
      </c>
      <c r="AJ1515" t="str">
        <f>LEFT(M1515,1)</f>
        <v>M</v>
      </c>
      <c r="AK1515" t="str">
        <f>_xlfn.CONCAT(AG1515,AH1515,AI1515,AJ1515)</f>
        <v>CMBM</v>
      </c>
    </row>
    <row r="1516" spans="1:37" ht="15.75" hidden="1" customHeight="1" x14ac:dyDescent="0.2">
      <c r="A1516" s="1">
        <v>10910901</v>
      </c>
      <c r="B1516" s="1" t="s">
        <v>719</v>
      </c>
      <c r="C1516" s="1" t="s">
        <v>98</v>
      </c>
      <c r="D1516" s="1" t="s">
        <v>1550</v>
      </c>
      <c r="E1516" s="1" t="s">
        <v>98</v>
      </c>
      <c r="F1516" s="1" t="s">
        <v>32</v>
      </c>
      <c r="G1516" s="1" t="s">
        <v>1551</v>
      </c>
      <c r="H1516" s="1">
        <v>463</v>
      </c>
      <c r="I1516" s="1" t="s">
        <v>39</v>
      </c>
      <c r="J1516" s="1">
        <v>11</v>
      </c>
      <c r="K1516" s="1" t="s">
        <v>35</v>
      </c>
      <c r="L1516" s="1">
        <v>46</v>
      </c>
      <c r="M1516" s="1" t="str">
        <f>IF(L1516&lt;=45,"Joven","Mayor")</f>
        <v>Mayor</v>
      </c>
      <c r="N1516" s="1">
        <v>58</v>
      </c>
      <c r="O1516" s="1" t="s">
        <v>36</v>
      </c>
      <c r="P1516" s="1">
        <v>0.316</v>
      </c>
      <c r="Q1516" s="1">
        <v>94.343999999999994</v>
      </c>
      <c r="R1516" s="1">
        <v>-0.11585964</v>
      </c>
      <c r="S1516" s="1">
        <v>3.205203</v>
      </c>
      <c r="T1516" s="1">
        <v>-0.35106730000000003</v>
      </c>
      <c r="U1516" s="1">
        <v>0.157</v>
      </c>
      <c r="V1516" s="1">
        <v>79</v>
      </c>
      <c r="W1516" s="1">
        <v>146</v>
      </c>
      <c r="X1516" s="1">
        <v>1.8481012658227849</v>
      </c>
      <c r="Y1516" s="1">
        <v>80</v>
      </c>
      <c r="Z1516" s="1">
        <v>146</v>
      </c>
      <c r="AA1516" s="1">
        <v>1.825</v>
      </c>
      <c r="AB1516" s="1">
        <v>79.796299278094239</v>
      </c>
      <c r="AC1516" s="1">
        <v>145.98500484454601</v>
      </c>
      <c r="AD1516" s="1">
        <v>1.8294708672614091</v>
      </c>
      <c r="AE1516" t="s">
        <v>4816</v>
      </c>
      <c r="AF1516" t="str">
        <f>IF(X1516&lt;$AF$1,"Bajo","Alto")</f>
        <v>Alto</v>
      </c>
      <c r="AG1516" t="str">
        <f>LEFT(AE1516,1)</f>
        <v>D</v>
      </c>
      <c r="AH1516" t="str">
        <f>K1516</f>
        <v>M</v>
      </c>
      <c r="AI1516" t="str">
        <f>LEFT(AF1516,1)</f>
        <v>A</v>
      </c>
      <c r="AJ1516" t="str">
        <f>LEFT(M1516,1)</f>
        <v>M</v>
      </c>
      <c r="AK1516" t="str">
        <f>_xlfn.CONCAT(AG1516,AH1516,AI1516,AJ1516)</f>
        <v>DMAM</v>
      </c>
    </row>
    <row r="1517" spans="1:37" ht="15.75" hidden="1" customHeight="1" x14ac:dyDescent="0.2">
      <c r="A1517" s="1">
        <v>239104</v>
      </c>
      <c r="B1517" s="1" t="s">
        <v>319</v>
      </c>
      <c r="C1517" s="1" t="s">
        <v>1989</v>
      </c>
      <c r="D1517" s="1" t="s">
        <v>3100</v>
      </c>
      <c r="E1517" s="1" t="s">
        <v>770</v>
      </c>
      <c r="F1517" s="1" t="s">
        <v>61</v>
      </c>
      <c r="G1517" s="1" t="s">
        <v>3103</v>
      </c>
      <c r="H1517" s="1">
        <v>339</v>
      </c>
      <c r="I1517" s="1" t="s">
        <v>93</v>
      </c>
      <c r="J1517" s="1">
        <v>9</v>
      </c>
      <c r="K1517" s="1" t="s">
        <v>35</v>
      </c>
      <c r="L1517" s="1">
        <v>38</v>
      </c>
      <c r="M1517" s="1" t="str">
        <f>IF(L1517&lt;=45,"Joven","Mayor")</f>
        <v>Joven</v>
      </c>
      <c r="N1517" s="1">
        <v>31</v>
      </c>
      <c r="O1517" s="1" t="s">
        <v>36</v>
      </c>
      <c r="P1517" s="1">
        <v>0.36399999999999999</v>
      </c>
      <c r="Q1517" s="1">
        <v>80.462999999999994</v>
      </c>
      <c r="R1517" s="1">
        <v>10.592263000000001</v>
      </c>
      <c r="S1517" s="1">
        <v>0.30810900000000002</v>
      </c>
      <c r="T1517" s="1">
        <v>-8.6476159999999993</v>
      </c>
      <c r="U1517" s="1">
        <v>81.95</v>
      </c>
      <c r="V1517" s="1">
        <v>86</v>
      </c>
      <c r="W1517" s="1">
        <v>158</v>
      </c>
      <c r="X1517" s="1">
        <v>1.8372093023255813</v>
      </c>
      <c r="Y1517" s="1">
        <v>88</v>
      </c>
      <c r="Z1517" s="1">
        <v>158</v>
      </c>
      <c r="AA1517" s="1">
        <v>1.7954545454545454</v>
      </c>
      <c r="AB1517" s="1">
        <v>91.487683149597387</v>
      </c>
      <c r="AC1517" s="1">
        <v>157.5570322779254</v>
      </c>
      <c r="AD1517" s="1">
        <v>1.7221666005061445</v>
      </c>
      <c r="AE1517" t="s">
        <v>4815</v>
      </c>
      <c r="AF1517" t="str">
        <f>IF(X1517&lt;$AF$1,"Bajo","Alto")</f>
        <v>Alto</v>
      </c>
      <c r="AG1517" t="str">
        <f>LEFT(AE1517,1)</f>
        <v>I</v>
      </c>
      <c r="AH1517" t="str">
        <f>K1517</f>
        <v>M</v>
      </c>
      <c r="AI1517" t="str">
        <f>LEFT(AF1517,1)</f>
        <v>A</v>
      </c>
      <c r="AJ1517" t="str">
        <f>LEFT(M1517,1)</f>
        <v>J</v>
      </c>
      <c r="AK1517" t="str">
        <f>_xlfn.CONCAT(AG1517,AH1517,AI1517,AJ1517)</f>
        <v>IMAJ</v>
      </c>
    </row>
    <row r="1518" spans="1:37" ht="15.75" hidden="1" customHeight="1" x14ac:dyDescent="0.2">
      <c r="A1518" s="1">
        <v>3111203</v>
      </c>
      <c r="B1518" s="1" t="s">
        <v>4122</v>
      </c>
      <c r="C1518" s="1" t="s">
        <v>628</v>
      </c>
      <c r="D1518" s="1" t="s">
        <v>4157</v>
      </c>
      <c r="E1518" s="1" t="s">
        <v>106</v>
      </c>
      <c r="F1518" s="1" t="s">
        <v>63</v>
      </c>
      <c r="G1518" s="1" t="s">
        <v>4158</v>
      </c>
      <c r="H1518" s="1">
        <v>1716</v>
      </c>
      <c r="I1518" s="1" t="s">
        <v>4159</v>
      </c>
      <c r="J1518" s="1">
        <v>4525</v>
      </c>
      <c r="K1518" s="1" t="s">
        <v>35</v>
      </c>
      <c r="L1518" s="1">
        <v>51</v>
      </c>
      <c r="M1518" s="1" t="str">
        <f>IF(L1518&lt;=45,"Joven","Mayor")</f>
        <v>Mayor</v>
      </c>
      <c r="N1518" s="1">
        <v>50</v>
      </c>
      <c r="O1518" s="1" t="s">
        <v>36</v>
      </c>
      <c r="P1518" s="1">
        <v>0.38200000000000001</v>
      </c>
      <c r="Q1518" s="1">
        <v>90.444999999999993</v>
      </c>
      <c r="R1518" s="1">
        <v>5.2905344999999997</v>
      </c>
      <c r="S1518" s="1">
        <v>2.9913224999999999</v>
      </c>
      <c r="T1518" s="1">
        <v>-9.4694319999999994</v>
      </c>
      <c r="U1518" s="1">
        <v>5.7590000000000003</v>
      </c>
      <c r="V1518" s="1">
        <v>86</v>
      </c>
      <c r="W1518" s="1">
        <v>159</v>
      </c>
      <c r="X1518" s="1">
        <v>1.8488372093023255</v>
      </c>
      <c r="Y1518" s="1">
        <v>94</v>
      </c>
      <c r="Z1518" s="1">
        <v>159</v>
      </c>
      <c r="AA1518" s="1">
        <v>1.6914893617021276</v>
      </c>
      <c r="AB1518" s="1">
        <v>93.547755891763018</v>
      </c>
      <c r="AC1518" s="1">
        <v>159.301209861937</v>
      </c>
      <c r="AD1518" s="1">
        <v>1.702886491967293</v>
      </c>
      <c r="AE1518" t="s">
        <v>4817</v>
      </c>
      <c r="AF1518" t="str">
        <f>IF(X1518&lt;$AF$1,"Bajo","Alto")</f>
        <v>Alto</v>
      </c>
      <c r="AG1518" t="str">
        <f>LEFT(AE1518,1)</f>
        <v>C</v>
      </c>
      <c r="AH1518" t="str">
        <f>K1518</f>
        <v>M</v>
      </c>
      <c r="AI1518" t="str">
        <f>LEFT(AF1518,1)</f>
        <v>A</v>
      </c>
      <c r="AJ1518" t="str">
        <f>LEFT(M1518,1)</f>
        <v>M</v>
      </c>
      <c r="AK1518" t="str">
        <f>_xlfn.CONCAT(AG1518,AH1518,AI1518,AJ1518)</f>
        <v>CMAM</v>
      </c>
    </row>
    <row r="1519" spans="1:37" ht="15.75" hidden="1" customHeight="1" x14ac:dyDescent="0.2">
      <c r="A1519" s="1">
        <v>10110302</v>
      </c>
      <c r="B1519" s="1" t="s">
        <v>29</v>
      </c>
      <c r="C1519" s="1" t="s">
        <v>30</v>
      </c>
      <c r="D1519" s="1" t="s">
        <v>80</v>
      </c>
      <c r="E1519" s="1" t="s">
        <v>81</v>
      </c>
      <c r="F1519" s="1" t="s">
        <v>37</v>
      </c>
      <c r="G1519" s="1" t="s">
        <v>83</v>
      </c>
      <c r="H1519" s="1">
        <v>819</v>
      </c>
      <c r="I1519" s="1" t="s">
        <v>39</v>
      </c>
      <c r="J1519" s="1">
        <v>11</v>
      </c>
      <c r="K1519" s="1" t="s">
        <v>35</v>
      </c>
      <c r="L1519" s="1">
        <v>49</v>
      </c>
      <c r="M1519" s="1" t="str">
        <f>IF(L1519&lt;=45,"Joven","Mayor")</f>
        <v>Mayor</v>
      </c>
      <c r="N1519" s="1">
        <v>62</v>
      </c>
      <c r="O1519" s="1" t="s">
        <v>36</v>
      </c>
      <c r="P1519" s="1">
        <v>0.245</v>
      </c>
      <c r="Q1519" s="1">
        <v>91.91</v>
      </c>
      <c r="R1519" s="1">
        <v>-0.71693163999999998</v>
      </c>
      <c r="S1519" s="1">
        <v>9.4972290000000008</v>
      </c>
      <c r="T1519" s="1">
        <v>2.3753107</v>
      </c>
      <c r="U1519" s="1">
        <v>35.658000000000001</v>
      </c>
      <c r="V1519" s="1">
        <v>125</v>
      </c>
      <c r="W1519" s="1">
        <v>211</v>
      </c>
      <c r="X1519" s="1">
        <v>1.6879999999999999</v>
      </c>
      <c r="Y1519" s="1">
        <v>127</v>
      </c>
      <c r="Z1519" s="1">
        <v>211</v>
      </c>
      <c r="AA1519" s="1">
        <v>1.6614173228346456</v>
      </c>
      <c r="AB1519" s="1">
        <v>127.04774389434741</v>
      </c>
      <c r="AC1519" s="1">
        <v>210.81870499321391</v>
      </c>
      <c r="AD1519" s="1">
        <v>1.6593659873923479</v>
      </c>
      <c r="AE1519" t="s">
        <v>4816</v>
      </c>
      <c r="AF1519" t="str">
        <f>IF(X1519&lt;$AF$1,"Bajo","Alto")</f>
        <v>Bajo</v>
      </c>
      <c r="AG1519" t="str">
        <f>LEFT(AE1519,1)</f>
        <v>D</v>
      </c>
      <c r="AH1519" t="str">
        <f>K1519</f>
        <v>M</v>
      </c>
      <c r="AI1519" t="str">
        <f>LEFT(AF1519,1)</f>
        <v>B</v>
      </c>
      <c r="AJ1519" t="str">
        <f>LEFT(M1519,1)</f>
        <v>M</v>
      </c>
      <c r="AK1519" t="str">
        <f>_xlfn.CONCAT(AG1519,AH1519,AI1519,AJ1519)</f>
        <v>DMBM</v>
      </c>
    </row>
    <row r="1520" spans="1:37" ht="15.75" hidden="1" customHeight="1" x14ac:dyDescent="0.2">
      <c r="A1520" s="1">
        <v>279702</v>
      </c>
      <c r="B1520" s="1" t="s">
        <v>3409</v>
      </c>
      <c r="C1520" s="1" t="s">
        <v>973</v>
      </c>
      <c r="D1520" s="1" t="s">
        <v>2715</v>
      </c>
      <c r="E1520" s="1" t="s">
        <v>781</v>
      </c>
      <c r="F1520" s="1" t="s">
        <v>37</v>
      </c>
      <c r="G1520" s="1" t="s">
        <v>3767</v>
      </c>
      <c r="H1520" s="1">
        <v>1296</v>
      </c>
      <c r="I1520" s="1" t="s">
        <v>1620</v>
      </c>
      <c r="J1520" s="1">
        <v>4119</v>
      </c>
      <c r="K1520" s="1" t="s">
        <v>35</v>
      </c>
      <c r="L1520" s="1">
        <v>66</v>
      </c>
      <c r="M1520" s="1" t="str">
        <f>IF(L1520&lt;=45,"Joven","Mayor")</f>
        <v>Mayor</v>
      </c>
      <c r="N1520" s="1">
        <v>86</v>
      </c>
      <c r="O1520" s="1" t="s">
        <v>36</v>
      </c>
      <c r="P1520" s="1">
        <v>2.141</v>
      </c>
      <c r="Q1520" s="1">
        <v>0.49</v>
      </c>
      <c r="R1520" s="1">
        <v>26.253273</v>
      </c>
      <c r="S1520" s="1">
        <v>-9.7493390000000009</v>
      </c>
      <c r="T1520" s="1">
        <v>-1.5096647000000001</v>
      </c>
      <c r="U1520" s="1">
        <v>5.05</v>
      </c>
      <c r="V1520" s="1">
        <v>88</v>
      </c>
      <c r="W1520" s="1">
        <v>148</v>
      </c>
      <c r="X1520" s="1">
        <v>1.6818181818181819</v>
      </c>
      <c r="Y1520" s="1">
        <v>97</v>
      </c>
      <c r="Z1520" s="1">
        <v>148</v>
      </c>
      <c r="AA1520" s="1">
        <v>1.5257731958762886</v>
      </c>
      <c r="AB1520" s="1">
        <v>96.070581421900215</v>
      </c>
      <c r="AC1520" s="1">
        <v>148.18573862895161</v>
      </c>
      <c r="AD1520" s="1">
        <v>1.5424673863290603</v>
      </c>
      <c r="AE1520" t="s">
        <v>4817</v>
      </c>
      <c r="AF1520" t="str">
        <f>IF(X1520&lt;$AF$1,"Bajo","Alto")</f>
        <v>Bajo</v>
      </c>
      <c r="AG1520" t="str">
        <f>LEFT(AE1520,1)</f>
        <v>C</v>
      </c>
      <c r="AH1520" t="str">
        <f>K1520</f>
        <v>M</v>
      </c>
      <c r="AI1520" t="str">
        <f>LEFT(AF1520,1)</f>
        <v>B</v>
      </c>
      <c r="AJ1520" t="str">
        <f>LEFT(M1520,1)</f>
        <v>M</v>
      </c>
      <c r="AK1520" t="str">
        <f>_xlfn.CONCAT(AG1520,AH1520,AI1520,AJ1520)</f>
        <v>CMBM</v>
      </c>
    </row>
    <row r="1521" spans="1:37" ht="15.75" hidden="1" customHeight="1" x14ac:dyDescent="0.2">
      <c r="A1521" s="1">
        <v>2912707</v>
      </c>
      <c r="B1521" s="1" t="s">
        <v>3890</v>
      </c>
      <c r="C1521" s="1" t="s">
        <v>1695</v>
      </c>
      <c r="D1521" s="1" t="s">
        <v>3959</v>
      </c>
      <c r="E1521" s="1" t="s">
        <v>153</v>
      </c>
      <c r="F1521" s="1" t="s">
        <v>43</v>
      </c>
      <c r="G1521" s="1" t="s">
        <v>3966</v>
      </c>
      <c r="H1521" s="1">
        <v>42</v>
      </c>
      <c r="I1521" s="1" t="s">
        <v>91</v>
      </c>
      <c r="J1521" s="1">
        <v>6</v>
      </c>
      <c r="K1521" s="1" t="s">
        <v>35</v>
      </c>
      <c r="L1521" s="1">
        <v>65</v>
      </c>
      <c r="M1521" s="1" t="str">
        <f>IF(L1521&lt;=45,"Joven","Mayor")</f>
        <v>Mayor</v>
      </c>
      <c r="N1521" s="1">
        <v>70</v>
      </c>
      <c r="O1521" s="1" t="s">
        <v>36</v>
      </c>
      <c r="P1521" s="1">
        <v>0.36099999999999999</v>
      </c>
      <c r="Q1521" s="1">
        <v>92.399000000000001</v>
      </c>
      <c r="R1521" s="1">
        <v>-0.57278220000000002</v>
      </c>
      <c r="S1521" s="1">
        <v>-8.5968710000000002</v>
      </c>
      <c r="T1521" s="1">
        <v>1.1177105000000001</v>
      </c>
      <c r="U1521" s="1">
        <v>0.19800000000000001</v>
      </c>
      <c r="V1521" s="1">
        <v>66</v>
      </c>
      <c r="W1521" s="1">
        <v>111</v>
      </c>
      <c r="X1521" s="1">
        <v>1.6818181818181819</v>
      </c>
      <c r="Y1521" s="1">
        <v>66</v>
      </c>
      <c r="Z1521" s="1">
        <v>111</v>
      </c>
      <c r="AA1521" s="1">
        <v>1.6818181818181819</v>
      </c>
      <c r="AB1521" s="1">
        <v>66.572636931450234</v>
      </c>
      <c r="AC1521" s="1">
        <v>110.9398670814408</v>
      </c>
      <c r="AD1521" s="1">
        <v>1.6664484418076371</v>
      </c>
      <c r="AE1521" t="s">
        <v>4817</v>
      </c>
      <c r="AF1521" t="str">
        <f>IF(X1521&lt;$AF$1,"Bajo","Alto")</f>
        <v>Bajo</v>
      </c>
      <c r="AG1521" t="str">
        <f>LEFT(AE1521,1)</f>
        <v>C</v>
      </c>
      <c r="AH1521" t="str">
        <f>K1521</f>
        <v>M</v>
      </c>
      <c r="AI1521" t="str">
        <f>LEFT(AF1521,1)</f>
        <v>B</v>
      </c>
      <c r="AJ1521" t="str">
        <f>LEFT(M1521,1)</f>
        <v>M</v>
      </c>
      <c r="AK1521" t="str">
        <f>_xlfn.CONCAT(AG1521,AH1521,AI1521,AJ1521)</f>
        <v>CMBM</v>
      </c>
    </row>
    <row r="1522" spans="1:37" ht="15.75" customHeight="1" x14ac:dyDescent="0.2">
      <c r="A1522" s="1">
        <v>196404</v>
      </c>
      <c r="B1522" s="1" t="s">
        <v>2656</v>
      </c>
      <c r="C1522" s="1" t="s">
        <v>323</v>
      </c>
      <c r="D1522" s="1" t="s">
        <v>2765</v>
      </c>
      <c r="E1522" s="1" t="s">
        <v>710</v>
      </c>
      <c r="F1522" s="1" t="s">
        <v>61</v>
      </c>
      <c r="G1522" s="1" t="s">
        <v>2769</v>
      </c>
      <c r="H1522" s="1">
        <v>704</v>
      </c>
      <c r="I1522" s="1" t="s">
        <v>2770</v>
      </c>
      <c r="J1522" s="1">
        <v>2073</v>
      </c>
      <c r="K1522" s="1" t="s">
        <v>35</v>
      </c>
      <c r="L1522" s="1">
        <v>60</v>
      </c>
      <c r="M1522" s="1" t="str">
        <f>IF(L1522&lt;=45,"Joven","Mayor")</f>
        <v>Mayor</v>
      </c>
      <c r="N1522" s="1">
        <v>59</v>
      </c>
      <c r="O1522" s="1" t="s">
        <v>36</v>
      </c>
      <c r="P1522" s="1">
        <v>0.35499999999999998</v>
      </c>
      <c r="Q1522" s="1">
        <v>92.51</v>
      </c>
      <c r="R1522" s="1">
        <v>-3.507441</v>
      </c>
      <c r="S1522" s="1">
        <v>-2.0122292000000002</v>
      </c>
      <c r="T1522" s="1">
        <v>1.5575919</v>
      </c>
      <c r="U1522" s="1">
        <v>4.9790000000000001</v>
      </c>
      <c r="V1522" s="1">
        <v>83</v>
      </c>
      <c r="W1522" s="1">
        <v>139</v>
      </c>
      <c r="X1522" s="1">
        <v>1.6746987951807228</v>
      </c>
      <c r="Y1522" s="1">
        <v>86</v>
      </c>
      <c r="Z1522" s="1">
        <v>139</v>
      </c>
      <c r="AA1522" s="1">
        <v>1.6162790697674418</v>
      </c>
      <c r="AB1522" s="1">
        <v>87.055494014917258</v>
      </c>
      <c r="AC1522" s="1">
        <v>138.97582233369849</v>
      </c>
      <c r="AD1522" s="1">
        <v>1.5964049587712925</v>
      </c>
      <c r="AE1522" t="s">
        <v>4818</v>
      </c>
      <c r="AF1522" t="str">
        <f>IF(X1522&lt;$AF$1,"Bajo","Alto")</f>
        <v>Bajo</v>
      </c>
      <c r="AG1522" t="str">
        <f>LEFT(AE1522,1)</f>
        <v>S</v>
      </c>
      <c r="AH1522" t="str">
        <f>K1522</f>
        <v>M</v>
      </c>
      <c r="AI1522" t="str">
        <f>LEFT(AF1522,1)</f>
        <v>B</v>
      </c>
      <c r="AJ1522" t="str">
        <f>LEFT(M1522,1)</f>
        <v>M</v>
      </c>
      <c r="AK1522" t="str">
        <f>_xlfn.CONCAT(AG1522,AH1522,AI1522,AJ1522)</f>
        <v>SMBM</v>
      </c>
    </row>
    <row r="1523" spans="1:37" ht="15.75" hidden="1" customHeight="1" x14ac:dyDescent="0.2">
      <c r="A1523" s="1">
        <v>256104</v>
      </c>
      <c r="B1523" s="1" t="s">
        <v>3169</v>
      </c>
      <c r="C1523" s="1" t="s">
        <v>821</v>
      </c>
      <c r="D1523" s="1" t="s">
        <v>3285</v>
      </c>
      <c r="E1523" s="1" t="s">
        <v>701</v>
      </c>
      <c r="F1523" s="1" t="s">
        <v>61</v>
      </c>
      <c r="G1523" s="1" t="s">
        <v>3288</v>
      </c>
      <c r="H1523" s="1">
        <v>1138</v>
      </c>
      <c r="I1523" s="1" t="s">
        <v>294</v>
      </c>
      <c r="J1523" s="1">
        <v>16</v>
      </c>
      <c r="K1523" s="1" t="s">
        <v>35</v>
      </c>
      <c r="L1523" s="1">
        <v>44</v>
      </c>
      <c r="M1523" s="1" t="str">
        <f>IF(L1523&lt;=45,"Joven","Mayor")</f>
        <v>Joven</v>
      </c>
      <c r="N1523" s="1">
        <v>50</v>
      </c>
      <c r="O1523" s="1" t="s">
        <v>36</v>
      </c>
      <c r="P1523" s="1">
        <v>0.34399999999999997</v>
      </c>
      <c r="Q1523" s="1">
        <v>89.724000000000004</v>
      </c>
      <c r="R1523" s="1">
        <v>6.3364495999999999</v>
      </c>
      <c r="S1523" s="1">
        <v>-0.85585517</v>
      </c>
      <c r="T1523" s="1">
        <v>-3.3923523000000002</v>
      </c>
      <c r="U1523" s="1">
        <v>3.915</v>
      </c>
      <c r="V1523" s="1">
        <v>110</v>
      </c>
      <c r="W1523" s="1">
        <v>205</v>
      </c>
      <c r="X1523" s="1">
        <v>1.8636363636363635</v>
      </c>
      <c r="Y1523" s="1">
        <v>113</v>
      </c>
      <c r="Z1523" s="1">
        <v>205</v>
      </c>
      <c r="AA1523" s="1">
        <v>1.8141592920353982</v>
      </c>
      <c r="AB1523" s="1">
        <v>115.9381699800047</v>
      </c>
      <c r="AC1523" s="1">
        <v>204.99582447827061</v>
      </c>
      <c r="AD1523" s="1">
        <v>1.7681478370205883</v>
      </c>
      <c r="AE1523" t="s">
        <v>4817</v>
      </c>
      <c r="AF1523" t="str">
        <f>IF(X1523&lt;$AF$1,"Bajo","Alto")</f>
        <v>Alto</v>
      </c>
      <c r="AG1523" t="str">
        <f>LEFT(AE1523,1)</f>
        <v>C</v>
      </c>
      <c r="AH1523" t="str">
        <f>K1523</f>
        <v>M</v>
      </c>
      <c r="AI1523" t="str">
        <f>LEFT(AF1523,1)</f>
        <v>A</v>
      </c>
      <c r="AJ1523" t="str">
        <f>LEFT(M1523,1)</f>
        <v>J</v>
      </c>
      <c r="AK1523" t="str">
        <f>_xlfn.CONCAT(AG1523,AH1523,AI1523,AJ1523)</f>
        <v>CMAJ</v>
      </c>
    </row>
    <row r="1524" spans="1:37" ht="15.75" hidden="1" customHeight="1" x14ac:dyDescent="0.2">
      <c r="A1524" s="1">
        <v>214204</v>
      </c>
      <c r="B1524" s="1" t="s">
        <v>2816</v>
      </c>
      <c r="C1524" s="1" t="s">
        <v>2817</v>
      </c>
      <c r="D1524" s="1" t="s">
        <v>2871</v>
      </c>
      <c r="E1524" s="1" t="s">
        <v>2872</v>
      </c>
      <c r="F1524" s="1" t="s">
        <v>61</v>
      </c>
      <c r="G1524" s="1" t="s">
        <v>2875</v>
      </c>
      <c r="H1524" s="1">
        <v>133</v>
      </c>
      <c r="I1524" s="1" t="s">
        <v>48</v>
      </c>
      <c r="J1524" s="1">
        <v>4</v>
      </c>
      <c r="K1524" s="1" t="s">
        <v>35</v>
      </c>
      <c r="L1524" s="1">
        <v>38</v>
      </c>
      <c r="M1524" s="1" t="str">
        <f>IF(L1524&lt;=45,"Joven","Mayor")</f>
        <v>Joven</v>
      </c>
      <c r="N1524" s="1">
        <v>43</v>
      </c>
      <c r="O1524" s="1" t="s">
        <v>36</v>
      </c>
      <c r="P1524" s="1">
        <v>0.69299999999999995</v>
      </c>
      <c r="Q1524" s="1">
        <v>94.66</v>
      </c>
      <c r="R1524" s="1">
        <v>-7.1250826000000003E-2</v>
      </c>
      <c r="S1524" s="1">
        <v>1.1472941999999999</v>
      </c>
      <c r="T1524" s="1">
        <v>1.3274714000000001</v>
      </c>
      <c r="U1524" s="1">
        <v>0.74299999999999999</v>
      </c>
      <c r="V1524" s="1">
        <v>95</v>
      </c>
      <c r="W1524" s="1">
        <v>177</v>
      </c>
      <c r="X1524" s="1">
        <v>1.8631578947368421</v>
      </c>
      <c r="Y1524" s="1">
        <v>100</v>
      </c>
      <c r="Z1524" s="1">
        <v>177</v>
      </c>
      <c r="AA1524" s="1">
        <v>1.77</v>
      </c>
      <c r="AB1524" s="1">
        <v>98.930661333252601</v>
      </c>
      <c r="AC1524" s="1">
        <v>177.09149618081349</v>
      </c>
      <c r="AD1524" s="1">
        <v>1.7900567305849946</v>
      </c>
      <c r="AE1524" t="s">
        <v>4817</v>
      </c>
      <c r="AF1524" t="str">
        <f>IF(X1524&lt;$AF$1,"Bajo","Alto")</f>
        <v>Alto</v>
      </c>
      <c r="AG1524" t="str">
        <f>LEFT(AE1524,1)</f>
        <v>C</v>
      </c>
      <c r="AH1524" t="str">
        <f>K1524</f>
        <v>M</v>
      </c>
      <c r="AI1524" t="str">
        <f>LEFT(AF1524,1)</f>
        <v>A</v>
      </c>
      <c r="AJ1524" t="str">
        <f>LEFT(M1524,1)</f>
        <v>J</v>
      </c>
      <c r="AK1524" t="str">
        <f>_xlfn.CONCAT(AG1524,AH1524,AI1524,AJ1524)</f>
        <v>CMAJ</v>
      </c>
    </row>
    <row r="1525" spans="1:37" ht="15.75" hidden="1" customHeight="1" x14ac:dyDescent="0.2">
      <c r="A1525" s="1">
        <v>527404</v>
      </c>
      <c r="B1525" s="1" t="s">
        <v>4529</v>
      </c>
      <c r="C1525" s="1" t="s">
        <v>685</v>
      </c>
      <c r="D1525" s="1" t="s">
        <v>4667</v>
      </c>
      <c r="E1525" s="1" t="s">
        <v>2786</v>
      </c>
      <c r="F1525" s="1" t="s">
        <v>61</v>
      </c>
      <c r="G1525" s="1" t="s">
        <v>4669</v>
      </c>
      <c r="H1525" s="1">
        <v>1117</v>
      </c>
      <c r="I1525" s="1" t="s">
        <v>91</v>
      </c>
      <c r="J1525" s="1">
        <v>6</v>
      </c>
      <c r="K1525" s="1" t="s">
        <v>35</v>
      </c>
      <c r="L1525" s="1">
        <v>31</v>
      </c>
      <c r="M1525" s="1" t="str">
        <f>IF(L1525&lt;=45,"Joven","Mayor")</f>
        <v>Joven</v>
      </c>
      <c r="N1525" s="1">
        <v>48</v>
      </c>
      <c r="O1525" s="1" t="s">
        <v>36</v>
      </c>
      <c r="P1525" s="1">
        <v>1.375</v>
      </c>
      <c r="Q1525" s="1">
        <v>90.775999999999996</v>
      </c>
      <c r="R1525" s="1">
        <v>-1.7630929</v>
      </c>
      <c r="S1525" s="1">
        <v>9.5126799999999996</v>
      </c>
      <c r="T1525" s="1">
        <v>0.10699727000000001</v>
      </c>
      <c r="U1525" s="1">
        <v>0.68600000000000005</v>
      </c>
      <c r="V1525" s="1">
        <v>115</v>
      </c>
      <c r="W1525" s="1">
        <v>195</v>
      </c>
      <c r="X1525" s="1">
        <v>1.6956521739130435</v>
      </c>
      <c r="Y1525" s="1">
        <v>115</v>
      </c>
      <c r="Z1525" s="1">
        <v>195</v>
      </c>
      <c r="AA1525" s="1">
        <v>1.6956521739130435</v>
      </c>
      <c r="AB1525" s="1">
        <v>115.09317215364899</v>
      </c>
      <c r="AC1525" s="1">
        <v>195.00339488701181</v>
      </c>
      <c r="AD1525" s="1">
        <v>1.6943089780050804</v>
      </c>
      <c r="AE1525" t="s">
        <v>4817</v>
      </c>
      <c r="AF1525" t="str">
        <f>IF(X1525&lt;$AF$1,"Bajo","Alto")</f>
        <v>Bajo</v>
      </c>
      <c r="AG1525" t="str">
        <f>LEFT(AE1525,1)</f>
        <v>C</v>
      </c>
      <c r="AH1525" t="str">
        <f>K1525</f>
        <v>M</v>
      </c>
      <c r="AI1525" t="str">
        <f>LEFT(AF1525,1)</f>
        <v>B</v>
      </c>
      <c r="AJ1525" t="str">
        <f>LEFT(M1525,1)</f>
        <v>J</v>
      </c>
      <c r="AK1525" t="str">
        <f>_xlfn.CONCAT(AG1525,AH1525,AI1525,AJ1525)</f>
        <v>CMBJ</v>
      </c>
    </row>
    <row r="1526" spans="1:37" ht="15.75" hidden="1" customHeight="1" x14ac:dyDescent="0.2">
      <c r="A1526" s="1">
        <v>10112405</v>
      </c>
      <c r="B1526" s="1" t="s">
        <v>29</v>
      </c>
      <c r="C1526" s="1" t="s">
        <v>30</v>
      </c>
      <c r="D1526" s="1" t="s">
        <v>144</v>
      </c>
      <c r="E1526" s="1" t="s">
        <v>145</v>
      </c>
      <c r="F1526" s="1" t="s">
        <v>40</v>
      </c>
      <c r="G1526" s="1" t="s">
        <v>149</v>
      </c>
      <c r="H1526" s="1">
        <v>2739</v>
      </c>
      <c r="I1526" s="1" t="s">
        <v>134</v>
      </c>
      <c r="J1526" s="1">
        <v>8</v>
      </c>
      <c r="K1526" s="1" t="s">
        <v>35</v>
      </c>
      <c r="L1526" s="1">
        <v>43</v>
      </c>
      <c r="M1526" s="1" t="str">
        <f>IF(L1526&lt;=45,"Joven","Mayor")</f>
        <v>Joven</v>
      </c>
      <c r="N1526" s="1">
        <v>44</v>
      </c>
      <c r="O1526" s="1" t="s">
        <v>36</v>
      </c>
      <c r="P1526" s="1">
        <v>1.782</v>
      </c>
      <c r="Q1526" s="1">
        <v>93.701999999999998</v>
      </c>
      <c r="R1526" s="1">
        <v>-0.74318176999999996</v>
      </c>
      <c r="S1526" s="1">
        <v>-3.1580336</v>
      </c>
      <c r="T1526" s="1">
        <v>-2.6858233999999999</v>
      </c>
      <c r="U1526" s="1">
        <v>4.7439999999999998</v>
      </c>
      <c r="V1526" s="1">
        <v>87</v>
      </c>
      <c r="W1526" s="1">
        <v>162</v>
      </c>
      <c r="X1526" s="1">
        <v>1.8620689655172413</v>
      </c>
      <c r="Y1526" s="1">
        <v>90</v>
      </c>
      <c r="Z1526" s="1">
        <v>162</v>
      </c>
      <c r="AA1526" s="1">
        <v>1.8</v>
      </c>
      <c r="AB1526" s="1">
        <v>88.966239493924149</v>
      </c>
      <c r="AC1526" s="1">
        <v>161.96262086357819</v>
      </c>
      <c r="AD1526" s="1">
        <v>1.8204953000698569</v>
      </c>
      <c r="AE1526" t="s">
        <v>4817</v>
      </c>
      <c r="AF1526" t="str">
        <f>IF(X1526&lt;$AF$1,"Bajo","Alto")</f>
        <v>Alto</v>
      </c>
      <c r="AG1526" t="str">
        <f>LEFT(AE1526,1)</f>
        <v>C</v>
      </c>
      <c r="AH1526" t="str">
        <f>K1526</f>
        <v>M</v>
      </c>
      <c r="AI1526" t="str">
        <f>LEFT(AF1526,1)</f>
        <v>A</v>
      </c>
      <c r="AJ1526" t="str">
        <f>LEFT(M1526,1)</f>
        <v>J</v>
      </c>
      <c r="AK1526" t="str">
        <f>_xlfn.CONCAT(AG1526,AH1526,AI1526,AJ1526)</f>
        <v>CMAJ</v>
      </c>
    </row>
    <row r="1527" spans="1:37" ht="15.75" hidden="1" customHeight="1" x14ac:dyDescent="0.2">
      <c r="A1527" s="1">
        <v>560401</v>
      </c>
      <c r="B1527" s="1" t="s">
        <v>422</v>
      </c>
      <c r="C1527" s="1" t="s">
        <v>2751</v>
      </c>
      <c r="D1527" s="1" t="s">
        <v>2925</v>
      </c>
      <c r="E1527" s="1" t="s">
        <v>61</v>
      </c>
      <c r="F1527" s="1" t="s">
        <v>32</v>
      </c>
      <c r="G1527" s="1" t="s">
        <v>4698</v>
      </c>
      <c r="H1527" s="1">
        <v>65</v>
      </c>
      <c r="I1527" s="1" t="s">
        <v>42</v>
      </c>
      <c r="J1527" s="1">
        <v>15</v>
      </c>
      <c r="K1527" s="1" t="s">
        <v>35</v>
      </c>
      <c r="L1527" s="1">
        <v>46</v>
      </c>
      <c r="M1527" s="1" t="str">
        <f>IF(L1527&lt;=45,"Joven","Mayor")</f>
        <v>Mayor</v>
      </c>
      <c r="N1527" s="1">
        <v>42</v>
      </c>
      <c r="O1527" s="1" t="s">
        <v>36</v>
      </c>
      <c r="P1527" s="1">
        <v>0.30599999999999999</v>
      </c>
      <c r="Q1527" s="1">
        <v>93.146000000000001</v>
      </c>
      <c r="R1527" s="1">
        <v>1.6741398999999999</v>
      </c>
      <c r="S1527" s="1">
        <v>-4.7036347000000003</v>
      </c>
      <c r="T1527" s="1">
        <v>-7.9500900000000003</v>
      </c>
      <c r="U1527" s="1">
        <v>0.751</v>
      </c>
      <c r="V1527" s="1">
        <v>86</v>
      </c>
      <c r="W1527" s="1">
        <v>159</v>
      </c>
      <c r="X1527" s="1">
        <v>1.8488372093023255</v>
      </c>
      <c r="Y1527" s="1">
        <v>102</v>
      </c>
      <c r="Z1527" s="1">
        <v>159</v>
      </c>
      <c r="AA1527" s="1">
        <v>1.5588235294117647</v>
      </c>
      <c r="AB1527" s="1">
        <v>96.040494889238289</v>
      </c>
      <c r="AC1527" s="1">
        <v>160.0997374148715</v>
      </c>
      <c r="AD1527" s="1">
        <v>1.6670024201719444</v>
      </c>
      <c r="AE1527" t="s">
        <v>4817</v>
      </c>
      <c r="AF1527" t="str">
        <f>IF(X1527&lt;$AF$1,"Bajo","Alto")</f>
        <v>Alto</v>
      </c>
      <c r="AG1527" t="str">
        <f>LEFT(AE1527,1)</f>
        <v>C</v>
      </c>
      <c r="AH1527" t="str">
        <f>K1527</f>
        <v>M</v>
      </c>
      <c r="AI1527" t="str">
        <f>LEFT(AF1527,1)</f>
        <v>A</v>
      </c>
      <c r="AJ1527" t="str">
        <f>LEFT(M1527,1)</f>
        <v>M</v>
      </c>
      <c r="AK1527" t="str">
        <f>_xlfn.CONCAT(AG1527,AH1527,AI1527,AJ1527)</f>
        <v>CMAM</v>
      </c>
    </row>
    <row r="1528" spans="1:37" ht="15.75" hidden="1" customHeight="1" x14ac:dyDescent="0.2">
      <c r="A1528" s="1">
        <v>1218002</v>
      </c>
      <c r="B1528" s="1" t="s">
        <v>1798</v>
      </c>
      <c r="C1528" s="1" t="s">
        <v>54</v>
      </c>
      <c r="D1528" s="1" t="s">
        <v>1808</v>
      </c>
      <c r="E1528" s="1" t="s">
        <v>1809</v>
      </c>
      <c r="F1528" s="1" t="s">
        <v>37</v>
      </c>
      <c r="G1528" s="1" t="s">
        <v>1810</v>
      </c>
      <c r="H1528" s="1">
        <v>273</v>
      </c>
      <c r="I1528" s="1" t="s">
        <v>42</v>
      </c>
      <c r="J1528" s="1">
        <v>15</v>
      </c>
      <c r="K1528" s="1" t="s">
        <v>35</v>
      </c>
      <c r="L1528" s="1">
        <v>46</v>
      </c>
      <c r="M1528" s="1" t="str">
        <f>IF(L1528&lt;=45,"Joven","Mayor")</f>
        <v>Mayor</v>
      </c>
      <c r="N1528" s="1">
        <v>44</v>
      </c>
      <c r="O1528" s="1" t="s">
        <v>36</v>
      </c>
      <c r="P1528" s="1">
        <v>0.318</v>
      </c>
      <c r="Q1528" s="1">
        <v>86.716999999999999</v>
      </c>
      <c r="R1528" s="1">
        <v>-5.8218164000000003</v>
      </c>
      <c r="S1528" s="1">
        <v>9.0578179999999993</v>
      </c>
      <c r="T1528" s="1">
        <v>5.4236773999999999</v>
      </c>
      <c r="U1528" s="1">
        <v>2.1760000000000002</v>
      </c>
      <c r="V1528" s="1">
        <v>99</v>
      </c>
      <c r="W1528" s="1">
        <v>183</v>
      </c>
      <c r="X1528" s="1">
        <v>1.8484848484848484</v>
      </c>
      <c r="Y1528" s="1">
        <v>109</v>
      </c>
      <c r="Z1528" s="1">
        <v>183</v>
      </c>
      <c r="AA1528" s="1">
        <v>1.6788990825688073</v>
      </c>
      <c r="AB1528" s="1">
        <v>104.5421776184467</v>
      </c>
      <c r="AC1528" s="1">
        <v>182.84234511163501</v>
      </c>
      <c r="AD1528" s="1">
        <v>1.7489816003160439</v>
      </c>
      <c r="AE1528" t="s">
        <v>4817</v>
      </c>
      <c r="AF1528" t="str">
        <f>IF(X1528&lt;$AF$1,"Bajo","Alto")</f>
        <v>Alto</v>
      </c>
      <c r="AG1528" t="str">
        <f>LEFT(AE1528,1)</f>
        <v>C</v>
      </c>
      <c r="AH1528" t="str">
        <f>K1528</f>
        <v>M</v>
      </c>
      <c r="AI1528" t="str">
        <f>LEFT(AF1528,1)</f>
        <v>A</v>
      </c>
      <c r="AJ1528" t="str">
        <f>LEFT(M1528,1)</f>
        <v>M</v>
      </c>
      <c r="AK1528" t="str">
        <f>_xlfn.CONCAT(AG1528,AH1528,AI1528,AJ1528)</f>
        <v>CMAM</v>
      </c>
    </row>
    <row r="1529" spans="1:37" ht="15.75" hidden="1" customHeight="1" x14ac:dyDescent="0.2">
      <c r="A1529" s="1">
        <v>1517801</v>
      </c>
      <c r="B1529" s="1" t="s">
        <v>2077</v>
      </c>
      <c r="C1529" s="1" t="s">
        <v>57</v>
      </c>
      <c r="D1529" s="1" t="s">
        <v>2206</v>
      </c>
      <c r="E1529" s="1" t="s">
        <v>300</v>
      </c>
      <c r="F1529" s="1" t="s">
        <v>32</v>
      </c>
      <c r="G1529" s="1" t="s">
        <v>2207</v>
      </c>
      <c r="H1529" s="1">
        <v>162</v>
      </c>
      <c r="I1529" s="1" t="s">
        <v>87</v>
      </c>
      <c r="J1529" s="1">
        <v>14</v>
      </c>
      <c r="K1529" s="1" t="s">
        <v>35</v>
      </c>
      <c r="L1529" s="1">
        <v>49</v>
      </c>
      <c r="M1529" s="1" t="str">
        <f>IF(L1529&lt;=45,"Joven","Mayor")</f>
        <v>Mayor</v>
      </c>
      <c r="N1529" s="1">
        <v>58</v>
      </c>
      <c r="O1529" s="1" t="s">
        <v>36</v>
      </c>
      <c r="P1529" s="1">
        <v>0.94799999999999995</v>
      </c>
      <c r="Q1529" s="1">
        <v>63.048999999999999</v>
      </c>
      <c r="R1529" s="1">
        <v>-14.018094</v>
      </c>
      <c r="S1529" s="1">
        <v>2.2205346000000001</v>
      </c>
      <c r="T1529" s="1">
        <v>9.701886</v>
      </c>
      <c r="U1529" s="1">
        <v>2.2160000000000002</v>
      </c>
      <c r="V1529" s="1">
        <v>77</v>
      </c>
      <c r="W1529" s="1">
        <v>130</v>
      </c>
      <c r="X1529" s="1">
        <v>1.6883116883116882</v>
      </c>
      <c r="Y1529" s="1">
        <v>84</v>
      </c>
      <c r="Z1529" s="1">
        <v>130</v>
      </c>
      <c r="AA1529" s="1">
        <v>1.5476190476190477</v>
      </c>
      <c r="AB1529" s="1">
        <v>81.797003927699052</v>
      </c>
      <c r="AC1529" s="1">
        <v>128.3092517384548</v>
      </c>
      <c r="AD1529" s="1">
        <v>1.568630213545086</v>
      </c>
      <c r="AE1529" t="s">
        <v>4816</v>
      </c>
      <c r="AF1529" t="str">
        <f>IF(X1529&lt;$AF$1,"Bajo","Alto")</f>
        <v>Bajo</v>
      </c>
      <c r="AG1529" t="str">
        <f>LEFT(AE1529,1)</f>
        <v>D</v>
      </c>
      <c r="AH1529" t="str">
        <f>K1529</f>
        <v>M</v>
      </c>
      <c r="AI1529" t="str">
        <f>LEFT(AF1529,1)</f>
        <v>B</v>
      </c>
      <c r="AJ1529" t="str">
        <f>LEFT(M1529,1)</f>
        <v>M</v>
      </c>
      <c r="AK1529" t="str">
        <f>_xlfn.CONCAT(AG1529,AH1529,AI1529,AJ1529)</f>
        <v>DMBM</v>
      </c>
    </row>
    <row r="1530" spans="1:37" ht="15.75" hidden="1" customHeight="1" x14ac:dyDescent="0.2">
      <c r="A1530" s="1">
        <v>110106</v>
      </c>
      <c r="B1530" s="1" t="s">
        <v>1648</v>
      </c>
      <c r="C1530" s="1" t="s">
        <v>51</v>
      </c>
      <c r="D1530" s="1" t="s">
        <v>1649</v>
      </c>
      <c r="E1530" s="1" t="s">
        <v>32</v>
      </c>
      <c r="F1530" s="1" t="s">
        <v>88</v>
      </c>
      <c r="G1530" s="1" t="s">
        <v>1651</v>
      </c>
      <c r="H1530" s="1">
        <v>6586</v>
      </c>
      <c r="I1530" s="1" t="s">
        <v>73</v>
      </c>
      <c r="J1530" s="1">
        <v>5</v>
      </c>
      <c r="K1530" s="1" t="s">
        <v>35</v>
      </c>
      <c r="L1530" s="1">
        <v>53</v>
      </c>
      <c r="M1530" s="1" t="str">
        <f>IF(L1530&lt;=45,"Joven","Mayor")</f>
        <v>Mayor</v>
      </c>
      <c r="N1530" s="1">
        <v>53</v>
      </c>
      <c r="O1530" s="1" t="s">
        <v>36</v>
      </c>
      <c r="P1530" s="1">
        <v>1.78</v>
      </c>
      <c r="Q1530" s="1">
        <v>92.042000000000002</v>
      </c>
      <c r="R1530" s="1">
        <v>4.0490354999999996</v>
      </c>
      <c r="S1530" s="1">
        <v>-3.8058670000000003E-2</v>
      </c>
      <c r="T1530" s="1">
        <v>-5.9070263000000001</v>
      </c>
      <c r="U1530" s="1">
        <v>38.662999999999997</v>
      </c>
      <c r="V1530" s="1">
        <v>79</v>
      </c>
      <c r="W1530" s="1">
        <v>146</v>
      </c>
      <c r="X1530" s="1">
        <v>1.8481012658227849</v>
      </c>
      <c r="Y1530" s="1">
        <v>85</v>
      </c>
      <c r="Z1530" s="1">
        <v>146</v>
      </c>
      <c r="AA1530" s="1">
        <v>1.7176470588235293</v>
      </c>
      <c r="AB1530" s="1">
        <v>83.005850408708966</v>
      </c>
      <c r="AC1530" s="1">
        <v>145.94517140988179</v>
      </c>
      <c r="AD1530" s="1">
        <v>1.7582516255332437</v>
      </c>
      <c r="AE1530" t="s">
        <v>4817</v>
      </c>
      <c r="AF1530" t="str">
        <f>IF(X1530&lt;$AF$1,"Bajo","Alto")</f>
        <v>Alto</v>
      </c>
      <c r="AG1530" t="str">
        <f>LEFT(AE1530,1)</f>
        <v>C</v>
      </c>
      <c r="AH1530" t="str">
        <f>K1530</f>
        <v>M</v>
      </c>
      <c r="AI1530" t="str">
        <f>LEFT(AF1530,1)</f>
        <v>A</v>
      </c>
      <c r="AJ1530" t="str">
        <f>LEFT(M1530,1)</f>
        <v>M</v>
      </c>
      <c r="AK1530" t="str">
        <f>_xlfn.CONCAT(AG1530,AH1530,AI1530,AJ1530)</f>
        <v>CMAM</v>
      </c>
    </row>
    <row r="1531" spans="1:37" ht="15.75" hidden="1" customHeight="1" x14ac:dyDescent="0.2">
      <c r="A1531" s="1">
        <v>130707</v>
      </c>
      <c r="B1531" s="1" t="s">
        <v>956</v>
      </c>
      <c r="C1531" s="1" t="s">
        <v>163</v>
      </c>
      <c r="D1531" s="1" t="s">
        <v>1386</v>
      </c>
      <c r="E1531" s="1" t="s">
        <v>43</v>
      </c>
      <c r="F1531" s="1" t="s">
        <v>43</v>
      </c>
      <c r="G1531" s="1" t="s">
        <v>1965</v>
      </c>
      <c r="H1531" s="1">
        <v>6801</v>
      </c>
      <c r="I1531" s="1" t="s">
        <v>134</v>
      </c>
      <c r="J1531" s="1">
        <v>8</v>
      </c>
      <c r="K1531" s="1" t="s">
        <v>35</v>
      </c>
      <c r="L1531" s="1">
        <v>53</v>
      </c>
      <c r="M1531" s="1" t="str">
        <f>IF(L1531&lt;=45,"Joven","Mayor")</f>
        <v>Mayor</v>
      </c>
      <c r="N1531" s="1">
        <v>50</v>
      </c>
      <c r="O1531" s="1" t="s">
        <v>36</v>
      </c>
      <c r="P1531" s="1">
        <v>0.52200000000000002</v>
      </c>
      <c r="Q1531" s="1">
        <v>92.757999999999996</v>
      </c>
      <c r="R1531" s="1">
        <v>1.0082955</v>
      </c>
      <c r="S1531" s="1">
        <v>6.9663269999999997</v>
      </c>
      <c r="T1531" s="1">
        <v>-2.7455911999999998</v>
      </c>
      <c r="U1531" s="1">
        <v>0.625</v>
      </c>
      <c r="V1531" s="1">
        <v>85</v>
      </c>
      <c r="W1531" s="1">
        <v>143</v>
      </c>
      <c r="X1531" s="1">
        <v>1.6823529411764706</v>
      </c>
      <c r="Y1531" s="1">
        <v>88</v>
      </c>
      <c r="Z1531" s="1">
        <v>143</v>
      </c>
      <c r="AA1531" s="1">
        <v>1.625</v>
      </c>
      <c r="AB1531" s="1">
        <v>89.671329580980455</v>
      </c>
      <c r="AC1531" s="1">
        <v>142.740044237577</v>
      </c>
      <c r="AD1531" s="1">
        <v>1.5918136254316515</v>
      </c>
      <c r="AE1531" t="s">
        <v>4817</v>
      </c>
      <c r="AF1531" t="str">
        <f>IF(X1531&lt;$AF$1,"Bajo","Alto")</f>
        <v>Bajo</v>
      </c>
      <c r="AG1531" t="str">
        <f>LEFT(AE1531,1)</f>
        <v>C</v>
      </c>
      <c r="AH1531" t="str">
        <f>K1531</f>
        <v>M</v>
      </c>
      <c r="AI1531" t="str">
        <f>LEFT(AF1531,1)</f>
        <v>B</v>
      </c>
      <c r="AJ1531" t="str">
        <f>LEFT(M1531,1)</f>
        <v>M</v>
      </c>
      <c r="AK1531" t="str">
        <f>_xlfn.CONCAT(AG1531,AH1531,AI1531,AJ1531)</f>
        <v>CMBM</v>
      </c>
    </row>
    <row r="1532" spans="1:37" ht="15.75" hidden="1" customHeight="1" x14ac:dyDescent="0.2">
      <c r="A1532" s="1">
        <v>1054403</v>
      </c>
      <c r="B1532" s="1" t="s">
        <v>694</v>
      </c>
      <c r="C1532" s="1" t="s">
        <v>879</v>
      </c>
      <c r="D1532" s="1" t="s">
        <v>994</v>
      </c>
      <c r="E1532" s="1" t="s">
        <v>995</v>
      </c>
      <c r="F1532" s="1" t="s">
        <v>63</v>
      </c>
      <c r="G1532" s="1" t="s">
        <v>998</v>
      </c>
      <c r="H1532" s="1">
        <v>2947</v>
      </c>
      <c r="I1532" s="1" t="s">
        <v>108</v>
      </c>
      <c r="J1532" s="1">
        <v>3</v>
      </c>
      <c r="K1532" s="1" t="s">
        <v>35</v>
      </c>
      <c r="L1532" s="1">
        <v>39</v>
      </c>
      <c r="M1532" s="1" t="str">
        <f>IF(L1532&lt;=45,"Joven","Mayor")</f>
        <v>Joven</v>
      </c>
      <c r="N1532" s="1">
        <v>54</v>
      </c>
      <c r="O1532" s="1" t="s">
        <v>36</v>
      </c>
      <c r="P1532" s="1">
        <v>0.36</v>
      </c>
      <c r="Q1532" s="1">
        <v>91.132999999999996</v>
      </c>
      <c r="R1532" s="1">
        <v>3.8415704000000002</v>
      </c>
      <c r="S1532" s="1">
        <v>5.5344176000000003</v>
      </c>
      <c r="T1532" s="1">
        <v>-4.1739144000000001</v>
      </c>
      <c r="U1532" s="1">
        <v>1.768</v>
      </c>
      <c r="V1532" s="1">
        <v>87</v>
      </c>
      <c r="W1532" s="1">
        <v>162</v>
      </c>
      <c r="X1532" s="1">
        <v>1.8620689655172413</v>
      </c>
      <c r="Y1532" s="1">
        <v>88</v>
      </c>
      <c r="Z1532" s="1">
        <v>162</v>
      </c>
      <c r="AA1532" s="1">
        <v>1.8409090909090908</v>
      </c>
      <c r="AB1532" s="1">
        <v>89.971753276407298</v>
      </c>
      <c r="AC1532" s="1">
        <v>161.78868266838799</v>
      </c>
      <c r="AD1532" s="1">
        <v>1.7982164043346789</v>
      </c>
      <c r="AE1532" t="s">
        <v>4817</v>
      </c>
      <c r="AF1532" t="str">
        <f>IF(X1532&lt;$AF$1,"Bajo","Alto")</f>
        <v>Alto</v>
      </c>
      <c r="AG1532" t="str">
        <f>LEFT(AE1532,1)</f>
        <v>C</v>
      </c>
      <c r="AH1532" t="str">
        <f>K1532</f>
        <v>M</v>
      </c>
      <c r="AI1532" t="str">
        <f>LEFT(AF1532,1)</f>
        <v>A</v>
      </c>
      <c r="AJ1532" t="str">
        <f>LEFT(M1532,1)</f>
        <v>J</v>
      </c>
      <c r="AK1532" t="str">
        <f>_xlfn.CONCAT(AG1532,AH1532,AI1532,AJ1532)</f>
        <v>CMAJ</v>
      </c>
    </row>
    <row r="1533" spans="1:37" ht="15.75" hidden="1" customHeight="1" x14ac:dyDescent="0.2">
      <c r="A1533" s="1">
        <v>1030703</v>
      </c>
      <c r="B1533" s="1" t="s">
        <v>783</v>
      </c>
      <c r="C1533" s="1" t="s">
        <v>81</v>
      </c>
      <c r="D1533" s="1" t="s">
        <v>792</v>
      </c>
      <c r="E1533" s="1" t="s">
        <v>43</v>
      </c>
      <c r="F1533" s="1" t="s">
        <v>63</v>
      </c>
      <c r="G1533" s="1" t="s">
        <v>795</v>
      </c>
      <c r="H1533" s="1">
        <v>1197</v>
      </c>
      <c r="I1533" s="1" t="s">
        <v>39</v>
      </c>
      <c r="J1533" s="1">
        <v>11</v>
      </c>
      <c r="K1533" s="1" t="s">
        <v>49</v>
      </c>
      <c r="L1533" s="1">
        <v>44</v>
      </c>
      <c r="M1533" s="1" t="str">
        <f>IF(L1533&lt;=45,"Joven","Mayor")</f>
        <v>Joven</v>
      </c>
      <c r="N1533" s="1">
        <v>37</v>
      </c>
      <c r="O1533" s="1" t="s">
        <v>50</v>
      </c>
      <c r="P1533" s="1">
        <v>0.26300000000000001</v>
      </c>
      <c r="Q1533" s="1">
        <v>87.643000000000001</v>
      </c>
      <c r="R1533" s="1">
        <v>-7.1136629999999998</v>
      </c>
      <c r="S1533" s="1">
        <v>3.5347396999999998</v>
      </c>
      <c r="T1533" s="1">
        <v>3.2096379000000002</v>
      </c>
      <c r="U1533" s="1">
        <v>36.795999999999999</v>
      </c>
      <c r="V1533" s="1">
        <v>100</v>
      </c>
      <c r="W1533" s="1">
        <v>167</v>
      </c>
      <c r="X1533" s="1">
        <v>1.67</v>
      </c>
      <c r="Y1533" s="1">
        <v>100</v>
      </c>
      <c r="Z1533" s="1">
        <v>167</v>
      </c>
      <c r="AA1533" s="1">
        <v>1.67</v>
      </c>
      <c r="AB1533" s="1">
        <v>102.3626614901559</v>
      </c>
      <c r="AC1533" s="1">
        <v>166.6260582347918</v>
      </c>
      <c r="AD1533" s="1">
        <v>1.6278011514073032</v>
      </c>
      <c r="AE1533" t="s">
        <v>4816</v>
      </c>
      <c r="AF1533" t="str">
        <f>IF(X1533&lt;$AF$1,"Bajo","Alto")</f>
        <v>Bajo</v>
      </c>
      <c r="AG1533" t="str">
        <f>LEFT(AE1533,1)</f>
        <v>D</v>
      </c>
      <c r="AH1533" t="str">
        <f>K1533</f>
        <v>F</v>
      </c>
      <c r="AI1533" t="str">
        <f>LEFT(AF1533,1)</f>
        <v>B</v>
      </c>
      <c r="AJ1533" t="str">
        <f>LEFT(M1533,1)</f>
        <v>J</v>
      </c>
      <c r="AK1533" t="str">
        <f>_xlfn.CONCAT(AG1533,AH1533,AI1533,AJ1533)</f>
        <v>DFBJ</v>
      </c>
    </row>
    <row r="1534" spans="1:37" ht="15.75" hidden="1" customHeight="1" x14ac:dyDescent="0.2">
      <c r="A1534" s="1">
        <v>10716901</v>
      </c>
      <c r="B1534" s="1" t="s">
        <v>1067</v>
      </c>
      <c r="C1534" s="1" t="s">
        <v>1068</v>
      </c>
      <c r="D1534" s="1" t="s">
        <v>1179</v>
      </c>
      <c r="E1534" s="1" t="s">
        <v>279</v>
      </c>
      <c r="F1534" s="1" t="s">
        <v>32</v>
      </c>
      <c r="G1534" s="1" t="s">
        <v>1180</v>
      </c>
      <c r="H1534" s="1">
        <v>1392</v>
      </c>
      <c r="I1534" s="1" t="s">
        <v>48</v>
      </c>
      <c r="J1534" s="1">
        <v>4</v>
      </c>
      <c r="K1534" s="1" t="s">
        <v>35</v>
      </c>
      <c r="L1534" s="1">
        <v>38</v>
      </c>
      <c r="M1534" s="1" t="str">
        <f>IF(L1534&lt;=45,"Joven","Mayor")</f>
        <v>Joven</v>
      </c>
      <c r="N1534" s="1">
        <v>30</v>
      </c>
      <c r="O1534" s="1" t="s">
        <v>36</v>
      </c>
      <c r="P1534" s="1">
        <v>0.30399999999999999</v>
      </c>
      <c r="Q1534" s="1">
        <v>91.629000000000005</v>
      </c>
      <c r="R1534" s="1">
        <v>3.0554912000000001</v>
      </c>
      <c r="S1534" s="1">
        <v>6.1709576000000004</v>
      </c>
      <c r="T1534" s="1">
        <v>-6.0621530000000003</v>
      </c>
      <c r="U1534" s="1">
        <v>14.692</v>
      </c>
      <c r="V1534" s="1">
        <v>87</v>
      </c>
      <c r="W1534" s="1">
        <v>162</v>
      </c>
      <c r="X1534" s="1">
        <v>1.8620689655172413</v>
      </c>
      <c r="Y1534" s="1">
        <v>93</v>
      </c>
      <c r="Z1534" s="1">
        <v>162</v>
      </c>
      <c r="AA1534" s="1">
        <v>1.7419354838709677</v>
      </c>
      <c r="AB1534" s="1">
        <v>91.477029054108698</v>
      </c>
      <c r="AC1534" s="1">
        <v>161.8333337452973</v>
      </c>
      <c r="AD1534" s="1">
        <v>1.7691144478421224</v>
      </c>
      <c r="AE1534" t="s">
        <v>4817</v>
      </c>
      <c r="AF1534" t="str">
        <f>IF(X1534&lt;$AF$1,"Bajo","Alto")</f>
        <v>Alto</v>
      </c>
      <c r="AG1534" t="str">
        <f>LEFT(AE1534,1)</f>
        <v>C</v>
      </c>
      <c r="AH1534" t="str">
        <f>K1534</f>
        <v>M</v>
      </c>
      <c r="AI1534" t="str">
        <f>LEFT(AF1534,1)</f>
        <v>A</v>
      </c>
      <c r="AJ1534" t="str">
        <f>LEFT(M1534,1)</f>
        <v>J</v>
      </c>
      <c r="AK1534" t="str">
        <f>_xlfn.CONCAT(AG1534,AH1534,AI1534,AJ1534)</f>
        <v>CMAJ</v>
      </c>
    </row>
    <row r="1535" spans="1:37" ht="15.75" hidden="1" customHeight="1" x14ac:dyDescent="0.2">
      <c r="A1535" s="1">
        <v>10511003</v>
      </c>
      <c r="B1535" s="1" t="s">
        <v>694</v>
      </c>
      <c r="C1535" s="1" t="s">
        <v>879</v>
      </c>
      <c r="D1535" s="1" t="s">
        <v>913</v>
      </c>
      <c r="E1535" s="1" t="s">
        <v>914</v>
      </c>
      <c r="F1535" s="1" t="s">
        <v>63</v>
      </c>
      <c r="G1535" s="1" t="s">
        <v>915</v>
      </c>
      <c r="H1535" s="1">
        <v>1951</v>
      </c>
      <c r="I1535" s="1" t="s">
        <v>134</v>
      </c>
      <c r="J1535" s="1">
        <v>8</v>
      </c>
      <c r="K1535" s="1" t="s">
        <v>35</v>
      </c>
      <c r="L1535" s="1">
        <v>61</v>
      </c>
      <c r="M1535" s="1" t="str">
        <f>IF(L1535&lt;=45,"Joven","Mayor")</f>
        <v>Mayor</v>
      </c>
      <c r="N1535" s="1">
        <v>56</v>
      </c>
      <c r="O1535" s="1" t="s">
        <v>36</v>
      </c>
      <c r="P1535" s="1">
        <v>0.254</v>
      </c>
      <c r="Q1535" s="1">
        <v>94.275999999999996</v>
      </c>
      <c r="R1535" s="1">
        <v>-1.2435946</v>
      </c>
      <c r="S1535" s="1">
        <v>0.73886169999999995</v>
      </c>
      <c r="T1535" s="1">
        <v>3.8641101999999998</v>
      </c>
      <c r="U1535" s="1">
        <v>0.52900000000000003</v>
      </c>
      <c r="V1535" s="1">
        <v>104</v>
      </c>
      <c r="W1535" s="1">
        <v>175</v>
      </c>
      <c r="X1535" s="1">
        <v>1.6826923076923077</v>
      </c>
      <c r="Y1535" s="1">
        <v>107</v>
      </c>
      <c r="Z1535" s="1">
        <v>175</v>
      </c>
      <c r="AA1535" s="1">
        <v>1.6355140186915889</v>
      </c>
      <c r="AB1535" s="1">
        <v>106.6613598132556</v>
      </c>
      <c r="AC1535" s="1">
        <v>174.60217032156021</v>
      </c>
      <c r="AD1535" s="1">
        <v>1.6369767892257931</v>
      </c>
      <c r="AE1535" t="s">
        <v>4817</v>
      </c>
      <c r="AF1535" t="str">
        <f>IF(X1535&lt;$AF$1,"Bajo","Alto")</f>
        <v>Bajo</v>
      </c>
      <c r="AG1535" t="str">
        <f>LEFT(AE1535,1)</f>
        <v>C</v>
      </c>
      <c r="AH1535" t="str">
        <f>K1535</f>
        <v>M</v>
      </c>
      <c r="AI1535" t="str">
        <f>LEFT(AF1535,1)</f>
        <v>B</v>
      </c>
      <c r="AJ1535" t="str">
        <f>LEFT(M1535,1)</f>
        <v>M</v>
      </c>
      <c r="AK1535" t="str">
        <f>_xlfn.CONCAT(AG1535,AH1535,AI1535,AJ1535)</f>
        <v>CMBM</v>
      </c>
    </row>
    <row r="1536" spans="1:37" ht="15.75" hidden="1" customHeight="1" x14ac:dyDescent="0.2">
      <c r="A1536" s="1">
        <v>10723206</v>
      </c>
      <c r="B1536" s="1" t="s">
        <v>1067</v>
      </c>
      <c r="C1536" s="1" t="s">
        <v>1068</v>
      </c>
      <c r="D1536" s="1" t="s">
        <v>1250</v>
      </c>
      <c r="E1536" s="1" t="s">
        <v>461</v>
      </c>
      <c r="F1536" s="1" t="s">
        <v>88</v>
      </c>
      <c r="G1536" s="1" t="s">
        <v>1257</v>
      </c>
      <c r="H1536" s="1">
        <v>507</v>
      </c>
      <c r="I1536" s="1" t="s">
        <v>1258</v>
      </c>
      <c r="J1536" s="1">
        <v>3719</v>
      </c>
      <c r="K1536" s="1" t="s">
        <v>35</v>
      </c>
      <c r="L1536" s="1">
        <v>28</v>
      </c>
      <c r="M1536" s="1" t="str">
        <f>IF(L1536&lt;=45,"Joven","Mayor")</f>
        <v>Joven</v>
      </c>
      <c r="N1536" s="1">
        <v>24</v>
      </c>
      <c r="O1536" s="1" t="s">
        <v>36</v>
      </c>
      <c r="P1536" s="1">
        <v>0.35699999999999998</v>
      </c>
      <c r="Q1536" s="1">
        <v>94.155000000000001</v>
      </c>
      <c r="R1536" s="1">
        <v>1.2257841</v>
      </c>
      <c r="S1536" s="1">
        <v>1.3640375</v>
      </c>
      <c r="T1536" s="1">
        <v>-2.9935155</v>
      </c>
      <c r="U1536" s="1">
        <v>58.070999999999998</v>
      </c>
      <c r="V1536" s="1">
        <v>94</v>
      </c>
      <c r="W1536" s="1">
        <v>175</v>
      </c>
      <c r="X1536" s="1">
        <v>1.8617021276595744</v>
      </c>
      <c r="Y1536" s="1">
        <v>95</v>
      </c>
      <c r="Z1536" s="1">
        <v>175</v>
      </c>
      <c r="AA1536" s="1">
        <v>1.8421052631578947</v>
      </c>
      <c r="AB1536" s="1">
        <v>96.27398745976916</v>
      </c>
      <c r="AC1536" s="1">
        <v>175.0223186928379</v>
      </c>
      <c r="AD1536" s="1">
        <v>1.8179606279004075</v>
      </c>
      <c r="AE1536" t="s">
        <v>4817</v>
      </c>
      <c r="AF1536" t="str">
        <f>IF(X1536&lt;$AF$1,"Bajo","Alto")</f>
        <v>Alto</v>
      </c>
      <c r="AG1536" t="str">
        <f>LEFT(AE1536,1)</f>
        <v>C</v>
      </c>
      <c r="AH1536" t="str">
        <f>K1536</f>
        <v>M</v>
      </c>
      <c r="AI1536" t="str">
        <f>LEFT(AF1536,1)</f>
        <v>A</v>
      </c>
      <c r="AJ1536" t="str">
        <f>LEFT(M1536,1)</f>
        <v>J</v>
      </c>
      <c r="AK1536" t="str">
        <f>_xlfn.CONCAT(AG1536,AH1536,AI1536,AJ1536)</f>
        <v>CMAJ</v>
      </c>
    </row>
    <row r="1537" spans="1:37" ht="15.75" hidden="1" customHeight="1" x14ac:dyDescent="0.2">
      <c r="A1537" s="1">
        <v>2713601</v>
      </c>
      <c r="B1537" s="1" t="s">
        <v>3409</v>
      </c>
      <c r="C1537" s="1" t="s">
        <v>973</v>
      </c>
      <c r="D1537" s="1" t="s">
        <v>3495</v>
      </c>
      <c r="E1537" s="1" t="s">
        <v>1130</v>
      </c>
      <c r="F1537" s="1" t="s">
        <v>32</v>
      </c>
      <c r="G1537" s="1" t="s">
        <v>3496</v>
      </c>
      <c r="H1537" s="1">
        <v>1493</v>
      </c>
      <c r="I1537" s="1" t="s">
        <v>48</v>
      </c>
      <c r="J1537" s="1">
        <v>4</v>
      </c>
      <c r="K1537" s="1" t="s">
        <v>35</v>
      </c>
      <c r="L1537" s="1">
        <v>28</v>
      </c>
      <c r="M1537" s="1" t="str">
        <f>IF(L1537&lt;=45,"Joven","Mayor")</f>
        <v>Joven</v>
      </c>
      <c r="N1537" s="1">
        <v>21</v>
      </c>
      <c r="O1537" s="1" t="s">
        <v>36</v>
      </c>
      <c r="P1537" s="1">
        <v>0.94699999999999995</v>
      </c>
      <c r="Q1537" s="1">
        <v>84.73</v>
      </c>
      <c r="R1537" s="1">
        <v>-8.9632710000000007</v>
      </c>
      <c r="S1537" s="1">
        <v>0.36131275000000002</v>
      </c>
      <c r="T1537" s="1">
        <v>8.1536930000000005</v>
      </c>
      <c r="U1537" s="1">
        <v>13.994999999999999</v>
      </c>
      <c r="V1537" s="1">
        <v>94</v>
      </c>
      <c r="W1537" s="1">
        <v>175</v>
      </c>
      <c r="X1537" s="1">
        <v>1.8617021276595744</v>
      </c>
      <c r="Y1537" s="1">
        <v>102</v>
      </c>
      <c r="Z1537" s="1">
        <v>175</v>
      </c>
      <c r="AA1537" s="1">
        <v>1.7156862745098038</v>
      </c>
      <c r="AB1537" s="1">
        <v>99.573902345540091</v>
      </c>
      <c r="AC1537" s="1">
        <v>173.0891278584995</v>
      </c>
      <c r="AD1537" s="1">
        <v>1.7382981261279467</v>
      </c>
      <c r="AE1537" t="s">
        <v>4817</v>
      </c>
      <c r="AF1537" t="str">
        <f>IF(X1537&lt;$AF$1,"Bajo","Alto")</f>
        <v>Alto</v>
      </c>
      <c r="AG1537" t="str">
        <f>LEFT(AE1537,1)</f>
        <v>C</v>
      </c>
      <c r="AH1537" t="str">
        <f>K1537</f>
        <v>M</v>
      </c>
      <c r="AI1537" t="str">
        <f>LEFT(AF1537,1)</f>
        <v>A</v>
      </c>
      <c r="AJ1537" t="str">
        <f>LEFT(M1537,1)</f>
        <v>J</v>
      </c>
      <c r="AK1537" t="str">
        <f>_xlfn.CONCAT(AG1537,AH1537,AI1537,AJ1537)</f>
        <v>CMAJ</v>
      </c>
    </row>
    <row r="1538" spans="1:37" ht="15.75" hidden="1" customHeight="1" x14ac:dyDescent="0.2">
      <c r="A1538" s="1">
        <v>280103</v>
      </c>
      <c r="B1538" s="1" t="s">
        <v>1775</v>
      </c>
      <c r="C1538" s="1" t="s">
        <v>561</v>
      </c>
      <c r="D1538" s="1" t="s">
        <v>3768</v>
      </c>
      <c r="E1538" s="1" t="s">
        <v>32</v>
      </c>
      <c r="F1538" s="1" t="s">
        <v>63</v>
      </c>
      <c r="G1538" s="1" t="s">
        <v>3771</v>
      </c>
      <c r="H1538" s="1">
        <v>539</v>
      </c>
      <c r="I1538" s="1" t="s">
        <v>294</v>
      </c>
      <c r="J1538" s="1">
        <v>16</v>
      </c>
      <c r="K1538" s="1" t="s">
        <v>35</v>
      </c>
      <c r="L1538" s="1">
        <v>72</v>
      </c>
      <c r="M1538" s="1" t="str">
        <f>IF(L1538&lt;=45,"Joven","Mayor")</f>
        <v>Mayor</v>
      </c>
      <c r="N1538" s="1">
        <v>74</v>
      </c>
      <c r="O1538" s="1" t="s">
        <v>36</v>
      </c>
      <c r="P1538" s="1">
        <v>0.36399999999999999</v>
      </c>
      <c r="Q1538" s="1">
        <v>91.646000000000001</v>
      </c>
      <c r="R1538" s="1">
        <v>2.5616300000000001</v>
      </c>
      <c r="S1538" s="1">
        <v>7.1017494000000001</v>
      </c>
      <c r="T1538" s="1">
        <v>4.6231289999999996</v>
      </c>
      <c r="U1538" s="1">
        <v>8.7759999999999998</v>
      </c>
      <c r="V1538" s="1">
        <v>104</v>
      </c>
      <c r="W1538" s="1">
        <v>175</v>
      </c>
      <c r="X1538" s="1">
        <v>1.6826923076923077</v>
      </c>
      <c r="Y1538" s="1">
        <v>105</v>
      </c>
      <c r="Z1538" s="1">
        <v>175</v>
      </c>
      <c r="AA1538" s="1">
        <v>1.6666666666666667</v>
      </c>
      <c r="AB1538" s="1">
        <v>108.6884391249164</v>
      </c>
      <c r="AC1538" s="1">
        <v>175.1560356360242</v>
      </c>
      <c r="AD1538" s="1">
        <v>1.6115424698915413</v>
      </c>
      <c r="AE1538" t="s">
        <v>4817</v>
      </c>
      <c r="AF1538" t="str">
        <f>IF(X1538&lt;$AF$1,"Bajo","Alto")</f>
        <v>Bajo</v>
      </c>
      <c r="AG1538" t="str">
        <f>LEFT(AE1538,1)</f>
        <v>C</v>
      </c>
      <c r="AH1538" t="str">
        <f>K1538</f>
        <v>M</v>
      </c>
      <c r="AI1538" t="str">
        <f>LEFT(AF1538,1)</f>
        <v>B</v>
      </c>
      <c r="AJ1538" t="str">
        <f>LEFT(M1538,1)</f>
        <v>M</v>
      </c>
      <c r="AK1538" t="str">
        <f>_xlfn.CONCAT(AG1538,AH1538,AI1538,AJ1538)</f>
        <v>CMBM</v>
      </c>
    </row>
    <row r="1539" spans="1:37" ht="15.75" hidden="1" customHeight="1" x14ac:dyDescent="0.2">
      <c r="A1539" s="1">
        <v>157605</v>
      </c>
      <c r="B1539" s="1" t="s">
        <v>2077</v>
      </c>
      <c r="C1539" s="1" t="s">
        <v>57</v>
      </c>
      <c r="D1539" s="1" t="s">
        <v>2513</v>
      </c>
      <c r="E1539" s="1" t="s">
        <v>727</v>
      </c>
      <c r="F1539" s="1" t="s">
        <v>40</v>
      </c>
      <c r="G1539" s="1" t="s">
        <v>2516</v>
      </c>
      <c r="H1539" s="1">
        <v>2849</v>
      </c>
      <c r="I1539" s="1" t="s">
        <v>73</v>
      </c>
      <c r="J1539" s="1">
        <v>5</v>
      </c>
      <c r="K1539" s="1" t="s">
        <v>49</v>
      </c>
      <c r="L1539" s="1">
        <v>50</v>
      </c>
      <c r="M1539" s="1" t="str">
        <f>IF(L1539&lt;=45,"Joven","Mayor")</f>
        <v>Mayor</v>
      </c>
      <c r="N1539" s="1">
        <v>59</v>
      </c>
      <c r="O1539" s="1" t="s">
        <v>50</v>
      </c>
      <c r="P1539" s="1">
        <v>0.30499999999999999</v>
      </c>
      <c r="Q1539" s="1">
        <v>89.790999999999997</v>
      </c>
      <c r="R1539" s="1">
        <v>-4.7517085000000003</v>
      </c>
      <c r="S1539" s="1">
        <v>6.4037559999999996</v>
      </c>
      <c r="T1539" s="1">
        <v>0.88737180000000004</v>
      </c>
      <c r="U1539" s="1">
        <v>62.259</v>
      </c>
      <c r="V1539" s="1">
        <v>91</v>
      </c>
      <c r="W1539" s="1">
        <v>168</v>
      </c>
      <c r="X1539" s="1">
        <v>1.8461538461538463</v>
      </c>
      <c r="Y1539" s="1">
        <v>93</v>
      </c>
      <c r="Z1539" s="1">
        <v>168</v>
      </c>
      <c r="AA1539" s="1">
        <v>1.8064516129032258</v>
      </c>
      <c r="AB1539" s="1">
        <v>93.654784963115389</v>
      </c>
      <c r="AC1539" s="1">
        <v>167.97985178454471</v>
      </c>
      <c r="AD1539" s="1">
        <v>1.7936067212230662</v>
      </c>
      <c r="AE1539" t="s">
        <v>4817</v>
      </c>
      <c r="AF1539" t="str">
        <f>IF(X1539&lt;$AF$1,"Bajo","Alto")</f>
        <v>Alto</v>
      </c>
      <c r="AG1539" t="str">
        <f>LEFT(AE1539,1)</f>
        <v>C</v>
      </c>
      <c r="AH1539" t="str">
        <f>K1539</f>
        <v>F</v>
      </c>
      <c r="AI1539" t="str">
        <f>LEFT(AF1539,1)</f>
        <v>A</v>
      </c>
      <c r="AJ1539" t="str">
        <f>LEFT(M1539,1)</f>
        <v>M</v>
      </c>
      <c r="AK1539" t="str">
        <f>_xlfn.CONCAT(AG1539,AH1539,AI1539,AJ1539)</f>
        <v>CFAM</v>
      </c>
    </row>
    <row r="1540" spans="1:37" ht="15.75" hidden="1" customHeight="1" x14ac:dyDescent="0.2">
      <c r="A1540" s="1">
        <v>1015502</v>
      </c>
      <c r="B1540" s="1" t="s">
        <v>29</v>
      </c>
      <c r="C1540" s="1" t="s">
        <v>30</v>
      </c>
      <c r="D1540" s="1" t="s">
        <v>689</v>
      </c>
      <c r="E1540" s="1" t="s">
        <v>690</v>
      </c>
      <c r="F1540" s="1" t="s">
        <v>37</v>
      </c>
      <c r="G1540" s="1" t="s">
        <v>691</v>
      </c>
      <c r="H1540" s="1">
        <v>838</v>
      </c>
      <c r="I1540" s="1" t="s">
        <v>48</v>
      </c>
      <c r="J1540" s="1">
        <v>4</v>
      </c>
      <c r="K1540" s="1" t="s">
        <v>35</v>
      </c>
      <c r="L1540" s="1">
        <v>36</v>
      </c>
      <c r="M1540" s="1" t="str">
        <f>IF(L1540&lt;=45,"Joven","Mayor")</f>
        <v>Joven</v>
      </c>
      <c r="N1540" s="1">
        <v>36</v>
      </c>
      <c r="O1540" s="1" t="s">
        <v>36</v>
      </c>
      <c r="P1540" s="1">
        <v>0.80800000000000005</v>
      </c>
      <c r="Q1540" s="1">
        <v>88.686999999999998</v>
      </c>
      <c r="R1540" s="1">
        <v>5.6791086000000002</v>
      </c>
      <c r="S1540" s="1">
        <v>5.7626075999999999</v>
      </c>
      <c r="T1540" s="1">
        <v>-0.56558949999999997</v>
      </c>
      <c r="U1540" s="1">
        <v>3.1539999999999999</v>
      </c>
      <c r="V1540" s="1">
        <v>112</v>
      </c>
      <c r="W1540" s="1">
        <v>190</v>
      </c>
      <c r="X1540" s="1">
        <v>1.6964285714285714</v>
      </c>
      <c r="Y1540" s="1">
        <v>115</v>
      </c>
      <c r="Z1540" s="1">
        <v>190</v>
      </c>
      <c r="AA1540" s="1">
        <v>1.6521739130434783</v>
      </c>
      <c r="AB1540" s="1">
        <v>115.4188602485892</v>
      </c>
      <c r="AC1540" s="1">
        <v>189.91177293658851</v>
      </c>
      <c r="AD1540" s="1">
        <v>1.6454136917273003</v>
      </c>
      <c r="AE1540" t="s">
        <v>4817</v>
      </c>
      <c r="AF1540" t="str">
        <f>IF(X1540&lt;$AF$1,"Bajo","Alto")</f>
        <v>Bajo</v>
      </c>
      <c r="AG1540" t="str">
        <f>LEFT(AE1540,1)</f>
        <v>C</v>
      </c>
      <c r="AH1540" t="str">
        <f>K1540</f>
        <v>M</v>
      </c>
      <c r="AI1540" t="str">
        <f>LEFT(AF1540,1)</f>
        <v>B</v>
      </c>
      <c r="AJ1540" t="str">
        <f>LEFT(M1540,1)</f>
        <v>J</v>
      </c>
      <c r="AK1540" t="str">
        <f>_xlfn.CONCAT(AG1540,AH1540,AI1540,AJ1540)</f>
        <v>CMBJ</v>
      </c>
    </row>
    <row r="1541" spans="1:37" ht="15.75" hidden="1" customHeight="1" x14ac:dyDescent="0.2">
      <c r="A1541" s="1">
        <v>292505</v>
      </c>
      <c r="B1541" s="1" t="s">
        <v>3890</v>
      </c>
      <c r="C1541" s="1" t="s">
        <v>1695</v>
      </c>
      <c r="D1541" s="1" t="s">
        <v>3979</v>
      </c>
      <c r="E1541" s="1" t="s">
        <v>821</v>
      </c>
      <c r="F1541" s="1" t="s">
        <v>40</v>
      </c>
      <c r="G1541" s="1" t="s">
        <v>3982</v>
      </c>
      <c r="H1541" s="1">
        <v>175</v>
      </c>
      <c r="I1541" s="1" t="s">
        <v>48</v>
      </c>
      <c r="J1541" s="1">
        <v>4</v>
      </c>
      <c r="K1541" s="1" t="s">
        <v>35</v>
      </c>
      <c r="L1541" s="1">
        <v>67</v>
      </c>
      <c r="M1541" s="1" t="str">
        <f>IF(L1541&lt;=45,"Joven","Mayor")</f>
        <v>Mayor</v>
      </c>
      <c r="N1541" s="1">
        <v>63</v>
      </c>
      <c r="O1541" s="1" t="s">
        <v>36</v>
      </c>
      <c r="P1541" s="1">
        <v>0.40699999999999997</v>
      </c>
      <c r="Q1541" s="1">
        <v>89.616</v>
      </c>
      <c r="R1541" s="1">
        <v>-6.5357659999999997</v>
      </c>
      <c r="S1541" s="1">
        <v>-7.7255409999999997E-2</v>
      </c>
      <c r="T1541" s="1">
        <v>4.0579143000000002</v>
      </c>
      <c r="U1541" s="1">
        <v>28.402000000000001</v>
      </c>
      <c r="V1541" s="1">
        <v>104</v>
      </c>
      <c r="W1541" s="1">
        <v>175</v>
      </c>
      <c r="X1541" s="1">
        <v>1.6826923076923077</v>
      </c>
      <c r="Y1541" s="1">
        <v>109</v>
      </c>
      <c r="Z1541" s="1">
        <v>175</v>
      </c>
      <c r="AA1541" s="1">
        <v>1.6055045871559632</v>
      </c>
      <c r="AB1541" s="1">
        <v>107.48980809809041</v>
      </c>
      <c r="AC1541" s="1">
        <v>175.19816338990091</v>
      </c>
      <c r="AD1541" s="1">
        <v>1.629904885773197</v>
      </c>
      <c r="AE1541" t="s">
        <v>4817</v>
      </c>
      <c r="AF1541" t="str">
        <f>IF(X1541&lt;$AF$1,"Bajo","Alto")</f>
        <v>Bajo</v>
      </c>
      <c r="AG1541" t="str">
        <f>LEFT(AE1541,1)</f>
        <v>C</v>
      </c>
      <c r="AH1541" t="str">
        <f>K1541</f>
        <v>M</v>
      </c>
      <c r="AI1541" t="str">
        <f>LEFT(AF1541,1)</f>
        <v>B</v>
      </c>
      <c r="AJ1541" t="str">
        <f>LEFT(M1541,1)</f>
        <v>M</v>
      </c>
      <c r="AK1541" t="str">
        <f>_xlfn.CONCAT(AG1541,AH1541,AI1541,AJ1541)</f>
        <v>CMBM</v>
      </c>
    </row>
    <row r="1542" spans="1:37" ht="15.75" hidden="1" customHeight="1" x14ac:dyDescent="0.2">
      <c r="A1542" s="1">
        <v>136001</v>
      </c>
      <c r="B1542" s="1" t="s">
        <v>956</v>
      </c>
      <c r="C1542" s="1" t="s">
        <v>163</v>
      </c>
      <c r="D1542" s="1" t="s">
        <v>2070</v>
      </c>
      <c r="E1542" s="1" t="s">
        <v>1458</v>
      </c>
      <c r="F1542" s="1" t="s">
        <v>32</v>
      </c>
      <c r="G1542" s="1" t="s">
        <v>2071</v>
      </c>
      <c r="H1542" s="1">
        <v>4766</v>
      </c>
      <c r="I1542" s="1" t="s">
        <v>39</v>
      </c>
      <c r="J1542" s="1">
        <v>11</v>
      </c>
      <c r="K1542" s="1" t="s">
        <v>35</v>
      </c>
      <c r="L1542" s="1">
        <v>39</v>
      </c>
      <c r="M1542" s="1" t="str">
        <f>IF(L1542&lt;=45,"Joven","Mayor")</f>
        <v>Joven</v>
      </c>
      <c r="N1542" s="1">
        <v>35</v>
      </c>
      <c r="O1542" s="1" t="s">
        <v>36</v>
      </c>
      <c r="P1542" s="1">
        <v>0.36599999999999999</v>
      </c>
      <c r="Q1542" s="1">
        <v>84.881</v>
      </c>
      <c r="R1542" s="1">
        <v>-8.7051499999999997</v>
      </c>
      <c r="S1542" s="1">
        <v>2.3340635000000001</v>
      </c>
      <c r="T1542" s="1">
        <v>3.8515527000000001</v>
      </c>
      <c r="U1542" s="1">
        <v>6.1820000000000004</v>
      </c>
      <c r="V1542" s="1">
        <v>101</v>
      </c>
      <c r="W1542" s="1">
        <v>185</v>
      </c>
      <c r="X1542" s="1">
        <v>1.8316831683168318</v>
      </c>
      <c r="Y1542" s="1">
        <v>105</v>
      </c>
      <c r="Z1542" s="1">
        <v>185</v>
      </c>
      <c r="AA1542" s="1">
        <v>1.7619047619047619</v>
      </c>
      <c r="AB1542" s="1">
        <v>107.78557520246019</v>
      </c>
      <c r="AC1542" s="1">
        <v>183.97762026235841</v>
      </c>
      <c r="AD1542" s="1">
        <v>1.706885359351491</v>
      </c>
      <c r="AE1542" t="s">
        <v>4816</v>
      </c>
      <c r="AF1542" t="str">
        <f>IF(X1542&lt;$AF$1,"Bajo","Alto")</f>
        <v>Alto</v>
      </c>
      <c r="AG1542" t="str">
        <f>LEFT(AE1542,1)</f>
        <v>D</v>
      </c>
      <c r="AH1542" t="str">
        <f>K1542</f>
        <v>M</v>
      </c>
      <c r="AI1542" t="str">
        <f>LEFT(AF1542,1)</f>
        <v>A</v>
      </c>
      <c r="AJ1542" t="str">
        <f>LEFT(M1542,1)</f>
        <v>J</v>
      </c>
      <c r="AK1542" t="str">
        <f>_xlfn.CONCAT(AG1542,AH1542,AI1542,AJ1542)</f>
        <v>DMAJ</v>
      </c>
    </row>
    <row r="1543" spans="1:37" ht="15.75" hidden="1" customHeight="1" x14ac:dyDescent="0.2">
      <c r="A1543" s="1">
        <v>1533702</v>
      </c>
      <c r="B1543" s="1" t="s">
        <v>2077</v>
      </c>
      <c r="C1543" s="1" t="s">
        <v>57</v>
      </c>
      <c r="D1543" s="1" t="s">
        <v>2433</v>
      </c>
      <c r="E1543" s="1" t="s">
        <v>1428</v>
      </c>
      <c r="F1543" s="1" t="s">
        <v>37</v>
      </c>
      <c r="G1543" s="1" t="s">
        <v>2434</v>
      </c>
      <c r="H1543" s="1">
        <v>140</v>
      </c>
      <c r="I1543" s="1" t="s">
        <v>87</v>
      </c>
      <c r="J1543" s="1">
        <v>14</v>
      </c>
      <c r="K1543" s="1" t="s">
        <v>35</v>
      </c>
      <c r="L1543" s="1">
        <v>48</v>
      </c>
      <c r="M1543" s="1" t="str">
        <f>IF(L1543&lt;=45,"Joven","Mayor")</f>
        <v>Mayor</v>
      </c>
      <c r="N1543" s="1">
        <v>45</v>
      </c>
      <c r="O1543" s="1" t="s">
        <v>36</v>
      </c>
      <c r="P1543" s="1">
        <v>0.35499999999999998</v>
      </c>
      <c r="Q1543" s="1">
        <v>91.924999999999997</v>
      </c>
      <c r="R1543" s="1">
        <v>4.5769506</v>
      </c>
      <c r="S1543" s="1">
        <v>0.29226550000000001</v>
      </c>
      <c r="T1543" s="1">
        <v>-5.1113334000000004</v>
      </c>
      <c r="U1543" s="1">
        <v>7.9779999999999998</v>
      </c>
      <c r="V1543" s="1">
        <v>70</v>
      </c>
      <c r="W1543" s="1">
        <v>129</v>
      </c>
      <c r="X1543" s="1">
        <v>1.8428571428571427</v>
      </c>
      <c r="Y1543" s="1">
        <v>72</v>
      </c>
      <c r="Z1543" s="1">
        <v>129</v>
      </c>
      <c r="AA1543" s="1">
        <v>1.7916666666666667</v>
      </c>
      <c r="AB1543" s="1">
        <v>72.839838453376615</v>
      </c>
      <c r="AC1543" s="1">
        <v>128.8433918893447</v>
      </c>
      <c r="AD1543" s="1">
        <v>1.7688588363882065</v>
      </c>
      <c r="AE1543" t="s">
        <v>4816</v>
      </c>
      <c r="AF1543" t="str">
        <f>IF(X1543&lt;$AF$1,"Bajo","Alto")</f>
        <v>Alto</v>
      </c>
      <c r="AG1543" t="str">
        <f>LEFT(AE1543,1)</f>
        <v>D</v>
      </c>
      <c r="AH1543" t="str">
        <f>K1543</f>
        <v>M</v>
      </c>
      <c r="AI1543" t="str">
        <f>LEFT(AF1543,1)</f>
        <v>A</v>
      </c>
      <c r="AJ1543" t="str">
        <f>LEFT(M1543,1)</f>
        <v>M</v>
      </c>
      <c r="AK1543" t="str">
        <f>_xlfn.CONCAT(AG1543,AH1543,AI1543,AJ1543)</f>
        <v>DMAM</v>
      </c>
    </row>
    <row r="1544" spans="1:37" ht="15.75" hidden="1" customHeight="1" x14ac:dyDescent="0.2">
      <c r="A1544" s="1">
        <v>2711202</v>
      </c>
      <c r="B1544" s="1" t="s">
        <v>3409</v>
      </c>
      <c r="C1544" s="1" t="s">
        <v>973</v>
      </c>
      <c r="D1544" s="1" t="s">
        <v>3443</v>
      </c>
      <c r="E1544" s="1" t="s">
        <v>106</v>
      </c>
      <c r="F1544" s="1" t="s">
        <v>37</v>
      </c>
      <c r="G1544" s="1" t="s">
        <v>3445</v>
      </c>
      <c r="H1544" s="1">
        <v>761</v>
      </c>
      <c r="I1544" s="1" t="s">
        <v>48</v>
      </c>
      <c r="J1544" s="1">
        <v>4</v>
      </c>
      <c r="K1544" s="1" t="s">
        <v>35</v>
      </c>
      <c r="L1544" s="1">
        <v>45</v>
      </c>
      <c r="M1544" s="1" t="str">
        <f>IF(L1544&lt;=45,"Joven","Mayor")</f>
        <v>Joven</v>
      </c>
      <c r="N1544" s="1">
        <v>57</v>
      </c>
      <c r="O1544" s="1" t="s">
        <v>36</v>
      </c>
      <c r="P1544" s="1">
        <v>0.38800000000000001</v>
      </c>
      <c r="Q1544" s="1">
        <v>92.882000000000005</v>
      </c>
      <c r="R1544" s="1">
        <v>2.0276961</v>
      </c>
      <c r="S1544" s="1">
        <v>4.7425512999999997</v>
      </c>
      <c r="T1544" s="1">
        <v>2.1903674999999998</v>
      </c>
      <c r="U1544" s="1">
        <v>1.665</v>
      </c>
      <c r="V1544" s="1">
        <v>89</v>
      </c>
      <c r="W1544" s="1">
        <v>151</v>
      </c>
      <c r="X1544" s="1">
        <v>1.696629213483146</v>
      </c>
      <c r="Y1544" s="1">
        <v>92</v>
      </c>
      <c r="Z1544" s="1">
        <v>151</v>
      </c>
      <c r="AA1544" s="1">
        <v>1.6413043478260869</v>
      </c>
      <c r="AB1544" s="1">
        <v>90.731303924558006</v>
      </c>
      <c r="AC1544" s="1">
        <v>151.1189916381891</v>
      </c>
      <c r="AD1544" s="1">
        <v>1.6655661839032174</v>
      </c>
      <c r="AE1544" t="s">
        <v>4817</v>
      </c>
      <c r="AF1544" t="str">
        <f>IF(X1544&lt;$AF$1,"Bajo","Alto")</f>
        <v>Bajo</v>
      </c>
      <c r="AG1544" t="str">
        <f>LEFT(AE1544,1)</f>
        <v>C</v>
      </c>
      <c r="AH1544" t="str">
        <f>K1544</f>
        <v>M</v>
      </c>
      <c r="AI1544" t="str">
        <f>LEFT(AF1544,1)</f>
        <v>B</v>
      </c>
      <c r="AJ1544" t="str">
        <f>LEFT(M1544,1)</f>
        <v>J</v>
      </c>
      <c r="AK1544" t="str">
        <f>_xlfn.CONCAT(AG1544,AH1544,AI1544,AJ1544)</f>
        <v>CMBJ</v>
      </c>
    </row>
    <row r="1545" spans="1:37" ht="15.75" hidden="1" customHeight="1" x14ac:dyDescent="0.2">
      <c r="A1545" s="1">
        <v>1014901</v>
      </c>
      <c r="B1545" s="1" t="s">
        <v>29</v>
      </c>
      <c r="C1545" s="1" t="s">
        <v>30</v>
      </c>
      <c r="D1545" s="1" t="s">
        <v>672</v>
      </c>
      <c r="E1545" s="1" t="s">
        <v>673</v>
      </c>
      <c r="F1545" s="1" t="s">
        <v>32</v>
      </c>
      <c r="G1545" s="1" t="s">
        <v>674</v>
      </c>
      <c r="H1545" s="1">
        <v>41333</v>
      </c>
      <c r="I1545" s="1" t="s">
        <v>39</v>
      </c>
      <c r="J1545" s="1">
        <v>11</v>
      </c>
      <c r="K1545" s="1" t="s">
        <v>35</v>
      </c>
      <c r="L1545" s="1">
        <v>43</v>
      </c>
      <c r="M1545" s="1" t="str">
        <f>IF(L1545&lt;=45,"Joven","Mayor")</f>
        <v>Joven</v>
      </c>
      <c r="N1545" s="1">
        <v>45</v>
      </c>
      <c r="O1545" s="1" t="s">
        <v>36</v>
      </c>
      <c r="P1545" s="1">
        <v>2.2469999999999999</v>
      </c>
      <c r="Q1545" s="1">
        <v>85.259</v>
      </c>
      <c r="R1545" s="1">
        <v>6.4279380000000002</v>
      </c>
      <c r="S1545" s="1">
        <v>8.359299</v>
      </c>
      <c r="T1545" s="1">
        <v>0.88245099999999999</v>
      </c>
      <c r="U1545" s="1">
        <v>4.1459999999999999</v>
      </c>
      <c r="V1545" s="1">
        <v>118</v>
      </c>
      <c r="W1545" s="1">
        <v>216</v>
      </c>
      <c r="X1545" s="1">
        <v>1.8305084745762712</v>
      </c>
      <c r="Y1545" s="1">
        <v>129</v>
      </c>
      <c r="Z1545" s="1">
        <v>216</v>
      </c>
      <c r="AA1545" s="1">
        <v>1.6744186046511629</v>
      </c>
      <c r="AB1545" s="1">
        <v>128.16844362746519</v>
      </c>
      <c r="AC1545" s="1">
        <v>216.17459551790171</v>
      </c>
      <c r="AD1545" s="1">
        <v>1.686644460989442</v>
      </c>
      <c r="AE1545" t="s">
        <v>4816</v>
      </c>
      <c r="AF1545" t="str">
        <f>IF(X1545&lt;$AF$1,"Bajo","Alto")</f>
        <v>Alto</v>
      </c>
      <c r="AG1545" t="str">
        <f>LEFT(AE1545,1)</f>
        <v>D</v>
      </c>
      <c r="AH1545" t="str">
        <f>K1545</f>
        <v>M</v>
      </c>
      <c r="AI1545" t="str">
        <f>LEFT(AF1545,1)</f>
        <v>A</v>
      </c>
      <c r="AJ1545" t="str">
        <f>LEFT(M1545,1)</f>
        <v>J</v>
      </c>
      <c r="AK1545" t="str">
        <f>_xlfn.CONCAT(AG1545,AH1545,AI1545,AJ1545)</f>
        <v>DMAJ</v>
      </c>
    </row>
    <row r="1546" spans="1:37" ht="15.75" hidden="1" customHeight="1" x14ac:dyDescent="0.2">
      <c r="A1546" s="1">
        <v>310102</v>
      </c>
      <c r="B1546" s="1" t="s">
        <v>4122</v>
      </c>
      <c r="C1546" s="1" t="s">
        <v>628</v>
      </c>
      <c r="D1546" s="1" t="s">
        <v>4123</v>
      </c>
      <c r="E1546" s="1" t="s">
        <v>32</v>
      </c>
      <c r="F1546" s="1" t="s">
        <v>37</v>
      </c>
      <c r="G1546" s="1" t="s">
        <v>4124</v>
      </c>
      <c r="H1546" s="1">
        <v>49441</v>
      </c>
      <c r="I1546" s="1" t="s">
        <v>87</v>
      </c>
      <c r="J1546" s="1">
        <v>14</v>
      </c>
      <c r="K1546" s="1" t="s">
        <v>35</v>
      </c>
      <c r="L1546" s="1">
        <v>49</v>
      </c>
      <c r="M1546" s="1" t="str">
        <f>IF(L1546&lt;=45,"Joven","Mayor")</f>
        <v>Mayor</v>
      </c>
      <c r="N1546" s="1">
        <v>50</v>
      </c>
      <c r="O1546" s="1" t="s">
        <v>36</v>
      </c>
      <c r="P1546" s="1">
        <v>0.44900000000000001</v>
      </c>
      <c r="Q1546" s="1">
        <v>85.197999999999993</v>
      </c>
      <c r="R1546" s="1">
        <v>8.5067780000000006</v>
      </c>
      <c r="S1546" s="1">
        <v>2.5628432999999999</v>
      </c>
      <c r="T1546" s="1">
        <v>-9.5062029999999993</v>
      </c>
      <c r="U1546" s="1">
        <v>0.81799999999999995</v>
      </c>
      <c r="V1546" s="1">
        <v>97</v>
      </c>
      <c r="W1546" s="1">
        <v>177</v>
      </c>
      <c r="X1546" s="1">
        <v>1.8247422680412371</v>
      </c>
      <c r="Y1546" s="1">
        <v>103</v>
      </c>
      <c r="Z1546" s="1">
        <v>177</v>
      </c>
      <c r="AA1546" s="1">
        <v>1.7184466019417475</v>
      </c>
      <c r="AB1546" s="1">
        <v>105.0817693685792</v>
      </c>
      <c r="AC1546" s="1">
        <v>176.2209315515602</v>
      </c>
      <c r="AD1546" s="1">
        <v>1.6769886214368648</v>
      </c>
      <c r="AE1546" t="s">
        <v>4816</v>
      </c>
      <c r="AF1546" t="str">
        <f>IF(X1546&lt;$AF$1,"Bajo","Alto")</f>
        <v>Alto</v>
      </c>
      <c r="AG1546" t="str">
        <f>LEFT(AE1546,1)</f>
        <v>D</v>
      </c>
      <c r="AH1546" t="str">
        <f>K1546</f>
        <v>M</v>
      </c>
      <c r="AI1546" t="str">
        <f>LEFT(AF1546,1)</f>
        <v>A</v>
      </c>
      <c r="AJ1546" t="str">
        <f>LEFT(M1546,1)</f>
        <v>M</v>
      </c>
      <c r="AK1546" t="str">
        <f>_xlfn.CONCAT(AG1546,AH1546,AI1546,AJ1546)</f>
        <v>DMAM</v>
      </c>
    </row>
    <row r="1547" spans="1:37" ht="15.75" hidden="1" customHeight="1" x14ac:dyDescent="0.2">
      <c r="A1547" s="1">
        <v>130901</v>
      </c>
      <c r="B1547" s="1" t="s">
        <v>956</v>
      </c>
      <c r="C1547" s="1" t="s">
        <v>163</v>
      </c>
      <c r="D1547" s="1" t="s">
        <v>1966</v>
      </c>
      <c r="E1547" s="1" t="s">
        <v>189</v>
      </c>
      <c r="F1547" s="1" t="s">
        <v>32</v>
      </c>
      <c r="G1547" s="1" t="s">
        <v>1967</v>
      </c>
      <c r="H1547" s="1">
        <v>6612</v>
      </c>
      <c r="I1547" s="1" t="s">
        <v>134</v>
      </c>
      <c r="J1547" s="1">
        <v>8</v>
      </c>
      <c r="K1547" s="1" t="s">
        <v>35</v>
      </c>
      <c r="L1547" s="1">
        <v>49</v>
      </c>
      <c r="M1547" s="1" t="str">
        <f>IF(L1547&lt;=45,"Joven","Mayor")</f>
        <v>Mayor</v>
      </c>
      <c r="N1547" s="1">
        <v>48</v>
      </c>
      <c r="O1547" s="1" t="s">
        <v>36</v>
      </c>
      <c r="P1547" s="1">
        <v>0.113</v>
      </c>
      <c r="Q1547" s="1">
        <v>92.507000000000005</v>
      </c>
      <c r="R1547" s="1">
        <v>2.3209119999999999</v>
      </c>
      <c r="S1547" s="1">
        <v>5.5149929999999996</v>
      </c>
      <c r="T1547" s="1">
        <v>-2.2952379999999999</v>
      </c>
      <c r="U1547" s="1">
        <v>1.9410000000000001</v>
      </c>
      <c r="V1547" s="1">
        <v>79</v>
      </c>
      <c r="W1547" s="1">
        <v>146</v>
      </c>
      <c r="X1547" s="1">
        <v>1.8481012658227849</v>
      </c>
      <c r="Y1547" s="1">
        <v>80</v>
      </c>
      <c r="Z1547" s="1">
        <v>146</v>
      </c>
      <c r="AA1547" s="1">
        <v>1.825</v>
      </c>
      <c r="AB1547" s="1">
        <v>80.538570313330638</v>
      </c>
      <c r="AC1547" s="1">
        <v>145.76272191922911</v>
      </c>
      <c r="AD1547" s="1">
        <v>1.809849881269902</v>
      </c>
      <c r="AE1547" t="s">
        <v>4817</v>
      </c>
      <c r="AF1547" t="str">
        <f>IF(X1547&lt;$AF$1,"Bajo","Alto")</f>
        <v>Alto</v>
      </c>
      <c r="AG1547" t="str">
        <f>LEFT(AE1547,1)</f>
        <v>C</v>
      </c>
      <c r="AH1547" t="str">
        <f>K1547</f>
        <v>M</v>
      </c>
      <c r="AI1547" t="str">
        <f>LEFT(AF1547,1)</f>
        <v>A</v>
      </c>
      <c r="AJ1547" t="str">
        <f>LEFT(M1547,1)</f>
        <v>M</v>
      </c>
      <c r="AK1547" t="str">
        <f>_xlfn.CONCAT(AG1547,AH1547,AI1547,AJ1547)</f>
        <v>CMAM</v>
      </c>
    </row>
    <row r="1548" spans="1:37" ht="15.75" hidden="1" customHeight="1" x14ac:dyDescent="0.2">
      <c r="A1548" s="1">
        <v>2712002</v>
      </c>
      <c r="B1548" s="1" t="s">
        <v>3409</v>
      </c>
      <c r="C1548" s="1" t="s">
        <v>973</v>
      </c>
      <c r="D1548" s="1" t="s">
        <v>3459</v>
      </c>
      <c r="E1548" s="1" t="s">
        <v>1564</v>
      </c>
      <c r="F1548" s="1" t="s">
        <v>37</v>
      </c>
      <c r="G1548" s="1" t="s">
        <v>3461</v>
      </c>
      <c r="H1548" s="1">
        <v>1067</v>
      </c>
      <c r="I1548" s="1" t="s">
        <v>108</v>
      </c>
      <c r="J1548" s="1">
        <v>3</v>
      </c>
      <c r="K1548" s="1" t="s">
        <v>35</v>
      </c>
      <c r="L1548" s="1">
        <v>44</v>
      </c>
      <c r="M1548" s="1" t="str">
        <f>IF(L1548&lt;=45,"Joven","Mayor")</f>
        <v>Joven</v>
      </c>
      <c r="N1548" s="1">
        <v>36</v>
      </c>
      <c r="O1548" s="1" t="s">
        <v>36</v>
      </c>
      <c r="P1548" s="1">
        <v>0.35699999999999998</v>
      </c>
      <c r="Q1548" s="1">
        <v>92.638999999999996</v>
      </c>
      <c r="R1548" s="1">
        <v>-3.2258657999999998</v>
      </c>
      <c r="S1548" s="1">
        <v>2.4197369000000002</v>
      </c>
      <c r="T1548" s="1">
        <v>0.27707723000000001</v>
      </c>
      <c r="U1548" s="1">
        <v>10.295</v>
      </c>
      <c r="V1548" s="1">
        <v>108</v>
      </c>
      <c r="W1548" s="1">
        <v>201</v>
      </c>
      <c r="X1548" s="1">
        <v>1.8611111111111112</v>
      </c>
      <c r="Y1548" s="1">
        <v>110</v>
      </c>
      <c r="Z1548" s="1">
        <v>201</v>
      </c>
      <c r="AA1548" s="1">
        <v>1.8272727272727274</v>
      </c>
      <c r="AB1548" s="1">
        <v>110.2356724348865</v>
      </c>
      <c r="AC1548" s="1">
        <v>200.92027545151501</v>
      </c>
      <c r="AD1548" s="1">
        <v>1.8226429885497699</v>
      </c>
      <c r="AE1548" t="s">
        <v>4817</v>
      </c>
      <c r="AF1548" t="str">
        <f>IF(X1548&lt;$AF$1,"Bajo","Alto")</f>
        <v>Alto</v>
      </c>
      <c r="AG1548" t="str">
        <f>LEFT(AE1548,1)</f>
        <v>C</v>
      </c>
      <c r="AH1548" t="str">
        <f>K1548</f>
        <v>M</v>
      </c>
      <c r="AI1548" t="str">
        <f>LEFT(AF1548,1)</f>
        <v>A</v>
      </c>
      <c r="AJ1548" t="str">
        <f>LEFT(M1548,1)</f>
        <v>J</v>
      </c>
      <c r="AK1548" t="str">
        <f>_xlfn.CONCAT(AG1548,AH1548,AI1548,AJ1548)</f>
        <v>CMAJ</v>
      </c>
    </row>
    <row r="1549" spans="1:37" ht="15.75" hidden="1" customHeight="1" x14ac:dyDescent="0.2">
      <c r="A1549" s="1">
        <v>111604</v>
      </c>
      <c r="B1549" s="1" t="s">
        <v>1648</v>
      </c>
      <c r="C1549" s="1" t="s">
        <v>51</v>
      </c>
      <c r="D1549" s="1" t="s">
        <v>1674</v>
      </c>
      <c r="E1549" s="1" t="s">
        <v>244</v>
      </c>
      <c r="F1549" s="1" t="s">
        <v>61</v>
      </c>
      <c r="G1549" s="1" t="s">
        <v>1677</v>
      </c>
      <c r="H1549" s="1">
        <v>1088</v>
      </c>
      <c r="I1549" s="1" t="s">
        <v>134</v>
      </c>
      <c r="J1549" s="1">
        <v>8</v>
      </c>
      <c r="K1549" s="1" t="s">
        <v>35</v>
      </c>
      <c r="L1549" s="1">
        <v>47</v>
      </c>
      <c r="M1549" s="1" t="str">
        <f>IF(L1549&lt;=45,"Joven","Mayor")</f>
        <v>Mayor</v>
      </c>
      <c r="N1549" s="1">
        <v>57</v>
      </c>
      <c r="O1549" s="1" t="s">
        <v>36</v>
      </c>
      <c r="P1549" s="1">
        <v>0.39200000000000002</v>
      </c>
      <c r="Q1549" s="1">
        <v>93.088999999999999</v>
      </c>
      <c r="R1549" s="1">
        <v>-2.9614682000000001</v>
      </c>
      <c r="S1549" s="1">
        <v>-1.2560998999999999</v>
      </c>
      <c r="T1549" s="1">
        <v>1.4112585</v>
      </c>
      <c r="U1549" s="1">
        <v>12.468</v>
      </c>
      <c r="V1549" s="1">
        <v>92</v>
      </c>
      <c r="W1549" s="1">
        <v>170</v>
      </c>
      <c r="X1549" s="1">
        <v>1.8478260869565217</v>
      </c>
      <c r="Y1549" s="1">
        <v>97</v>
      </c>
      <c r="Z1549" s="1">
        <v>170</v>
      </c>
      <c r="AA1549" s="1">
        <v>1.7525773195876289</v>
      </c>
      <c r="AB1549" s="1">
        <v>95.911546424715198</v>
      </c>
      <c r="AC1549" s="1">
        <v>169.77603351523379</v>
      </c>
      <c r="AD1549" s="1">
        <v>1.7701313329203567</v>
      </c>
      <c r="AE1549" t="s">
        <v>4817</v>
      </c>
      <c r="AF1549" t="str">
        <f>IF(X1549&lt;$AF$1,"Bajo","Alto")</f>
        <v>Alto</v>
      </c>
      <c r="AG1549" t="str">
        <f>LEFT(AE1549,1)</f>
        <v>C</v>
      </c>
      <c r="AH1549" t="str">
        <f>K1549</f>
        <v>M</v>
      </c>
      <c r="AI1549" t="str">
        <f>LEFT(AF1549,1)</f>
        <v>A</v>
      </c>
      <c r="AJ1549" t="str">
        <f>LEFT(M1549,1)</f>
        <v>M</v>
      </c>
      <c r="AK1549" t="str">
        <f>_xlfn.CONCAT(AG1549,AH1549,AI1549,AJ1549)</f>
        <v>CMAM</v>
      </c>
    </row>
    <row r="1550" spans="1:37" ht="15.75" hidden="1" customHeight="1" x14ac:dyDescent="0.2">
      <c r="A1550" s="1">
        <v>10119603</v>
      </c>
      <c r="B1550" s="1" t="s">
        <v>29</v>
      </c>
      <c r="C1550" s="1" t="s">
        <v>30</v>
      </c>
      <c r="D1550" s="1" t="s">
        <v>345</v>
      </c>
      <c r="E1550" s="1" t="s">
        <v>346</v>
      </c>
      <c r="F1550" s="1" t="s">
        <v>63</v>
      </c>
      <c r="G1550" s="1" t="s">
        <v>349</v>
      </c>
      <c r="H1550" s="1">
        <v>36</v>
      </c>
      <c r="I1550" s="1" t="s">
        <v>294</v>
      </c>
      <c r="J1550" s="1">
        <v>16</v>
      </c>
      <c r="K1550" s="1" t="s">
        <v>35</v>
      </c>
      <c r="L1550" s="1">
        <v>57</v>
      </c>
      <c r="M1550" s="1" t="str">
        <f>IF(L1550&lt;=45,"Joven","Mayor")</f>
        <v>Mayor</v>
      </c>
      <c r="N1550" s="1">
        <v>63</v>
      </c>
      <c r="O1550" s="1" t="s">
        <v>36</v>
      </c>
      <c r="P1550" s="1">
        <v>0.31900000000000001</v>
      </c>
      <c r="Q1550" s="1">
        <v>91.186000000000007</v>
      </c>
      <c r="R1550" s="1">
        <v>3.3197610000000002</v>
      </c>
      <c r="S1550" s="1">
        <v>-6.663335</v>
      </c>
      <c r="T1550" s="1">
        <v>-2.395546</v>
      </c>
      <c r="U1550" s="1">
        <v>0.24399999999999999</v>
      </c>
      <c r="V1550" s="1">
        <v>91</v>
      </c>
      <c r="W1550" s="1">
        <v>168</v>
      </c>
      <c r="X1550" s="1">
        <v>1.8461538461538463</v>
      </c>
      <c r="Y1550" s="1">
        <v>97</v>
      </c>
      <c r="Z1550" s="1">
        <v>168</v>
      </c>
      <c r="AA1550" s="1">
        <v>1.731958762886598</v>
      </c>
      <c r="AB1550" s="1">
        <v>95.243310596466699</v>
      </c>
      <c r="AC1550" s="1">
        <v>168.14576773130781</v>
      </c>
      <c r="AD1550" s="1">
        <v>1.7654338837896886</v>
      </c>
      <c r="AE1550" t="s">
        <v>4817</v>
      </c>
      <c r="AF1550" t="str">
        <f>IF(X1550&lt;$AF$1,"Bajo","Alto")</f>
        <v>Alto</v>
      </c>
      <c r="AG1550" t="str">
        <f>LEFT(AE1550,1)</f>
        <v>C</v>
      </c>
      <c r="AH1550" t="str">
        <f>K1550</f>
        <v>M</v>
      </c>
      <c r="AI1550" t="str">
        <f>LEFT(AF1550,1)</f>
        <v>A</v>
      </c>
      <c r="AJ1550" t="str">
        <f>LEFT(M1550,1)</f>
        <v>M</v>
      </c>
      <c r="AK1550" t="str">
        <f>_xlfn.CONCAT(AG1550,AH1550,AI1550,AJ1550)</f>
        <v>CMAM</v>
      </c>
    </row>
    <row r="1551" spans="1:37" ht="15.75" hidden="1" customHeight="1" x14ac:dyDescent="0.2">
      <c r="A1551" s="1">
        <v>250405</v>
      </c>
      <c r="B1551" s="1" t="s">
        <v>3169</v>
      </c>
      <c r="C1551" s="1" t="s">
        <v>821</v>
      </c>
      <c r="D1551" s="1" t="s">
        <v>3185</v>
      </c>
      <c r="E1551" s="1" t="s">
        <v>61</v>
      </c>
      <c r="F1551" s="1" t="s">
        <v>40</v>
      </c>
      <c r="G1551" s="1" t="s">
        <v>3189</v>
      </c>
      <c r="H1551" s="1">
        <v>4324</v>
      </c>
      <c r="I1551" s="1" t="s">
        <v>134</v>
      </c>
      <c r="J1551" s="1">
        <v>8</v>
      </c>
      <c r="K1551" s="1" t="s">
        <v>35</v>
      </c>
      <c r="L1551" s="1">
        <v>29</v>
      </c>
      <c r="M1551" s="1" t="str">
        <f>IF(L1551&lt;=45,"Joven","Mayor")</f>
        <v>Joven</v>
      </c>
      <c r="N1551" s="1">
        <v>29</v>
      </c>
      <c r="O1551" s="1" t="s">
        <v>36</v>
      </c>
      <c r="P1551" s="1">
        <v>0.29599999999999999</v>
      </c>
      <c r="Q1551" s="1">
        <v>90.775000000000006</v>
      </c>
      <c r="R1551" s="1">
        <v>-3.7903115999999999</v>
      </c>
      <c r="S1551" s="1">
        <v>6.5793330000000001</v>
      </c>
      <c r="T1551" s="1">
        <v>0.32550277999999999</v>
      </c>
      <c r="U1551" s="1">
        <v>42.002000000000002</v>
      </c>
      <c r="V1551" s="1">
        <v>129</v>
      </c>
      <c r="W1551" s="1">
        <v>219</v>
      </c>
      <c r="X1551" s="1">
        <v>1.6976744186046511</v>
      </c>
      <c r="Y1551" s="1">
        <v>131</v>
      </c>
      <c r="Z1551" s="1">
        <v>219</v>
      </c>
      <c r="AA1551" s="1">
        <v>1.6717557251908397</v>
      </c>
      <c r="AB1551" s="1">
        <v>131.32738775467459</v>
      </c>
      <c r="AC1551" s="1">
        <v>218.97374165548439</v>
      </c>
      <c r="AD1551" s="1">
        <v>1.6673882378939653</v>
      </c>
      <c r="AE1551" t="s">
        <v>4817</v>
      </c>
      <c r="AF1551" t="str">
        <f>IF(X1551&lt;$AF$1,"Bajo","Alto")</f>
        <v>Bajo</v>
      </c>
      <c r="AG1551" t="str">
        <f>LEFT(AE1551,1)</f>
        <v>C</v>
      </c>
      <c r="AH1551" t="str">
        <f>K1551</f>
        <v>M</v>
      </c>
      <c r="AI1551" t="str">
        <f>LEFT(AF1551,1)</f>
        <v>B</v>
      </c>
      <c r="AJ1551" t="str">
        <f>LEFT(M1551,1)</f>
        <v>J</v>
      </c>
      <c r="AK1551" t="str">
        <f>_xlfn.CONCAT(AG1551,AH1551,AI1551,AJ1551)</f>
        <v>CMBJ</v>
      </c>
    </row>
    <row r="1552" spans="1:37" ht="15.75" hidden="1" customHeight="1" x14ac:dyDescent="0.2">
      <c r="A1552" s="1">
        <v>1036104</v>
      </c>
      <c r="B1552" s="1" t="s">
        <v>783</v>
      </c>
      <c r="C1552" s="1" t="s">
        <v>81</v>
      </c>
      <c r="D1552" s="1" t="s">
        <v>875</v>
      </c>
      <c r="E1552" s="1" t="s">
        <v>701</v>
      </c>
      <c r="F1552" s="1" t="s">
        <v>61</v>
      </c>
      <c r="G1552" s="1" t="s">
        <v>876</v>
      </c>
      <c r="H1552" s="1">
        <v>456</v>
      </c>
      <c r="I1552" s="1" t="s">
        <v>65</v>
      </c>
      <c r="J1552" s="1">
        <v>2</v>
      </c>
      <c r="K1552" s="1" t="s">
        <v>49</v>
      </c>
      <c r="L1552" s="1">
        <v>69</v>
      </c>
      <c r="M1552" s="1" t="str">
        <f>IF(L1552&lt;=45,"Joven","Mayor")</f>
        <v>Mayor</v>
      </c>
      <c r="N1552" s="1">
        <v>59</v>
      </c>
      <c r="O1552" s="1" t="s">
        <v>50</v>
      </c>
      <c r="P1552" s="1">
        <v>0.35799999999999998</v>
      </c>
      <c r="Q1552" s="1">
        <v>87.83</v>
      </c>
      <c r="R1552" s="1">
        <v>7.3511649999999999</v>
      </c>
      <c r="S1552" s="1">
        <v>-1.8213271</v>
      </c>
      <c r="T1552" s="1">
        <v>-3.0360649999999998</v>
      </c>
      <c r="U1552" s="1">
        <v>5.5789999999999997</v>
      </c>
      <c r="V1552" s="1">
        <v>96</v>
      </c>
      <c r="W1552" s="1">
        <v>177</v>
      </c>
      <c r="X1552" s="1">
        <v>1.84375</v>
      </c>
      <c r="Y1552" s="1">
        <v>102</v>
      </c>
      <c r="Z1552" s="1">
        <v>177</v>
      </c>
      <c r="AA1552" s="1">
        <v>1.7352941176470589</v>
      </c>
      <c r="AB1552" s="1">
        <v>99.208605368395865</v>
      </c>
      <c r="AC1552" s="1">
        <v>176.75156172000379</v>
      </c>
      <c r="AD1552" s="1">
        <v>1.7816152244421148</v>
      </c>
      <c r="AE1552" t="s">
        <v>4817</v>
      </c>
      <c r="AF1552" t="str">
        <f>IF(X1552&lt;$AF$1,"Bajo","Alto")</f>
        <v>Alto</v>
      </c>
      <c r="AG1552" t="str">
        <f>LEFT(AE1552,1)</f>
        <v>C</v>
      </c>
      <c r="AH1552" t="str">
        <f>K1552</f>
        <v>F</v>
      </c>
      <c r="AI1552" t="str">
        <f>LEFT(AF1552,1)</f>
        <v>A</v>
      </c>
      <c r="AJ1552" t="str">
        <f>LEFT(M1552,1)</f>
        <v>M</v>
      </c>
      <c r="AK1552" t="str">
        <f>_xlfn.CONCAT(AG1552,AH1552,AI1552,AJ1552)</f>
        <v>CFAM</v>
      </c>
    </row>
    <row r="1553" spans="1:37" ht="15.75" hidden="1" customHeight="1" x14ac:dyDescent="0.2">
      <c r="A1553" s="1">
        <v>1096704</v>
      </c>
      <c r="B1553" s="1" t="s">
        <v>719</v>
      </c>
      <c r="C1553" s="1" t="s">
        <v>98</v>
      </c>
      <c r="D1553" s="1" t="s">
        <v>1631</v>
      </c>
      <c r="E1553" s="1" t="s">
        <v>715</v>
      </c>
      <c r="F1553" s="1" t="s">
        <v>61</v>
      </c>
      <c r="G1553" s="1" t="s">
        <v>1632</v>
      </c>
      <c r="H1553" s="1">
        <v>556</v>
      </c>
      <c r="I1553" s="1" t="s">
        <v>91</v>
      </c>
      <c r="J1553" s="1">
        <v>6</v>
      </c>
      <c r="K1553" s="1" t="s">
        <v>35</v>
      </c>
      <c r="L1553" s="1">
        <v>35</v>
      </c>
      <c r="M1553" s="1" t="str">
        <f>IF(L1553&lt;=45,"Joven","Mayor")</f>
        <v>Joven</v>
      </c>
      <c r="N1553" s="1">
        <v>33</v>
      </c>
      <c r="O1553" s="1" t="s">
        <v>36</v>
      </c>
      <c r="P1553" s="1">
        <v>0.96799999999999997</v>
      </c>
      <c r="Q1553" s="1">
        <v>89.995999999999995</v>
      </c>
      <c r="R1553" s="1">
        <v>4.9848565999999996</v>
      </c>
      <c r="S1553" s="1">
        <v>4.7118929999999999</v>
      </c>
      <c r="T1553" s="1">
        <v>-6.172993</v>
      </c>
      <c r="U1553" s="1">
        <v>51.281999999999996</v>
      </c>
      <c r="V1553" s="1">
        <v>79</v>
      </c>
      <c r="W1553" s="1">
        <v>147</v>
      </c>
      <c r="X1553" s="1">
        <v>1.860759493670886</v>
      </c>
      <c r="Y1553" s="1">
        <v>82</v>
      </c>
      <c r="Z1553" s="1">
        <v>147</v>
      </c>
      <c r="AA1553" s="1">
        <v>1.7926829268292683</v>
      </c>
      <c r="AB1553" s="1">
        <v>82.628107164676521</v>
      </c>
      <c r="AC1553" s="1">
        <v>146.36272023189389</v>
      </c>
      <c r="AD1553" s="1">
        <v>1.7713430121326061</v>
      </c>
      <c r="AE1553" t="s">
        <v>4817</v>
      </c>
      <c r="AF1553" t="str">
        <f>IF(X1553&lt;$AF$1,"Bajo","Alto")</f>
        <v>Alto</v>
      </c>
      <c r="AG1553" t="str">
        <f>LEFT(AE1553,1)</f>
        <v>C</v>
      </c>
      <c r="AH1553" t="str">
        <f>K1553</f>
        <v>M</v>
      </c>
      <c r="AI1553" t="str">
        <f>LEFT(AF1553,1)</f>
        <v>A</v>
      </c>
      <c r="AJ1553" t="str">
        <f>LEFT(M1553,1)</f>
        <v>J</v>
      </c>
      <c r="AK1553" t="str">
        <f>_xlfn.CONCAT(AG1553,AH1553,AI1553,AJ1553)</f>
        <v>CMAJ</v>
      </c>
    </row>
    <row r="1554" spans="1:37" ht="15.75" hidden="1" customHeight="1" x14ac:dyDescent="0.2">
      <c r="A1554" s="1">
        <v>1030403</v>
      </c>
      <c r="B1554" s="1" t="s">
        <v>783</v>
      </c>
      <c r="C1554" s="1" t="s">
        <v>81</v>
      </c>
      <c r="D1554" s="1" t="s">
        <v>788</v>
      </c>
      <c r="E1554" s="1" t="s">
        <v>61</v>
      </c>
      <c r="F1554" s="1" t="s">
        <v>63</v>
      </c>
      <c r="G1554" s="1" t="s">
        <v>790</v>
      </c>
      <c r="H1554" s="1">
        <v>288</v>
      </c>
      <c r="I1554" s="1" t="s">
        <v>87</v>
      </c>
      <c r="J1554" s="1">
        <v>14</v>
      </c>
      <c r="K1554" s="1" t="s">
        <v>35</v>
      </c>
      <c r="L1554" s="1">
        <v>58</v>
      </c>
      <c r="M1554" s="1" t="str">
        <f>IF(L1554&lt;=45,"Joven","Mayor")</f>
        <v>Mayor</v>
      </c>
      <c r="N1554" s="1">
        <v>50</v>
      </c>
      <c r="O1554" s="1" t="s">
        <v>36</v>
      </c>
      <c r="P1554" s="1">
        <v>9.6430000000000007</v>
      </c>
      <c r="Q1554" s="1">
        <v>66.277000000000001</v>
      </c>
      <c r="R1554" s="1">
        <v>-9.9119150000000005</v>
      </c>
      <c r="S1554" s="1">
        <v>-11.390938999999999</v>
      </c>
      <c r="T1554" s="1">
        <v>-2.8236398999999999</v>
      </c>
      <c r="U1554" s="1">
        <v>6.3769999999999998</v>
      </c>
      <c r="V1554" s="1">
        <v>96</v>
      </c>
      <c r="W1554" s="1">
        <v>175</v>
      </c>
      <c r="X1554" s="1">
        <v>1.8229166666666667</v>
      </c>
      <c r="Y1554" s="1">
        <v>104</v>
      </c>
      <c r="Z1554" s="1">
        <v>175</v>
      </c>
      <c r="AA1554" s="1">
        <v>1.6826923076923077</v>
      </c>
      <c r="AB1554" s="1">
        <v>102.34661542764979</v>
      </c>
      <c r="AC1554" s="1">
        <v>175.5264600170926</v>
      </c>
      <c r="AD1554" s="1">
        <v>1.7150196836863123</v>
      </c>
      <c r="AE1554" t="s">
        <v>4816</v>
      </c>
      <c r="AF1554" t="str">
        <f>IF(X1554&lt;$AF$1,"Bajo","Alto")</f>
        <v>Alto</v>
      </c>
      <c r="AG1554" t="str">
        <f>LEFT(AE1554,1)</f>
        <v>D</v>
      </c>
      <c r="AH1554" t="str">
        <f>K1554</f>
        <v>M</v>
      </c>
      <c r="AI1554" t="str">
        <f>LEFT(AF1554,1)</f>
        <v>A</v>
      </c>
      <c r="AJ1554" t="str">
        <f>LEFT(M1554,1)</f>
        <v>M</v>
      </c>
      <c r="AK1554" t="str">
        <f>_xlfn.CONCAT(AG1554,AH1554,AI1554,AJ1554)</f>
        <v>DMAM</v>
      </c>
    </row>
    <row r="1555" spans="1:37" ht="15.75" hidden="1" customHeight="1" x14ac:dyDescent="0.2">
      <c r="A1555" s="1">
        <v>110501</v>
      </c>
      <c r="B1555" s="1" t="s">
        <v>1648</v>
      </c>
      <c r="C1555" s="1" t="s">
        <v>51</v>
      </c>
      <c r="D1555" s="1" t="s">
        <v>653</v>
      </c>
      <c r="E1555" s="1" t="s">
        <v>40</v>
      </c>
      <c r="F1555" s="1" t="s">
        <v>32</v>
      </c>
      <c r="G1555" s="1" t="s">
        <v>1658</v>
      </c>
      <c r="H1555" s="1">
        <v>2856</v>
      </c>
      <c r="I1555" s="1" t="s">
        <v>100</v>
      </c>
      <c r="J1555" s="1">
        <v>1</v>
      </c>
      <c r="K1555" s="1" t="s">
        <v>35</v>
      </c>
      <c r="L1555" s="1">
        <v>58</v>
      </c>
      <c r="M1555" s="1" t="str">
        <f>IF(L1555&lt;=45,"Joven","Mayor")</f>
        <v>Mayor</v>
      </c>
      <c r="N1555" s="1">
        <v>44</v>
      </c>
      <c r="O1555" s="1" t="s">
        <v>36</v>
      </c>
      <c r="P1555" s="1">
        <v>1.417</v>
      </c>
      <c r="Q1555" s="1">
        <v>84.102000000000004</v>
      </c>
      <c r="R1555" s="1">
        <v>-8.8891249999999999</v>
      </c>
      <c r="S1555" s="1">
        <v>-1.8695413999999999</v>
      </c>
      <c r="T1555" s="1">
        <v>2.2182520000000001</v>
      </c>
      <c r="U1555" s="1">
        <v>21.795999999999999</v>
      </c>
      <c r="V1555" s="1">
        <v>91</v>
      </c>
      <c r="W1555" s="1">
        <v>168</v>
      </c>
      <c r="X1555" s="1">
        <v>1.8461538461538463</v>
      </c>
      <c r="Y1555" s="1">
        <v>91</v>
      </c>
      <c r="Z1555" s="1">
        <v>168</v>
      </c>
      <c r="AA1555" s="1">
        <v>1.8461538461538463</v>
      </c>
      <c r="AB1555" s="1">
        <v>91.938167341062353</v>
      </c>
      <c r="AC1555" s="1">
        <v>167.21610280635289</v>
      </c>
      <c r="AD1555" s="1">
        <v>1.8187887320619796</v>
      </c>
      <c r="AE1555" t="s">
        <v>4817</v>
      </c>
      <c r="AF1555" t="str">
        <f>IF(X1555&lt;$AF$1,"Bajo","Alto")</f>
        <v>Alto</v>
      </c>
      <c r="AG1555" t="str">
        <f>LEFT(AE1555,1)</f>
        <v>C</v>
      </c>
      <c r="AH1555" t="str">
        <f>K1555</f>
        <v>M</v>
      </c>
      <c r="AI1555" t="str">
        <f>LEFT(AF1555,1)</f>
        <v>A</v>
      </c>
      <c r="AJ1555" t="str">
        <f>LEFT(M1555,1)</f>
        <v>M</v>
      </c>
      <c r="AK1555" t="str">
        <f>_xlfn.CONCAT(AG1555,AH1555,AI1555,AJ1555)</f>
        <v>CMAM</v>
      </c>
    </row>
    <row r="1556" spans="1:37" ht="15.75" hidden="1" customHeight="1" x14ac:dyDescent="0.2">
      <c r="A1556" s="1">
        <v>136002</v>
      </c>
      <c r="B1556" s="1" t="s">
        <v>956</v>
      </c>
      <c r="C1556" s="1" t="s">
        <v>163</v>
      </c>
      <c r="D1556" s="1" t="s">
        <v>2070</v>
      </c>
      <c r="E1556" s="1" t="s">
        <v>1458</v>
      </c>
      <c r="F1556" s="1" t="s">
        <v>37</v>
      </c>
      <c r="G1556" s="1" t="s">
        <v>2072</v>
      </c>
      <c r="H1556" s="1">
        <v>2867</v>
      </c>
      <c r="I1556" s="1" t="s">
        <v>85</v>
      </c>
      <c r="J1556" s="1">
        <v>12</v>
      </c>
      <c r="K1556" s="1" t="s">
        <v>35</v>
      </c>
      <c r="L1556" s="1">
        <v>49</v>
      </c>
      <c r="M1556" s="1" t="str">
        <f>IF(L1556&lt;=45,"Joven","Mayor")</f>
        <v>Mayor</v>
      </c>
      <c r="N1556" s="1">
        <v>54</v>
      </c>
      <c r="O1556" s="1" t="s">
        <v>36</v>
      </c>
      <c r="P1556" s="1">
        <v>0.31</v>
      </c>
      <c r="Q1556" s="1">
        <v>94.25</v>
      </c>
      <c r="R1556" s="1">
        <v>-0.81847006</v>
      </c>
      <c r="S1556" s="1">
        <v>-2.0355498999999999</v>
      </c>
      <c r="T1556" s="1">
        <v>-2.3377020000000002</v>
      </c>
      <c r="U1556" s="1">
        <v>5.2160000000000002</v>
      </c>
      <c r="V1556" s="1">
        <v>86</v>
      </c>
      <c r="W1556" s="1">
        <v>157</v>
      </c>
      <c r="X1556" s="1">
        <v>1.8255813953488371</v>
      </c>
      <c r="Y1556" s="1">
        <v>89</v>
      </c>
      <c r="Z1556" s="1">
        <v>157</v>
      </c>
      <c r="AA1556" s="1">
        <v>1.7640449438202248</v>
      </c>
      <c r="AB1556" s="1">
        <v>87.804735090665417</v>
      </c>
      <c r="AC1556" s="1">
        <v>157.11407573044329</v>
      </c>
      <c r="AD1556" s="1">
        <v>1.7893576646887031</v>
      </c>
      <c r="AE1556" t="s">
        <v>4815</v>
      </c>
      <c r="AF1556" t="str">
        <f>IF(X1556&lt;$AF$1,"Bajo","Alto")</f>
        <v>Alto</v>
      </c>
      <c r="AG1556" t="str">
        <f>LEFT(AE1556,1)</f>
        <v>I</v>
      </c>
      <c r="AH1556" t="str">
        <f>K1556</f>
        <v>M</v>
      </c>
      <c r="AI1556" t="str">
        <f>LEFT(AF1556,1)</f>
        <v>A</v>
      </c>
      <c r="AJ1556" t="str">
        <f>LEFT(M1556,1)</f>
        <v>M</v>
      </c>
      <c r="AK1556" t="str">
        <f>_xlfn.CONCAT(AG1556,AH1556,AI1556,AJ1556)</f>
        <v>IMAM</v>
      </c>
    </row>
    <row r="1557" spans="1:37" ht="15.75" hidden="1" customHeight="1" x14ac:dyDescent="0.2">
      <c r="A1557" s="1">
        <v>10123805</v>
      </c>
      <c r="B1557" s="1" t="s">
        <v>29</v>
      </c>
      <c r="C1557" s="1" t="s">
        <v>30</v>
      </c>
      <c r="D1557" s="1" t="s">
        <v>477</v>
      </c>
      <c r="E1557" s="1" t="s">
        <v>478</v>
      </c>
      <c r="F1557" s="1" t="s">
        <v>40</v>
      </c>
      <c r="G1557" s="1" t="s">
        <v>482</v>
      </c>
      <c r="H1557" s="1">
        <v>84</v>
      </c>
      <c r="I1557" s="1" t="s">
        <v>42</v>
      </c>
      <c r="J1557" s="1">
        <v>15</v>
      </c>
      <c r="K1557" s="1" t="s">
        <v>35</v>
      </c>
      <c r="L1557" s="1">
        <v>57</v>
      </c>
      <c r="M1557" s="1" t="str">
        <f>IF(L1557&lt;=45,"Joven","Mayor")</f>
        <v>Mayor</v>
      </c>
      <c r="N1557" s="1">
        <v>55</v>
      </c>
      <c r="O1557" s="1" t="s">
        <v>36</v>
      </c>
      <c r="P1557" s="1">
        <v>0.42099999999999999</v>
      </c>
      <c r="Q1557" s="1">
        <v>89.908000000000001</v>
      </c>
      <c r="R1557" s="1">
        <v>5.3185269999999996</v>
      </c>
      <c r="S1557" s="1">
        <v>-4.3893876000000001</v>
      </c>
      <c r="T1557" s="1">
        <v>-4.6360473999999998</v>
      </c>
      <c r="U1557" s="1">
        <v>1.345</v>
      </c>
      <c r="V1557" s="1">
        <v>82</v>
      </c>
      <c r="W1557" s="1">
        <v>138</v>
      </c>
      <c r="X1557" s="1">
        <v>1.6829268292682926</v>
      </c>
      <c r="Y1557" s="1">
        <v>82</v>
      </c>
      <c r="Z1557" s="1">
        <v>138</v>
      </c>
      <c r="AA1557" s="1">
        <v>1.6829268292682926</v>
      </c>
      <c r="AB1557" s="1">
        <v>84.722277422142952</v>
      </c>
      <c r="AC1557" s="1">
        <v>137.4676689349831</v>
      </c>
      <c r="AD1557" s="1">
        <v>1.6225681499333096</v>
      </c>
      <c r="AE1557" t="s">
        <v>4817</v>
      </c>
      <c r="AF1557" t="str">
        <f>IF(X1557&lt;$AF$1,"Bajo","Alto")</f>
        <v>Bajo</v>
      </c>
      <c r="AG1557" t="str">
        <f>LEFT(AE1557,1)</f>
        <v>C</v>
      </c>
      <c r="AH1557" t="str">
        <f>K1557</f>
        <v>M</v>
      </c>
      <c r="AI1557" t="str">
        <f>LEFT(AF1557,1)</f>
        <v>B</v>
      </c>
      <c r="AJ1557" t="str">
        <f>LEFT(M1557,1)</f>
        <v>M</v>
      </c>
      <c r="AK1557" t="str">
        <f>_xlfn.CONCAT(AG1557,AH1557,AI1557,AJ1557)</f>
        <v>CMBM</v>
      </c>
    </row>
    <row r="1558" spans="1:37" ht="15.75" hidden="1" customHeight="1" x14ac:dyDescent="0.2">
      <c r="A1558" s="1">
        <v>1093702</v>
      </c>
      <c r="B1558" s="1" t="s">
        <v>719</v>
      </c>
      <c r="C1558" s="1" t="s">
        <v>98</v>
      </c>
      <c r="D1558" s="1" t="s">
        <v>1602</v>
      </c>
      <c r="E1558" s="1" t="s">
        <v>647</v>
      </c>
      <c r="F1558" s="1" t="s">
        <v>37</v>
      </c>
      <c r="G1558" s="1" t="s">
        <v>1604</v>
      </c>
      <c r="H1558" s="1">
        <v>43</v>
      </c>
      <c r="I1558" s="1" t="s">
        <v>42</v>
      </c>
      <c r="J1558" s="1">
        <v>15</v>
      </c>
      <c r="K1558" s="1" t="s">
        <v>35</v>
      </c>
      <c r="L1558" s="1">
        <v>52</v>
      </c>
      <c r="M1558" s="1" t="str">
        <f>IF(L1558&lt;=45,"Joven","Mayor")</f>
        <v>Mayor</v>
      </c>
      <c r="N1558" s="1">
        <v>49</v>
      </c>
      <c r="O1558" s="1" t="s">
        <v>36</v>
      </c>
      <c r="P1558" s="1">
        <v>1.105</v>
      </c>
      <c r="Q1558" s="1">
        <v>93.253</v>
      </c>
      <c r="R1558" s="1">
        <v>2.1194622999999999</v>
      </c>
      <c r="S1558" s="1">
        <v>-2.3358102000000001</v>
      </c>
      <c r="T1558" s="1">
        <v>-3.1072587999999999</v>
      </c>
      <c r="U1558" s="1">
        <v>1.0489999999999999</v>
      </c>
      <c r="V1558" s="1">
        <v>82</v>
      </c>
      <c r="W1558" s="1">
        <v>138</v>
      </c>
      <c r="X1558" s="1">
        <v>1.6829268292682926</v>
      </c>
      <c r="Y1558" s="1">
        <v>85</v>
      </c>
      <c r="Z1558" s="1">
        <v>138</v>
      </c>
      <c r="AA1558" s="1">
        <v>1.6235294117647059</v>
      </c>
      <c r="AB1558" s="1">
        <v>86.663809405957181</v>
      </c>
      <c r="AC1558" s="1">
        <v>137.58029265919819</v>
      </c>
      <c r="AD1558" s="1">
        <v>1.5875172531908235</v>
      </c>
      <c r="AE1558" t="s">
        <v>4817</v>
      </c>
      <c r="AF1558" t="str">
        <f>IF(X1558&lt;$AF$1,"Bajo","Alto")</f>
        <v>Bajo</v>
      </c>
      <c r="AG1558" t="str">
        <f>LEFT(AE1558,1)</f>
        <v>C</v>
      </c>
      <c r="AH1558" t="str">
        <f>K1558</f>
        <v>M</v>
      </c>
      <c r="AI1558" t="str">
        <f>LEFT(AF1558,1)</f>
        <v>B</v>
      </c>
      <c r="AJ1558" t="str">
        <f>LEFT(M1558,1)</f>
        <v>M</v>
      </c>
      <c r="AK1558" t="str">
        <f>_xlfn.CONCAT(AG1558,AH1558,AI1558,AJ1558)</f>
        <v>CMBM</v>
      </c>
    </row>
    <row r="1559" spans="1:37" ht="15.75" hidden="1" customHeight="1" x14ac:dyDescent="0.2">
      <c r="A1559" s="1">
        <v>213005</v>
      </c>
      <c r="B1559" s="1" t="s">
        <v>2816</v>
      </c>
      <c r="C1559" s="1" t="s">
        <v>2817</v>
      </c>
      <c r="D1559" s="1" t="s">
        <v>2858</v>
      </c>
      <c r="E1559" s="1" t="s">
        <v>2381</v>
      </c>
      <c r="F1559" s="1" t="s">
        <v>40</v>
      </c>
      <c r="G1559" s="1" t="s">
        <v>2862</v>
      </c>
      <c r="H1559" s="1">
        <v>3734</v>
      </c>
      <c r="I1559" s="1" t="s">
        <v>2863</v>
      </c>
      <c r="J1559" s="1">
        <v>994</v>
      </c>
      <c r="K1559" s="1" t="s">
        <v>35</v>
      </c>
      <c r="L1559" s="1">
        <v>43</v>
      </c>
      <c r="M1559" s="1" t="str">
        <f>IF(L1559&lt;=45,"Joven","Mayor")</f>
        <v>Joven</v>
      </c>
      <c r="N1559" s="1">
        <v>53</v>
      </c>
      <c r="O1559" s="1" t="s">
        <v>36</v>
      </c>
      <c r="P1559" s="1">
        <v>0.35</v>
      </c>
      <c r="Q1559" s="1">
        <v>90.998999999999995</v>
      </c>
      <c r="R1559" s="1">
        <v>4.5769525</v>
      </c>
      <c r="S1559" s="1">
        <v>3.8112515999999999</v>
      </c>
      <c r="T1559" s="1">
        <v>-6.0992110000000004</v>
      </c>
      <c r="U1559" s="1">
        <v>3.9569999999999999</v>
      </c>
      <c r="V1559" s="1">
        <v>79</v>
      </c>
      <c r="W1559" s="1">
        <v>147</v>
      </c>
      <c r="X1559" s="1">
        <v>1.860759493670886</v>
      </c>
      <c r="Y1559" s="1">
        <v>82</v>
      </c>
      <c r="Z1559" s="1">
        <v>147</v>
      </c>
      <c r="AA1559" s="1">
        <v>1.7926829268292683</v>
      </c>
      <c r="AB1559" s="1">
        <v>83.015329084996665</v>
      </c>
      <c r="AC1559" s="1">
        <v>146.9116455330518</v>
      </c>
      <c r="AD1559" s="1">
        <v>1.7696929850465786</v>
      </c>
      <c r="AE1559" t="s">
        <v>4817</v>
      </c>
      <c r="AF1559" t="str">
        <f>IF(X1559&lt;$AF$1,"Bajo","Alto")</f>
        <v>Alto</v>
      </c>
      <c r="AG1559" t="str">
        <f>LEFT(AE1559,1)</f>
        <v>C</v>
      </c>
      <c r="AH1559" t="str">
        <f>K1559</f>
        <v>M</v>
      </c>
      <c r="AI1559" t="str">
        <f>LEFT(AF1559,1)</f>
        <v>A</v>
      </c>
      <c r="AJ1559" t="str">
        <f>LEFT(M1559,1)</f>
        <v>J</v>
      </c>
      <c r="AK1559" t="str">
        <f>_xlfn.CONCAT(AG1559,AH1559,AI1559,AJ1559)</f>
        <v>CMAJ</v>
      </c>
    </row>
    <row r="1560" spans="1:37" ht="15.75" hidden="1" customHeight="1" x14ac:dyDescent="0.2">
      <c r="A1560" s="1">
        <v>640106</v>
      </c>
      <c r="B1560" s="1" t="s">
        <v>4718</v>
      </c>
      <c r="C1560" s="1" t="s">
        <v>710</v>
      </c>
      <c r="D1560" s="1" t="s">
        <v>4719</v>
      </c>
      <c r="E1560" s="1" t="s">
        <v>32</v>
      </c>
      <c r="F1560" s="1" t="s">
        <v>88</v>
      </c>
      <c r="G1560" s="1" t="s">
        <v>4722</v>
      </c>
      <c r="H1560" s="1">
        <v>7758</v>
      </c>
      <c r="I1560" s="1" t="s">
        <v>134</v>
      </c>
      <c r="J1560" s="1">
        <v>8</v>
      </c>
      <c r="K1560" s="1" t="s">
        <v>35</v>
      </c>
      <c r="L1560" s="1">
        <v>59</v>
      </c>
      <c r="M1560" s="1" t="str">
        <f>IF(L1560&lt;=45,"Joven","Mayor")</f>
        <v>Mayor</v>
      </c>
      <c r="N1560" s="1">
        <v>61</v>
      </c>
      <c r="O1560" s="1" t="s">
        <v>36</v>
      </c>
      <c r="P1560" s="1">
        <v>1.1339999999999999</v>
      </c>
      <c r="Q1560" s="1">
        <v>84.575999999999993</v>
      </c>
      <c r="R1560" s="1">
        <v>-8.8230970000000006</v>
      </c>
      <c r="S1560" s="1">
        <v>-1.4503181000000001</v>
      </c>
      <c r="T1560" s="1">
        <v>5.6952610000000004</v>
      </c>
      <c r="U1560" s="1">
        <v>7.0330000000000004</v>
      </c>
      <c r="V1560" s="1">
        <v>78</v>
      </c>
      <c r="W1560" s="1">
        <v>144</v>
      </c>
      <c r="X1560" s="1">
        <v>1.8461538461538463</v>
      </c>
      <c r="Y1560" s="1">
        <v>84</v>
      </c>
      <c r="Z1560" s="1">
        <v>144</v>
      </c>
      <c r="AA1560" s="1">
        <v>1.7142857142857142</v>
      </c>
      <c r="AB1560" s="1">
        <v>81.187523049440415</v>
      </c>
      <c r="AC1560" s="1">
        <v>143.38842197004939</v>
      </c>
      <c r="AD1560" s="1">
        <v>1.7661386452537882</v>
      </c>
      <c r="AE1560" t="s">
        <v>4817</v>
      </c>
      <c r="AF1560" t="str">
        <f>IF(X1560&lt;$AF$1,"Bajo","Alto")</f>
        <v>Alto</v>
      </c>
      <c r="AG1560" t="str">
        <f>LEFT(AE1560,1)</f>
        <v>C</v>
      </c>
      <c r="AH1560" t="str">
        <f>K1560</f>
        <v>M</v>
      </c>
      <c r="AI1560" t="str">
        <f>LEFT(AF1560,1)</f>
        <v>A</v>
      </c>
      <c r="AJ1560" t="str">
        <f>LEFT(M1560,1)</f>
        <v>M</v>
      </c>
      <c r="AK1560" t="str">
        <f>_xlfn.CONCAT(AG1560,AH1560,AI1560,AJ1560)</f>
        <v>CMAM</v>
      </c>
    </row>
    <row r="1561" spans="1:37" ht="15.75" hidden="1" customHeight="1" x14ac:dyDescent="0.2">
      <c r="A1561" s="1">
        <v>156704</v>
      </c>
      <c r="B1561" s="1" t="s">
        <v>2077</v>
      </c>
      <c r="C1561" s="1" t="s">
        <v>57</v>
      </c>
      <c r="D1561" s="1" t="s">
        <v>2502</v>
      </c>
      <c r="E1561" s="1" t="s">
        <v>715</v>
      </c>
      <c r="F1561" s="1" t="s">
        <v>61</v>
      </c>
      <c r="G1561" s="1" t="s">
        <v>2507</v>
      </c>
      <c r="H1561" s="1">
        <v>6647</v>
      </c>
      <c r="I1561" s="1" t="s">
        <v>2508</v>
      </c>
      <c r="J1561" s="1">
        <v>5021</v>
      </c>
      <c r="K1561" s="1" t="s">
        <v>35</v>
      </c>
      <c r="L1561" s="1">
        <v>42</v>
      </c>
      <c r="M1561" s="1" t="str">
        <f>IF(L1561&lt;=45,"Joven","Mayor")</f>
        <v>Joven</v>
      </c>
      <c r="N1561" s="1">
        <v>47</v>
      </c>
      <c r="O1561" s="1" t="s">
        <v>36</v>
      </c>
      <c r="P1561" s="1">
        <v>0.442</v>
      </c>
      <c r="Q1561" s="1">
        <v>91.933000000000007</v>
      </c>
      <c r="R1561" s="1">
        <v>3.9878626000000001</v>
      </c>
      <c r="S1561" s="1">
        <v>2.5385857000000001</v>
      </c>
      <c r="T1561" s="1">
        <v>-10.962115000000001</v>
      </c>
      <c r="U1561" s="1">
        <v>2.98</v>
      </c>
      <c r="V1561" s="1">
        <v>107</v>
      </c>
      <c r="W1561" s="1">
        <v>199</v>
      </c>
      <c r="X1561" s="1">
        <v>1.8598130841121496</v>
      </c>
      <c r="Y1561" s="1">
        <v>113</v>
      </c>
      <c r="Z1561" s="1">
        <v>199</v>
      </c>
      <c r="AA1561" s="1">
        <v>1.7610619469026549</v>
      </c>
      <c r="AB1561" s="1">
        <v>116.0768587467232</v>
      </c>
      <c r="AC1561" s="1">
        <v>197.65079251276981</v>
      </c>
      <c r="AD1561" s="1">
        <v>1.7027579368256243</v>
      </c>
      <c r="AE1561" t="s">
        <v>4817</v>
      </c>
      <c r="AF1561" t="str">
        <f>IF(X1561&lt;$AF$1,"Bajo","Alto")</f>
        <v>Alto</v>
      </c>
      <c r="AG1561" t="str">
        <f>LEFT(AE1561,1)</f>
        <v>C</v>
      </c>
      <c r="AH1561" t="str">
        <f>K1561</f>
        <v>M</v>
      </c>
      <c r="AI1561" t="str">
        <f>LEFT(AF1561,1)</f>
        <v>A</v>
      </c>
      <c r="AJ1561" t="str">
        <f>LEFT(M1561,1)</f>
        <v>J</v>
      </c>
      <c r="AK1561" t="str">
        <f>_xlfn.CONCAT(AG1561,AH1561,AI1561,AJ1561)</f>
        <v>CMAJ</v>
      </c>
    </row>
    <row r="1562" spans="1:37" ht="15.75" hidden="1" customHeight="1" x14ac:dyDescent="0.2">
      <c r="A1562" s="1">
        <v>641603</v>
      </c>
      <c r="B1562" s="1" t="s">
        <v>4718</v>
      </c>
      <c r="C1562" s="1" t="s">
        <v>710</v>
      </c>
      <c r="D1562" s="1" t="s">
        <v>3331</v>
      </c>
      <c r="E1562" s="1" t="s">
        <v>244</v>
      </c>
      <c r="F1562" s="1" t="s">
        <v>63</v>
      </c>
      <c r="G1562" s="1" t="s">
        <v>4746</v>
      </c>
      <c r="H1562" s="1">
        <v>758</v>
      </c>
      <c r="I1562" s="1" t="s">
        <v>42</v>
      </c>
      <c r="J1562" s="1">
        <v>15</v>
      </c>
      <c r="K1562" s="1" t="s">
        <v>35</v>
      </c>
      <c r="L1562" s="1">
        <v>49</v>
      </c>
      <c r="M1562" s="1" t="str">
        <f>IF(L1562&lt;=45,"Joven","Mayor")</f>
        <v>Mayor</v>
      </c>
      <c r="N1562" s="1">
        <v>43</v>
      </c>
      <c r="O1562" s="1" t="s">
        <v>36</v>
      </c>
      <c r="P1562" s="1">
        <v>0.33500000000000002</v>
      </c>
      <c r="Q1562" s="1">
        <v>93.406999999999996</v>
      </c>
      <c r="R1562" s="1">
        <v>1.6358055</v>
      </c>
      <c r="S1562" s="1">
        <v>3.8042006000000002</v>
      </c>
      <c r="T1562" s="1">
        <v>-4.1725370000000002</v>
      </c>
      <c r="U1562" s="1">
        <v>15.727</v>
      </c>
      <c r="V1562" s="1">
        <v>97</v>
      </c>
      <c r="W1562" s="1">
        <v>179</v>
      </c>
      <c r="X1562" s="1">
        <v>1.8453608247422681</v>
      </c>
      <c r="Y1562" s="1">
        <v>100</v>
      </c>
      <c r="Z1562" s="1">
        <v>179</v>
      </c>
      <c r="AA1562" s="1">
        <v>1.79</v>
      </c>
      <c r="AB1562" s="1">
        <v>100.08986550035181</v>
      </c>
      <c r="AC1562" s="1">
        <v>178.96211556123029</v>
      </c>
      <c r="AD1562" s="1">
        <v>1.7880143475724948</v>
      </c>
      <c r="AE1562" t="s">
        <v>4817</v>
      </c>
      <c r="AF1562" t="str">
        <f>IF(X1562&lt;$AF$1,"Bajo","Alto")</f>
        <v>Alto</v>
      </c>
      <c r="AG1562" t="str">
        <f>LEFT(AE1562,1)</f>
        <v>C</v>
      </c>
      <c r="AH1562" t="str">
        <f>K1562</f>
        <v>M</v>
      </c>
      <c r="AI1562" t="str">
        <f>LEFT(AF1562,1)</f>
        <v>A</v>
      </c>
      <c r="AJ1562" t="str">
        <f>LEFT(M1562,1)</f>
        <v>M</v>
      </c>
      <c r="AK1562" t="str">
        <f>_xlfn.CONCAT(AG1562,AH1562,AI1562,AJ1562)</f>
        <v>CMAM</v>
      </c>
    </row>
    <row r="1563" spans="1:37" ht="15.75" hidden="1" customHeight="1" x14ac:dyDescent="0.2">
      <c r="A1563" s="1">
        <v>1285004</v>
      </c>
      <c r="B1563" s="1" t="s">
        <v>1798</v>
      </c>
      <c r="C1563" s="1" t="s">
        <v>54</v>
      </c>
      <c r="D1563" s="1" t="s">
        <v>1931</v>
      </c>
      <c r="E1563" s="1" t="s">
        <v>1932</v>
      </c>
      <c r="F1563" s="1" t="s">
        <v>61</v>
      </c>
      <c r="G1563" s="1" t="s">
        <v>1934</v>
      </c>
      <c r="H1563" s="1">
        <v>4</v>
      </c>
      <c r="I1563" s="1" t="s">
        <v>93</v>
      </c>
      <c r="J1563" s="1">
        <v>9</v>
      </c>
      <c r="K1563" s="1" t="s">
        <v>49</v>
      </c>
      <c r="L1563" s="1">
        <v>47</v>
      </c>
      <c r="M1563" s="1" t="str">
        <f>IF(L1563&lt;=45,"Joven","Mayor")</f>
        <v>Mayor</v>
      </c>
      <c r="N1563" s="1">
        <v>42</v>
      </c>
      <c r="O1563" s="1" t="s">
        <v>50</v>
      </c>
      <c r="P1563" s="1">
        <v>0.246</v>
      </c>
      <c r="Q1563" s="1">
        <v>92.052000000000007</v>
      </c>
      <c r="R1563" s="1">
        <v>1.2885731</v>
      </c>
      <c r="S1563" s="1">
        <v>8.422663</v>
      </c>
      <c r="T1563" s="1">
        <v>2.0855020999999998</v>
      </c>
      <c r="U1563" s="1">
        <v>3.1339999999999999</v>
      </c>
      <c r="V1563" s="1">
        <v>99</v>
      </c>
      <c r="W1563" s="1">
        <v>172</v>
      </c>
      <c r="X1563" s="1">
        <v>1.7373737373737375</v>
      </c>
      <c r="Y1563" s="1">
        <v>101</v>
      </c>
      <c r="Z1563" s="1">
        <v>172</v>
      </c>
      <c r="AA1563" s="1">
        <v>1.7029702970297029</v>
      </c>
      <c r="AB1563" s="1">
        <v>100.8995311976573</v>
      </c>
      <c r="AC1563" s="1">
        <v>172.17719977345359</v>
      </c>
      <c r="AD1563" s="1">
        <v>1.7064221977024532</v>
      </c>
      <c r="AE1563" t="s">
        <v>4815</v>
      </c>
      <c r="AF1563" t="str">
        <f>IF(X1563&lt;$AF$1,"Bajo","Alto")</f>
        <v>Bajo</v>
      </c>
      <c r="AG1563" t="str">
        <f>LEFT(AE1563,1)</f>
        <v>I</v>
      </c>
      <c r="AH1563" t="str">
        <f>K1563</f>
        <v>F</v>
      </c>
      <c r="AI1563" t="str">
        <f>LEFT(AF1563,1)</f>
        <v>B</v>
      </c>
      <c r="AJ1563" t="str">
        <f>LEFT(M1563,1)</f>
        <v>M</v>
      </c>
      <c r="AK1563" t="str">
        <f>_xlfn.CONCAT(AG1563,AH1563,AI1563,AJ1563)</f>
        <v>IFBM</v>
      </c>
    </row>
    <row r="1564" spans="1:37" ht="15.75" hidden="1" customHeight="1" x14ac:dyDescent="0.2">
      <c r="A1564" s="1">
        <v>1514802</v>
      </c>
      <c r="B1564" s="1" t="s">
        <v>2077</v>
      </c>
      <c r="C1564" s="1" t="s">
        <v>57</v>
      </c>
      <c r="D1564" s="1" t="s">
        <v>2170</v>
      </c>
      <c r="E1564" s="1" t="s">
        <v>201</v>
      </c>
      <c r="F1564" s="1" t="s">
        <v>37</v>
      </c>
      <c r="G1564" s="1" t="s">
        <v>2173</v>
      </c>
      <c r="H1564" s="1">
        <v>2846</v>
      </c>
      <c r="I1564" s="1" t="s">
        <v>1035</v>
      </c>
      <c r="J1564" s="1">
        <v>4432</v>
      </c>
      <c r="K1564" s="1" t="s">
        <v>35</v>
      </c>
      <c r="L1564" s="1">
        <v>52</v>
      </c>
      <c r="M1564" s="1" t="str">
        <f>IF(L1564&lt;=45,"Joven","Mayor")</f>
        <v>Mayor</v>
      </c>
      <c r="N1564" s="1">
        <v>58</v>
      </c>
      <c r="O1564" s="1" t="s">
        <v>36</v>
      </c>
      <c r="P1564" s="1">
        <v>0.41299999999999998</v>
      </c>
      <c r="Q1564" s="1">
        <v>90.412000000000006</v>
      </c>
      <c r="R1564" s="1">
        <v>3.8940959999999998</v>
      </c>
      <c r="S1564" s="1">
        <v>7.0538572999999998</v>
      </c>
      <c r="T1564" s="1">
        <v>-9.2742730000000009</v>
      </c>
      <c r="U1564" s="1">
        <v>3.1070000000000002</v>
      </c>
      <c r="V1564" s="1">
        <v>82</v>
      </c>
      <c r="W1564" s="1">
        <v>138</v>
      </c>
      <c r="X1564" s="1">
        <v>1.6829268292682926</v>
      </c>
      <c r="Y1564" s="1">
        <v>86</v>
      </c>
      <c r="Z1564" s="1">
        <v>138</v>
      </c>
      <c r="AA1564" s="1">
        <v>1.6046511627906976</v>
      </c>
      <c r="AB1564" s="1">
        <v>87.052216862329942</v>
      </c>
      <c r="AC1564" s="1">
        <v>137.64653507024701</v>
      </c>
      <c r="AD1564" s="1">
        <v>1.5811950577655045</v>
      </c>
      <c r="AE1564" t="s">
        <v>4817</v>
      </c>
      <c r="AF1564" t="str">
        <f>IF(X1564&lt;$AF$1,"Bajo","Alto")</f>
        <v>Bajo</v>
      </c>
      <c r="AG1564" t="str">
        <f>LEFT(AE1564,1)</f>
        <v>C</v>
      </c>
      <c r="AH1564" t="str">
        <f>K1564</f>
        <v>M</v>
      </c>
      <c r="AI1564" t="str">
        <f>LEFT(AF1564,1)</f>
        <v>B</v>
      </c>
      <c r="AJ1564" t="str">
        <f>LEFT(M1564,1)</f>
        <v>M</v>
      </c>
      <c r="AK1564" t="str">
        <f>_xlfn.CONCAT(AG1564,AH1564,AI1564,AJ1564)</f>
        <v>CMBM</v>
      </c>
    </row>
    <row r="1565" spans="1:37" ht="15.75" hidden="1" customHeight="1" x14ac:dyDescent="0.2">
      <c r="A1565" s="1">
        <v>317601</v>
      </c>
      <c r="B1565" s="1" t="s">
        <v>4122</v>
      </c>
      <c r="C1565" s="1" t="s">
        <v>628</v>
      </c>
      <c r="D1565" s="1" t="s">
        <v>4254</v>
      </c>
      <c r="E1565" s="1" t="s">
        <v>727</v>
      </c>
      <c r="F1565" s="1" t="s">
        <v>32</v>
      </c>
      <c r="G1565" s="1" t="s">
        <v>4255</v>
      </c>
      <c r="H1565" s="1">
        <v>1189</v>
      </c>
      <c r="I1565" s="1" t="s">
        <v>100</v>
      </c>
      <c r="J1565" s="1">
        <v>1</v>
      </c>
      <c r="K1565" s="1" t="s">
        <v>35</v>
      </c>
      <c r="L1565" s="1">
        <v>51</v>
      </c>
      <c r="M1565" s="1" t="str">
        <f>IF(L1565&lt;=45,"Joven","Mayor")</f>
        <v>Mayor</v>
      </c>
      <c r="N1565" s="1">
        <v>52</v>
      </c>
      <c r="O1565" s="1" t="s">
        <v>36</v>
      </c>
      <c r="P1565" s="1">
        <v>4.1000000000000002E-2</v>
      </c>
      <c r="Q1565" s="1">
        <v>85.905000000000001</v>
      </c>
      <c r="R1565" s="1">
        <v>8.2370020000000004</v>
      </c>
      <c r="S1565" s="1">
        <v>2.7476911999999998</v>
      </c>
      <c r="T1565" s="1">
        <v>-16.856012</v>
      </c>
      <c r="U1565" s="1">
        <v>22.774000000000001</v>
      </c>
      <c r="V1565" s="1">
        <v>84</v>
      </c>
      <c r="W1565" s="1">
        <v>155</v>
      </c>
      <c r="X1565" s="1">
        <v>1.8452380952380953</v>
      </c>
      <c r="Y1565" s="1">
        <v>99</v>
      </c>
      <c r="Z1565" s="1">
        <v>155</v>
      </c>
      <c r="AA1565" s="1">
        <v>1.5656565656565657</v>
      </c>
      <c r="AB1565" s="1">
        <v>96.339278748926745</v>
      </c>
      <c r="AC1565" s="1">
        <v>156.74971340732009</v>
      </c>
      <c r="AD1565" s="1">
        <v>1.6270592373421349</v>
      </c>
      <c r="AE1565" t="s">
        <v>4817</v>
      </c>
      <c r="AF1565" t="str">
        <f>IF(X1565&lt;$AF$1,"Bajo","Alto")</f>
        <v>Alto</v>
      </c>
      <c r="AG1565" t="str">
        <f>LEFT(AE1565,1)</f>
        <v>C</v>
      </c>
      <c r="AH1565" t="str">
        <f>K1565</f>
        <v>M</v>
      </c>
      <c r="AI1565" t="str">
        <f>LEFT(AF1565,1)</f>
        <v>A</v>
      </c>
      <c r="AJ1565" t="str">
        <f>LEFT(M1565,1)</f>
        <v>M</v>
      </c>
      <c r="AK1565" t="str">
        <f>_xlfn.CONCAT(AG1565,AH1565,AI1565,AJ1565)</f>
        <v>CMAM</v>
      </c>
    </row>
    <row r="1566" spans="1:37" ht="15.75" hidden="1" customHeight="1" x14ac:dyDescent="0.2">
      <c r="A1566" s="1">
        <v>1528903</v>
      </c>
      <c r="B1566" s="1" t="s">
        <v>2077</v>
      </c>
      <c r="C1566" s="1" t="s">
        <v>57</v>
      </c>
      <c r="D1566" s="1" t="s">
        <v>2360</v>
      </c>
      <c r="E1566" s="1" t="s">
        <v>580</v>
      </c>
      <c r="F1566" s="1" t="s">
        <v>63</v>
      </c>
      <c r="G1566" s="1" t="s">
        <v>2362</v>
      </c>
      <c r="H1566" s="1">
        <v>1329</v>
      </c>
      <c r="I1566" s="1" t="s">
        <v>2363</v>
      </c>
      <c r="J1566" s="1">
        <v>2801</v>
      </c>
      <c r="K1566" s="1" t="s">
        <v>49</v>
      </c>
      <c r="L1566" s="1">
        <v>25</v>
      </c>
      <c r="M1566" s="1" t="str">
        <f>IF(L1566&lt;=45,"Joven","Mayor")</f>
        <v>Joven</v>
      </c>
      <c r="N1566" s="1">
        <v>34</v>
      </c>
      <c r="O1566" s="1" t="s">
        <v>50</v>
      </c>
      <c r="P1566" s="1">
        <v>0.13500000000000001</v>
      </c>
      <c r="Q1566" s="1">
        <v>88.933000000000007</v>
      </c>
      <c r="R1566" s="1">
        <v>6.4325429999999999</v>
      </c>
      <c r="S1566" s="1">
        <v>3.1835241000000001</v>
      </c>
      <c r="T1566" s="1">
        <v>-2.2330146000000002</v>
      </c>
      <c r="U1566" s="1">
        <v>18.259</v>
      </c>
      <c r="V1566" s="1">
        <v>88</v>
      </c>
      <c r="W1566" s="1">
        <v>165</v>
      </c>
      <c r="X1566" s="1">
        <v>1.875</v>
      </c>
      <c r="Y1566" s="1">
        <v>94</v>
      </c>
      <c r="Z1566" s="1">
        <v>165</v>
      </c>
      <c r="AA1566" s="1">
        <v>1.7553191489361701</v>
      </c>
      <c r="AB1566" s="1">
        <v>92.642820791939812</v>
      </c>
      <c r="AC1566" s="1">
        <v>165.14744924688921</v>
      </c>
      <c r="AD1566" s="1">
        <v>1.7826254407536077</v>
      </c>
      <c r="AE1566" t="s">
        <v>4817</v>
      </c>
      <c r="AF1566" t="str">
        <f>IF(X1566&lt;$AF$1,"Bajo","Alto")</f>
        <v>Alto</v>
      </c>
      <c r="AG1566" t="str">
        <f>LEFT(AE1566,1)</f>
        <v>C</v>
      </c>
      <c r="AH1566" t="str">
        <f>K1566</f>
        <v>F</v>
      </c>
      <c r="AI1566" t="str">
        <f>LEFT(AF1566,1)</f>
        <v>A</v>
      </c>
      <c r="AJ1566" t="str">
        <f>LEFT(M1566,1)</f>
        <v>J</v>
      </c>
      <c r="AK1566" t="str">
        <f>_xlfn.CONCAT(AG1566,AH1566,AI1566,AJ1566)</f>
        <v>CFAJ</v>
      </c>
    </row>
    <row r="1567" spans="1:37" ht="15.75" hidden="1" customHeight="1" x14ac:dyDescent="0.2">
      <c r="A1567" s="1">
        <v>10115703</v>
      </c>
      <c r="B1567" s="1" t="s">
        <v>29</v>
      </c>
      <c r="C1567" s="1" t="s">
        <v>30</v>
      </c>
      <c r="D1567" s="1" t="s">
        <v>228</v>
      </c>
      <c r="E1567" s="1" t="s">
        <v>229</v>
      </c>
      <c r="F1567" s="1" t="s">
        <v>63</v>
      </c>
      <c r="G1567" s="1" t="s">
        <v>232</v>
      </c>
      <c r="H1567" s="1">
        <v>1362</v>
      </c>
      <c r="I1567" s="1" t="s">
        <v>65</v>
      </c>
      <c r="J1567" s="1">
        <v>2</v>
      </c>
      <c r="K1567" s="1" t="s">
        <v>35</v>
      </c>
      <c r="L1567" s="1">
        <v>47</v>
      </c>
      <c r="M1567" s="1" t="str">
        <f>IF(L1567&lt;=45,"Joven","Mayor")</f>
        <v>Mayor</v>
      </c>
      <c r="N1567" s="1">
        <v>43</v>
      </c>
      <c r="O1567" s="1" t="s">
        <v>36</v>
      </c>
      <c r="P1567" s="1">
        <v>3.5000000000000003E-2</v>
      </c>
      <c r="Q1567" s="1">
        <v>87.254000000000005</v>
      </c>
      <c r="R1567" s="1">
        <v>-7.1032352000000003</v>
      </c>
      <c r="S1567" s="1">
        <v>-4.6756887000000003</v>
      </c>
      <c r="T1567" s="1">
        <v>9.1864709999999992</v>
      </c>
      <c r="U1567" s="1">
        <v>4.1470000000000002</v>
      </c>
      <c r="V1567" s="1">
        <v>116</v>
      </c>
      <c r="W1567" s="1">
        <v>214</v>
      </c>
      <c r="X1567" s="1">
        <v>1.8448275862068966</v>
      </c>
      <c r="Y1567" s="1">
        <v>124</v>
      </c>
      <c r="Z1567" s="1">
        <v>214</v>
      </c>
      <c r="AA1567" s="1">
        <v>1.7258064516129032</v>
      </c>
      <c r="AB1567" s="1">
        <v>123.9314204037821</v>
      </c>
      <c r="AC1567" s="1">
        <v>211.57452996333501</v>
      </c>
      <c r="AD1567" s="1">
        <v>1.7071903902497212</v>
      </c>
      <c r="AE1567" t="s">
        <v>4817</v>
      </c>
      <c r="AF1567" t="str">
        <f>IF(X1567&lt;$AF$1,"Bajo","Alto")</f>
        <v>Alto</v>
      </c>
      <c r="AG1567" t="str">
        <f>LEFT(AE1567,1)</f>
        <v>C</v>
      </c>
      <c r="AH1567" t="str">
        <f>K1567</f>
        <v>M</v>
      </c>
      <c r="AI1567" t="str">
        <f>LEFT(AF1567,1)</f>
        <v>A</v>
      </c>
      <c r="AJ1567" t="str">
        <f>LEFT(M1567,1)</f>
        <v>M</v>
      </c>
      <c r="AK1567" t="str">
        <f>_xlfn.CONCAT(AG1567,AH1567,AI1567,AJ1567)</f>
        <v>CMAM</v>
      </c>
    </row>
    <row r="1568" spans="1:37" ht="15.75" hidden="1" customHeight="1" x14ac:dyDescent="0.2">
      <c r="A1568" s="1">
        <v>299404</v>
      </c>
      <c r="B1568" s="1" t="s">
        <v>3890</v>
      </c>
      <c r="C1568" s="1" t="s">
        <v>1695</v>
      </c>
      <c r="D1568" s="1" t="s">
        <v>4114</v>
      </c>
      <c r="E1568" s="1" t="s">
        <v>775</v>
      </c>
      <c r="F1568" s="1" t="s">
        <v>61</v>
      </c>
      <c r="G1568" s="1" t="s">
        <v>4116</v>
      </c>
      <c r="H1568" s="1">
        <v>1400</v>
      </c>
      <c r="I1568" s="1" t="s">
        <v>73</v>
      </c>
      <c r="J1568" s="1">
        <v>5</v>
      </c>
      <c r="K1568" s="1" t="s">
        <v>35</v>
      </c>
      <c r="L1568" s="1">
        <v>37</v>
      </c>
      <c r="M1568" s="1" t="str">
        <f>IF(L1568&lt;=45,"Joven","Mayor")</f>
        <v>Joven</v>
      </c>
      <c r="N1568" s="1">
        <v>64</v>
      </c>
      <c r="O1568" s="1" t="s">
        <v>36</v>
      </c>
      <c r="P1568" s="1">
        <v>0.32600000000000001</v>
      </c>
      <c r="Q1568" s="1">
        <v>93.504000000000005</v>
      </c>
      <c r="R1568" s="1">
        <v>8.1308274999999999E-2</v>
      </c>
      <c r="S1568" s="1">
        <v>6.4457754999999999</v>
      </c>
      <c r="T1568" s="1">
        <v>4.4921417000000003</v>
      </c>
      <c r="U1568" s="1">
        <v>3.4630000000000001</v>
      </c>
      <c r="V1568" s="1">
        <v>107</v>
      </c>
      <c r="W1568" s="1">
        <v>199</v>
      </c>
      <c r="X1568" s="1">
        <v>1.8598130841121496</v>
      </c>
      <c r="Y1568" s="1">
        <v>114</v>
      </c>
      <c r="Z1568" s="1">
        <v>199</v>
      </c>
      <c r="AA1568" s="1">
        <v>1.7456140350877194</v>
      </c>
      <c r="AB1568" s="1">
        <v>110.74406808236699</v>
      </c>
      <c r="AC1568" s="1">
        <v>199.01526788602311</v>
      </c>
      <c r="AD1568" s="1">
        <v>1.7970738418061682</v>
      </c>
      <c r="AE1568" t="s">
        <v>4817</v>
      </c>
      <c r="AF1568" t="str">
        <f>IF(X1568&lt;$AF$1,"Bajo","Alto")</f>
        <v>Alto</v>
      </c>
      <c r="AG1568" t="str">
        <f>LEFT(AE1568,1)</f>
        <v>C</v>
      </c>
      <c r="AH1568" t="str">
        <f>K1568</f>
        <v>M</v>
      </c>
      <c r="AI1568" t="str">
        <f>LEFT(AF1568,1)</f>
        <v>A</v>
      </c>
      <c r="AJ1568" t="str">
        <f>LEFT(M1568,1)</f>
        <v>J</v>
      </c>
      <c r="AK1568" t="str">
        <f>_xlfn.CONCAT(AG1568,AH1568,AI1568,AJ1568)</f>
        <v>CMAJ</v>
      </c>
    </row>
    <row r="1569" spans="1:37" ht="15.75" hidden="1" customHeight="1" x14ac:dyDescent="0.2">
      <c r="A1569" s="1">
        <v>1018807</v>
      </c>
      <c r="B1569" s="1" t="s">
        <v>29</v>
      </c>
      <c r="C1569" s="1" t="s">
        <v>30</v>
      </c>
      <c r="D1569" s="1" t="s">
        <v>762</v>
      </c>
      <c r="E1569" s="1" t="s">
        <v>763</v>
      </c>
      <c r="F1569" s="1" t="s">
        <v>43</v>
      </c>
      <c r="G1569" s="1" t="s">
        <v>767</v>
      </c>
      <c r="H1569" s="1">
        <v>12127</v>
      </c>
      <c r="I1569" s="1" t="s">
        <v>768</v>
      </c>
      <c r="J1569" s="1">
        <v>508</v>
      </c>
      <c r="K1569" s="1" t="s">
        <v>35</v>
      </c>
      <c r="L1569" s="1">
        <v>67</v>
      </c>
      <c r="M1569" s="1" t="str">
        <f>IF(L1569&lt;=45,"Joven","Mayor")</f>
        <v>Mayor</v>
      </c>
      <c r="N1569" s="1">
        <v>69</v>
      </c>
      <c r="O1569" s="1" t="s">
        <v>36</v>
      </c>
      <c r="P1569" s="1">
        <v>0.59</v>
      </c>
      <c r="Q1569" s="1">
        <v>79.664000000000001</v>
      </c>
      <c r="R1569" s="1">
        <v>10.620749</v>
      </c>
      <c r="S1569" s="1">
        <v>1.6138497999999999</v>
      </c>
      <c r="T1569" s="1">
        <v>-1.0164871</v>
      </c>
      <c r="U1569" s="1">
        <v>1.706</v>
      </c>
      <c r="V1569" s="1">
        <v>101</v>
      </c>
      <c r="W1569" s="1">
        <v>170</v>
      </c>
      <c r="X1569" s="1">
        <v>1.6831683168316831</v>
      </c>
      <c r="Y1569" s="1">
        <v>102</v>
      </c>
      <c r="Z1569" s="1">
        <v>170</v>
      </c>
      <c r="AA1569" s="1">
        <v>1.6666666666666667</v>
      </c>
      <c r="AB1569" s="1">
        <v>101.65823021803661</v>
      </c>
      <c r="AC1569" s="1">
        <v>169.83132647046159</v>
      </c>
      <c r="AD1569" s="1">
        <v>1.6706106933615439</v>
      </c>
      <c r="AE1569" t="s">
        <v>4817</v>
      </c>
      <c r="AF1569" t="str">
        <f>IF(X1569&lt;$AF$1,"Bajo","Alto")</f>
        <v>Bajo</v>
      </c>
      <c r="AG1569" t="str">
        <f>LEFT(AE1569,1)</f>
        <v>C</v>
      </c>
      <c r="AH1569" t="str">
        <f>K1569</f>
        <v>M</v>
      </c>
      <c r="AI1569" t="str">
        <f>LEFT(AF1569,1)</f>
        <v>B</v>
      </c>
      <c r="AJ1569" t="str">
        <f>LEFT(M1569,1)</f>
        <v>M</v>
      </c>
      <c r="AK1569" t="str">
        <f>_xlfn.CONCAT(AG1569,AH1569,AI1569,AJ1569)</f>
        <v>CMBM</v>
      </c>
    </row>
    <row r="1570" spans="1:37" ht="15.75" hidden="1" customHeight="1" x14ac:dyDescent="0.2">
      <c r="A1570" s="1">
        <v>681702</v>
      </c>
      <c r="B1570" s="1" t="s">
        <v>4791</v>
      </c>
      <c r="C1570" s="1" t="s">
        <v>1479</v>
      </c>
      <c r="D1570" s="1" t="s">
        <v>4796</v>
      </c>
      <c r="E1570" s="1" t="s">
        <v>2552</v>
      </c>
      <c r="F1570" s="1" t="s">
        <v>37</v>
      </c>
      <c r="G1570" s="1" t="s">
        <v>4797</v>
      </c>
      <c r="H1570" s="1">
        <v>100</v>
      </c>
      <c r="I1570" s="1" t="s">
        <v>65</v>
      </c>
      <c r="J1570" s="1">
        <v>2</v>
      </c>
      <c r="K1570" s="1" t="s">
        <v>35</v>
      </c>
      <c r="L1570" s="1">
        <v>33</v>
      </c>
      <c r="M1570" s="1" t="str">
        <f>IF(L1570&lt;=45,"Joven","Mayor")</f>
        <v>Joven</v>
      </c>
      <c r="N1570" s="1">
        <v>38</v>
      </c>
      <c r="O1570" s="1" t="s">
        <v>36</v>
      </c>
      <c r="P1570" s="1">
        <v>0.81499999999999995</v>
      </c>
      <c r="Q1570" s="1">
        <v>92.662000000000006</v>
      </c>
      <c r="R1570" s="1">
        <v>3.6153762</v>
      </c>
      <c r="S1570" s="1">
        <v>0.25024277</v>
      </c>
      <c r="T1570" s="1">
        <v>-6.3215013000000004</v>
      </c>
      <c r="U1570" s="1">
        <v>10.835000000000001</v>
      </c>
      <c r="V1570" s="1">
        <v>114</v>
      </c>
      <c r="W1570" s="1">
        <v>212</v>
      </c>
      <c r="X1570" s="1">
        <v>1.8596491228070176</v>
      </c>
      <c r="Y1570" s="1">
        <v>119</v>
      </c>
      <c r="Z1570" s="1">
        <v>212</v>
      </c>
      <c r="AA1570" s="1">
        <v>1.7815126050420169</v>
      </c>
      <c r="AB1570" s="1">
        <v>120.13349938838159</v>
      </c>
      <c r="AC1570" s="1">
        <v>211.48172873471961</v>
      </c>
      <c r="AD1570" s="1">
        <v>1.7603893153150962</v>
      </c>
      <c r="AE1570" t="s">
        <v>4817</v>
      </c>
      <c r="AF1570" t="str">
        <f>IF(X1570&lt;$AF$1,"Bajo","Alto")</f>
        <v>Alto</v>
      </c>
      <c r="AG1570" t="str">
        <f>LEFT(AE1570,1)</f>
        <v>C</v>
      </c>
      <c r="AH1570" t="str">
        <f>K1570</f>
        <v>M</v>
      </c>
      <c r="AI1570" t="str">
        <f>LEFT(AF1570,1)</f>
        <v>A</v>
      </c>
      <c r="AJ1570" t="str">
        <f>LEFT(M1570,1)</f>
        <v>J</v>
      </c>
      <c r="AK1570" t="str">
        <f>_xlfn.CONCAT(AG1570,AH1570,AI1570,AJ1570)</f>
        <v>CMAJ</v>
      </c>
    </row>
    <row r="1571" spans="1:37" ht="15.75" hidden="1" customHeight="1" x14ac:dyDescent="0.2">
      <c r="A1571" s="1">
        <v>1096105</v>
      </c>
      <c r="B1571" s="1" t="s">
        <v>719</v>
      </c>
      <c r="C1571" s="1" t="s">
        <v>98</v>
      </c>
      <c r="D1571" s="1" t="s">
        <v>1625</v>
      </c>
      <c r="E1571" s="1" t="s">
        <v>701</v>
      </c>
      <c r="F1571" s="1" t="s">
        <v>40</v>
      </c>
      <c r="G1571" s="1" t="s">
        <v>1629</v>
      </c>
      <c r="H1571" s="1">
        <v>1338</v>
      </c>
      <c r="I1571" s="1" t="s">
        <v>48</v>
      </c>
      <c r="J1571" s="1">
        <v>4</v>
      </c>
      <c r="K1571" s="1" t="s">
        <v>35</v>
      </c>
      <c r="L1571" s="1">
        <v>36</v>
      </c>
      <c r="M1571" s="1" t="str">
        <f>IF(L1571&lt;=45,"Joven","Mayor")</f>
        <v>Joven</v>
      </c>
      <c r="N1571" s="1">
        <v>48</v>
      </c>
      <c r="O1571" s="1" t="s">
        <v>36</v>
      </c>
      <c r="P1571" s="1">
        <v>6.0999999999999999E-2</v>
      </c>
      <c r="Q1571" s="1">
        <v>94.477000000000004</v>
      </c>
      <c r="R1571" s="1">
        <v>-0.43711077999999998</v>
      </c>
      <c r="S1571" s="1">
        <v>2.0821822000000001</v>
      </c>
      <c r="T1571" s="1">
        <v>-1.5067216999999999</v>
      </c>
      <c r="U1571" s="1">
        <v>4.194</v>
      </c>
      <c r="V1571" s="1">
        <v>83</v>
      </c>
      <c r="W1571" s="1">
        <v>141</v>
      </c>
      <c r="X1571" s="1">
        <v>1.6987951807228916</v>
      </c>
      <c r="Y1571" s="1">
        <v>85</v>
      </c>
      <c r="Z1571" s="1">
        <v>141</v>
      </c>
      <c r="AA1571" s="1">
        <v>1.6588235294117648</v>
      </c>
      <c r="AB1571" s="1">
        <v>84.075659907881118</v>
      </c>
      <c r="AC1571" s="1">
        <v>141.0301315160591</v>
      </c>
      <c r="AD1571" s="1">
        <v>1.6774192634417748</v>
      </c>
      <c r="AE1571" t="s">
        <v>4817</v>
      </c>
      <c r="AF1571" t="str">
        <f>IF(X1571&lt;$AF$1,"Bajo","Alto")</f>
        <v>Bajo</v>
      </c>
      <c r="AG1571" t="str">
        <f>LEFT(AE1571,1)</f>
        <v>C</v>
      </c>
      <c r="AH1571" t="str">
        <f>K1571</f>
        <v>M</v>
      </c>
      <c r="AI1571" t="str">
        <f>LEFT(AF1571,1)</f>
        <v>B</v>
      </c>
      <c r="AJ1571" t="str">
        <f>LEFT(M1571,1)</f>
        <v>J</v>
      </c>
      <c r="AK1571" t="str">
        <f>_xlfn.CONCAT(AG1571,AH1571,AI1571,AJ1571)</f>
        <v>CMBJ</v>
      </c>
    </row>
    <row r="1572" spans="1:37" ht="15.75" hidden="1" customHeight="1" x14ac:dyDescent="0.2">
      <c r="A1572" s="1">
        <v>2720206</v>
      </c>
      <c r="B1572" s="1" t="s">
        <v>3409</v>
      </c>
      <c r="C1572" s="1" t="s">
        <v>973</v>
      </c>
      <c r="D1572" s="1" t="s">
        <v>3620</v>
      </c>
      <c r="E1572" s="1" t="s">
        <v>358</v>
      </c>
      <c r="F1572" s="1" t="s">
        <v>88</v>
      </c>
      <c r="G1572" s="1" t="s">
        <v>3624</v>
      </c>
      <c r="H1572" s="1">
        <v>128</v>
      </c>
      <c r="I1572" s="1" t="s">
        <v>3625</v>
      </c>
      <c r="J1572" s="1">
        <v>3964</v>
      </c>
      <c r="K1572" s="1" t="s">
        <v>49</v>
      </c>
      <c r="L1572" s="1">
        <v>33</v>
      </c>
      <c r="M1572" s="1" t="str">
        <f>IF(L1572&lt;=45,"Joven","Mayor")</f>
        <v>Joven</v>
      </c>
      <c r="N1572" s="1">
        <v>29</v>
      </c>
      <c r="O1572" s="1" t="s">
        <v>50</v>
      </c>
      <c r="P1572" s="1">
        <v>0.753</v>
      </c>
      <c r="Q1572" s="1">
        <v>91.052000000000007</v>
      </c>
      <c r="R1572" s="1">
        <v>5.2814765000000001</v>
      </c>
      <c r="S1572" s="1">
        <v>-0.30712798000000002</v>
      </c>
      <c r="T1572" s="1">
        <v>-7.1062874999999996</v>
      </c>
      <c r="U1572" s="1">
        <v>8.4570000000000007</v>
      </c>
      <c r="V1572" s="1">
        <v>87</v>
      </c>
      <c r="W1572" s="1">
        <v>158</v>
      </c>
      <c r="X1572" s="1">
        <v>1.8160919540229885</v>
      </c>
      <c r="Y1572" s="1">
        <v>90</v>
      </c>
      <c r="Z1572" s="1">
        <v>158</v>
      </c>
      <c r="AA1572" s="1">
        <v>1.7555555555555555</v>
      </c>
      <c r="AB1572" s="1">
        <v>91.403823288033209</v>
      </c>
      <c r="AC1572" s="1">
        <v>157.28114366146201</v>
      </c>
      <c r="AD1572" s="1">
        <v>1.720728280324064</v>
      </c>
      <c r="AE1572" t="s">
        <v>4815</v>
      </c>
      <c r="AF1572" t="str">
        <f>IF(X1572&lt;$AF$1,"Bajo","Alto")</f>
        <v>Alto</v>
      </c>
      <c r="AG1572" t="str">
        <f>LEFT(AE1572,1)</f>
        <v>I</v>
      </c>
      <c r="AH1572" t="str">
        <f>K1572</f>
        <v>F</v>
      </c>
      <c r="AI1572" t="str">
        <f>LEFT(AF1572,1)</f>
        <v>A</v>
      </c>
      <c r="AJ1572" t="str">
        <f>LEFT(M1572,1)</f>
        <v>J</v>
      </c>
      <c r="AK1572" t="str">
        <f>_xlfn.CONCAT(AG1572,AH1572,AI1572,AJ1572)</f>
        <v>IFAJ</v>
      </c>
    </row>
    <row r="1573" spans="1:37" ht="15.75" hidden="1" customHeight="1" x14ac:dyDescent="0.2">
      <c r="A1573" s="1">
        <v>211607</v>
      </c>
      <c r="B1573" s="1" t="s">
        <v>2816</v>
      </c>
      <c r="C1573" s="1" t="s">
        <v>2817</v>
      </c>
      <c r="D1573" s="1" t="s">
        <v>2841</v>
      </c>
      <c r="E1573" s="1" t="s">
        <v>244</v>
      </c>
      <c r="F1573" s="1" t="s">
        <v>43</v>
      </c>
      <c r="G1573" s="1" t="s">
        <v>2845</v>
      </c>
      <c r="H1573" s="1">
        <v>6845</v>
      </c>
      <c r="I1573" s="1" t="s">
        <v>91</v>
      </c>
      <c r="J1573" s="1">
        <v>6</v>
      </c>
      <c r="K1573" s="1" t="s">
        <v>49</v>
      </c>
      <c r="L1573" s="1">
        <v>39</v>
      </c>
      <c r="M1573" s="1" t="str">
        <f>IF(L1573&lt;=45,"Joven","Mayor")</f>
        <v>Joven</v>
      </c>
      <c r="N1573" s="1">
        <v>42</v>
      </c>
      <c r="O1573" s="1" t="s">
        <v>50</v>
      </c>
      <c r="P1573" s="1">
        <v>0.245</v>
      </c>
      <c r="Q1573" s="1">
        <v>91.881</v>
      </c>
      <c r="R1573" s="1">
        <v>4.7136709999999997</v>
      </c>
      <c r="S1573" s="1">
        <v>-6.3034105000000003E-3</v>
      </c>
      <c r="T1573" s="1">
        <v>0.52909490000000003</v>
      </c>
      <c r="U1573" s="1">
        <v>3.4390000000000001</v>
      </c>
      <c r="V1573" s="1">
        <v>48</v>
      </c>
      <c r="W1573" s="1">
        <v>90</v>
      </c>
      <c r="X1573" s="1">
        <v>1.875</v>
      </c>
      <c r="Y1573" s="1">
        <v>49</v>
      </c>
      <c r="Z1573" s="1">
        <v>90</v>
      </c>
      <c r="AA1573" s="1">
        <v>1.8367346938775511</v>
      </c>
      <c r="AB1573" s="1">
        <v>49.210300063365374</v>
      </c>
      <c r="AC1573" s="1">
        <v>89.986928334058575</v>
      </c>
      <c r="AD1573" s="1">
        <v>1.8286197852520183</v>
      </c>
      <c r="AE1573" t="s">
        <v>4817</v>
      </c>
      <c r="AF1573" t="str">
        <f>IF(X1573&lt;$AF$1,"Bajo","Alto")</f>
        <v>Alto</v>
      </c>
      <c r="AG1573" t="str">
        <f>LEFT(AE1573,1)</f>
        <v>C</v>
      </c>
      <c r="AH1573" t="str">
        <f>K1573</f>
        <v>F</v>
      </c>
      <c r="AI1573" t="str">
        <f>LEFT(AF1573,1)</f>
        <v>A</v>
      </c>
      <c r="AJ1573" t="str">
        <f>LEFT(M1573,1)</f>
        <v>J</v>
      </c>
      <c r="AK1573" t="str">
        <f>_xlfn.CONCAT(AG1573,AH1573,AI1573,AJ1573)</f>
        <v>CFAJ</v>
      </c>
    </row>
    <row r="1574" spans="1:37" ht="15.75" hidden="1" customHeight="1" x14ac:dyDescent="0.2">
      <c r="A1574" s="1">
        <v>245404</v>
      </c>
      <c r="B1574" s="1" t="s">
        <v>1548</v>
      </c>
      <c r="C1574" s="1" t="s">
        <v>1993</v>
      </c>
      <c r="D1574" s="1" t="s">
        <v>3147</v>
      </c>
      <c r="E1574" s="1" t="s">
        <v>3148</v>
      </c>
      <c r="F1574" s="1" t="s">
        <v>61</v>
      </c>
      <c r="G1574" s="1" t="s">
        <v>3151</v>
      </c>
      <c r="H1574" s="1">
        <v>4324</v>
      </c>
      <c r="I1574" s="1" t="s">
        <v>65</v>
      </c>
      <c r="J1574" s="1">
        <v>2</v>
      </c>
      <c r="K1574" s="1" t="s">
        <v>35</v>
      </c>
      <c r="L1574" s="1">
        <v>67</v>
      </c>
      <c r="M1574" s="1" t="str">
        <f>IF(L1574&lt;=45,"Joven","Mayor")</f>
        <v>Mayor</v>
      </c>
      <c r="N1574" s="1">
        <v>70</v>
      </c>
      <c r="O1574" s="1" t="s">
        <v>36</v>
      </c>
      <c r="P1574" s="1">
        <v>0.34799999999999998</v>
      </c>
      <c r="Q1574" s="1">
        <v>91.049000000000007</v>
      </c>
      <c r="R1574" s="1">
        <v>3.4692340000000002</v>
      </c>
      <c r="S1574" s="1">
        <v>6.6325260000000004</v>
      </c>
      <c r="T1574" s="1">
        <v>0.58402354000000001</v>
      </c>
      <c r="U1574" s="1">
        <v>0.42499999999999999</v>
      </c>
      <c r="V1574" s="1">
        <v>57</v>
      </c>
      <c r="W1574" s="1">
        <v>96</v>
      </c>
      <c r="X1574" s="1">
        <v>1.6842105263157894</v>
      </c>
      <c r="Y1574" s="1">
        <v>57</v>
      </c>
      <c r="Z1574" s="1">
        <v>96</v>
      </c>
      <c r="AA1574" s="1">
        <v>1.6842105263157894</v>
      </c>
      <c r="AB1574" s="1">
        <v>57.272248720016478</v>
      </c>
      <c r="AC1574" s="1">
        <v>96.015398758760057</v>
      </c>
      <c r="AD1574" s="1">
        <v>1.6764733514855505</v>
      </c>
      <c r="AE1574" t="s">
        <v>4817</v>
      </c>
      <c r="AF1574" t="str">
        <f>IF(X1574&lt;$AF$1,"Bajo","Alto")</f>
        <v>Bajo</v>
      </c>
      <c r="AG1574" t="str">
        <f>LEFT(AE1574,1)</f>
        <v>C</v>
      </c>
      <c r="AH1574" t="str">
        <f>K1574</f>
        <v>M</v>
      </c>
      <c r="AI1574" t="str">
        <f>LEFT(AF1574,1)</f>
        <v>B</v>
      </c>
      <c r="AJ1574" t="str">
        <f>LEFT(M1574,1)</f>
        <v>M</v>
      </c>
      <c r="AK1574" t="str">
        <f>_xlfn.CONCAT(AG1574,AH1574,AI1574,AJ1574)</f>
        <v>CMBM</v>
      </c>
    </row>
    <row r="1575" spans="1:37" ht="15.75" hidden="1" customHeight="1" x14ac:dyDescent="0.2">
      <c r="A1575" s="1">
        <v>134001</v>
      </c>
      <c r="B1575" s="1" t="s">
        <v>956</v>
      </c>
      <c r="C1575" s="1" t="s">
        <v>163</v>
      </c>
      <c r="D1575" s="1" t="s">
        <v>2039</v>
      </c>
      <c r="E1575" s="1" t="s">
        <v>657</v>
      </c>
      <c r="F1575" s="1" t="s">
        <v>32</v>
      </c>
      <c r="G1575" s="1" t="s">
        <v>2040</v>
      </c>
      <c r="H1575" s="1">
        <v>5619</v>
      </c>
      <c r="I1575" s="1" t="s">
        <v>100</v>
      </c>
      <c r="J1575" s="1">
        <v>1</v>
      </c>
      <c r="K1575" s="1" t="s">
        <v>49</v>
      </c>
      <c r="L1575" s="1">
        <v>58</v>
      </c>
      <c r="M1575" s="1" t="str">
        <f>IF(L1575&lt;=45,"Joven","Mayor")</f>
        <v>Mayor</v>
      </c>
      <c r="N1575" s="1">
        <v>63</v>
      </c>
      <c r="O1575" s="1" t="s">
        <v>50</v>
      </c>
      <c r="P1575" s="1">
        <v>0.34899999999999998</v>
      </c>
      <c r="Q1575" s="1">
        <v>94.01</v>
      </c>
      <c r="R1575" s="1">
        <v>-0.17553585999999999</v>
      </c>
      <c r="S1575" s="1">
        <v>4.500972</v>
      </c>
      <c r="T1575" s="1">
        <v>-2.6205539999999998</v>
      </c>
      <c r="U1575" s="1">
        <v>45.747999999999998</v>
      </c>
      <c r="V1575" s="1">
        <v>89</v>
      </c>
      <c r="W1575" s="1">
        <v>149</v>
      </c>
      <c r="X1575" s="1">
        <v>1.6741573033707866</v>
      </c>
      <c r="Y1575" s="1">
        <v>93</v>
      </c>
      <c r="Z1575" s="1">
        <v>149</v>
      </c>
      <c r="AA1575" s="1">
        <v>1.6021505376344085</v>
      </c>
      <c r="AB1575" s="1">
        <v>91.16533226299066</v>
      </c>
      <c r="AC1575" s="1">
        <v>148.88990195189169</v>
      </c>
      <c r="AD1575" s="1">
        <v>1.6331855350713707</v>
      </c>
      <c r="AE1575" t="s">
        <v>4817</v>
      </c>
      <c r="AF1575" t="str">
        <f>IF(X1575&lt;$AF$1,"Bajo","Alto")</f>
        <v>Bajo</v>
      </c>
      <c r="AG1575" t="str">
        <f>LEFT(AE1575,1)</f>
        <v>C</v>
      </c>
      <c r="AH1575" t="str">
        <f>K1575</f>
        <v>F</v>
      </c>
      <c r="AI1575" t="str">
        <f>LEFT(AF1575,1)</f>
        <v>B</v>
      </c>
      <c r="AJ1575" t="str">
        <f>LEFT(M1575,1)</f>
        <v>M</v>
      </c>
      <c r="AK1575" t="str">
        <f>_xlfn.CONCAT(AG1575,AH1575,AI1575,AJ1575)</f>
        <v>CFBM</v>
      </c>
    </row>
    <row r="1576" spans="1:37" ht="15.75" hidden="1" customHeight="1" x14ac:dyDescent="0.2">
      <c r="A1576" s="1">
        <v>10121702</v>
      </c>
      <c r="B1576" s="1" t="s">
        <v>29</v>
      </c>
      <c r="C1576" s="1" t="s">
        <v>30</v>
      </c>
      <c r="D1576" s="1" t="s">
        <v>403</v>
      </c>
      <c r="E1576" s="1" t="s">
        <v>404</v>
      </c>
      <c r="F1576" s="1" t="s">
        <v>37</v>
      </c>
      <c r="G1576" s="1" t="s">
        <v>406</v>
      </c>
      <c r="H1576" s="1">
        <v>1926</v>
      </c>
      <c r="I1576" s="1" t="s">
        <v>39</v>
      </c>
      <c r="J1576" s="1">
        <v>11</v>
      </c>
      <c r="K1576" s="1" t="s">
        <v>35</v>
      </c>
      <c r="L1576" s="1">
        <v>38</v>
      </c>
      <c r="M1576" s="1" t="str">
        <f>IF(L1576&lt;=45,"Joven","Mayor")</f>
        <v>Joven</v>
      </c>
      <c r="N1576" s="1">
        <v>44</v>
      </c>
      <c r="O1576" s="1" t="s">
        <v>36</v>
      </c>
      <c r="P1576" s="1">
        <v>0.53800000000000003</v>
      </c>
      <c r="Q1576" s="1">
        <v>93.802000000000007</v>
      </c>
      <c r="R1576" s="1">
        <v>0.79996540000000005</v>
      </c>
      <c r="S1576" s="1">
        <v>3.9071539999999998</v>
      </c>
      <c r="T1576" s="1">
        <v>-3.5873528000000001</v>
      </c>
      <c r="U1576" s="1">
        <v>0.92800000000000005</v>
      </c>
      <c r="V1576" s="1">
        <v>92</v>
      </c>
      <c r="W1576" s="1">
        <v>168</v>
      </c>
      <c r="X1576" s="1">
        <v>1.826086956521739</v>
      </c>
      <c r="Y1576" s="1">
        <v>93</v>
      </c>
      <c r="Z1576" s="1">
        <v>168</v>
      </c>
      <c r="AA1576" s="1">
        <v>1.8064516129032258</v>
      </c>
      <c r="AB1576" s="1">
        <v>95.758572730009973</v>
      </c>
      <c r="AC1576" s="1">
        <v>167.60824456683579</v>
      </c>
      <c r="AD1576" s="1">
        <v>1.7503210395523021</v>
      </c>
      <c r="AE1576" t="s">
        <v>4816</v>
      </c>
      <c r="AF1576" t="str">
        <f>IF(X1576&lt;$AF$1,"Bajo","Alto")</f>
        <v>Alto</v>
      </c>
      <c r="AG1576" t="str">
        <f>LEFT(AE1576,1)</f>
        <v>D</v>
      </c>
      <c r="AH1576" t="str">
        <f>K1576</f>
        <v>M</v>
      </c>
      <c r="AI1576" t="str">
        <f>LEFT(AF1576,1)</f>
        <v>A</v>
      </c>
      <c r="AJ1576" t="str">
        <f>LEFT(M1576,1)</f>
        <v>J</v>
      </c>
      <c r="AK1576" t="str">
        <f>_xlfn.CONCAT(AG1576,AH1576,AI1576,AJ1576)</f>
        <v>DMAJ</v>
      </c>
    </row>
    <row r="1577" spans="1:37" ht="15.75" hidden="1" customHeight="1" x14ac:dyDescent="0.2">
      <c r="A1577" s="1">
        <v>265002</v>
      </c>
      <c r="B1577" s="1" t="s">
        <v>3358</v>
      </c>
      <c r="C1577" s="1" t="s">
        <v>968</v>
      </c>
      <c r="D1577" s="1" t="s">
        <v>3396</v>
      </c>
      <c r="E1577" s="1" t="s">
        <v>1001</v>
      </c>
      <c r="F1577" s="1" t="s">
        <v>37</v>
      </c>
      <c r="G1577" s="1" t="s">
        <v>3397</v>
      </c>
      <c r="H1577" s="1">
        <v>2643</v>
      </c>
      <c r="I1577" s="1" t="s">
        <v>108</v>
      </c>
      <c r="J1577" s="1">
        <v>3</v>
      </c>
      <c r="K1577" s="1" t="s">
        <v>35</v>
      </c>
      <c r="L1577" s="1">
        <v>28</v>
      </c>
      <c r="M1577" s="1" t="str">
        <f>IF(L1577&lt;=45,"Joven","Mayor")</f>
        <v>Joven</v>
      </c>
      <c r="N1577" s="1">
        <v>36</v>
      </c>
      <c r="O1577" s="1" t="s">
        <v>36</v>
      </c>
      <c r="P1577" s="1">
        <v>0.26</v>
      </c>
      <c r="Q1577" s="1">
        <v>93.864999999999995</v>
      </c>
      <c r="R1577" s="1">
        <v>1.8501795999999999</v>
      </c>
      <c r="S1577" s="1">
        <v>1.1796693</v>
      </c>
      <c r="T1577" s="1">
        <v>0.49252882999999997</v>
      </c>
      <c r="U1577" s="1">
        <v>0.72299999999999998</v>
      </c>
      <c r="V1577" s="1">
        <v>71</v>
      </c>
      <c r="W1577" s="1">
        <v>132</v>
      </c>
      <c r="X1577" s="1">
        <v>1.8591549295774648</v>
      </c>
      <c r="Y1577" s="1">
        <v>72</v>
      </c>
      <c r="Z1577" s="1">
        <v>132</v>
      </c>
      <c r="AA1577" s="1">
        <v>1.8333333333333333</v>
      </c>
      <c r="AB1577" s="1">
        <v>71.730859317933891</v>
      </c>
      <c r="AC1577" s="1">
        <v>132.03810364576569</v>
      </c>
      <c r="AD1577" s="1">
        <v>1.8407433690502855</v>
      </c>
      <c r="AE1577" t="s">
        <v>4817</v>
      </c>
      <c r="AF1577" t="str">
        <f>IF(X1577&lt;$AF$1,"Bajo","Alto")</f>
        <v>Alto</v>
      </c>
      <c r="AG1577" t="str">
        <f>LEFT(AE1577,1)</f>
        <v>C</v>
      </c>
      <c r="AH1577" t="str">
        <f>K1577</f>
        <v>M</v>
      </c>
      <c r="AI1577" t="str">
        <f>LEFT(AF1577,1)</f>
        <v>A</v>
      </c>
      <c r="AJ1577" t="str">
        <f>LEFT(M1577,1)</f>
        <v>J</v>
      </c>
      <c r="AK1577" t="str">
        <f>_xlfn.CONCAT(AG1577,AH1577,AI1577,AJ1577)</f>
        <v>CMAJ</v>
      </c>
    </row>
    <row r="1578" spans="1:37" ht="15.75" hidden="1" customHeight="1" x14ac:dyDescent="0.2">
      <c r="A1578" s="1">
        <v>1510305</v>
      </c>
      <c r="B1578" s="1" t="s">
        <v>2077</v>
      </c>
      <c r="C1578" s="1" t="s">
        <v>57</v>
      </c>
      <c r="D1578" s="1" t="s">
        <v>2099</v>
      </c>
      <c r="E1578" s="1" t="s">
        <v>81</v>
      </c>
      <c r="F1578" s="1" t="s">
        <v>40</v>
      </c>
      <c r="G1578" s="1" t="s">
        <v>2105</v>
      </c>
      <c r="H1578" s="1">
        <v>1211</v>
      </c>
      <c r="I1578" s="1" t="s">
        <v>2106</v>
      </c>
      <c r="J1578" s="1">
        <v>3296</v>
      </c>
      <c r="K1578" s="1" t="s">
        <v>35</v>
      </c>
      <c r="L1578" s="1">
        <v>45</v>
      </c>
      <c r="M1578" s="1" t="str">
        <f>IF(L1578&lt;=45,"Joven","Mayor")</f>
        <v>Joven</v>
      </c>
      <c r="N1578" s="1">
        <v>63</v>
      </c>
      <c r="O1578" s="1" t="s">
        <v>36</v>
      </c>
      <c r="P1578" s="1">
        <v>3.5999999999999997E-2</v>
      </c>
      <c r="Q1578" s="1">
        <v>83.058999999999997</v>
      </c>
      <c r="R1578" s="1">
        <v>7.8644860000000003</v>
      </c>
      <c r="S1578" s="1">
        <v>8.7784859999999991</v>
      </c>
      <c r="T1578" s="1">
        <v>-6.1218656999999999</v>
      </c>
      <c r="U1578" s="1">
        <v>2.9969999999999999</v>
      </c>
      <c r="V1578" s="1">
        <v>78</v>
      </c>
      <c r="W1578" s="1">
        <v>145</v>
      </c>
      <c r="X1578" s="1">
        <v>1.858974358974359</v>
      </c>
      <c r="Y1578" s="1">
        <v>86</v>
      </c>
      <c r="Z1578" s="1">
        <v>145</v>
      </c>
      <c r="AA1578" s="1">
        <v>1.6860465116279071</v>
      </c>
      <c r="AB1578" s="1">
        <v>82.247506204746969</v>
      </c>
      <c r="AC1578" s="1">
        <v>144.81297234570681</v>
      </c>
      <c r="AD1578" s="1">
        <v>1.7606974244934472</v>
      </c>
      <c r="AE1578" t="s">
        <v>4817</v>
      </c>
      <c r="AF1578" t="str">
        <f>IF(X1578&lt;$AF$1,"Bajo","Alto")</f>
        <v>Alto</v>
      </c>
      <c r="AG1578" t="str">
        <f>LEFT(AE1578,1)</f>
        <v>C</v>
      </c>
      <c r="AH1578" t="str">
        <f>K1578</f>
        <v>M</v>
      </c>
      <c r="AI1578" t="str">
        <f>LEFT(AF1578,1)</f>
        <v>A</v>
      </c>
      <c r="AJ1578" t="str">
        <f>LEFT(M1578,1)</f>
        <v>J</v>
      </c>
      <c r="AK1578" t="str">
        <f>_xlfn.CONCAT(AG1578,AH1578,AI1578,AJ1578)</f>
        <v>CMAJ</v>
      </c>
    </row>
    <row r="1579" spans="1:37" ht="15.75" hidden="1" customHeight="1" x14ac:dyDescent="0.2">
      <c r="A1579" s="1">
        <v>1077601</v>
      </c>
      <c r="B1579" s="1" t="s">
        <v>1067</v>
      </c>
      <c r="C1579" s="1" t="s">
        <v>1068</v>
      </c>
      <c r="D1579" s="1" t="s">
        <v>1488</v>
      </c>
      <c r="E1579" s="1" t="s">
        <v>727</v>
      </c>
      <c r="F1579" s="1" t="s">
        <v>32</v>
      </c>
      <c r="G1579" s="1" t="s">
        <v>1489</v>
      </c>
      <c r="H1579" s="1">
        <v>84</v>
      </c>
      <c r="I1579" s="1" t="s">
        <v>85</v>
      </c>
      <c r="J1579" s="1">
        <v>12</v>
      </c>
      <c r="K1579" s="1" t="s">
        <v>35</v>
      </c>
      <c r="L1579" s="1">
        <v>39</v>
      </c>
      <c r="M1579" s="1" t="str">
        <f>IF(L1579&lt;=45,"Joven","Mayor")</f>
        <v>Joven</v>
      </c>
      <c r="N1579" s="1">
        <v>31</v>
      </c>
      <c r="O1579" s="1" t="s">
        <v>36</v>
      </c>
      <c r="P1579" s="1">
        <v>0.104</v>
      </c>
      <c r="Q1579" s="1">
        <v>84.826999999999998</v>
      </c>
      <c r="R1579" s="1">
        <v>-8.1827210000000008</v>
      </c>
      <c r="S1579" s="1">
        <v>5.1381119999999996</v>
      </c>
      <c r="T1579" s="1">
        <v>7.2542048000000001</v>
      </c>
      <c r="U1579" s="1">
        <v>7.9249999999999998</v>
      </c>
      <c r="V1579" s="1">
        <v>91</v>
      </c>
      <c r="W1579" s="1">
        <v>154</v>
      </c>
      <c r="X1579" s="1">
        <v>1.6923076923076923</v>
      </c>
      <c r="Y1579" s="1">
        <v>95</v>
      </c>
      <c r="Z1579" s="1">
        <v>154</v>
      </c>
      <c r="AA1579" s="1">
        <v>1.6210526315789473</v>
      </c>
      <c r="AB1579" s="1">
        <v>94.94366286424156</v>
      </c>
      <c r="AC1579" s="1">
        <v>153.39869442584131</v>
      </c>
      <c r="AD1579" s="1">
        <v>1.6156812345146583</v>
      </c>
      <c r="AE1579" t="s">
        <v>4815</v>
      </c>
      <c r="AF1579" t="str">
        <f>IF(X1579&lt;$AF$1,"Bajo","Alto")</f>
        <v>Bajo</v>
      </c>
      <c r="AG1579" t="str">
        <f>LEFT(AE1579,1)</f>
        <v>I</v>
      </c>
      <c r="AH1579" t="str">
        <f>K1579</f>
        <v>M</v>
      </c>
      <c r="AI1579" t="str">
        <f>LEFT(AF1579,1)</f>
        <v>B</v>
      </c>
      <c r="AJ1579" t="str">
        <f>LEFT(M1579,1)</f>
        <v>J</v>
      </c>
      <c r="AK1579" t="str">
        <f>_xlfn.CONCAT(AG1579,AH1579,AI1579,AJ1579)</f>
        <v>IMBJ</v>
      </c>
    </row>
    <row r="1580" spans="1:37" ht="15.75" hidden="1" customHeight="1" x14ac:dyDescent="0.2">
      <c r="A1580" s="1">
        <v>10114503</v>
      </c>
      <c r="B1580" s="1" t="s">
        <v>29</v>
      </c>
      <c r="C1580" s="1" t="s">
        <v>30</v>
      </c>
      <c r="D1580" s="1" t="s">
        <v>192</v>
      </c>
      <c r="E1580" s="1" t="s">
        <v>193</v>
      </c>
      <c r="F1580" s="1" t="s">
        <v>63</v>
      </c>
      <c r="G1580" s="1" t="s">
        <v>196</v>
      </c>
      <c r="H1580" s="1">
        <v>1096</v>
      </c>
      <c r="I1580" s="1" t="s">
        <v>197</v>
      </c>
      <c r="J1580" s="1">
        <v>586</v>
      </c>
      <c r="K1580" s="1" t="s">
        <v>49</v>
      </c>
      <c r="L1580" s="1">
        <v>46</v>
      </c>
      <c r="M1580" s="1" t="str">
        <f>IF(L1580&lt;=45,"Joven","Mayor")</f>
        <v>Mayor</v>
      </c>
      <c r="N1580" s="1">
        <v>27</v>
      </c>
      <c r="O1580" s="1" t="s">
        <v>50</v>
      </c>
      <c r="P1580" s="1">
        <v>0.30099999999999999</v>
      </c>
      <c r="Q1580" s="1">
        <v>94.414000000000001</v>
      </c>
      <c r="R1580" s="1">
        <v>0.60981803999999995</v>
      </c>
      <c r="S1580" s="1">
        <v>1.6959196000000001</v>
      </c>
      <c r="T1580" s="1">
        <v>7.6216663999999996</v>
      </c>
      <c r="U1580" s="1">
        <v>2.6070000000000002</v>
      </c>
      <c r="V1580" s="1">
        <v>99</v>
      </c>
      <c r="W1580" s="1">
        <v>166</v>
      </c>
      <c r="X1580" s="1">
        <v>1.6767676767676767</v>
      </c>
      <c r="Y1580" s="1">
        <v>108</v>
      </c>
      <c r="Z1580" s="1">
        <v>166</v>
      </c>
      <c r="AA1580" s="1">
        <v>1.537037037037037</v>
      </c>
      <c r="AB1580" s="1">
        <v>105.9506215349236</v>
      </c>
      <c r="AC1580" s="1">
        <v>166.92082756127229</v>
      </c>
      <c r="AD1580" s="1">
        <v>1.5754586914457278</v>
      </c>
      <c r="AE1580" t="s">
        <v>4817</v>
      </c>
      <c r="AF1580" t="str">
        <f>IF(X1580&lt;$AF$1,"Bajo","Alto")</f>
        <v>Bajo</v>
      </c>
      <c r="AG1580" t="str">
        <f>LEFT(AE1580,1)</f>
        <v>C</v>
      </c>
      <c r="AH1580" t="str">
        <f>K1580</f>
        <v>F</v>
      </c>
      <c r="AI1580" t="str">
        <f>LEFT(AF1580,1)</f>
        <v>B</v>
      </c>
      <c r="AJ1580" t="str">
        <f>LEFT(M1580,1)</f>
        <v>M</v>
      </c>
      <c r="AK1580" t="str">
        <f>_xlfn.CONCAT(AG1580,AH1580,AI1580,AJ1580)</f>
        <v>CFBM</v>
      </c>
    </row>
    <row r="1581" spans="1:37" ht="15.75" hidden="1" customHeight="1" x14ac:dyDescent="0.2">
      <c r="A1581" s="1">
        <v>10120603</v>
      </c>
      <c r="B1581" s="1" t="s">
        <v>29</v>
      </c>
      <c r="C1581" s="1" t="s">
        <v>30</v>
      </c>
      <c r="D1581" s="1" t="s">
        <v>370</v>
      </c>
      <c r="E1581" s="1" t="s">
        <v>371</v>
      </c>
      <c r="F1581" s="1" t="s">
        <v>63</v>
      </c>
      <c r="G1581" s="1" t="s">
        <v>374</v>
      </c>
      <c r="H1581" s="1">
        <v>684</v>
      </c>
      <c r="I1581" s="1" t="s">
        <v>134</v>
      </c>
      <c r="J1581" s="1">
        <v>8</v>
      </c>
      <c r="K1581" s="1" t="s">
        <v>35</v>
      </c>
      <c r="L1581" s="1">
        <v>51</v>
      </c>
      <c r="M1581" s="1" t="str">
        <f>IF(L1581&lt;=45,"Joven","Mayor")</f>
        <v>Mayor</v>
      </c>
      <c r="N1581" s="1">
        <v>52</v>
      </c>
      <c r="O1581" s="1" t="s">
        <v>36</v>
      </c>
      <c r="P1581" s="1">
        <v>7.5999999999999998E-2</v>
      </c>
      <c r="Q1581" s="1">
        <v>93.194000000000003</v>
      </c>
      <c r="R1581" s="1">
        <v>-2.2723005000000001</v>
      </c>
      <c r="S1581" s="1">
        <v>3.3008975999999999</v>
      </c>
      <c r="T1581" s="1">
        <v>-2.6780330000000001</v>
      </c>
      <c r="U1581" s="1">
        <v>4.4660000000000002</v>
      </c>
      <c r="V1581" s="1">
        <v>90</v>
      </c>
      <c r="W1581" s="1">
        <v>166</v>
      </c>
      <c r="X1581" s="1">
        <v>1.8444444444444446</v>
      </c>
      <c r="Y1581" s="1">
        <v>94</v>
      </c>
      <c r="Z1581" s="1">
        <v>166</v>
      </c>
      <c r="AA1581" s="1">
        <v>1.7659574468085106</v>
      </c>
      <c r="AB1581" s="1">
        <v>91.934953018708256</v>
      </c>
      <c r="AC1581" s="1">
        <v>165.95887552018621</v>
      </c>
      <c r="AD1581" s="1">
        <v>1.8051771396066791</v>
      </c>
      <c r="AE1581" t="s">
        <v>4817</v>
      </c>
      <c r="AF1581" t="str">
        <f>IF(X1581&lt;$AF$1,"Bajo","Alto")</f>
        <v>Alto</v>
      </c>
      <c r="AG1581" t="str">
        <f>LEFT(AE1581,1)</f>
        <v>C</v>
      </c>
      <c r="AH1581" t="str">
        <f>K1581</f>
        <v>M</v>
      </c>
      <c r="AI1581" t="str">
        <f>LEFT(AF1581,1)</f>
        <v>A</v>
      </c>
      <c r="AJ1581" t="str">
        <f>LEFT(M1581,1)</f>
        <v>M</v>
      </c>
      <c r="AK1581" t="str">
        <f>_xlfn.CONCAT(AG1581,AH1581,AI1581,AJ1581)</f>
        <v>CMAM</v>
      </c>
    </row>
    <row r="1582" spans="1:37" ht="15.75" hidden="1" customHeight="1" x14ac:dyDescent="0.2">
      <c r="A1582" s="1">
        <v>196703</v>
      </c>
      <c r="B1582" s="1" t="s">
        <v>2656</v>
      </c>
      <c r="C1582" s="1" t="s">
        <v>323</v>
      </c>
      <c r="D1582" s="1" t="s">
        <v>2775</v>
      </c>
      <c r="E1582" s="1" t="s">
        <v>715</v>
      </c>
      <c r="F1582" s="1" t="s">
        <v>63</v>
      </c>
      <c r="G1582" s="1" t="s">
        <v>2776</v>
      </c>
      <c r="H1582" s="1">
        <v>27</v>
      </c>
      <c r="I1582" s="1" t="s">
        <v>73</v>
      </c>
      <c r="J1582" s="1">
        <v>5</v>
      </c>
      <c r="K1582" s="1" t="s">
        <v>35</v>
      </c>
      <c r="L1582" s="1">
        <v>38</v>
      </c>
      <c r="M1582" s="1" t="str">
        <f>IF(L1582&lt;=45,"Joven","Mayor")</f>
        <v>Joven</v>
      </c>
      <c r="N1582" s="1">
        <v>40</v>
      </c>
      <c r="O1582" s="1" t="s">
        <v>36</v>
      </c>
      <c r="P1582" s="1">
        <v>0.36499999999999999</v>
      </c>
      <c r="Q1582" s="1">
        <v>91.018000000000001</v>
      </c>
      <c r="R1582" s="1">
        <v>-3.6588409999999998</v>
      </c>
      <c r="S1582" s="1">
        <v>6.2628484000000002</v>
      </c>
      <c r="T1582" s="1">
        <v>0.86048764</v>
      </c>
      <c r="U1582" s="1">
        <v>40.787999999999997</v>
      </c>
      <c r="V1582" s="1">
        <v>90</v>
      </c>
      <c r="W1582" s="1">
        <v>153</v>
      </c>
      <c r="X1582" s="1">
        <v>1.7</v>
      </c>
      <c r="Y1582" s="1">
        <v>93</v>
      </c>
      <c r="Z1582" s="1">
        <v>153</v>
      </c>
      <c r="AA1582" s="1">
        <v>1.6451612903225807</v>
      </c>
      <c r="AB1582" s="1">
        <v>92.328729864746947</v>
      </c>
      <c r="AC1582" s="1">
        <v>153.01278125842151</v>
      </c>
      <c r="AD1582" s="1">
        <v>1.6572607625229014</v>
      </c>
      <c r="AE1582" t="s">
        <v>4817</v>
      </c>
      <c r="AF1582" t="str">
        <f>IF(X1582&lt;$AF$1,"Bajo","Alto")</f>
        <v>Bajo</v>
      </c>
      <c r="AG1582" t="str">
        <f>LEFT(AE1582,1)</f>
        <v>C</v>
      </c>
      <c r="AH1582" t="str">
        <f>K1582</f>
        <v>M</v>
      </c>
      <c r="AI1582" t="str">
        <f>LEFT(AF1582,1)</f>
        <v>B</v>
      </c>
      <c r="AJ1582" t="str">
        <f>LEFT(M1582,1)</f>
        <v>J</v>
      </c>
      <c r="AK1582" t="str">
        <f>_xlfn.CONCAT(AG1582,AH1582,AI1582,AJ1582)</f>
        <v>CMBJ</v>
      </c>
    </row>
    <row r="1583" spans="1:37" ht="15.75" hidden="1" customHeight="1" x14ac:dyDescent="0.2">
      <c r="A1583" s="1">
        <v>170107</v>
      </c>
      <c r="B1583" s="1" t="s">
        <v>2551</v>
      </c>
      <c r="C1583" s="1" t="s">
        <v>2552</v>
      </c>
      <c r="D1583" s="1" t="s">
        <v>2553</v>
      </c>
      <c r="E1583" s="1" t="s">
        <v>32</v>
      </c>
      <c r="F1583" s="1" t="s">
        <v>43</v>
      </c>
      <c r="G1583" s="1" t="s">
        <v>2556</v>
      </c>
      <c r="H1583" s="1">
        <v>10911</v>
      </c>
      <c r="I1583" s="1" t="s">
        <v>2557</v>
      </c>
      <c r="J1583" s="1">
        <v>3855</v>
      </c>
      <c r="K1583" s="1" t="s">
        <v>35</v>
      </c>
      <c r="L1583" s="1">
        <v>50</v>
      </c>
      <c r="M1583" s="1" t="str">
        <f>IF(L1583&lt;=45,"Joven","Mayor")</f>
        <v>Mayor</v>
      </c>
      <c r="N1583" s="1">
        <v>60</v>
      </c>
      <c r="O1583" s="1" t="s">
        <v>36</v>
      </c>
      <c r="P1583" s="1">
        <v>4.8000000000000001E-2</v>
      </c>
      <c r="Q1583" s="1">
        <v>52.616</v>
      </c>
      <c r="R1583" s="1">
        <v>15.487252</v>
      </c>
      <c r="S1583" s="1">
        <v>-3.8717600999999999</v>
      </c>
      <c r="T1583" s="1">
        <v>-6.0334596999999999</v>
      </c>
      <c r="U1583" s="1">
        <v>8.0609999999999999</v>
      </c>
      <c r="V1583" s="1">
        <v>109</v>
      </c>
      <c r="W1583" s="1">
        <v>201</v>
      </c>
      <c r="X1583" s="1">
        <v>1.8440366972477065</v>
      </c>
      <c r="Y1583" s="1">
        <v>113</v>
      </c>
      <c r="Z1583" s="1">
        <v>201</v>
      </c>
      <c r="AA1583" s="1">
        <v>1.7787610619469028</v>
      </c>
      <c r="AB1583" s="1">
        <v>112.70569281030291</v>
      </c>
      <c r="AC1583" s="1">
        <v>199.2559419245872</v>
      </c>
      <c r="AD1583" s="1">
        <v>1.7679314767174952</v>
      </c>
      <c r="AE1583" t="s">
        <v>4817</v>
      </c>
      <c r="AF1583" t="str">
        <f>IF(X1583&lt;$AF$1,"Bajo","Alto")</f>
        <v>Alto</v>
      </c>
      <c r="AG1583" t="str">
        <f>LEFT(AE1583,1)</f>
        <v>C</v>
      </c>
      <c r="AH1583" t="str">
        <f>K1583</f>
        <v>M</v>
      </c>
      <c r="AI1583" t="str">
        <f>LEFT(AF1583,1)</f>
        <v>A</v>
      </c>
      <c r="AJ1583" t="str">
        <f>LEFT(M1583,1)</f>
        <v>M</v>
      </c>
      <c r="AK1583" t="str">
        <f>_xlfn.CONCAT(AG1583,AH1583,AI1583,AJ1583)</f>
        <v>CMAM</v>
      </c>
    </row>
    <row r="1584" spans="1:37" ht="15.75" hidden="1" customHeight="1" x14ac:dyDescent="0.2">
      <c r="A1584" s="1">
        <v>400105</v>
      </c>
      <c r="B1584" s="1" t="s">
        <v>4287</v>
      </c>
      <c r="C1584" s="1" t="s">
        <v>657</v>
      </c>
      <c r="D1584" s="1" t="s">
        <v>4287</v>
      </c>
      <c r="E1584" s="1" t="s">
        <v>32</v>
      </c>
      <c r="F1584" s="1" t="s">
        <v>40</v>
      </c>
      <c r="G1584" s="1" t="s">
        <v>4289</v>
      </c>
      <c r="H1584" s="1">
        <v>11374</v>
      </c>
      <c r="I1584" s="1" t="s">
        <v>91</v>
      </c>
      <c r="J1584" s="1">
        <v>6</v>
      </c>
      <c r="K1584" s="1" t="s">
        <v>35</v>
      </c>
      <c r="L1584" s="1">
        <v>48</v>
      </c>
      <c r="M1584" s="1" t="str">
        <f>IF(L1584&lt;=45,"Joven","Mayor")</f>
        <v>Mayor</v>
      </c>
      <c r="N1584" s="1">
        <v>54</v>
      </c>
      <c r="O1584" s="1" t="s">
        <v>36</v>
      </c>
      <c r="P1584" s="1">
        <v>0.36099999999999999</v>
      </c>
      <c r="Q1584" s="1">
        <v>92.072999999999993</v>
      </c>
      <c r="R1584" s="1">
        <v>4.0064640000000002</v>
      </c>
      <c r="S1584" s="1">
        <v>2.0165142999999999</v>
      </c>
      <c r="T1584" s="1">
        <v>-2.3475799999999998</v>
      </c>
      <c r="U1584" s="1">
        <v>47.929000000000002</v>
      </c>
      <c r="V1584" s="1">
        <v>83</v>
      </c>
      <c r="W1584" s="1">
        <v>153</v>
      </c>
      <c r="X1584" s="1">
        <v>1.8433734939759037</v>
      </c>
      <c r="Y1584" s="1">
        <v>85</v>
      </c>
      <c r="Z1584" s="1">
        <v>153</v>
      </c>
      <c r="AA1584" s="1">
        <v>1.8</v>
      </c>
      <c r="AB1584" s="1">
        <v>84.527840048546068</v>
      </c>
      <c r="AC1584" s="1">
        <v>152.91255231546299</v>
      </c>
      <c r="AD1584" s="1">
        <v>1.809019989480888</v>
      </c>
      <c r="AE1584" t="s">
        <v>4817</v>
      </c>
      <c r="AF1584" t="str">
        <f>IF(X1584&lt;$AF$1,"Bajo","Alto")</f>
        <v>Alto</v>
      </c>
      <c r="AG1584" t="str">
        <f>LEFT(AE1584,1)</f>
        <v>C</v>
      </c>
      <c r="AH1584" t="str">
        <f>K1584</f>
        <v>M</v>
      </c>
      <c r="AI1584" t="str">
        <f>LEFT(AF1584,1)</f>
        <v>A</v>
      </c>
      <c r="AJ1584" t="str">
        <f>LEFT(M1584,1)</f>
        <v>M</v>
      </c>
      <c r="AK1584" t="str">
        <f>_xlfn.CONCAT(AG1584,AH1584,AI1584,AJ1584)</f>
        <v>CMAM</v>
      </c>
    </row>
    <row r="1585" spans="1:37" ht="15.75" hidden="1" customHeight="1" x14ac:dyDescent="0.2">
      <c r="A1585" s="1">
        <v>2718104</v>
      </c>
      <c r="B1585" s="1" t="s">
        <v>3409</v>
      </c>
      <c r="C1585" s="1" t="s">
        <v>973</v>
      </c>
      <c r="D1585" s="1" t="s">
        <v>3574</v>
      </c>
      <c r="E1585" s="1" t="s">
        <v>308</v>
      </c>
      <c r="F1585" s="1" t="s">
        <v>61</v>
      </c>
      <c r="G1585" s="1" t="s">
        <v>3576</v>
      </c>
      <c r="H1585" s="1">
        <v>2316</v>
      </c>
      <c r="I1585" s="1" t="s">
        <v>91</v>
      </c>
      <c r="J1585" s="1">
        <v>6</v>
      </c>
      <c r="K1585" s="1" t="s">
        <v>49</v>
      </c>
      <c r="L1585" s="1">
        <v>54</v>
      </c>
      <c r="M1585" s="1" t="str">
        <f>IF(L1585&lt;=45,"Joven","Mayor")</f>
        <v>Mayor</v>
      </c>
      <c r="N1585" s="1">
        <v>54</v>
      </c>
      <c r="O1585" s="1" t="s">
        <v>50</v>
      </c>
      <c r="P1585" s="1">
        <v>0.35899999999999999</v>
      </c>
      <c r="Q1585" s="1">
        <v>93.951999999999998</v>
      </c>
      <c r="R1585" s="1">
        <v>0.22998953999999999</v>
      </c>
      <c r="S1585" s="1">
        <v>-4.6176304999999997</v>
      </c>
      <c r="T1585" s="1">
        <v>-0.92945529999999998</v>
      </c>
      <c r="U1585" s="1">
        <v>9.3260000000000005</v>
      </c>
      <c r="V1585" s="1">
        <v>75</v>
      </c>
      <c r="W1585" s="1">
        <v>138</v>
      </c>
      <c r="X1585" s="1">
        <v>1.84</v>
      </c>
      <c r="Y1585" s="1">
        <v>79</v>
      </c>
      <c r="Z1585" s="1">
        <v>138</v>
      </c>
      <c r="AA1585" s="1">
        <v>1.7468354430379747</v>
      </c>
      <c r="AB1585" s="1">
        <v>78.421858570898166</v>
      </c>
      <c r="AC1585" s="1">
        <v>138.04672807297359</v>
      </c>
      <c r="AD1585" s="1">
        <v>1.7603093141202575</v>
      </c>
      <c r="AE1585" t="s">
        <v>4817</v>
      </c>
      <c r="AF1585" t="str">
        <f>IF(X1585&lt;$AF$1,"Bajo","Alto")</f>
        <v>Alto</v>
      </c>
      <c r="AG1585" t="str">
        <f>LEFT(AE1585,1)</f>
        <v>C</v>
      </c>
      <c r="AH1585" t="str">
        <f>K1585</f>
        <v>F</v>
      </c>
      <c r="AI1585" t="str">
        <f>LEFT(AF1585,1)</f>
        <v>A</v>
      </c>
      <c r="AJ1585" t="str">
        <f>LEFT(M1585,1)</f>
        <v>M</v>
      </c>
      <c r="AK1585" t="str">
        <f>_xlfn.CONCAT(AG1585,AH1585,AI1585,AJ1585)</f>
        <v>CFAM</v>
      </c>
    </row>
    <row r="1586" spans="1:37" ht="15.75" hidden="1" customHeight="1" x14ac:dyDescent="0.2">
      <c r="A1586" s="1">
        <v>253802</v>
      </c>
      <c r="B1586" s="1" t="s">
        <v>3169</v>
      </c>
      <c r="C1586" s="1" t="s">
        <v>821</v>
      </c>
      <c r="D1586" s="1" t="s">
        <v>3244</v>
      </c>
      <c r="E1586" s="1" t="s">
        <v>2637</v>
      </c>
      <c r="F1586" s="1" t="s">
        <v>37</v>
      </c>
      <c r="G1586" s="1" t="s">
        <v>3245</v>
      </c>
      <c r="H1586" s="1">
        <v>903</v>
      </c>
      <c r="I1586" s="1" t="s">
        <v>294</v>
      </c>
      <c r="J1586" s="1">
        <v>16</v>
      </c>
      <c r="K1586" s="1" t="s">
        <v>35</v>
      </c>
      <c r="L1586" s="1">
        <v>41</v>
      </c>
      <c r="M1586" s="1" t="str">
        <f>IF(L1586&lt;=45,"Joven","Mayor")</f>
        <v>Joven</v>
      </c>
      <c r="N1586" s="1">
        <v>51</v>
      </c>
      <c r="O1586" s="1" t="s">
        <v>36</v>
      </c>
      <c r="P1586" s="1">
        <v>0.35599999999999998</v>
      </c>
      <c r="Q1586" s="1">
        <v>93.722999999999999</v>
      </c>
      <c r="R1586" s="1">
        <v>1.6502497</v>
      </c>
      <c r="S1586" s="1">
        <v>2.3824212999999999</v>
      </c>
      <c r="T1586" s="1">
        <v>-2.3433092000000002</v>
      </c>
      <c r="U1586" s="1">
        <v>24.588999999999999</v>
      </c>
      <c r="V1586" s="1">
        <v>85</v>
      </c>
      <c r="W1586" s="1">
        <v>158</v>
      </c>
      <c r="X1586" s="1">
        <v>1.8588235294117648</v>
      </c>
      <c r="Y1586" s="1">
        <v>88</v>
      </c>
      <c r="Z1586" s="1">
        <v>158</v>
      </c>
      <c r="AA1586" s="1">
        <v>1.7954545454545454</v>
      </c>
      <c r="AB1586" s="1">
        <v>86.564403241441369</v>
      </c>
      <c r="AC1586" s="1">
        <v>157.90876343405901</v>
      </c>
      <c r="AD1586" s="1">
        <v>1.8241766536947908</v>
      </c>
      <c r="AE1586" t="s">
        <v>4817</v>
      </c>
      <c r="AF1586" t="str">
        <f>IF(X1586&lt;$AF$1,"Bajo","Alto")</f>
        <v>Alto</v>
      </c>
      <c r="AG1586" t="str">
        <f>LEFT(AE1586,1)</f>
        <v>C</v>
      </c>
      <c r="AH1586" t="str">
        <f>K1586</f>
        <v>M</v>
      </c>
      <c r="AI1586" t="str">
        <f>LEFT(AF1586,1)</f>
        <v>A</v>
      </c>
      <c r="AJ1586" t="str">
        <f>LEFT(M1586,1)</f>
        <v>J</v>
      </c>
      <c r="AK1586" t="str">
        <f>_xlfn.CONCAT(AG1586,AH1586,AI1586,AJ1586)</f>
        <v>CMAJ</v>
      </c>
    </row>
    <row r="1587" spans="1:37" ht="15.75" hidden="1" customHeight="1" x14ac:dyDescent="0.2">
      <c r="A1587" s="1">
        <v>2812006</v>
      </c>
      <c r="B1587" s="1" t="s">
        <v>1775</v>
      </c>
      <c r="C1587" s="1" t="s">
        <v>561</v>
      </c>
      <c r="D1587" s="1" t="s">
        <v>3783</v>
      </c>
      <c r="E1587" s="1" t="s">
        <v>1564</v>
      </c>
      <c r="F1587" s="1" t="s">
        <v>88</v>
      </c>
      <c r="G1587" s="1" t="s">
        <v>3786</v>
      </c>
      <c r="H1587" s="1">
        <v>3957</v>
      </c>
      <c r="I1587" s="1" t="s">
        <v>2214</v>
      </c>
      <c r="J1587" s="1">
        <v>4586</v>
      </c>
      <c r="K1587" s="1" t="s">
        <v>35</v>
      </c>
      <c r="L1587" s="1">
        <v>39</v>
      </c>
      <c r="M1587" s="1" t="str">
        <f>IF(L1587&lt;=45,"Joven","Mayor")</f>
        <v>Joven</v>
      </c>
      <c r="N1587" s="1">
        <v>46</v>
      </c>
      <c r="O1587" s="1" t="s">
        <v>36</v>
      </c>
      <c r="P1587" s="1">
        <v>0.54</v>
      </c>
      <c r="Q1587" s="1">
        <v>93.692999999999998</v>
      </c>
      <c r="R1587" s="1">
        <v>-1.9825264</v>
      </c>
      <c r="S1587" s="1">
        <v>1.313512</v>
      </c>
      <c r="T1587" s="1">
        <v>0.52140050000000004</v>
      </c>
      <c r="U1587" s="1">
        <v>15.307</v>
      </c>
      <c r="V1587" s="1">
        <v>90</v>
      </c>
      <c r="W1587" s="1">
        <v>153</v>
      </c>
      <c r="X1587" s="1">
        <v>1.7</v>
      </c>
      <c r="Y1587" s="1">
        <v>91</v>
      </c>
      <c r="Z1587" s="1">
        <v>153</v>
      </c>
      <c r="AA1587" s="1">
        <v>1.6813186813186813</v>
      </c>
      <c r="AB1587" s="1">
        <v>91.360233236095155</v>
      </c>
      <c r="AC1587" s="1">
        <v>152.9572647429072</v>
      </c>
      <c r="AD1587" s="1">
        <v>1.674221478262119</v>
      </c>
      <c r="AE1587" t="s">
        <v>4817</v>
      </c>
      <c r="AF1587" t="str">
        <f>IF(X1587&lt;$AF$1,"Bajo","Alto")</f>
        <v>Bajo</v>
      </c>
      <c r="AG1587" t="str">
        <f>LEFT(AE1587,1)</f>
        <v>C</v>
      </c>
      <c r="AH1587" t="str">
        <f>K1587</f>
        <v>M</v>
      </c>
      <c r="AI1587" t="str">
        <f>LEFT(AF1587,1)</f>
        <v>B</v>
      </c>
      <c r="AJ1587" t="str">
        <f>LEFT(M1587,1)</f>
        <v>J</v>
      </c>
      <c r="AK1587" t="str">
        <f>_xlfn.CONCAT(AG1587,AH1587,AI1587,AJ1587)</f>
        <v>CMBJ</v>
      </c>
    </row>
    <row r="1588" spans="1:37" ht="15.75" hidden="1" customHeight="1" x14ac:dyDescent="0.2">
      <c r="A1588" s="1">
        <v>1523502</v>
      </c>
      <c r="B1588" s="1" t="s">
        <v>2077</v>
      </c>
      <c r="C1588" s="1" t="s">
        <v>57</v>
      </c>
      <c r="D1588" s="1" t="s">
        <v>2280</v>
      </c>
      <c r="E1588" s="1" t="s">
        <v>465</v>
      </c>
      <c r="F1588" s="1" t="s">
        <v>37</v>
      </c>
      <c r="G1588" s="1" t="s">
        <v>2283</v>
      </c>
      <c r="H1588" s="1">
        <v>3463</v>
      </c>
      <c r="I1588" s="1" t="s">
        <v>2284</v>
      </c>
      <c r="J1588" s="1">
        <v>2656</v>
      </c>
      <c r="K1588" s="1" t="s">
        <v>35</v>
      </c>
      <c r="L1588" s="1">
        <v>36</v>
      </c>
      <c r="M1588" s="1" t="str">
        <f>IF(L1588&lt;=45,"Joven","Mayor")</f>
        <v>Joven</v>
      </c>
      <c r="N1588" s="1">
        <v>42</v>
      </c>
      <c r="O1588" s="1" t="s">
        <v>36</v>
      </c>
      <c r="P1588" s="1">
        <v>0.32100000000000001</v>
      </c>
      <c r="Q1588" s="1">
        <v>91.313000000000002</v>
      </c>
      <c r="R1588" s="1">
        <v>-3.0151427000000002</v>
      </c>
      <c r="S1588" s="1">
        <v>7.0086693999999996</v>
      </c>
      <c r="T1588" s="1">
        <v>4.8978166999999999</v>
      </c>
      <c r="U1588" s="1">
        <v>53.548000000000002</v>
      </c>
      <c r="V1588" s="1">
        <v>92</v>
      </c>
      <c r="W1588" s="1">
        <v>171</v>
      </c>
      <c r="X1588" s="1">
        <v>1.8586956521739131</v>
      </c>
      <c r="Y1588" s="1">
        <v>100</v>
      </c>
      <c r="Z1588" s="1">
        <v>171</v>
      </c>
      <c r="AA1588" s="1">
        <v>1.71</v>
      </c>
      <c r="AB1588" s="1">
        <v>96.646591554697352</v>
      </c>
      <c r="AC1588" s="1">
        <v>171.48552854444691</v>
      </c>
      <c r="AD1588" s="1">
        <v>1.7743567133186926</v>
      </c>
      <c r="AE1588" t="s">
        <v>4817</v>
      </c>
      <c r="AF1588" t="str">
        <f>IF(X1588&lt;$AF$1,"Bajo","Alto")</f>
        <v>Alto</v>
      </c>
      <c r="AG1588" t="str">
        <f>LEFT(AE1588,1)</f>
        <v>C</v>
      </c>
      <c r="AH1588" t="str">
        <f>K1588</f>
        <v>M</v>
      </c>
      <c r="AI1588" t="str">
        <f>LEFT(AF1588,1)</f>
        <v>A</v>
      </c>
      <c r="AJ1588" t="str">
        <f>LEFT(M1588,1)</f>
        <v>J</v>
      </c>
      <c r="AK1588" t="str">
        <f>_xlfn.CONCAT(AG1588,AH1588,AI1588,AJ1588)</f>
        <v>CMAJ</v>
      </c>
    </row>
    <row r="1589" spans="1:37" ht="15.75" hidden="1" customHeight="1" x14ac:dyDescent="0.2">
      <c r="A1589" s="1">
        <v>214601</v>
      </c>
      <c r="B1589" s="1" t="s">
        <v>2816</v>
      </c>
      <c r="C1589" s="1" t="s">
        <v>2817</v>
      </c>
      <c r="D1589" s="1" t="s">
        <v>2878</v>
      </c>
      <c r="E1589" s="1" t="s">
        <v>669</v>
      </c>
      <c r="F1589" s="1" t="s">
        <v>32</v>
      </c>
      <c r="G1589" s="1" t="s">
        <v>2879</v>
      </c>
      <c r="H1589" s="1">
        <v>3907</v>
      </c>
      <c r="I1589" s="1" t="s">
        <v>100</v>
      </c>
      <c r="J1589" s="1">
        <v>1</v>
      </c>
      <c r="K1589" s="1" t="s">
        <v>35</v>
      </c>
      <c r="L1589" s="1">
        <v>33</v>
      </c>
      <c r="M1589" s="1" t="str">
        <f>IF(L1589&lt;=45,"Joven","Mayor")</f>
        <v>Joven</v>
      </c>
      <c r="N1589" s="1">
        <v>32</v>
      </c>
      <c r="O1589" s="1" t="s">
        <v>36</v>
      </c>
      <c r="P1589" s="1">
        <v>0.48199999999999998</v>
      </c>
      <c r="Q1589" s="1">
        <v>93.506</v>
      </c>
      <c r="R1589" s="1">
        <v>1.3007035</v>
      </c>
      <c r="S1589" s="1">
        <v>4.0443569999999998</v>
      </c>
      <c r="T1589" s="1">
        <v>-3.8979332000000002</v>
      </c>
      <c r="U1589" s="1">
        <v>57.253</v>
      </c>
      <c r="V1589" s="1">
        <v>99</v>
      </c>
      <c r="W1589" s="1">
        <v>184</v>
      </c>
      <c r="X1589" s="1">
        <v>1.8585858585858586</v>
      </c>
      <c r="Y1589" s="1">
        <v>101</v>
      </c>
      <c r="Z1589" s="1">
        <v>184</v>
      </c>
      <c r="AA1589" s="1">
        <v>1.8217821782178218</v>
      </c>
      <c r="AB1589" s="1">
        <v>102.16995151939319</v>
      </c>
      <c r="AC1589" s="1">
        <v>184.05021373831599</v>
      </c>
      <c r="AD1589" s="1">
        <v>1.8014123624535621</v>
      </c>
      <c r="AE1589" t="s">
        <v>4817</v>
      </c>
      <c r="AF1589" t="str">
        <f>IF(X1589&lt;$AF$1,"Bajo","Alto")</f>
        <v>Alto</v>
      </c>
      <c r="AG1589" t="str">
        <f>LEFT(AE1589,1)</f>
        <v>C</v>
      </c>
      <c r="AH1589" t="str">
        <f>K1589</f>
        <v>M</v>
      </c>
      <c r="AI1589" t="str">
        <f>LEFT(AF1589,1)</f>
        <v>A</v>
      </c>
      <c r="AJ1589" t="str">
        <f>LEFT(M1589,1)</f>
        <v>J</v>
      </c>
      <c r="AK1589" t="str">
        <f>_xlfn.CONCAT(AG1589,AH1589,AI1589,AJ1589)</f>
        <v>CMAJ</v>
      </c>
    </row>
    <row r="1590" spans="1:37" ht="15.75" hidden="1" customHeight="1" x14ac:dyDescent="0.2">
      <c r="A1590" s="1">
        <v>643001</v>
      </c>
      <c r="B1590" s="1" t="s">
        <v>4718</v>
      </c>
      <c r="C1590" s="1" t="s">
        <v>710</v>
      </c>
      <c r="D1590" s="1" t="s">
        <v>4783</v>
      </c>
      <c r="E1590" s="1" t="s">
        <v>2381</v>
      </c>
      <c r="F1590" s="1" t="s">
        <v>32</v>
      </c>
      <c r="G1590" s="1" t="s">
        <v>4784</v>
      </c>
      <c r="H1590" s="1">
        <v>48</v>
      </c>
      <c r="I1590" s="1" t="s">
        <v>294</v>
      </c>
      <c r="J1590" s="1">
        <v>16</v>
      </c>
      <c r="K1590" s="1" t="s">
        <v>35</v>
      </c>
      <c r="L1590" s="1">
        <v>61</v>
      </c>
      <c r="M1590" s="1" t="str">
        <f>IF(L1590&lt;=45,"Joven","Mayor")</f>
        <v>Mayor</v>
      </c>
      <c r="N1590" s="1">
        <v>69</v>
      </c>
      <c r="O1590" s="1" t="s">
        <v>36</v>
      </c>
      <c r="P1590" s="1">
        <v>0.39400000000000002</v>
      </c>
      <c r="Q1590" s="1">
        <v>71.408000000000001</v>
      </c>
      <c r="R1590" s="1">
        <v>-12.488274000000001</v>
      </c>
      <c r="S1590" s="1">
        <v>-2.9336156999999998</v>
      </c>
      <c r="T1590" s="1">
        <v>1.4831886000000001</v>
      </c>
      <c r="U1590" s="1">
        <v>1.2749999999999999</v>
      </c>
      <c r="V1590" s="1">
        <v>111</v>
      </c>
      <c r="W1590" s="1">
        <v>187</v>
      </c>
      <c r="X1590" s="1">
        <v>1.6846846846846846</v>
      </c>
      <c r="Y1590" s="1">
        <v>111</v>
      </c>
      <c r="Z1590" s="1">
        <v>187</v>
      </c>
      <c r="AA1590" s="1">
        <v>1.6846846846846846</v>
      </c>
      <c r="AB1590" s="1">
        <v>112.2311088914616</v>
      </c>
      <c r="AC1590" s="1">
        <v>186.9114643792432</v>
      </c>
      <c r="AD1590" s="1">
        <v>1.665415821205195</v>
      </c>
      <c r="AE1590" t="s">
        <v>4817</v>
      </c>
      <c r="AF1590" t="str">
        <f>IF(X1590&lt;$AF$1,"Bajo","Alto")</f>
        <v>Bajo</v>
      </c>
      <c r="AG1590" t="str">
        <f>LEFT(AE1590,1)</f>
        <v>C</v>
      </c>
      <c r="AH1590" t="str">
        <f>K1590</f>
        <v>M</v>
      </c>
      <c r="AI1590" t="str">
        <f>LEFT(AF1590,1)</f>
        <v>B</v>
      </c>
      <c r="AJ1590" t="str">
        <f>LEFT(M1590,1)</f>
        <v>M</v>
      </c>
      <c r="AK1590" t="str">
        <f>_xlfn.CONCAT(AG1590,AH1590,AI1590,AJ1590)</f>
        <v>CMBM</v>
      </c>
    </row>
    <row r="1591" spans="1:37" ht="15.75" hidden="1" customHeight="1" x14ac:dyDescent="0.2">
      <c r="A1591" s="1">
        <v>290101</v>
      </c>
      <c r="B1591" s="1" t="s">
        <v>3890</v>
      </c>
      <c r="C1591" s="1" t="s">
        <v>1695</v>
      </c>
      <c r="D1591" s="1" t="s">
        <v>3891</v>
      </c>
      <c r="E1591" s="1" t="s">
        <v>32</v>
      </c>
      <c r="F1591" s="1" t="s">
        <v>32</v>
      </c>
      <c r="G1591" s="1" t="s">
        <v>3892</v>
      </c>
      <c r="H1591" s="1">
        <v>25236</v>
      </c>
      <c r="I1591" s="1" t="s">
        <v>100</v>
      </c>
      <c r="J1591" s="1">
        <v>1</v>
      </c>
      <c r="K1591" s="1" t="s">
        <v>35</v>
      </c>
      <c r="L1591" s="1">
        <v>39</v>
      </c>
      <c r="M1591" s="1" t="str">
        <f>IF(L1591&lt;=45,"Joven","Mayor")</f>
        <v>Joven</v>
      </c>
      <c r="N1591" s="1">
        <v>44</v>
      </c>
      <c r="O1591" s="1" t="s">
        <v>36</v>
      </c>
      <c r="P1591" s="1">
        <v>0.34300000000000003</v>
      </c>
      <c r="Q1591" s="1">
        <v>92.900999999999996</v>
      </c>
      <c r="R1591" s="1">
        <v>-2.4697008</v>
      </c>
      <c r="S1591" s="1">
        <v>3.6327777000000001</v>
      </c>
      <c r="T1591" s="1">
        <v>3.1807840000000001</v>
      </c>
      <c r="U1591" s="1">
        <v>26.227</v>
      </c>
      <c r="V1591" s="1">
        <v>100</v>
      </c>
      <c r="W1591" s="1">
        <v>170</v>
      </c>
      <c r="X1591" s="1">
        <v>1.7</v>
      </c>
      <c r="Y1591" s="1">
        <v>100</v>
      </c>
      <c r="Z1591" s="1">
        <v>170</v>
      </c>
      <c r="AA1591" s="1">
        <v>1.7</v>
      </c>
      <c r="AB1591" s="1">
        <v>102.3428418631877</v>
      </c>
      <c r="AC1591" s="1">
        <v>169.73810302907489</v>
      </c>
      <c r="AD1591" s="1">
        <v>1.6585244257334717</v>
      </c>
      <c r="AE1591" t="s">
        <v>4817</v>
      </c>
      <c r="AF1591" t="str">
        <f>IF(X1591&lt;$AF$1,"Bajo","Alto")</f>
        <v>Bajo</v>
      </c>
      <c r="AG1591" t="str">
        <f>LEFT(AE1591,1)</f>
        <v>C</v>
      </c>
      <c r="AH1591" t="str">
        <f>K1591</f>
        <v>M</v>
      </c>
      <c r="AI1591" t="str">
        <f>LEFT(AF1591,1)</f>
        <v>B</v>
      </c>
      <c r="AJ1591" t="str">
        <f>LEFT(M1591,1)</f>
        <v>J</v>
      </c>
      <c r="AK1591" t="str">
        <f>_xlfn.CONCAT(AG1591,AH1591,AI1591,AJ1591)</f>
        <v>CMBJ</v>
      </c>
    </row>
    <row r="1592" spans="1:37" ht="15.75" hidden="1" customHeight="1" x14ac:dyDescent="0.2">
      <c r="A1592" s="1">
        <v>525803</v>
      </c>
      <c r="B1592" s="1" t="s">
        <v>4529</v>
      </c>
      <c r="C1592" s="1" t="s">
        <v>685</v>
      </c>
      <c r="D1592" s="1" t="s">
        <v>4655</v>
      </c>
      <c r="E1592" s="1" t="s">
        <v>695</v>
      </c>
      <c r="F1592" s="1" t="s">
        <v>63</v>
      </c>
      <c r="G1592" s="1" t="s">
        <v>4658</v>
      </c>
      <c r="H1592" s="1">
        <v>2262</v>
      </c>
      <c r="I1592" s="1" t="s">
        <v>4659</v>
      </c>
      <c r="J1592" s="1">
        <v>3037</v>
      </c>
      <c r="K1592" s="1" t="s">
        <v>35</v>
      </c>
      <c r="L1592" s="1">
        <v>50</v>
      </c>
      <c r="M1592" s="1" t="str">
        <f>IF(L1592&lt;=45,"Joven","Mayor")</f>
        <v>Mayor</v>
      </c>
      <c r="N1592" s="1">
        <v>52</v>
      </c>
      <c r="O1592" s="1" t="s">
        <v>36</v>
      </c>
      <c r="P1592" s="1">
        <v>0.34200000000000003</v>
      </c>
      <c r="Q1592" s="1">
        <v>92.703000000000003</v>
      </c>
      <c r="R1592" s="1">
        <v>3.3993679999999999</v>
      </c>
      <c r="S1592" s="1">
        <v>-1.5609653999999999</v>
      </c>
      <c r="T1592" s="1">
        <v>-1.7960254</v>
      </c>
      <c r="U1592" s="1">
        <v>10.494999999999999</v>
      </c>
      <c r="V1592" s="1">
        <v>83</v>
      </c>
      <c r="W1592" s="1">
        <v>153</v>
      </c>
      <c r="X1592" s="1">
        <v>1.8433734939759037</v>
      </c>
      <c r="Y1592" s="1">
        <v>85</v>
      </c>
      <c r="Z1592" s="1">
        <v>153</v>
      </c>
      <c r="AA1592" s="1">
        <v>1.8</v>
      </c>
      <c r="AB1592" s="1">
        <v>86.211899573297387</v>
      </c>
      <c r="AC1592" s="1">
        <v>152.86215390211191</v>
      </c>
      <c r="AD1592" s="1">
        <v>1.7730980834281289</v>
      </c>
      <c r="AE1592" t="s">
        <v>4817</v>
      </c>
      <c r="AF1592" t="str">
        <f>IF(X1592&lt;$AF$1,"Bajo","Alto")</f>
        <v>Alto</v>
      </c>
      <c r="AG1592" t="str">
        <f>LEFT(AE1592,1)</f>
        <v>C</v>
      </c>
      <c r="AH1592" t="str">
        <f>K1592</f>
        <v>M</v>
      </c>
      <c r="AI1592" t="str">
        <f>LEFT(AF1592,1)</f>
        <v>A</v>
      </c>
      <c r="AJ1592" t="str">
        <f>LEFT(M1592,1)</f>
        <v>M</v>
      </c>
      <c r="AK1592" t="str">
        <f>_xlfn.CONCAT(AG1592,AH1592,AI1592,AJ1592)</f>
        <v>CMAM</v>
      </c>
    </row>
    <row r="1593" spans="1:37" ht="15.75" hidden="1" customHeight="1" x14ac:dyDescent="0.2">
      <c r="A1593" s="1">
        <v>3110902</v>
      </c>
      <c r="B1593" s="1" t="s">
        <v>4122</v>
      </c>
      <c r="C1593" s="1" t="s">
        <v>628</v>
      </c>
      <c r="D1593" s="1" t="s">
        <v>4155</v>
      </c>
      <c r="E1593" s="1" t="s">
        <v>98</v>
      </c>
      <c r="F1593" s="1" t="s">
        <v>37</v>
      </c>
      <c r="G1593" s="1" t="s">
        <v>4156</v>
      </c>
      <c r="H1593" s="1">
        <v>2069</v>
      </c>
      <c r="I1593" s="1" t="s">
        <v>134</v>
      </c>
      <c r="J1593" s="1">
        <v>8</v>
      </c>
      <c r="K1593" s="1" t="s">
        <v>35</v>
      </c>
      <c r="L1593" s="1">
        <v>40</v>
      </c>
      <c r="M1593" s="1" t="str">
        <f>IF(L1593&lt;=45,"Joven","Mayor")</f>
        <v>Joven</v>
      </c>
      <c r="N1593" s="1">
        <v>41</v>
      </c>
      <c r="O1593" s="1" t="s">
        <v>36</v>
      </c>
      <c r="P1593" s="1">
        <v>0.48899999999999999</v>
      </c>
      <c r="Q1593" s="1">
        <v>81.378</v>
      </c>
      <c r="R1593" s="1">
        <v>-9.6763080000000006</v>
      </c>
      <c r="S1593" s="1">
        <v>4.1086980000000004</v>
      </c>
      <c r="T1593" s="1">
        <v>10.760020000000001</v>
      </c>
      <c r="U1593" s="1">
        <v>2.194</v>
      </c>
      <c r="V1593" s="1">
        <v>80</v>
      </c>
      <c r="W1593" s="1">
        <v>136</v>
      </c>
      <c r="X1593" s="1">
        <v>1.7</v>
      </c>
      <c r="Y1593" s="1">
        <v>95</v>
      </c>
      <c r="Z1593" s="1">
        <v>136</v>
      </c>
      <c r="AA1593" s="1">
        <v>1.4315789473684211</v>
      </c>
      <c r="AB1593" s="1">
        <v>88.848987180808763</v>
      </c>
      <c r="AC1593" s="1">
        <v>137.90282022786101</v>
      </c>
      <c r="AD1593" s="1">
        <v>1.5521034578281361</v>
      </c>
      <c r="AE1593" t="s">
        <v>4817</v>
      </c>
      <c r="AF1593" t="str">
        <f>IF(X1593&lt;$AF$1,"Bajo","Alto")</f>
        <v>Bajo</v>
      </c>
      <c r="AG1593" t="str">
        <f>LEFT(AE1593,1)</f>
        <v>C</v>
      </c>
      <c r="AH1593" t="str">
        <f>K1593</f>
        <v>M</v>
      </c>
      <c r="AI1593" t="str">
        <f>LEFT(AF1593,1)</f>
        <v>B</v>
      </c>
      <c r="AJ1593" t="str">
        <f>LEFT(M1593,1)</f>
        <v>J</v>
      </c>
      <c r="AK1593" t="str">
        <f>_xlfn.CONCAT(AG1593,AH1593,AI1593,AJ1593)</f>
        <v>CMBJ</v>
      </c>
    </row>
    <row r="1594" spans="1:37" ht="15.75" hidden="1" customHeight="1" x14ac:dyDescent="0.2">
      <c r="A1594" s="1">
        <v>110703</v>
      </c>
      <c r="B1594" s="1" t="s">
        <v>1648</v>
      </c>
      <c r="C1594" s="1" t="s">
        <v>51</v>
      </c>
      <c r="D1594" s="1" t="s">
        <v>694</v>
      </c>
      <c r="E1594" s="1" t="s">
        <v>43</v>
      </c>
      <c r="F1594" s="1" t="s">
        <v>63</v>
      </c>
      <c r="G1594" s="1" t="s">
        <v>1665</v>
      </c>
      <c r="H1594" s="1">
        <v>8861</v>
      </c>
      <c r="I1594" s="1" t="s">
        <v>42</v>
      </c>
      <c r="J1594" s="1">
        <v>15</v>
      </c>
      <c r="K1594" s="1" t="s">
        <v>35</v>
      </c>
      <c r="L1594" s="1">
        <v>39</v>
      </c>
      <c r="M1594" s="1" t="str">
        <f>IF(L1594&lt;=45,"Joven","Mayor")</f>
        <v>Joven</v>
      </c>
      <c r="N1594" s="1">
        <v>48</v>
      </c>
      <c r="O1594" s="1" t="s">
        <v>36</v>
      </c>
      <c r="P1594" s="1">
        <v>0.46600000000000003</v>
      </c>
      <c r="Q1594" s="1">
        <v>91.838999999999999</v>
      </c>
      <c r="R1594" s="1">
        <v>-2.7073640000000001</v>
      </c>
      <c r="S1594" s="1">
        <v>6.2541494000000002</v>
      </c>
      <c r="T1594" s="1">
        <v>0.43802449999999998</v>
      </c>
      <c r="U1594" s="1">
        <v>2.004</v>
      </c>
      <c r="V1594" s="1">
        <v>77</v>
      </c>
      <c r="W1594" s="1">
        <v>143</v>
      </c>
      <c r="X1594" s="1">
        <v>1.8571428571428572</v>
      </c>
      <c r="Y1594" s="1">
        <v>80</v>
      </c>
      <c r="Z1594" s="1">
        <v>143</v>
      </c>
      <c r="AA1594" s="1">
        <v>1.7875000000000001</v>
      </c>
      <c r="AB1594" s="1">
        <v>80.265233523018196</v>
      </c>
      <c r="AC1594" s="1">
        <v>142.9040824195317</v>
      </c>
      <c r="AD1594" s="1">
        <v>1.7803982639451257</v>
      </c>
      <c r="AE1594" t="s">
        <v>4817</v>
      </c>
      <c r="AF1594" t="str">
        <f>IF(X1594&lt;$AF$1,"Bajo","Alto")</f>
        <v>Alto</v>
      </c>
      <c r="AG1594" t="str">
        <f>LEFT(AE1594,1)</f>
        <v>C</v>
      </c>
      <c r="AH1594" t="str">
        <f>K1594</f>
        <v>M</v>
      </c>
      <c r="AI1594" t="str">
        <f>LEFT(AF1594,1)</f>
        <v>A</v>
      </c>
      <c r="AJ1594" t="str">
        <f>LEFT(M1594,1)</f>
        <v>J</v>
      </c>
      <c r="AK1594" t="str">
        <f>_xlfn.CONCAT(AG1594,AH1594,AI1594,AJ1594)</f>
        <v>CMAJ</v>
      </c>
    </row>
    <row r="1595" spans="1:37" ht="15.75" hidden="1" customHeight="1" x14ac:dyDescent="0.2">
      <c r="A1595" s="1">
        <v>524904</v>
      </c>
      <c r="B1595" s="1" t="s">
        <v>4529</v>
      </c>
      <c r="C1595" s="1" t="s">
        <v>685</v>
      </c>
      <c r="D1595" s="1" t="s">
        <v>4341</v>
      </c>
      <c r="E1595" s="1" t="s">
        <v>673</v>
      </c>
      <c r="F1595" s="1" t="s">
        <v>61</v>
      </c>
      <c r="G1595" s="1" t="s">
        <v>4643</v>
      </c>
      <c r="H1595" s="1">
        <v>213</v>
      </c>
      <c r="I1595" s="1" t="s">
        <v>85</v>
      </c>
      <c r="J1595" s="1">
        <v>12</v>
      </c>
      <c r="K1595" s="1" t="s">
        <v>35</v>
      </c>
      <c r="L1595" s="1">
        <v>34</v>
      </c>
      <c r="M1595" s="1" t="str">
        <f>IF(L1595&lt;=45,"Joven","Mayor")</f>
        <v>Joven</v>
      </c>
      <c r="N1595" s="1">
        <v>46</v>
      </c>
      <c r="O1595" s="1" t="s">
        <v>36</v>
      </c>
      <c r="P1595" s="1">
        <v>1.123</v>
      </c>
      <c r="Q1595" s="1">
        <v>87.281000000000006</v>
      </c>
      <c r="R1595" s="1">
        <v>-5.9054365000000004</v>
      </c>
      <c r="S1595" s="1">
        <v>7.481312</v>
      </c>
      <c r="T1595" s="1">
        <v>-3.9679690000000001</v>
      </c>
      <c r="U1595" s="1">
        <v>7.6760000000000002</v>
      </c>
      <c r="V1595" s="1">
        <v>90</v>
      </c>
      <c r="W1595" s="1">
        <v>153</v>
      </c>
      <c r="X1595" s="1">
        <v>1.7</v>
      </c>
      <c r="Y1595" s="1">
        <v>93</v>
      </c>
      <c r="Z1595" s="1">
        <v>153</v>
      </c>
      <c r="AA1595" s="1">
        <v>1.6451612903225807</v>
      </c>
      <c r="AB1595" s="1">
        <v>93.036602811692774</v>
      </c>
      <c r="AC1595" s="1">
        <v>153.32523017888619</v>
      </c>
      <c r="AD1595" s="1">
        <v>1.6480097676096186</v>
      </c>
      <c r="AE1595" t="s">
        <v>4815</v>
      </c>
      <c r="AF1595" t="str">
        <f>IF(X1595&lt;$AF$1,"Bajo","Alto")</f>
        <v>Bajo</v>
      </c>
      <c r="AG1595" t="str">
        <f>LEFT(AE1595,1)</f>
        <v>I</v>
      </c>
      <c r="AH1595" t="str">
        <f>K1595</f>
        <v>M</v>
      </c>
      <c r="AI1595" t="str">
        <f>LEFT(AF1595,1)</f>
        <v>B</v>
      </c>
      <c r="AJ1595" t="str">
        <f>LEFT(M1595,1)</f>
        <v>J</v>
      </c>
      <c r="AK1595" t="str">
        <f>_xlfn.CONCAT(AG1595,AH1595,AI1595,AJ1595)</f>
        <v>IMBJ</v>
      </c>
    </row>
    <row r="1596" spans="1:37" ht="15.75" hidden="1" customHeight="1" x14ac:dyDescent="0.2">
      <c r="A1596" s="1">
        <v>248605</v>
      </c>
      <c r="B1596" s="1" t="s">
        <v>1548</v>
      </c>
      <c r="C1596" s="1" t="s">
        <v>1993</v>
      </c>
      <c r="D1596" s="1" t="s">
        <v>3164</v>
      </c>
      <c r="E1596" s="1" t="s">
        <v>1776</v>
      </c>
      <c r="F1596" s="1" t="s">
        <v>40</v>
      </c>
      <c r="G1596" s="1" t="s">
        <v>3167</v>
      </c>
      <c r="H1596" s="1">
        <v>14079</v>
      </c>
      <c r="I1596" s="1" t="s">
        <v>48</v>
      </c>
      <c r="J1596" s="1">
        <v>4</v>
      </c>
      <c r="K1596" s="1" t="s">
        <v>35</v>
      </c>
      <c r="L1596" s="1">
        <v>29</v>
      </c>
      <c r="M1596" s="1" t="str">
        <f>IF(L1596&lt;=45,"Joven","Mayor")</f>
        <v>Joven</v>
      </c>
      <c r="N1596" s="1">
        <v>53</v>
      </c>
      <c r="O1596" s="1" t="s">
        <v>36</v>
      </c>
      <c r="P1596" s="1">
        <v>0.34399999999999997</v>
      </c>
      <c r="Q1596" s="1">
        <v>89.486000000000004</v>
      </c>
      <c r="R1596" s="1">
        <v>5.9031890000000002</v>
      </c>
      <c r="S1596" s="1">
        <v>-3.5351400000000002</v>
      </c>
      <c r="T1596" s="1">
        <v>-8.0743349999999996</v>
      </c>
      <c r="U1596" s="1">
        <v>1.0609999999999999</v>
      </c>
      <c r="V1596" s="1">
        <v>84</v>
      </c>
      <c r="W1596" s="1">
        <v>156</v>
      </c>
      <c r="X1596" s="1">
        <v>1.8571428571428572</v>
      </c>
      <c r="Y1596" s="1">
        <v>94</v>
      </c>
      <c r="Z1596" s="1">
        <v>156</v>
      </c>
      <c r="AA1596" s="1">
        <v>1.6595744680851063</v>
      </c>
      <c r="AB1596" s="1">
        <v>89.909252472085882</v>
      </c>
      <c r="AC1596" s="1">
        <v>156.5603872858151</v>
      </c>
      <c r="AD1596" s="1">
        <v>1.7413156375026295</v>
      </c>
      <c r="AE1596" t="s">
        <v>4817</v>
      </c>
      <c r="AF1596" t="str">
        <f>IF(X1596&lt;$AF$1,"Bajo","Alto")</f>
        <v>Alto</v>
      </c>
      <c r="AG1596" t="str">
        <f>LEFT(AE1596,1)</f>
        <v>C</v>
      </c>
      <c r="AH1596" t="str">
        <f>K1596</f>
        <v>M</v>
      </c>
      <c r="AI1596" t="str">
        <f>LEFT(AF1596,1)</f>
        <v>A</v>
      </c>
      <c r="AJ1596" t="str">
        <f>LEFT(M1596,1)</f>
        <v>J</v>
      </c>
      <c r="AK1596" t="str">
        <f>_xlfn.CONCAT(AG1596,AH1596,AI1596,AJ1596)</f>
        <v>CMAJ</v>
      </c>
    </row>
    <row r="1597" spans="1:37" ht="15.75" hidden="1" customHeight="1" x14ac:dyDescent="0.2">
      <c r="A1597" s="1">
        <v>256105</v>
      </c>
      <c r="B1597" s="1" t="s">
        <v>3169</v>
      </c>
      <c r="C1597" s="1" t="s">
        <v>821</v>
      </c>
      <c r="D1597" s="1" t="s">
        <v>3285</v>
      </c>
      <c r="E1597" s="1" t="s">
        <v>701</v>
      </c>
      <c r="F1597" s="1" t="s">
        <v>40</v>
      </c>
      <c r="G1597" s="1" t="s">
        <v>3289</v>
      </c>
      <c r="H1597" s="1">
        <v>734</v>
      </c>
      <c r="I1597" s="1" t="s">
        <v>45</v>
      </c>
      <c r="J1597" s="1">
        <v>17</v>
      </c>
      <c r="K1597" s="1" t="s">
        <v>35</v>
      </c>
      <c r="L1597" s="1">
        <v>43</v>
      </c>
      <c r="M1597" s="1" t="str">
        <f>IF(L1597&lt;=45,"Joven","Mayor")</f>
        <v>Joven</v>
      </c>
      <c r="N1597" s="1">
        <v>32</v>
      </c>
      <c r="O1597" s="1" t="s">
        <v>36</v>
      </c>
      <c r="P1597" s="1">
        <v>0.38100000000000001</v>
      </c>
      <c r="Q1597" s="1">
        <v>88.637</v>
      </c>
      <c r="R1597" s="1">
        <v>5.9012270000000004</v>
      </c>
      <c r="S1597" s="1">
        <v>5.5519350000000003</v>
      </c>
      <c r="T1597" s="1">
        <v>-4.413748</v>
      </c>
      <c r="U1597" s="1">
        <v>42.843000000000004</v>
      </c>
      <c r="V1597" s="1">
        <v>77</v>
      </c>
      <c r="W1597" s="1">
        <v>143</v>
      </c>
      <c r="X1597" s="1">
        <v>1.8571428571428572</v>
      </c>
      <c r="Y1597" s="1">
        <v>81</v>
      </c>
      <c r="Z1597" s="1">
        <v>143</v>
      </c>
      <c r="AA1597" s="1">
        <v>1.7654320987654322</v>
      </c>
      <c r="AB1597" s="1">
        <v>80.46563904831487</v>
      </c>
      <c r="AC1597" s="1">
        <v>143.3454897048664</v>
      </c>
      <c r="AD1597" s="1">
        <v>1.7814497144401709</v>
      </c>
      <c r="AE1597" t="s">
        <v>4817</v>
      </c>
      <c r="AF1597" t="str">
        <f>IF(X1597&lt;$AF$1,"Bajo","Alto")</f>
        <v>Alto</v>
      </c>
      <c r="AG1597" t="str">
        <f>LEFT(AE1597,1)</f>
        <v>C</v>
      </c>
      <c r="AH1597" t="str">
        <f>K1597</f>
        <v>M</v>
      </c>
      <c r="AI1597" t="str">
        <f>LEFT(AF1597,1)</f>
        <v>A</v>
      </c>
      <c r="AJ1597" t="str">
        <f>LEFT(M1597,1)</f>
        <v>J</v>
      </c>
      <c r="AK1597" t="str">
        <f>_xlfn.CONCAT(AG1597,AH1597,AI1597,AJ1597)</f>
        <v>CMAJ</v>
      </c>
    </row>
    <row r="1598" spans="1:37" ht="15.75" hidden="1" customHeight="1" x14ac:dyDescent="0.2">
      <c r="A1598" s="1">
        <v>522702</v>
      </c>
      <c r="B1598" s="1" t="s">
        <v>4529</v>
      </c>
      <c r="C1598" s="1" t="s">
        <v>685</v>
      </c>
      <c r="D1598" s="1" t="s">
        <v>4570</v>
      </c>
      <c r="E1598" s="1" t="s">
        <v>973</v>
      </c>
      <c r="F1598" s="1" t="s">
        <v>37</v>
      </c>
      <c r="G1598" s="1" t="s">
        <v>4571</v>
      </c>
      <c r="H1598" s="1">
        <v>80</v>
      </c>
      <c r="I1598" s="1" t="s">
        <v>42</v>
      </c>
      <c r="J1598" s="1">
        <v>15</v>
      </c>
      <c r="K1598" s="1" t="s">
        <v>35</v>
      </c>
      <c r="L1598" s="1">
        <v>43</v>
      </c>
      <c r="M1598" s="1" t="str">
        <f>IF(L1598&lt;=45,"Joven","Mayor")</f>
        <v>Joven</v>
      </c>
      <c r="N1598" s="1">
        <v>57</v>
      </c>
      <c r="O1598" s="1" t="s">
        <v>36</v>
      </c>
      <c r="P1598" s="1">
        <v>0.249</v>
      </c>
      <c r="Q1598" s="1">
        <v>90.665999999999997</v>
      </c>
      <c r="R1598" s="1">
        <v>5.682023</v>
      </c>
      <c r="S1598" s="1">
        <v>-0.65849084000000002</v>
      </c>
      <c r="T1598" s="1">
        <v>-2.376833</v>
      </c>
      <c r="U1598" s="1">
        <v>2.5190000000000001</v>
      </c>
      <c r="V1598" s="1">
        <v>80</v>
      </c>
      <c r="W1598" s="1">
        <v>136</v>
      </c>
      <c r="X1598" s="1">
        <v>1.7</v>
      </c>
      <c r="Y1598" s="1">
        <v>81</v>
      </c>
      <c r="Z1598" s="1">
        <v>136</v>
      </c>
      <c r="AA1598" s="1">
        <v>1.6790123456790123</v>
      </c>
      <c r="AB1598" s="1">
        <v>81.465626024426911</v>
      </c>
      <c r="AC1598" s="1">
        <v>135.84152487585419</v>
      </c>
      <c r="AD1598" s="1">
        <v>1.6674704596896246</v>
      </c>
      <c r="AE1598" t="s">
        <v>4817</v>
      </c>
      <c r="AF1598" t="str">
        <f>IF(X1598&lt;$AF$1,"Bajo","Alto")</f>
        <v>Bajo</v>
      </c>
      <c r="AG1598" t="str">
        <f>LEFT(AE1598,1)</f>
        <v>C</v>
      </c>
      <c r="AH1598" t="str">
        <f>K1598</f>
        <v>M</v>
      </c>
      <c r="AI1598" t="str">
        <f>LEFT(AF1598,1)</f>
        <v>B</v>
      </c>
      <c r="AJ1598" t="str">
        <f>LEFT(M1598,1)</f>
        <v>J</v>
      </c>
      <c r="AK1598" t="str">
        <f>_xlfn.CONCAT(AG1598,AH1598,AI1598,AJ1598)</f>
        <v>CMBJ</v>
      </c>
    </row>
    <row r="1599" spans="1:37" ht="15.75" hidden="1" customHeight="1" x14ac:dyDescent="0.2">
      <c r="A1599" s="1">
        <v>1517802</v>
      </c>
      <c r="B1599" s="1" t="s">
        <v>2077</v>
      </c>
      <c r="C1599" s="1" t="s">
        <v>57</v>
      </c>
      <c r="D1599" s="1" t="s">
        <v>2206</v>
      </c>
      <c r="E1599" s="1" t="s">
        <v>300</v>
      </c>
      <c r="F1599" s="1" t="s">
        <v>37</v>
      </c>
      <c r="G1599" s="1" t="s">
        <v>2208</v>
      </c>
      <c r="H1599" s="1">
        <v>172</v>
      </c>
      <c r="I1599" s="1" t="s">
        <v>45</v>
      </c>
      <c r="J1599" s="1">
        <v>17</v>
      </c>
      <c r="K1599" s="1" t="s">
        <v>35</v>
      </c>
      <c r="L1599" s="1">
        <v>60</v>
      </c>
      <c r="M1599" s="1" t="str">
        <f>IF(L1599&lt;=45,"Joven","Mayor")</f>
        <v>Mayor</v>
      </c>
      <c r="N1599" s="1">
        <v>65</v>
      </c>
      <c r="O1599" s="1" t="s">
        <v>36</v>
      </c>
      <c r="P1599" s="1">
        <v>0.21299999999999999</v>
      </c>
      <c r="Q1599" s="1">
        <v>93.117000000000004</v>
      </c>
      <c r="R1599" s="1">
        <v>-9.6639489999999995E-2</v>
      </c>
      <c r="S1599" s="1">
        <v>7.6082989999999997</v>
      </c>
      <c r="T1599" s="1">
        <v>-1.5563296</v>
      </c>
      <c r="U1599" s="1">
        <v>3.7509999999999999</v>
      </c>
      <c r="V1599" s="1">
        <v>89</v>
      </c>
      <c r="W1599" s="1">
        <v>150</v>
      </c>
      <c r="X1599" s="1">
        <v>1.6853932584269662</v>
      </c>
      <c r="Y1599" s="1">
        <v>94</v>
      </c>
      <c r="Z1599" s="1">
        <v>150</v>
      </c>
      <c r="AA1599" s="1">
        <v>1.5957446808510638</v>
      </c>
      <c r="AB1599" s="1">
        <v>92.96041377919164</v>
      </c>
      <c r="AC1599" s="1">
        <v>150.13478410013701</v>
      </c>
      <c r="AD1599" s="1">
        <v>1.6150399723558819</v>
      </c>
      <c r="AE1599" t="s">
        <v>4817</v>
      </c>
      <c r="AF1599" t="str">
        <f>IF(X1599&lt;$AF$1,"Bajo","Alto")</f>
        <v>Bajo</v>
      </c>
      <c r="AG1599" t="str">
        <f>LEFT(AE1599,1)</f>
        <v>C</v>
      </c>
      <c r="AH1599" t="str">
        <f>K1599</f>
        <v>M</v>
      </c>
      <c r="AI1599" t="str">
        <f>LEFT(AF1599,1)</f>
        <v>B</v>
      </c>
      <c r="AJ1599" t="str">
        <f>LEFT(M1599,1)</f>
        <v>M</v>
      </c>
      <c r="AK1599" t="str">
        <f>_xlfn.CONCAT(AG1599,AH1599,AI1599,AJ1599)</f>
        <v>CMBM</v>
      </c>
    </row>
    <row r="1600" spans="1:37" ht="15.75" hidden="1" customHeight="1" x14ac:dyDescent="0.2">
      <c r="A1600" s="1">
        <v>1030103</v>
      </c>
      <c r="B1600" s="1" t="s">
        <v>783</v>
      </c>
      <c r="C1600" s="1" t="s">
        <v>81</v>
      </c>
      <c r="D1600" s="1" t="s">
        <v>784</v>
      </c>
      <c r="E1600" s="1" t="s">
        <v>32</v>
      </c>
      <c r="F1600" s="1" t="s">
        <v>63</v>
      </c>
      <c r="G1600" s="1" t="s">
        <v>787</v>
      </c>
      <c r="H1600" s="1">
        <v>19749</v>
      </c>
      <c r="I1600" s="1" t="s">
        <v>91</v>
      </c>
      <c r="J1600" s="1">
        <v>6</v>
      </c>
      <c r="K1600" s="1" t="s">
        <v>35</v>
      </c>
      <c r="L1600" s="1">
        <v>57</v>
      </c>
      <c r="M1600" s="1" t="str">
        <f>IF(L1600&lt;=45,"Joven","Mayor")</f>
        <v>Mayor</v>
      </c>
      <c r="N1600" s="1">
        <v>64</v>
      </c>
      <c r="O1600" s="1" t="s">
        <v>36</v>
      </c>
      <c r="P1600" s="1">
        <v>0.13100000000000001</v>
      </c>
      <c r="Q1600" s="1">
        <v>89.135999999999996</v>
      </c>
      <c r="R1600" s="1">
        <v>2.8211233999999998</v>
      </c>
      <c r="S1600" s="1">
        <v>-11.202882000000001</v>
      </c>
      <c r="T1600" s="1">
        <v>-4.6697654999999996</v>
      </c>
      <c r="U1600" s="1">
        <v>4.7830000000000004</v>
      </c>
      <c r="V1600" s="1">
        <v>95</v>
      </c>
      <c r="W1600" s="1">
        <v>175</v>
      </c>
      <c r="X1600" s="1">
        <v>1.8421052631578947</v>
      </c>
      <c r="Y1600" s="1">
        <v>96</v>
      </c>
      <c r="Z1600" s="1">
        <v>175</v>
      </c>
      <c r="AA1600" s="1">
        <v>1.8229166666666667</v>
      </c>
      <c r="AB1600" s="1">
        <v>99.914780851287787</v>
      </c>
      <c r="AC1600" s="1">
        <v>174.58191026540359</v>
      </c>
      <c r="AD1600" s="1">
        <v>1.7473081437795441</v>
      </c>
      <c r="AE1600" t="s">
        <v>4817</v>
      </c>
      <c r="AF1600" t="str">
        <f>IF(X1600&lt;$AF$1,"Bajo","Alto")</f>
        <v>Alto</v>
      </c>
      <c r="AG1600" t="str">
        <f>LEFT(AE1600,1)</f>
        <v>C</v>
      </c>
      <c r="AH1600" t="str">
        <f>K1600</f>
        <v>M</v>
      </c>
      <c r="AI1600" t="str">
        <f>LEFT(AF1600,1)</f>
        <v>A</v>
      </c>
      <c r="AJ1600" t="str">
        <f>LEFT(M1600,1)</f>
        <v>M</v>
      </c>
      <c r="AK1600" t="str">
        <f>_xlfn.CONCAT(AG1600,AH1600,AI1600,AJ1600)</f>
        <v>CMAM</v>
      </c>
    </row>
    <row r="1601" spans="1:37" ht="15.75" hidden="1" customHeight="1" x14ac:dyDescent="0.2">
      <c r="A1601" s="1">
        <v>198807</v>
      </c>
      <c r="B1601" s="1" t="s">
        <v>2656</v>
      </c>
      <c r="C1601" s="1" t="s">
        <v>323</v>
      </c>
      <c r="D1601" s="1" t="s">
        <v>2804</v>
      </c>
      <c r="E1601" s="1" t="s">
        <v>763</v>
      </c>
      <c r="F1601" s="1" t="s">
        <v>43</v>
      </c>
      <c r="G1601" s="1" t="s">
        <v>2807</v>
      </c>
      <c r="H1601" s="1">
        <v>854</v>
      </c>
      <c r="I1601" s="1" t="s">
        <v>134</v>
      </c>
      <c r="J1601" s="1">
        <v>8</v>
      </c>
      <c r="K1601" s="1" t="s">
        <v>35</v>
      </c>
      <c r="L1601" s="1">
        <v>43</v>
      </c>
      <c r="M1601" s="1" t="str">
        <f>IF(L1601&lt;=45,"Joven","Mayor")</f>
        <v>Joven</v>
      </c>
      <c r="N1601" s="1">
        <v>48</v>
      </c>
      <c r="O1601" s="1" t="s">
        <v>36</v>
      </c>
      <c r="P1601" s="1">
        <v>0.25</v>
      </c>
      <c r="Q1601" s="1">
        <v>90.759</v>
      </c>
      <c r="R1601" s="1">
        <v>-5.057334</v>
      </c>
      <c r="S1601" s="1">
        <v>3.0068172999999998</v>
      </c>
      <c r="T1601" s="1">
        <v>3.5710123</v>
      </c>
      <c r="U1601" s="1">
        <v>1.298</v>
      </c>
      <c r="V1601" s="1">
        <v>97</v>
      </c>
      <c r="W1601" s="1">
        <v>165</v>
      </c>
      <c r="X1601" s="1">
        <v>1.7010309278350515</v>
      </c>
      <c r="Y1601" s="1">
        <v>101</v>
      </c>
      <c r="Z1601" s="1">
        <v>165</v>
      </c>
      <c r="AA1601" s="1">
        <v>1.6336633663366336</v>
      </c>
      <c r="AB1601" s="1">
        <v>99.988226261756381</v>
      </c>
      <c r="AC1601" s="1">
        <v>164.86648751566781</v>
      </c>
      <c r="AD1601" s="1">
        <v>1.6488590075002276</v>
      </c>
      <c r="AE1601" t="s">
        <v>4817</v>
      </c>
      <c r="AF1601" t="str">
        <f>IF(X1601&lt;$AF$1,"Bajo","Alto")</f>
        <v>Bajo</v>
      </c>
      <c r="AG1601" t="str">
        <f>LEFT(AE1601,1)</f>
        <v>C</v>
      </c>
      <c r="AH1601" t="str">
        <f>K1601</f>
        <v>M</v>
      </c>
      <c r="AI1601" t="str">
        <f>LEFT(AF1601,1)</f>
        <v>B</v>
      </c>
      <c r="AJ1601" t="str">
        <f>LEFT(M1601,1)</f>
        <v>J</v>
      </c>
      <c r="AK1601" t="str">
        <f>_xlfn.CONCAT(AG1601,AH1601,AI1601,AJ1601)</f>
        <v>CMBJ</v>
      </c>
    </row>
    <row r="1602" spans="1:37" ht="15.75" hidden="1" customHeight="1" x14ac:dyDescent="0.2">
      <c r="A1602" s="1">
        <v>440302</v>
      </c>
      <c r="B1602" s="1" t="s">
        <v>4314</v>
      </c>
      <c r="C1602" s="1" t="s">
        <v>995</v>
      </c>
      <c r="D1602" s="1" t="s">
        <v>4321</v>
      </c>
      <c r="E1602" s="1" t="s">
        <v>63</v>
      </c>
      <c r="F1602" s="1" t="s">
        <v>37</v>
      </c>
      <c r="G1602" s="1" t="s">
        <v>4322</v>
      </c>
      <c r="H1602" s="1">
        <v>412</v>
      </c>
      <c r="I1602" s="1" t="s">
        <v>65</v>
      </c>
      <c r="J1602" s="1">
        <v>2</v>
      </c>
      <c r="K1602" s="1" t="s">
        <v>49</v>
      </c>
      <c r="L1602" s="1">
        <v>37</v>
      </c>
      <c r="M1602" s="1" t="str">
        <f>IF(L1602&lt;=45,"Joven","Mayor")</f>
        <v>Joven</v>
      </c>
      <c r="N1602" s="1">
        <v>49</v>
      </c>
      <c r="O1602" s="1" t="s">
        <v>50</v>
      </c>
      <c r="P1602" s="1">
        <v>0.34899999999999998</v>
      </c>
      <c r="Q1602" s="1">
        <v>94.281000000000006</v>
      </c>
      <c r="R1602" s="1">
        <v>-1.0705621000000001</v>
      </c>
      <c r="S1602" s="1">
        <v>-1.1085370999999999</v>
      </c>
      <c r="T1602" s="1">
        <v>-0.34158840000000001</v>
      </c>
      <c r="U1602" s="1">
        <v>18.693999999999999</v>
      </c>
      <c r="V1602" s="1">
        <v>80</v>
      </c>
      <c r="W1602" s="1">
        <v>136</v>
      </c>
      <c r="X1602" s="1">
        <v>1.7</v>
      </c>
      <c r="Y1602" s="1">
        <v>83</v>
      </c>
      <c r="Z1602" s="1">
        <v>136</v>
      </c>
      <c r="AA1602" s="1">
        <v>1.6385542168674698</v>
      </c>
      <c r="AB1602" s="1">
        <v>83.195264575818101</v>
      </c>
      <c r="AC1602" s="1">
        <v>135.97373581706421</v>
      </c>
      <c r="AD1602" s="1">
        <v>1.6343927326915062</v>
      </c>
      <c r="AE1602" t="s">
        <v>4817</v>
      </c>
      <c r="AF1602" t="str">
        <f>IF(X1602&lt;$AF$1,"Bajo","Alto")</f>
        <v>Bajo</v>
      </c>
      <c r="AG1602" t="str">
        <f>LEFT(AE1602,1)</f>
        <v>C</v>
      </c>
      <c r="AH1602" t="str">
        <f>K1602</f>
        <v>F</v>
      </c>
      <c r="AI1602" t="str">
        <f>LEFT(AF1602,1)</f>
        <v>B</v>
      </c>
      <c r="AJ1602" t="str">
        <f>LEFT(M1602,1)</f>
        <v>J</v>
      </c>
      <c r="AK1602" t="str">
        <f>_xlfn.CONCAT(AG1602,AH1602,AI1602,AJ1602)</f>
        <v>CFBJ</v>
      </c>
    </row>
    <row r="1603" spans="1:37" ht="15.75" hidden="1" customHeight="1" x14ac:dyDescent="0.2">
      <c r="A1603" s="1">
        <v>1532503</v>
      </c>
      <c r="B1603" s="1" t="s">
        <v>2077</v>
      </c>
      <c r="C1603" s="1" t="s">
        <v>57</v>
      </c>
      <c r="D1603" s="1" t="s">
        <v>2412</v>
      </c>
      <c r="E1603" s="1" t="s">
        <v>1412</v>
      </c>
      <c r="F1603" s="1" t="s">
        <v>63</v>
      </c>
      <c r="G1603" s="1" t="s">
        <v>2415</v>
      </c>
      <c r="H1603" s="1">
        <v>3975</v>
      </c>
      <c r="I1603" s="1" t="s">
        <v>2416</v>
      </c>
      <c r="J1603" s="1">
        <v>3519</v>
      </c>
      <c r="K1603" s="1" t="s">
        <v>35</v>
      </c>
      <c r="L1603" s="1">
        <v>25</v>
      </c>
      <c r="M1603" s="1" t="str">
        <f>IF(L1603&lt;=45,"Joven","Mayor")</f>
        <v>Joven</v>
      </c>
      <c r="N1603" s="1">
        <v>25</v>
      </c>
      <c r="O1603" s="1" t="s">
        <v>36</v>
      </c>
      <c r="P1603" s="1">
        <v>0.31900000000000001</v>
      </c>
      <c r="Q1603" s="1">
        <v>88.554000000000002</v>
      </c>
      <c r="R1603" s="1">
        <v>6.7601319999999996</v>
      </c>
      <c r="S1603" s="1">
        <v>2.6312304000000002</v>
      </c>
      <c r="T1603" s="1">
        <v>-1.7675447</v>
      </c>
      <c r="U1603" s="1">
        <v>42.003</v>
      </c>
      <c r="V1603" s="1">
        <v>67</v>
      </c>
      <c r="W1603" s="1">
        <v>114</v>
      </c>
      <c r="X1603" s="1">
        <v>1.7014925373134329</v>
      </c>
      <c r="Y1603" s="1">
        <v>69</v>
      </c>
      <c r="Z1603" s="1">
        <v>114</v>
      </c>
      <c r="AA1603" s="1">
        <v>1.6521739130434783</v>
      </c>
      <c r="AB1603" s="1">
        <v>69.861662166073984</v>
      </c>
      <c r="AC1603" s="1">
        <v>113.85322422174571</v>
      </c>
      <c r="AD1603" s="1">
        <v>1.6296953248993089</v>
      </c>
      <c r="AE1603" t="s">
        <v>4817</v>
      </c>
      <c r="AF1603" t="str">
        <f>IF(X1603&lt;$AF$1,"Bajo","Alto")</f>
        <v>Bajo</v>
      </c>
      <c r="AG1603" t="str">
        <f>LEFT(AE1603,1)</f>
        <v>C</v>
      </c>
      <c r="AH1603" t="str">
        <f>K1603</f>
        <v>M</v>
      </c>
      <c r="AI1603" t="str">
        <f>LEFT(AF1603,1)</f>
        <v>B</v>
      </c>
      <c r="AJ1603" t="str">
        <f>LEFT(M1603,1)</f>
        <v>J</v>
      </c>
      <c r="AK1603" t="str">
        <f>_xlfn.CONCAT(AG1603,AH1603,AI1603,AJ1603)</f>
        <v>CMBJ</v>
      </c>
    </row>
    <row r="1604" spans="1:37" ht="15.75" hidden="1" customHeight="1" x14ac:dyDescent="0.2">
      <c r="A1604" s="1">
        <v>270102</v>
      </c>
      <c r="B1604" s="1" t="s">
        <v>3409</v>
      </c>
      <c r="C1604" s="1" t="s">
        <v>973</v>
      </c>
      <c r="D1604" s="1" t="s">
        <v>3410</v>
      </c>
      <c r="E1604" s="1" t="s">
        <v>32</v>
      </c>
      <c r="F1604" s="1" t="s">
        <v>37</v>
      </c>
      <c r="G1604" s="1" t="s">
        <v>3411</v>
      </c>
      <c r="H1604" s="1">
        <v>10886</v>
      </c>
      <c r="I1604" s="1" t="s">
        <v>73</v>
      </c>
      <c r="J1604" s="1">
        <v>5</v>
      </c>
      <c r="K1604" s="1" t="s">
        <v>35</v>
      </c>
      <c r="L1604" s="1">
        <v>41</v>
      </c>
      <c r="M1604" s="1" t="str">
        <f>IF(L1604&lt;=45,"Joven","Mayor")</f>
        <v>Joven</v>
      </c>
      <c r="N1604" s="1">
        <v>47</v>
      </c>
      <c r="O1604" s="1" t="s">
        <v>36</v>
      </c>
      <c r="P1604" s="1">
        <v>0.35299999999999998</v>
      </c>
      <c r="Q1604" s="1">
        <v>90.638999999999996</v>
      </c>
      <c r="R1604" s="1">
        <v>4.4473440000000002</v>
      </c>
      <c r="S1604" s="1">
        <v>5.1982407999999998</v>
      </c>
      <c r="T1604" s="1">
        <v>-1.0025272000000001</v>
      </c>
      <c r="U1604" s="1">
        <v>2.2210000000000001</v>
      </c>
      <c r="V1604" s="1">
        <v>105</v>
      </c>
      <c r="W1604" s="1">
        <v>195</v>
      </c>
      <c r="X1604" s="1">
        <v>1.8571428571428572</v>
      </c>
      <c r="Y1604" s="1">
        <v>105</v>
      </c>
      <c r="Z1604" s="1">
        <v>195</v>
      </c>
      <c r="AA1604" s="1">
        <v>1.8571428571428572</v>
      </c>
      <c r="AB1604" s="1">
        <v>105.9812279981488</v>
      </c>
      <c r="AC1604" s="1">
        <v>195.05763279509259</v>
      </c>
      <c r="AD1604" s="1">
        <v>1.8404922879219678</v>
      </c>
      <c r="AE1604" t="s">
        <v>4817</v>
      </c>
      <c r="AF1604" t="str">
        <f>IF(X1604&lt;$AF$1,"Bajo","Alto")</f>
        <v>Alto</v>
      </c>
      <c r="AG1604" t="str">
        <f>LEFT(AE1604,1)</f>
        <v>C</v>
      </c>
      <c r="AH1604" t="str">
        <f>K1604</f>
        <v>M</v>
      </c>
      <c r="AI1604" t="str">
        <f>LEFT(AF1604,1)</f>
        <v>A</v>
      </c>
      <c r="AJ1604" t="str">
        <f>LEFT(M1604,1)</f>
        <v>J</v>
      </c>
      <c r="AK1604" t="str">
        <f>_xlfn.CONCAT(AG1604,AH1604,AI1604,AJ1604)</f>
        <v>CMAJ</v>
      </c>
    </row>
    <row r="1605" spans="1:37" ht="15.75" hidden="1" customHeight="1" x14ac:dyDescent="0.2">
      <c r="A1605" s="1">
        <v>1524703</v>
      </c>
      <c r="B1605" s="1" t="s">
        <v>2077</v>
      </c>
      <c r="C1605" s="1" t="s">
        <v>57</v>
      </c>
      <c r="D1605" s="1" t="s">
        <v>2303</v>
      </c>
      <c r="E1605" s="1" t="s">
        <v>497</v>
      </c>
      <c r="F1605" s="1" t="s">
        <v>63</v>
      </c>
      <c r="G1605" s="1" t="s">
        <v>2304</v>
      </c>
      <c r="H1605" s="1">
        <v>56955</v>
      </c>
      <c r="I1605" s="1" t="s">
        <v>2305</v>
      </c>
      <c r="J1605" s="1">
        <v>3122</v>
      </c>
      <c r="K1605" s="1" t="s">
        <v>35</v>
      </c>
      <c r="L1605" s="1">
        <v>46</v>
      </c>
      <c r="M1605" s="1" t="str">
        <f>IF(L1605&lt;=45,"Joven","Mayor")</f>
        <v>Mayor</v>
      </c>
      <c r="N1605" s="1">
        <v>67</v>
      </c>
      <c r="O1605" s="1" t="s">
        <v>36</v>
      </c>
      <c r="P1605" s="1">
        <v>0.36599999999999999</v>
      </c>
      <c r="Q1605" s="1">
        <v>85.591999999999999</v>
      </c>
      <c r="R1605" s="1">
        <v>8.6586619999999996</v>
      </c>
      <c r="S1605" s="1">
        <v>0.74223150000000004</v>
      </c>
      <c r="T1605" s="1">
        <v>2.4652280000000002</v>
      </c>
      <c r="U1605" s="1">
        <v>8.6560000000000006</v>
      </c>
      <c r="V1605" s="1">
        <v>95</v>
      </c>
      <c r="W1605" s="1">
        <v>175</v>
      </c>
      <c r="X1605" s="1">
        <v>1.8421052631578947</v>
      </c>
      <c r="Y1605" s="1">
        <v>96</v>
      </c>
      <c r="Z1605" s="1">
        <v>175</v>
      </c>
      <c r="AA1605" s="1">
        <v>1.8229166666666667</v>
      </c>
      <c r="AB1605" s="1">
        <v>97.93276726257568</v>
      </c>
      <c r="AC1605" s="1">
        <v>174.8380391784053</v>
      </c>
      <c r="AD1605" s="1">
        <v>1.7852864170541867</v>
      </c>
      <c r="AE1605" t="s">
        <v>4817</v>
      </c>
      <c r="AF1605" t="str">
        <f>IF(X1605&lt;$AF$1,"Bajo","Alto")</f>
        <v>Alto</v>
      </c>
      <c r="AG1605" t="str">
        <f>LEFT(AE1605,1)</f>
        <v>C</v>
      </c>
      <c r="AH1605" t="str">
        <f>K1605</f>
        <v>M</v>
      </c>
      <c r="AI1605" t="str">
        <f>LEFT(AF1605,1)</f>
        <v>A</v>
      </c>
      <c r="AJ1605" t="str">
        <f>LEFT(M1605,1)</f>
        <v>M</v>
      </c>
      <c r="AK1605" t="str">
        <f>_xlfn.CONCAT(AG1605,AH1605,AI1605,AJ1605)</f>
        <v>CMAM</v>
      </c>
    </row>
    <row r="1606" spans="1:37" ht="15.75" hidden="1" customHeight="1" x14ac:dyDescent="0.2">
      <c r="A1606" s="1">
        <v>1533706</v>
      </c>
      <c r="B1606" s="1" t="s">
        <v>2077</v>
      </c>
      <c r="C1606" s="1" t="s">
        <v>57</v>
      </c>
      <c r="D1606" s="1" t="s">
        <v>2433</v>
      </c>
      <c r="E1606" s="1" t="s">
        <v>1428</v>
      </c>
      <c r="F1606" s="1" t="s">
        <v>88</v>
      </c>
      <c r="G1606" s="1" t="s">
        <v>2436</v>
      </c>
      <c r="H1606" s="1">
        <v>814</v>
      </c>
      <c r="I1606" s="1" t="s">
        <v>2437</v>
      </c>
      <c r="J1606" s="1">
        <v>2819</v>
      </c>
      <c r="K1606" s="1" t="s">
        <v>49</v>
      </c>
      <c r="L1606" s="1">
        <v>38</v>
      </c>
      <c r="M1606" s="1" t="str">
        <f>IF(L1606&lt;=45,"Joven","Mayor")</f>
        <v>Joven</v>
      </c>
      <c r="N1606" s="1">
        <v>39</v>
      </c>
      <c r="O1606" s="1" t="s">
        <v>50</v>
      </c>
      <c r="P1606" s="1">
        <v>0.40200000000000002</v>
      </c>
      <c r="Q1606" s="1">
        <v>83.54</v>
      </c>
      <c r="R1606" s="1">
        <v>7.9766180000000002</v>
      </c>
      <c r="S1606" s="1">
        <v>7.6049642999999998</v>
      </c>
      <c r="T1606" s="1">
        <v>-6.8209160000000004</v>
      </c>
      <c r="U1606" s="1">
        <v>28.821000000000002</v>
      </c>
      <c r="V1606" s="1">
        <v>67</v>
      </c>
      <c r="W1606" s="1">
        <v>114</v>
      </c>
      <c r="X1606" s="1">
        <v>1.7014925373134329</v>
      </c>
      <c r="Y1606" s="1">
        <v>73</v>
      </c>
      <c r="Z1606" s="1">
        <v>114</v>
      </c>
      <c r="AA1606" s="1">
        <v>1.5616438356164384</v>
      </c>
      <c r="AB1606" s="1">
        <v>70.801380658697099</v>
      </c>
      <c r="AC1606" s="1">
        <v>114.2620308858545</v>
      </c>
      <c r="AD1606" s="1">
        <v>1.6138390215391765</v>
      </c>
      <c r="AE1606" t="s">
        <v>4817</v>
      </c>
      <c r="AF1606" t="str">
        <f>IF(X1606&lt;$AF$1,"Bajo","Alto")</f>
        <v>Bajo</v>
      </c>
      <c r="AG1606" t="str">
        <f>LEFT(AE1606,1)</f>
        <v>C</v>
      </c>
      <c r="AH1606" t="str">
        <f>K1606</f>
        <v>F</v>
      </c>
      <c r="AI1606" t="str">
        <f>LEFT(AF1606,1)</f>
        <v>B</v>
      </c>
      <c r="AJ1606" t="str">
        <f>LEFT(M1606,1)</f>
        <v>J</v>
      </c>
      <c r="AK1606" t="str">
        <f>_xlfn.CONCAT(AG1606,AH1606,AI1606,AJ1606)</f>
        <v>CFBJ</v>
      </c>
    </row>
    <row r="1607" spans="1:37" ht="15.75" hidden="1" customHeight="1" x14ac:dyDescent="0.2">
      <c r="A1607" s="1">
        <v>2716908</v>
      </c>
      <c r="B1607" s="1" t="s">
        <v>3409</v>
      </c>
      <c r="C1607" s="1" t="s">
        <v>973</v>
      </c>
      <c r="D1607" s="1" t="s">
        <v>3548</v>
      </c>
      <c r="E1607" s="1" t="s">
        <v>279</v>
      </c>
      <c r="F1607" s="1" t="s">
        <v>46</v>
      </c>
      <c r="G1607" s="1" t="s">
        <v>3556</v>
      </c>
      <c r="H1607" s="1">
        <v>4275</v>
      </c>
      <c r="I1607" s="1" t="s">
        <v>3557</v>
      </c>
      <c r="J1607" s="1">
        <v>2684</v>
      </c>
      <c r="K1607" s="1" t="s">
        <v>35</v>
      </c>
      <c r="L1607" s="1">
        <v>40</v>
      </c>
      <c r="M1607" s="1" t="str">
        <f>IF(L1607&lt;=45,"Joven","Mayor")</f>
        <v>Joven</v>
      </c>
      <c r="N1607" s="1">
        <v>48</v>
      </c>
      <c r="O1607" s="1" t="s">
        <v>36</v>
      </c>
      <c r="P1607" s="1">
        <v>0.59599999999999997</v>
      </c>
      <c r="Q1607" s="1">
        <v>65.393000000000001</v>
      </c>
      <c r="R1607" s="1">
        <v>13.778202</v>
      </c>
      <c r="S1607" s="1">
        <v>-1.2541943</v>
      </c>
      <c r="T1607" s="1">
        <v>-6.8408666</v>
      </c>
      <c r="U1607" s="1">
        <v>13.366</v>
      </c>
      <c r="V1607" s="1">
        <v>84</v>
      </c>
      <c r="W1607" s="1">
        <v>156</v>
      </c>
      <c r="X1607" s="1">
        <v>1.8571428571428572</v>
      </c>
      <c r="Y1607" s="1">
        <v>88</v>
      </c>
      <c r="Z1607" s="1">
        <v>156</v>
      </c>
      <c r="AA1607" s="1">
        <v>1.7727272727272727</v>
      </c>
      <c r="AB1607" s="1">
        <v>88.404698914207984</v>
      </c>
      <c r="AC1607" s="1">
        <v>155.2467418173533</v>
      </c>
      <c r="AD1607" s="1">
        <v>1.7560915169001585</v>
      </c>
      <c r="AE1607" t="s">
        <v>4817</v>
      </c>
      <c r="AF1607" t="str">
        <f>IF(X1607&lt;$AF$1,"Bajo","Alto")</f>
        <v>Alto</v>
      </c>
      <c r="AG1607" t="str">
        <f>LEFT(AE1607,1)</f>
        <v>C</v>
      </c>
      <c r="AH1607" t="str">
        <f>K1607</f>
        <v>M</v>
      </c>
      <c r="AI1607" t="str">
        <f>LEFT(AF1607,1)</f>
        <v>A</v>
      </c>
      <c r="AJ1607" t="str">
        <f>LEFT(M1607,1)</f>
        <v>J</v>
      </c>
      <c r="AK1607" t="str">
        <f>_xlfn.CONCAT(AG1607,AH1607,AI1607,AJ1607)</f>
        <v>CMAJ</v>
      </c>
    </row>
    <row r="1608" spans="1:37" ht="15.75" hidden="1" customHeight="1" x14ac:dyDescent="0.2">
      <c r="A1608" s="1">
        <v>10716005</v>
      </c>
      <c r="B1608" s="1" t="s">
        <v>1067</v>
      </c>
      <c r="C1608" s="1" t="s">
        <v>1068</v>
      </c>
      <c r="D1608" s="1" t="s">
        <v>1152</v>
      </c>
      <c r="E1608" s="1" t="s">
        <v>234</v>
      </c>
      <c r="F1608" s="1" t="s">
        <v>40</v>
      </c>
      <c r="G1608" s="1" t="s">
        <v>1155</v>
      </c>
      <c r="H1608" s="1">
        <v>426</v>
      </c>
      <c r="I1608" s="1" t="s">
        <v>1156</v>
      </c>
      <c r="J1608" s="1">
        <v>2599</v>
      </c>
      <c r="K1608" s="1" t="s">
        <v>49</v>
      </c>
      <c r="L1608" s="1">
        <v>56</v>
      </c>
      <c r="M1608" s="1" t="str">
        <f>IF(L1608&lt;=45,"Joven","Mayor")</f>
        <v>Mayor</v>
      </c>
      <c r="N1608" s="1">
        <v>68</v>
      </c>
      <c r="O1608" s="1" t="s">
        <v>50</v>
      </c>
      <c r="P1608" s="1">
        <v>6.5000000000000002E-2</v>
      </c>
      <c r="Q1608" s="1">
        <v>85.215000000000003</v>
      </c>
      <c r="R1608" s="1">
        <v>7.6496829999999996</v>
      </c>
      <c r="S1608" s="1">
        <v>6.4570556000000003</v>
      </c>
      <c r="T1608" s="1">
        <v>-2.7419913</v>
      </c>
      <c r="U1608" s="1">
        <v>8.6170000000000009</v>
      </c>
      <c r="V1608" s="1">
        <v>85</v>
      </c>
      <c r="W1608" s="1">
        <v>143</v>
      </c>
      <c r="X1608" s="1">
        <v>1.6823529411764706</v>
      </c>
      <c r="Y1608" s="1">
        <v>95</v>
      </c>
      <c r="Z1608" s="1">
        <v>143</v>
      </c>
      <c r="AA1608" s="1">
        <v>1.5052631578947369</v>
      </c>
      <c r="AB1608" s="1">
        <v>93.169046496942428</v>
      </c>
      <c r="AC1608" s="1">
        <v>143.17114644814961</v>
      </c>
      <c r="AD1608" s="1">
        <v>1.5366814605411694</v>
      </c>
      <c r="AE1608" t="s">
        <v>4817</v>
      </c>
      <c r="AF1608" t="str">
        <f>IF(X1608&lt;$AF$1,"Bajo","Alto")</f>
        <v>Bajo</v>
      </c>
      <c r="AG1608" t="str">
        <f>LEFT(AE1608,1)</f>
        <v>C</v>
      </c>
      <c r="AH1608" t="str">
        <f>K1608</f>
        <v>F</v>
      </c>
      <c r="AI1608" t="str">
        <f>LEFT(AF1608,1)</f>
        <v>B</v>
      </c>
      <c r="AJ1608" t="str">
        <f>LEFT(M1608,1)</f>
        <v>M</v>
      </c>
      <c r="AK1608" t="str">
        <f>_xlfn.CONCAT(AG1608,AH1608,AI1608,AJ1608)</f>
        <v>CFBM</v>
      </c>
    </row>
    <row r="1609" spans="1:37" ht="15.75" hidden="1" customHeight="1" x14ac:dyDescent="0.2">
      <c r="A1609" s="1">
        <v>260501</v>
      </c>
      <c r="B1609" s="1" t="s">
        <v>3358</v>
      </c>
      <c r="C1609" s="1" t="s">
        <v>968</v>
      </c>
      <c r="D1609" s="1" t="s">
        <v>1386</v>
      </c>
      <c r="E1609" s="1" t="s">
        <v>40</v>
      </c>
      <c r="F1609" s="1" t="s">
        <v>32</v>
      </c>
      <c r="G1609" s="1" t="s">
        <v>3362</v>
      </c>
      <c r="H1609" s="1">
        <v>123</v>
      </c>
      <c r="I1609" s="1" t="s">
        <v>45</v>
      </c>
      <c r="J1609" s="1">
        <v>17</v>
      </c>
      <c r="K1609" s="1" t="s">
        <v>35</v>
      </c>
      <c r="L1609" s="1">
        <v>53</v>
      </c>
      <c r="M1609" s="1" t="str">
        <f>IF(L1609&lt;=45,"Joven","Mayor")</f>
        <v>Mayor</v>
      </c>
      <c r="N1609" s="1">
        <v>54</v>
      </c>
      <c r="O1609" s="1" t="s">
        <v>36</v>
      </c>
      <c r="P1609" s="1">
        <v>0.40600000000000003</v>
      </c>
      <c r="Q1609" s="1">
        <v>87.475999999999999</v>
      </c>
      <c r="R1609" s="1">
        <v>7.0993656999999999</v>
      </c>
      <c r="S1609" s="1">
        <v>3.8447068</v>
      </c>
      <c r="T1609" s="1">
        <v>-7.1132799999999996</v>
      </c>
      <c r="U1609" s="1">
        <v>1.423</v>
      </c>
      <c r="V1609" s="1">
        <v>76</v>
      </c>
      <c r="W1609" s="1">
        <v>140</v>
      </c>
      <c r="X1609" s="1">
        <v>1.8421052631578947</v>
      </c>
      <c r="Y1609" s="1">
        <v>77</v>
      </c>
      <c r="Z1609" s="1">
        <v>140</v>
      </c>
      <c r="AA1609" s="1">
        <v>1.8181818181818181</v>
      </c>
      <c r="AB1609" s="1">
        <v>80.369958471355403</v>
      </c>
      <c r="AC1609" s="1">
        <v>138.67479385635349</v>
      </c>
      <c r="AD1609" s="1">
        <v>1.725455586813305</v>
      </c>
      <c r="AE1609" t="s">
        <v>4817</v>
      </c>
      <c r="AF1609" t="str">
        <f>IF(X1609&lt;$AF$1,"Bajo","Alto")</f>
        <v>Alto</v>
      </c>
      <c r="AG1609" t="str">
        <f>LEFT(AE1609,1)</f>
        <v>C</v>
      </c>
      <c r="AH1609" t="str">
        <f>K1609</f>
        <v>M</v>
      </c>
      <c r="AI1609" t="str">
        <f>LEFT(AF1609,1)</f>
        <v>A</v>
      </c>
      <c r="AJ1609" t="str">
        <f>LEFT(M1609,1)</f>
        <v>M</v>
      </c>
      <c r="AK1609" t="str">
        <f>_xlfn.CONCAT(AG1609,AH1609,AI1609,AJ1609)</f>
        <v>CMAM</v>
      </c>
    </row>
    <row r="1610" spans="1:37" ht="15.75" hidden="1" customHeight="1" x14ac:dyDescent="0.2">
      <c r="A1610" s="1">
        <v>3112101</v>
      </c>
      <c r="B1610" s="1" t="s">
        <v>4122</v>
      </c>
      <c r="C1610" s="1" t="s">
        <v>628</v>
      </c>
      <c r="D1610" s="1" t="s">
        <v>4163</v>
      </c>
      <c r="E1610" s="1" t="s">
        <v>136</v>
      </c>
      <c r="F1610" s="1" t="s">
        <v>32</v>
      </c>
      <c r="G1610" s="1" t="s">
        <v>4164</v>
      </c>
      <c r="H1610" s="1">
        <v>28560</v>
      </c>
      <c r="I1610" s="1" t="s">
        <v>100</v>
      </c>
      <c r="J1610" s="1">
        <v>1</v>
      </c>
      <c r="K1610" s="1" t="s">
        <v>35</v>
      </c>
      <c r="L1610" s="1">
        <v>52</v>
      </c>
      <c r="M1610" s="1" t="str">
        <f>IF(L1610&lt;=45,"Joven","Mayor")</f>
        <v>Mayor</v>
      </c>
      <c r="N1610" s="1">
        <v>39</v>
      </c>
      <c r="O1610" s="1" t="s">
        <v>36</v>
      </c>
      <c r="P1610" s="1">
        <v>0.28699999999999998</v>
      </c>
      <c r="Q1610" s="1">
        <v>93.069000000000003</v>
      </c>
      <c r="R1610" s="1">
        <v>-1.2723249999999999</v>
      </c>
      <c r="S1610" s="1">
        <v>5.7904023999999996</v>
      </c>
      <c r="T1610" s="1">
        <v>0.45119846000000002</v>
      </c>
      <c r="U1610" s="1">
        <v>3.5339999999999998</v>
      </c>
      <c r="V1610" s="1">
        <v>88</v>
      </c>
      <c r="W1610" s="1">
        <v>162</v>
      </c>
      <c r="X1610" s="1">
        <v>1.8409090909090908</v>
      </c>
      <c r="Y1610" s="1">
        <v>91</v>
      </c>
      <c r="Z1610" s="1">
        <v>162</v>
      </c>
      <c r="AA1610" s="1">
        <v>1.7802197802197801</v>
      </c>
      <c r="AB1610" s="1">
        <v>90.674310866325641</v>
      </c>
      <c r="AC1610" s="1">
        <v>162.00285170687221</v>
      </c>
      <c r="AD1610" s="1">
        <v>1.7866455246150246</v>
      </c>
      <c r="AE1610" t="s">
        <v>4817</v>
      </c>
      <c r="AF1610" t="str">
        <f>IF(X1610&lt;$AF$1,"Bajo","Alto")</f>
        <v>Alto</v>
      </c>
      <c r="AG1610" t="str">
        <f>LEFT(AE1610,1)</f>
        <v>C</v>
      </c>
      <c r="AH1610" t="str">
        <f>K1610</f>
        <v>M</v>
      </c>
      <c r="AI1610" t="str">
        <f>LEFT(AF1610,1)</f>
        <v>A</v>
      </c>
      <c r="AJ1610" t="str">
        <f>LEFT(M1610,1)</f>
        <v>M</v>
      </c>
      <c r="AK1610" t="str">
        <f>_xlfn.CONCAT(AG1610,AH1610,AI1610,AJ1610)</f>
        <v>CMAM</v>
      </c>
    </row>
    <row r="1611" spans="1:37" ht="15.75" hidden="1" customHeight="1" x14ac:dyDescent="0.2">
      <c r="A1611" s="1">
        <v>10127006</v>
      </c>
      <c r="B1611" s="1" t="s">
        <v>29</v>
      </c>
      <c r="C1611" s="1" t="s">
        <v>30</v>
      </c>
      <c r="D1611" s="1" t="s">
        <v>540</v>
      </c>
      <c r="E1611" s="1" t="s">
        <v>541</v>
      </c>
      <c r="F1611" s="1" t="s">
        <v>88</v>
      </c>
      <c r="G1611" s="1" t="s">
        <v>543</v>
      </c>
      <c r="H1611" s="1">
        <v>3928</v>
      </c>
      <c r="I1611" s="1" t="s">
        <v>544</v>
      </c>
      <c r="J1611" s="1">
        <v>2621</v>
      </c>
      <c r="K1611" s="1" t="s">
        <v>35</v>
      </c>
      <c r="L1611" s="1">
        <v>46</v>
      </c>
      <c r="M1611" s="1" t="str">
        <f>IF(L1611&lt;=45,"Joven","Mayor")</f>
        <v>Mayor</v>
      </c>
      <c r="N1611" s="1">
        <v>58</v>
      </c>
      <c r="O1611" s="1" t="s">
        <v>36</v>
      </c>
      <c r="P1611" s="1">
        <v>0.21199999999999999</v>
      </c>
      <c r="Q1611" s="1">
        <v>84.293000000000006</v>
      </c>
      <c r="R1611" s="1">
        <v>8.3246880000000001</v>
      </c>
      <c r="S1611" s="1">
        <v>-5.4128230000000004</v>
      </c>
      <c r="T1611" s="1">
        <v>0.61481595</v>
      </c>
      <c r="U1611" s="1">
        <v>2.234</v>
      </c>
      <c r="V1611" s="1">
        <v>94</v>
      </c>
      <c r="W1611" s="1">
        <v>173</v>
      </c>
      <c r="X1611" s="1">
        <v>1.8404255319148937</v>
      </c>
      <c r="Y1611" s="1">
        <v>96</v>
      </c>
      <c r="Z1611" s="1">
        <v>173</v>
      </c>
      <c r="AA1611" s="1">
        <v>1.8020833333333333</v>
      </c>
      <c r="AB1611" s="1">
        <v>96.509530215588484</v>
      </c>
      <c r="AC1611" s="1">
        <v>173.11880433563371</v>
      </c>
      <c r="AD1611" s="1">
        <v>1.7938000936167762</v>
      </c>
      <c r="AE1611" t="s">
        <v>4817</v>
      </c>
      <c r="AF1611" t="str">
        <f>IF(X1611&lt;$AF$1,"Bajo","Alto")</f>
        <v>Alto</v>
      </c>
      <c r="AG1611" t="str">
        <f>LEFT(AE1611,1)</f>
        <v>C</v>
      </c>
      <c r="AH1611" t="str">
        <f>K1611</f>
        <v>M</v>
      </c>
      <c r="AI1611" t="str">
        <f>LEFT(AF1611,1)</f>
        <v>A</v>
      </c>
      <c r="AJ1611" t="str">
        <f>LEFT(M1611,1)</f>
        <v>M</v>
      </c>
      <c r="AK1611" t="str">
        <f>_xlfn.CONCAT(AG1611,AH1611,AI1611,AJ1611)</f>
        <v>CMAM</v>
      </c>
    </row>
    <row r="1612" spans="1:37" ht="15.75" hidden="1" customHeight="1" x14ac:dyDescent="0.2">
      <c r="A1612" s="1">
        <v>193704</v>
      </c>
      <c r="B1612" s="1" t="s">
        <v>2656</v>
      </c>
      <c r="C1612" s="1" t="s">
        <v>323</v>
      </c>
      <c r="D1612" s="1" t="s">
        <v>2708</v>
      </c>
      <c r="E1612" s="1" t="s">
        <v>647</v>
      </c>
      <c r="F1612" s="1" t="s">
        <v>61</v>
      </c>
      <c r="G1612" s="1" t="s">
        <v>2712</v>
      </c>
      <c r="H1612" s="1">
        <v>4432</v>
      </c>
      <c r="I1612" s="1" t="s">
        <v>48</v>
      </c>
      <c r="J1612" s="1">
        <v>4</v>
      </c>
      <c r="K1612" s="1" t="s">
        <v>35</v>
      </c>
      <c r="L1612" s="1">
        <v>56</v>
      </c>
      <c r="M1612" s="1" t="str">
        <f>IF(L1612&lt;=45,"Joven","Mayor")</f>
        <v>Mayor</v>
      </c>
      <c r="N1612" s="1">
        <v>68</v>
      </c>
      <c r="O1612" s="1" t="s">
        <v>36</v>
      </c>
      <c r="P1612" s="1">
        <v>0.57599999999999996</v>
      </c>
      <c r="Q1612" s="1">
        <v>93.652000000000001</v>
      </c>
      <c r="R1612" s="1">
        <v>1.3073725</v>
      </c>
      <c r="S1612" s="1">
        <v>3.3422339999999999</v>
      </c>
      <c r="T1612" s="1">
        <v>7.4978956999999999</v>
      </c>
      <c r="U1612" s="1">
        <v>1.734</v>
      </c>
      <c r="V1612" s="1">
        <v>100</v>
      </c>
      <c r="W1612" s="1">
        <v>184</v>
      </c>
      <c r="X1612" s="1">
        <v>1.84</v>
      </c>
      <c r="Y1612" s="1">
        <v>112</v>
      </c>
      <c r="Z1612" s="1">
        <v>184</v>
      </c>
      <c r="AA1612" s="1">
        <v>1.6428571428571428</v>
      </c>
      <c r="AB1612" s="1">
        <v>106.1914135397171</v>
      </c>
      <c r="AC1612" s="1">
        <v>184.2535933458139</v>
      </c>
      <c r="AD1612" s="1">
        <v>1.7351082088845198</v>
      </c>
      <c r="AE1612" t="s">
        <v>4817</v>
      </c>
      <c r="AF1612" t="str">
        <f>IF(X1612&lt;$AF$1,"Bajo","Alto")</f>
        <v>Alto</v>
      </c>
      <c r="AG1612" t="str">
        <f>LEFT(AE1612,1)</f>
        <v>C</v>
      </c>
      <c r="AH1612" t="str">
        <f>K1612</f>
        <v>M</v>
      </c>
      <c r="AI1612" t="str">
        <f>LEFT(AF1612,1)</f>
        <v>A</v>
      </c>
      <c r="AJ1612" t="str">
        <f>LEFT(M1612,1)</f>
        <v>M</v>
      </c>
      <c r="AK1612" t="str">
        <f>_xlfn.CONCAT(AG1612,AH1612,AI1612,AJ1612)</f>
        <v>CMAM</v>
      </c>
    </row>
    <row r="1613" spans="1:37" ht="15.75" hidden="1" customHeight="1" x14ac:dyDescent="0.2">
      <c r="A1613" s="1">
        <v>198802</v>
      </c>
      <c r="B1613" s="1" t="s">
        <v>2656</v>
      </c>
      <c r="C1613" s="1" t="s">
        <v>323</v>
      </c>
      <c r="D1613" s="1" t="s">
        <v>2804</v>
      </c>
      <c r="E1613" s="1" t="s">
        <v>763</v>
      </c>
      <c r="F1613" s="1" t="s">
        <v>37</v>
      </c>
      <c r="G1613" s="1" t="s">
        <v>2806</v>
      </c>
      <c r="H1613" s="1">
        <v>131</v>
      </c>
      <c r="I1613" s="1" t="s">
        <v>87</v>
      </c>
      <c r="J1613" s="1">
        <v>14</v>
      </c>
      <c r="K1613" s="1" t="s">
        <v>35</v>
      </c>
      <c r="L1613" s="1">
        <v>58</v>
      </c>
      <c r="M1613" s="1" t="str">
        <f>IF(L1613&lt;=45,"Joven","Mayor")</f>
        <v>Mayor</v>
      </c>
      <c r="N1613" s="1">
        <v>67</v>
      </c>
      <c r="O1613" s="1" t="s">
        <v>36</v>
      </c>
      <c r="P1613" s="1">
        <v>0.48899999999999999</v>
      </c>
      <c r="Q1613" s="1">
        <v>91.930999999999997</v>
      </c>
      <c r="R1613" s="1">
        <v>-1.5154593000000001</v>
      </c>
      <c r="S1613" s="1">
        <v>8.1823549999999994</v>
      </c>
      <c r="T1613" s="1">
        <v>-11.3393345</v>
      </c>
      <c r="U1613" s="1">
        <v>0.872</v>
      </c>
      <c r="V1613" s="1">
        <v>112</v>
      </c>
      <c r="W1613" s="1">
        <v>204</v>
      </c>
      <c r="X1613" s="1">
        <v>1.8214285714285714</v>
      </c>
      <c r="Y1613" s="1">
        <v>132</v>
      </c>
      <c r="Z1613" s="1">
        <v>204</v>
      </c>
      <c r="AA1613" s="1">
        <v>1.5454545454545454</v>
      </c>
      <c r="AB1613" s="1">
        <v>124.7568168775238</v>
      </c>
      <c r="AC1613" s="1">
        <v>208.27591192986799</v>
      </c>
      <c r="AD1613" s="1">
        <v>1.6694551619919615</v>
      </c>
      <c r="AE1613" t="s">
        <v>4816</v>
      </c>
      <c r="AF1613" t="str">
        <f>IF(X1613&lt;$AF$1,"Bajo","Alto")</f>
        <v>Alto</v>
      </c>
      <c r="AG1613" t="str">
        <f>LEFT(AE1613,1)</f>
        <v>D</v>
      </c>
      <c r="AH1613" t="str">
        <f>K1613</f>
        <v>M</v>
      </c>
      <c r="AI1613" t="str">
        <f>LEFT(AF1613,1)</f>
        <v>A</v>
      </c>
      <c r="AJ1613" t="str">
        <f>LEFT(M1613,1)</f>
        <v>M</v>
      </c>
      <c r="AK1613" t="str">
        <f>_xlfn.CONCAT(AG1613,AH1613,AI1613,AJ1613)</f>
        <v>DMAM</v>
      </c>
    </row>
    <row r="1614" spans="1:37" ht="15.75" hidden="1" customHeight="1" x14ac:dyDescent="0.2">
      <c r="A1614" s="1">
        <v>1016401</v>
      </c>
      <c r="B1614" s="1" t="s">
        <v>29</v>
      </c>
      <c r="C1614" s="1" t="s">
        <v>30</v>
      </c>
      <c r="D1614" s="1" t="s">
        <v>709</v>
      </c>
      <c r="E1614" s="1" t="s">
        <v>710</v>
      </c>
      <c r="F1614" s="1" t="s">
        <v>32</v>
      </c>
      <c r="G1614" s="1" t="s">
        <v>711</v>
      </c>
      <c r="H1614" s="1">
        <v>3847</v>
      </c>
      <c r="I1614" s="1" t="s">
        <v>100</v>
      </c>
      <c r="J1614" s="1">
        <v>1</v>
      </c>
      <c r="K1614" s="1" t="s">
        <v>35</v>
      </c>
      <c r="L1614" s="1">
        <v>47</v>
      </c>
      <c r="M1614" s="1" t="str">
        <f>IF(L1614&lt;=45,"Joven","Mayor")</f>
        <v>Mayor</v>
      </c>
      <c r="N1614" s="1">
        <v>45</v>
      </c>
      <c r="O1614" s="1" t="s">
        <v>36</v>
      </c>
      <c r="P1614" s="1">
        <v>0.35199999999999998</v>
      </c>
      <c r="Q1614" s="1">
        <v>93.063999999999993</v>
      </c>
      <c r="R1614" s="1">
        <v>2.6293871000000002</v>
      </c>
      <c r="S1614" s="1">
        <v>-2.5164056000000001</v>
      </c>
      <c r="T1614" s="1">
        <v>-2.3335857</v>
      </c>
      <c r="U1614" s="1">
        <v>1.3520000000000001</v>
      </c>
      <c r="V1614" s="1">
        <v>83</v>
      </c>
      <c r="W1614" s="1">
        <v>140</v>
      </c>
      <c r="X1614" s="1">
        <v>1.6867469879518073</v>
      </c>
      <c r="Y1614" s="1">
        <v>83</v>
      </c>
      <c r="Z1614" s="1">
        <v>140</v>
      </c>
      <c r="AA1614" s="1">
        <v>1.6867469879518073</v>
      </c>
      <c r="AB1614" s="1">
        <v>84.315562823474011</v>
      </c>
      <c r="AC1614" s="1">
        <v>139.924615347973</v>
      </c>
      <c r="AD1614" s="1">
        <v>1.6595348552784264</v>
      </c>
      <c r="AE1614" t="s">
        <v>4817</v>
      </c>
      <c r="AF1614" t="str">
        <f>IF(X1614&lt;$AF$1,"Bajo","Alto")</f>
        <v>Bajo</v>
      </c>
      <c r="AG1614" t="str">
        <f>LEFT(AE1614,1)</f>
        <v>C</v>
      </c>
      <c r="AH1614" t="str">
        <f>K1614</f>
        <v>M</v>
      </c>
      <c r="AI1614" t="str">
        <f>LEFT(AF1614,1)</f>
        <v>B</v>
      </c>
      <c r="AJ1614" t="str">
        <f>LEFT(M1614,1)</f>
        <v>M</v>
      </c>
      <c r="AK1614" t="str">
        <f>_xlfn.CONCAT(AG1614,AH1614,AI1614,AJ1614)</f>
        <v>CMBM</v>
      </c>
    </row>
    <row r="1615" spans="1:37" ht="15.75" hidden="1" customHeight="1" x14ac:dyDescent="0.2">
      <c r="A1615" s="1">
        <v>1031907</v>
      </c>
      <c r="B1615" s="1" t="s">
        <v>783</v>
      </c>
      <c r="C1615" s="1" t="s">
        <v>81</v>
      </c>
      <c r="D1615" s="1" t="s">
        <v>814</v>
      </c>
      <c r="E1615" s="1" t="s">
        <v>323</v>
      </c>
      <c r="F1615" s="1" t="s">
        <v>43</v>
      </c>
      <c r="G1615" s="1" t="s">
        <v>815</v>
      </c>
      <c r="H1615" s="1">
        <v>7873</v>
      </c>
      <c r="I1615" s="1" t="s">
        <v>108</v>
      </c>
      <c r="J1615" s="1">
        <v>3</v>
      </c>
      <c r="K1615" s="1" t="s">
        <v>49</v>
      </c>
      <c r="L1615" s="1">
        <v>38</v>
      </c>
      <c r="M1615" s="1" t="str">
        <f>IF(L1615&lt;=45,"Joven","Mayor")</f>
        <v>Joven</v>
      </c>
      <c r="N1615" s="1">
        <v>25</v>
      </c>
      <c r="O1615" s="1" t="s">
        <v>50</v>
      </c>
      <c r="P1615" s="1">
        <v>0.317</v>
      </c>
      <c r="Q1615" s="1">
        <v>36.935000000000002</v>
      </c>
      <c r="R1615" s="1">
        <v>17.325865</v>
      </c>
      <c r="S1615" s="1">
        <v>5.5388393000000002</v>
      </c>
      <c r="T1615" s="1">
        <v>-13.879288000000001</v>
      </c>
      <c r="U1615" s="1">
        <v>79.195999999999998</v>
      </c>
      <c r="V1615" s="1">
        <v>98</v>
      </c>
      <c r="W1615" s="1">
        <v>167</v>
      </c>
      <c r="X1615" s="1">
        <v>1.7040816326530612</v>
      </c>
      <c r="Y1615" s="1">
        <v>115</v>
      </c>
      <c r="Z1615" s="1">
        <v>167</v>
      </c>
      <c r="AA1615" s="1">
        <v>1.4521739130434783</v>
      </c>
      <c r="AB1615" s="1">
        <v>109.0515923215501</v>
      </c>
      <c r="AC1615" s="1">
        <v>167.40144086052121</v>
      </c>
      <c r="AD1615" s="1">
        <v>1.535066451546351</v>
      </c>
      <c r="AE1615" t="s">
        <v>4817</v>
      </c>
      <c r="AF1615" t="str">
        <f>IF(X1615&lt;$AF$1,"Bajo","Alto")</f>
        <v>Bajo</v>
      </c>
      <c r="AG1615" t="str">
        <f>LEFT(AE1615,1)</f>
        <v>C</v>
      </c>
      <c r="AH1615" t="str">
        <f>K1615</f>
        <v>F</v>
      </c>
      <c r="AI1615" t="str">
        <f>LEFT(AF1615,1)</f>
        <v>B</v>
      </c>
      <c r="AJ1615" t="str">
        <f>LEFT(M1615,1)</f>
        <v>J</v>
      </c>
      <c r="AK1615" t="str">
        <f>_xlfn.CONCAT(AG1615,AH1615,AI1615,AJ1615)</f>
        <v>CFBJ</v>
      </c>
    </row>
    <row r="1616" spans="1:37" ht="15.75" hidden="1" customHeight="1" x14ac:dyDescent="0.2">
      <c r="A1616" s="1">
        <v>4688003</v>
      </c>
      <c r="B1616" s="1" t="s">
        <v>4382</v>
      </c>
      <c r="C1616" s="1" t="s">
        <v>669</v>
      </c>
      <c r="D1616" s="1" t="s">
        <v>929</v>
      </c>
      <c r="E1616" s="1" t="s">
        <v>4457</v>
      </c>
      <c r="F1616" s="1" t="s">
        <v>63</v>
      </c>
      <c r="G1616" s="1" t="s">
        <v>4459</v>
      </c>
      <c r="H1616" s="1">
        <v>1177</v>
      </c>
      <c r="I1616" s="1" t="s">
        <v>134</v>
      </c>
      <c r="J1616" s="1">
        <v>8</v>
      </c>
      <c r="K1616" s="1" t="s">
        <v>49</v>
      </c>
      <c r="L1616" s="1">
        <v>52</v>
      </c>
      <c r="M1616" s="1" t="str">
        <f>IF(L1616&lt;=45,"Joven","Mayor")</f>
        <v>Mayor</v>
      </c>
      <c r="N1616" s="1">
        <v>64</v>
      </c>
      <c r="O1616" s="1" t="s">
        <v>50</v>
      </c>
      <c r="P1616" s="1">
        <v>0.67300000000000004</v>
      </c>
      <c r="Q1616" s="1">
        <v>91.06</v>
      </c>
      <c r="R1616" s="1">
        <v>-3.2875800000000002</v>
      </c>
      <c r="S1616" s="1">
        <v>6.7563870000000001</v>
      </c>
      <c r="T1616" s="1">
        <v>6.6762370000000004</v>
      </c>
      <c r="U1616" s="1">
        <v>23.911999999999999</v>
      </c>
      <c r="V1616" s="1">
        <v>80</v>
      </c>
      <c r="W1616" s="1">
        <v>147</v>
      </c>
      <c r="X1616" s="1">
        <v>1.8374999999999999</v>
      </c>
      <c r="Y1616" s="1">
        <v>84</v>
      </c>
      <c r="Z1616" s="1">
        <v>147</v>
      </c>
      <c r="AA1616" s="1">
        <v>1.75</v>
      </c>
      <c r="AB1616" s="1">
        <v>84.689162956307655</v>
      </c>
      <c r="AC1616" s="1">
        <v>146.93325654431419</v>
      </c>
      <c r="AD1616" s="1">
        <v>1.7349711747667071</v>
      </c>
      <c r="AE1616" t="s">
        <v>4817</v>
      </c>
      <c r="AF1616" t="str">
        <f>IF(X1616&lt;$AF$1,"Bajo","Alto")</f>
        <v>Alto</v>
      </c>
      <c r="AG1616" t="str">
        <f>LEFT(AE1616,1)</f>
        <v>C</v>
      </c>
      <c r="AH1616" t="str">
        <f>K1616</f>
        <v>F</v>
      </c>
      <c r="AI1616" t="str">
        <f>LEFT(AF1616,1)</f>
        <v>A</v>
      </c>
      <c r="AJ1616" t="str">
        <f>LEFT(M1616,1)</f>
        <v>M</v>
      </c>
      <c r="AK1616" t="str">
        <f>_xlfn.CONCAT(AG1616,AH1616,AI1616,AJ1616)</f>
        <v>CFAM</v>
      </c>
    </row>
    <row r="1617" spans="1:37" ht="15.75" hidden="1" customHeight="1" x14ac:dyDescent="0.2">
      <c r="A1617" s="1">
        <v>1052601</v>
      </c>
      <c r="B1617" s="1" t="s">
        <v>694</v>
      </c>
      <c r="C1617" s="1" t="s">
        <v>879</v>
      </c>
      <c r="D1617" s="1" t="s">
        <v>967</v>
      </c>
      <c r="E1617" s="1" t="s">
        <v>968</v>
      </c>
      <c r="F1617" s="1" t="s">
        <v>32</v>
      </c>
      <c r="G1617" s="1" t="s">
        <v>969</v>
      </c>
      <c r="H1617" s="1">
        <v>18</v>
      </c>
      <c r="I1617" s="1" t="s">
        <v>85</v>
      </c>
      <c r="J1617" s="1">
        <v>12</v>
      </c>
      <c r="K1617" s="1" t="s">
        <v>35</v>
      </c>
      <c r="L1617" s="1">
        <v>46</v>
      </c>
      <c r="M1617" s="1" t="str">
        <f>IF(L1617&lt;=45,"Joven","Mayor")</f>
        <v>Mayor</v>
      </c>
      <c r="N1617" s="1">
        <v>55</v>
      </c>
      <c r="O1617" s="1" t="s">
        <v>36</v>
      </c>
      <c r="P1617" s="1">
        <v>0.36</v>
      </c>
      <c r="Q1617" s="1">
        <v>93.114000000000004</v>
      </c>
      <c r="R1617" s="1">
        <v>-2.3337783999999999</v>
      </c>
      <c r="S1617" s="1">
        <v>3.1562212000000001</v>
      </c>
      <c r="T1617" s="1">
        <v>-1.0551636</v>
      </c>
      <c r="U1617" s="1">
        <v>0.95699999999999996</v>
      </c>
      <c r="V1617" s="1">
        <v>97</v>
      </c>
      <c r="W1617" s="1">
        <v>177</v>
      </c>
      <c r="X1617" s="1">
        <v>1.8247422680412371</v>
      </c>
      <c r="Y1617" s="1">
        <v>103</v>
      </c>
      <c r="Z1617" s="1">
        <v>177</v>
      </c>
      <c r="AA1617" s="1">
        <v>1.7184466019417475</v>
      </c>
      <c r="AB1617" s="1">
        <v>103.8480409539341</v>
      </c>
      <c r="AC1617" s="1">
        <v>176.9147407854025</v>
      </c>
      <c r="AD1617" s="1">
        <v>1.7035924718491322</v>
      </c>
      <c r="AE1617" t="s">
        <v>4815</v>
      </c>
      <c r="AF1617" t="str">
        <f>IF(X1617&lt;$AF$1,"Bajo","Alto")</f>
        <v>Alto</v>
      </c>
      <c r="AG1617" t="str">
        <f>LEFT(AE1617,1)</f>
        <v>I</v>
      </c>
      <c r="AH1617" t="str">
        <f>K1617</f>
        <v>M</v>
      </c>
      <c r="AI1617" t="str">
        <f>LEFT(AF1617,1)</f>
        <v>A</v>
      </c>
      <c r="AJ1617" t="str">
        <f>LEFT(M1617,1)</f>
        <v>M</v>
      </c>
      <c r="AK1617" t="str">
        <f>_xlfn.CONCAT(AG1617,AH1617,AI1617,AJ1617)</f>
        <v>IMAM</v>
      </c>
    </row>
    <row r="1618" spans="1:37" ht="15.75" hidden="1" customHeight="1" x14ac:dyDescent="0.2">
      <c r="A1618" s="1">
        <v>2816008</v>
      </c>
      <c r="B1618" s="1" t="s">
        <v>1775</v>
      </c>
      <c r="C1618" s="1" t="s">
        <v>561</v>
      </c>
      <c r="D1618" s="1" t="s">
        <v>3787</v>
      </c>
      <c r="E1618" s="1" t="s">
        <v>234</v>
      </c>
      <c r="F1618" s="1" t="s">
        <v>46</v>
      </c>
      <c r="G1618" s="1" t="s">
        <v>3791</v>
      </c>
      <c r="H1618" s="1">
        <v>1761</v>
      </c>
      <c r="I1618" s="1" t="s">
        <v>134</v>
      </c>
      <c r="J1618" s="1">
        <v>8</v>
      </c>
      <c r="K1618" s="1" t="s">
        <v>35</v>
      </c>
      <c r="L1618" s="1">
        <v>55</v>
      </c>
      <c r="M1618" s="1" t="str">
        <f>IF(L1618&lt;=45,"Joven","Mayor")</f>
        <v>Mayor</v>
      </c>
      <c r="N1618" s="1">
        <v>62</v>
      </c>
      <c r="O1618" s="1" t="s">
        <v>36</v>
      </c>
      <c r="P1618" s="1">
        <v>0.14399999999999999</v>
      </c>
      <c r="Q1618" s="1">
        <v>92.316000000000003</v>
      </c>
      <c r="R1618" s="1">
        <v>4.1884202999999998</v>
      </c>
      <c r="S1618" s="1">
        <v>-0.47671302999999998</v>
      </c>
      <c r="T1618" s="1">
        <v>-2.0877340000000002</v>
      </c>
      <c r="U1618" s="1">
        <v>0.28899999999999998</v>
      </c>
      <c r="V1618" s="1">
        <v>99</v>
      </c>
      <c r="W1618" s="1">
        <v>167</v>
      </c>
      <c r="X1618" s="1">
        <v>1.6868686868686869</v>
      </c>
      <c r="Y1618" s="1">
        <v>100</v>
      </c>
      <c r="Z1618" s="1">
        <v>167</v>
      </c>
      <c r="AA1618" s="1">
        <v>1.67</v>
      </c>
      <c r="AB1618" s="1">
        <v>101.5001016551373</v>
      </c>
      <c r="AC1618" s="1">
        <v>166.9620075510052</v>
      </c>
      <c r="AD1618" s="1">
        <v>1.644944239743573</v>
      </c>
      <c r="AE1618" t="s">
        <v>4817</v>
      </c>
      <c r="AF1618" t="str">
        <f>IF(X1618&lt;$AF$1,"Bajo","Alto")</f>
        <v>Bajo</v>
      </c>
      <c r="AG1618" t="str">
        <f>LEFT(AE1618,1)</f>
        <v>C</v>
      </c>
      <c r="AH1618" t="str">
        <f>K1618</f>
        <v>M</v>
      </c>
      <c r="AI1618" t="str">
        <f>LEFT(AF1618,1)</f>
        <v>B</v>
      </c>
      <c r="AJ1618" t="str">
        <f>LEFT(M1618,1)</f>
        <v>M</v>
      </c>
      <c r="AK1618" t="str">
        <f>_xlfn.CONCAT(AG1618,AH1618,AI1618,AJ1618)</f>
        <v>CMBM</v>
      </c>
    </row>
    <row r="1619" spans="1:37" ht="15.75" hidden="1" customHeight="1" x14ac:dyDescent="0.2">
      <c r="A1619" s="1">
        <v>10730704</v>
      </c>
      <c r="B1619" s="1" t="s">
        <v>1067</v>
      </c>
      <c r="C1619" s="1" t="s">
        <v>1068</v>
      </c>
      <c r="D1619" s="1" t="s">
        <v>1373</v>
      </c>
      <c r="E1619" s="1" t="s">
        <v>1374</v>
      </c>
      <c r="F1619" s="1" t="s">
        <v>61</v>
      </c>
      <c r="G1619" s="1" t="s">
        <v>1378</v>
      </c>
      <c r="H1619" s="1">
        <v>1427</v>
      </c>
      <c r="I1619" s="1" t="s">
        <v>48</v>
      </c>
      <c r="J1619" s="1">
        <v>4</v>
      </c>
      <c r="K1619" s="1" t="s">
        <v>49</v>
      </c>
      <c r="L1619" s="1">
        <v>48</v>
      </c>
      <c r="M1619" s="1" t="str">
        <f>IF(L1619&lt;=45,"Joven","Mayor")</f>
        <v>Mayor</v>
      </c>
      <c r="N1619" s="1">
        <v>55</v>
      </c>
      <c r="O1619" s="1" t="s">
        <v>50</v>
      </c>
      <c r="P1619" s="1">
        <v>0.35699999999999998</v>
      </c>
      <c r="Q1619" s="1">
        <v>91.313000000000002</v>
      </c>
      <c r="R1619" s="1">
        <v>3.1943478999999999</v>
      </c>
      <c r="S1619" s="1">
        <v>6.6068983000000001</v>
      </c>
      <c r="T1619" s="1">
        <v>0.31694397000000002</v>
      </c>
      <c r="U1619" s="1">
        <v>77.238</v>
      </c>
      <c r="V1619" s="1">
        <v>95</v>
      </c>
      <c r="W1619" s="1">
        <v>160</v>
      </c>
      <c r="X1619" s="1">
        <v>1.6842105263157894</v>
      </c>
      <c r="Y1619" s="1">
        <v>95</v>
      </c>
      <c r="Z1619" s="1">
        <v>160</v>
      </c>
      <c r="AA1619" s="1">
        <v>1.6842105263157894</v>
      </c>
      <c r="AB1619" s="1">
        <v>95.253004139435461</v>
      </c>
      <c r="AC1619" s="1">
        <v>160.0030837034578</v>
      </c>
      <c r="AD1619" s="1">
        <v>1.6797694219621502</v>
      </c>
      <c r="AE1619" t="s">
        <v>4817</v>
      </c>
      <c r="AF1619" t="str">
        <f>IF(X1619&lt;$AF$1,"Bajo","Alto")</f>
        <v>Bajo</v>
      </c>
      <c r="AG1619" t="str">
        <f>LEFT(AE1619,1)</f>
        <v>C</v>
      </c>
      <c r="AH1619" t="str">
        <f>K1619</f>
        <v>F</v>
      </c>
      <c r="AI1619" t="str">
        <f>LEFT(AF1619,1)</f>
        <v>B</v>
      </c>
      <c r="AJ1619" t="str">
        <f>LEFT(M1619,1)</f>
        <v>M</v>
      </c>
      <c r="AK1619" t="str">
        <f>_xlfn.CONCAT(AG1619,AH1619,AI1619,AJ1619)</f>
        <v>CFBM</v>
      </c>
    </row>
    <row r="1620" spans="1:37" ht="15.75" hidden="1" customHeight="1" x14ac:dyDescent="0.2">
      <c r="A1620" s="1">
        <v>279701</v>
      </c>
      <c r="B1620" s="1" t="s">
        <v>3409</v>
      </c>
      <c r="C1620" s="1" t="s">
        <v>973</v>
      </c>
      <c r="D1620" s="1" t="s">
        <v>2715</v>
      </c>
      <c r="E1620" s="1" t="s">
        <v>781</v>
      </c>
      <c r="F1620" s="1" t="s">
        <v>32</v>
      </c>
      <c r="G1620" s="1" t="s">
        <v>3766</v>
      </c>
      <c r="H1620" s="1">
        <v>73</v>
      </c>
      <c r="I1620" s="1" t="s">
        <v>91</v>
      </c>
      <c r="J1620" s="1">
        <v>6</v>
      </c>
      <c r="K1620" s="1" t="s">
        <v>35</v>
      </c>
      <c r="L1620" s="1">
        <v>54</v>
      </c>
      <c r="M1620" s="1" t="str">
        <f>IF(L1620&lt;=45,"Joven","Mayor")</f>
        <v>Mayor</v>
      </c>
      <c r="N1620" s="1">
        <v>46</v>
      </c>
      <c r="O1620" s="1" t="s">
        <v>36</v>
      </c>
      <c r="P1620" s="1">
        <v>0.35499999999999998</v>
      </c>
      <c r="Q1620" s="1">
        <v>94.768000000000001</v>
      </c>
      <c r="R1620" s="1">
        <v>0.12426247999999999</v>
      </c>
      <c r="S1620" s="1">
        <v>0.77038549999999995</v>
      </c>
      <c r="T1620" s="1">
        <v>-5.3127275000000003</v>
      </c>
      <c r="U1620" s="1">
        <v>24.24</v>
      </c>
      <c r="V1620" s="1">
        <v>96</v>
      </c>
      <c r="W1620" s="1">
        <v>162</v>
      </c>
      <c r="X1620" s="1">
        <v>1.6875</v>
      </c>
      <c r="Y1620" s="1">
        <v>98</v>
      </c>
      <c r="Z1620" s="1">
        <v>162</v>
      </c>
      <c r="AA1620" s="1">
        <v>1.653061224489796</v>
      </c>
      <c r="AB1620" s="1">
        <v>99.569045058956362</v>
      </c>
      <c r="AC1620" s="1">
        <v>161.85962369696381</v>
      </c>
      <c r="AD1620" s="1">
        <v>1.6256018484572614</v>
      </c>
      <c r="AE1620" t="s">
        <v>4817</v>
      </c>
      <c r="AF1620" t="str">
        <f>IF(X1620&lt;$AF$1,"Bajo","Alto")</f>
        <v>Bajo</v>
      </c>
      <c r="AG1620" t="str">
        <f>LEFT(AE1620,1)</f>
        <v>C</v>
      </c>
      <c r="AH1620" t="str">
        <f>K1620</f>
        <v>M</v>
      </c>
      <c r="AI1620" t="str">
        <f>LEFT(AF1620,1)</f>
        <v>B</v>
      </c>
      <c r="AJ1620" t="str">
        <f>LEFT(M1620,1)</f>
        <v>M</v>
      </c>
      <c r="AK1620" t="str">
        <f>_xlfn.CONCAT(AG1620,AH1620,AI1620,AJ1620)</f>
        <v>CMBM</v>
      </c>
    </row>
    <row r="1621" spans="1:37" ht="15.75" hidden="1" customHeight="1" x14ac:dyDescent="0.2">
      <c r="A1621" s="1">
        <v>172710</v>
      </c>
      <c r="B1621" s="1" t="s">
        <v>2551</v>
      </c>
      <c r="C1621" s="1" t="s">
        <v>2552</v>
      </c>
      <c r="D1621" s="1" t="s">
        <v>2610</v>
      </c>
      <c r="E1621" s="1" t="s">
        <v>973</v>
      </c>
      <c r="F1621" s="1" t="s">
        <v>75</v>
      </c>
      <c r="G1621" s="1" t="s">
        <v>2613</v>
      </c>
      <c r="H1621" s="1">
        <v>638</v>
      </c>
      <c r="I1621" s="1" t="s">
        <v>2614</v>
      </c>
      <c r="J1621" s="1">
        <v>4310</v>
      </c>
      <c r="K1621" s="1" t="s">
        <v>35</v>
      </c>
      <c r="L1621" s="1">
        <v>35</v>
      </c>
      <c r="M1621" s="1" t="str">
        <f>IF(L1621&lt;=45,"Joven","Mayor")</f>
        <v>Joven</v>
      </c>
      <c r="N1621" s="1">
        <v>40</v>
      </c>
      <c r="O1621" s="1" t="s">
        <v>36</v>
      </c>
      <c r="P1621" s="1">
        <v>0.871</v>
      </c>
      <c r="Q1621" s="1">
        <v>90.033000000000001</v>
      </c>
      <c r="R1621" s="1">
        <v>4.8027686999999997</v>
      </c>
      <c r="S1621" s="1">
        <v>5.2482147000000001</v>
      </c>
      <c r="T1621" s="1">
        <v>-2.8804522000000001</v>
      </c>
      <c r="U1621" s="1">
        <v>1.796</v>
      </c>
      <c r="V1621" s="1">
        <v>104</v>
      </c>
      <c r="W1621" s="1">
        <v>177</v>
      </c>
      <c r="X1621" s="1">
        <v>1.7019230769230769</v>
      </c>
      <c r="Y1621" s="1">
        <v>106</v>
      </c>
      <c r="Z1621" s="1">
        <v>177</v>
      </c>
      <c r="AA1621" s="1">
        <v>1.6698113207547169</v>
      </c>
      <c r="AB1621" s="1">
        <v>106.78322987702521</v>
      </c>
      <c r="AC1621" s="1">
        <v>177.0276321278493</v>
      </c>
      <c r="AD1621" s="1">
        <v>1.6578224158579926</v>
      </c>
      <c r="AE1621" t="s">
        <v>4817</v>
      </c>
      <c r="AF1621" t="str">
        <f>IF(X1621&lt;$AF$1,"Bajo","Alto")</f>
        <v>Bajo</v>
      </c>
      <c r="AG1621" t="str">
        <f>LEFT(AE1621,1)</f>
        <v>C</v>
      </c>
      <c r="AH1621" t="str">
        <f>K1621</f>
        <v>M</v>
      </c>
      <c r="AI1621" t="str">
        <f>LEFT(AF1621,1)</f>
        <v>B</v>
      </c>
      <c r="AJ1621" t="str">
        <f>LEFT(M1621,1)</f>
        <v>J</v>
      </c>
      <c r="AK1621" t="str">
        <f>_xlfn.CONCAT(AG1621,AH1621,AI1621,AJ1621)</f>
        <v>CMBJ</v>
      </c>
    </row>
    <row r="1622" spans="1:37" ht="15.75" hidden="1" customHeight="1" x14ac:dyDescent="0.2">
      <c r="A1622" s="1">
        <v>2716005</v>
      </c>
      <c r="B1622" s="1" t="s">
        <v>3409</v>
      </c>
      <c r="C1622" s="1" t="s">
        <v>973</v>
      </c>
      <c r="D1622" s="1" t="s">
        <v>3526</v>
      </c>
      <c r="E1622" s="1" t="s">
        <v>234</v>
      </c>
      <c r="F1622" s="1" t="s">
        <v>40</v>
      </c>
      <c r="G1622" s="1" t="s">
        <v>3528</v>
      </c>
      <c r="H1622" s="1">
        <v>25505</v>
      </c>
      <c r="I1622" s="1" t="s">
        <v>3529</v>
      </c>
      <c r="J1622" s="1">
        <v>4033</v>
      </c>
      <c r="K1622" s="1" t="s">
        <v>35</v>
      </c>
      <c r="L1622" s="1">
        <v>45</v>
      </c>
      <c r="M1622" s="1" t="str">
        <f>IF(L1622&lt;=45,"Joven","Mayor")</f>
        <v>Joven</v>
      </c>
      <c r="N1622" s="1">
        <v>40</v>
      </c>
      <c r="O1622" s="1" t="s">
        <v>36</v>
      </c>
      <c r="P1622" s="1">
        <v>0.29299999999999998</v>
      </c>
      <c r="Q1622" s="1">
        <v>74.242000000000004</v>
      </c>
      <c r="R1622" s="1">
        <v>11.372337999999999</v>
      </c>
      <c r="S1622" s="1">
        <v>5.9146289999999997</v>
      </c>
      <c r="T1622" s="1">
        <v>-15.403703999999999</v>
      </c>
      <c r="U1622" s="1">
        <v>35.063000000000002</v>
      </c>
      <c r="V1622" s="1">
        <v>104</v>
      </c>
      <c r="W1622" s="1">
        <v>177</v>
      </c>
      <c r="X1622" s="1">
        <v>1.7019230769230769</v>
      </c>
      <c r="Y1622" s="1">
        <v>123</v>
      </c>
      <c r="Z1622" s="1">
        <v>177</v>
      </c>
      <c r="AA1622" s="1">
        <v>1.4390243902439024</v>
      </c>
      <c r="AB1622" s="1">
        <v>119.1230458597183</v>
      </c>
      <c r="AC1622" s="1">
        <v>181.5322037170763</v>
      </c>
      <c r="AD1622" s="1">
        <v>1.523904987544159</v>
      </c>
      <c r="AE1622" t="s">
        <v>4817</v>
      </c>
      <c r="AF1622" t="str">
        <f>IF(X1622&lt;$AF$1,"Bajo","Alto")</f>
        <v>Bajo</v>
      </c>
      <c r="AG1622" t="str">
        <f>LEFT(AE1622,1)</f>
        <v>C</v>
      </c>
      <c r="AH1622" t="str">
        <f>K1622</f>
        <v>M</v>
      </c>
      <c r="AI1622" t="str">
        <f>LEFT(AF1622,1)</f>
        <v>B</v>
      </c>
      <c r="AJ1622" t="str">
        <f>LEFT(M1622,1)</f>
        <v>J</v>
      </c>
      <c r="AK1622" t="str">
        <f>_xlfn.CONCAT(AG1622,AH1622,AI1622,AJ1622)</f>
        <v>CMBJ</v>
      </c>
    </row>
    <row r="1623" spans="1:37" ht="15.75" hidden="1" customHeight="1" x14ac:dyDescent="0.2">
      <c r="A1623" s="1">
        <v>10111706</v>
      </c>
      <c r="B1623" s="1" t="s">
        <v>29</v>
      </c>
      <c r="C1623" s="1" t="s">
        <v>30</v>
      </c>
      <c r="D1623" s="1" t="s">
        <v>119</v>
      </c>
      <c r="E1623" s="1" t="s">
        <v>120</v>
      </c>
      <c r="F1623" s="1" t="s">
        <v>88</v>
      </c>
      <c r="G1623" s="1" t="s">
        <v>125</v>
      </c>
      <c r="H1623" s="1">
        <v>121</v>
      </c>
      <c r="I1623" s="1" t="s">
        <v>45</v>
      </c>
      <c r="J1623" s="1">
        <v>17</v>
      </c>
      <c r="K1623" s="1" t="s">
        <v>35</v>
      </c>
      <c r="L1623" s="1">
        <v>39</v>
      </c>
      <c r="M1623" s="1" t="str">
        <f>IF(L1623&lt;=45,"Joven","Mayor")</f>
        <v>Joven</v>
      </c>
      <c r="N1623" s="1">
        <v>40</v>
      </c>
      <c r="O1623" s="1" t="s">
        <v>36</v>
      </c>
      <c r="P1623" s="1">
        <v>0.34799999999999998</v>
      </c>
      <c r="Q1623" s="1">
        <v>93.417000000000002</v>
      </c>
      <c r="R1623" s="1">
        <v>2.7836699999999999</v>
      </c>
      <c r="S1623" s="1">
        <v>-0.22985636000000001</v>
      </c>
      <c r="T1623" s="1">
        <v>-1.5587143999999999</v>
      </c>
      <c r="U1623" s="1">
        <v>48.912999999999997</v>
      </c>
      <c r="V1623" s="1">
        <v>90</v>
      </c>
      <c r="W1623" s="1">
        <v>167</v>
      </c>
      <c r="X1623" s="1">
        <v>1.8555555555555556</v>
      </c>
      <c r="Y1623" s="1">
        <v>90</v>
      </c>
      <c r="Z1623" s="1">
        <v>167</v>
      </c>
      <c r="AA1623" s="1">
        <v>1.8555555555555556</v>
      </c>
      <c r="AB1623" s="1">
        <v>91.136355492735674</v>
      </c>
      <c r="AC1623" s="1">
        <v>166.88380314187219</v>
      </c>
      <c r="AD1623" s="1">
        <v>1.831144138248695</v>
      </c>
      <c r="AE1623" t="s">
        <v>4817</v>
      </c>
      <c r="AF1623" t="str">
        <f>IF(X1623&lt;$AF$1,"Bajo","Alto")</f>
        <v>Alto</v>
      </c>
      <c r="AG1623" t="str">
        <f>LEFT(AE1623,1)</f>
        <v>C</v>
      </c>
      <c r="AH1623" t="str">
        <f>K1623</f>
        <v>M</v>
      </c>
      <c r="AI1623" t="str">
        <f>LEFT(AF1623,1)</f>
        <v>A</v>
      </c>
      <c r="AJ1623" t="str">
        <f>LEFT(M1623,1)</f>
        <v>J</v>
      </c>
      <c r="AK1623" t="str">
        <f>_xlfn.CONCAT(AG1623,AH1623,AI1623,AJ1623)</f>
        <v>CMAJ</v>
      </c>
    </row>
    <row r="1624" spans="1:37" ht="15.75" hidden="1" customHeight="1" x14ac:dyDescent="0.2">
      <c r="A1624" s="1">
        <v>159101</v>
      </c>
      <c r="B1624" s="1" t="s">
        <v>2077</v>
      </c>
      <c r="C1624" s="1" t="s">
        <v>57</v>
      </c>
      <c r="D1624" s="1" t="s">
        <v>2533</v>
      </c>
      <c r="E1624" s="1" t="s">
        <v>770</v>
      </c>
      <c r="F1624" s="1" t="s">
        <v>32</v>
      </c>
      <c r="G1624" s="1" t="s">
        <v>2534</v>
      </c>
      <c r="H1624" s="1">
        <v>429</v>
      </c>
      <c r="I1624" s="1" t="s">
        <v>65</v>
      </c>
      <c r="J1624" s="1">
        <v>2</v>
      </c>
      <c r="K1624" s="1" t="s">
        <v>35</v>
      </c>
      <c r="L1624" s="1">
        <v>33</v>
      </c>
      <c r="M1624" s="1" t="str">
        <f>IF(L1624&lt;=45,"Joven","Mayor")</f>
        <v>Joven</v>
      </c>
      <c r="N1624" s="1">
        <v>36</v>
      </c>
      <c r="O1624" s="1" t="s">
        <v>36</v>
      </c>
      <c r="P1624" s="1">
        <v>0.14299999999999999</v>
      </c>
      <c r="Q1624" s="1">
        <v>85.671999999999997</v>
      </c>
      <c r="R1624" s="1">
        <v>-7.163189</v>
      </c>
      <c r="S1624" s="1">
        <v>7.2210289999999997</v>
      </c>
      <c r="T1624" s="1">
        <v>10.537466</v>
      </c>
      <c r="U1624" s="1">
        <v>27.216000000000001</v>
      </c>
      <c r="V1624" s="1">
        <v>94</v>
      </c>
      <c r="W1624" s="1">
        <v>160</v>
      </c>
      <c r="X1624" s="1">
        <v>1.7021276595744681</v>
      </c>
      <c r="Y1624" s="1">
        <v>100</v>
      </c>
      <c r="Z1624" s="1">
        <v>160</v>
      </c>
      <c r="AA1624" s="1">
        <v>1.6</v>
      </c>
      <c r="AB1624" s="1">
        <v>99.181242414885673</v>
      </c>
      <c r="AC1624" s="1">
        <v>157.3016852199662</v>
      </c>
      <c r="AD1624" s="1">
        <v>1.586002366878573</v>
      </c>
      <c r="AE1624" t="s">
        <v>4817</v>
      </c>
      <c r="AF1624" t="str">
        <f>IF(X1624&lt;$AF$1,"Bajo","Alto")</f>
        <v>Bajo</v>
      </c>
      <c r="AG1624" t="str">
        <f>LEFT(AE1624,1)</f>
        <v>C</v>
      </c>
      <c r="AH1624" t="str">
        <f>K1624</f>
        <v>M</v>
      </c>
      <c r="AI1624" t="str">
        <f>LEFT(AF1624,1)</f>
        <v>B</v>
      </c>
      <c r="AJ1624" t="str">
        <f>LEFT(M1624,1)</f>
        <v>J</v>
      </c>
      <c r="AK1624" t="str">
        <f>_xlfn.CONCAT(AG1624,AH1624,AI1624,AJ1624)</f>
        <v>CMBJ</v>
      </c>
    </row>
    <row r="1625" spans="1:37" ht="15.75" hidden="1" customHeight="1" x14ac:dyDescent="0.2">
      <c r="A1625" s="1">
        <v>10733402</v>
      </c>
      <c r="B1625" s="1" t="s">
        <v>1067</v>
      </c>
      <c r="C1625" s="1" t="s">
        <v>1068</v>
      </c>
      <c r="D1625" s="1" t="s">
        <v>1422</v>
      </c>
      <c r="E1625" s="1" t="s">
        <v>1423</v>
      </c>
      <c r="F1625" s="1" t="s">
        <v>37</v>
      </c>
      <c r="G1625" s="1" t="s">
        <v>1424</v>
      </c>
      <c r="H1625" s="1">
        <v>150</v>
      </c>
      <c r="I1625" s="1" t="s">
        <v>93</v>
      </c>
      <c r="J1625" s="1">
        <v>9</v>
      </c>
      <c r="K1625" s="1" t="s">
        <v>35</v>
      </c>
      <c r="L1625" s="1">
        <v>37</v>
      </c>
      <c r="M1625" s="1" t="str">
        <f>IF(L1625&lt;=45,"Joven","Mayor")</f>
        <v>Joven</v>
      </c>
      <c r="N1625" s="1">
        <v>48</v>
      </c>
      <c r="O1625" s="1" t="s">
        <v>36</v>
      </c>
      <c r="P1625" s="1">
        <v>0.44700000000000001</v>
      </c>
      <c r="Q1625" s="1">
        <v>92.450999999999993</v>
      </c>
      <c r="R1625" s="1">
        <v>3.2914210000000002</v>
      </c>
      <c r="S1625" s="1">
        <v>2.8579628000000001</v>
      </c>
      <c r="T1625" s="1">
        <v>-3.9229235999999998</v>
      </c>
      <c r="U1625" s="1">
        <v>2.4329999999999998</v>
      </c>
      <c r="V1625" s="1">
        <v>104</v>
      </c>
      <c r="W1625" s="1">
        <v>191</v>
      </c>
      <c r="X1625" s="1">
        <v>1.8365384615384615</v>
      </c>
      <c r="Y1625" s="1">
        <v>104</v>
      </c>
      <c r="Z1625" s="1">
        <v>191</v>
      </c>
      <c r="AA1625" s="1">
        <v>1.8365384615384615</v>
      </c>
      <c r="AB1625" s="1">
        <v>107.3822925087247</v>
      </c>
      <c r="AC1625" s="1">
        <v>190.7577277918808</v>
      </c>
      <c r="AD1625" s="1">
        <v>1.7764356053059858</v>
      </c>
      <c r="AE1625" t="s">
        <v>4815</v>
      </c>
      <c r="AF1625" t="str">
        <f>IF(X1625&lt;$AF$1,"Bajo","Alto")</f>
        <v>Alto</v>
      </c>
      <c r="AG1625" t="str">
        <f>LEFT(AE1625,1)</f>
        <v>I</v>
      </c>
      <c r="AH1625" t="str">
        <f>K1625</f>
        <v>M</v>
      </c>
      <c r="AI1625" t="str">
        <f>LEFT(AF1625,1)</f>
        <v>A</v>
      </c>
      <c r="AJ1625" t="str">
        <f>LEFT(M1625,1)</f>
        <v>J</v>
      </c>
      <c r="AK1625" t="str">
        <f>_xlfn.CONCAT(AG1625,AH1625,AI1625,AJ1625)</f>
        <v>IMAJ</v>
      </c>
    </row>
    <row r="1626" spans="1:37" ht="15.75" hidden="1" customHeight="1" x14ac:dyDescent="0.2">
      <c r="A1626" s="1">
        <v>10724701</v>
      </c>
      <c r="B1626" s="1" t="s">
        <v>1067</v>
      </c>
      <c r="C1626" s="1" t="s">
        <v>1068</v>
      </c>
      <c r="D1626" s="1" t="s">
        <v>1270</v>
      </c>
      <c r="E1626" s="1" t="s">
        <v>497</v>
      </c>
      <c r="F1626" s="1" t="s">
        <v>32</v>
      </c>
      <c r="G1626" s="1" t="s">
        <v>1271</v>
      </c>
      <c r="H1626" s="1">
        <v>1417</v>
      </c>
      <c r="I1626" s="1" t="s">
        <v>48</v>
      </c>
      <c r="J1626" s="1">
        <v>4</v>
      </c>
      <c r="K1626" s="1" t="s">
        <v>35</v>
      </c>
      <c r="L1626" s="1">
        <v>48</v>
      </c>
      <c r="M1626" s="1" t="str">
        <f>IF(L1626&lt;=45,"Joven","Mayor")</f>
        <v>Mayor</v>
      </c>
      <c r="N1626" s="1">
        <v>50</v>
      </c>
      <c r="O1626" s="1" t="s">
        <v>36</v>
      </c>
      <c r="P1626" s="1">
        <v>1.133</v>
      </c>
      <c r="Q1626" s="1">
        <v>90.817999999999998</v>
      </c>
      <c r="R1626" s="1">
        <v>-4.6397550000000001</v>
      </c>
      <c r="S1626" s="1">
        <v>3.3533156000000002</v>
      </c>
      <c r="T1626" s="1">
        <v>-2.7297242000000002</v>
      </c>
      <c r="U1626" s="1">
        <v>0.55600000000000005</v>
      </c>
      <c r="V1626" s="1">
        <v>77</v>
      </c>
      <c r="W1626" s="1">
        <v>130</v>
      </c>
      <c r="X1626" s="1">
        <v>1.6883116883116882</v>
      </c>
      <c r="Y1626" s="1">
        <v>81</v>
      </c>
      <c r="Z1626" s="1">
        <v>130</v>
      </c>
      <c r="AA1626" s="1">
        <v>1.6049382716049383</v>
      </c>
      <c r="AB1626" s="1">
        <v>79.384100580864242</v>
      </c>
      <c r="AC1626" s="1">
        <v>130.23348654278561</v>
      </c>
      <c r="AD1626" s="1">
        <v>1.6405487445199922</v>
      </c>
      <c r="AE1626" t="s">
        <v>4817</v>
      </c>
      <c r="AF1626" t="str">
        <f>IF(X1626&lt;$AF$1,"Bajo","Alto")</f>
        <v>Bajo</v>
      </c>
      <c r="AG1626" t="str">
        <f>LEFT(AE1626,1)</f>
        <v>C</v>
      </c>
      <c r="AH1626" t="str">
        <f>K1626</f>
        <v>M</v>
      </c>
      <c r="AI1626" t="str">
        <f>LEFT(AF1626,1)</f>
        <v>B</v>
      </c>
      <c r="AJ1626" t="str">
        <f>LEFT(M1626,1)</f>
        <v>M</v>
      </c>
      <c r="AK1626" t="str">
        <f>_xlfn.CONCAT(AG1626,AH1626,AI1626,AJ1626)</f>
        <v>CMBM</v>
      </c>
    </row>
    <row r="1627" spans="1:37" ht="15.75" hidden="1" customHeight="1" x14ac:dyDescent="0.2">
      <c r="A1627" s="1">
        <v>1011903</v>
      </c>
      <c r="B1627" s="1" t="s">
        <v>29</v>
      </c>
      <c r="C1627" s="1" t="s">
        <v>30</v>
      </c>
      <c r="D1627" s="1" t="s">
        <v>322</v>
      </c>
      <c r="E1627" s="1" t="s">
        <v>323</v>
      </c>
      <c r="F1627" s="1" t="s">
        <v>63</v>
      </c>
      <c r="G1627" s="1" t="s">
        <v>325</v>
      </c>
      <c r="H1627" s="1">
        <v>3216</v>
      </c>
      <c r="I1627" s="1" t="s">
        <v>326</v>
      </c>
      <c r="J1627" s="1">
        <v>2067</v>
      </c>
      <c r="K1627" s="1" t="s">
        <v>35</v>
      </c>
      <c r="L1627" s="1">
        <v>44</v>
      </c>
      <c r="M1627" s="1" t="str">
        <f>IF(L1627&lt;=45,"Joven","Mayor")</f>
        <v>Joven</v>
      </c>
      <c r="N1627" s="1">
        <v>28</v>
      </c>
      <c r="O1627" s="1" t="s">
        <v>36</v>
      </c>
      <c r="P1627" s="1">
        <v>2.9000000000000001E-2</v>
      </c>
      <c r="Q1627" s="1">
        <v>90.379000000000005</v>
      </c>
      <c r="R1627" s="1">
        <v>-2.2634392999999999E-2</v>
      </c>
      <c r="S1627" s="1">
        <v>12.722469</v>
      </c>
      <c r="T1627" s="1">
        <v>-5.9495214000000003E-3</v>
      </c>
      <c r="U1627" s="1">
        <v>1.1599999999999999</v>
      </c>
      <c r="V1627" s="1">
        <v>111</v>
      </c>
      <c r="W1627" s="1">
        <v>189</v>
      </c>
      <c r="X1627" s="1">
        <v>1.7027027027027026</v>
      </c>
      <c r="Y1627" s="1">
        <v>112</v>
      </c>
      <c r="Z1627" s="1">
        <v>189</v>
      </c>
      <c r="AA1627" s="1">
        <v>1.6875</v>
      </c>
      <c r="AB1627" s="1">
        <v>112.00591820419911</v>
      </c>
      <c r="AC1627" s="1">
        <v>189.00031049726701</v>
      </c>
      <c r="AD1627" s="1">
        <v>1.6874136074907993</v>
      </c>
      <c r="AE1627" t="s">
        <v>4817</v>
      </c>
      <c r="AF1627" t="str">
        <f>IF(X1627&lt;$AF$1,"Bajo","Alto")</f>
        <v>Bajo</v>
      </c>
      <c r="AG1627" t="str">
        <f>LEFT(AE1627,1)</f>
        <v>C</v>
      </c>
      <c r="AH1627" t="str">
        <f>K1627</f>
        <v>M</v>
      </c>
      <c r="AI1627" t="str">
        <f>LEFT(AF1627,1)</f>
        <v>B</v>
      </c>
      <c r="AJ1627" t="str">
        <f>LEFT(M1627,1)</f>
        <v>J</v>
      </c>
      <c r="AK1627" t="str">
        <f>_xlfn.CONCAT(AG1627,AH1627,AI1627,AJ1627)</f>
        <v>CMBJ</v>
      </c>
    </row>
    <row r="1628" spans="1:37" ht="15.75" hidden="1" customHeight="1" x14ac:dyDescent="0.2">
      <c r="A1628" s="1">
        <v>1519007</v>
      </c>
      <c r="B1628" s="1" t="s">
        <v>2077</v>
      </c>
      <c r="C1628" s="1" t="s">
        <v>57</v>
      </c>
      <c r="D1628" s="1" t="s">
        <v>2218</v>
      </c>
      <c r="E1628" s="1" t="s">
        <v>320</v>
      </c>
      <c r="F1628" s="1" t="s">
        <v>43</v>
      </c>
      <c r="G1628" s="1" t="s">
        <v>2221</v>
      </c>
      <c r="H1628" s="1">
        <v>553</v>
      </c>
      <c r="I1628" s="1" t="s">
        <v>48</v>
      </c>
      <c r="J1628" s="1">
        <v>4</v>
      </c>
      <c r="K1628" s="1" t="s">
        <v>35</v>
      </c>
      <c r="L1628" s="1">
        <v>37</v>
      </c>
      <c r="M1628" s="1" t="str">
        <f>IF(L1628&lt;=45,"Joven","Mayor")</f>
        <v>Joven</v>
      </c>
      <c r="N1628" s="1">
        <v>43</v>
      </c>
      <c r="O1628" s="1" t="s">
        <v>36</v>
      </c>
      <c r="P1628" s="1">
        <v>0.36699999999999999</v>
      </c>
      <c r="Q1628" s="1">
        <v>88.263000000000005</v>
      </c>
      <c r="R1628" s="1">
        <v>3.9459393</v>
      </c>
      <c r="S1628" s="1">
        <v>10.545807</v>
      </c>
      <c r="T1628" s="1">
        <v>-2.0659481999999998</v>
      </c>
      <c r="U1628" s="1">
        <v>8.0860000000000003</v>
      </c>
      <c r="V1628" s="1">
        <v>101</v>
      </c>
      <c r="W1628" s="1">
        <v>172</v>
      </c>
      <c r="X1628" s="1">
        <v>1.7029702970297029</v>
      </c>
      <c r="Y1628" s="1">
        <v>103</v>
      </c>
      <c r="Z1628" s="1">
        <v>172</v>
      </c>
      <c r="AA1628" s="1">
        <v>1.6699029126213591</v>
      </c>
      <c r="AB1628" s="1">
        <v>102.6286894319267</v>
      </c>
      <c r="AC1628" s="1">
        <v>171.99634853634319</v>
      </c>
      <c r="AD1628" s="1">
        <v>1.6759090415007964</v>
      </c>
      <c r="AE1628" t="s">
        <v>4817</v>
      </c>
      <c r="AF1628" t="str">
        <f>IF(X1628&lt;$AF$1,"Bajo","Alto")</f>
        <v>Bajo</v>
      </c>
      <c r="AG1628" t="str">
        <f>LEFT(AE1628,1)</f>
        <v>C</v>
      </c>
      <c r="AH1628" t="str">
        <f>K1628</f>
        <v>M</v>
      </c>
      <c r="AI1628" t="str">
        <f>LEFT(AF1628,1)</f>
        <v>B</v>
      </c>
      <c r="AJ1628" t="str">
        <f>LEFT(M1628,1)</f>
        <v>J</v>
      </c>
      <c r="AK1628" t="str">
        <f>_xlfn.CONCAT(AG1628,AH1628,AI1628,AJ1628)</f>
        <v>CMBJ</v>
      </c>
    </row>
    <row r="1629" spans="1:37" ht="15.75" hidden="1" customHeight="1" x14ac:dyDescent="0.2">
      <c r="A1629" s="1">
        <v>480205</v>
      </c>
      <c r="B1629" s="1" t="s">
        <v>4465</v>
      </c>
      <c r="C1629" s="1" t="s">
        <v>2650</v>
      </c>
      <c r="D1629" s="1" t="s">
        <v>3420</v>
      </c>
      <c r="E1629" s="1" t="s">
        <v>37</v>
      </c>
      <c r="F1629" s="1" t="s">
        <v>40</v>
      </c>
      <c r="G1629" s="1" t="s">
        <v>4471</v>
      </c>
      <c r="H1629" s="1">
        <v>16</v>
      </c>
      <c r="I1629" s="1" t="s">
        <v>42</v>
      </c>
      <c r="J1629" s="1">
        <v>15</v>
      </c>
      <c r="K1629" s="1" t="s">
        <v>35</v>
      </c>
      <c r="L1629" s="1">
        <v>53</v>
      </c>
      <c r="M1629" s="1" t="str">
        <f>IF(L1629&lt;=45,"Joven","Mayor")</f>
        <v>Mayor</v>
      </c>
      <c r="N1629" s="1">
        <v>44</v>
      </c>
      <c r="O1629" s="1" t="s">
        <v>36</v>
      </c>
      <c r="P1629" s="1">
        <v>1</v>
      </c>
      <c r="Q1629" s="1">
        <v>92.558999999999997</v>
      </c>
      <c r="R1629" s="1">
        <v>3.3481252000000001</v>
      </c>
      <c r="S1629" s="1">
        <v>1.5634543000000001</v>
      </c>
      <c r="T1629" s="1">
        <v>-2.6542195999999998</v>
      </c>
      <c r="U1629" s="1">
        <v>3.7970000000000002</v>
      </c>
      <c r="V1629" s="1">
        <v>106</v>
      </c>
      <c r="W1629" s="1">
        <v>179</v>
      </c>
      <c r="X1629" s="1">
        <v>1.6886792452830188</v>
      </c>
      <c r="Y1629" s="1">
        <v>107</v>
      </c>
      <c r="Z1629" s="1">
        <v>179</v>
      </c>
      <c r="AA1629" s="1">
        <v>1.6728971962616823</v>
      </c>
      <c r="AB1629" s="1">
        <v>107.9238480518779</v>
      </c>
      <c r="AC1629" s="1">
        <v>178.9932011270412</v>
      </c>
      <c r="AD1629" s="1">
        <v>1.6585138906555759</v>
      </c>
      <c r="AE1629" t="s">
        <v>4817</v>
      </c>
      <c r="AF1629" t="str">
        <f>IF(X1629&lt;$AF$1,"Bajo","Alto")</f>
        <v>Bajo</v>
      </c>
      <c r="AG1629" t="str">
        <f>LEFT(AE1629,1)</f>
        <v>C</v>
      </c>
      <c r="AH1629" t="str">
        <f>K1629</f>
        <v>M</v>
      </c>
      <c r="AI1629" t="str">
        <f>LEFT(AF1629,1)</f>
        <v>B</v>
      </c>
      <c r="AJ1629" t="str">
        <f>LEFT(M1629,1)</f>
        <v>M</v>
      </c>
      <c r="AK1629" t="str">
        <f>_xlfn.CONCAT(AG1629,AH1629,AI1629,AJ1629)</f>
        <v>CMBM</v>
      </c>
    </row>
    <row r="1630" spans="1:37" ht="15.75" hidden="1" customHeight="1" x14ac:dyDescent="0.2">
      <c r="A1630" s="1">
        <v>110701</v>
      </c>
      <c r="B1630" s="1" t="s">
        <v>1648</v>
      </c>
      <c r="C1630" s="1" t="s">
        <v>51</v>
      </c>
      <c r="D1630" s="1" t="s">
        <v>694</v>
      </c>
      <c r="E1630" s="1" t="s">
        <v>43</v>
      </c>
      <c r="F1630" s="1" t="s">
        <v>32</v>
      </c>
      <c r="G1630" s="1" t="s">
        <v>1663</v>
      </c>
      <c r="H1630" s="1">
        <v>3143</v>
      </c>
      <c r="I1630" s="1" t="s">
        <v>100</v>
      </c>
      <c r="J1630" s="1">
        <v>1</v>
      </c>
      <c r="K1630" s="1" t="s">
        <v>49</v>
      </c>
      <c r="L1630" s="1">
        <v>37</v>
      </c>
      <c r="M1630" s="1" t="str">
        <f>IF(L1630&lt;=45,"Joven","Mayor")</f>
        <v>Joven</v>
      </c>
      <c r="N1630" s="1">
        <v>41</v>
      </c>
      <c r="O1630" s="1" t="s">
        <v>50</v>
      </c>
      <c r="P1630" s="1">
        <v>0.98</v>
      </c>
      <c r="Q1630" s="1">
        <v>88.078999999999994</v>
      </c>
      <c r="R1630" s="1">
        <v>-7.1749573</v>
      </c>
      <c r="S1630" s="1">
        <v>1.1960744999999999</v>
      </c>
      <c r="T1630" s="1">
        <v>4.9724690000000002</v>
      </c>
      <c r="U1630" s="1">
        <v>69.287000000000006</v>
      </c>
      <c r="V1630" s="1">
        <v>98</v>
      </c>
      <c r="W1630" s="1">
        <v>167</v>
      </c>
      <c r="X1630" s="1">
        <v>1.7040816326530612</v>
      </c>
      <c r="Y1630" s="1">
        <v>105</v>
      </c>
      <c r="Z1630" s="1">
        <v>167</v>
      </c>
      <c r="AA1630" s="1">
        <v>1.5904761904761904</v>
      </c>
      <c r="AB1630" s="1">
        <v>101.8783489500138</v>
      </c>
      <c r="AC1630" s="1">
        <v>166.80487442614279</v>
      </c>
      <c r="AD1630" s="1">
        <v>1.6372946376269302</v>
      </c>
      <c r="AE1630" t="s">
        <v>4817</v>
      </c>
      <c r="AF1630" t="str">
        <f>IF(X1630&lt;$AF$1,"Bajo","Alto")</f>
        <v>Bajo</v>
      </c>
      <c r="AG1630" t="str">
        <f>LEFT(AE1630,1)</f>
        <v>C</v>
      </c>
      <c r="AH1630" t="str">
        <f>K1630</f>
        <v>F</v>
      </c>
      <c r="AI1630" t="str">
        <f>LEFT(AF1630,1)</f>
        <v>B</v>
      </c>
      <c r="AJ1630" t="str">
        <f>LEFT(M1630,1)</f>
        <v>J</v>
      </c>
      <c r="AK1630" t="str">
        <f>_xlfn.CONCAT(AG1630,AH1630,AI1630,AJ1630)</f>
        <v>CFBJ</v>
      </c>
    </row>
    <row r="1631" spans="1:37" ht="15.75" hidden="1" customHeight="1" x14ac:dyDescent="0.2">
      <c r="A1631" s="1">
        <v>240107</v>
      </c>
      <c r="B1631" s="1" t="s">
        <v>1548</v>
      </c>
      <c r="C1631" s="1" t="s">
        <v>1993</v>
      </c>
      <c r="D1631" s="1" t="s">
        <v>3118</v>
      </c>
      <c r="E1631" s="1" t="s">
        <v>32</v>
      </c>
      <c r="F1631" s="1" t="s">
        <v>43</v>
      </c>
      <c r="G1631" s="1" t="s">
        <v>3125</v>
      </c>
      <c r="H1631" s="1">
        <v>55317</v>
      </c>
      <c r="I1631" s="1" t="s">
        <v>3126</v>
      </c>
      <c r="J1631" s="1">
        <v>2071</v>
      </c>
      <c r="K1631" s="1" t="s">
        <v>35</v>
      </c>
      <c r="L1631" s="1">
        <v>46</v>
      </c>
      <c r="M1631" s="1" t="str">
        <f>IF(L1631&lt;=45,"Joven","Mayor")</f>
        <v>Mayor</v>
      </c>
      <c r="N1631" s="1">
        <v>40</v>
      </c>
      <c r="O1631" s="1" t="s">
        <v>36</v>
      </c>
      <c r="P1631" s="1">
        <v>0.40100000000000002</v>
      </c>
      <c r="Q1631" s="1">
        <v>83.850999999999999</v>
      </c>
      <c r="R1631" s="1">
        <v>9.1530349999999991</v>
      </c>
      <c r="S1631" s="1">
        <v>2.1486518000000001</v>
      </c>
      <c r="T1631" s="1">
        <v>-2.7903152000000002</v>
      </c>
      <c r="U1631" s="1">
        <v>1.796</v>
      </c>
      <c r="V1631" s="1">
        <v>87</v>
      </c>
      <c r="W1631" s="1">
        <v>147</v>
      </c>
      <c r="X1631" s="1">
        <v>1.6896551724137931</v>
      </c>
      <c r="Y1631" s="1">
        <v>90</v>
      </c>
      <c r="Z1631" s="1">
        <v>147</v>
      </c>
      <c r="AA1631" s="1">
        <v>1.6333333333333333</v>
      </c>
      <c r="AB1631" s="1">
        <v>88.844088650050253</v>
      </c>
      <c r="AC1631" s="1">
        <v>146.82571389376059</v>
      </c>
      <c r="AD1631" s="1">
        <v>1.6526222073377927</v>
      </c>
      <c r="AE1631" t="s">
        <v>4817</v>
      </c>
      <c r="AF1631" t="str">
        <f>IF(X1631&lt;$AF$1,"Bajo","Alto")</f>
        <v>Bajo</v>
      </c>
      <c r="AG1631" t="str">
        <f>LEFT(AE1631,1)</f>
        <v>C</v>
      </c>
      <c r="AH1631" t="str">
        <f>K1631</f>
        <v>M</v>
      </c>
      <c r="AI1631" t="str">
        <f>LEFT(AF1631,1)</f>
        <v>B</v>
      </c>
      <c r="AJ1631" t="str">
        <f>LEFT(M1631,1)</f>
        <v>M</v>
      </c>
      <c r="AK1631" t="str">
        <f>_xlfn.CONCAT(AG1631,AH1631,AI1631,AJ1631)</f>
        <v>CMBM</v>
      </c>
    </row>
    <row r="1632" spans="1:37" ht="15.75" hidden="1" customHeight="1" x14ac:dyDescent="0.2">
      <c r="A1632" s="1">
        <v>1532801</v>
      </c>
      <c r="B1632" s="1" t="s">
        <v>2077</v>
      </c>
      <c r="C1632" s="1" t="s">
        <v>57</v>
      </c>
      <c r="D1632" s="1" t="s">
        <v>2417</v>
      </c>
      <c r="E1632" s="1" t="s">
        <v>1420</v>
      </c>
      <c r="F1632" s="1" t="s">
        <v>32</v>
      </c>
      <c r="G1632" s="1" t="s">
        <v>2418</v>
      </c>
      <c r="H1632" s="1">
        <v>669</v>
      </c>
      <c r="I1632" s="1" t="s">
        <v>100</v>
      </c>
      <c r="J1632" s="1">
        <v>1</v>
      </c>
      <c r="K1632" s="1" t="s">
        <v>35</v>
      </c>
      <c r="L1632" s="1">
        <v>50</v>
      </c>
      <c r="M1632" s="1" t="str">
        <f>IF(L1632&lt;=45,"Joven","Mayor")</f>
        <v>Mayor</v>
      </c>
      <c r="N1632" s="1">
        <v>53</v>
      </c>
      <c r="O1632" s="1" t="s">
        <v>36</v>
      </c>
      <c r="P1632" s="1">
        <v>0.17699999999999999</v>
      </c>
      <c r="Q1632" s="1">
        <v>90.759</v>
      </c>
      <c r="R1632" s="1">
        <v>0.67338489999999995</v>
      </c>
      <c r="S1632" s="1">
        <v>11.519247</v>
      </c>
      <c r="T1632" s="1">
        <v>5.2214660000000003E-2</v>
      </c>
      <c r="U1632" s="1">
        <v>2.9319999999999999</v>
      </c>
      <c r="V1632" s="1">
        <v>94</v>
      </c>
      <c r="W1632" s="1">
        <v>159</v>
      </c>
      <c r="X1632" s="1">
        <v>1.6914893617021276</v>
      </c>
      <c r="Y1632" s="1">
        <v>95</v>
      </c>
      <c r="Z1632" s="1">
        <v>159</v>
      </c>
      <c r="AA1632" s="1">
        <v>1.6736842105263159</v>
      </c>
      <c r="AB1632" s="1">
        <v>95.040058526033363</v>
      </c>
      <c r="AC1632" s="1">
        <v>158.9935547519926</v>
      </c>
      <c r="AD1632" s="1">
        <v>1.6729109516324752</v>
      </c>
      <c r="AE1632" t="s">
        <v>4817</v>
      </c>
      <c r="AF1632" t="str">
        <f>IF(X1632&lt;$AF$1,"Bajo","Alto")</f>
        <v>Bajo</v>
      </c>
      <c r="AG1632" t="str">
        <f>LEFT(AE1632,1)</f>
        <v>C</v>
      </c>
      <c r="AH1632" t="str">
        <f>K1632</f>
        <v>M</v>
      </c>
      <c r="AI1632" t="str">
        <f>LEFT(AF1632,1)</f>
        <v>B</v>
      </c>
      <c r="AJ1632" t="str">
        <f>LEFT(M1632,1)</f>
        <v>M</v>
      </c>
      <c r="AK1632" t="str">
        <f>_xlfn.CONCAT(AG1632,AH1632,AI1632,AJ1632)</f>
        <v>CMBM</v>
      </c>
    </row>
    <row r="1633" spans="1:37" ht="15.75" hidden="1" customHeight="1" x14ac:dyDescent="0.2">
      <c r="A1633" s="1">
        <v>10710302</v>
      </c>
      <c r="B1633" s="1" t="s">
        <v>1067</v>
      </c>
      <c r="C1633" s="1" t="s">
        <v>1068</v>
      </c>
      <c r="D1633" s="1" t="s">
        <v>1098</v>
      </c>
      <c r="E1633" s="1" t="s">
        <v>81</v>
      </c>
      <c r="F1633" s="1" t="s">
        <v>37</v>
      </c>
      <c r="G1633" s="1" t="s">
        <v>1100</v>
      </c>
      <c r="H1633" s="1">
        <v>29</v>
      </c>
      <c r="I1633" s="1" t="s">
        <v>48</v>
      </c>
      <c r="J1633" s="1">
        <v>4</v>
      </c>
      <c r="K1633" s="1" t="s">
        <v>35</v>
      </c>
      <c r="L1633" s="1">
        <v>50</v>
      </c>
      <c r="M1633" s="1" t="str">
        <f>IF(L1633&lt;=45,"Joven","Mayor")</f>
        <v>Mayor</v>
      </c>
      <c r="N1633" s="1">
        <v>50</v>
      </c>
      <c r="O1633" s="1" t="s">
        <v>36</v>
      </c>
      <c r="P1633" s="1">
        <v>0.188</v>
      </c>
      <c r="Q1633" s="1">
        <v>75.456000000000003</v>
      </c>
      <c r="R1633" s="1">
        <v>-11.264389</v>
      </c>
      <c r="S1633" s="1">
        <v>5.0398563999999997</v>
      </c>
      <c r="T1633" s="1">
        <v>7.8549924000000004</v>
      </c>
      <c r="U1633" s="1">
        <v>47.710999999999999</v>
      </c>
      <c r="V1633" s="1">
        <v>91</v>
      </c>
      <c r="W1633" s="1">
        <v>154</v>
      </c>
      <c r="X1633" s="1">
        <v>1.6923076923076923</v>
      </c>
      <c r="Y1633" s="1">
        <v>100</v>
      </c>
      <c r="Z1633" s="1">
        <v>154</v>
      </c>
      <c r="AA1633" s="1">
        <v>1.54</v>
      </c>
      <c r="AB1633" s="1">
        <v>95.886148310682074</v>
      </c>
      <c r="AC1633" s="1">
        <v>153.92170146103129</v>
      </c>
      <c r="AD1633" s="1">
        <v>1.605254817018068</v>
      </c>
      <c r="AE1633" t="s">
        <v>4817</v>
      </c>
      <c r="AF1633" t="str">
        <f>IF(X1633&lt;$AF$1,"Bajo","Alto")</f>
        <v>Bajo</v>
      </c>
      <c r="AG1633" t="str">
        <f>LEFT(AE1633,1)</f>
        <v>C</v>
      </c>
      <c r="AH1633" t="str">
        <f>K1633</f>
        <v>M</v>
      </c>
      <c r="AI1633" t="str">
        <f>LEFT(AF1633,1)</f>
        <v>B</v>
      </c>
      <c r="AJ1633" t="str">
        <f>LEFT(M1633,1)</f>
        <v>M</v>
      </c>
      <c r="AK1633" t="str">
        <f>_xlfn.CONCAT(AG1633,AH1633,AI1633,AJ1633)</f>
        <v>CMBM</v>
      </c>
    </row>
    <row r="1634" spans="1:37" ht="15.75" hidden="1" customHeight="1" x14ac:dyDescent="0.2">
      <c r="A1634" s="1">
        <v>313401</v>
      </c>
      <c r="B1634" s="1" t="s">
        <v>4122</v>
      </c>
      <c r="C1634" s="1" t="s">
        <v>628</v>
      </c>
      <c r="D1634" s="1" t="s">
        <v>4206</v>
      </c>
      <c r="E1634" s="1" t="s">
        <v>634</v>
      </c>
      <c r="F1634" s="1" t="s">
        <v>32</v>
      </c>
      <c r="G1634" s="1" t="s">
        <v>4207</v>
      </c>
      <c r="H1634" s="1">
        <v>2096</v>
      </c>
      <c r="I1634" s="1" t="s">
        <v>39</v>
      </c>
      <c r="J1634" s="1">
        <v>11</v>
      </c>
      <c r="K1634" s="1" t="s">
        <v>35</v>
      </c>
      <c r="L1634" s="1">
        <v>52</v>
      </c>
      <c r="M1634" s="1" t="str">
        <f>IF(L1634&lt;=45,"Joven","Mayor")</f>
        <v>Mayor</v>
      </c>
      <c r="N1634" s="1">
        <v>62</v>
      </c>
      <c r="O1634" s="1" t="s">
        <v>36</v>
      </c>
      <c r="P1634" s="1">
        <v>0.36099999999999999</v>
      </c>
      <c r="Q1634" s="1">
        <v>85.096999999999994</v>
      </c>
      <c r="R1634" s="1">
        <v>8.2062050000000006</v>
      </c>
      <c r="S1634" s="1">
        <v>4.3052140000000003</v>
      </c>
      <c r="T1634" s="1">
        <v>-12.212972000000001</v>
      </c>
      <c r="U1634" s="1">
        <v>1.526</v>
      </c>
      <c r="V1634" s="1">
        <v>96</v>
      </c>
      <c r="W1634" s="1">
        <v>163</v>
      </c>
      <c r="X1634" s="1">
        <v>1.6979166666666667</v>
      </c>
      <c r="Y1634" s="1">
        <v>111</v>
      </c>
      <c r="Z1634" s="1">
        <v>163</v>
      </c>
      <c r="AA1634" s="1">
        <v>1.4684684684684686</v>
      </c>
      <c r="AB1634" s="1">
        <v>105.0392726923189</v>
      </c>
      <c r="AC1634" s="1">
        <v>163.3303635408906</v>
      </c>
      <c r="AD1634" s="1">
        <v>1.5549456822622716</v>
      </c>
      <c r="AE1634" t="s">
        <v>4816</v>
      </c>
      <c r="AF1634" t="str">
        <f>IF(X1634&lt;$AF$1,"Bajo","Alto")</f>
        <v>Bajo</v>
      </c>
      <c r="AG1634" t="str">
        <f>LEFT(AE1634,1)</f>
        <v>D</v>
      </c>
      <c r="AH1634" t="str">
        <f>K1634</f>
        <v>M</v>
      </c>
      <c r="AI1634" t="str">
        <f>LEFT(AF1634,1)</f>
        <v>B</v>
      </c>
      <c r="AJ1634" t="str">
        <f>LEFT(M1634,1)</f>
        <v>M</v>
      </c>
      <c r="AK1634" t="str">
        <f>_xlfn.CONCAT(AG1634,AH1634,AI1634,AJ1634)</f>
        <v>DMBM</v>
      </c>
    </row>
    <row r="1635" spans="1:37" ht="15.75" hidden="1" customHeight="1" x14ac:dyDescent="0.2">
      <c r="A1635" s="1">
        <v>1090405</v>
      </c>
      <c r="B1635" s="1" t="s">
        <v>719</v>
      </c>
      <c r="C1635" s="1" t="s">
        <v>98</v>
      </c>
      <c r="D1635" s="1" t="s">
        <v>1537</v>
      </c>
      <c r="E1635" s="1" t="s">
        <v>61</v>
      </c>
      <c r="F1635" s="1" t="s">
        <v>40</v>
      </c>
      <c r="G1635" s="1" t="s">
        <v>1540</v>
      </c>
      <c r="H1635" s="1">
        <v>1313</v>
      </c>
      <c r="I1635" s="1" t="s">
        <v>134</v>
      </c>
      <c r="J1635" s="1">
        <v>8</v>
      </c>
      <c r="K1635" s="1" t="s">
        <v>35</v>
      </c>
      <c r="L1635" s="1">
        <v>42</v>
      </c>
      <c r="M1635" s="1" t="str">
        <f>IF(L1635&lt;=45,"Joven","Mayor")</f>
        <v>Joven</v>
      </c>
      <c r="N1635" s="1">
        <v>55</v>
      </c>
      <c r="O1635" s="1" t="s">
        <v>36</v>
      </c>
      <c r="P1635" s="1">
        <v>0.41399999999999998</v>
      </c>
      <c r="Q1635" s="1">
        <v>91.215999999999994</v>
      </c>
      <c r="R1635" s="1">
        <v>4.6372556999999999</v>
      </c>
      <c r="S1635" s="1">
        <v>2.8419998</v>
      </c>
      <c r="T1635" s="1">
        <v>-3.8316783999999999</v>
      </c>
      <c r="U1635" s="1">
        <v>2.0510000000000002</v>
      </c>
      <c r="V1635" s="1">
        <v>90</v>
      </c>
      <c r="W1635" s="1">
        <v>167</v>
      </c>
      <c r="X1635" s="1">
        <v>1.8555555555555556</v>
      </c>
      <c r="Y1635" s="1">
        <v>94</v>
      </c>
      <c r="Z1635" s="1">
        <v>167</v>
      </c>
      <c r="AA1635" s="1">
        <v>1.7765957446808511</v>
      </c>
      <c r="AB1635" s="1">
        <v>92.872796695867919</v>
      </c>
      <c r="AC1635" s="1">
        <v>166.96082830156681</v>
      </c>
      <c r="AD1635" s="1">
        <v>1.7977366273174284</v>
      </c>
      <c r="AE1635" t="s">
        <v>4817</v>
      </c>
      <c r="AF1635" t="str">
        <f>IF(X1635&lt;$AF$1,"Bajo","Alto")</f>
        <v>Alto</v>
      </c>
      <c r="AG1635" t="str">
        <f>LEFT(AE1635,1)</f>
        <v>C</v>
      </c>
      <c r="AH1635" t="str">
        <f>K1635</f>
        <v>M</v>
      </c>
      <c r="AI1635" t="str">
        <f>LEFT(AF1635,1)</f>
        <v>A</v>
      </c>
      <c r="AJ1635" t="str">
        <f>LEFT(M1635,1)</f>
        <v>J</v>
      </c>
      <c r="AK1635" t="str">
        <f>_xlfn.CONCAT(AG1635,AH1635,AI1635,AJ1635)</f>
        <v>CMAJ</v>
      </c>
    </row>
    <row r="1636" spans="1:37" ht="15.75" hidden="1" customHeight="1" x14ac:dyDescent="0.2">
      <c r="A1636" s="1">
        <v>524802</v>
      </c>
      <c r="B1636" s="1" t="s">
        <v>4529</v>
      </c>
      <c r="C1636" s="1" t="s">
        <v>685</v>
      </c>
      <c r="D1636" s="1" t="s">
        <v>4634</v>
      </c>
      <c r="E1636" s="1" t="s">
        <v>2650</v>
      </c>
      <c r="F1636" s="1" t="s">
        <v>37</v>
      </c>
      <c r="G1636" s="1" t="s">
        <v>4636</v>
      </c>
      <c r="H1636" s="1">
        <v>462</v>
      </c>
      <c r="I1636" s="1" t="s">
        <v>39</v>
      </c>
      <c r="J1636" s="1">
        <v>11</v>
      </c>
      <c r="K1636" s="1" t="s">
        <v>35</v>
      </c>
      <c r="L1636" s="1">
        <v>39</v>
      </c>
      <c r="M1636" s="1" t="str">
        <f>IF(L1636&lt;=45,"Joven","Mayor")</f>
        <v>Joven</v>
      </c>
      <c r="N1636" s="1">
        <v>64</v>
      </c>
      <c r="O1636" s="1" t="s">
        <v>36</v>
      </c>
      <c r="P1636" s="1">
        <v>0.34300000000000003</v>
      </c>
      <c r="Q1636" s="1">
        <v>90.435000000000002</v>
      </c>
      <c r="R1636" s="1">
        <v>4.4041867000000003</v>
      </c>
      <c r="S1636" s="1">
        <v>5.826066</v>
      </c>
      <c r="T1636" s="1">
        <v>-2.5762404999999999</v>
      </c>
      <c r="U1636" s="1">
        <v>6.7869999999999999</v>
      </c>
      <c r="V1636" s="1">
        <v>83</v>
      </c>
      <c r="W1636" s="1">
        <v>142</v>
      </c>
      <c r="X1636" s="1">
        <v>1.7108433734939759</v>
      </c>
      <c r="Y1636" s="1">
        <v>84</v>
      </c>
      <c r="Z1636" s="1">
        <v>142</v>
      </c>
      <c r="AA1636" s="1">
        <v>1.6904761904761905</v>
      </c>
      <c r="AB1636" s="1">
        <v>85.668101242887815</v>
      </c>
      <c r="AC1636" s="1">
        <v>141.63173625472839</v>
      </c>
      <c r="AD1636" s="1">
        <v>1.6532610645025436</v>
      </c>
      <c r="AE1636" t="s">
        <v>4816</v>
      </c>
      <c r="AF1636" t="str">
        <f>IF(X1636&lt;$AF$1,"Bajo","Alto")</f>
        <v>Bajo</v>
      </c>
      <c r="AG1636" t="str">
        <f>LEFT(AE1636,1)</f>
        <v>D</v>
      </c>
      <c r="AH1636" t="str">
        <f>K1636</f>
        <v>M</v>
      </c>
      <c r="AI1636" t="str">
        <f>LEFT(AF1636,1)</f>
        <v>B</v>
      </c>
      <c r="AJ1636" t="str">
        <f>LEFT(M1636,1)</f>
        <v>J</v>
      </c>
      <c r="AK1636" t="str">
        <f>_xlfn.CONCAT(AG1636,AH1636,AI1636,AJ1636)</f>
        <v>DMBJ</v>
      </c>
    </row>
    <row r="1637" spans="1:37" ht="15.75" hidden="1" customHeight="1" x14ac:dyDescent="0.2">
      <c r="A1637" s="1">
        <v>271001</v>
      </c>
      <c r="B1637" s="1" t="s">
        <v>3409</v>
      </c>
      <c r="C1637" s="1" t="s">
        <v>973</v>
      </c>
      <c r="D1637" s="1" t="s">
        <v>3427</v>
      </c>
      <c r="E1637" s="1" t="s">
        <v>75</v>
      </c>
      <c r="F1637" s="1" t="s">
        <v>32</v>
      </c>
      <c r="G1637" s="1" t="s">
        <v>3428</v>
      </c>
      <c r="H1637" s="1">
        <v>2361</v>
      </c>
      <c r="I1637" s="1" t="s">
        <v>100</v>
      </c>
      <c r="J1637" s="1">
        <v>1</v>
      </c>
      <c r="K1637" s="1" t="s">
        <v>49</v>
      </c>
      <c r="L1637" s="1">
        <v>30</v>
      </c>
      <c r="M1637" s="1" t="str">
        <f>IF(L1637&lt;=45,"Joven","Mayor")</f>
        <v>Joven</v>
      </c>
      <c r="N1637" s="1">
        <v>25</v>
      </c>
      <c r="O1637" s="1" t="s">
        <v>50</v>
      </c>
      <c r="P1637" s="1">
        <v>0.879</v>
      </c>
      <c r="Q1637" s="1">
        <v>50.695999999999998</v>
      </c>
      <c r="R1637" s="1">
        <v>-15.529316</v>
      </c>
      <c r="S1637" s="1">
        <v>4.9436939999999998</v>
      </c>
      <c r="T1637" s="1">
        <v>6.6485514999999999</v>
      </c>
      <c r="U1637" s="1">
        <v>54.656999999999996</v>
      </c>
      <c r="V1637" s="1">
        <v>98</v>
      </c>
      <c r="W1637" s="1">
        <v>167</v>
      </c>
      <c r="X1637" s="1">
        <v>1.7040816326530612</v>
      </c>
      <c r="Y1637" s="1">
        <v>100</v>
      </c>
      <c r="Z1637" s="1">
        <v>167</v>
      </c>
      <c r="AA1637" s="1">
        <v>1.67</v>
      </c>
      <c r="AB1637" s="1">
        <v>101.7405486053776</v>
      </c>
      <c r="AC1637" s="1">
        <v>165.6453694362576</v>
      </c>
      <c r="AD1637" s="1">
        <v>1.6281155518312416</v>
      </c>
      <c r="AE1637" t="s">
        <v>4817</v>
      </c>
      <c r="AF1637" t="str">
        <f>IF(X1637&lt;$AF$1,"Bajo","Alto")</f>
        <v>Bajo</v>
      </c>
      <c r="AG1637" t="str">
        <f>LEFT(AE1637,1)</f>
        <v>C</v>
      </c>
      <c r="AH1637" t="str">
        <f>K1637</f>
        <v>F</v>
      </c>
      <c r="AI1637" t="str">
        <f>LEFT(AF1637,1)</f>
        <v>B</v>
      </c>
      <c r="AJ1637" t="str">
        <f>LEFT(M1637,1)</f>
        <v>J</v>
      </c>
      <c r="AK1637" t="str">
        <f>_xlfn.CONCAT(AG1637,AH1637,AI1637,AJ1637)</f>
        <v>CFBJ</v>
      </c>
    </row>
    <row r="1638" spans="1:37" ht="15.75" hidden="1" customHeight="1" x14ac:dyDescent="0.2">
      <c r="A1638" s="1">
        <v>440603</v>
      </c>
      <c r="B1638" s="1" t="s">
        <v>4314</v>
      </c>
      <c r="C1638" s="1" t="s">
        <v>995</v>
      </c>
      <c r="D1638" s="1" t="s">
        <v>4338</v>
      </c>
      <c r="E1638" s="1" t="s">
        <v>88</v>
      </c>
      <c r="F1638" s="1" t="s">
        <v>63</v>
      </c>
      <c r="G1638" s="1" t="s">
        <v>4340</v>
      </c>
      <c r="H1638" s="1">
        <v>345</v>
      </c>
      <c r="I1638" s="1" t="s">
        <v>48</v>
      </c>
      <c r="J1638" s="1">
        <v>4</v>
      </c>
      <c r="K1638" s="1" t="s">
        <v>35</v>
      </c>
      <c r="L1638" s="1">
        <v>29</v>
      </c>
      <c r="M1638" s="1" t="str">
        <f>IF(L1638&lt;=45,"Joven","Mayor")</f>
        <v>Joven</v>
      </c>
      <c r="N1638" s="1">
        <v>41</v>
      </c>
      <c r="O1638" s="1" t="s">
        <v>36</v>
      </c>
      <c r="P1638" s="1">
        <v>0.27300000000000002</v>
      </c>
      <c r="Q1638" s="1">
        <v>91.6</v>
      </c>
      <c r="R1638" s="1">
        <v>3.8173392000000002</v>
      </c>
      <c r="S1638" s="1">
        <v>4.3705854000000004</v>
      </c>
      <c r="T1638" s="1">
        <v>-2.6596557999999999</v>
      </c>
      <c r="U1638" s="1">
        <v>8.2690000000000001</v>
      </c>
      <c r="V1638" s="1">
        <v>91</v>
      </c>
      <c r="W1638" s="1">
        <v>155</v>
      </c>
      <c r="X1638" s="1">
        <v>1.7032967032967032</v>
      </c>
      <c r="Y1638" s="1">
        <v>93</v>
      </c>
      <c r="Z1638" s="1">
        <v>155</v>
      </c>
      <c r="AA1638" s="1">
        <v>1.6666666666666667</v>
      </c>
      <c r="AB1638" s="1">
        <v>92.897307021804409</v>
      </c>
      <c r="AC1638" s="1">
        <v>154.9722427525767</v>
      </c>
      <c r="AD1638" s="1">
        <v>1.6682102820935634</v>
      </c>
      <c r="AE1638" t="s">
        <v>4817</v>
      </c>
      <c r="AF1638" t="str">
        <f>IF(X1638&lt;$AF$1,"Bajo","Alto")</f>
        <v>Bajo</v>
      </c>
      <c r="AG1638" t="str">
        <f>LEFT(AE1638,1)</f>
        <v>C</v>
      </c>
      <c r="AH1638" t="str">
        <f>K1638</f>
        <v>M</v>
      </c>
      <c r="AI1638" t="str">
        <f>LEFT(AF1638,1)</f>
        <v>B</v>
      </c>
      <c r="AJ1638" t="str">
        <f>LEFT(M1638,1)</f>
        <v>J</v>
      </c>
      <c r="AK1638" t="str">
        <f>_xlfn.CONCAT(AG1638,AH1638,AI1638,AJ1638)</f>
        <v>CMBJ</v>
      </c>
    </row>
    <row r="1639" spans="1:37" ht="15.75" hidden="1" customHeight="1" x14ac:dyDescent="0.2">
      <c r="A1639" s="1">
        <v>560402</v>
      </c>
      <c r="B1639" s="1" t="s">
        <v>422</v>
      </c>
      <c r="C1639" s="1" t="s">
        <v>2751</v>
      </c>
      <c r="D1639" s="1" t="s">
        <v>2925</v>
      </c>
      <c r="E1639" s="1" t="s">
        <v>61</v>
      </c>
      <c r="F1639" s="1" t="s">
        <v>37</v>
      </c>
      <c r="G1639" s="1" t="s">
        <v>4699</v>
      </c>
      <c r="H1639" s="1">
        <v>1904</v>
      </c>
      <c r="I1639" s="1" t="s">
        <v>91</v>
      </c>
      <c r="J1639" s="1">
        <v>6</v>
      </c>
      <c r="K1639" s="1" t="s">
        <v>35</v>
      </c>
      <c r="L1639" s="1">
        <v>39</v>
      </c>
      <c r="M1639" s="1" t="str">
        <f>IF(L1639&lt;=45,"Joven","Mayor")</f>
        <v>Joven</v>
      </c>
      <c r="N1639" s="1">
        <v>43</v>
      </c>
      <c r="O1639" s="1" t="s">
        <v>36</v>
      </c>
      <c r="P1639" s="1">
        <v>0.32700000000000001</v>
      </c>
      <c r="Q1639" s="1">
        <v>92.238</v>
      </c>
      <c r="R1639" s="1">
        <v>3.6812583999999999</v>
      </c>
      <c r="S1639" s="1">
        <v>2.5521557000000001</v>
      </c>
      <c r="T1639" s="1">
        <v>-0.68454349999999997</v>
      </c>
      <c r="U1639" s="1">
        <v>0.62</v>
      </c>
      <c r="V1639" s="1">
        <v>108</v>
      </c>
      <c r="W1639" s="1">
        <v>184</v>
      </c>
      <c r="X1639" s="1">
        <v>1.7037037037037037</v>
      </c>
      <c r="Y1639" s="1">
        <v>108</v>
      </c>
      <c r="Z1639" s="1">
        <v>184</v>
      </c>
      <c r="AA1639" s="1">
        <v>1.7037037037037037</v>
      </c>
      <c r="AB1639" s="1">
        <v>108.6135491268556</v>
      </c>
      <c r="AC1639" s="1">
        <v>184.0107622466376</v>
      </c>
      <c r="AD1639" s="1">
        <v>1.6941787072229961</v>
      </c>
      <c r="AE1639" t="s">
        <v>4817</v>
      </c>
      <c r="AF1639" t="str">
        <f>IF(X1639&lt;$AF$1,"Bajo","Alto")</f>
        <v>Bajo</v>
      </c>
      <c r="AG1639" t="str">
        <f>LEFT(AE1639,1)</f>
        <v>C</v>
      </c>
      <c r="AH1639" t="str">
        <f>K1639</f>
        <v>M</v>
      </c>
      <c r="AI1639" t="str">
        <f>LEFT(AF1639,1)</f>
        <v>B</v>
      </c>
      <c r="AJ1639" t="str">
        <f>LEFT(M1639,1)</f>
        <v>J</v>
      </c>
      <c r="AK1639" t="str">
        <f>_xlfn.CONCAT(AG1639,AH1639,AI1639,AJ1639)</f>
        <v>CMBJ</v>
      </c>
    </row>
    <row r="1640" spans="1:37" ht="15.75" hidden="1" customHeight="1" x14ac:dyDescent="0.2">
      <c r="A1640" s="1">
        <v>190105</v>
      </c>
      <c r="B1640" s="1" t="s">
        <v>2656</v>
      </c>
      <c r="C1640" s="1" t="s">
        <v>323</v>
      </c>
      <c r="D1640" s="1" t="s">
        <v>2657</v>
      </c>
      <c r="E1640" s="1" t="s">
        <v>32</v>
      </c>
      <c r="F1640" s="1" t="s">
        <v>40</v>
      </c>
      <c r="G1640" s="1" t="s">
        <v>2660</v>
      </c>
      <c r="H1640" s="1">
        <v>39935</v>
      </c>
      <c r="I1640" s="1" t="s">
        <v>2661</v>
      </c>
      <c r="J1640" s="1">
        <v>815</v>
      </c>
      <c r="K1640" s="1" t="s">
        <v>35</v>
      </c>
      <c r="L1640" s="1">
        <v>38</v>
      </c>
      <c r="M1640" s="1" t="str">
        <f>IF(L1640&lt;=45,"Joven","Mayor")</f>
        <v>Joven</v>
      </c>
      <c r="N1640" s="1">
        <v>38</v>
      </c>
      <c r="O1640" s="1" t="s">
        <v>36</v>
      </c>
      <c r="P1640" s="1">
        <v>0.93300000000000005</v>
      </c>
      <c r="Q1640" s="1">
        <v>91.897000000000006</v>
      </c>
      <c r="R1640" s="1">
        <v>-0.97747092999999996</v>
      </c>
      <c r="S1640" s="1">
        <v>8.7583839999999995</v>
      </c>
      <c r="T1640" s="1">
        <v>1.7921568999999999</v>
      </c>
      <c r="U1640" s="1">
        <v>6.6310000000000002</v>
      </c>
      <c r="V1640" s="1">
        <v>90</v>
      </c>
      <c r="W1640" s="1">
        <v>167</v>
      </c>
      <c r="X1640" s="1">
        <v>1.8555555555555556</v>
      </c>
      <c r="Y1640" s="1">
        <v>94</v>
      </c>
      <c r="Z1640" s="1">
        <v>167</v>
      </c>
      <c r="AA1640" s="1">
        <v>1.7765957446808511</v>
      </c>
      <c r="AB1640" s="1">
        <v>92.60924061923447</v>
      </c>
      <c r="AC1640" s="1">
        <v>166.98085995284509</v>
      </c>
      <c r="AD1640" s="1">
        <v>1.80306909803301</v>
      </c>
      <c r="AE1640" t="s">
        <v>4817</v>
      </c>
      <c r="AF1640" t="str">
        <f>IF(X1640&lt;$AF$1,"Bajo","Alto")</f>
        <v>Alto</v>
      </c>
      <c r="AG1640" t="str">
        <f>LEFT(AE1640,1)</f>
        <v>C</v>
      </c>
      <c r="AH1640" t="str">
        <f>K1640</f>
        <v>M</v>
      </c>
      <c r="AI1640" t="str">
        <f>LEFT(AF1640,1)</f>
        <v>A</v>
      </c>
      <c r="AJ1640" t="str">
        <f>LEFT(M1640,1)</f>
        <v>J</v>
      </c>
      <c r="AK1640" t="str">
        <f>_xlfn.CONCAT(AG1640,AH1640,AI1640,AJ1640)</f>
        <v>CMAJ</v>
      </c>
    </row>
    <row r="1641" spans="1:37" ht="15.75" hidden="1" customHeight="1" x14ac:dyDescent="0.2">
      <c r="A1641" s="1">
        <v>10721406</v>
      </c>
      <c r="B1641" s="1" t="s">
        <v>1067</v>
      </c>
      <c r="C1641" s="1" t="s">
        <v>1068</v>
      </c>
      <c r="D1641" s="1" t="s">
        <v>1218</v>
      </c>
      <c r="E1641" s="1" t="s">
        <v>392</v>
      </c>
      <c r="F1641" s="1" t="s">
        <v>88</v>
      </c>
      <c r="G1641" s="1" t="s">
        <v>1224</v>
      </c>
      <c r="H1641" s="1">
        <v>243</v>
      </c>
      <c r="I1641" s="1" t="s">
        <v>1225</v>
      </c>
      <c r="J1641" s="1">
        <v>3754</v>
      </c>
      <c r="K1641" s="1" t="s">
        <v>35</v>
      </c>
      <c r="L1641" s="1">
        <v>64</v>
      </c>
      <c r="M1641" s="1" t="str">
        <f>IF(L1641&lt;=45,"Joven","Mayor")</f>
        <v>Mayor</v>
      </c>
      <c r="N1641" s="1">
        <v>61</v>
      </c>
      <c r="O1641" s="1" t="s">
        <v>36</v>
      </c>
      <c r="P1641" s="1">
        <v>1.179</v>
      </c>
      <c r="Q1641" s="1">
        <v>23.19</v>
      </c>
      <c r="R1641" s="1">
        <v>-16.963697</v>
      </c>
      <c r="S1641" s="1">
        <v>-17.367495000000002</v>
      </c>
      <c r="T1641" s="1">
        <v>3.4653787999999999</v>
      </c>
      <c r="U1641" s="1">
        <v>1.099</v>
      </c>
      <c r="V1641" s="1">
        <v>81</v>
      </c>
      <c r="W1641" s="1">
        <v>149</v>
      </c>
      <c r="X1641" s="1">
        <v>1.8395061728395061</v>
      </c>
      <c r="Y1641" s="1">
        <v>83</v>
      </c>
      <c r="Z1641" s="1">
        <v>149</v>
      </c>
      <c r="AA1641" s="1">
        <v>1.7951807228915662</v>
      </c>
      <c r="AB1641" s="1">
        <v>82.725699354593417</v>
      </c>
      <c r="AC1641" s="1">
        <v>148.8484450508922</v>
      </c>
      <c r="AD1641" s="1">
        <v>1.7993011387292341</v>
      </c>
      <c r="AE1641" t="s">
        <v>4817</v>
      </c>
      <c r="AF1641" t="str">
        <f>IF(X1641&lt;$AF$1,"Bajo","Alto")</f>
        <v>Alto</v>
      </c>
      <c r="AG1641" t="str">
        <f>LEFT(AE1641,1)</f>
        <v>C</v>
      </c>
      <c r="AH1641" t="str">
        <f>K1641</f>
        <v>M</v>
      </c>
      <c r="AI1641" t="str">
        <f>LEFT(AF1641,1)</f>
        <v>A</v>
      </c>
      <c r="AJ1641" t="str">
        <f>LEFT(M1641,1)</f>
        <v>M</v>
      </c>
      <c r="AK1641" t="str">
        <f>_xlfn.CONCAT(AG1641,AH1641,AI1641,AJ1641)</f>
        <v>CMAM</v>
      </c>
    </row>
    <row r="1642" spans="1:37" ht="15.75" hidden="1" customHeight="1" x14ac:dyDescent="0.2">
      <c r="A1642" s="1">
        <v>1513602</v>
      </c>
      <c r="B1642" s="1" t="s">
        <v>2077</v>
      </c>
      <c r="C1642" s="1" t="s">
        <v>57</v>
      </c>
      <c r="D1642" s="1" t="s">
        <v>2157</v>
      </c>
      <c r="E1642" s="1" t="s">
        <v>1130</v>
      </c>
      <c r="F1642" s="1" t="s">
        <v>37</v>
      </c>
      <c r="G1642" s="1" t="s">
        <v>2158</v>
      </c>
      <c r="H1642" s="1">
        <v>817</v>
      </c>
      <c r="I1642" s="1" t="s">
        <v>48</v>
      </c>
      <c r="J1642" s="1">
        <v>4</v>
      </c>
      <c r="K1642" s="1" t="s">
        <v>35</v>
      </c>
      <c r="L1642" s="1">
        <v>52</v>
      </c>
      <c r="M1642" s="1" t="str">
        <f>IF(L1642&lt;=45,"Joven","Mayor")</f>
        <v>Mayor</v>
      </c>
      <c r="N1642" s="1">
        <v>58</v>
      </c>
      <c r="O1642" s="1" t="s">
        <v>36</v>
      </c>
      <c r="P1642" s="1">
        <v>0.34699999999999998</v>
      </c>
      <c r="Q1642" s="1">
        <v>93.344999999999999</v>
      </c>
      <c r="R1642" s="1">
        <v>0.51564085000000004</v>
      </c>
      <c r="S1642" s="1">
        <v>6.2256384000000002</v>
      </c>
      <c r="T1642" s="1">
        <v>-4.5997424000000002</v>
      </c>
      <c r="U1642" s="1">
        <v>16.369</v>
      </c>
      <c r="V1642" s="1">
        <v>91</v>
      </c>
      <c r="W1642" s="1">
        <v>154</v>
      </c>
      <c r="X1642" s="1">
        <v>1.6923076923076923</v>
      </c>
      <c r="Y1642" s="1">
        <v>94</v>
      </c>
      <c r="Z1642" s="1">
        <v>154</v>
      </c>
      <c r="AA1642" s="1">
        <v>1.6382978723404256</v>
      </c>
      <c r="AB1642" s="1">
        <v>93.914688464314622</v>
      </c>
      <c r="AC1642" s="1">
        <v>153.5040028087692</v>
      </c>
      <c r="AD1642" s="1">
        <v>1.6345047331663898</v>
      </c>
      <c r="AE1642" t="s">
        <v>4817</v>
      </c>
      <c r="AF1642" t="str">
        <f>IF(X1642&lt;$AF$1,"Bajo","Alto")</f>
        <v>Bajo</v>
      </c>
      <c r="AG1642" t="str">
        <f>LEFT(AE1642,1)</f>
        <v>C</v>
      </c>
      <c r="AH1642" t="str">
        <f>K1642</f>
        <v>M</v>
      </c>
      <c r="AI1642" t="str">
        <f>LEFT(AF1642,1)</f>
        <v>B</v>
      </c>
      <c r="AJ1642" t="str">
        <f>LEFT(M1642,1)</f>
        <v>M</v>
      </c>
      <c r="AK1642" t="str">
        <f>_xlfn.CONCAT(AG1642,AH1642,AI1642,AJ1642)</f>
        <v>CMBM</v>
      </c>
    </row>
    <row r="1643" spans="1:37" ht="15.75" hidden="1" customHeight="1" x14ac:dyDescent="0.2">
      <c r="A1643" s="1">
        <v>642502</v>
      </c>
      <c r="B1643" s="1" t="s">
        <v>4718</v>
      </c>
      <c r="C1643" s="1" t="s">
        <v>710</v>
      </c>
      <c r="D1643" s="1" t="s">
        <v>4764</v>
      </c>
      <c r="E1643" s="1" t="s">
        <v>821</v>
      </c>
      <c r="F1643" s="1" t="s">
        <v>37</v>
      </c>
      <c r="G1643" s="1" t="s">
        <v>4765</v>
      </c>
      <c r="H1643" s="1">
        <v>4064</v>
      </c>
      <c r="I1643" s="1" t="s">
        <v>65</v>
      </c>
      <c r="J1643" s="1">
        <v>2</v>
      </c>
      <c r="K1643" s="1" t="s">
        <v>35</v>
      </c>
      <c r="L1643" s="1">
        <v>44</v>
      </c>
      <c r="M1643" s="1" t="str">
        <f>IF(L1643&lt;=45,"Joven","Mayor")</f>
        <v>Joven</v>
      </c>
      <c r="N1643" s="1">
        <v>44</v>
      </c>
      <c r="O1643" s="1" t="s">
        <v>36</v>
      </c>
      <c r="P1643" s="1">
        <v>0.46100000000000002</v>
      </c>
      <c r="Q1643" s="1">
        <v>87.334000000000003</v>
      </c>
      <c r="R1643" s="1">
        <v>-7.6715099999999996</v>
      </c>
      <c r="S1643" s="1">
        <v>-1.4421824000000001</v>
      </c>
      <c r="T1643" s="1">
        <v>3.0157273</v>
      </c>
      <c r="U1643" s="1">
        <v>49.15</v>
      </c>
      <c r="V1643" s="1">
        <v>103</v>
      </c>
      <c r="W1643" s="1">
        <v>191</v>
      </c>
      <c r="X1643" s="1">
        <v>1.854368932038835</v>
      </c>
      <c r="Y1643" s="1">
        <v>106</v>
      </c>
      <c r="Z1643" s="1">
        <v>191</v>
      </c>
      <c r="AA1643" s="1">
        <v>1.8018867924528301</v>
      </c>
      <c r="AB1643" s="1">
        <v>105.27742179847471</v>
      </c>
      <c r="AC1643" s="1">
        <v>190.26199943144269</v>
      </c>
      <c r="AD1643" s="1">
        <v>1.8072441002178805</v>
      </c>
      <c r="AE1643" t="s">
        <v>4817</v>
      </c>
      <c r="AF1643" t="str">
        <f>IF(X1643&lt;$AF$1,"Bajo","Alto")</f>
        <v>Alto</v>
      </c>
      <c r="AG1643" t="str">
        <f>LEFT(AE1643,1)</f>
        <v>C</v>
      </c>
      <c r="AH1643" t="str">
        <f>K1643</f>
        <v>M</v>
      </c>
      <c r="AI1643" t="str">
        <f>LEFT(AF1643,1)</f>
        <v>A</v>
      </c>
      <c r="AJ1643" t="str">
        <f>LEFT(M1643,1)</f>
        <v>J</v>
      </c>
      <c r="AK1643" t="str">
        <f>_xlfn.CONCAT(AG1643,AH1643,AI1643,AJ1643)</f>
        <v>CMAJ</v>
      </c>
    </row>
    <row r="1644" spans="1:37" ht="15.75" hidden="1" customHeight="1" x14ac:dyDescent="0.2">
      <c r="A1644" s="1">
        <v>10111503</v>
      </c>
      <c r="B1644" s="1" t="s">
        <v>29</v>
      </c>
      <c r="C1644" s="1" t="s">
        <v>30</v>
      </c>
      <c r="D1644" s="1" t="s">
        <v>111</v>
      </c>
      <c r="E1644" s="1" t="s">
        <v>112</v>
      </c>
      <c r="F1644" s="1" t="s">
        <v>63</v>
      </c>
      <c r="G1644" s="1" t="s">
        <v>115</v>
      </c>
      <c r="H1644" s="1">
        <v>1892</v>
      </c>
      <c r="I1644" s="1" t="s">
        <v>116</v>
      </c>
      <c r="J1644" s="1">
        <v>4111</v>
      </c>
      <c r="K1644" s="1" t="s">
        <v>35</v>
      </c>
      <c r="L1644" s="1">
        <v>66</v>
      </c>
      <c r="M1644" s="1" t="str">
        <f>IF(L1644&lt;=45,"Joven","Mayor")</f>
        <v>Mayor</v>
      </c>
      <c r="N1644" s="1">
        <v>67</v>
      </c>
      <c r="O1644" s="1" t="s">
        <v>36</v>
      </c>
      <c r="P1644" s="1">
        <v>0.114</v>
      </c>
      <c r="Q1644" s="1">
        <v>94.325999999999993</v>
      </c>
      <c r="R1644" s="1">
        <v>-0.18233104</v>
      </c>
      <c r="S1644" s="1">
        <v>-3.3618345000000001</v>
      </c>
      <c r="T1644" s="1">
        <v>2.2900596000000002</v>
      </c>
      <c r="U1644" s="1">
        <v>3.5089999999999999</v>
      </c>
      <c r="V1644" s="1">
        <v>88</v>
      </c>
      <c r="W1644" s="1">
        <v>149</v>
      </c>
      <c r="X1644" s="1">
        <v>1.6931818181818181</v>
      </c>
      <c r="Y1644" s="1">
        <v>90</v>
      </c>
      <c r="Z1644" s="1">
        <v>149</v>
      </c>
      <c r="AA1644" s="1">
        <v>1.6555555555555554</v>
      </c>
      <c r="AB1644" s="1">
        <v>91.646333714950515</v>
      </c>
      <c r="AC1644" s="1">
        <v>148.76112473790039</v>
      </c>
      <c r="AD1644" s="1">
        <v>1.6232086839457778</v>
      </c>
      <c r="AE1644" t="s">
        <v>4817</v>
      </c>
      <c r="AF1644" t="str">
        <f>IF(X1644&lt;$AF$1,"Bajo","Alto")</f>
        <v>Bajo</v>
      </c>
      <c r="AG1644" t="str">
        <f>LEFT(AE1644,1)</f>
        <v>C</v>
      </c>
      <c r="AH1644" t="str">
        <f>K1644</f>
        <v>M</v>
      </c>
      <c r="AI1644" t="str">
        <f>LEFT(AF1644,1)</f>
        <v>B</v>
      </c>
      <c r="AJ1644" t="str">
        <f>LEFT(M1644,1)</f>
        <v>M</v>
      </c>
      <c r="AK1644" t="str">
        <f>_xlfn.CONCAT(AG1644,AH1644,AI1644,AJ1644)</f>
        <v>CMBM</v>
      </c>
    </row>
    <row r="1645" spans="1:37" ht="15.75" hidden="1" customHeight="1" x14ac:dyDescent="0.2">
      <c r="A1645" s="1">
        <v>2313305</v>
      </c>
      <c r="B1645" s="1" t="s">
        <v>319</v>
      </c>
      <c r="C1645" s="1" t="s">
        <v>1989</v>
      </c>
      <c r="D1645" s="1" t="s">
        <v>2974</v>
      </c>
      <c r="E1645" s="1" t="s">
        <v>169</v>
      </c>
      <c r="F1645" s="1" t="s">
        <v>40</v>
      </c>
      <c r="G1645" s="1" t="s">
        <v>2979</v>
      </c>
      <c r="H1645" s="1">
        <v>8</v>
      </c>
      <c r="I1645" s="1" t="s">
        <v>134</v>
      </c>
      <c r="J1645" s="1">
        <v>8</v>
      </c>
      <c r="K1645" s="1" t="s">
        <v>35</v>
      </c>
      <c r="L1645" s="1">
        <v>42</v>
      </c>
      <c r="M1645" s="1" t="str">
        <f>IF(L1645&lt;=45,"Joven","Mayor")</f>
        <v>Joven</v>
      </c>
      <c r="N1645" s="1">
        <v>52</v>
      </c>
      <c r="O1645" s="1" t="s">
        <v>36</v>
      </c>
      <c r="P1645" s="1">
        <v>0.27800000000000002</v>
      </c>
      <c r="Q1645" s="1">
        <v>90.457999999999998</v>
      </c>
      <c r="R1645" s="1">
        <v>3.8262868000000001</v>
      </c>
      <c r="S1645" s="1">
        <v>7.2040540000000002</v>
      </c>
      <c r="T1645" s="1">
        <v>-1.7713513000000001</v>
      </c>
      <c r="U1645" s="1">
        <v>63.341000000000001</v>
      </c>
      <c r="V1645" s="1">
        <v>96</v>
      </c>
      <c r="W1645" s="1">
        <v>178</v>
      </c>
      <c r="X1645" s="1">
        <v>1.8541666666666667</v>
      </c>
      <c r="Y1645" s="1">
        <v>100</v>
      </c>
      <c r="Z1645" s="1">
        <v>178</v>
      </c>
      <c r="AA1645" s="1">
        <v>1.78</v>
      </c>
      <c r="AB1645" s="1">
        <v>98.746685601789522</v>
      </c>
      <c r="AC1645" s="1">
        <v>177.97676311684469</v>
      </c>
      <c r="AD1645" s="1">
        <v>1.8023568288110658</v>
      </c>
      <c r="AE1645" t="s">
        <v>4817</v>
      </c>
      <c r="AF1645" t="str">
        <f>IF(X1645&lt;$AF$1,"Bajo","Alto")</f>
        <v>Alto</v>
      </c>
      <c r="AG1645" t="str">
        <f>LEFT(AE1645,1)</f>
        <v>C</v>
      </c>
      <c r="AH1645" t="str">
        <f>K1645</f>
        <v>M</v>
      </c>
      <c r="AI1645" t="str">
        <f>LEFT(AF1645,1)</f>
        <v>A</v>
      </c>
      <c r="AJ1645" t="str">
        <f>LEFT(M1645,1)</f>
        <v>J</v>
      </c>
      <c r="AK1645" t="str">
        <f>_xlfn.CONCAT(AG1645,AH1645,AI1645,AJ1645)</f>
        <v>CMAJ</v>
      </c>
    </row>
    <row r="1646" spans="1:37" ht="15.75" hidden="1" customHeight="1" x14ac:dyDescent="0.2">
      <c r="A1646" s="1">
        <v>1017603</v>
      </c>
      <c r="B1646" s="1" t="s">
        <v>29</v>
      </c>
      <c r="C1646" s="1" t="s">
        <v>30</v>
      </c>
      <c r="D1646" s="1" t="s">
        <v>726</v>
      </c>
      <c r="E1646" s="1" t="s">
        <v>727</v>
      </c>
      <c r="F1646" s="1" t="s">
        <v>63</v>
      </c>
      <c r="G1646" s="1" t="s">
        <v>728</v>
      </c>
      <c r="H1646" s="1">
        <v>3005</v>
      </c>
      <c r="I1646" s="1" t="s">
        <v>65</v>
      </c>
      <c r="J1646" s="1">
        <v>2</v>
      </c>
      <c r="K1646" s="1" t="s">
        <v>35</v>
      </c>
      <c r="L1646" s="1">
        <v>51</v>
      </c>
      <c r="M1646" s="1" t="str">
        <f>IF(L1646&lt;=45,"Joven","Mayor")</f>
        <v>Mayor</v>
      </c>
      <c r="N1646" s="1">
        <v>59</v>
      </c>
      <c r="O1646" s="1" t="s">
        <v>36</v>
      </c>
      <c r="P1646" s="1">
        <v>0.54600000000000004</v>
      </c>
      <c r="Q1646" s="1">
        <v>51.686</v>
      </c>
      <c r="R1646" s="1">
        <v>15.502511999999999</v>
      </c>
      <c r="S1646" s="1">
        <v>4.3573079999999997</v>
      </c>
      <c r="T1646" s="1">
        <v>-4.9166160000000003</v>
      </c>
      <c r="U1646" s="1">
        <v>2.992</v>
      </c>
      <c r="V1646" s="1">
        <v>124</v>
      </c>
      <c r="W1646" s="1">
        <v>210</v>
      </c>
      <c r="X1646" s="1">
        <v>1.6935483870967742</v>
      </c>
      <c r="Y1646" s="1">
        <v>128</v>
      </c>
      <c r="Z1646" s="1">
        <v>210</v>
      </c>
      <c r="AA1646" s="1">
        <v>1.640625</v>
      </c>
      <c r="AB1646" s="1">
        <v>128.4289741220571</v>
      </c>
      <c r="AC1646" s="1">
        <v>209.22730144097071</v>
      </c>
      <c r="AD1646" s="1">
        <v>1.6291284958962922</v>
      </c>
      <c r="AE1646" t="s">
        <v>4817</v>
      </c>
      <c r="AF1646" t="str">
        <f>IF(X1646&lt;$AF$1,"Bajo","Alto")</f>
        <v>Bajo</v>
      </c>
      <c r="AG1646" t="str">
        <f>LEFT(AE1646,1)</f>
        <v>C</v>
      </c>
      <c r="AH1646" t="str">
        <f>K1646</f>
        <v>M</v>
      </c>
      <c r="AI1646" t="str">
        <f>LEFT(AF1646,1)</f>
        <v>B</v>
      </c>
      <c r="AJ1646" t="str">
        <f>LEFT(M1646,1)</f>
        <v>M</v>
      </c>
      <c r="AK1646" t="str">
        <f>_xlfn.CONCAT(AG1646,AH1646,AI1646,AJ1646)</f>
        <v>CMBM</v>
      </c>
    </row>
    <row r="1647" spans="1:37" ht="15.75" hidden="1" customHeight="1" x14ac:dyDescent="0.2">
      <c r="A1647" s="1">
        <v>1034901</v>
      </c>
      <c r="B1647" s="1" t="s">
        <v>783</v>
      </c>
      <c r="C1647" s="1" t="s">
        <v>81</v>
      </c>
      <c r="D1647" s="1" t="s">
        <v>862</v>
      </c>
      <c r="E1647" s="1" t="s">
        <v>673</v>
      </c>
      <c r="F1647" s="1" t="s">
        <v>32</v>
      </c>
      <c r="G1647" s="1" t="s">
        <v>863</v>
      </c>
      <c r="H1647" s="1">
        <v>9375</v>
      </c>
      <c r="I1647" s="1" t="s">
        <v>85</v>
      </c>
      <c r="J1647" s="1">
        <v>12</v>
      </c>
      <c r="K1647" s="1" t="s">
        <v>35</v>
      </c>
      <c r="L1647" s="1">
        <v>41</v>
      </c>
      <c r="M1647" s="1" t="str">
        <f>IF(L1647&lt;=45,"Joven","Mayor")</f>
        <v>Joven</v>
      </c>
      <c r="N1647" s="1">
        <v>31</v>
      </c>
      <c r="O1647" s="1" t="s">
        <v>36</v>
      </c>
      <c r="P1647" s="1">
        <v>0.42099999999999999</v>
      </c>
      <c r="Q1647" s="1">
        <v>94.367999999999995</v>
      </c>
      <c r="R1647" s="1">
        <v>1.1545326</v>
      </c>
      <c r="S1647" s="1">
        <v>0.19193514</v>
      </c>
      <c r="T1647" s="1">
        <v>-0.2850048</v>
      </c>
      <c r="U1647" s="1">
        <v>1.3069999999999999</v>
      </c>
      <c r="V1647" s="1">
        <v>84</v>
      </c>
      <c r="W1647" s="1">
        <v>154</v>
      </c>
      <c r="X1647" s="1">
        <v>1.8333333333333333</v>
      </c>
      <c r="Y1647" s="1">
        <v>85</v>
      </c>
      <c r="Z1647" s="1">
        <v>154</v>
      </c>
      <c r="AA1647" s="1">
        <v>1.8117647058823529</v>
      </c>
      <c r="AB1647" s="1">
        <v>85.222789731753664</v>
      </c>
      <c r="AC1647" s="1">
        <v>153.9881462601484</v>
      </c>
      <c r="AD1647" s="1">
        <v>1.8068892926978783</v>
      </c>
      <c r="AE1647" t="s">
        <v>4815</v>
      </c>
      <c r="AF1647" t="str">
        <f>IF(X1647&lt;$AF$1,"Bajo","Alto")</f>
        <v>Alto</v>
      </c>
      <c r="AG1647" t="str">
        <f>LEFT(AE1647,1)</f>
        <v>I</v>
      </c>
      <c r="AH1647" t="str">
        <f>K1647</f>
        <v>M</v>
      </c>
      <c r="AI1647" t="str">
        <f>LEFT(AF1647,1)</f>
        <v>A</v>
      </c>
      <c r="AJ1647" t="str">
        <f>LEFT(M1647,1)</f>
        <v>J</v>
      </c>
      <c r="AK1647" t="str">
        <f>_xlfn.CONCAT(AG1647,AH1647,AI1647,AJ1647)</f>
        <v>IMAJ</v>
      </c>
    </row>
    <row r="1648" spans="1:37" ht="15.75" hidden="1" customHeight="1" x14ac:dyDescent="0.2">
      <c r="A1648" s="1">
        <v>2310905</v>
      </c>
      <c r="B1648" s="1" t="s">
        <v>319</v>
      </c>
      <c r="C1648" s="1" t="s">
        <v>1989</v>
      </c>
      <c r="D1648" s="1" t="s">
        <v>2253</v>
      </c>
      <c r="E1648" s="1" t="s">
        <v>98</v>
      </c>
      <c r="F1648" s="1" t="s">
        <v>40</v>
      </c>
      <c r="G1648" s="1" t="s">
        <v>2938</v>
      </c>
      <c r="H1648" s="1">
        <v>210</v>
      </c>
      <c r="I1648" s="1" t="s">
        <v>48</v>
      </c>
      <c r="J1648" s="1">
        <v>4</v>
      </c>
      <c r="K1648" s="1" t="s">
        <v>35</v>
      </c>
      <c r="L1648" s="1">
        <v>45</v>
      </c>
      <c r="M1648" s="1" t="str">
        <f>IF(L1648&lt;=45,"Joven","Mayor")</f>
        <v>Joven</v>
      </c>
      <c r="N1648" s="1">
        <v>47</v>
      </c>
      <c r="O1648" s="1" t="s">
        <v>36</v>
      </c>
      <c r="P1648" s="1">
        <v>5.7000000000000002E-2</v>
      </c>
      <c r="Q1648" s="1">
        <v>68.966999999999999</v>
      </c>
      <c r="R1648" s="1">
        <v>12.394352</v>
      </c>
      <c r="S1648" s="1">
        <v>6.7594310000000002</v>
      </c>
      <c r="T1648" s="1">
        <v>-7.5481467000000002</v>
      </c>
      <c r="U1648" s="1">
        <v>5.6050000000000004</v>
      </c>
      <c r="V1648" s="1">
        <v>98</v>
      </c>
      <c r="W1648" s="1">
        <v>167</v>
      </c>
      <c r="X1648" s="1">
        <v>1.7040816326530612</v>
      </c>
      <c r="Y1648" s="1">
        <v>112</v>
      </c>
      <c r="Z1648" s="1">
        <v>167</v>
      </c>
      <c r="AA1648" s="1">
        <v>1.4910714285714286</v>
      </c>
      <c r="AB1648" s="1">
        <v>106.4319260704001</v>
      </c>
      <c r="AC1648" s="1">
        <v>167.6546646451707</v>
      </c>
      <c r="AD1648" s="1">
        <v>1.5752290767929391</v>
      </c>
      <c r="AE1648" t="s">
        <v>4817</v>
      </c>
      <c r="AF1648" t="str">
        <f>IF(X1648&lt;$AF$1,"Bajo","Alto")</f>
        <v>Bajo</v>
      </c>
      <c r="AG1648" t="str">
        <f>LEFT(AE1648,1)</f>
        <v>C</v>
      </c>
      <c r="AH1648" t="str">
        <f>K1648</f>
        <v>M</v>
      </c>
      <c r="AI1648" t="str">
        <f>LEFT(AF1648,1)</f>
        <v>B</v>
      </c>
      <c r="AJ1648" t="str">
        <f>LEFT(M1648,1)</f>
        <v>J</v>
      </c>
      <c r="AK1648" t="str">
        <f>_xlfn.CONCAT(AG1648,AH1648,AI1648,AJ1648)</f>
        <v>CMBJ</v>
      </c>
    </row>
    <row r="1649" spans="1:37" ht="15.75" hidden="1" customHeight="1" x14ac:dyDescent="0.2">
      <c r="A1649" s="1">
        <v>255103</v>
      </c>
      <c r="B1649" s="1" t="s">
        <v>3169</v>
      </c>
      <c r="C1649" s="1" t="s">
        <v>821</v>
      </c>
      <c r="D1649" s="1" t="s">
        <v>3262</v>
      </c>
      <c r="E1649" s="1" t="s">
        <v>2743</v>
      </c>
      <c r="F1649" s="1" t="s">
        <v>63</v>
      </c>
      <c r="G1649" s="1" t="s">
        <v>3265</v>
      </c>
      <c r="H1649" s="1">
        <v>4266</v>
      </c>
      <c r="I1649" s="1" t="s">
        <v>65</v>
      </c>
      <c r="J1649" s="1">
        <v>2</v>
      </c>
      <c r="K1649" s="1" t="s">
        <v>35</v>
      </c>
      <c r="L1649" s="1">
        <v>54</v>
      </c>
      <c r="M1649" s="1" t="str">
        <f>IF(L1649&lt;=45,"Joven","Mayor")</f>
        <v>Mayor</v>
      </c>
      <c r="N1649" s="1">
        <v>75</v>
      </c>
      <c r="O1649" s="1" t="s">
        <v>36</v>
      </c>
      <c r="P1649" s="1">
        <v>0.496</v>
      </c>
      <c r="Q1649" s="1">
        <v>94.251000000000005</v>
      </c>
      <c r="R1649" s="1">
        <v>1.2661811999999999</v>
      </c>
      <c r="S1649" s="1">
        <v>-0.47895845999999997</v>
      </c>
      <c r="T1649" s="1">
        <v>-1.1070534999999999</v>
      </c>
      <c r="U1649" s="1">
        <v>1.819</v>
      </c>
      <c r="V1649" s="1">
        <v>111</v>
      </c>
      <c r="W1649" s="1">
        <v>188</v>
      </c>
      <c r="X1649" s="1">
        <v>1.6936936936936937</v>
      </c>
      <c r="Y1649" s="1">
        <v>113</v>
      </c>
      <c r="Z1649" s="1">
        <v>188</v>
      </c>
      <c r="AA1649" s="1">
        <v>1.663716814159292</v>
      </c>
      <c r="AB1649" s="1">
        <v>113.92561334861379</v>
      </c>
      <c r="AC1649" s="1">
        <v>187.94558762106271</v>
      </c>
      <c r="AD1649" s="1">
        <v>1.6497219729328723</v>
      </c>
      <c r="AE1649" t="s">
        <v>4817</v>
      </c>
      <c r="AF1649" t="str">
        <f>IF(X1649&lt;$AF$1,"Bajo","Alto")</f>
        <v>Bajo</v>
      </c>
      <c r="AG1649" t="str">
        <f>LEFT(AE1649,1)</f>
        <v>C</v>
      </c>
      <c r="AH1649" t="str">
        <f>K1649</f>
        <v>M</v>
      </c>
      <c r="AI1649" t="str">
        <f>LEFT(AF1649,1)</f>
        <v>B</v>
      </c>
      <c r="AJ1649" t="str">
        <f>LEFT(M1649,1)</f>
        <v>M</v>
      </c>
      <c r="AK1649" t="str">
        <f>_xlfn.CONCAT(AG1649,AH1649,AI1649,AJ1649)</f>
        <v>CMBM</v>
      </c>
    </row>
    <row r="1650" spans="1:37" ht="15.75" hidden="1" customHeight="1" x14ac:dyDescent="0.2">
      <c r="A1650" s="1">
        <v>1012202</v>
      </c>
      <c r="B1650" s="1" t="s">
        <v>29</v>
      </c>
      <c r="C1650" s="1" t="s">
        <v>30</v>
      </c>
      <c r="D1650" s="1" t="s">
        <v>417</v>
      </c>
      <c r="E1650" s="1" t="s">
        <v>418</v>
      </c>
      <c r="F1650" s="1" t="s">
        <v>37</v>
      </c>
      <c r="G1650" s="1" t="s">
        <v>419</v>
      </c>
      <c r="H1650" s="1">
        <v>485</v>
      </c>
      <c r="I1650" s="1" t="s">
        <v>108</v>
      </c>
      <c r="J1650" s="1">
        <v>3</v>
      </c>
      <c r="K1650" s="1" t="s">
        <v>35</v>
      </c>
      <c r="L1650" s="1">
        <v>55</v>
      </c>
      <c r="M1650" s="1" t="str">
        <f>IF(L1650&lt;=45,"Joven","Mayor")</f>
        <v>Mayor</v>
      </c>
      <c r="N1650" s="1">
        <v>62</v>
      </c>
      <c r="O1650" s="1" t="s">
        <v>36</v>
      </c>
      <c r="P1650" s="1">
        <v>0.26900000000000002</v>
      </c>
      <c r="Q1650" s="1">
        <v>94.631</v>
      </c>
      <c r="R1650" s="1">
        <v>0.174233</v>
      </c>
      <c r="S1650" s="1">
        <v>-1.6138129999999999</v>
      </c>
      <c r="T1650" s="1">
        <v>-1.9032979000000001</v>
      </c>
      <c r="U1650" s="1">
        <v>75.203999999999994</v>
      </c>
      <c r="V1650" s="1">
        <v>98</v>
      </c>
      <c r="W1650" s="1">
        <v>166</v>
      </c>
      <c r="X1650" s="1">
        <v>1.6938775510204083</v>
      </c>
      <c r="Y1650" s="1">
        <v>99</v>
      </c>
      <c r="Z1650" s="1">
        <v>166</v>
      </c>
      <c r="AA1650" s="1">
        <v>1.6767676767676767</v>
      </c>
      <c r="AB1650" s="1">
        <v>99.374080331993582</v>
      </c>
      <c r="AC1650" s="1">
        <v>165.94163148532701</v>
      </c>
      <c r="AD1650" s="1">
        <v>1.6698683492812354</v>
      </c>
      <c r="AE1650" t="s">
        <v>4817</v>
      </c>
      <c r="AF1650" t="str">
        <f>IF(X1650&lt;$AF$1,"Bajo","Alto")</f>
        <v>Bajo</v>
      </c>
      <c r="AG1650" t="str">
        <f>LEFT(AE1650,1)</f>
        <v>C</v>
      </c>
      <c r="AH1650" t="str">
        <f>K1650</f>
        <v>M</v>
      </c>
      <c r="AI1650" t="str">
        <f>LEFT(AF1650,1)</f>
        <v>B</v>
      </c>
      <c r="AJ1650" t="str">
        <f>LEFT(M1650,1)</f>
        <v>M</v>
      </c>
      <c r="AK1650" t="str">
        <f>_xlfn.CONCAT(AG1650,AH1650,AI1650,AJ1650)</f>
        <v>CMBM</v>
      </c>
    </row>
    <row r="1651" spans="1:37" ht="15.75" hidden="1" customHeight="1" x14ac:dyDescent="0.2">
      <c r="A1651" s="1">
        <v>276101</v>
      </c>
      <c r="B1651" s="1" t="s">
        <v>3409</v>
      </c>
      <c r="C1651" s="1" t="s">
        <v>973</v>
      </c>
      <c r="D1651" s="1" t="s">
        <v>3699</v>
      </c>
      <c r="E1651" s="1" t="s">
        <v>701</v>
      </c>
      <c r="F1651" s="1" t="s">
        <v>32</v>
      </c>
      <c r="G1651" s="1" t="s">
        <v>3700</v>
      </c>
      <c r="H1651" s="1">
        <v>375</v>
      </c>
      <c r="I1651" s="1" t="s">
        <v>39</v>
      </c>
      <c r="J1651" s="1">
        <v>11</v>
      </c>
      <c r="K1651" s="1" t="s">
        <v>35</v>
      </c>
      <c r="L1651" s="1">
        <v>50</v>
      </c>
      <c r="M1651" s="1" t="str">
        <f>IF(L1651&lt;=45,"Joven","Mayor")</f>
        <v>Mayor</v>
      </c>
      <c r="N1651" s="1">
        <v>47</v>
      </c>
      <c r="O1651" s="1" t="s">
        <v>36</v>
      </c>
      <c r="P1651" s="1">
        <v>0.14599999999999999</v>
      </c>
      <c r="Q1651" s="1">
        <v>93.995000000000005</v>
      </c>
      <c r="R1651" s="1">
        <v>1.5007349999999999</v>
      </c>
      <c r="S1651" s="1">
        <v>1.6982079000000001</v>
      </c>
      <c r="T1651" s="1">
        <v>-4.8457894000000001</v>
      </c>
      <c r="U1651" s="1">
        <v>11.03</v>
      </c>
      <c r="V1651" s="1">
        <v>106</v>
      </c>
      <c r="W1651" s="1">
        <v>193</v>
      </c>
      <c r="X1651" s="1">
        <v>1.820754716981132</v>
      </c>
      <c r="Y1651" s="1">
        <v>109</v>
      </c>
      <c r="Z1651" s="1">
        <v>193</v>
      </c>
      <c r="AA1651" s="1">
        <v>1.7706422018348624</v>
      </c>
      <c r="AB1651" s="1">
        <v>110.267201201558</v>
      </c>
      <c r="AC1651" s="1">
        <v>192.9014731981479</v>
      </c>
      <c r="AD1651" s="1">
        <v>1.7494002849092205</v>
      </c>
      <c r="AE1651" t="s">
        <v>4816</v>
      </c>
      <c r="AF1651" t="str">
        <f>IF(X1651&lt;$AF$1,"Bajo","Alto")</f>
        <v>Alto</v>
      </c>
      <c r="AG1651" t="str">
        <f>LEFT(AE1651,1)</f>
        <v>D</v>
      </c>
      <c r="AH1651" t="str">
        <f>K1651</f>
        <v>M</v>
      </c>
      <c r="AI1651" t="str">
        <f>LEFT(AF1651,1)</f>
        <v>A</v>
      </c>
      <c r="AJ1651" t="str">
        <f>LEFT(M1651,1)</f>
        <v>M</v>
      </c>
      <c r="AK1651" t="str">
        <f>_xlfn.CONCAT(AG1651,AH1651,AI1651,AJ1651)</f>
        <v>DMAM</v>
      </c>
    </row>
    <row r="1652" spans="1:37" ht="15.75" hidden="1" customHeight="1" x14ac:dyDescent="0.2">
      <c r="A1652" s="1">
        <v>284202</v>
      </c>
      <c r="B1652" s="1" t="s">
        <v>1775</v>
      </c>
      <c r="C1652" s="1" t="s">
        <v>561</v>
      </c>
      <c r="D1652" s="1" t="s">
        <v>3863</v>
      </c>
      <c r="E1652" s="1" t="s">
        <v>2872</v>
      </c>
      <c r="F1652" s="1" t="s">
        <v>37</v>
      </c>
      <c r="G1652" s="1" t="s">
        <v>3864</v>
      </c>
      <c r="H1652" s="1">
        <v>973</v>
      </c>
      <c r="I1652" s="1" t="s">
        <v>85</v>
      </c>
      <c r="J1652" s="1">
        <v>12</v>
      </c>
      <c r="K1652" s="1" t="s">
        <v>35</v>
      </c>
      <c r="L1652" s="1">
        <v>49</v>
      </c>
      <c r="M1652" s="1" t="str">
        <f>IF(L1652&lt;=45,"Joven","Mayor")</f>
        <v>Mayor</v>
      </c>
      <c r="N1652" s="1">
        <v>56</v>
      </c>
      <c r="O1652" s="1" t="s">
        <v>36</v>
      </c>
      <c r="P1652" s="1">
        <v>0.35899999999999999</v>
      </c>
      <c r="Q1652" s="1">
        <v>94.409000000000006</v>
      </c>
      <c r="R1652" s="1">
        <v>0.72969899999999999</v>
      </c>
      <c r="S1652" s="1">
        <v>1.3295235999999999</v>
      </c>
      <c r="T1652" s="1">
        <v>-6.3805876000000001</v>
      </c>
      <c r="U1652" s="1">
        <v>0.63900000000000001</v>
      </c>
      <c r="V1652" s="1">
        <v>79</v>
      </c>
      <c r="W1652" s="1">
        <v>144</v>
      </c>
      <c r="X1652" s="1">
        <v>1.8227848101265822</v>
      </c>
      <c r="Y1652" s="1">
        <v>81</v>
      </c>
      <c r="Z1652" s="1">
        <v>144</v>
      </c>
      <c r="AA1652" s="1">
        <v>1.7777777777777777</v>
      </c>
      <c r="AB1652" s="1">
        <v>83.622727129082932</v>
      </c>
      <c r="AC1652" s="1">
        <v>144.21933283795079</v>
      </c>
      <c r="AD1652" s="1">
        <v>1.7246427829999953</v>
      </c>
      <c r="AE1652" t="s">
        <v>4815</v>
      </c>
      <c r="AF1652" t="str">
        <f>IF(X1652&lt;$AF$1,"Bajo","Alto")</f>
        <v>Alto</v>
      </c>
      <c r="AG1652" t="str">
        <f>LEFT(AE1652,1)</f>
        <v>I</v>
      </c>
      <c r="AH1652" t="str">
        <f>K1652</f>
        <v>M</v>
      </c>
      <c r="AI1652" t="str">
        <f>LEFT(AF1652,1)</f>
        <v>A</v>
      </c>
      <c r="AJ1652" t="str">
        <f>LEFT(M1652,1)</f>
        <v>M</v>
      </c>
      <c r="AK1652" t="str">
        <f>_xlfn.CONCAT(AG1652,AH1652,AI1652,AJ1652)</f>
        <v>IMAM</v>
      </c>
    </row>
    <row r="1653" spans="1:37" ht="15.75" hidden="1" customHeight="1" x14ac:dyDescent="0.2">
      <c r="A1653" s="1">
        <v>10122001</v>
      </c>
      <c r="B1653" s="1" t="s">
        <v>29</v>
      </c>
      <c r="C1653" s="1" t="s">
        <v>30</v>
      </c>
      <c r="D1653" s="1" t="s">
        <v>413</v>
      </c>
      <c r="E1653" s="1" t="s">
        <v>414</v>
      </c>
      <c r="F1653" s="1" t="s">
        <v>32</v>
      </c>
      <c r="G1653" s="1" t="s">
        <v>415</v>
      </c>
      <c r="H1653" s="1">
        <v>937</v>
      </c>
      <c r="I1653" s="1" t="s">
        <v>100</v>
      </c>
      <c r="J1653" s="1">
        <v>1</v>
      </c>
      <c r="K1653" s="1" t="s">
        <v>35</v>
      </c>
      <c r="L1653" s="1">
        <v>41</v>
      </c>
      <c r="M1653" s="1" t="str">
        <f>IF(L1653&lt;=45,"Joven","Mayor")</f>
        <v>Joven</v>
      </c>
      <c r="N1653" s="1">
        <v>43</v>
      </c>
      <c r="O1653" s="1" t="s">
        <v>36</v>
      </c>
      <c r="P1653" s="1">
        <v>0.29899999999999999</v>
      </c>
      <c r="Q1653" s="1">
        <v>76.727000000000004</v>
      </c>
      <c r="R1653" s="1">
        <v>11.494139000000001</v>
      </c>
      <c r="S1653" s="1">
        <v>1.4330529999999999</v>
      </c>
      <c r="T1653" s="1">
        <v>-9.2174150000000008</v>
      </c>
      <c r="U1653" s="1">
        <v>5.9749999999999996</v>
      </c>
      <c r="V1653" s="1">
        <v>89</v>
      </c>
      <c r="W1653" s="1">
        <v>165</v>
      </c>
      <c r="X1653" s="1">
        <v>1.853932584269663</v>
      </c>
      <c r="Y1653" s="1">
        <v>97</v>
      </c>
      <c r="Z1653" s="1">
        <v>165</v>
      </c>
      <c r="AA1653" s="1">
        <v>1.7010309278350515</v>
      </c>
      <c r="AB1653" s="1">
        <v>96.020040705330757</v>
      </c>
      <c r="AC1653" s="1">
        <v>164.95181376923389</v>
      </c>
      <c r="AD1653" s="1">
        <v>1.7178894380543233</v>
      </c>
      <c r="AE1653" t="s">
        <v>4817</v>
      </c>
      <c r="AF1653" t="str">
        <f>IF(X1653&lt;$AF$1,"Bajo","Alto")</f>
        <v>Alto</v>
      </c>
      <c r="AG1653" t="str">
        <f>LEFT(AE1653,1)</f>
        <v>C</v>
      </c>
      <c r="AH1653" t="str">
        <f>K1653</f>
        <v>M</v>
      </c>
      <c r="AI1653" t="str">
        <f>LEFT(AF1653,1)</f>
        <v>A</v>
      </c>
      <c r="AJ1653" t="str">
        <f>LEFT(M1653,1)</f>
        <v>J</v>
      </c>
      <c r="AK1653" t="str">
        <f>_xlfn.CONCAT(AG1653,AH1653,AI1653,AJ1653)</f>
        <v>CMAJ</v>
      </c>
    </row>
    <row r="1654" spans="1:37" ht="15.75" hidden="1" customHeight="1" x14ac:dyDescent="0.2">
      <c r="A1654" s="1">
        <v>10730702</v>
      </c>
      <c r="B1654" s="1" t="s">
        <v>1067</v>
      </c>
      <c r="C1654" s="1" t="s">
        <v>1068</v>
      </c>
      <c r="D1654" s="1" t="s">
        <v>1373</v>
      </c>
      <c r="E1654" s="1" t="s">
        <v>1374</v>
      </c>
      <c r="F1654" s="1" t="s">
        <v>37</v>
      </c>
      <c r="G1654" s="1" t="s">
        <v>1376</v>
      </c>
      <c r="H1654" s="1">
        <v>521</v>
      </c>
      <c r="I1654" s="1" t="s">
        <v>85</v>
      </c>
      <c r="J1654" s="1">
        <v>12</v>
      </c>
      <c r="K1654" s="1" t="s">
        <v>49</v>
      </c>
      <c r="L1654" s="1">
        <v>45</v>
      </c>
      <c r="M1654" s="1" t="str">
        <f>IF(L1654&lt;=45,"Joven","Mayor")</f>
        <v>Joven</v>
      </c>
      <c r="N1654" s="1">
        <v>46</v>
      </c>
      <c r="O1654" s="1" t="s">
        <v>50</v>
      </c>
      <c r="P1654" s="1">
        <v>2.044</v>
      </c>
      <c r="Q1654" s="1">
        <v>90.813000000000002</v>
      </c>
      <c r="R1654" s="1">
        <v>4.5766686999999999</v>
      </c>
      <c r="S1654" s="1">
        <v>2.5749352000000001</v>
      </c>
      <c r="T1654" s="1">
        <v>-7.5307899999999997</v>
      </c>
      <c r="U1654" s="1">
        <v>58.835999999999999</v>
      </c>
      <c r="V1654" s="1">
        <v>99</v>
      </c>
      <c r="W1654" s="1">
        <v>166</v>
      </c>
      <c r="X1654" s="1">
        <v>1.6767676767676767</v>
      </c>
      <c r="Y1654" s="1">
        <v>99</v>
      </c>
      <c r="Z1654" s="1">
        <v>166</v>
      </c>
      <c r="AA1654" s="1">
        <v>1.6767676767676767</v>
      </c>
      <c r="AB1654" s="1">
        <v>104.305854192412</v>
      </c>
      <c r="AC1654" s="1">
        <v>165.0924153273472</v>
      </c>
      <c r="AD1654" s="1">
        <v>1.5827722864222253</v>
      </c>
      <c r="AE1654" t="s">
        <v>4815</v>
      </c>
      <c r="AF1654" t="str">
        <f>IF(X1654&lt;$AF$1,"Bajo","Alto")</f>
        <v>Bajo</v>
      </c>
      <c r="AG1654" t="str">
        <f>LEFT(AE1654,1)</f>
        <v>I</v>
      </c>
      <c r="AH1654" t="str">
        <f>K1654</f>
        <v>F</v>
      </c>
      <c r="AI1654" t="str">
        <f>LEFT(AF1654,1)</f>
        <v>B</v>
      </c>
      <c r="AJ1654" t="str">
        <f>LEFT(M1654,1)</f>
        <v>J</v>
      </c>
      <c r="AK1654" t="str">
        <f>_xlfn.CONCAT(AG1654,AH1654,AI1654,AJ1654)</f>
        <v>IFBJ</v>
      </c>
    </row>
    <row r="1655" spans="1:37" ht="15.75" hidden="1" customHeight="1" x14ac:dyDescent="0.2">
      <c r="A1655" s="1">
        <v>296703</v>
      </c>
      <c r="B1655" s="1" t="s">
        <v>3890</v>
      </c>
      <c r="C1655" s="1" t="s">
        <v>1695</v>
      </c>
      <c r="D1655" s="1" t="s">
        <v>4049</v>
      </c>
      <c r="E1655" s="1" t="s">
        <v>715</v>
      </c>
      <c r="F1655" s="1" t="s">
        <v>63</v>
      </c>
      <c r="G1655" s="1" t="s">
        <v>4050</v>
      </c>
      <c r="H1655" s="1">
        <v>294</v>
      </c>
      <c r="I1655" s="1" t="s">
        <v>65</v>
      </c>
      <c r="J1655" s="1">
        <v>2</v>
      </c>
      <c r="K1655" s="1" t="s">
        <v>35</v>
      </c>
      <c r="L1655" s="1">
        <v>46</v>
      </c>
      <c r="M1655" s="1" t="str">
        <f>IF(L1655&lt;=45,"Joven","Mayor")</f>
        <v>Mayor</v>
      </c>
      <c r="N1655" s="1">
        <v>56</v>
      </c>
      <c r="O1655" s="1" t="s">
        <v>36</v>
      </c>
      <c r="P1655" s="1">
        <v>5.8999999999999997E-2</v>
      </c>
      <c r="Q1655" s="1">
        <v>93.370999999999995</v>
      </c>
      <c r="R1655" s="1">
        <v>2.7612516999999999</v>
      </c>
      <c r="S1655" s="1">
        <v>0.98308956999999997</v>
      </c>
      <c r="T1655" s="1">
        <v>0.78185916</v>
      </c>
      <c r="U1655" s="1">
        <v>1.9790000000000001</v>
      </c>
      <c r="V1655" s="1">
        <v>87</v>
      </c>
      <c r="W1655" s="1">
        <v>160</v>
      </c>
      <c r="X1655" s="1">
        <v>1.8390804597701149</v>
      </c>
      <c r="Y1655" s="1">
        <v>91</v>
      </c>
      <c r="Z1655" s="1">
        <v>160</v>
      </c>
      <c r="AA1655" s="1">
        <v>1.7582417582417582</v>
      </c>
      <c r="AB1655" s="1">
        <v>90.445703680145016</v>
      </c>
      <c r="AC1655" s="1">
        <v>159.9987487227022</v>
      </c>
      <c r="AD1655" s="1">
        <v>1.769003304883632</v>
      </c>
      <c r="AE1655" t="s">
        <v>4817</v>
      </c>
      <c r="AF1655" t="str">
        <f>IF(X1655&lt;$AF$1,"Bajo","Alto")</f>
        <v>Alto</v>
      </c>
      <c r="AG1655" t="str">
        <f>LEFT(AE1655,1)</f>
        <v>C</v>
      </c>
      <c r="AH1655" t="str">
        <f>K1655</f>
        <v>M</v>
      </c>
      <c r="AI1655" t="str">
        <f>LEFT(AF1655,1)</f>
        <v>A</v>
      </c>
      <c r="AJ1655" t="str">
        <f>LEFT(M1655,1)</f>
        <v>M</v>
      </c>
      <c r="AK1655" t="str">
        <f>_xlfn.CONCAT(AG1655,AH1655,AI1655,AJ1655)</f>
        <v>CMAM</v>
      </c>
    </row>
    <row r="1656" spans="1:37" ht="15.75" hidden="1" customHeight="1" x14ac:dyDescent="0.2">
      <c r="A1656" s="1">
        <v>1516902</v>
      </c>
      <c r="B1656" s="1" t="s">
        <v>2077</v>
      </c>
      <c r="C1656" s="1" t="s">
        <v>57</v>
      </c>
      <c r="D1656" s="1" t="s">
        <v>2194</v>
      </c>
      <c r="E1656" s="1" t="s">
        <v>279</v>
      </c>
      <c r="F1656" s="1" t="s">
        <v>37</v>
      </c>
      <c r="G1656" s="1" t="s">
        <v>2196</v>
      </c>
      <c r="H1656" s="1">
        <v>1780</v>
      </c>
      <c r="I1656" s="1" t="s">
        <v>42</v>
      </c>
      <c r="J1656" s="1">
        <v>15</v>
      </c>
      <c r="K1656" s="1" t="s">
        <v>35</v>
      </c>
      <c r="L1656" s="1">
        <v>38</v>
      </c>
      <c r="M1656" s="1" t="str">
        <f>IF(L1656&lt;=45,"Joven","Mayor")</f>
        <v>Joven</v>
      </c>
      <c r="N1656" s="1">
        <v>30</v>
      </c>
      <c r="O1656" s="1" t="s">
        <v>36</v>
      </c>
      <c r="P1656" s="1">
        <v>0.40799999999999997</v>
      </c>
      <c r="Q1656" s="1">
        <v>90.346000000000004</v>
      </c>
      <c r="R1656" s="1">
        <v>5.3716340000000002</v>
      </c>
      <c r="S1656" s="1">
        <v>2.9683666</v>
      </c>
      <c r="T1656" s="1">
        <v>3.2447173999999999</v>
      </c>
      <c r="U1656" s="1">
        <v>2.4409999999999998</v>
      </c>
      <c r="V1656" s="1">
        <v>88</v>
      </c>
      <c r="W1656" s="1">
        <v>163</v>
      </c>
      <c r="X1656" s="1">
        <v>1.8522727272727273</v>
      </c>
      <c r="Y1656" s="1">
        <v>93</v>
      </c>
      <c r="Z1656" s="1">
        <v>163</v>
      </c>
      <c r="AA1656" s="1">
        <v>1.7526881720430108</v>
      </c>
      <c r="AB1656" s="1">
        <v>90.688963454324039</v>
      </c>
      <c r="AC1656" s="1">
        <v>163.19149950572179</v>
      </c>
      <c r="AD1656" s="1">
        <v>1.7994637196169303</v>
      </c>
      <c r="AE1656" t="s">
        <v>4817</v>
      </c>
      <c r="AF1656" t="str">
        <f>IF(X1656&lt;$AF$1,"Bajo","Alto")</f>
        <v>Alto</v>
      </c>
      <c r="AG1656" t="str">
        <f>LEFT(AE1656,1)</f>
        <v>C</v>
      </c>
      <c r="AH1656" t="str">
        <f>K1656</f>
        <v>M</v>
      </c>
      <c r="AI1656" t="str">
        <f>LEFT(AF1656,1)</f>
        <v>A</v>
      </c>
      <c r="AJ1656" t="str">
        <f>LEFT(M1656,1)</f>
        <v>J</v>
      </c>
      <c r="AK1656" t="str">
        <f>_xlfn.CONCAT(AG1656,AH1656,AI1656,AJ1656)</f>
        <v>CMAJ</v>
      </c>
    </row>
    <row r="1657" spans="1:37" ht="15.75" hidden="1" customHeight="1" x14ac:dyDescent="0.2">
      <c r="A1657" s="1">
        <v>239402</v>
      </c>
      <c r="B1657" s="1" t="s">
        <v>319</v>
      </c>
      <c r="C1657" s="1" t="s">
        <v>1989</v>
      </c>
      <c r="D1657" s="1" t="s">
        <v>2194</v>
      </c>
      <c r="E1657" s="1" t="s">
        <v>775</v>
      </c>
      <c r="F1657" s="1" t="s">
        <v>37</v>
      </c>
      <c r="G1657" s="1" t="s">
        <v>3104</v>
      </c>
      <c r="H1657" s="1">
        <v>2463</v>
      </c>
      <c r="I1657" s="1" t="s">
        <v>65</v>
      </c>
      <c r="J1657" s="1">
        <v>2</v>
      </c>
      <c r="K1657" s="1" t="s">
        <v>35</v>
      </c>
      <c r="L1657" s="1">
        <v>37</v>
      </c>
      <c r="M1657" s="1" t="str">
        <f>IF(L1657&lt;=45,"Joven","Mayor")</f>
        <v>Joven</v>
      </c>
      <c r="N1657" s="1">
        <v>74</v>
      </c>
      <c r="O1657" s="1" t="s">
        <v>36</v>
      </c>
      <c r="P1657" s="1">
        <v>0.309</v>
      </c>
      <c r="Q1657" s="1">
        <v>90.1</v>
      </c>
      <c r="R1657" s="1">
        <v>4.7331000000000003</v>
      </c>
      <c r="S1657" s="1">
        <v>5.7637790000000004</v>
      </c>
      <c r="T1657" s="1">
        <v>-1.059666</v>
      </c>
      <c r="U1657" s="1">
        <v>11.351000000000001</v>
      </c>
      <c r="V1657" s="1">
        <v>88</v>
      </c>
      <c r="W1657" s="1">
        <v>163</v>
      </c>
      <c r="X1657" s="1">
        <v>1.8522727272727273</v>
      </c>
      <c r="Y1657" s="1">
        <v>94</v>
      </c>
      <c r="Z1657" s="1">
        <v>163</v>
      </c>
      <c r="AA1657" s="1">
        <v>1.7340425531914894</v>
      </c>
      <c r="AB1657" s="1">
        <v>94.686681032615297</v>
      </c>
      <c r="AC1657" s="1">
        <v>162.80568106104869</v>
      </c>
      <c r="AD1657" s="1">
        <v>1.7194148034924728</v>
      </c>
      <c r="AE1657" t="s">
        <v>4817</v>
      </c>
      <c r="AF1657" t="str">
        <f>IF(X1657&lt;$AF$1,"Bajo","Alto")</f>
        <v>Alto</v>
      </c>
      <c r="AG1657" t="str">
        <f>LEFT(AE1657,1)</f>
        <v>C</v>
      </c>
      <c r="AH1657" t="str">
        <f>K1657</f>
        <v>M</v>
      </c>
      <c r="AI1657" t="str">
        <f>LEFT(AF1657,1)</f>
        <v>A</v>
      </c>
      <c r="AJ1657" t="str">
        <f>LEFT(M1657,1)</f>
        <v>J</v>
      </c>
      <c r="AK1657" t="str">
        <f>_xlfn.CONCAT(AG1657,AH1657,AI1657,AJ1657)</f>
        <v>CMAJ</v>
      </c>
    </row>
    <row r="1658" spans="1:37" ht="15.75" hidden="1" customHeight="1" x14ac:dyDescent="0.2">
      <c r="A1658" s="1">
        <v>194002</v>
      </c>
      <c r="B1658" s="1" t="s">
        <v>2656</v>
      </c>
      <c r="C1658" s="1" t="s">
        <v>323</v>
      </c>
      <c r="D1658" s="1" t="s">
        <v>2715</v>
      </c>
      <c r="E1658" s="1" t="s">
        <v>657</v>
      </c>
      <c r="F1658" s="1" t="s">
        <v>37</v>
      </c>
      <c r="G1658" s="1" t="s">
        <v>2717</v>
      </c>
      <c r="H1658" s="1">
        <v>275</v>
      </c>
      <c r="I1658" s="1" t="s">
        <v>85</v>
      </c>
      <c r="J1658" s="1">
        <v>12</v>
      </c>
      <c r="K1658" s="1" t="s">
        <v>35</v>
      </c>
      <c r="L1658" s="1">
        <v>37</v>
      </c>
      <c r="M1658" s="1" t="str">
        <f>IF(L1658&lt;=45,"Joven","Mayor")</f>
        <v>Joven</v>
      </c>
      <c r="N1658" s="1">
        <v>37</v>
      </c>
      <c r="O1658" s="1" t="s">
        <v>36</v>
      </c>
      <c r="P1658" s="1">
        <v>0.189</v>
      </c>
      <c r="Q1658" s="1">
        <v>91.664000000000001</v>
      </c>
      <c r="R1658" s="1">
        <v>2.6412580000000001</v>
      </c>
      <c r="S1658" s="1">
        <v>7.0340604999999998</v>
      </c>
      <c r="T1658" s="1">
        <v>-1.5929506</v>
      </c>
      <c r="U1658" s="1">
        <v>33.524999999999999</v>
      </c>
      <c r="V1658" s="1">
        <v>91</v>
      </c>
      <c r="W1658" s="1">
        <v>155</v>
      </c>
      <c r="X1658" s="1">
        <v>1.7032967032967032</v>
      </c>
      <c r="Y1658" s="1">
        <v>93</v>
      </c>
      <c r="Z1658" s="1">
        <v>155</v>
      </c>
      <c r="AA1658" s="1">
        <v>1.6666666666666667</v>
      </c>
      <c r="AB1658" s="1">
        <v>94.103804183174816</v>
      </c>
      <c r="AC1658" s="1">
        <v>154.9123004858566</v>
      </c>
      <c r="AD1658" s="1">
        <v>1.6461853145098886</v>
      </c>
      <c r="AE1658" t="s">
        <v>4815</v>
      </c>
      <c r="AF1658" t="str">
        <f>IF(X1658&lt;$AF$1,"Bajo","Alto")</f>
        <v>Bajo</v>
      </c>
      <c r="AG1658" t="str">
        <f>LEFT(AE1658,1)</f>
        <v>I</v>
      </c>
      <c r="AH1658" t="str">
        <f>K1658</f>
        <v>M</v>
      </c>
      <c r="AI1658" t="str">
        <f>LEFT(AF1658,1)</f>
        <v>B</v>
      </c>
      <c r="AJ1658" t="str">
        <f>LEFT(M1658,1)</f>
        <v>J</v>
      </c>
      <c r="AK1658" t="str">
        <f>_xlfn.CONCAT(AG1658,AH1658,AI1658,AJ1658)</f>
        <v>IMBJ</v>
      </c>
    </row>
    <row r="1659" spans="1:37" ht="15.75" hidden="1" customHeight="1" x14ac:dyDescent="0.2">
      <c r="A1659" s="1">
        <v>520508</v>
      </c>
      <c r="B1659" s="1" t="s">
        <v>4529</v>
      </c>
      <c r="C1659" s="1" t="s">
        <v>685</v>
      </c>
      <c r="D1659" s="1" t="s">
        <v>4539</v>
      </c>
      <c r="E1659" s="1" t="s">
        <v>40</v>
      </c>
      <c r="F1659" s="1" t="s">
        <v>46</v>
      </c>
      <c r="G1659" s="1" t="s">
        <v>4545</v>
      </c>
      <c r="H1659" s="1">
        <v>10576</v>
      </c>
      <c r="I1659" s="1" t="s">
        <v>2214</v>
      </c>
      <c r="J1659" s="1">
        <v>3269</v>
      </c>
      <c r="K1659" s="1" t="s">
        <v>35</v>
      </c>
      <c r="L1659" s="1">
        <v>51</v>
      </c>
      <c r="M1659" s="1" t="str">
        <f>IF(L1659&lt;=45,"Joven","Mayor")</f>
        <v>Mayor</v>
      </c>
      <c r="N1659" s="1">
        <v>50</v>
      </c>
      <c r="O1659" s="1" t="s">
        <v>36</v>
      </c>
      <c r="P1659" s="1">
        <v>0.35799999999999998</v>
      </c>
      <c r="Q1659" s="1">
        <v>83.358000000000004</v>
      </c>
      <c r="R1659" s="1">
        <v>-9.4534540000000007</v>
      </c>
      <c r="S1659" s="1">
        <v>1.5159971999999999</v>
      </c>
      <c r="T1659" s="1">
        <v>5.961811</v>
      </c>
      <c r="U1659" s="1">
        <v>2.512</v>
      </c>
      <c r="V1659" s="1">
        <v>87</v>
      </c>
      <c r="W1659" s="1">
        <v>160</v>
      </c>
      <c r="X1659" s="1">
        <v>1.8390804597701149</v>
      </c>
      <c r="Y1659" s="1">
        <v>91</v>
      </c>
      <c r="Z1659" s="1">
        <v>160</v>
      </c>
      <c r="AA1659" s="1">
        <v>1.7582417582417582</v>
      </c>
      <c r="AB1659" s="1">
        <v>89.95701075964962</v>
      </c>
      <c r="AC1659" s="1">
        <v>159.2384807932408</v>
      </c>
      <c r="AD1659" s="1">
        <v>1.7701619856922537</v>
      </c>
      <c r="AE1659" t="s">
        <v>4817</v>
      </c>
      <c r="AF1659" t="str">
        <f>IF(X1659&lt;$AF$1,"Bajo","Alto")</f>
        <v>Alto</v>
      </c>
      <c r="AG1659" t="str">
        <f>LEFT(AE1659,1)</f>
        <v>C</v>
      </c>
      <c r="AH1659" t="str">
        <f>K1659</f>
        <v>M</v>
      </c>
      <c r="AI1659" t="str">
        <f>LEFT(AF1659,1)</f>
        <v>A</v>
      </c>
      <c r="AJ1659" t="str">
        <f>LEFT(M1659,1)</f>
        <v>M</v>
      </c>
      <c r="AK1659" t="str">
        <f>_xlfn.CONCAT(AG1659,AH1659,AI1659,AJ1659)</f>
        <v>CMAM</v>
      </c>
    </row>
    <row r="1660" spans="1:37" ht="15.75" hidden="1" customHeight="1" x14ac:dyDescent="0.2">
      <c r="A1660" s="1">
        <v>238204</v>
      </c>
      <c r="B1660" s="1" t="s">
        <v>319</v>
      </c>
      <c r="C1660" s="1" t="s">
        <v>1989</v>
      </c>
      <c r="D1660" s="1" t="s">
        <v>3089</v>
      </c>
      <c r="E1660" s="1" t="s">
        <v>752</v>
      </c>
      <c r="F1660" s="1" t="s">
        <v>61</v>
      </c>
      <c r="G1660" s="1" t="s">
        <v>3091</v>
      </c>
      <c r="H1660" s="1">
        <v>3507</v>
      </c>
      <c r="I1660" s="1" t="s">
        <v>134</v>
      </c>
      <c r="J1660" s="1">
        <v>8</v>
      </c>
      <c r="K1660" s="1" t="s">
        <v>49</v>
      </c>
      <c r="L1660" s="1">
        <v>38</v>
      </c>
      <c r="M1660" s="1" t="str">
        <f>IF(L1660&lt;=45,"Joven","Mayor")</f>
        <v>Joven</v>
      </c>
      <c r="N1660" s="1">
        <v>33</v>
      </c>
      <c r="O1660" s="1" t="s">
        <v>50</v>
      </c>
      <c r="P1660" s="1">
        <v>0.31</v>
      </c>
      <c r="Q1660" s="1">
        <v>93.025000000000006</v>
      </c>
      <c r="R1660" s="1">
        <v>-0.34573219999999999</v>
      </c>
      <c r="S1660" s="1">
        <v>7.4307217999999997</v>
      </c>
      <c r="T1660" s="1">
        <v>2.7140825</v>
      </c>
      <c r="U1660" s="1">
        <v>16.228999999999999</v>
      </c>
      <c r="V1660" s="1">
        <v>102</v>
      </c>
      <c r="W1660" s="1">
        <v>174</v>
      </c>
      <c r="X1660" s="1">
        <v>1.7058823529411764</v>
      </c>
      <c r="Y1660" s="1">
        <v>105</v>
      </c>
      <c r="Z1660" s="1">
        <v>174</v>
      </c>
      <c r="AA1660" s="1">
        <v>1.6571428571428573</v>
      </c>
      <c r="AB1660" s="1">
        <v>104.2058293605505</v>
      </c>
      <c r="AC1660" s="1">
        <v>174.18363410249191</v>
      </c>
      <c r="AD1660" s="1">
        <v>1.6715344541793276</v>
      </c>
      <c r="AE1660" t="s">
        <v>4817</v>
      </c>
      <c r="AF1660" t="str">
        <f>IF(X1660&lt;$AF$1,"Bajo","Alto")</f>
        <v>Bajo</v>
      </c>
      <c r="AG1660" t="str">
        <f>LEFT(AE1660,1)</f>
        <v>C</v>
      </c>
      <c r="AH1660" t="str">
        <f>K1660</f>
        <v>F</v>
      </c>
      <c r="AI1660" t="str">
        <f>LEFT(AF1660,1)</f>
        <v>B</v>
      </c>
      <c r="AJ1660" t="str">
        <f>LEFT(M1660,1)</f>
        <v>J</v>
      </c>
      <c r="AK1660" t="str">
        <f>_xlfn.CONCAT(AG1660,AH1660,AI1660,AJ1660)</f>
        <v>CFBJ</v>
      </c>
    </row>
    <row r="1661" spans="1:37" ht="15.75" hidden="1" customHeight="1" x14ac:dyDescent="0.2">
      <c r="A1661" s="1">
        <v>10512104</v>
      </c>
      <c r="B1661" s="1" t="s">
        <v>694</v>
      </c>
      <c r="C1661" s="1" t="s">
        <v>879</v>
      </c>
      <c r="D1661" s="1" t="s">
        <v>925</v>
      </c>
      <c r="E1661" s="1" t="s">
        <v>136</v>
      </c>
      <c r="F1661" s="1" t="s">
        <v>61</v>
      </c>
      <c r="G1661" s="1" t="s">
        <v>928</v>
      </c>
      <c r="H1661" s="1">
        <v>485</v>
      </c>
      <c r="I1661" s="1" t="s">
        <v>91</v>
      </c>
      <c r="J1661" s="1">
        <v>6</v>
      </c>
      <c r="K1661" s="1" t="s">
        <v>35</v>
      </c>
      <c r="L1661" s="1">
        <v>28</v>
      </c>
      <c r="M1661" s="1" t="str">
        <f>IF(L1661&lt;=45,"Joven","Mayor")</f>
        <v>Joven</v>
      </c>
      <c r="N1661" s="1">
        <v>28</v>
      </c>
      <c r="O1661" s="1" t="s">
        <v>36</v>
      </c>
      <c r="P1661" s="1">
        <v>0.54100000000000004</v>
      </c>
      <c r="Q1661" s="1">
        <v>88.451999999999998</v>
      </c>
      <c r="R1661" s="1">
        <v>6.9346259999999997</v>
      </c>
      <c r="S1661" s="1">
        <v>1.8439034000000001</v>
      </c>
      <c r="T1661" s="1">
        <v>-10.676019</v>
      </c>
      <c r="U1661" s="1">
        <v>53.631999999999998</v>
      </c>
      <c r="V1661" s="1">
        <v>81</v>
      </c>
      <c r="W1661" s="1">
        <v>150</v>
      </c>
      <c r="X1661" s="1">
        <v>1.8518518518518519</v>
      </c>
      <c r="Y1661" s="1">
        <v>89</v>
      </c>
      <c r="Z1661" s="1">
        <v>150</v>
      </c>
      <c r="AA1661" s="1">
        <v>1.6853932584269662</v>
      </c>
      <c r="AB1661" s="1">
        <v>87.563903232192843</v>
      </c>
      <c r="AC1661" s="1">
        <v>149.07086107495519</v>
      </c>
      <c r="AD1661" s="1">
        <v>1.7024236651450382</v>
      </c>
      <c r="AE1661" t="s">
        <v>4817</v>
      </c>
      <c r="AF1661" t="str">
        <f>IF(X1661&lt;$AF$1,"Bajo","Alto")</f>
        <v>Alto</v>
      </c>
      <c r="AG1661" t="str">
        <f>LEFT(AE1661,1)</f>
        <v>C</v>
      </c>
      <c r="AH1661" t="str">
        <f>K1661</f>
        <v>M</v>
      </c>
      <c r="AI1661" t="str">
        <f>LEFT(AF1661,1)</f>
        <v>A</v>
      </c>
      <c r="AJ1661" t="str">
        <f>LEFT(M1661,1)</f>
        <v>J</v>
      </c>
      <c r="AK1661" t="str">
        <f>_xlfn.CONCAT(AG1661,AH1661,AI1661,AJ1661)</f>
        <v>CMAJ</v>
      </c>
    </row>
    <row r="1662" spans="1:37" ht="15.75" hidden="1" customHeight="1" x14ac:dyDescent="0.2">
      <c r="A1662" s="1">
        <v>480105</v>
      </c>
      <c r="B1662" s="1" t="s">
        <v>4465</v>
      </c>
      <c r="C1662" s="1" t="s">
        <v>2650</v>
      </c>
      <c r="D1662" s="1" t="s">
        <v>4466</v>
      </c>
      <c r="E1662" s="1" t="s">
        <v>32</v>
      </c>
      <c r="F1662" s="1" t="s">
        <v>40</v>
      </c>
      <c r="G1662" s="1" t="s">
        <v>4467</v>
      </c>
      <c r="H1662" s="1">
        <v>18206</v>
      </c>
      <c r="I1662" s="1" t="s">
        <v>65</v>
      </c>
      <c r="J1662" s="1">
        <v>2</v>
      </c>
      <c r="K1662" s="1" t="s">
        <v>35</v>
      </c>
      <c r="L1662" s="1">
        <v>51</v>
      </c>
      <c r="M1662" s="1" t="str">
        <f>IF(L1662&lt;=45,"Joven","Mayor")</f>
        <v>Mayor</v>
      </c>
      <c r="N1662" s="1">
        <v>52</v>
      </c>
      <c r="O1662" s="1" t="s">
        <v>36</v>
      </c>
      <c r="P1662" s="1">
        <v>0.41099999999999998</v>
      </c>
      <c r="Q1662" s="1">
        <v>92.379000000000005</v>
      </c>
      <c r="R1662" s="1">
        <v>3.4518819999999999</v>
      </c>
      <c r="S1662" s="1">
        <v>2.6671154000000001</v>
      </c>
      <c r="T1662" s="1">
        <v>-4.7260869999999997</v>
      </c>
      <c r="U1662" s="1">
        <v>3.7149999999999999</v>
      </c>
      <c r="V1662" s="1">
        <v>62</v>
      </c>
      <c r="W1662" s="1">
        <v>114</v>
      </c>
      <c r="X1662" s="1">
        <v>1.8387096774193548</v>
      </c>
      <c r="Y1662" s="1">
        <v>64</v>
      </c>
      <c r="Z1662" s="1">
        <v>114</v>
      </c>
      <c r="AA1662" s="1">
        <v>1.78125</v>
      </c>
      <c r="AB1662" s="1">
        <v>64.508143562148689</v>
      </c>
      <c r="AC1662" s="1">
        <v>113.9419664230481</v>
      </c>
      <c r="AD1662" s="1">
        <v>1.7663191053277434</v>
      </c>
      <c r="AE1662" t="s">
        <v>4817</v>
      </c>
      <c r="AF1662" t="str">
        <f>IF(X1662&lt;$AF$1,"Bajo","Alto")</f>
        <v>Alto</v>
      </c>
      <c r="AG1662" t="str">
        <f>LEFT(AE1662,1)</f>
        <v>C</v>
      </c>
      <c r="AH1662" t="str">
        <f>K1662</f>
        <v>M</v>
      </c>
      <c r="AI1662" t="str">
        <f>LEFT(AF1662,1)</f>
        <v>A</v>
      </c>
      <c r="AJ1662" t="str">
        <f>LEFT(M1662,1)</f>
        <v>M</v>
      </c>
      <c r="AK1662" t="str">
        <f>_xlfn.CONCAT(AG1662,AH1662,AI1662,AJ1662)</f>
        <v>CMAM</v>
      </c>
    </row>
    <row r="1663" spans="1:37" ht="15.75" hidden="1" customHeight="1" x14ac:dyDescent="0.2">
      <c r="A1663" s="1">
        <v>1532302</v>
      </c>
      <c r="B1663" s="1" t="s">
        <v>2077</v>
      </c>
      <c r="C1663" s="1" t="s">
        <v>57</v>
      </c>
      <c r="D1663" s="1" t="s">
        <v>2409</v>
      </c>
      <c r="E1663" s="1" t="s">
        <v>2410</v>
      </c>
      <c r="F1663" s="1" t="s">
        <v>37</v>
      </c>
      <c r="G1663" s="1" t="s">
        <v>2411</v>
      </c>
      <c r="H1663" s="1">
        <v>13</v>
      </c>
      <c r="I1663" s="1" t="s">
        <v>87</v>
      </c>
      <c r="J1663" s="1">
        <v>14</v>
      </c>
      <c r="K1663" s="1" t="s">
        <v>49</v>
      </c>
      <c r="L1663" s="1">
        <v>40</v>
      </c>
      <c r="M1663" s="1" t="str">
        <f>IF(L1663&lt;=45,"Joven","Mayor")</f>
        <v>Joven</v>
      </c>
      <c r="N1663" s="1">
        <v>45</v>
      </c>
      <c r="O1663" s="1" t="s">
        <v>50</v>
      </c>
      <c r="P1663" s="1">
        <v>0.33500000000000002</v>
      </c>
      <c r="Q1663" s="1">
        <v>91.346999999999994</v>
      </c>
      <c r="R1663" s="1">
        <v>0.33566279999999998</v>
      </c>
      <c r="S1663" s="1">
        <v>10.889450999999999</v>
      </c>
      <c r="T1663" s="1">
        <v>-5.4748444999999997</v>
      </c>
      <c r="U1663" s="1">
        <v>2.81</v>
      </c>
      <c r="V1663" s="1">
        <v>85</v>
      </c>
      <c r="W1663" s="1">
        <v>144</v>
      </c>
      <c r="X1663" s="1">
        <v>1.6941176470588235</v>
      </c>
      <c r="Y1663" s="1">
        <v>87</v>
      </c>
      <c r="Z1663" s="1">
        <v>144</v>
      </c>
      <c r="AA1663" s="1">
        <v>1.6551724137931034</v>
      </c>
      <c r="AB1663" s="1">
        <v>88.905637890436992</v>
      </c>
      <c r="AC1663" s="1">
        <v>143.72473324696421</v>
      </c>
      <c r="AD1663" s="1">
        <v>1.6165986393808187</v>
      </c>
      <c r="AE1663" t="s">
        <v>4816</v>
      </c>
      <c r="AF1663" t="str">
        <f>IF(X1663&lt;$AF$1,"Bajo","Alto")</f>
        <v>Bajo</v>
      </c>
      <c r="AG1663" t="str">
        <f>LEFT(AE1663,1)</f>
        <v>D</v>
      </c>
      <c r="AH1663" t="str">
        <f>K1663</f>
        <v>F</v>
      </c>
      <c r="AI1663" t="str">
        <f>LEFT(AF1663,1)</f>
        <v>B</v>
      </c>
      <c r="AJ1663" t="str">
        <f>LEFT(M1663,1)</f>
        <v>J</v>
      </c>
      <c r="AK1663" t="str">
        <f>_xlfn.CONCAT(AG1663,AH1663,AI1663,AJ1663)</f>
        <v>DFBJ</v>
      </c>
    </row>
    <row r="1664" spans="1:37" ht="15.75" hidden="1" customHeight="1" x14ac:dyDescent="0.2">
      <c r="A1664" s="1">
        <v>319703</v>
      </c>
      <c r="B1664" s="1" t="s">
        <v>4122</v>
      </c>
      <c r="C1664" s="1" t="s">
        <v>628</v>
      </c>
      <c r="D1664" s="1" t="s">
        <v>4281</v>
      </c>
      <c r="E1664" s="1" t="s">
        <v>781</v>
      </c>
      <c r="F1664" s="1" t="s">
        <v>63</v>
      </c>
      <c r="G1664" s="1" t="s">
        <v>4284</v>
      </c>
      <c r="H1664" s="1">
        <v>224</v>
      </c>
      <c r="I1664" s="1" t="s">
        <v>87</v>
      </c>
      <c r="J1664" s="1">
        <v>14</v>
      </c>
      <c r="K1664" s="1" t="s">
        <v>35</v>
      </c>
      <c r="L1664" s="1">
        <v>56</v>
      </c>
      <c r="M1664" s="1" t="str">
        <f>IF(L1664&lt;=45,"Joven","Mayor")</f>
        <v>Mayor</v>
      </c>
      <c r="N1664" s="1">
        <v>58</v>
      </c>
      <c r="O1664" s="1" t="s">
        <v>36</v>
      </c>
      <c r="P1664" s="1">
        <v>1.069</v>
      </c>
      <c r="Q1664" s="1">
        <v>91.801000000000002</v>
      </c>
      <c r="R1664" s="1">
        <v>4.2554053999999999</v>
      </c>
      <c r="S1664" s="1">
        <v>1.2838175999999999</v>
      </c>
      <c r="T1664" s="1">
        <v>-3.4314141</v>
      </c>
      <c r="U1664" s="1">
        <v>2.0979999999999999</v>
      </c>
      <c r="V1664" s="1">
        <v>106</v>
      </c>
      <c r="W1664" s="1">
        <v>180</v>
      </c>
      <c r="X1664" s="1">
        <v>1.6981132075471699</v>
      </c>
      <c r="Y1664" s="1">
        <v>113</v>
      </c>
      <c r="Z1664" s="1">
        <v>180</v>
      </c>
      <c r="AA1664" s="1">
        <v>1.5929203539823009</v>
      </c>
      <c r="AB1664" s="1">
        <v>110.0441400040945</v>
      </c>
      <c r="AC1664" s="1">
        <v>180.27582584556379</v>
      </c>
      <c r="AD1664" s="1">
        <v>1.6382137734808606</v>
      </c>
      <c r="AE1664" t="s">
        <v>4816</v>
      </c>
      <c r="AF1664" t="str">
        <f>IF(X1664&lt;$AF$1,"Bajo","Alto")</f>
        <v>Bajo</v>
      </c>
      <c r="AG1664" t="str">
        <f>LEFT(AE1664,1)</f>
        <v>D</v>
      </c>
      <c r="AH1664" t="str">
        <f>K1664</f>
        <v>M</v>
      </c>
      <c r="AI1664" t="str">
        <f>LEFT(AF1664,1)</f>
        <v>B</v>
      </c>
      <c r="AJ1664" t="str">
        <f>LEFT(M1664,1)</f>
        <v>M</v>
      </c>
      <c r="AK1664" t="str">
        <f>_xlfn.CONCAT(AG1664,AH1664,AI1664,AJ1664)</f>
        <v>DMBM</v>
      </c>
    </row>
    <row r="1665" spans="1:37" ht="15.75" hidden="1" customHeight="1" x14ac:dyDescent="0.2">
      <c r="A1665" s="1">
        <v>10116309</v>
      </c>
      <c r="B1665" s="1" t="s">
        <v>29</v>
      </c>
      <c r="C1665" s="1" t="s">
        <v>30</v>
      </c>
      <c r="D1665" s="1" t="s">
        <v>250</v>
      </c>
      <c r="E1665" s="1" t="s">
        <v>251</v>
      </c>
      <c r="F1665" s="1" t="s">
        <v>189</v>
      </c>
      <c r="G1665" s="1" t="s">
        <v>260</v>
      </c>
      <c r="H1665" s="1">
        <v>8889</v>
      </c>
      <c r="I1665" s="1" t="s">
        <v>261</v>
      </c>
      <c r="J1665" s="1">
        <v>2060</v>
      </c>
      <c r="K1665" s="1" t="s">
        <v>49</v>
      </c>
      <c r="L1665" s="1">
        <v>41</v>
      </c>
      <c r="M1665" s="1" t="str">
        <f>IF(L1665&lt;=45,"Joven","Mayor")</f>
        <v>Joven</v>
      </c>
      <c r="N1665" s="1">
        <v>23</v>
      </c>
      <c r="O1665" s="1" t="s">
        <v>50</v>
      </c>
      <c r="P1665" s="1">
        <v>0.36399999999999999</v>
      </c>
      <c r="Q1665" s="1">
        <v>90.488</v>
      </c>
      <c r="R1665" s="1">
        <v>2.1790930999999998</v>
      </c>
      <c r="S1665" s="1">
        <v>9.9955079999999992</v>
      </c>
      <c r="T1665" s="1">
        <v>1.4069048</v>
      </c>
      <c r="U1665" s="1">
        <v>78.394999999999996</v>
      </c>
      <c r="V1665" s="1">
        <v>82</v>
      </c>
      <c r="W1665" s="1">
        <v>140</v>
      </c>
      <c r="X1665" s="1">
        <v>1.7073170731707317</v>
      </c>
      <c r="Y1665" s="1">
        <v>89</v>
      </c>
      <c r="Z1665" s="1">
        <v>140</v>
      </c>
      <c r="AA1665" s="1">
        <v>1.5730337078651686</v>
      </c>
      <c r="AB1665" s="1">
        <v>88.236590291699258</v>
      </c>
      <c r="AC1665" s="1">
        <v>140.10511126386879</v>
      </c>
      <c r="AD1665" s="1">
        <v>1.5878346024103902</v>
      </c>
      <c r="AE1665" t="s">
        <v>4817</v>
      </c>
      <c r="AF1665" t="str">
        <f>IF(X1665&lt;$AF$1,"Bajo","Alto")</f>
        <v>Bajo</v>
      </c>
      <c r="AG1665" t="str">
        <f>LEFT(AE1665,1)</f>
        <v>C</v>
      </c>
      <c r="AH1665" t="str">
        <f>K1665</f>
        <v>F</v>
      </c>
      <c r="AI1665" t="str">
        <f>LEFT(AF1665,1)</f>
        <v>B</v>
      </c>
      <c r="AJ1665" t="str">
        <f>LEFT(M1665,1)</f>
        <v>J</v>
      </c>
      <c r="AK1665" t="str">
        <f>_xlfn.CONCAT(AG1665,AH1665,AI1665,AJ1665)</f>
        <v>CFBJ</v>
      </c>
    </row>
    <row r="1666" spans="1:37" ht="15.75" hidden="1" customHeight="1" x14ac:dyDescent="0.2">
      <c r="A1666" s="1">
        <v>315205</v>
      </c>
      <c r="B1666" s="1" t="s">
        <v>4122</v>
      </c>
      <c r="C1666" s="1" t="s">
        <v>628</v>
      </c>
      <c r="D1666" s="1" t="s">
        <v>4227</v>
      </c>
      <c r="E1666" s="1" t="s">
        <v>685</v>
      </c>
      <c r="F1666" s="1" t="s">
        <v>40</v>
      </c>
      <c r="G1666" s="1" t="s">
        <v>4231</v>
      </c>
      <c r="H1666" s="1">
        <v>2847</v>
      </c>
      <c r="I1666" s="1" t="s">
        <v>134</v>
      </c>
      <c r="J1666" s="1">
        <v>8</v>
      </c>
      <c r="K1666" s="1" t="s">
        <v>35</v>
      </c>
      <c r="L1666" s="1">
        <v>64</v>
      </c>
      <c r="M1666" s="1" t="str">
        <f>IF(L1666&lt;=45,"Joven","Mayor")</f>
        <v>Mayor</v>
      </c>
      <c r="N1666" s="1">
        <v>64</v>
      </c>
      <c r="O1666" s="1" t="s">
        <v>36</v>
      </c>
      <c r="P1666" s="1">
        <v>0.36499999999999999</v>
      </c>
      <c r="Q1666" s="1">
        <v>76.352000000000004</v>
      </c>
      <c r="R1666" s="1">
        <v>-11.55087</v>
      </c>
      <c r="S1666" s="1">
        <v>-1.6364202000000001</v>
      </c>
      <c r="T1666" s="1">
        <v>6.5697000000000001</v>
      </c>
      <c r="U1666" s="1">
        <v>32.231000000000002</v>
      </c>
      <c r="V1666" s="1">
        <v>82</v>
      </c>
      <c r="W1666" s="1">
        <v>139</v>
      </c>
      <c r="X1666" s="1">
        <v>1.6951219512195121</v>
      </c>
      <c r="Y1666" s="1">
        <v>93</v>
      </c>
      <c r="Z1666" s="1">
        <v>139</v>
      </c>
      <c r="AA1666" s="1">
        <v>1.4946236559139785</v>
      </c>
      <c r="AB1666" s="1">
        <v>89.30018836039585</v>
      </c>
      <c r="AC1666" s="1">
        <v>140.14665639291161</v>
      </c>
      <c r="AD1666" s="1">
        <v>1.5693881386600288</v>
      </c>
      <c r="AE1666" t="s">
        <v>4817</v>
      </c>
      <c r="AF1666" t="str">
        <f>IF(X1666&lt;$AF$1,"Bajo","Alto")</f>
        <v>Bajo</v>
      </c>
      <c r="AG1666" t="str">
        <f>LEFT(AE1666,1)</f>
        <v>C</v>
      </c>
      <c r="AH1666" t="str">
        <f>K1666</f>
        <v>M</v>
      </c>
      <c r="AI1666" t="str">
        <f>LEFT(AF1666,1)</f>
        <v>B</v>
      </c>
      <c r="AJ1666" t="str">
        <f>LEFT(M1666,1)</f>
        <v>M</v>
      </c>
      <c r="AK1666" t="str">
        <f>_xlfn.CONCAT(AG1666,AH1666,AI1666,AJ1666)</f>
        <v>CMBM</v>
      </c>
    </row>
    <row r="1667" spans="1:37" ht="15.75" hidden="1" customHeight="1" x14ac:dyDescent="0.2">
      <c r="A1667" s="1">
        <v>10732202</v>
      </c>
      <c r="B1667" s="1" t="s">
        <v>1067</v>
      </c>
      <c r="C1667" s="1" t="s">
        <v>1068</v>
      </c>
      <c r="D1667" s="1" t="s">
        <v>1402</v>
      </c>
      <c r="E1667" s="1" t="s">
        <v>1403</v>
      </c>
      <c r="F1667" s="1" t="s">
        <v>37</v>
      </c>
      <c r="G1667" s="1" t="s">
        <v>1406</v>
      </c>
      <c r="H1667" s="1">
        <v>2134</v>
      </c>
      <c r="I1667" s="1" t="s">
        <v>1407</v>
      </c>
      <c r="J1667" s="1">
        <v>2696</v>
      </c>
      <c r="K1667" s="1" t="s">
        <v>35</v>
      </c>
      <c r="L1667" s="1">
        <v>49</v>
      </c>
      <c r="M1667" s="1" t="str">
        <f>IF(L1667&lt;=45,"Joven","Mayor")</f>
        <v>Mayor</v>
      </c>
      <c r="N1667" s="1">
        <v>57</v>
      </c>
      <c r="O1667" s="1" t="s">
        <v>36</v>
      </c>
      <c r="P1667" s="1">
        <v>0.16900000000000001</v>
      </c>
      <c r="Q1667" s="1">
        <v>83.436000000000007</v>
      </c>
      <c r="R1667" s="1">
        <v>8.9750320000000006</v>
      </c>
      <c r="S1667" s="1">
        <v>4.1768637000000002</v>
      </c>
      <c r="T1667" s="1">
        <v>-10.332921000000001</v>
      </c>
      <c r="U1667" s="1">
        <v>1.3380000000000001</v>
      </c>
      <c r="V1667" s="1">
        <v>99</v>
      </c>
      <c r="W1667" s="1">
        <v>182</v>
      </c>
      <c r="X1667" s="1">
        <v>1.8383838383838385</v>
      </c>
      <c r="Y1667" s="1">
        <v>106</v>
      </c>
      <c r="Z1667" s="1">
        <v>182</v>
      </c>
      <c r="AA1667" s="1">
        <v>1.7169811320754718</v>
      </c>
      <c r="AB1667" s="1">
        <v>107.0802771269484</v>
      </c>
      <c r="AC1667" s="1">
        <v>180.48328941573709</v>
      </c>
      <c r="AD1667" s="1">
        <v>1.6854951654800647</v>
      </c>
      <c r="AE1667" t="s">
        <v>4817</v>
      </c>
      <c r="AF1667" t="str">
        <f>IF(X1667&lt;$AF$1,"Bajo","Alto")</f>
        <v>Alto</v>
      </c>
      <c r="AG1667" t="str">
        <f>LEFT(AE1667,1)</f>
        <v>C</v>
      </c>
      <c r="AH1667" t="str">
        <f>K1667</f>
        <v>M</v>
      </c>
      <c r="AI1667" t="str">
        <f>LEFT(AF1667,1)</f>
        <v>A</v>
      </c>
      <c r="AJ1667" t="str">
        <f>LEFT(M1667,1)</f>
        <v>M</v>
      </c>
      <c r="AK1667" t="str">
        <f>_xlfn.CONCAT(AG1667,AH1667,AI1667,AJ1667)</f>
        <v>CMAM</v>
      </c>
    </row>
    <row r="1668" spans="1:37" ht="15.75" hidden="1" customHeight="1" x14ac:dyDescent="0.2">
      <c r="A1668" s="1">
        <v>1510905</v>
      </c>
      <c r="B1668" s="1" t="s">
        <v>2077</v>
      </c>
      <c r="C1668" s="1" t="s">
        <v>57</v>
      </c>
      <c r="D1668" s="1" t="s">
        <v>2110</v>
      </c>
      <c r="E1668" s="1" t="s">
        <v>98</v>
      </c>
      <c r="F1668" s="1" t="s">
        <v>40</v>
      </c>
      <c r="G1668" s="1" t="s">
        <v>2115</v>
      </c>
      <c r="H1668" s="1">
        <v>8087</v>
      </c>
      <c r="I1668" s="1" t="s">
        <v>2116</v>
      </c>
      <c r="J1668" s="1">
        <v>2296</v>
      </c>
      <c r="K1668" s="1" t="s">
        <v>35</v>
      </c>
      <c r="L1668" s="1">
        <v>47</v>
      </c>
      <c r="M1668" s="1" t="str">
        <f>IF(L1668&lt;=45,"Joven","Mayor")</f>
        <v>Mayor</v>
      </c>
      <c r="N1668" s="1">
        <v>49</v>
      </c>
      <c r="O1668" s="1" t="s">
        <v>36</v>
      </c>
      <c r="P1668" s="1">
        <v>0.33100000000000002</v>
      </c>
      <c r="Q1668" s="1">
        <v>80.864000000000004</v>
      </c>
      <c r="R1668" s="1">
        <v>9.3634205000000001</v>
      </c>
      <c r="S1668" s="1">
        <v>6.4050317000000003</v>
      </c>
      <c r="T1668" s="1">
        <v>-8.0623360000000002</v>
      </c>
      <c r="U1668" s="1">
        <v>1.494</v>
      </c>
      <c r="V1668" s="1">
        <v>99</v>
      </c>
      <c r="W1668" s="1">
        <v>182</v>
      </c>
      <c r="X1668" s="1">
        <v>1.8383838383838385</v>
      </c>
      <c r="Y1668" s="1">
        <v>106</v>
      </c>
      <c r="Z1668" s="1">
        <v>182</v>
      </c>
      <c r="AA1668" s="1">
        <v>1.7169811320754718</v>
      </c>
      <c r="AB1668" s="1">
        <v>106.0157633393349</v>
      </c>
      <c r="AC1668" s="1">
        <v>182.02437933304779</v>
      </c>
      <c r="AD1668" s="1">
        <v>1.7169557960020037</v>
      </c>
      <c r="AE1668" t="s">
        <v>4817</v>
      </c>
      <c r="AF1668" t="str">
        <f>IF(X1668&lt;$AF$1,"Bajo","Alto")</f>
        <v>Alto</v>
      </c>
      <c r="AG1668" t="str">
        <f>LEFT(AE1668,1)</f>
        <v>C</v>
      </c>
      <c r="AH1668" t="str">
        <f>K1668</f>
        <v>M</v>
      </c>
      <c r="AI1668" t="str">
        <f>LEFT(AF1668,1)</f>
        <v>A</v>
      </c>
      <c r="AJ1668" t="str">
        <f>LEFT(M1668,1)</f>
        <v>M</v>
      </c>
      <c r="AK1668" t="str">
        <f>_xlfn.CONCAT(AG1668,AH1668,AI1668,AJ1668)</f>
        <v>CMAM</v>
      </c>
    </row>
    <row r="1669" spans="1:37" ht="15.75" customHeight="1" x14ac:dyDescent="0.2">
      <c r="A1669" s="1">
        <v>2313910</v>
      </c>
      <c r="B1669" s="1" t="s">
        <v>319</v>
      </c>
      <c r="C1669" s="1" t="s">
        <v>1989</v>
      </c>
      <c r="D1669" s="1" t="s">
        <v>2987</v>
      </c>
      <c r="E1669" s="1" t="s">
        <v>176</v>
      </c>
      <c r="F1669" s="1" t="s">
        <v>75</v>
      </c>
      <c r="G1669" s="1" t="s">
        <v>2995</v>
      </c>
      <c r="H1669" s="1">
        <v>16900</v>
      </c>
      <c r="I1669" s="1" t="s">
        <v>2996</v>
      </c>
      <c r="J1669" s="1">
        <v>2007</v>
      </c>
      <c r="K1669" s="1" t="s">
        <v>35</v>
      </c>
      <c r="L1669" s="1">
        <v>60</v>
      </c>
      <c r="M1669" s="1" t="str">
        <f>IF(L1669&lt;=45,"Joven","Mayor")</f>
        <v>Mayor</v>
      </c>
      <c r="N1669" s="1">
        <v>60</v>
      </c>
      <c r="O1669" s="1" t="s">
        <v>36</v>
      </c>
      <c r="P1669" s="1">
        <v>0.98099999999999998</v>
      </c>
      <c r="Q1669" s="1">
        <v>87.594999999999999</v>
      </c>
      <c r="R1669" s="1">
        <v>6.4947520000000001</v>
      </c>
      <c r="S1669" s="1">
        <v>5.2872814999999997</v>
      </c>
      <c r="T1669" s="1">
        <v>4.7465577000000003</v>
      </c>
      <c r="U1669" s="1">
        <v>6.4589999999999996</v>
      </c>
      <c r="V1669" s="1">
        <v>96</v>
      </c>
      <c r="W1669" s="1">
        <v>182</v>
      </c>
      <c r="X1669" s="1">
        <v>1.8958333333333333</v>
      </c>
      <c r="Y1669" s="1">
        <v>111</v>
      </c>
      <c r="Z1669" s="1">
        <v>182</v>
      </c>
      <c r="AA1669" s="1">
        <v>1.6396396396396395</v>
      </c>
      <c r="AB1669" s="1">
        <v>108.0541244493875</v>
      </c>
      <c r="AC1669" s="1">
        <v>183.52728328071541</v>
      </c>
      <c r="AD1669" s="1">
        <v>1.6984755021237481</v>
      </c>
      <c r="AE1669" t="s">
        <v>4818</v>
      </c>
      <c r="AF1669" t="str">
        <f>IF(X1669&lt;$AF$1,"Bajo","Alto")</f>
        <v>Alto</v>
      </c>
      <c r="AG1669" t="str">
        <f>LEFT(AE1669,1)</f>
        <v>S</v>
      </c>
      <c r="AH1669" t="str">
        <f>K1669</f>
        <v>M</v>
      </c>
      <c r="AI1669" t="str">
        <f>LEFT(AF1669,1)</f>
        <v>A</v>
      </c>
      <c r="AJ1669" t="str">
        <f>LEFT(M1669,1)</f>
        <v>M</v>
      </c>
      <c r="AK1669" t="str">
        <f>_xlfn.CONCAT(AG1669,AH1669,AI1669,AJ1669)</f>
        <v>SMAM</v>
      </c>
    </row>
    <row r="1670" spans="1:37" ht="15.75" hidden="1" customHeight="1" x14ac:dyDescent="0.2">
      <c r="A1670" s="1">
        <v>133403</v>
      </c>
      <c r="B1670" s="1" t="s">
        <v>956</v>
      </c>
      <c r="C1670" s="1" t="s">
        <v>163</v>
      </c>
      <c r="D1670" s="1" t="s">
        <v>2028</v>
      </c>
      <c r="E1670" s="1" t="s">
        <v>634</v>
      </c>
      <c r="F1670" s="1" t="s">
        <v>63</v>
      </c>
      <c r="G1670" s="1" t="s">
        <v>2029</v>
      </c>
      <c r="H1670" s="1">
        <v>26</v>
      </c>
      <c r="I1670" s="1" t="s">
        <v>45</v>
      </c>
      <c r="J1670" s="1">
        <v>17</v>
      </c>
      <c r="K1670" s="1" t="s">
        <v>35</v>
      </c>
      <c r="L1670" s="1">
        <v>35</v>
      </c>
      <c r="M1670" s="1" t="str">
        <f>IF(L1670&lt;=45,"Joven","Mayor")</f>
        <v>Joven</v>
      </c>
      <c r="N1670" s="1">
        <v>42</v>
      </c>
      <c r="O1670" s="1" t="s">
        <v>36</v>
      </c>
      <c r="P1670" s="1">
        <v>0.33500000000000002</v>
      </c>
      <c r="Q1670" s="1">
        <v>93.239000000000004</v>
      </c>
      <c r="R1670" s="1">
        <v>8.8453509999999999E-2</v>
      </c>
      <c r="S1670" s="1">
        <v>-7.2026399999999997</v>
      </c>
      <c r="T1670" s="1">
        <v>-0.90830325999999995</v>
      </c>
      <c r="U1670" s="1">
        <v>4.6310000000000002</v>
      </c>
      <c r="V1670" s="1">
        <v>71</v>
      </c>
      <c r="W1670" s="1">
        <v>121</v>
      </c>
      <c r="X1670" s="1">
        <v>1.704225352112676</v>
      </c>
      <c r="Y1670" s="1">
        <v>72</v>
      </c>
      <c r="Z1670" s="1">
        <v>121</v>
      </c>
      <c r="AA1670" s="1">
        <v>1.6805555555555556</v>
      </c>
      <c r="AB1670" s="1">
        <v>72.514076099965678</v>
      </c>
      <c r="AC1670" s="1">
        <v>120.9689436099857</v>
      </c>
      <c r="AD1670" s="1">
        <v>1.6682132644594634</v>
      </c>
      <c r="AE1670" t="s">
        <v>4817</v>
      </c>
      <c r="AF1670" t="str">
        <f>IF(X1670&lt;$AF$1,"Bajo","Alto")</f>
        <v>Bajo</v>
      </c>
      <c r="AG1670" t="str">
        <f>LEFT(AE1670,1)</f>
        <v>C</v>
      </c>
      <c r="AH1670" t="str">
        <f>K1670</f>
        <v>M</v>
      </c>
      <c r="AI1670" t="str">
        <f>LEFT(AF1670,1)</f>
        <v>B</v>
      </c>
      <c r="AJ1670" t="str">
        <f>LEFT(M1670,1)</f>
        <v>J</v>
      </c>
      <c r="AK1670" t="str">
        <f>_xlfn.CONCAT(AG1670,AH1670,AI1670,AJ1670)</f>
        <v>CMBJ</v>
      </c>
    </row>
    <row r="1671" spans="1:37" ht="15.75" hidden="1" customHeight="1" x14ac:dyDescent="0.2">
      <c r="A1671" s="1">
        <v>10115702</v>
      </c>
      <c r="B1671" s="1" t="s">
        <v>29</v>
      </c>
      <c r="C1671" s="1" t="s">
        <v>30</v>
      </c>
      <c r="D1671" s="1" t="s">
        <v>228</v>
      </c>
      <c r="E1671" s="1" t="s">
        <v>229</v>
      </c>
      <c r="F1671" s="1" t="s">
        <v>37</v>
      </c>
      <c r="G1671" s="1" t="s">
        <v>231</v>
      </c>
      <c r="H1671" s="1">
        <v>595</v>
      </c>
      <c r="I1671" s="1" t="s">
        <v>85</v>
      </c>
      <c r="J1671" s="1">
        <v>12</v>
      </c>
      <c r="K1671" s="1" t="s">
        <v>35</v>
      </c>
      <c r="L1671" s="1">
        <v>38</v>
      </c>
      <c r="M1671" s="1" t="str">
        <f>IF(L1671&lt;=45,"Joven","Mayor")</f>
        <v>Joven</v>
      </c>
      <c r="N1671" s="1">
        <v>48</v>
      </c>
      <c r="O1671" s="1" t="s">
        <v>36</v>
      </c>
      <c r="P1671" s="1">
        <v>0.36</v>
      </c>
      <c r="Q1671" s="1">
        <v>94.037999999999997</v>
      </c>
      <c r="R1671" s="1">
        <v>0.97656589999999999</v>
      </c>
      <c r="S1671" s="1">
        <v>-2.6442256</v>
      </c>
      <c r="T1671" s="1">
        <v>-3.7000869999999999</v>
      </c>
      <c r="U1671" s="1">
        <v>1.2330000000000001</v>
      </c>
      <c r="V1671" s="1">
        <v>105</v>
      </c>
      <c r="W1671" s="1">
        <v>179</v>
      </c>
      <c r="X1671" s="1">
        <v>1.7047619047619047</v>
      </c>
      <c r="Y1671" s="1">
        <v>105</v>
      </c>
      <c r="Z1671" s="1">
        <v>179</v>
      </c>
      <c r="AA1671" s="1">
        <v>1.7047619047619047</v>
      </c>
      <c r="AB1671" s="1">
        <v>107.9432869823884</v>
      </c>
      <c r="AC1671" s="1">
        <v>178.5623443071004</v>
      </c>
      <c r="AD1671" s="1">
        <v>1.6542237067158603</v>
      </c>
      <c r="AE1671" t="s">
        <v>4815</v>
      </c>
      <c r="AF1671" t="str">
        <f>IF(X1671&lt;$AF$1,"Bajo","Alto")</f>
        <v>Bajo</v>
      </c>
      <c r="AG1671" t="str">
        <f>LEFT(AE1671,1)</f>
        <v>I</v>
      </c>
      <c r="AH1671" t="str">
        <f>K1671</f>
        <v>M</v>
      </c>
      <c r="AI1671" t="str">
        <f>LEFT(AF1671,1)</f>
        <v>B</v>
      </c>
      <c r="AJ1671" t="str">
        <f>LEFT(M1671,1)</f>
        <v>J</v>
      </c>
      <c r="AK1671" t="str">
        <f>_xlfn.CONCAT(AG1671,AH1671,AI1671,AJ1671)</f>
        <v>IMBJ</v>
      </c>
    </row>
    <row r="1672" spans="1:37" ht="15.75" hidden="1" customHeight="1" x14ac:dyDescent="0.2">
      <c r="A1672" s="1">
        <v>317602</v>
      </c>
      <c r="B1672" s="1" t="s">
        <v>4122</v>
      </c>
      <c r="C1672" s="1" t="s">
        <v>628</v>
      </c>
      <c r="D1672" s="1" t="s">
        <v>4254</v>
      </c>
      <c r="E1672" s="1" t="s">
        <v>727</v>
      </c>
      <c r="F1672" s="1" t="s">
        <v>37</v>
      </c>
      <c r="G1672" s="1" t="s">
        <v>4256</v>
      </c>
      <c r="H1672" s="1">
        <v>1843</v>
      </c>
      <c r="I1672" s="1" t="s">
        <v>108</v>
      </c>
      <c r="J1672" s="1">
        <v>3</v>
      </c>
      <c r="K1672" s="1" t="s">
        <v>35</v>
      </c>
      <c r="L1672" s="1">
        <v>32</v>
      </c>
      <c r="M1672" s="1" t="str">
        <f>IF(L1672&lt;=45,"Joven","Mayor")</f>
        <v>Joven</v>
      </c>
      <c r="N1672" s="1">
        <v>43</v>
      </c>
      <c r="O1672" s="1" t="s">
        <v>36</v>
      </c>
      <c r="P1672" s="1">
        <v>0.39500000000000002</v>
      </c>
      <c r="Q1672" s="1">
        <v>90.436999999999998</v>
      </c>
      <c r="R1672" s="1">
        <v>4.3892727000000002</v>
      </c>
      <c r="S1672" s="1">
        <v>5.8164635000000002</v>
      </c>
      <c r="T1672" s="1">
        <v>-2.3532280000000001</v>
      </c>
      <c r="U1672" s="1">
        <v>1.6950000000000001</v>
      </c>
      <c r="V1672" s="1">
        <v>71</v>
      </c>
      <c r="W1672" s="1">
        <v>121</v>
      </c>
      <c r="X1672" s="1">
        <v>1.704225352112676</v>
      </c>
      <c r="Y1672" s="1">
        <v>72</v>
      </c>
      <c r="Z1672" s="1">
        <v>121</v>
      </c>
      <c r="AA1672" s="1">
        <v>1.6805555555555556</v>
      </c>
      <c r="AB1672" s="1">
        <v>72.336165413959179</v>
      </c>
      <c r="AC1672" s="1">
        <v>121.0211385353446</v>
      </c>
      <c r="AD1672" s="1">
        <v>1.6730377929597906</v>
      </c>
      <c r="AE1672" t="s">
        <v>4817</v>
      </c>
      <c r="AF1672" t="str">
        <f>IF(X1672&lt;$AF$1,"Bajo","Alto")</f>
        <v>Bajo</v>
      </c>
      <c r="AG1672" t="str">
        <f>LEFT(AE1672,1)</f>
        <v>C</v>
      </c>
      <c r="AH1672" t="str">
        <f>K1672</f>
        <v>M</v>
      </c>
      <c r="AI1672" t="str">
        <f>LEFT(AF1672,1)</f>
        <v>B</v>
      </c>
      <c r="AJ1672" t="str">
        <f>LEFT(M1672,1)</f>
        <v>J</v>
      </c>
      <c r="AK1672" t="str">
        <f>_xlfn.CONCAT(AG1672,AH1672,AI1672,AJ1672)</f>
        <v>CMBJ</v>
      </c>
    </row>
    <row r="1673" spans="1:37" ht="15.75" hidden="1" customHeight="1" x14ac:dyDescent="0.2">
      <c r="A1673" s="1">
        <v>255204</v>
      </c>
      <c r="B1673" s="1" t="s">
        <v>3169</v>
      </c>
      <c r="C1673" s="1" t="s">
        <v>821</v>
      </c>
      <c r="D1673" s="1" t="s">
        <v>3268</v>
      </c>
      <c r="E1673" s="1" t="s">
        <v>685</v>
      </c>
      <c r="F1673" s="1" t="s">
        <v>61</v>
      </c>
      <c r="G1673" s="1" t="s">
        <v>3271</v>
      </c>
      <c r="H1673" s="1">
        <v>2702</v>
      </c>
      <c r="I1673" s="1" t="s">
        <v>134</v>
      </c>
      <c r="J1673" s="1">
        <v>8</v>
      </c>
      <c r="K1673" s="1" t="s">
        <v>35</v>
      </c>
      <c r="L1673" s="1">
        <v>36</v>
      </c>
      <c r="M1673" s="1" t="str">
        <f>IF(L1673&lt;=45,"Joven","Mayor")</f>
        <v>Joven</v>
      </c>
      <c r="N1673" s="1">
        <v>40</v>
      </c>
      <c r="O1673" s="1" t="s">
        <v>36</v>
      </c>
      <c r="P1673" s="1">
        <v>0.33900000000000002</v>
      </c>
      <c r="Q1673" s="1">
        <v>51.292000000000002</v>
      </c>
      <c r="R1673" s="1">
        <v>15.911709999999999</v>
      </c>
      <c r="S1673" s="1">
        <v>-0.95195589999999997</v>
      </c>
      <c r="T1673" s="1">
        <v>-12.571973</v>
      </c>
      <c r="U1673" s="1">
        <v>2.7509999999999999</v>
      </c>
      <c r="V1673" s="1">
        <v>81</v>
      </c>
      <c r="W1673" s="1">
        <v>150</v>
      </c>
      <c r="X1673" s="1">
        <v>1.8518518518518519</v>
      </c>
      <c r="Y1673" s="1">
        <v>95</v>
      </c>
      <c r="Z1673" s="1">
        <v>150</v>
      </c>
      <c r="AA1673" s="1">
        <v>1.5789473684210527</v>
      </c>
      <c r="AB1673" s="1">
        <v>88.417522381236722</v>
      </c>
      <c r="AC1673" s="1">
        <v>149.66849041862091</v>
      </c>
      <c r="AD1673" s="1">
        <v>1.6927469396086854</v>
      </c>
      <c r="AE1673" t="s">
        <v>4817</v>
      </c>
      <c r="AF1673" t="str">
        <f>IF(X1673&lt;$AF$1,"Bajo","Alto")</f>
        <v>Alto</v>
      </c>
      <c r="AG1673" t="str">
        <f>LEFT(AE1673,1)</f>
        <v>C</v>
      </c>
      <c r="AH1673" t="str">
        <f>K1673</f>
        <v>M</v>
      </c>
      <c r="AI1673" t="str">
        <f>LEFT(AF1673,1)</f>
        <v>A</v>
      </c>
      <c r="AJ1673" t="str">
        <f>LEFT(M1673,1)</f>
        <v>J</v>
      </c>
      <c r="AK1673" t="str">
        <f>_xlfn.CONCAT(AG1673,AH1673,AI1673,AJ1673)</f>
        <v>CMAJ</v>
      </c>
    </row>
    <row r="1674" spans="1:37" ht="15.75" hidden="1" customHeight="1" x14ac:dyDescent="0.2">
      <c r="A1674" s="1">
        <v>1014001</v>
      </c>
      <c r="B1674" s="1" t="s">
        <v>29</v>
      </c>
      <c r="C1674" s="1" t="s">
        <v>30</v>
      </c>
      <c r="D1674" s="1" t="s">
        <v>656</v>
      </c>
      <c r="E1674" s="1" t="s">
        <v>657</v>
      </c>
      <c r="F1674" s="1" t="s">
        <v>32</v>
      </c>
      <c r="G1674" s="1" t="s">
        <v>658</v>
      </c>
      <c r="H1674" s="1">
        <v>543</v>
      </c>
      <c r="I1674" s="1" t="s">
        <v>100</v>
      </c>
      <c r="J1674" s="1">
        <v>1</v>
      </c>
      <c r="K1674" s="1" t="s">
        <v>35</v>
      </c>
      <c r="L1674" s="1">
        <v>37</v>
      </c>
      <c r="M1674" s="1" t="str">
        <f>IF(L1674&lt;=45,"Joven","Mayor")</f>
        <v>Joven</v>
      </c>
      <c r="N1674" s="1">
        <v>41</v>
      </c>
      <c r="O1674" s="1" t="s">
        <v>36</v>
      </c>
      <c r="P1674" s="1">
        <v>0.35599999999999998</v>
      </c>
      <c r="Q1674" s="1">
        <v>93.813000000000002</v>
      </c>
      <c r="R1674" s="1">
        <v>1.4650576</v>
      </c>
      <c r="S1674" s="1">
        <v>2.4609212999999999</v>
      </c>
      <c r="T1674" s="1">
        <v>-1.8716368999999999</v>
      </c>
      <c r="U1674" s="1">
        <v>1.198</v>
      </c>
      <c r="V1674" s="1">
        <v>105</v>
      </c>
      <c r="W1674" s="1">
        <v>179</v>
      </c>
      <c r="X1674" s="1">
        <v>1.7047619047619047</v>
      </c>
      <c r="Y1674" s="1">
        <v>108</v>
      </c>
      <c r="Z1674" s="1">
        <v>179</v>
      </c>
      <c r="AA1674" s="1">
        <v>1.6574074074074074</v>
      </c>
      <c r="AB1674" s="1">
        <v>109.5100826945675</v>
      </c>
      <c r="AC1674" s="1">
        <v>178.7412025375852</v>
      </c>
      <c r="AD1674" s="1">
        <v>1.6321894581717091</v>
      </c>
      <c r="AE1674" t="s">
        <v>4817</v>
      </c>
      <c r="AF1674" t="str">
        <f>IF(X1674&lt;$AF$1,"Bajo","Alto")</f>
        <v>Bajo</v>
      </c>
      <c r="AG1674" t="str">
        <f>LEFT(AE1674,1)</f>
        <v>C</v>
      </c>
      <c r="AH1674" t="str">
        <f>K1674</f>
        <v>M</v>
      </c>
      <c r="AI1674" t="str">
        <f>LEFT(AF1674,1)</f>
        <v>B</v>
      </c>
      <c r="AJ1674" t="str">
        <f>LEFT(M1674,1)</f>
        <v>J</v>
      </c>
      <c r="AK1674" t="str">
        <f>_xlfn.CONCAT(AG1674,AH1674,AI1674,AJ1674)</f>
        <v>CMBJ</v>
      </c>
    </row>
    <row r="1675" spans="1:37" ht="15.75" hidden="1" customHeight="1" x14ac:dyDescent="0.2">
      <c r="A1675" s="1">
        <v>271602</v>
      </c>
      <c r="B1675" s="1" t="s">
        <v>3409</v>
      </c>
      <c r="C1675" s="1" t="s">
        <v>973</v>
      </c>
      <c r="D1675" s="1" t="s">
        <v>3530</v>
      </c>
      <c r="E1675" s="1" t="s">
        <v>244</v>
      </c>
      <c r="F1675" s="1" t="s">
        <v>37</v>
      </c>
      <c r="G1675" s="1" t="s">
        <v>3532</v>
      </c>
      <c r="H1675" s="1">
        <v>2465</v>
      </c>
      <c r="I1675" s="1" t="s">
        <v>3533</v>
      </c>
      <c r="J1675" s="1">
        <v>4235</v>
      </c>
      <c r="K1675" s="1" t="s">
        <v>35</v>
      </c>
      <c r="L1675" s="1">
        <v>55</v>
      </c>
      <c r="M1675" s="1" t="str">
        <f>IF(L1675&lt;=45,"Joven","Mayor")</f>
        <v>Mayor</v>
      </c>
      <c r="N1675" s="1">
        <v>68</v>
      </c>
      <c r="O1675" s="1" t="s">
        <v>36</v>
      </c>
      <c r="P1675" s="1">
        <v>1.5009999999999999</v>
      </c>
      <c r="Q1675" s="1">
        <v>93.141999999999996</v>
      </c>
      <c r="R1675" s="1">
        <v>-1.4851392E-2</v>
      </c>
      <c r="S1675" s="1">
        <v>6.7104270000000001</v>
      </c>
      <c r="T1675" s="1">
        <v>5.908512</v>
      </c>
      <c r="U1675" s="1">
        <v>1.5980000000000001</v>
      </c>
      <c r="V1675" s="1">
        <v>68</v>
      </c>
      <c r="W1675" s="1">
        <v>125</v>
      </c>
      <c r="X1675" s="1">
        <v>1.838235294117647</v>
      </c>
      <c r="Y1675" s="1">
        <v>74</v>
      </c>
      <c r="Z1675" s="1">
        <v>125</v>
      </c>
      <c r="AA1675" s="1">
        <v>1.6891891891891893</v>
      </c>
      <c r="AB1675" s="1">
        <v>71.138722960094583</v>
      </c>
      <c r="AC1675" s="1">
        <v>124.8506434345372</v>
      </c>
      <c r="AD1675" s="1">
        <v>1.7550307095697013</v>
      </c>
      <c r="AE1675" t="s">
        <v>4817</v>
      </c>
      <c r="AF1675" t="str">
        <f>IF(X1675&lt;$AF$1,"Bajo","Alto")</f>
        <v>Alto</v>
      </c>
      <c r="AG1675" t="str">
        <f>LEFT(AE1675,1)</f>
        <v>C</v>
      </c>
      <c r="AH1675" t="str">
        <f>K1675</f>
        <v>M</v>
      </c>
      <c r="AI1675" t="str">
        <f>LEFT(AF1675,1)</f>
        <v>A</v>
      </c>
      <c r="AJ1675" t="str">
        <f>LEFT(M1675,1)</f>
        <v>M</v>
      </c>
      <c r="AK1675" t="str">
        <f>_xlfn.CONCAT(AG1675,AH1675,AI1675,AJ1675)</f>
        <v>CMAM</v>
      </c>
    </row>
    <row r="1676" spans="1:37" ht="15.75" hidden="1" customHeight="1" x14ac:dyDescent="0.2">
      <c r="A1676" s="1">
        <v>212801</v>
      </c>
      <c r="B1676" s="1" t="s">
        <v>2816</v>
      </c>
      <c r="C1676" s="1" t="s">
        <v>2817</v>
      </c>
      <c r="D1676" s="1" t="s">
        <v>2852</v>
      </c>
      <c r="E1676" s="1" t="s">
        <v>561</v>
      </c>
      <c r="F1676" s="1" t="s">
        <v>32</v>
      </c>
      <c r="G1676" s="1" t="s">
        <v>2853</v>
      </c>
      <c r="H1676" s="1">
        <v>4735</v>
      </c>
      <c r="I1676" s="1" t="s">
        <v>100</v>
      </c>
      <c r="J1676" s="1">
        <v>1</v>
      </c>
      <c r="K1676" s="1" t="s">
        <v>35</v>
      </c>
      <c r="L1676" s="1">
        <v>36</v>
      </c>
      <c r="M1676" s="1" t="str">
        <f>IF(L1676&lt;=45,"Joven","Mayor")</f>
        <v>Joven</v>
      </c>
      <c r="N1676" s="1">
        <v>39</v>
      </c>
      <c r="O1676" s="1" t="s">
        <v>36</v>
      </c>
      <c r="P1676" s="1">
        <v>0.38200000000000001</v>
      </c>
      <c r="Q1676" s="1">
        <v>88.373000000000005</v>
      </c>
      <c r="R1676" s="1">
        <v>5.3492036000000001</v>
      </c>
      <c r="S1676" s="1">
        <v>7.5733246999999997</v>
      </c>
      <c r="T1676" s="1">
        <v>-2.6132243000000002</v>
      </c>
      <c r="U1676" s="1">
        <v>53.195999999999998</v>
      </c>
      <c r="V1676" s="1">
        <v>105</v>
      </c>
      <c r="W1676" s="1">
        <v>179</v>
      </c>
      <c r="X1676" s="1">
        <v>1.7047619047619047</v>
      </c>
      <c r="Y1676" s="1">
        <v>109</v>
      </c>
      <c r="Z1676" s="1">
        <v>179</v>
      </c>
      <c r="AA1676" s="1">
        <v>1.6422018348623852</v>
      </c>
      <c r="AB1676" s="1">
        <v>107.0337048454458</v>
      </c>
      <c r="AC1676" s="1">
        <v>178.95063374857091</v>
      </c>
      <c r="AD1676" s="1">
        <v>1.6719091804490136</v>
      </c>
      <c r="AE1676" t="s">
        <v>4817</v>
      </c>
      <c r="AF1676" t="str">
        <f>IF(X1676&lt;$AF$1,"Bajo","Alto")</f>
        <v>Bajo</v>
      </c>
      <c r="AG1676" t="str">
        <f>LEFT(AE1676,1)</f>
        <v>C</v>
      </c>
      <c r="AH1676" t="str">
        <f>K1676</f>
        <v>M</v>
      </c>
      <c r="AI1676" t="str">
        <f>LEFT(AF1676,1)</f>
        <v>B</v>
      </c>
      <c r="AJ1676" t="str">
        <f>LEFT(M1676,1)</f>
        <v>J</v>
      </c>
      <c r="AK1676" t="str">
        <f>_xlfn.CONCAT(AG1676,AH1676,AI1676,AJ1676)</f>
        <v>CMBJ</v>
      </c>
    </row>
    <row r="1677" spans="1:37" ht="15.75" hidden="1" customHeight="1" x14ac:dyDescent="0.2">
      <c r="A1677" s="1">
        <v>284101</v>
      </c>
      <c r="B1677" s="1" t="s">
        <v>1775</v>
      </c>
      <c r="C1677" s="1" t="s">
        <v>561</v>
      </c>
      <c r="D1677" s="1" t="s">
        <v>3854</v>
      </c>
      <c r="E1677" s="1" t="s">
        <v>988</v>
      </c>
      <c r="F1677" s="1" t="s">
        <v>32</v>
      </c>
      <c r="G1677" s="1" t="s">
        <v>3855</v>
      </c>
      <c r="H1677" s="1">
        <v>4932</v>
      </c>
      <c r="I1677" s="1" t="s">
        <v>39</v>
      </c>
      <c r="J1677" s="1">
        <v>11</v>
      </c>
      <c r="K1677" s="1" t="s">
        <v>35</v>
      </c>
      <c r="L1677" s="1">
        <v>34</v>
      </c>
      <c r="M1677" s="1" t="str">
        <f>IF(L1677&lt;=45,"Joven","Mayor")</f>
        <v>Joven</v>
      </c>
      <c r="N1677" s="1">
        <v>35</v>
      </c>
      <c r="O1677" s="1" t="s">
        <v>36</v>
      </c>
      <c r="P1677" s="1">
        <v>0.3</v>
      </c>
      <c r="Q1677" s="1">
        <v>94.025999999999996</v>
      </c>
      <c r="R1677" s="1">
        <v>1.0205283999999999</v>
      </c>
      <c r="S1677" s="1">
        <v>2.6598608000000001</v>
      </c>
      <c r="T1677" s="1">
        <v>-1.8750329999999999</v>
      </c>
      <c r="U1677" s="1">
        <v>8.3930000000000007</v>
      </c>
      <c r="V1677" s="1">
        <v>80</v>
      </c>
      <c r="W1677" s="1">
        <v>146</v>
      </c>
      <c r="X1677" s="1">
        <v>1.825</v>
      </c>
      <c r="Y1677" s="1">
        <v>81</v>
      </c>
      <c r="Z1677" s="1">
        <v>146</v>
      </c>
      <c r="AA1677" s="1">
        <v>1.8024691358024691</v>
      </c>
      <c r="AB1677" s="1">
        <v>81.102353537030694</v>
      </c>
      <c r="AC1677" s="1">
        <v>145.75822872781831</v>
      </c>
      <c r="AD1677" s="1">
        <v>1.7972133035728273</v>
      </c>
      <c r="AE1677" t="s">
        <v>4816</v>
      </c>
      <c r="AF1677" t="str">
        <f>IF(X1677&lt;$AF$1,"Bajo","Alto")</f>
        <v>Alto</v>
      </c>
      <c r="AG1677" t="str">
        <f>LEFT(AE1677,1)</f>
        <v>D</v>
      </c>
      <c r="AH1677" t="str">
        <f>K1677</f>
        <v>M</v>
      </c>
      <c r="AI1677" t="str">
        <f>LEFT(AF1677,1)</f>
        <v>A</v>
      </c>
      <c r="AJ1677" t="str">
        <f>LEFT(M1677,1)</f>
        <v>J</v>
      </c>
      <c r="AK1677" t="str">
        <f>_xlfn.CONCAT(AG1677,AH1677,AI1677,AJ1677)</f>
        <v>DMAJ</v>
      </c>
    </row>
    <row r="1678" spans="1:37" ht="15.75" hidden="1" customHeight="1" x14ac:dyDescent="0.2">
      <c r="A1678" s="1">
        <v>311905</v>
      </c>
      <c r="B1678" s="1" t="s">
        <v>4122</v>
      </c>
      <c r="C1678" s="1" t="s">
        <v>628</v>
      </c>
      <c r="D1678" s="1" t="s">
        <v>4176</v>
      </c>
      <c r="E1678" s="1" t="s">
        <v>323</v>
      </c>
      <c r="F1678" s="1" t="s">
        <v>40</v>
      </c>
      <c r="G1678" s="1" t="s">
        <v>4178</v>
      </c>
      <c r="H1678" s="1">
        <v>3681</v>
      </c>
      <c r="I1678" s="1" t="s">
        <v>65</v>
      </c>
      <c r="J1678" s="1">
        <v>2</v>
      </c>
      <c r="K1678" s="1" t="s">
        <v>49</v>
      </c>
      <c r="L1678" s="1">
        <v>54</v>
      </c>
      <c r="M1678" s="1" t="str">
        <f>IF(L1678&lt;=45,"Joven","Mayor")</f>
        <v>Mayor</v>
      </c>
      <c r="N1678" s="1">
        <v>26</v>
      </c>
      <c r="O1678" s="1" t="s">
        <v>50</v>
      </c>
      <c r="P1678" s="1">
        <v>0.36299999999999999</v>
      </c>
      <c r="Q1678" s="1">
        <v>87.912000000000006</v>
      </c>
      <c r="R1678" s="1">
        <v>6.0757813000000001</v>
      </c>
      <c r="S1678" s="1">
        <v>6.4843535000000001</v>
      </c>
      <c r="T1678" s="1">
        <v>-5.1396100000000002</v>
      </c>
      <c r="U1678" s="1">
        <v>1.3759999999999999</v>
      </c>
      <c r="V1678" s="1">
        <v>95</v>
      </c>
      <c r="W1678" s="1">
        <v>160</v>
      </c>
      <c r="X1678" s="1">
        <v>1.6842105263157894</v>
      </c>
      <c r="Y1678" s="1">
        <v>97</v>
      </c>
      <c r="Z1678" s="1">
        <v>160</v>
      </c>
      <c r="AA1678" s="1">
        <v>1.6494845360824741</v>
      </c>
      <c r="AB1678" s="1">
        <v>98.828434980706788</v>
      </c>
      <c r="AC1678" s="1">
        <v>159.98377965371259</v>
      </c>
      <c r="AD1678" s="1">
        <v>1.6188031277126316</v>
      </c>
      <c r="AE1678" t="s">
        <v>4817</v>
      </c>
      <c r="AF1678" t="str">
        <f>IF(X1678&lt;$AF$1,"Bajo","Alto")</f>
        <v>Bajo</v>
      </c>
      <c r="AG1678" t="str">
        <f>LEFT(AE1678,1)</f>
        <v>C</v>
      </c>
      <c r="AH1678" t="str">
        <f>K1678</f>
        <v>F</v>
      </c>
      <c r="AI1678" t="str">
        <f>LEFT(AF1678,1)</f>
        <v>B</v>
      </c>
      <c r="AJ1678" t="str">
        <f>LEFT(M1678,1)</f>
        <v>M</v>
      </c>
      <c r="AK1678" t="str">
        <f>_xlfn.CONCAT(AG1678,AH1678,AI1678,AJ1678)</f>
        <v>CFBM</v>
      </c>
    </row>
    <row r="1679" spans="1:37" ht="15.75" hidden="1" customHeight="1" x14ac:dyDescent="0.2">
      <c r="A1679" s="1">
        <v>10712102</v>
      </c>
      <c r="B1679" s="1" t="s">
        <v>1067</v>
      </c>
      <c r="C1679" s="1" t="s">
        <v>1068</v>
      </c>
      <c r="D1679" s="1" t="s">
        <v>1114</v>
      </c>
      <c r="E1679" s="1" t="s">
        <v>136</v>
      </c>
      <c r="F1679" s="1" t="s">
        <v>37</v>
      </c>
      <c r="G1679" s="1" t="s">
        <v>1117</v>
      </c>
      <c r="H1679" s="1">
        <v>1838</v>
      </c>
      <c r="I1679" s="1" t="s">
        <v>1118</v>
      </c>
      <c r="J1679" s="1">
        <v>3267</v>
      </c>
      <c r="K1679" s="1" t="s">
        <v>35</v>
      </c>
      <c r="L1679" s="1">
        <v>54</v>
      </c>
      <c r="M1679" s="1" t="str">
        <f>IF(L1679&lt;=45,"Joven","Mayor")</f>
        <v>Mayor</v>
      </c>
      <c r="N1679" s="1">
        <v>46</v>
      </c>
      <c r="O1679" s="1" t="s">
        <v>36</v>
      </c>
      <c r="P1679" s="1">
        <v>1.0680000000000001</v>
      </c>
      <c r="Q1679" s="1">
        <v>92.951999999999998</v>
      </c>
      <c r="R1679" s="1">
        <v>2.0625336000000001</v>
      </c>
      <c r="S1679" s="1">
        <v>-3.7556698000000002</v>
      </c>
      <c r="T1679" s="1">
        <v>-0.10506770999999999</v>
      </c>
      <c r="U1679" s="1">
        <v>1.3180000000000001</v>
      </c>
      <c r="V1679" s="1">
        <v>105</v>
      </c>
      <c r="W1679" s="1">
        <v>193</v>
      </c>
      <c r="X1679" s="1">
        <v>1.838095238095238</v>
      </c>
      <c r="Y1679" s="1">
        <v>106</v>
      </c>
      <c r="Z1679" s="1">
        <v>193</v>
      </c>
      <c r="AA1679" s="1">
        <v>1.820754716981132</v>
      </c>
      <c r="AB1679" s="1">
        <v>105.909966728824</v>
      </c>
      <c r="AC1679" s="1">
        <v>192.99600794279829</v>
      </c>
      <c r="AD1679" s="1">
        <v>1.822264834025987</v>
      </c>
      <c r="AE1679" t="s">
        <v>4817</v>
      </c>
      <c r="AF1679" t="str">
        <f>IF(X1679&lt;$AF$1,"Bajo","Alto")</f>
        <v>Alto</v>
      </c>
      <c r="AG1679" t="str">
        <f>LEFT(AE1679,1)</f>
        <v>C</v>
      </c>
      <c r="AH1679" t="str">
        <f>K1679</f>
        <v>M</v>
      </c>
      <c r="AI1679" t="str">
        <f>LEFT(AF1679,1)</f>
        <v>A</v>
      </c>
      <c r="AJ1679" t="str">
        <f>LEFT(M1679,1)</f>
        <v>M</v>
      </c>
      <c r="AK1679" t="str">
        <f>_xlfn.CONCAT(AG1679,AH1679,AI1679,AJ1679)</f>
        <v>CMAM</v>
      </c>
    </row>
    <row r="1680" spans="1:37" ht="15.75" hidden="1" customHeight="1" x14ac:dyDescent="0.2">
      <c r="A1680" s="1">
        <v>2722304</v>
      </c>
      <c r="B1680" s="1" t="s">
        <v>3409</v>
      </c>
      <c r="C1680" s="1" t="s">
        <v>973</v>
      </c>
      <c r="D1680" s="1" t="s">
        <v>3654</v>
      </c>
      <c r="E1680" s="1" t="s">
        <v>423</v>
      </c>
      <c r="F1680" s="1" t="s">
        <v>61</v>
      </c>
      <c r="G1680" s="1" t="s">
        <v>3659</v>
      </c>
      <c r="H1680" s="1">
        <v>453</v>
      </c>
      <c r="I1680" s="1" t="s">
        <v>3660</v>
      </c>
      <c r="J1680" s="1">
        <v>3932</v>
      </c>
      <c r="K1680" s="1" t="s">
        <v>35</v>
      </c>
      <c r="L1680" s="1">
        <v>39</v>
      </c>
      <c r="M1680" s="1" t="str">
        <f>IF(L1680&lt;=45,"Joven","Mayor")</f>
        <v>Joven</v>
      </c>
      <c r="N1680" s="1">
        <v>55</v>
      </c>
      <c r="O1680" s="1" t="s">
        <v>36</v>
      </c>
      <c r="P1680" s="1">
        <v>0.44</v>
      </c>
      <c r="Q1680" s="1">
        <v>92.155000000000001</v>
      </c>
      <c r="R1680" s="1">
        <v>-4.2356030000000002</v>
      </c>
      <c r="S1680" s="1">
        <v>-0.63038629999999996</v>
      </c>
      <c r="T1680" s="1">
        <v>-0.66201127000000004</v>
      </c>
      <c r="U1680" s="1">
        <v>1.395</v>
      </c>
      <c r="V1680" s="1">
        <v>105</v>
      </c>
      <c r="W1680" s="1">
        <v>179</v>
      </c>
      <c r="X1680" s="1">
        <v>1.7047619047619047</v>
      </c>
      <c r="Y1680" s="1">
        <v>105</v>
      </c>
      <c r="Z1680" s="1">
        <v>179</v>
      </c>
      <c r="AA1680" s="1">
        <v>1.7047619047619047</v>
      </c>
      <c r="AB1680" s="1">
        <v>105.5591382035288</v>
      </c>
      <c r="AC1680" s="1">
        <v>179.05737588198639</v>
      </c>
      <c r="AD1680" s="1">
        <v>1.6962754615971332</v>
      </c>
      <c r="AE1680" t="s">
        <v>4817</v>
      </c>
      <c r="AF1680" t="str">
        <f>IF(X1680&lt;$AF$1,"Bajo","Alto")</f>
        <v>Bajo</v>
      </c>
      <c r="AG1680" t="str">
        <f>LEFT(AE1680,1)</f>
        <v>C</v>
      </c>
      <c r="AH1680" t="str">
        <f>K1680</f>
        <v>M</v>
      </c>
      <c r="AI1680" t="str">
        <f>LEFT(AF1680,1)</f>
        <v>B</v>
      </c>
      <c r="AJ1680" t="str">
        <f>LEFT(M1680,1)</f>
        <v>J</v>
      </c>
      <c r="AK1680" t="str">
        <f>_xlfn.CONCAT(AG1680,AH1680,AI1680,AJ1680)</f>
        <v>CMBJ</v>
      </c>
    </row>
    <row r="1681" spans="1:37" ht="15.75" hidden="1" customHeight="1" x14ac:dyDescent="0.2">
      <c r="A1681" s="1">
        <v>1230005</v>
      </c>
      <c r="B1681" s="1" t="s">
        <v>1798</v>
      </c>
      <c r="C1681" s="1" t="s">
        <v>54</v>
      </c>
      <c r="D1681" s="1" t="s">
        <v>1827</v>
      </c>
      <c r="E1681" s="1" t="s">
        <v>613</v>
      </c>
      <c r="F1681" s="1" t="s">
        <v>40</v>
      </c>
      <c r="G1681" s="1" t="s">
        <v>1829</v>
      </c>
      <c r="H1681" s="1">
        <v>4482</v>
      </c>
      <c r="I1681" s="1" t="s">
        <v>65</v>
      </c>
      <c r="J1681" s="1">
        <v>2</v>
      </c>
      <c r="K1681" s="1" t="s">
        <v>35</v>
      </c>
      <c r="L1681" s="1">
        <v>54</v>
      </c>
      <c r="M1681" s="1" t="str">
        <f>IF(L1681&lt;=45,"Joven","Mayor")</f>
        <v>Mayor</v>
      </c>
      <c r="N1681" s="1">
        <v>59</v>
      </c>
      <c r="O1681" s="1" t="s">
        <v>36</v>
      </c>
      <c r="P1681" s="1">
        <v>0.34799999999999998</v>
      </c>
      <c r="Q1681" s="1">
        <v>90.491</v>
      </c>
      <c r="R1681" s="1">
        <v>5.2237049999999998</v>
      </c>
      <c r="S1681" s="1">
        <v>3.1340667999999998</v>
      </c>
      <c r="T1681" s="1">
        <v>4.3115247000000002E-2</v>
      </c>
      <c r="U1681" s="1">
        <v>25.082000000000001</v>
      </c>
      <c r="V1681" s="1">
        <v>80</v>
      </c>
      <c r="W1681" s="1">
        <v>147</v>
      </c>
      <c r="X1681" s="1">
        <v>1.8374999999999999</v>
      </c>
      <c r="Y1681" s="1">
        <v>83</v>
      </c>
      <c r="Z1681" s="1">
        <v>147</v>
      </c>
      <c r="AA1681" s="1">
        <v>1.7710843373493976</v>
      </c>
      <c r="AB1681" s="1">
        <v>83.028571612162068</v>
      </c>
      <c r="AC1681" s="1">
        <v>146.99770087099299</v>
      </c>
      <c r="AD1681" s="1">
        <v>1.7704471848274057</v>
      </c>
      <c r="AE1681" t="s">
        <v>4817</v>
      </c>
      <c r="AF1681" t="str">
        <f>IF(X1681&lt;$AF$1,"Bajo","Alto")</f>
        <v>Alto</v>
      </c>
      <c r="AG1681" t="str">
        <f>LEFT(AE1681,1)</f>
        <v>C</v>
      </c>
      <c r="AH1681" t="str">
        <f>K1681</f>
        <v>M</v>
      </c>
      <c r="AI1681" t="str">
        <f>LEFT(AF1681,1)</f>
        <v>A</v>
      </c>
      <c r="AJ1681" t="str">
        <f>LEFT(M1681,1)</f>
        <v>M</v>
      </c>
      <c r="AK1681" t="str">
        <f>_xlfn.CONCAT(AG1681,AH1681,AI1681,AJ1681)</f>
        <v>CMAM</v>
      </c>
    </row>
    <row r="1682" spans="1:37" ht="15.75" hidden="1" customHeight="1" x14ac:dyDescent="0.2">
      <c r="A1682" s="1">
        <v>1529203</v>
      </c>
      <c r="B1682" s="1" t="s">
        <v>2077</v>
      </c>
      <c r="C1682" s="1" t="s">
        <v>57</v>
      </c>
      <c r="D1682" s="1" t="s">
        <v>2366</v>
      </c>
      <c r="E1682" s="1" t="s">
        <v>594</v>
      </c>
      <c r="F1682" s="1" t="s">
        <v>63</v>
      </c>
      <c r="G1682" s="1" t="s">
        <v>2367</v>
      </c>
      <c r="H1682" s="1">
        <v>530</v>
      </c>
      <c r="I1682" s="1" t="s">
        <v>93</v>
      </c>
      <c r="J1682" s="1">
        <v>9</v>
      </c>
      <c r="K1682" s="1" t="s">
        <v>35</v>
      </c>
      <c r="L1682" s="1">
        <v>44</v>
      </c>
      <c r="M1682" s="1" t="str">
        <f>IF(L1682&lt;=45,"Joven","Mayor")</f>
        <v>Joven</v>
      </c>
      <c r="N1682" s="1">
        <v>48</v>
      </c>
      <c r="O1682" s="1" t="s">
        <v>36</v>
      </c>
      <c r="P1682" s="1">
        <v>1.0549999999999999</v>
      </c>
      <c r="Q1682" s="1">
        <v>89.116</v>
      </c>
      <c r="R1682" s="1">
        <v>4.9366263999999997</v>
      </c>
      <c r="S1682" s="1">
        <v>6.7351235999999997</v>
      </c>
      <c r="T1682" s="1">
        <v>-3.8743414999999999</v>
      </c>
      <c r="U1682" s="1">
        <v>8.5050000000000008</v>
      </c>
      <c r="V1682" s="1">
        <v>89</v>
      </c>
      <c r="W1682" s="1">
        <v>152</v>
      </c>
      <c r="X1682" s="1">
        <v>1.7078651685393258</v>
      </c>
      <c r="Y1682" s="1">
        <v>92</v>
      </c>
      <c r="Z1682" s="1">
        <v>152</v>
      </c>
      <c r="AA1682" s="1">
        <v>1.6521739130434783</v>
      </c>
      <c r="AB1682" s="1">
        <v>94.965465966894499</v>
      </c>
      <c r="AC1682" s="1">
        <v>151.72019343532611</v>
      </c>
      <c r="AD1682" s="1">
        <v>1.5976354340031</v>
      </c>
      <c r="AE1682" t="s">
        <v>4815</v>
      </c>
      <c r="AF1682" t="str">
        <f>IF(X1682&lt;$AF$1,"Bajo","Alto")</f>
        <v>Bajo</v>
      </c>
      <c r="AG1682" t="str">
        <f>LEFT(AE1682,1)</f>
        <v>I</v>
      </c>
      <c r="AH1682" t="str">
        <f>K1682</f>
        <v>M</v>
      </c>
      <c r="AI1682" t="str">
        <f>LEFT(AF1682,1)</f>
        <v>B</v>
      </c>
      <c r="AJ1682" t="str">
        <f>LEFT(M1682,1)</f>
        <v>J</v>
      </c>
      <c r="AK1682" t="str">
        <f>_xlfn.CONCAT(AG1682,AH1682,AI1682,AJ1682)</f>
        <v>IMBJ</v>
      </c>
    </row>
    <row r="1683" spans="1:37" ht="15.75" hidden="1" customHeight="1" x14ac:dyDescent="0.2">
      <c r="A1683" s="1">
        <v>2910309</v>
      </c>
      <c r="B1683" s="1" t="s">
        <v>3890</v>
      </c>
      <c r="C1683" s="1" t="s">
        <v>1695</v>
      </c>
      <c r="D1683" s="1" t="s">
        <v>3922</v>
      </c>
      <c r="E1683" s="1" t="s">
        <v>81</v>
      </c>
      <c r="F1683" s="1" t="s">
        <v>189</v>
      </c>
      <c r="G1683" s="1" t="s">
        <v>3927</v>
      </c>
      <c r="H1683" s="1">
        <v>1642</v>
      </c>
      <c r="I1683" s="1" t="s">
        <v>3928</v>
      </c>
      <c r="J1683" s="1">
        <v>2666</v>
      </c>
      <c r="K1683" s="1" t="s">
        <v>35</v>
      </c>
      <c r="L1683" s="1">
        <v>45</v>
      </c>
      <c r="M1683" s="1" t="str">
        <f>IF(L1683&lt;=45,"Joven","Mayor")</f>
        <v>Joven</v>
      </c>
      <c r="N1683" s="1">
        <v>46</v>
      </c>
      <c r="O1683" s="1" t="s">
        <v>36</v>
      </c>
      <c r="P1683" s="1">
        <v>0.34799999999999998</v>
      </c>
      <c r="Q1683" s="1">
        <v>92</v>
      </c>
      <c r="R1683" s="1">
        <v>4.4122523999999999</v>
      </c>
      <c r="S1683" s="1">
        <v>-0.70678454999999996</v>
      </c>
      <c r="T1683" s="1">
        <v>1.8346194E-2</v>
      </c>
      <c r="U1683" s="1">
        <v>52.749000000000002</v>
      </c>
      <c r="V1683" s="1">
        <v>95</v>
      </c>
      <c r="W1683" s="1">
        <v>162</v>
      </c>
      <c r="X1683" s="1">
        <v>1.7052631578947368</v>
      </c>
      <c r="Y1683" s="1">
        <v>95</v>
      </c>
      <c r="Z1683" s="1">
        <v>162</v>
      </c>
      <c r="AA1683" s="1">
        <v>1.7052631578947368</v>
      </c>
      <c r="AB1683" s="1">
        <v>95.012803189274337</v>
      </c>
      <c r="AC1683" s="1">
        <v>162.0003118966365</v>
      </c>
      <c r="AD1683" s="1">
        <v>1.7050366525226797</v>
      </c>
      <c r="AE1683" t="s">
        <v>4817</v>
      </c>
      <c r="AF1683" t="str">
        <f>IF(X1683&lt;$AF$1,"Bajo","Alto")</f>
        <v>Bajo</v>
      </c>
      <c r="AG1683" t="str">
        <f>LEFT(AE1683,1)</f>
        <v>C</v>
      </c>
      <c r="AH1683" t="str">
        <f>K1683</f>
        <v>M</v>
      </c>
      <c r="AI1683" t="str">
        <f>LEFT(AF1683,1)</f>
        <v>B</v>
      </c>
      <c r="AJ1683" t="str">
        <f>LEFT(M1683,1)</f>
        <v>J</v>
      </c>
      <c r="AK1683" t="str">
        <f>_xlfn.CONCAT(AG1683,AH1683,AI1683,AJ1683)</f>
        <v>CMBJ</v>
      </c>
    </row>
    <row r="1684" spans="1:37" ht="15.75" hidden="1" customHeight="1" x14ac:dyDescent="0.2">
      <c r="A1684" s="1">
        <v>10730103</v>
      </c>
      <c r="B1684" s="1" t="s">
        <v>1067</v>
      </c>
      <c r="C1684" s="1" t="s">
        <v>1068</v>
      </c>
      <c r="D1684" s="1" t="s">
        <v>1361</v>
      </c>
      <c r="E1684" s="1" t="s">
        <v>622</v>
      </c>
      <c r="F1684" s="1" t="s">
        <v>63</v>
      </c>
      <c r="G1684" s="1" t="s">
        <v>1363</v>
      </c>
      <c r="H1684" s="1">
        <v>144</v>
      </c>
      <c r="I1684" s="1" t="s">
        <v>1364</v>
      </c>
      <c r="J1684" s="1">
        <v>3252</v>
      </c>
      <c r="K1684" s="1" t="s">
        <v>35</v>
      </c>
      <c r="L1684" s="1">
        <v>36</v>
      </c>
      <c r="M1684" s="1" t="str">
        <f>IF(L1684&lt;=45,"Joven","Mayor")</f>
        <v>Joven</v>
      </c>
      <c r="N1684" s="1">
        <v>37</v>
      </c>
      <c r="O1684" s="1" t="s">
        <v>36</v>
      </c>
      <c r="P1684" s="1">
        <v>0.36499999999999999</v>
      </c>
      <c r="Q1684" s="1">
        <v>57.917000000000002</v>
      </c>
      <c r="R1684" s="1">
        <v>14.790359499999999</v>
      </c>
      <c r="S1684" s="1">
        <v>3.0586479</v>
      </c>
      <c r="T1684" s="1">
        <v>-3.9927928000000001</v>
      </c>
      <c r="U1684" s="1">
        <v>11.686</v>
      </c>
      <c r="V1684" s="1">
        <v>102</v>
      </c>
      <c r="W1684" s="1">
        <v>174</v>
      </c>
      <c r="X1684" s="1">
        <v>1.7058823529411764</v>
      </c>
      <c r="Y1684" s="1">
        <v>102</v>
      </c>
      <c r="Z1684" s="1">
        <v>174</v>
      </c>
      <c r="AA1684" s="1">
        <v>1.7058823529411764</v>
      </c>
      <c r="AB1684" s="1">
        <v>104.7465599133179</v>
      </c>
      <c r="AC1684" s="1">
        <v>173.43840817586261</v>
      </c>
      <c r="AD1684" s="1">
        <v>1.6557909712680785</v>
      </c>
      <c r="AE1684" t="s">
        <v>4817</v>
      </c>
      <c r="AF1684" t="str">
        <f>IF(X1684&lt;$AF$1,"Bajo","Alto")</f>
        <v>Bajo</v>
      </c>
      <c r="AG1684" t="str">
        <f>LEFT(AE1684,1)</f>
        <v>C</v>
      </c>
      <c r="AH1684" t="str">
        <f>K1684</f>
        <v>M</v>
      </c>
      <c r="AI1684" t="str">
        <f>LEFT(AF1684,1)</f>
        <v>B</v>
      </c>
      <c r="AJ1684" t="str">
        <f>LEFT(M1684,1)</f>
        <v>J</v>
      </c>
      <c r="AK1684" t="str">
        <f>_xlfn.CONCAT(AG1684,AH1684,AI1684,AJ1684)</f>
        <v>CMBJ</v>
      </c>
    </row>
    <row r="1685" spans="1:37" ht="15.75" hidden="1" customHeight="1" x14ac:dyDescent="0.2">
      <c r="A1685" s="1">
        <v>233702</v>
      </c>
      <c r="B1685" s="1" t="s">
        <v>319</v>
      </c>
      <c r="C1685" s="1" t="s">
        <v>1989</v>
      </c>
      <c r="D1685" s="1" t="s">
        <v>3021</v>
      </c>
      <c r="E1685" s="1" t="s">
        <v>647</v>
      </c>
      <c r="F1685" s="1" t="s">
        <v>37</v>
      </c>
      <c r="G1685" s="1" t="s">
        <v>3023</v>
      </c>
      <c r="H1685" s="1">
        <v>6671</v>
      </c>
      <c r="I1685" s="1" t="s">
        <v>91</v>
      </c>
      <c r="J1685" s="1">
        <v>6</v>
      </c>
      <c r="K1685" s="1" t="s">
        <v>35</v>
      </c>
      <c r="L1685" s="1">
        <v>51</v>
      </c>
      <c r="M1685" s="1" t="str">
        <f>IF(L1685&lt;=45,"Joven","Mayor")</f>
        <v>Mayor</v>
      </c>
      <c r="N1685" s="1">
        <v>62</v>
      </c>
      <c r="O1685" s="1" t="s">
        <v>36</v>
      </c>
      <c r="P1685" s="1">
        <v>0.35899999999999999</v>
      </c>
      <c r="Q1685" s="1">
        <v>93.266000000000005</v>
      </c>
      <c r="R1685" s="1">
        <v>1.2617210999999999</v>
      </c>
      <c r="S1685" s="1">
        <v>5.1102495000000001</v>
      </c>
      <c r="T1685" s="1">
        <v>-3.2365805999999999</v>
      </c>
      <c r="U1685" s="1">
        <v>0.14599999999999999</v>
      </c>
      <c r="V1685" s="1">
        <v>105</v>
      </c>
      <c r="W1685" s="1">
        <v>178</v>
      </c>
      <c r="X1685" s="1">
        <v>1.6952380952380952</v>
      </c>
      <c r="Y1685" s="1">
        <v>107</v>
      </c>
      <c r="Z1685" s="1">
        <v>178</v>
      </c>
      <c r="AA1685" s="1">
        <v>1.6635514018691588</v>
      </c>
      <c r="AB1685" s="1">
        <v>109.82165093330261</v>
      </c>
      <c r="AC1685" s="1">
        <v>177.88545284940301</v>
      </c>
      <c r="AD1685" s="1">
        <v>1.6197666975288618</v>
      </c>
      <c r="AE1685" t="s">
        <v>4817</v>
      </c>
      <c r="AF1685" t="str">
        <f>IF(X1685&lt;$AF$1,"Bajo","Alto")</f>
        <v>Bajo</v>
      </c>
      <c r="AG1685" t="str">
        <f>LEFT(AE1685,1)</f>
        <v>C</v>
      </c>
      <c r="AH1685" t="str">
        <f>K1685</f>
        <v>M</v>
      </c>
      <c r="AI1685" t="str">
        <f>LEFT(AF1685,1)</f>
        <v>B</v>
      </c>
      <c r="AJ1685" t="str">
        <f>LEFT(M1685,1)</f>
        <v>M</v>
      </c>
      <c r="AK1685" t="str">
        <f>_xlfn.CONCAT(AG1685,AH1685,AI1685,AJ1685)</f>
        <v>CMBM</v>
      </c>
    </row>
    <row r="1686" spans="1:37" ht="15.75" hidden="1" customHeight="1" x14ac:dyDescent="0.2">
      <c r="A1686" s="1">
        <v>10124702</v>
      </c>
      <c r="B1686" s="1" t="s">
        <v>29</v>
      </c>
      <c r="C1686" s="1" t="s">
        <v>30</v>
      </c>
      <c r="D1686" s="1" t="s">
        <v>496</v>
      </c>
      <c r="E1686" s="1" t="s">
        <v>497</v>
      </c>
      <c r="F1686" s="1" t="s">
        <v>37</v>
      </c>
      <c r="G1686" s="1" t="s">
        <v>498</v>
      </c>
      <c r="H1686" s="1">
        <v>473</v>
      </c>
      <c r="I1686" s="1" t="s">
        <v>65</v>
      </c>
      <c r="J1686" s="1">
        <v>2</v>
      </c>
      <c r="K1686" s="1" t="s">
        <v>35</v>
      </c>
      <c r="L1686" s="1">
        <v>67</v>
      </c>
      <c r="M1686" s="1" t="str">
        <f>IF(L1686&lt;=45,"Joven","Mayor")</f>
        <v>Mayor</v>
      </c>
      <c r="N1686" s="1">
        <v>55</v>
      </c>
      <c r="O1686" s="1" t="s">
        <v>36</v>
      </c>
      <c r="P1686" s="1">
        <v>0.40500000000000003</v>
      </c>
      <c r="Q1686" s="1">
        <v>90.581999999999994</v>
      </c>
      <c r="R1686" s="1">
        <v>4.6336274</v>
      </c>
      <c r="S1686" s="1">
        <v>-4.7647680000000001</v>
      </c>
      <c r="T1686" s="1">
        <v>-4.7371489999999996</v>
      </c>
      <c r="U1686" s="1">
        <v>1.8819999999999999</v>
      </c>
      <c r="V1686" s="1">
        <v>115</v>
      </c>
      <c r="W1686" s="1">
        <v>195</v>
      </c>
      <c r="X1686" s="1">
        <v>1.6956521739130435</v>
      </c>
      <c r="Y1686" s="1">
        <v>117</v>
      </c>
      <c r="Z1686" s="1">
        <v>195</v>
      </c>
      <c r="AA1686" s="1">
        <v>1.6666666666666667</v>
      </c>
      <c r="AB1686" s="1">
        <v>120.8121527869794</v>
      </c>
      <c r="AC1686" s="1">
        <v>194.00355114678089</v>
      </c>
      <c r="AD1686" s="1">
        <v>1.6058281114223283</v>
      </c>
      <c r="AE1686" t="s">
        <v>4817</v>
      </c>
      <c r="AF1686" t="str">
        <f>IF(X1686&lt;$AF$1,"Bajo","Alto")</f>
        <v>Bajo</v>
      </c>
      <c r="AG1686" t="str">
        <f>LEFT(AE1686,1)</f>
        <v>C</v>
      </c>
      <c r="AH1686" t="str">
        <f>K1686</f>
        <v>M</v>
      </c>
      <c r="AI1686" t="str">
        <f>LEFT(AF1686,1)</f>
        <v>B</v>
      </c>
      <c r="AJ1686" t="str">
        <f>LEFT(M1686,1)</f>
        <v>M</v>
      </c>
      <c r="AK1686" t="str">
        <f>_xlfn.CONCAT(AG1686,AH1686,AI1686,AJ1686)</f>
        <v>CMBM</v>
      </c>
    </row>
    <row r="1687" spans="1:37" ht="15.75" hidden="1" customHeight="1" x14ac:dyDescent="0.2">
      <c r="A1687" s="1">
        <v>132406</v>
      </c>
      <c r="B1687" s="1" t="s">
        <v>956</v>
      </c>
      <c r="C1687" s="1" t="s">
        <v>163</v>
      </c>
      <c r="D1687" s="1" t="s">
        <v>1992</v>
      </c>
      <c r="E1687" s="1" t="s">
        <v>1993</v>
      </c>
      <c r="F1687" s="1" t="s">
        <v>88</v>
      </c>
      <c r="G1687" s="1" t="s">
        <v>1996</v>
      </c>
      <c r="H1687" s="1">
        <v>6077</v>
      </c>
      <c r="I1687" s="1" t="s">
        <v>1997</v>
      </c>
      <c r="J1687" s="1">
        <v>4150</v>
      </c>
      <c r="K1687" s="1" t="s">
        <v>35</v>
      </c>
      <c r="L1687" s="1">
        <v>29</v>
      </c>
      <c r="M1687" s="1" t="str">
        <f>IF(L1687&lt;=45,"Joven","Mayor")</f>
        <v>Joven</v>
      </c>
      <c r="N1687" s="1">
        <v>37</v>
      </c>
      <c r="O1687" s="1" t="s">
        <v>36</v>
      </c>
      <c r="P1687" s="1">
        <v>0.39</v>
      </c>
      <c r="Q1687" s="1">
        <v>93.741</v>
      </c>
      <c r="R1687" s="1">
        <v>0.45543616999999997</v>
      </c>
      <c r="S1687" s="1">
        <v>4.9670776999999999</v>
      </c>
      <c r="T1687" s="1">
        <v>2.4442940000000002</v>
      </c>
      <c r="U1687" s="1">
        <v>0.80800000000000005</v>
      </c>
      <c r="V1687" s="1">
        <v>74</v>
      </c>
      <c r="W1687" s="1">
        <v>137</v>
      </c>
      <c r="X1687" s="1">
        <v>1.8513513513513513</v>
      </c>
      <c r="Y1687" s="1">
        <v>76</v>
      </c>
      <c r="Z1687" s="1">
        <v>137</v>
      </c>
      <c r="AA1687" s="1">
        <v>1.8026315789473684</v>
      </c>
      <c r="AB1687" s="1">
        <v>77.380885375276421</v>
      </c>
      <c r="AC1687" s="1">
        <v>136.87535171068609</v>
      </c>
      <c r="AD1687" s="1">
        <v>1.7688522307140524</v>
      </c>
      <c r="AE1687" t="s">
        <v>4817</v>
      </c>
      <c r="AF1687" t="str">
        <f>IF(X1687&lt;$AF$1,"Bajo","Alto")</f>
        <v>Alto</v>
      </c>
      <c r="AG1687" t="str">
        <f>LEFT(AE1687,1)</f>
        <v>C</v>
      </c>
      <c r="AH1687" t="str">
        <f>K1687</f>
        <v>M</v>
      </c>
      <c r="AI1687" t="str">
        <f>LEFT(AF1687,1)</f>
        <v>A</v>
      </c>
      <c r="AJ1687" t="str">
        <f>LEFT(M1687,1)</f>
        <v>J</v>
      </c>
      <c r="AK1687" t="str">
        <f>_xlfn.CONCAT(AG1687,AH1687,AI1687,AJ1687)</f>
        <v>CMAJ</v>
      </c>
    </row>
    <row r="1688" spans="1:37" ht="15.75" hidden="1" customHeight="1" x14ac:dyDescent="0.2">
      <c r="A1688" s="1">
        <v>1098203</v>
      </c>
      <c r="B1688" s="1" t="s">
        <v>719</v>
      </c>
      <c r="C1688" s="1" t="s">
        <v>98</v>
      </c>
      <c r="D1688" s="1" t="s">
        <v>1639</v>
      </c>
      <c r="E1688" s="1" t="s">
        <v>752</v>
      </c>
      <c r="F1688" s="1" t="s">
        <v>63</v>
      </c>
      <c r="G1688" s="1" t="s">
        <v>1642</v>
      </c>
      <c r="H1688" s="1">
        <v>632</v>
      </c>
      <c r="I1688" s="1" t="s">
        <v>48</v>
      </c>
      <c r="J1688" s="1">
        <v>4</v>
      </c>
      <c r="K1688" s="1" t="s">
        <v>35</v>
      </c>
      <c r="L1688" s="1">
        <v>43</v>
      </c>
      <c r="M1688" s="1" t="str">
        <f>IF(L1688&lt;=45,"Joven","Mayor")</f>
        <v>Joven</v>
      </c>
      <c r="N1688" s="1">
        <v>53</v>
      </c>
      <c r="O1688" s="1" t="s">
        <v>36</v>
      </c>
      <c r="P1688" s="1">
        <v>0.35699999999999998</v>
      </c>
      <c r="Q1688" s="1">
        <v>90.834999999999994</v>
      </c>
      <c r="R1688" s="1">
        <v>4.9887996000000001</v>
      </c>
      <c r="S1688" s="1">
        <v>-2.897834</v>
      </c>
      <c r="T1688" s="1">
        <v>-7.0531416</v>
      </c>
      <c r="U1688" s="1">
        <v>48.206000000000003</v>
      </c>
      <c r="V1688" s="1">
        <v>85</v>
      </c>
      <c r="W1688" s="1">
        <v>145</v>
      </c>
      <c r="X1688" s="1">
        <v>1.7058823529411764</v>
      </c>
      <c r="Y1688" s="1">
        <v>92</v>
      </c>
      <c r="Z1688" s="1">
        <v>145</v>
      </c>
      <c r="AA1688" s="1">
        <v>1.576086956521739</v>
      </c>
      <c r="AB1688" s="1">
        <v>89.759533197590827</v>
      </c>
      <c r="AC1688" s="1">
        <v>145.13063898981591</v>
      </c>
      <c r="AD1688" s="1">
        <v>1.6168827289947543</v>
      </c>
      <c r="AE1688" t="s">
        <v>4817</v>
      </c>
      <c r="AF1688" t="str">
        <f>IF(X1688&lt;$AF$1,"Bajo","Alto")</f>
        <v>Bajo</v>
      </c>
      <c r="AG1688" t="str">
        <f>LEFT(AE1688,1)</f>
        <v>C</v>
      </c>
      <c r="AH1688" t="str">
        <f>K1688</f>
        <v>M</v>
      </c>
      <c r="AI1688" t="str">
        <f>LEFT(AF1688,1)</f>
        <v>B</v>
      </c>
      <c r="AJ1688" t="str">
        <f>LEFT(M1688,1)</f>
        <v>J</v>
      </c>
      <c r="AK1688" t="str">
        <f>_xlfn.CONCAT(AG1688,AH1688,AI1688,AJ1688)</f>
        <v>CMBJ</v>
      </c>
    </row>
    <row r="1689" spans="1:37" ht="15.75" hidden="1" customHeight="1" x14ac:dyDescent="0.2">
      <c r="A1689" s="1">
        <v>401004</v>
      </c>
      <c r="B1689" s="1" t="s">
        <v>4287</v>
      </c>
      <c r="C1689" s="1" t="s">
        <v>657</v>
      </c>
      <c r="D1689" s="1" t="s">
        <v>4294</v>
      </c>
      <c r="E1689" s="1" t="s">
        <v>75</v>
      </c>
      <c r="F1689" s="1" t="s">
        <v>61</v>
      </c>
      <c r="G1689" s="1" t="s">
        <v>4295</v>
      </c>
      <c r="H1689" s="1">
        <v>49</v>
      </c>
      <c r="I1689" s="1" t="s">
        <v>65</v>
      </c>
      <c r="J1689" s="1">
        <v>2</v>
      </c>
      <c r="K1689" s="1" t="s">
        <v>35</v>
      </c>
      <c r="L1689" s="1">
        <v>54</v>
      </c>
      <c r="M1689" s="1" t="str">
        <f>IF(L1689&lt;=45,"Joven","Mayor")</f>
        <v>Mayor</v>
      </c>
      <c r="N1689" s="1">
        <v>61</v>
      </c>
      <c r="O1689" s="1" t="s">
        <v>36</v>
      </c>
      <c r="P1689" s="1">
        <v>0.33400000000000002</v>
      </c>
      <c r="Q1689" s="1">
        <v>90.951999999999998</v>
      </c>
      <c r="R1689" s="1">
        <v>-3.1425374000000001</v>
      </c>
      <c r="S1689" s="1">
        <v>-7.5411359999999998</v>
      </c>
      <c r="T1689" s="1">
        <v>-2.7864406000000002</v>
      </c>
      <c r="U1689" s="1">
        <v>1.2629999999999999</v>
      </c>
      <c r="V1689" s="1">
        <v>86</v>
      </c>
      <c r="W1689" s="1">
        <v>158</v>
      </c>
      <c r="X1689" s="1">
        <v>1.8372093023255813</v>
      </c>
      <c r="Y1689" s="1">
        <v>89</v>
      </c>
      <c r="Z1689" s="1">
        <v>158</v>
      </c>
      <c r="AA1689" s="1">
        <v>1.7752808988764044</v>
      </c>
      <c r="AB1689" s="1">
        <v>87.745628619564286</v>
      </c>
      <c r="AC1689" s="1">
        <v>157.66735167110031</v>
      </c>
      <c r="AD1689" s="1">
        <v>1.7968684497628165</v>
      </c>
      <c r="AE1689" t="s">
        <v>4817</v>
      </c>
      <c r="AF1689" t="str">
        <f>IF(X1689&lt;$AF$1,"Bajo","Alto")</f>
        <v>Alto</v>
      </c>
      <c r="AG1689" t="str">
        <f>LEFT(AE1689,1)</f>
        <v>C</v>
      </c>
      <c r="AH1689" t="str">
        <f>K1689</f>
        <v>M</v>
      </c>
      <c r="AI1689" t="str">
        <f>LEFT(AF1689,1)</f>
        <v>A</v>
      </c>
      <c r="AJ1689" t="str">
        <f>LEFT(M1689,1)</f>
        <v>M</v>
      </c>
      <c r="AK1689" t="str">
        <f>_xlfn.CONCAT(AG1689,AH1689,AI1689,AJ1689)</f>
        <v>CMAM</v>
      </c>
    </row>
    <row r="1690" spans="1:37" ht="15.75" hidden="1" customHeight="1" x14ac:dyDescent="0.2">
      <c r="A1690" s="1">
        <v>10713702</v>
      </c>
      <c r="B1690" s="1" t="s">
        <v>1067</v>
      </c>
      <c r="C1690" s="1" t="s">
        <v>1068</v>
      </c>
      <c r="D1690" s="1" t="s">
        <v>1133</v>
      </c>
      <c r="E1690" s="1" t="s">
        <v>1134</v>
      </c>
      <c r="F1690" s="1" t="s">
        <v>37</v>
      </c>
      <c r="G1690" s="1" t="s">
        <v>1136</v>
      </c>
      <c r="H1690" s="1">
        <v>684</v>
      </c>
      <c r="I1690" s="1" t="s">
        <v>1137</v>
      </c>
      <c r="J1690" s="1">
        <v>3209</v>
      </c>
      <c r="K1690" s="1" t="s">
        <v>35</v>
      </c>
      <c r="L1690" s="1">
        <v>30</v>
      </c>
      <c r="M1690" s="1" t="str">
        <f>IF(L1690&lt;=45,"Joven","Mayor")</f>
        <v>Joven</v>
      </c>
      <c r="N1690" s="1">
        <v>38</v>
      </c>
      <c r="O1690" s="1" t="s">
        <v>36</v>
      </c>
      <c r="P1690" s="1">
        <v>0.122</v>
      </c>
      <c r="Q1690" s="1">
        <v>89.203999999999994</v>
      </c>
      <c r="R1690" s="1">
        <v>6.4812303</v>
      </c>
      <c r="S1690" s="1">
        <v>2.1976619999999998</v>
      </c>
      <c r="T1690" s="1">
        <v>-3.0530705</v>
      </c>
      <c r="U1690" s="1">
        <v>1.0209999999999999</v>
      </c>
      <c r="V1690" s="1">
        <v>92</v>
      </c>
      <c r="W1690" s="1">
        <v>157</v>
      </c>
      <c r="X1690" s="1">
        <v>1.7065217391304348</v>
      </c>
      <c r="Y1690" s="1">
        <v>92</v>
      </c>
      <c r="Z1690" s="1">
        <v>157</v>
      </c>
      <c r="AA1690" s="1">
        <v>1.7065217391304348</v>
      </c>
      <c r="AB1690" s="1">
        <v>94.106376561386469</v>
      </c>
      <c r="AC1690" s="1">
        <v>156.77715889998541</v>
      </c>
      <c r="AD1690" s="1">
        <v>1.6659568100331459</v>
      </c>
      <c r="AE1690" t="s">
        <v>4817</v>
      </c>
      <c r="AF1690" t="str">
        <f>IF(X1690&lt;$AF$1,"Bajo","Alto")</f>
        <v>Bajo</v>
      </c>
      <c r="AG1690" t="str">
        <f>LEFT(AE1690,1)</f>
        <v>C</v>
      </c>
      <c r="AH1690" t="str">
        <f>K1690</f>
        <v>M</v>
      </c>
      <c r="AI1690" t="str">
        <f>LEFT(AF1690,1)</f>
        <v>B</v>
      </c>
      <c r="AJ1690" t="str">
        <f>LEFT(M1690,1)</f>
        <v>J</v>
      </c>
      <c r="AK1690" t="str">
        <f>_xlfn.CONCAT(AG1690,AH1690,AI1690,AJ1690)</f>
        <v>CMBJ</v>
      </c>
    </row>
    <row r="1691" spans="1:37" ht="15.75" hidden="1" customHeight="1" x14ac:dyDescent="0.2">
      <c r="A1691" s="1">
        <v>10112406</v>
      </c>
      <c r="B1691" s="1" t="s">
        <v>29</v>
      </c>
      <c r="C1691" s="1" t="s">
        <v>30</v>
      </c>
      <c r="D1691" s="1" t="s">
        <v>144</v>
      </c>
      <c r="E1691" s="1" t="s">
        <v>145</v>
      </c>
      <c r="F1691" s="1" t="s">
        <v>88</v>
      </c>
      <c r="G1691" s="1" t="s">
        <v>150</v>
      </c>
      <c r="H1691" s="1">
        <v>2567</v>
      </c>
      <c r="I1691" s="1" t="s">
        <v>151</v>
      </c>
      <c r="J1691" s="1">
        <v>427</v>
      </c>
      <c r="K1691" s="1" t="s">
        <v>35</v>
      </c>
      <c r="L1691" s="1">
        <v>30</v>
      </c>
      <c r="M1691" s="1" t="str">
        <f>IF(L1691&lt;=45,"Joven","Mayor")</f>
        <v>Joven</v>
      </c>
      <c r="N1691" s="1">
        <v>34</v>
      </c>
      <c r="O1691" s="1" t="s">
        <v>36</v>
      </c>
      <c r="P1691" s="1">
        <v>1.4E-2</v>
      </c>
      <c r="Q1691" s="1">
        <v>90.682000000000002</v>
      </c>
      <c r="R1691" s="1">
        <v>2.914574</v>
      </c>
      <c r="S1691" s="1">
        <v>8.709956</v>
      </c>
      <c r="T1691" s="1">
        <v>-2.7928709999999999</v>
      </c>
      <c r="U1691" s="1">
        <v>1.075</v>
      </c>
      <c r="V1691" s="1">
        <v>80</v>
      </c>
      <c r="W1691" s="1">
        <v>148</v>
      </c>
      <c r="X1691" s="1">
        <v>1.85</v>
      </c>
      <c r="Y1691" s="1">
        <v>85</v>
      </c>
      <c r="Z1691" s="1">
        <v>148</v>
      </c>
      <c r="AA1691" s="1">
        <v>1.7411764705882353</v>
      </c>
      <c r="AB1691" s="1">
        <v>83.047468905366031</v>
      </c>
      <c r="AC1691" s="1">
        <v>148.11655970308951</v>
      </c>
      <c r="AD1691" s="1">
        <v>1.7835168447080643</v>
      </c>
      <c r="AE1691" t="s">
        <v>4817</v>
      </c>
      <c r="AF1691" t="str">
        <f>IF(X1691&lt;$AF$1,"Bajo","Alto")</f>
        <v>Alto</v>
      </c>
      <c r="AG1691" t="str">
        <f>LEFT(AE1691,1)</f>
        <v>C</v>
      </c>
      <c r="AH1691" t="str">
        <f>K1691</f>
        <v>M</v>
      </c>
      <c r="AI1691" t="str">
        <f>LEFT(AF1691,1)</f>
        <v>A</v>
      </c>
      <c r="AJ1691" t="str">
        <f>LEFT(M1691,1)</f>
        <v>J</v>
      </c>
      <c r="AK1691" t="str">
        <f>_xlfn.CONCAT(AG1691,AH1691,AI1691,AJ1691)</f>
        <v>CMAJ</v>
      </c>
    </row>
    <row r="1692" spans="1:37" ht="15.75" hidden="1" customHeight="1" x14ac:dyDescent="0.2">
      <c r="A1692" s="1">
        <v>10125004</v>
      </c>
      <c r="B1692" s="1" t="s">
        <v>29</v>
      </c>
      <c r="C1692" s="1" t="s">
        <v>30</v>
      </c>
      <c r="D1692" s="1" t="s">
        <v>499</v>
      </c>
      <c r="E1692" s="1" t="s">
        <v>500</v>
      </c>
      <c r="F1692" s="1" t="s">
        <v>61</v>
      </c>
      <c r="G1692" s="1" t="s">
        <v>503</v>
      </c>
      <c r="H1692" s="1">
        <v>907</v>
      </c>
      <c r="I1692" s="1" t="s">
        <v>48</v>
      </c>
      <c r="J1692" s="1">
        <v>4</v>
      </c>
      <c r="K1692" s="1" t="s">
        <v>35</v>
      </c>
      <c r="L1692" s="1">
        <v>34</v>
      </c>
      <c r="M1692" s="1" t="str">
        <f>IF(L1692&lt;=45,"Joven","Mayor")</f>
        <v>Joven</v>
      </c>
      <c r="N1692" s="1">
        <v>45</v>
      </c>
      <c r="O1692" s="1" t="s">
        <v>36</v>
      </c>
      <c r="P1692" s="1">
        <v>7.0000000000000007E-2</v>
      </c>
      <c r="Q1692" s="1">
        <v>87.793999999999997</v>
      </c>
      <c r="R1692" s="1">
        <v>6.8842309999999998</v>
      </c>
      <c r="S1692" s="1">
        <v>4.2932863000000001</v>
      </c>
      <c r="T1692" s="1">
        <v>-3.8774617</v>
      </c>
      <c r="U1692" s="1">
        <v>29.422999999999998</v>
      </c>
      <c r="V1692" s="1">
        <v>80</v>
      </c>
      <c r="W1692" s="1">
        <v>148</v>
      </c>
      <c r="X1692" s="1">
        <v>1.85</v>
      </c>
      <c r="Y1692" s="1">
        <v>83</v>
      </c>
      <c r="Z1692" s="1">
        <v>148</v>
      </c>
      <c r="AA1692" s="1">
        <v>1.7831325301204819</v>
      </c>
      <c r="AB1692" s="1">
        <v>82.454166855419999</v>
      </c>
      <c r="AC1692" s="1">
        <v>147.7964672422186</v>
      </c>
      <c r="AD1692" s="1">
        <v>1.7924681417419892</v>
      </c>
      <c r="AE1692" t="s">
        <v>4817</v>
      </c>
      <c r="AF1692" t="str">
        <f>IF(X1692&lt;$AF$1,"Bajo","Alto")</f>
        <v>Alto</v>
      </c>
      <c r="AG1692" t="str">
        <f>LEFT(AE1692,1)</f>
        <v>C</v>
      </c>
      <c r="AH1692" t="str">
        <f>K1692</f>
        <v>M</v>
      </c>
      <c r="AI1692" t="str">
        <f>LEFT(AF1692,1)</f>
        <v>A</v>
      </c>
      <c r="AJ1692" t="str">
        <f>LEFT(M1692,1)</f>
        <v>J</v>
      </c>
      <c r="AK1692" t="str">
        <f>_xlfn.CONCAT(AG1692,AH1692,AI1692,AJ1692)</f>
        <v>CMAJ</v>
      </c>
    </row>
    <row r="1693" spans="1:37" ht="15.75" hidden="1" customHeight="1" x14ac:dyDescent="0.2">
      <c r="A1693" s="1">
        <v>10115106</v>
      </c>
      <c r="B1693" s="1" t="s">
        <v>29</v>
      </c>
      <c r="C1693" s="1" t="s">
        <v>30</v>
      </c>
      <c r="D1693" s="1" t="s">
        <v>214</v>
      </c>
      <c r="E1693" s="1" t="s">
        <v>215</v>
      </c>
      <c r="F1693" s="1" t="s">
        <v>88</v>
      </c>
      <c r="G1693" s="1" t="s">
        <v>218</v>
      </c>
      <c r="H1693" s="1">
        <v>15078</v>
      </c>
      <c r="I1693" s="1" t="s">
        <v>219</v>
      </c>
      <c r="J1693" s="1">
        <v>2191</v>
      </c>
      <c r="K1693" s="1" t="s">
        <v>35</v>
      </c>
      <c r="L1693" s="1">
        <v>47</v>
      </c>
      <c r="M1693" s="1" t="str">
        <f>IF(L1693&lt;=45,"Joven","Mayor")</f>
        <v>Mayor</v>
      </c>
      <c r="N1693" s="1">
        <v>42</v>
      </c>
      <c r="O1693" s="1" t="s">
        <v>36</v>
      </c>
      <c r="P1693" s="1">
        <v>6</v>
      </c>
      <c r="Q1693" s="1">
        <v>38.311</v>
      </c>
      <c r="R1693" s="1">
        <v>-16.925446999999998</v>
      </c>
      <c r="S1693" s="1">
        <v>1.7988584000000001</v>
      </c>
      <c r="T1693" s="1">
        <v>9.2756810000000005</v>
      </c>
      <c r="U1693" s="1">
        <v>3.996</v>
      </c>
      <c r="V1693" s="1">
        <v>102</v>
      </c>
      <c r="W1693" s="1">
        <v>173</v>
      </c>
      <c r="X1693" s="1">
        <v>1.696078431372549</v>
      </c>
      <c r="Y1693" s="1">
        <v>107</v>
      </c>
      <c r="Z1693" s="1">
        <v>173</v>
      </c>
      <c r="AA1693" s="1">
        <v>1.6168224299065421</v>
      </c>
      <c r="AB1693" s="1">
        <v>106.63011315256649</v>
      </c>
      <c r="AC1693" s="1">
        <v>170.5767050703362</v>
      </c>
      <c r="AD1693" s="1">
        <v>1.5997048115880252</v>
      </c>
      <c r="AE1693" t="s">
        <v>4817</v>
      </c>
      <c r="AF1693" t="str">
        <f>IF(X1693&lt;$AF$1,"Bajo","Alto")</f>
        <v>Bajo</v>
      </c>
      <c r="AG1693" t="str">
        <f>LEFT(AE1693,1)</f>
        <v>C</v>
      </c>
      <c r="AH1693" t="str">
        <f>K1693</f>
        <v>M</v>
      </c>
      <c r="AI1693" t="str">
        <f>LEFT(AF1693,1)</f>
        <v>B</v>
      </c>
      <c r="AJ1693" t="str">
        <f>LEFT(M1693,1)</f>
        <v>M</v>
      </c>
      <c r="AK1693" t="str">
        <f>_xlfn.CONCAT(AG1693,AH1693,AI1693,AJ1693)</f>
        <v>CMBM</v>
      </c>
    </row>
    <row r="1694" spans="1:37" ht="15.75" hidden="1" customHeight="1" x14ac:dyDescent="0.2">
      <c r="A1694" s="1">
        <v>1016201</v>
      </c>
      <c r="B1694" s="1" t="s">
        <v>29</v>
      </c>
      <c r="C1694" s="1" t="s">
        <v>30</v>
      </c>
      <c r="D1694" s="1" t="s">
        <v>705</v>
      </c>
      <c r="E1694" s="1" t="s">
        <v>706</v>
      </c>
      <c r="F1694" s="1" t="s">
        <v>32</v>
      </c>
      <c r="G1694" s="1" t="s">
        <v>707</v>
      </c>
      <c r="H1694" s="1">
        <v>2744</v>
      </c>
      <c r="I1694" s="1" t="s">
        <v>708</v>
      </c>
      <c r="J1694" s="1">
        <v>2539</v>
      </c>
      <c r="K1694" s="1" t="s">
        <v>35</v>
      </c>
      <c r="L1694" s="1">
        <v>32</v>
      </c>
      <c r="M1694" s="1" t="str">
        <f>IF(L1694&lt;=45,"Joven","Mayor")</f>
        <v>Joven</v>
      </c>
      <c r="N1694" s="1">
        <v>46</v>
      </c>
      <c r="O1694" s="1" t="s">
        <v>36</v>
      </c>
      <c r="P1694" s="1">
        <v>0.35899999999999999</v>
      </c>
      <c r="Q1694" s="1">
        <v>93.757000000000005</v>
      </c>
      <c r="R1694" s="1">
        <v>0.77911450000000004</v>
      </c>
      <c r="S1694" s="1">
        <v>4.3078250000000002</v>
      </c>
      <c r="T1694" s="1">
        <v>-4.5605460000000004</v>
      </c>
      <c r="U1694" s="1">
        <v>35.677999999999997</v>
      </c>
      <c r="V1694" s="1">
        <v>60</v>
      </c>
      <c r="W1694" s="1">
        <v>111</v>
      </c>
      <c r="X1694" s="1">
        <v>1.85</v>
      </c>
      <c r="Y1694" s="1">
        <v>61</v>
      </c>
      <c r="Z1694" s="1">
        <v>111</v>
      </c>
      <c r="AA1694" s="1">
        <v>1.819672131147541</v>
      </c>
      <c r="AB1694" s="1">
        <v>62.433945237935397</v>
      </c>
      <c r="AC1694" s="1">
        <v>110.7280717898789</v>
      </c>
      <c r="AD1694" s="1">
        <v>1.7735235434489183</v>
      </c>
      <c r="AE1694" t="s">
        <v>4817</v>
      </c>
      <c r="AF1694" t="str">
        <f>IF(X1694&lt;$AF$1,"Bajo","Alto")</f>
        <v>Alto</v>
      </c>
      <c r="AG1694" t="str">
        <f>LEFT(AE1694,1)</f>
        <v>C</v>
      </c>
      <c r="AH1694" t="str">
        <f>K1694</f>
        <v>M</v>
      </c>
      <c r="AI1694" t="str">
        <f>LEFT(AF1694,1)</f>
        <v>A</v>
      </c>
      <c r="AJ1694" t="str">
        <f>LEFT(M1694,1)</f>
        <v>J</v>
      </c>
      <c r="AK1694" t="str">
        <f>_xlfn.CONCAT(AG1694,AH1694,AI1694,AJ1694)</f>
        <v>CMAJ</v>
      </c>
    </row>
    <row r="1695" spans="1:37" ht="15.75" hidden="1" customHeight="1" x14ac:dyDescent="0.2">
      <c r="A1695" s="1">
        <v>133205</v>
      </c>
      <c r="B1695" s="1" t="s">
        <v>956</v>
      </c>
      <c r="C1695" s="1" t="s">
        <v>163</v>
      </c>
      <c r="D1695" s="1" t="s">
        <v>2018</v>
      </c>
      <c r="E1695" s="1" t="s">
        <v>2019</v>
      </c>
      <c r="F1695" s="1" t="s">
        <v>40</v>
      </c>
      <c r="G1695" s="1" t="s">
        <v>2022</v>
      </c>
      <c r="H1695" s="1">
        <v>2867</v>
      </c>
      <c r="I1695" s="1" t="s">
        <v>2023</v>
      </c>
      <c r="J1695" s="1">
        <v>4553</v>
      </c>
      <c r="K1695" s="1" t="s">
        <v>35</v>
      </c>
      <c r="L1695" s="1">
        <v>43</v>
      </c>
      <c r="M1695" s="1" t="str">
        <f>IF(L1695&lt;=45,"Joven","Mayor")</f>
        <v>Joven</v>
      </c>
      <c r="N1695" s="1">
        <v>48</v>
      </c>
      <c r="O1695" s="1" t="s">
        <v>36</v>
      </c>
      <c r="P1695" s="1">
        <v>0.35099999999999998</v>
      </c>
      <c r="Q1695" s="1">
        <v>88.668999999999997</v>
      </c>
      <c r="R1695" s="1">
        <v>-5.6851735000000003</v>
      </c>
      <c r="S1695" s="1">
        <v>6.1550364000000002</v>
      </c>
      <c r="T1695" s="1">
        <v>1.8704414</v>
      </c>
      <c r="U1695" s="1">
        <v>1.012</v>
      </c>
      <c r="V1695" s="1">
        <v>113</v>
      </c>
      <c r="W1695" s="1">
        <v>209</v>
      </c>
      <c r="X1695" s="1">
        <v>1.8495575221238938</v>
      </c>
      <c r="Y1695" s="1">
        <v>116</v>
      </c>
      <c r="Z1695" s="1">
        <v>209</v>
      </c>
      <c r="AA1695" s="1">
        <v>1.8017241379310345</v>
      </c>
      <c r="AB1695" s="1">
        <v>117.3416949509253</v>
      </c>
      <c r="AC1695" s="1">
        <v>208.69280481683651</v>
      </c>
      <c r="AD1695" s="1">
        <v>1.7785051162258745</v>
      </c>
      <c r="AE1695" t="s">
        <v>4817</v>
      </c>
      <c r="AF1695" t="str">
        <f>IF(X1695&lt;$AF$1,"Bajo","Alto")</f>
        <v>Alto</v>
      </c>
      <c r="AG1695" t="str">
        <f>LEFT(AE1695,1)</f>
        <v>C</v>
      </c>
      <c r="AH1695" t="str">
        <f>K1695</f>
        <v>M</v>
      </c>
      <c r="AI1695" t="str">
        <f>LEFT(AF1695,1)</f>
        <v>A</v>
      </c>
      <c r="AJ1695" t="str">
        <f>LEFT(M1695,1)</f>
        <v>J</v>
      </c>
      <c r="AK1695" t="str">
        <f>_xlfn.CONCAT(AG1695,AH1695,AI1695,AJ1695)</f>
        <v>CMAJ</v>
      </c>
    </row>
    <row r="1696" spans="1:37" ht="15.75" hidden="1" customHeight="1" x14ac:dyDescent="0.2">
      <c r="A1696" s="1">
        <v>2912701</v>
      </c>
      <c r="B1696" s="1" t="s">
        <v>3890</v>
      </c>
      <c r="C1696" s="1" t="s">
        <v>1695</v>
      </c>
      <c r="D1696" s="1" t="s">
        <v>3959</v>
      </c>
      <c r="E1696" s="1" t="s">
        <v>153</v>
      </c>
      <c r="F1696" s="1" t="s">
        <v>32</v>
      </c>
      <c r="G1696" s="1" t="s">
        <v>3960</v>
      </c>
      <c r="H1696" s="1">
        <v>916</v>
      </c>
      <c r="I1696" s="1" t="s">
        <v>100</v>
      </c>
      <c r="J1696" s="1">
        <v>1</v>
      </c>
      <c r="K1696" s="1" t="s">
        <v>35</v>
      </c>
      <c r="L1696" s="1">
        <v>40</v>
      </c>
      <c r="M1696" s="1" t="str">
        <f>IF(L1696&lt;=45,"Joven","Mayor")</f>
        <v>Joven</v>
      </c>
      <c r="N1696" s="1">
        <v>35</v>
      </c>
      <c r="O1696" s="1" t="s">
        <v>36</v>
      </c>
      <c r="P1696" s="1">
        <v>0.35699999999999998</v>
      </c>
      <c r="Q1696" s="1">
        <v>88.501999999999995</v>
      </c>
      <c r="R1696" s="1">
        <v>-6.8498590000000004</v>
      </c>
      <c r="S1696" s="1">
        <v>2.3256128</v>
      </c>
      <c r="T1696" s="1">
        <v>-0.22410211999999999</v>
      </c>
      <c r="U1696" s="1">
        <v>13.391</v>
      </c>
      <c r="V1696" s="1">
        <v>92</v>
      </c>
      <c r="W1696" s="1">
        <v>157</v>
      </c>
      <c r="X1696" s="1">
        <v>1.7065217391304348</v>
      </c>
      <c r="Y1696" s="1">
        <v>95</v>
      </c>
      <c r="Z1696" s="1">
        <v>157</v>
      </c>
      <c r="AA1696" s="1">
        <v>1.6526315789473685</v>
      </c>
      <c r="AB1696" s="1">
        <v>94.842820930558673</v>
      </c>
      <c r="AC1696" s="1">
        <v>157.0144443148524</v>
      </c>
      <c r="AD1696" s="1">
        <v>1.655522714047214</v>
      </c>
      <c r="AE1696" t="s">
        <v>4817</v>
      </c>
      <c r="AF1696" t="str">
        <f>IF(X1696&lt;$AF$1,"Bajo","Alto")</f>
        <v>Bajo</v>
      </c>
      <c r="AG1696" t="str">
        <f>LEFT(AE1696,1)</f>
        <v>C</v>
      </c>
      <c r="AH1696" t="str">
        <f>K1696</f>
        <v>M</v>
      </c>
      <c r="AI1696" t="str">
        <f>LEFT(AF1696,1)</f>
        <v>B</v>
      </c>
      <c r="AJ1696" t="str">
        <f>LEFT(M1696,1)</f>
        <v>J</v>
      </c>
      <c r="AK1696" t="str">
        <f>_xlfn.CONCAT(AG1696,AH1696,AI1696,AJ1696)</f>
        <v>CMBJ</v>
      </c>
    </row>
    <row r="1697" spans="1:37" ht="15.75" hidden="1" customHeight="1" x14ac:dyDescent="0.2">
      <c r="A1697" s="1">
        <v>1220007</v>
      </c>
      <c r="B1697" s="1" t="s">
        <v>1798</v>
      </c>
      <c r="C1697" s="1" t="s">
        <v>54</v>
      </c>
      <c r="D1697" s="1" t="s">
        <v>1813</v>
      </c>
      <c r="E1697" s="1" t="s">
        <v>1814</v>
      </c>
      <c r="F1697" s="1" t="s">
        <v>43</v>
      </c>
      <c r="G1697" s="1" t="s">
        <v>1820</v>
      </c>
      <c r="H1697" s="1">
        <v>1982</v>
      </c>
      <c r="I1697" s="1" t="s">
        <v>1821</v>
      </c>
      <c r="J1697" s="1">
        <v>4238</v>
      </c>
      <c r="K1697" s="1" t="s">
        <v>35</v>
      </c>
      <c r="L1697" s="1">
        <v>52</v>
      </c>
      <c r="M1697" s="1" t="str">
        <f>IF(L1697&lt;=45,"Joven","Mayor")</f>
        <v>Mayor</v>
      </c>
      <c r="N1697" s="1">
        <v>57</v>
      </c>
      <c r="O1697" s="1" t="s">
        <v>36</v>
      </c>
      <c r="P1697" s="1">
        <v>5.6000000000000001E-2</v>
      </c>
      <c r="Q1697" s="1">
        <v>92.873999999999995</v>
      </c>
      <c r="R1697" s="1">
        <v>0.78994465000000003</v>
      </c>
      <c r="S1697" s="1">
        <v>7.3427389999999999</v>
      </c>
      <c r="T1697" s="1">
        <v>0.23575251</v>
      </c>
      <c r="U1697" s="1">
        <v>56.414999999999999</v>
      </c>
      <c r="V1697" s="1">
        <v>92</v>
      </c>
      <c r="W1697" s="1">
        <v>169</v>
      </c>
      <c r="X1697" s="1">
        <v>1.8369565217391304</v>
      </c>
      <c r="Y1697" s="1">
        <v>94</v>
      </c>
      <c r="Z1697" s="1">
        <v>169</v>
      </c>
      <c r="AA1697" s="1">
        <v>1.7978723404255319</v>
      </c>
      <c r="AB1697" s="1">
        <v>93.834618435661923</v>
      </c>
      <c r="AC1697" s="1">
        <v>169.01502796630439</v>
      </c>
      <c r="AD1697" s="1">
        <v>1.8012012068039709</v>
      </c>
      <c r="AE1697" t="s">
        <v>4817</v>
      </c>
      <c r="AF1697" t="str">
        <f>IF(X1697&lt;$AF$1,"Bajo","Alto")</f>
        <v>Alto</v>
      </c>
      <c r="AG1697" t="str">
        <f>LEFT(AE1697,1)</f>
        <v>C</v>
      </c>
      <c r="AH1697" t="str">
        <f>K1697</f>
        <v>M</v>
      </c>
      <c r="AI1697" t="str">
        <f>LEFT(AF1697,1)</f>
        <v>A</v>
      </c>
      <c r="AJ1697" t="str">
        <f>LEFT(M1697,1)</f>
        <v>M</v>
      </c>
      <c r="AK1697" t="str">
        <f>_xlfn.CONCAT(AG1697,AH1697,AI1697,AJ1697)</f>
        <v>CMAM</v>
      </c>
    </row>
    <row r="1698" spans="1:37" ht="15.75" hidden="1" customHeight="1" x14ac:dyDescent="0.2">
      <c r="A1698" s="1">
        <v>234002</v>
      </c>
      <c r="B1698" s="1" t="s">
        <v>319</v>
      </c>
      <c r="C1698" s="1" t="s">
        <v>1989</v>
      </c>
      <c r="D1698" s="1" t="s">
        <v>3031</v>
      </c>
      <c r="E1698" s="1" t="s">
        <v>657</v>
      </c>
      <c r="F1698" s="1" t="s">
        <v>37</v>
      </c>
      <c r="G1698" s="1" t="s">
        <v>3033</v>
      </c>
      <c r="H1698" s="1">
        <v>2655</v>
      </c>
      <c r="I1698" s="1" t="s">
        <v>108</v>
      </c>
      <c r="J1698" s="1">
        <v>3</v>
      </c>
      <c r="K1698" s="1" t="s">
        <v>35</v>
      </c>
      <c r="L1698" s="1">
        <v>41</v>
      </c>
      <c r="M1698" s="1" t="str">
        <f>IF(L1698&lt;=45,"Joven","Mayor")</f>
        <v>Joven</v>
      </c>
      <c r="N1698" s="1">
        <v>28</v>
      </c>
      <c r="O1698" s="1" t="s">
        <v>36</v>
      </c>
      <c r="P1698" s="1">
        <v>0.33500000000000002</v>
      </c>
      <c r="Q1698" s="1">
        <v>93.155000000000001</v>
      </c>
      <c r="R1698" s="1">
        <v>-2.2466620000000002</v>
      </c>
      <c r="S1698" s="1">
        <v>-3.2525906999999998</v>
      </c>
      <c r="T1698" s="1">
        <v>1.0914581999999999</v>
      </c>
      <c r="U1698" s="1">
        <v>13.061</v>
      </c>
      <c r="V1698" s="1">
        <v>86</v>
      </c>
      <c r="W1698" s="1">
        <v>159</v>
      </c>
      <c r="X1698" s="1">
        <v>1.8488372093023255</v>
      </c>
      <c r="Y1698" s="1">
        <v>90</v>
      </c>
      <c r="Z1698" s="1">
        <v>159</v>
      </c>
      <c r="AA1698" s="1">
        <v>1.7666666666666666</v>
      </c>
      <c r="AB1698" s="1">
        <v>89.202686799076218</v>
      </c>
      <c r="AC1698" s="1">
        <v>158.93305474501039</v>
      </c>
      <c r="AD1698" s="1">
        <v>1.7817070365043792</v>
      </c>
      <c r="AE1698" t="s">
        <v>4817</v>
      </c>
      <c r="AF1698" t="str">
        <f>IF(X1698&lt;$AF$1,"Bajo","Alto")</f>
        <v>Alto</v>
      </c>
      <c r="AG1698" t="str">
        <f>LEFT(AE1698,1)</f>
        <v>C</v>
      </c>
      <c r="AH1698" t="str">
        <f>K1698</f>
        <v>M</v>
      </c>
      <c r="AI1698" t="str">
        <f>LEFT(AF1698,1)</f>
        <v>A</v>
      </c>
      <c r="AJ1698" t="str">
        <f>LEFT(M1698,1)</f>
        <v>J</v>
      </c>
      <c r="AK1698" t="str">
        <f>_xlfn.CONCAT(AG1698,AH1698,AI1698,AJ1698)</f>
        <v>CMAJ</v>
      </c>
    </row>
    <row r="1699" spans="1:37" ht="15.75" hidden="1" customHeight="1" x14ac:dyDescent="0.2">
      <c r="A1699" s="1">
        <v>239801</v>
      </c>
      <c r="B1699" s="1" t="s">
        <v>319</v>
      </c>
      <c r="C1699" s="1" t="s">
        <v>1989</v>
      </c>
      <c r="D1699" s="1" t="s">
        <v>3114</v>
      </c>
      <c r="E1699" s="1" t="s">
        <v>1796</v>
      </c>
      <c r="F1699" s="1" t="s">
        <v>32</v>
      </c>
      <c r="G1699" s="1" t="s">
        <v>3115</v>
      </c>
      <c r="H1699" s="1">
        <v>1601</v>
      </c>
      <c r="I1699" s="1" t="s">
        <v>85</v>
      </c>
      <c r="J1699" s="1">
        <v>12</v>
      </c>
      <c r="K1699" s="1" t="s">
        <v>35</v>
      </c>
      <c r="L1699" s="1">
        <v>44</v>
      </c>
      <c r="M1699" s="1" t="str">
        <f>IF(L1699&lt;=45,"Joven","Mayor")</f>
        <v>Joven</v>
      </c>
      <c r="N1699" s="1">
        <v>51</v>
      </c>
      <c r="O1699" s="1" t="s">
        <v>36</v>
      </c>
      <c r="P1699" s="1">
        <v>0.34599999999999997</v>
      </c>
      <c r="Q1699" s="1">
        <v>94.361000000000004</v>
      </c>
      <c r="R1699" s="1">
        <v>-1.2138800999999999</v>
      </c>
      <c r="S1699" s="1">
        <v>-0.15289633999999999</v>
      </c>
      <c r="T1699" s="1">
        <v>-1.6821978</v>
      </c>
      <c r="U1699" s="1">
        <v>11.435</v>
      </c>
      <c r="V1699" s="1">
        <v>108</v>
      </c>
      <c r="W1699" s="1">
        <v>185</v>
      </c>
      <c r="X1699" s="1">
        <v>1.712962962962963</v>
      </c>
      <c r="Y1699" s="1">
        <v>111</v>
      </c>
      <c r="Z1699" s="1">
        <v>185</v>
      </c>
      <c r="AA1699" s="1">
        <v>1.6666666666666667</v>
      </c>
      <c r="AB1699" s="1">
        <v>109.6311570028918</v>
      </c>
      <c r="AC1699" s="1">
        <v>185.0083374526894</v>
      </c>
      <c r="AD1699" s="1">
        <v>1.6875525399025877</v>
      </c>
      <c r="AE1699" t="s">
        <v>4815</v>
      </c>
      <c r="AF1699" t="str">
        <f>IF(X1699&lt;$AF$1,"Bajo","Alto")</f>
        <v>Bajo</v>
      </c>
      <c r="AG1699" t="str">
        <f>LEFT(AE1699,1)</f>
        <v>I</v>
      </c>
      <c r="AH1699" t="str">
        <f>K1699</f>
        <v>M</v>
      </c>
      <c r="AI1699" t="str">
        <f>LEFT(AF1699,1)</f>
        <v>B</v>
      </c>
      <c r="AJ1699" t="str">
        <f>LEFT(M1699,1)</f>
        <v>J</v>
      </c>
      <c r="AK1699" t="str">
        <f>_xlfn.CONCAT(AG1699,AH1699,AI1699,AJ1699)</f>
        <v>IMBJ</v>
      </c>
    </row>
    <row r="1700" spans="1:37" ht="15.75" hidden="1" customHeight="1" x14ac:dyDescent="0.2">
      <c r="A1700" s="1">
        <v>277903</v>
      </c>
      <c r="B1700" s="1" t="s">
        <v>3409</v>
      </c>
      <c r="C1700" s="1" t="s">
        <v>973</v>
      </c>
      <c r="D1700" s="1" t="s">
        <v>3731</v>
      </c>
      <c r="E1700" s="1" t="s">
        <v>739</v>
      </c>
      <c r="F1700" s="1" t="s">
        <v>63</v>
      </c>
      <c r="G1700" s="1" t="s">
        <v>3732</v>
      </c>
      <c r="H1700" s="1">
        <v>1186</v>
      </c>
      <c r="I1700" s="1" t="s">
        <v>3733</v>
      </c>
      <c r="J1700" s="1">
        <v>3198</v>
      </c>
      <c r="K1700" s="1" t="s">
        <v>35</v>
      </c>
      <c r="L1700" s="1">
        <v>36</v>
      </c>
      <c r="M1700" s="1" t="str">
        <f>IF(L1700&lt;=45,"Joven","Mayor")</f>
        <v>Joven</v>
      </c>
      <c r="N1700" s="1">
        <v>37</v>
      </c>
      <c r="O1700" s="1" t="s">
        <v>36</v>
      </c>
      <c r="P1700" s="1">
        <v>0.34799999999999998</v>
      </c>
      <c r="Q1700" s="1">
        <v>92.626999999999995</v>
      </c>
      <c r="R1700" s="1">
        <v>3.2985544</v>
      </c>
      <c r="S1700" s="1">
        <v>2.2402557999999999</v>
      </c>
      <c r="T1700" s="1">
        <v>-0.90778654999999997</v>
      </c>
      <c r="U1700" s="1">
        <v>53.012</v>
      </c>
      <c r="V1700" s="1">
        <v>82</v>
      </c>
      <c r="W1700" s="1">
        <v>140</v>
      </c>
      <c r="X1700" s="1">
        <v>1.7073170731707317</v>
      </c>
      <c r="Y1700" s="1">
        <v>89</v>
      </c>
      <c r="Z1700" s="1">
        <v>140</v>
      </c>
      <c r="AA1700" s="1">
        <v>1.5730337078651686</v>
      </c>
      <c r="AB1700" s="1">
        <v>89.543341532957129</v>
      </c>
      <c r="AC1700" s="1">
        <v>139.9032123986062</v>
      </c>
      <c r="AD1700" s="1">
        <v>1.5624077681656958</v>
      </c>
      <c r="AE1700" t="s">
        <v>4817</v>
      </c>
      <c r="AF1700" t="str">
        <f>IF(X1700&lt;$AF$1,"Bajo","Alto")</f>
        <v>Bajo</v>
      </c>
      <c r="AG1700" t="str">
        <f>LEFT(AE1700,1)</f>
        <v>C</v>
      </c>
      <c r="AH1700" t="str">
        <f>K1700</f>
        <v>M</v>
      </c>
      <c r="AI1700" t="str">
        <f>LEFT(AF1700,1)</f>
        <v>B</v>
      </c>
      <c r="AJ1700" t="str">
        <f>LEFT(M1700,1)</f>
        <v>J</v>
      </c>
      <c r="AK1700" t="str">
        <f>_xlfn.CONCAT(AG1700,AH1700,AI1700,AJ1700)</f>
        <v>CMBJ</v>
      </c>
    </row>
    <row r="1701" spans="1:37" ht="15.75" hidden="1" customHeight="1" x14ac:dyDescent="0.2">
      <c r="A1701" s="1">
        <v>154001</v>
      </c>
      <c r="B1701" s="1" t="s">
        <v>2077</v>
      </c>
      <c r="C1701" s="1" t="s">
        <v>57</v>
      </c>
      <c r="D1701" s="1" t="s">
        <v>2452</v>
      </c>
      <c r="E1701" s="1" t="s">
        <v>657</v>
      </c>
      <c r="F1701" s="1" t="s">
        <v>32</v>
      </c>
      <c r="G1701" s="1" t="s">
        <v>2453</v>
      </c>
      <c r="H1701" s="1">
        <v>2785</v>
      </c>
      <c r="I1701" s="1" t="s">
        <v>2454</v>
      </c>
      <c r="J1701" s="1">
        <v>2083</v>
      </c>
      <c r="K1701" s="1" t="s">
        <v>35</v>
      </c>
      <c r="L1701" s="1">
        <v>50</v>
      </c>
      <c r="M1701" s="1" t="str">
        <f>IF(L1701&lt;=45,"Joven","Mayor")</f>
        <v>Mayor</v>
      </c>
      <c r="N1701" s="1">
        <v>56</v>
      </c>
      <c r="O1701" s="1" t="s">
        <v>36</v>
      </c>
      <c r="P1701" s="1">
        <v>0.74299999999999999</v>
      </c>
      <c r="Q1701" s="1">
        <v>92.278999999999996</v>
      </c>
      <c r="R1701" s="1">
        <v>1.5423941999999999</v>
      </c>
      <c r="S1701" s="1">
        <v>7.1465396999999999</v>
      </c>
      <c r="T1701" s="1">
        <v>-0.44460060000000001</v>
      </c>
      <c r="U1701" s="1">
        <v>3.899</v>
      </c>
      <c r="V1701" s="1">
        <v>102</v>
      </c>
      <c r="W1701" s="1">
        <v>173</v>
      </c>
      <c r="X1701" s="1">
        <v>1.696078431372549</v>
      </c>
      <c r="Y1701" s="1">
        <v>103</v>
      </c>
      <c r="Z1701" s="1">
        <v>173</v>
      </c>
      <c r="AA1701" s="1">
        <v>1.6796116504854368</v>
      </c>
      <c r="AB1701" s="1">
        <v>102.6554736895864</v>
      </c>
      <c r="AC1701" s="1">
        <v>173.00255121341891</v>
      </c>
      <c r="AD1701" s="1">
        <v>1.6852735172851157</v>
      </c>
      <c r="AE1701" t="s">
        <v>4817</v>
      </c>
      <c r="AF1701" t="str">
        <f>IF(X1701&lt;$AF$1,"Bajo","Alto")</f>
        <v>Bajo</v>
      </c>
      <c r="AG1701" t="str">
        <f>LEFT(AE1701,1)</f>
        <v>C</v>
      </c>
      <c r="AH1701" t="str">
        <f>K1701</f>
        <v>M</v>
      </c>
      <c r="AI1701" t="str">
        <f>LEFT(AF1701,1)</f>
        <v>B</v>
      </c>
      <c r="AJ1701" t="str">
        <f>LEFT(M1701,1)</f>
        <v>M</v>
      </c>
      <c r="AK1701" t="str">
        <f>_xlfn.CONCAT(AG1701,AH1701,AI1701,AJ1701)</f>
        <v>CMBM</v>
      </c>
    </row>
    <row r="1702" spans="1:37" ht="15.75" hidden="1" customHeight="1" x14ac:dyDescent="0.2">
      <c r="A1702" s="1">
        <v>313110</v>
      </c>
      <c r="B1702" s="1" t="s">
        <v>4122</v>
      </c>
      <c r="C1702" s="1" t="s">
        <v>628</v>
      </c>
      <c r="D1702" s="1" t="s">
        <v>798</v>
      </c>
      <c r="E1702" s="1" t="s">
        <v>628</v>
      </c>
      <c r="F1702" s="1" t="s">
        <v>75</v>
      </c>
      <c r="G1702" s="1" t="s">
        <v>4204</v>
      </c>
      <c r="H1702" s="1">
        <v>2717</v>
      </c>
      <c r="I1702" s="1" t="s">
        <v>4205</v>
      </c>
      <c r="J1702" s="1">
        <v>3557</v>
      </c>
      <c r="K1702" s="1" t="s">
        <v>35</v>
      </c>
      <c r="L1702" s="1">
        <v>35</v>
      </c>
      <c r="M1702" s="1" t="str">
        <f>IF(L1702&lt;=45,"Joven","Mayor")</f>
        <v>Joven</v>
      </c>
      <c r="N1702" s="1">
        <v>38</v>
      </c>
      <c r="O1702" s="1" t="s">
        <v>36</v>
      </c>
      <c r="P1702" s="1">
        <v>0.29599999999999999</v>
      </c>
      <c r="Q1702" s="1">
        <v>81.64</v>
      </c>
      <c r="R1702" s="1">
        <v>9.6797590000000007</v>
      </c>
      <c r="S1702" s="1">
        <v>3.8242440000000002</v>
      </c>
      <c r="T1702" s="1">
        <v>-8.4146370000000008</v>
      </c>
      <c r="U1702" s="1">
        <v>2.9510000000000001</v>
      </c>
      <c r="V1702" s="1">
        <v>86</v>
      </c>
      <c r="W1702" s="1">
        <v>159</v>
      </c>
      <c r="X1702" s="1">
        <v>1.8488372093023255</v>
      </c>
      <c r="Y1702" s="1">
        <v>89</v>
      </c>
      <c r="Z1702" s="1">
        <v>159</v>
      </c>
      <c r="AA1702" s="1">
        <v>1.7865168539325842</v>
      </c>
      <c r="AB1702" s="1">
        <v>91.659317050262416</v>
      </c>
      <c r="AC1702" s="1">
        <v>157.72736933968139</v>
      </c>
      <c r="AD1702" s="1">
        <v>1.7208001806645561</v>
      </c>
      <c r="AE1702" t="s">
        <v>4817</v>
      </c>
      <c r="AF1702" t="str">
        <f>IF(X1702&lt;$AF$1,"Bajo","Alto")</f>
        <v>Alto</v>
      </c>
      <c r="AG1702" t="str">
        <f>LEFT(AE1702,1)</f>
        <v>C</v>
      </c>
      <c r="AH1702" t="str">
        <f>K1702</f>
        <v>M</v>
      </c>
      <c r="AI1702" t="str">
        <f>LEFT(AF1702,1)</f>
        <v>A</v>
      </c>
      <c r="AJ1702" t="str">
        <f>LEFT(M1702,1)</f>
        <v>J</v>
      </c>
      <c r="AK1702" t="str">
        <f>_xlfn.CONCAT(AG1702,AH1702,AI1702,AJ1702)</f>
        <v>CMAJ</v>
      </c>
    </row>
    <row r="1703" spans="1:37" ht="15.75" hidden="1" customHeight="1" x14ac:dyDescent="0.2">
      <c r="A1703" s="1">
        <v>310701</v>
      </c>
      <c r="B1703" s="1" t="s">
        <v>4122</v>
      </c>
      <c r="C1703" s="1" t="s">
        <v>628</v>
      </c>
      <c r="D1703" s="1" t="s">
        <v>4130</v>
      </c>
      <c r="E1703" s="1" t="s">
        <v>43</v>
      </c>
      <c r="F1703" s="1" t="s">
        <v>32</v>
      </c>
      <c r="G1703" s="1" t="s">
        <v>4131</v>
      </c>
      <c r="H1703" s="1">
        <v>3231</v>
      </c>
      <c r="I1703" s="1" t="s">
        <v>100</v>
      </c>
      <c r="J1703" s="1">
        <v>1</v>
      </c>
      <c r="K1703" s="1" t="s">
        <v>35</v>
      </c>
      <c r="L1703" s="1">
        <v>42</v>
      </c>
      <c r="M1703" s="1" t="str">
        <f>IF(L1703&lt;=45,"Joven","Mayor")</f>
        <v>Joven</v>
      </c>
      <c r="N1703" s="1">
        <v>30</v>
      </c>
      <c r="O1703" s="1" t="s">
        <v>36</v>
      </c>
      <c r="P1703" s="1">
        <v>0.32200000000000001</v>
      </c>
      <c r="Q1703" s="1">
        <v>90.813000000000002</v>
      </c>
      <c r="R1703" s="1">
        <v>4.3483029999999996</v>
      </c>
      <c r="S1703" s="1">
        <v>5.0512442999999996</v>
      </c>
      <c r="T1703" s="1">
        <v>-3.2468693000000002</v>
      </c>
      <c r="U1703" s="1">
        <v>44.616999999999997</v>
      </c>
      <c r="V1703" s="1">
        <v>99</v>
      </c>
      <c r="W1703" s="1">
        <v>183</v>
      </c>
      <c r="X1703" s="1">
        <v>1.8484848484848484</v>
      </c>
      <c r="Y1703" s="1">
        <v>103</v>
      </c>
      <c r="Z1703" s="1">
        <v>183</v>
      </c>
      <c r="AA1703" s="1">
        <v>1.7766990291262137</v>
      </c>
      <c r="AB1703" s="1">
        <v>101.6163553975598</v>
      </c>
      <c r="AC1703" s="1">
        <v>182.98943349952921</v>
      </c>
      <c r="AD1703" s="1">
        <v>1.8007872136685932</v>
      </c>
      <c r="AE1703" t="s">
        <v>4817</v>
      </c>
      <c r="AF1703" t="str">
        <f>IF(X1703&lt;$AF$1,"Bajo","Alto")</f>
        <v>Alto</v>
      </c>
      <c r="AG1703" t="str">
        <f>LEFT(AE1703,1)</f>
        <v>C</v>
      </c>
      <c r="AH1703" t="str">
        <f>K1703</f>
        <v>M</v>
      </c>
      <c r="AI1703" t="str">
        <f>LEFT(AF1703,1)</f>
        <v>A</v>
      </c>
      <c r="AJ1703" t="str">
        <f>LEFT(M1703,1)</f>
        <v>J</v>
      </c>
      <c r="AK1703" t="str">
        <f>_xlfn.CONCAT(AG1703,AH1703,AI1703,AJ1703)</f>
        <v>CMAJ</v>
      </c>
    </row>
    <row r="1704" spans="1:37" ht="15.75" hidden="1" customHeight="1" x14ac:dyDescent="0.2">
      <c r="A1704" s="1">
        <v>10721503</v>
      </c>
      <c r="B1704" s="1" t="s">
        <v>1067</v>
      </c>
      <c r="C1704" s="1" t="s">
        <v>1068</v>
      </c>
      <c r="D1704" s="1" t="s">
        <v>1226</v>
      </c>
      <c r="E1704" s="1" t="s">
        <v>1227</v>
      </c>
      <c r="F1704" s="1" t="s">
        <v>63</v>
      </c>
      <c r="G1704" s="1" t="s">
        <v>1229</v>
      </c>
      <c r="H1704" s="1">
        <v>424</v>
      </c>
      <c r="I1704" s="1" t="s">
        <v>91</v>
      </c>
      <c r="J1704" s="1">
        <v>6</v>
      </c>
      <c r="K1704" s="1" t="s">
        <v>49</v>
      </c>
      <c r="L1704" s="1">
        <v>40</v>
      </c>
      <c r="M1704" s="1" t="str">
        <f>IF(L1704&lt;=45,"Joven","Mayor")</f>
        <v>Joven</v>
      </c>
      <c r="N1704" s="1">
        <v>48</v>
      </c>
      <c r="O1704" s="1" t="s">
        <v>50</v>
      </c>
      <c r="P1704" s="1">
        <v>1.0549999999999999</v>
      </c>
      <c r="Q1704" s="1">
        <v>87.185000000000002</v>
      </c>
      <c r="R1704" s="1">
        <v>6.7502956000000003</v>
      </c>
      <c r="S1704" s="1">
        <v>5.1785436000000002</v>
      </c>
      <c r="T1704" s="1">
        <v>-6.2749879999999996</v>
      </c>
      <c r="U1704" s="1">
        <v>72.956999999999994</v>
      </c>
      <c r="V1704" s="1">
        <v>62</v>
      </c>
      <c r="W1704" s="1">
        <v>106</v>
      </c>
      <c r="X1704" s="1">
        <v>1.7096774193548387</v>
      </c>
      <c r="Y1704" s="1">
        <v>67</v>
      </c>
      <c r="Z1704" s="1">
        <v>106</v>
      </c>
      <c r="AA1704" s="1">
        <v>1.5820895522388059</v>
      </c>
      <c r="AB1704" s="1">
        <v>65.454057221599442</v>
      </c>
      <c r="AC1704" s="1">
        <v>106.4579329733547</v>
      </c>
      <c r="AD1704" s="1">
        <v>1.6264527745458723</v>
      </c>
      <c r="AE1704" t="s">
        <v>4817</v>
      </c>
      <c r="AF1704" t="str">
        <f>IF(X1704&lt;$AF$1,"Bajo","Alto")</f>
        <v>Bajo</v>
      </c>
      <c r="AG1704" t="str">
        <f>LEFT(AE1704,1)</f>
        <v>C</v>
      </c>
      <c r="AH1704" t="str">
        <f>K1704</f>
        <v>F</v>
      </c>
      <c r="AI1704" t="str">
        <f>LEFT(AF1704,1)</f>
        <v>B</v>
      </c>
      <c r="AJ1704" t="str">
        <f>LEFT(M1704,1)</f>
        <v>J</v>
      </c>
      <c r="AK1704" t="str">
        <f>_xlfn.CONCAT(AG1704,AH1704,AI1704,AJ1704)</f>
        <v>CFBJ</v>
      </c>
    </row>
    <row r="1705" spans="1:37" ht="15.75" hidden="1" customHeight="1" x14ac:dyDescent="0.2">
      <c r="A1705" s="1">
        <v>252807</v>
      </c>
      <c r="B1705" s="1" t="s">
        <v>3169</v>
      </c>
      <c r="C1705" s="1" t="s">
        <v>821</v>
      </c>
      <c r="D1705" s="1" t="s">
        <v>3216</v>
      </c>
      <c r="E1705" s="1" t="s">
        <v>561</v>
      </c>
      <c r="F1705" s="1" t="s">
        <v>43</v>
      </c>
      <c r="G1705" s="1" t="s">
        <v>3220</v>
      </c>
      <c r="H1705" s="1">
        <v>2296</v>
      </c>
      <c r="I1705" s="1" t="s">
        <v>3221</v>
      </c>
      <c r="J1705" s="1">
        <v>4004</v>
      </c>
      <c r="K1705" s="1" t="s">
        <v>35</v>
      </c>
      <c r="L1705" s="1">
        <v>37</v>
      </c>
      <c r="M1705" s="1" t="str">
        <f>IF(L1705&lt;=45,"Joven","Mayor")</f>
        <v>Joven</v>
      </c>
      <c r="N1705" s="1">
        <v>33</v>
      </c>
      <c r="O1705" s="1" t="s">
        <v>36</v>
      </c>
      <c r="P1705" s="1">
        <v>0.86399999999999999</v>
      </c>
      <c r="Q1705" s="1">
        <v>94.468000000000004</v>
      </c>
      <c r="R1705" s="1">
        <v>-4.4353539999999999E-3</v>
      </c>
      <c r="S1705" s="1">
        <v>-2.2071960000000002</v>
      </c>
      <c r="T1705" s="1">
        <v>1.0424533</v>
      </c>
      <c r="U1705" s="1">
        <v>7.99</v>
      </c>
      <c r="V1705" s="1">
        <v>113</v>
      </c>
      <c r="W1705" s="1">
        <v>193</v>
      </c>
      <c r="X1705" s="1">
        <v>1.7079646017699115</v>
      </c>
      <c r="Y1705" s="1">
        <v>115</v>
      </c>
      <c r="Z1705" s="1">
        <v>193</v>
      </c>
      <c r="AA1705" s="1">
        <v>1.6782608695652175</v>
      </c>
      <c r="AB1705" s="1">
        <v>113.9985313898972</v>
      </c>
      <c r="AC1705" s="1">
        <v>192.98624968080321</v>
      </c>
      <c r="AD1705" s="1">
        <v>1.6928836479546621</v>
      </c>
      <c r="AE1705" t="s">
        <v>4817</v>
      </c>
      <c r="AF1705" t="str">
        <f>IF(X1705&lt;$AF$1,"Bajo","Alto")</f>
        <v>Bajo</v>
      </c>
      <c r="AG1705" t="str">
        <f>LEFT(AE1705,1)</f>
        <v>C</v>
      </c>
      <c r="AH1705" t="str">
        <f>K1705</f>
        <v>M</v>
      </c>
      <c r="AI1705" t="str">
        <f>LEFT(AF1705,1)</f>
        <v>B</v>
      </c>
      <c r="AJ1705" t="str">
        <f>LEFT(M1705,1)</f>
        <v>J</v>
      </c>
      <c r="AK1705" t="str">
        <f>_xlfn.CONCAT(AG1705,AH1705,AI1705,AJ1705)</f>
        <v>CMBJ</v>
      </c>
    </row>
    <row r="1706" spans="1:37" ht="15.75" hidden="1" customHeight="1" x14ac:dyDescent="0.2">
      <c r="A1706" s="1">
        <v>10728201</v>
      </c>
      <c r="B1706" s="1" t="s">
        <v>1067</v>
      </c>
      <c r="C1706" s="1" t="s">
        <v>1068</v>
      </c>
      <c r="D1706" s="1" t="s">
        <v>1344</v>
      </c>
      <c r="E1706" s="1" t="s">
        <v>565</v>
      </c>
      <c r="F1706" s="1" t="s">
        <v>32</v>
      </c>
      <c r="G1706" s="1" t="s">
        <v>1345</v>
      </c>
      <c r="H1706" s="1">
        <v>422</v>
      </c>
      <c r="I1706" s="1" t="s">
        <v>108</v>
      </c>
      <c r="J1706" s="1">
        <v>3</v>
      </c>
      <c r="K1706" s="1" t="s">
        <v>35</v>
      </c>
      <c r="L1706" s="1">
        <v>39</v>
      </c>
      <c r="M1706" s="1" t="str">
        <f>IF(L1706&lt;=45,"Joven","Mayor")</f>
        <v>Joven</v>
      </c>
      <c r="N1706" s="1">
        <v>35</v>
      </c>
      <c r="O1706" s="1" t="s">
        <v>36</v>
      </c>
      <c r="P1706" s="1">
        <v>0.44400000000000001</v>
      </c>
      <c r="Q1706" s="1">
        <v>90.885000000000005</v>
      </c>
      <c r="R1706" s="1">
        <v>2.9661946000000001</v>
      </c>
      <c r="S1706" s="1">
        <v>7.9411754999999999</v>
      </c>
      <c r="T1706" s="1">
        <v>-4.6801250000000003</v>
      </c>
      <c r="U1706" s="1">
        <v>9.8219999999999992</v>
      </c>
      <c r="V1706" s="1">
        <v>72</v>
      </c>
      <c r="W1706" s="1">
        <v>123</v>
      </c>
      <c r="X1706" s="1">
        <v>1.7083333333333333</v>
      </c>
      <c r="Y1706" s="1">
        <v>74</v>
      </c>
      <c r="Z1706" s="1">
        <v>123</v>
      </c>
      <c r="AA1706" s="1">
        <v>1.6621621621621621</v>
      </c>
      <c r="AB1706" s="1">
        <v>74.370903152638903</v>
      </c>
      <c r="AC1706" s="1">
        <v>122.7530728254242</v>
      </c>
      <c r="AD1706" s="1">
        <v>1.6505524018376607</v>
      </c>
      <c r="AE1706" t="s">
        <v>4817</v>
      </c>
      <c r="AF1706" t="str">
        <f>IF(X1706&lt;$AF$1,"Bajo","Alto")</f>
        <v>Bajo</v>
      </c>
      <c r="AG1706" t="str">
        <f>LEFT(AE1706,1)</f>
        <v>C</v>
      </c>
      <c r="AH1706" t="str">
        <f>K1706</f>
        <v>M</v>
      </c>
      <c r="AI1706" t="str">
        <f>LEFT(AF1706,1)</f>
        <v>B</v>
      </c>
      <c r="AJ1706" t="str">
        <f>LEFT(M1706,1)</f>
        <v>J</v>
      </c>
      <c r="AK1706" t="str">
        <f>_xlfn.CONCAT(AG1706,AH1706,AI1706,AJ1706)</f>
        <v>CMBJ</v>
      </c>
    </row>
    <row r="1707" spans="1:37" ht="15.75" hidden="1" customHeight="1" x14ac:dyDescent="0.2">
      <c r="A1707" s="1">
        <v>1011003</v>
      </c>
      <c r="B1707" s="1" t="s">
        <v>29</v>
      </c>
      <c r="C1707" s="1" t="s">
        <v>30</v>
      </c>
      <c r="D1707" s="1" t="s">
        <v>74</v>
      </c>
      <c r="E1707" s="1" t="s">
        <v>75</v>
      </c>
      <c r="F1707" s="1" t="s">
        <v>63</v>
      </c>
      <c r="G1707" s="1" t="s">
        <v>78</v>
      </c>
      <c r="H1707" s="1">
        <v>1344</v>
      </c>
      <c r="I1707" s="1" t="s">
        <v>79</v>
      </c>
      <c r="J1707" s="1">
        <v>442</v>
      </c>
      <c r="K1707" s="1" t="s">
        <v>49</v>
      </c>
      <c r="L1707" s="1">
        <v>37</v>
      </c>
      <c r="M1707" s="1" t="str">
        <f>IF(L1707&lt;=45,"Joven","Mayor")</f>
        <v>Joven</v>
      </c>
      <c r="N1707" s="1">
        <v>26</v>
      </c>
      <c r="O1707" s="1" t="s">
        <v>36</v>
      </c>
      <c r="P1707" s="1">
        <v>0.41399999999999998</v>
      </c>
      <c r="Q1707" s="1">
        <v>88.784000000000006</v>
      </c>
      <c r="R1707" s="1">
        <v>-4.5258994000000001</v>
      </c>
      <c r="S1707" s="1">
        <v>8.703023</v>
      </c>
      <c r="T1707" s="1">
        <v>6.9708943000000003</v>
      </c>
      <c r="U1707" s="1">
        <v>0.51500000000000001</v>
      </c>
      <c r="V1707" s="1">
        <v>97</v>
      </c>
      <c r="W1707" s="1">
        <v>166</v>
      </c>
      <c r="X1707" s="1">
        <v>1.7113402061855669</v>
      </c>
      <c r="Y1707" s="1">
        <v>108</v>
      </c>
      <c r="Z1707" s="1">
        <v>166</v>
      </c>
      <c r="AA1707" s="1">
        <v>1.537037037037037</v>
      </c>
      <c r="AB1707" s="1">
        <v>102.9580512195575</v>
      </c>
      <c r="AC1707" s="1">
        <v>166.71475869707501</v>
      </c>
      <c r="AD1707" s="1">
        <v>1.6192493614856469</v>
      </c>
      <c r="AE1707" t="s">
        <v>4817</v>
      </c>
      <c r="AF1707" t="str">
        <f>IF(X1707&lt;$AF$1,"Bajo","Alto")</f>
        <v>Bajo</v>
      </c>
      <c r="AG1707" t="str">
        <f>LEFT(AE1707,1)</f>
        <v>C</v>
      </c>
      <c r="AH1707" t="str">
        <f>K1707</f>
        <v>F</v>
      </c>
      <c r="AI1707" t="str">
        <f>LEFT(AF1707,1)</f>
        <v>B</v>
      </c>
      <c r="AJ1707" t="str">
        <f>LEFT(M1707,1)</f>
        <v>J</v>
      </c>
      <c r="AK1707" t="str">
        <f>_xlfn.CONCAT(AG1707,AH1707,AI1707,AJ1707)</f>
        <v>CFBJ</v>
      </c>
    </row>
    <row r="1708" spans="1:37" ht="15.75" hidden="1" customHeight="1" x14ac:dyDescent="0.2">
      <c r="A1708" s="1">
        <v>1260801</v>
      </c>
      <c r="B1708" s="1" t="s">
        <v>1798</v>
      </c>
      <c r="C1708" s="1" t="s">
        <v>54</v>
      </c>
      <c r="D1708" s="1" t="s">
        <v>1871</v>
      </c>
      <c r="E1708" s="1" t="s">
        <v>1872</v>
      </c>
      <c r="F1708" s="1" t="s">
        <v>32</v>
      </c>
      <c r="G1708" s="1" t="s">
        <v>1873</v>
      </c>
      <c r="H1708" s="1">
        <v>47</v>
      </c>
      <c r="I1708" s="1" t="s">
        <v>39</v>
      </c>
      <c r="J1708" s="1">
        <v>11</v>
      </c>
      <c r="K1708" s="1" t="s">
        <v>35</v>
      </c>
      <c r="L1708" s="1">
        <v>46</v>
      </c>
      <c r="M1708" s="1" t="str">
        <f>IF(L1708&lt;=45,"Joven","Mayor")</f>
        <v>Mayor</v>
      </c>
      <c r="N1708" s="1">
        <v>40</v>
      </c>
      <c r="O1708" s="1" t="s">
        <v>36</v>
      </c>
      <c r="P1708" s="1">
        <v>0.36</v>
      </c>
      <c r="Q1708" s="1">
        <v>88.158000000000001</v>
      </c>
      <c r="R1708" s="1">
        <v>6.3593693</v>
      </c>
      <c r="S1708" s="1">
        <v>5.111504</v>
      </c>
      <c r="T1708" s="1">
        <v>-0.86732584000000001</v>
      </c>
      <c r="U1708" s="1">
        <v>88.447999999999993</v>
      </c>
      <c r="V1708" s="1">
        <v>83</v>
      </c>
      <c r="W1708" s="1">
        <v>151</v>
      </c>
      <c r="X1708" s="1">
        <v>1.8192771084337349</v>
      </c>
      <c r="Y1708" s="1">
        <v>86</v>
      </c>
      <c r="Z1708" s="1">
        <v>151</v>
      </c>
      <c r="AA1708" s="1">
        <v>1.7558139534883721</v>
      </c>
      <c r="AB1708" s="1">
        <v>85.354387985052199</v>
      </c>
      <c r="AC1708" s="1">
        <v>151.02811086791141</v>
      </c>
      <c r="AD1708" s="1">
        <v>1.7694240967946535</v>
      </c>
      <c r="AE1708" t="s">
        <v>4816</v>
      </c>
      <c r="AF1708" t="str">
        <f>IF(X1708&lt;$AF$1,"Bajo","Alto")</f>
        <v>Alto</v>
      </c>
      <c r="AG1708" t="str">
        <f>LEFT(AE1708,1)</f>
        <v>D</v>
      </c>
      <c r="AH1708" t="str">
        <f>K1708</f>
        <v>M</v>
      </c>
      <c r="AI1708" t="str">
        <f>LEFT(AF1708,1)</f>
        <v>A</v>
      </c>
      <c r="AJ1708" t="str">
        <f>LEFT(M1708,1)</f>
        <v>M</v>
      </c>
      <c r="AK1708" t="str">
        <f>_xlfn.CONCAT(AG1708,AH1708,AI1708,AJ1708)</f>
        <v>DMAM</v>
      </c>
    </row>
    <row r="1709" spans="1:37" ht="15.75" hidden="1" customHeight="1" x14ac:dyDescent="0.2">
      <c r="A1709" s="1">
        <v>154306</v>
      </c>
      <c r="B1709" s="1" t="s">
        <v>2077</v>
      </c>
      <c r="C1709" s="1" t="s">
        <v>57</v>
      </c>
      <c r="D1709" s="1" t="s">
        <v>2457</v>
      </c>
      <c r="E1709" s="1" t="s">
        <v>665</v>
      </c>
      <c r="F1709" s="1" t="s">
        <v>88</v>
      </c>
      <c r="G1709" s="1" t="s">
        <v>2460</v>
      </c>
      <c r="H1709" s="1">
        <v>2409</v>
      </c>
      <c r="I1709" s="1" t="s">
        <v>2461</v>
      </c>
      <c r="J1709" s="1">
        <v>2541</v>
      </c>
      <c r="K1709" s="1" t="s">
        <v>35</v>
      </c>
      <c r="L1709" s="1">
        <v>55</v>
      </c>
      <c r="M1709" s="1" t="str">
        <f>IF(L1709&lt;=45,"Joven","Mayor")</f>
        <v>Mayor</v>
      </c>
      <c r="N1709" s="1">
        <v>57</v>
      </c>
      <c r="O1709" s="1" t="s">
        <v>36</v>
      </c>
      <c r="P1709" s="1">
        <v>0.38300000000000001</v>
      </c>
      <c r="Q1709" s="1">
        <v>93.111999999999995</v>
      </c>
      <c r="R1709" s="1">
        <v>3.0395732</v>
      </c>
      <c r="S1709" s="1">
        <v>-0.85889965000000001</v>
      </c>
      <c r="T1709" s="1">
        <v>-2.2547681000000002</v>
      </c>
      <c r="U1709" s="1">
        <v>4.625</v>
      </c>
      <c r="V1709" s="1">
        <v>79</v>
      </c>
      <c r="W1709" s="1">
        <v>145</v>
      </c>
      <c r="X1709" s="1">
        <v>1.8354430379746836</v>
      </c>
      <c r="Y1709" s="1">
        <v>81</v>
      </c>
      <c r="Z1709" s="1">
        <v>145</v>
      </c>
      <c r="AA1709" s="1">
        <v>1.7901234567901234</v>
      </c>
      <c r="AB1709" s="1">
        <v>82.589691776270001</v>
      </c>
      <c r="AC1709" s="1">
        <v>145.04510789640429</v>
      </c>
      <c r="AD1709" s="1">
        <v>1.7562132122895175</v>
      </c>
      <c r="AE1709" t="s">
        <v>4817</v>
      </c>
      <c r="AF1709" t="str">
        <f>IF(X1709&lt;$AF$1,"Bajo","Alto")</f>
        <v>Alto</v>
      </c>
      <c r="AG1709" t="str">
        <f>LEFT(AE1709,1)</f>
        <v>C</v>
      </c>
      <c r="AH1709" t="str">
        <f>K1709</f>
        <v>M</v>
      </c>
      <c r="AI1709" t="str">
        <f>LEFT(AF1709,1)</f>
        <v>A</v>
      </c>
      <c r="AJ1709" t="str">
        <f>LEFT(M1709,1)</f>
        <v>M</v>
      </c>
      <c r="AK1709" t="str">
        <f>_xlfn.CONCAT(AG1709,AH1709,AI1709,AJ1709)</f>
        <v>CMAM</v>
      </c>
    </row>
    <row r="1710" spans="1:37" ht="15.75" hidden="1" customHeight="1" x14ac:dyDescent="0.2">
      <c r="A1710" s="1">
        <v>481302</v>
      </c>
      <c r="B1710" s="1" t="s">
        <v>4465</v>
      </c>
      <c r="C1710" s="1" t="s">
        <v>2650</v>
      </c>
      <c r="D1710" s="1" t="s">
        <v>4508</v>
      </c>
      <c r="E1710" s="1" t="s">
        <v>163</v>
      </c>
      <c r="F1710" s="1" t="s">
        <v>37</v>
      </c>
      <c r="G1710" s="1" t="s">
        <v>4509</v>
      </c>
      <c r="H1710" s="1">
        <v>5240</v>
      </c>
      <c r="I1710" s="1" t="s">
        <v>85</v>
      </c>
      <c r="J1710" s="1">
        <v>12</v>
      </c>
      <c r="K1710" s="1" t="s">
        <v>35</v>
      </c>
      <c r="L1710" s="1">
        <v>46</v>
      </c>
      <c r="M1710" s="1" t="str">
        <f>IF(L1710&lt;=45,"Joven","Mayor")</f>
        <v>Mayor</v>
      </c>
      <c r="N1710" s="1">
        <v>45</v>
      </c>
      <c r="O1710" s="1" t="s">
        <v>36</v>
      </c>
      <c r="P1710" s="1">
        <v>0.92900000000000005</v>
      </c>
      <c r="Q1710" s="1">
        <v>91.052000000000007</v>
      </c>
      <c r="R1710" s="1">
        <v>-3.9385097</v>
      </c>
      <c r="S1710" s="1">
        <v>4.99946</v>
      </c>
      <c r="T1710" s="1">
        <v>2.0728089999999999</v>
      </c>
      <c r="U1710" s="1">
        <v>7.0179999999999998</v>
      </c>
      <c r="V1710" s="1">
        <v>62</v>
      </c>
      <c r="W1710" s="1">
        <v>113</v>
      </c>
      <c r="X1710" s="1">
        <v>1.8225806451612903</v>
      </c>
      <c r="Y1710" s="1">
        <v>63</v>
      </c>
      <c r="Z1710" s="1">
        <v>113</v>
      </c>
      <c r="AA1710" s="1">
        <v>1.7936507936507937</v>
      </c>
      <c r="AB1710" s="1">
        <v>62.863667894233913</v>
      </c>
      <c r="AC1710" s="1">
        <v>112.7452136071543</v>
      </c>
      <c r="AD1710" s="1">
        <v>1.7934876755337354</v>
      </c>
      <c r="AE1710" t="s">
        <v>4815</v>
      </c>
      <c r="AF1710" t="str">
        <f>IF(X1710&lt;$AF$1,"Bajo","Alto")</f>
        <v>Alto</v>
      </c>
      <c r="AG1710" t="str">
        <f>LEFT(AE1710,1)</f>
        <v>I</v>
      </c>
      <c r="AH1710" t="str">
        <f>K1710</f>
        <v>M</v>
      </c>
      <c r="AI1710" t="str">
        <f>LEFT(AF1710,1)</f>
        <v>A</v>
      </c>
      <c r="AJ1710" t="str">
        <f>LEFT(M1710,1)</f>
        <v>M</v>
      </c>
      <c r="AK1710" t="str">
        <f>_xlfn.CONCAT(AG1710,AH1710,AI1710,AJ1710)</f>
        <v>IMAM</v>
      </c>
    </row>
    <row r="1711" spans="1:37" ht="15.75" hidden="1" customHeight="1" x14ac:dyDescent="0.2">
      <c r="A1711" s="1">
        <v>130705</v>
      </c>
      <c r="B1711" s="1" t="s">
        <v>956</v>
      </c>
      <c r="C1711" s="1" t="s">
        <v>163</v>
      </c>
      <c r="D1711" s="1" t="s">
        <v>1386</v>
      </c>
      <c r="E1711" s="1" t="s">
        <v>43</v>
      </c>
      <c r="F1711" s="1" t="s">
        <v>40</v>
      </c>
      <c r="G1711" s="1" t="s">
        <v>1963</v>
      </c>
      <c r="H1711" s="1">
        <v>14</v>
      </c>
      <c r="I1711" s="1" t="s">
        <v>45</v>
      </c>
      <c r="J1711" s="1">
        <v>17</v>
      </c>
      <c r="K1711" s="1" t="s">
        <v>35</v>
      </c>
      <c r="L1711" s="1">
        <v>33</v>
      </c>
      <c r="M1711" s="1" t="str">
        <f>IF(L1711&lt;=45,"Joven","Mayor")</f>
        <v>Joven</v>
      </c>
      <c r="N1711" s="1">
        <v>39</v>
      </c>
      <c r="O1711" s="1" t="s">
        <v>36</v>
      </c>
      <c r="P1711" s="1">
        <v>0.35</v>
      </c>
      <c r="Q1711" s="1">
        <v>91.733000000000004</v>
      </c>
      <c r="R1711" s="1">
        <v>2.0511089999999998</v>
      </c>
      <c r="S1711" s="1">
        <v>-7.8384809999999998</v>
      </c>
      <c r="T1711" s="1">
        <v>2.2858830000000001</v>
      </c>
      <c r="U1711" s="1">
        <v>63.552999999999997</v>
      </c>
      <c r="V1711" s="1">
        <v>96</v>
      </c>
      <c r="W1711" s="1">
        <v>164</v>
      </c>
      <c r="X1711" s="1">
        <v>1.7083333333333333</v>
      </c>
      <c r="Y1711" s="1">
        <v>96</v>
      </c>
      <c r="Z1711" s="1">
        <v>164</v>
      </c>
      <c r="AA1711" s="1">
        <v>1.7083333333333333</v>
      </c>
      <c r="AB1711" s="1">
        <v>97.718460342632397</v>
      </c>
      <c r="AC1711" s="1">
        <v>163.78972625298729</v>
      </c>
      <c r="AD1711" s="1">
        <v>1.6761390394270208</v>
      </c>
      <c r="AE1711" t="s">
        <v>4817</v>
      </c>
      <c r="AF1711" t="str">
        <f>IF(X1711&lt;$AF$1,"Bajo","Alto")</f>
        <v>Bajo</v>
      </c>
      <c r="AG1711" t="str">
        <f>LEFT(AE1711,1)</f>
        <v>C</v>
      </c>
      <c r="AH1711" t="str">
        <f>K1711</f>
        <v>M</v>
      </c>
      <c r="AI1711" t="str">
        <f>LEFT(AF1711,1)</f>
        <v>B</v>
      </c>
      <c r="AJ1711" t="str">
        <f>LEFT(M1711,1)</f>
        <v>J</v>
      </c>
      <c r="AK1711" t="str">
        <f>_xlfn.CONCAT(AG1711,AH1711,AI1711,AJ1711)</f>
        <v>CMBJ</v>
      </c>
    </row>
    <row r="1712" spans="1:37" ht="15.75" hidden="1" customHeight="1" x14ac:dyDescent="0.2">
      <c r="A1712" s="1">
        <v>2722003</v>
      </c>
      <c r="B1712" s="1" t="s">
        <v>3409</v>
      </c>
      <c r="C1712" s="1" t="s">
        <v>973</v>
      </c>
      <c r="D1712" s="1" t="s">
        <v>3645</v>
      </c>
      <c r="E1712" s="1" t="s">
        <v>414</v>
      </c>
      <c r="F1712" s="1" t="s">
        <v>63</v>
      </c>
      <c r="G1712" s="1" t="s">
        <v>3647</v>
      </c>
      <c r="H1712" s="1">
        <v>22</v>
      </c>
      <c r="I1712" s="1" t="s">
        <v>91</v>
      </c>
      <c r="J1712" s="1">
        <v>6</v>
      </c>
      <c r="K1712" s="1" t="s">
        <v>35</v>
      </c>
      <c r="L1712" s="1">
        <v>41</v>
      </c>
      <c r="M1712" s="1" t="str">
        <f>IF(L1712&lt;=45,"Joven","Mayor")</f>
        <v>Joven</v>
      </c>
      <c r="N1712" s="1">
        <v>43</v>
      </c>
      <c r="O1712" s="1" t="s">
        <v>36</v>
      </c>
      <c r="P1712" s="1">
        <v>0.98899999999999999</v>
      </c>
      <c r="Q1712" s="1">
        <v>93.614000000000004</v>
      </c>
      <c r="R1712" s="1">
        <v>1.0240605</v>
      </c>
      <c r="S1712" s="1">
        <v>-3.7305294999999998</v>
      </c>
      <c r="T1712" s="1">
        <v>-4.8442015999999999</v>
      </c>
      <c r="U1712" s="1">
        <v>8.1329999999999991</v>
      </c>
      <c r="V1712" s="1">
        <v>69</v>
      </c>
      <c r="W1712" s="1">
        <v>118</v>
      </c>
      <c r="X1712" s="1">
        <v>1.7101449275362319</v>
      </c>
      <c r="Y1712" s="1">
        <v>72</v>
      </c>
      <c r="Z1712" s="1">
        <v>118</v>
      </c>
      <c r="AA1712" s="1">
        <v>1.6388888888888888</v>
      </c>
      <c r="AB1712" s="1">
        <v>71.962502469130868</v>
      </c>
      <c r="AC1712" s="1">
        <v>117.91629128689461</v>
      </c>
      <c r="AD1712" s="1">
        <v>1.6385796385760227</v>
      </c>
      <c r="AE1712" t="s">
        <v>4817</v>
      </c>
      <c r="AF1712" t="str">
        <f>IF(X1712&lt;$AF$1,"Bajo","Alto")</f>
        <v>Bajo</v>
      </c>
      <c r="AG1712" t="str">
        <f>LEFT(AE1712,1)</f>
        <v>C</v>
      </c>
      <c r="AH1712" t="str">
        <f>K1712</f>
        <v>M</v>
      </c>
      <c r="AI1712" t="str">
        <f>LEFT(AF1712,1)</f>
        <v>B</v>
      </c>
      <c r="AJ1712" t="str">
        <f>LEFT(M1712,1)</f>
        <v>J</v>
      </c>
      <c r="AK1712" t="str">
        <f>_xlfn.CONCAT(AG1712,AH1712,AI1712,AJ1712)</f>
        <v>CMBJ</v>
      </c>
    </row>
    <row r="1713" spans="1:37" ht="15.75" hidden="1" customHeight="1" x14ac:dyDescent="0.2">
      <c r="A1713" s="1">
        <v>1034301</v>
      </c>
      <c r="B1713" s="1" t="s">
        <v>783</v>
      </c>
      <c r="C1713" s="1" t="s">
        <v>81</v>
      </c>
      <c r="D1713" s="1" t="s">
        <v>844</v>
      </c>
      <c r="E1713" s="1" t="s">
        <v>665</v>
      </c>
      <c r="F1713" s="1" t="s">
        <v>32</v>
      </c>
      <c r="G1713" s="1" t="s">
        <v>845</v>
      </c>
      <c r="H1713" s="1">
        <v>9510</v>
      </c>
      <c r="I1713" s="1" t="s">
        <v>100</v>
      </c>
      <c r="J1713" s="1">
        <v>1</v>
      </c>
      <c r="K1713" s="1" t="s">
        <v>35</v>
      </c>
      <c r="L1713" s="1">
        <v>34</v>
      </c>
      <c r="M1713" s="1" t="str">
        <f>IF(L1713&lt;=45,"Joven","Mayor")</f>
        <v>Joven</v>
      </c>
      <c r="N1713" s="1">
        <v>41</v>
      </c>
      <c r="O1713" s="1" t="s">
        <v>36</v>
      </c>
      <c r="P1713" s="1">
        <v>0.16900000000000001</v>
      </c>
      <c r="Q1713" s="1">
        <v>92.835999999999999</v>
      </c>
      <c r="R1713" s="1">
        <v>3.1946832999999999</v>
      </c>
      <c r="S1713" s="1">
        <v>-1.9030792999999999</v>
      </c>
      <c r="T1713" s="1">
        <v>-3.3581175999999999</v>
      </c>
      <c r="U1713" s="1">
        <v>4.4960000000000004</v>
      </c>
      <c r="V1713" s="1">
        <v>79</v>
      </c>
      <c r="W1713" s="1">
        <v>146</v>
      </c>
      <c r="X1713" s="1">
        <v>1.8481012658227849</v>
      </c>
      <c r="Y1713" s="1">
        <v>79</v>
      </c>
      <c r="Z1713" s="1">
        <v>146</v>
      </c>
      <c r="AA1713" s="1">
        <v>1.8481012658227849</v>
      </c>
      <c r="AB1713" s="1">
        <v>81.207416500650652</v>
      </c>
      <c r="AC1713" s="1">
        <v>145.92503532305321</v>
      </c>
      <c r="AD1713" s="1">
        <v>1.7969422204421934</v>
      </c>
      <c r="AE1713" t="s">
        <v>4817</v>
      </c>
      <c r="AF1713" t="str">
        <f>IF(X1713&lt;$AF$1,"Bajo","Alto")</f>
        <v>Alto</v>
      </c>
      <c r="AG1713" t="str">
        <f>LEFT(AE1713,1)</f>
        <v>C</v>
      </c>
      <c r="AH1713" t="str">
        <f>K1713</f>
        <v>M</v>
      </c>
      <c r="AI1713" t="str">
        <f>LEFT(AF1713,1)</f>
        <v>A</v>
      </c>
      <c r="AJ1713" t="str">
        <f>LEFT(M1713,1)</f>
        <v>J</v>
      </c>
      <c r="AK1713" t="str">
        <f>_xlfn.CONCAT(AG1713,AH1713,AI1713,AJ1713)</f>
        <v>CMAJ</v>
      </c>
    </row>
    <row r="1714" spans="1:37" ht="15.75" hidden="1" customHeight="1" x14ac:dyDescent="0.2">
      <c r="A1714" s="1">
        <v>1094902</v>
      </c>
      <c r="B1714" s="1" t="s">
        <v>719</v>
      </c>
      <c r="C1714" s="1" t="s">
        <v>98</v>
      </c>
      <c r="D1714" s="1" t="s">
        <v>1608</v>
      </c>
      <c r="E1714" s="1" t="s">
        <v>673</v>
      </c>
      <c r="F1714" s="1" t="s">
        <v>37</v>
      </c>
      <c r="G1714" s="1" t="s">
        <v>1609</v>
      </c>
      <c r="H1714" s="1">
        <v>104</v>
      </c>
      <c r="I1714" s="1" t="s">
        <v>65</v>
      </c>
      <c r="J1714" s="1">
        <v>2</v>
      </c>
      <c r="K1714" s="1" t="s">
        <v>35</v>
      </c>
      <c r="L1714" s="1">
        <v>27</v>
      </c>
      <c r="M1714" s="1" t="str">
        <f>IF(L1714&lt;=45,"Joven","Mayor")</f>
        <v>Joven</v>
      </c>
      <c r="N1714" s="1">
        <v>46</v>
      </c>
      <c r="O1714" s="1" t="s">
        <v>36</v>
      </c>
      <c r="P1714" s="1">
        <v>0.37</v>
      </c>
      <c r="Q1714" s="1">
        <v>89.977000000000004</v>
      </c>
      <c r="R1714" s="1">
        <v>4.1783049999999999</v>
      </c>
      <c r="S1714" s="1">
        <v>7.3428015999999996</v>
      </c>
      <c r="T1714" s="1">
        <v>-3.2959622999999998</v>
      </c>
      <c r="U1714" s="1">
        <v>0.59599999999999997</v>
      </c>
      <c r="V1714" s="1">
        <v>97</v>
      </c>
      <c r="W1714" s="1">
        <v>166</v>
      </c>
      <c r="X1714" s="1">
        <v>1.7113402061855669</v>
      </c>
      <c r="Y1714" s="1">
        <v>97</v>
      </c>
      <c r="Z1714" s="1">
        <v>166</v>
      </c>
      <c r="AA1714" s="1">
        <v>1.7113402061855669</v>
      </c>
      <c r="AB1714" s="1">
        <v>99.19679003463466</v>
      </c>
      <c r="AC1714" s="1">
        <v>165.78290821514571</v>
      </c>
      <c r="AD1714" s="1">
        <v>1.671252750792263</v>
      </c>
      <c r="AE1714" t="s">
        <v>4817</v>
      </c>
      <c r="AF1714" t="str">
        <f>IF(X1714&lt;$AF$1,"Bajo","Alto")</f>
        <v>Bajo</v>
      </c>
      <c r="AG1714" t="str">
        <f>LEFT(AE1714,1)</f>
        <v>C</v>
      </c>
      <c r="AH1714" t="str">
        <f>K1714</f>
        <v>M</v>
      </c>
      <c r="AI1714" t="str">
        <f>LEFT(AF1714,1)</f>
        <v>B</v>
      </c>
      <c r="AJ1714" t="str">
        <f>LEFT(M1714,1)</f>
        <v>J</v>
      </c>
      <c r="AK1714" t="str">
        <f>_xlfn.CONCAT(AG1714,AH1714,AI1714,AJ1714)</f>
        <v>CMBJ</v>
      </c>
    </row>
    <row r="1715" spans="1:37" ht="15.75" hidden="1" customHeight="1" x14ac:dyDescent="0.2">
      <c r="A1715" s="1">
        <v>1055002</v>
      </c>
      <c r="B1715" s="1" t="s">
        <v>694</v>
      </c>
      <c r="C1715" s="1" t="s">
        <v>879</v>
      </c>
      <c r="D1715" s="1" t="s">
        <v>1000</v>
      </c>
      <c r="E1715" s="1" t="s">
        <v>1001</v>
      </c>
      <c r="F1715" s="1" t="s">
        <v>37</v>
      </c>
      <c r="G1715" s="1" t="s">
        <v>1002</v>
      </c>
      <c r="H1715" s="1">
        <v>1678</v>
      </c>
      <c r="I1715" s="1" t="s">
        <v>108</v>
      </c>
      <c r="J1715" s="1">
        <v>3</v>
      </c>
      <c r="K1715" s="1" t="s">
        <v>35</v>
      </c>
      <c r="L1715" s="1">
        <v>37</v>
      </c>
      <c r="M1715" s="1" t="str">
        <f>IF(L1715&lt;=45,"Joven","Mayor")</f>
        <v>Joven</v>
      </c>
      <c r="N1715" s="1">
        <v>47</v>
      </c>
      <c r="O1715" s="1" t="s">
        <v>36</v>
      </c>
      <c r="P1715" s="1">
        <v>0.14899999999999999</v>
      </c>
      <c r="Q1715" s="1">
        <v>94.594999999999999</v>
      </c>
      <c r="R1715" s="1">
        <v>-0.155117</v>
      </c>
      <c r="S1715" s="1">
        <v>-2.0143151000000001</v>
      </c>
      <c r="T1715" s="1">
        <v>-0.85074649999999996</v>
      </c>
      <c r="U1715" s="1">
        <v>11.356</v>
      </c>
      <c r="V1715" s="1">
        <v>92</v>
      </c>
      <c r="W1715" s="1">
        <v>170</v>
      </c>
      <c r="X1715" s="1">
        <v>1.8478260869565217</v>
      </c>
      <c r="Y1715" s="1">
        <v>93</v>
      </c>
      <c r="Z1715" s="1">
        <v>170</v>
      </c>
      <c r="AA1715" s="1">
        <v>1.8279569892473118</v>
      </c>
      <c r="AB1715" s="1">
        <v>93.687593952083034</v>
      </c>
      <c r="AC1715" s="1">
        <v>169.95156458988779</v>
      </c>
      <c r="AD1715" s="1">
        <v>1.8140242205046948</v>
      </c>
      <c r="AE1715" t="s">
        <v>4817</v>
      </c>
      <c r="AF1715" t="str">
        <f>IF(X1715&lt;$AF$1,"Bajo","Alto")</f>
        <v>Alto</v>
      </c>
      <c r="AG1715" t="str">
        <f>LEFT(AE1715,1)</f>
        <v>C</v>
      </c>
      <c r="AH1715" t="str">
        <f>K1715</f>
        <v>M</v>
      </c>
      <c r="AI1715" t="str">
        <f>LEFT(AF1715,1)</f>
        <v>A</v>
      </c>
      <c r="AJ1715" t="str">
        <f>LEFT(M1715,1)</f>
        <v>J</v>
      </c>
      <c r="AK1715" t="str">
        <f>_xlfn.CONCAT(AG1715,AH1715,AI1715,AJ1715)</f>
        <v>CMAJ</v>
      </c>
    </row>
    <row r="1716" spans="1:37" ht="15.75" hidden="1" customHeight="1" x14ac:dyDescent="0.2">
      <c r="A1716" s="1">
        <v>314305</v>
      </c>
      <c r="B1716" s="1" t="s">
        <v>4122</v>
      </c>
      <c r="C1716" s="1" t="s">
        <v>628</v>
      </c>
      <c r="D1716" s="1" t="s">
        <v>4218</v>
      </c>
      <c r="E1716" s="1" t="s">
        <v>665</v>
      </c>
      <c r="F1716" s="1" t="s">
        <v>40</v>
      </c>
      <c r="G1716" s="1" t="s">
        <v>4223</v>
      </c>
      <c r="H1716" s="1">
        <v>1885</v>
      </c>
      <c r="I1716" s="1" t="s">
        <v>134</v>
      </c>
      <c r="J1716" s="1">
        <v>8</v>
      </c>
      <c r="K1716" s="1" t="s">
        <v>35</v>
      </c>
      <c r="L1716" s="1">
        <v>32</v>
      </c>
      <c r="M1716" s="1" t="str">
        <f>IF(L1716&lt;=45,"Joven","Mayor")</f>
        <v>Joven</v>
      </c>
      <c r="N1716" s="1">
        <v>35</v>
      </c>
      <c r="O1716" s="1" t="s">
        <v>36</v>
      </c>
      <c r="P1716" s="1">
        <v>0.214</v>
      </c>
      <c r="Q1716" s="1">
        <v>94.63</v>
      </c>
      <c r="R1716" s="1">
        <v>0.26209739999999998</v>
      </c>
      <c r="S1716" s="1">
        <v>1.4617509</v>
      </c>
      <c r="T1716" s="1">
        <v>-2.2019950000000001</v>
      </c>
      <c r="U1716" s="1">
        <v>3.2149999999999999</v>
      </c>
      <c r="V1716" s="1">
        <v>97</v>
      </c>
      <c r="W1716" s="1">
        <v>166</v>
      </c>
      <c r="X1716" s="1">
        <v>1.7113402061855669</v>
      </c>
      <c r="Y1716" s="1">
        <v>98</v>
      </c>
      <c r="Z1716" s="1">
        <v>166</v>
      </c>
      <c r="AA1716" s="1">
        <v>1.6938775510204083</v>
      </c>
      <c r="AB1716" s="1">
        <v>98.580545096126571</v>
      </c>
      <c r="AC1716" s="1">
        <v>165.95426734724469</v>
      </c>
      <c r="AD1716" s="1">
        <v>1.683438321277505</v>
      </c>
      <c r="AE1716" t="s">
        <v>4817</v>
      </c>
      <c r="AF1716" t="str">
        <f>IF(X1716&lt;$AF$1,"Bajo","Alto")</f>
        <v>Bajo</v>
      </c>
      <c r="AG1716" t="str">
        <f>LEFT(AE1716,1)</f>
        <v>C</v>
      </c>
      <c r="AH1716" t="str">
        <f>K1716</f>
        <v>M</v>
      </c>
      <c r="AI1716" t="str">
        <f>LEFT(AF1716,1)</f>
        <v>B</v>
      </c>
      <c r="AJ1716" t="str">
        <f>LEFT(M1716,1)</f>
        <v>J</v>
      </c>
      <c r="AK1716" t="str">
        <f>_xlfn.CONCAT(AG1716,AH1716,AI1716,AJ1716)</f>
        <v>CMBJ</v>
      </c>
    </row>
    <row r="1717" spans="1:37" ht="15.75" hidden="1" customHeight="1" x14ac:dyDescent="0.2">
      <c r="A1717" s="1">
        <v>1510301</v>
      </c>
      <c r="B1717" s="1" t="s">
        <v>2077</v>
      </c>
      <c r="C1717" s="1" t="s">
        <v>57</v>
      </c>
      <c r="D1717" s="1" t="s">
        <v>2099</v>
      </c>
      <c r="E1717" s="1" t="s">
        <v>81</v>
      </c>
      <c r="F1717" s="1" t="s">
        <v>32</v>
      </c>
      <c r="G1717" s="1" t="s">
        <v>2100</v>
      </c>
      <c r="H1717" s="1">
        <v>99</v>
      </c>
      <c r="I1717" s="1" t="s">
        <v>39</v>
      </c>
      <c r="J1717" s="1">
        <v>11</v>
      </c>
      <c r="K1717" s="1" t="s">
        <v>35</v>
      </c>
      <c r="L1717" s="1">
        <v>50</v>
      </c>
      <c r="M1717" s="1" t="str">
        <f>IF(L1717&lt;=45,"Joven","Mayor")</f>
        <v>Mayor</v>
      </c>
      <c r="N1717" s="1">
        <v>51</v>
      </c>
      <c r="O1717" s="1" t="s">
        <v>36</v>
      </c>
      <c r="P1717" s="1">
        <v>0.81200000000000006</v>
      </c>
      <c r="Q1717" s="1">
        <v>76.721000000000004</v>
      </c>
      <c r="R1717" s="1">
        <v>-10.139175</v>
      </c>
      <c r="S1717" s="1">
        <v>7.9987950000000003</v>
      </c>
      <c r="T1717" s="1">
        <v>5.1710352999999998</v>
      </c>
      <c r="U1717" s="1">
        <v>1.766</v>
      </c>
      <c r="V1717" s="1">
        <v>80</v>
      </c>
      <c r="W1717" s="1">
        <v>136</v>
      </c>
      <c r="X1717" s="1">
        <v>1.7</v>
      </c>
      <c r="Y1717" s="1">
        <v>81</v>
      </c>
      <c r="Z1717" s="1">
        <v>136</v>
      </c>
      <c r="AA1717" s="1">
        <v>1.6790123456790123</v>
      </c>
      <c r="AB1717" s="1">
        <v>82.378280697787204</v>
      </c>
      <c r="AC1717" s="1">
        <v>135.35636295592261</v>
      </c>
      <c r="AD1717" s="1">
        <v>1.6431074041529306</v>
      </c>
      <c r="AE1717" t="s">
        <v>4816</v>
      </c>
      <c r="AF1717" t="str">
        <f>IF(X1717&lt;$AF$1,"Bajo","Alto")</f>
        <v>Bajo</v>
      </c>
      <c r="AG1717" t="str">
        <f>LEFT(AE1717,1)</f>
        <v>D</v>
      </c>
      <c r="AH1717" t="str">
        <f>K1717</f>
        <v>M</v>
      </c>
      <c r="AI1717" t="str">
        <f>LEFT(AF1717,1)</f>
        <v>B</v>
      </c>
      <c r="AJ1717" t="str">
        <f>LEFT(M1717,1)</f>
        <v>M</v>
      </c>
      <c r="AK1717" t="str">
        <f>_xlfn.CONCAT(AG1717,AH1717,AI1717,AJ1717)</f>
        <v>DMBM</v>
      </c>
    </row>
    <row r="1718" spans="1:37" ht="15.75" hidden="1" customHeight="1" x14ac:dyDescent="0.2">
      <c r="A1718" s="1">
        <v>295205</v>
      </c>
      <c r="B1718" s="1" t="s">
        <v>3890</v>
      </c>
      <c r="C1718" s="1" t="s">
        <v>1695</v>
      </c>
      <c r="D1718" s="1" t="s">
        <v>4027</v>
      </c>
      <c r="E1718" s="1" t="s">
        <v>685</v>
      </c>
      <c r="F1718" s="1" t="s">
        <v>40</v>
      </c>
      <c r="G1718" s="1" t="s">
        <v>4029</v>
      </c>
      <c r="H1718" s="1">
        <v>3003</v>
      </c>
      <c r="I1718" s="1" t="s">
        <v>1087</v>
      </c>
      <c r="J1718" s="1">
        <v>2164</v>
      </c>
      <c r="K1718" s="1" t="s">
        <v>49</v>
      </c>
      <c r="L1718" s="1">
        <v>40</v>
      </c>
      <c r="M1718" s="1" t="str">
        <f>IF(L1718&lt;=45,"Joven","Mayor")</f>
        <v>Joven</v>
      </c>
      <c r="N1718" s="1">
        <v>37</v>
      </c>
      <c r="O1718" s="1" t="s">
        <v>50</v>
      </c>
      <c r="P1718" s="1">
        <v>3.5999999999999997E-2</v>
      </c>
      <c r="Q1718" s="1">
        <v>73.352999999999994</v>
      </c>
      <c r="R1718" s="1">
        <v>11.952590000000001</v>
      </c>
      <c r="S1718" s="1">
        <v>-4.0891710000000003</v>
      </c>
      <c r="T1718" s="1">
        <v>-7.4434050000000003</v>
      </c>
      <c r="U1718" s="1">
        <v>74.072000000000003</v>
      </c>
      <c r="V1718" s="1">
        <v>75</v>
      </c>
      <c r="W1718" s="1">
        <v>140</v>
      </c>
      <c r="X1718" s="1">
        <v>1.8666666666666667</v>
      </c>
      <c r="Y1718" s="1">
        <v>86</v>
      </c>
      <c r="Z1718" s="1">
        <v>140</v>
      </c>
      <c r="AA1718" s="1">
        <v>1.6279069767441861</v>
      </c>
      <c r="AB1718" s="1">
        <v>80.611619274067607</v>
      </c>
      <c r="AC1718" s="1">
        <v>139.20890346924079</v>
      </c>
      <c r="AD1718" s="1">
        <v>1.7269086605983075</v>
      </c>
      <c r="AE1718" t="s">
        <v>4817</v>
      </c>
      <c r="AF1718" t="str">
        <f>IF(X1718&lt;$AF$1,"Bajo","Alto")</f>
        <v>Alto</v>
      </c>
      <c r="AG1718" t="str">
        <f>LEFT(AE1718,1)</f>
        <v>C</v>
      </c>
      <c r="AH1718" t="str">
        <f>K1718</f>
        <v>F</v>
      </c>
      <c r="AI1718" t="str">
        <f>LEFT(AF1718,1)</f>
        <v>A</v>
      </c>
      <c r="AJ1718" t="str">
        <f>LEFT(M1718,1)</f>
        <v>J</v>
      </c>
      <c r="AK1718" t="str">
        <f>_xlfn.CONCAT(AG1718,AH1718,AI1718,AJ1718)</f>
        <v>CFAJ</v>
      </c>
    </row>
    <row r="1719" spans="1:37" ht="15.75" hidden="1" customHeight="1" x14ac:dyDescent="0.2">
      <c r="A1719" s="1">
        <v>10726504</v>
      </c>
      <c r="B1719" s="1" t="s">
        <v>1067</v>
      </c>
      <c r="C1719" s="1" t="s">
        <v>1068</v>
      </c>
      <c r="D1719" s="1" t="s">
        <v>1308</v>
      </c>
      <c r="E1719" s="1" t="s">
        <v>528</v>
      </c>
      <c r="F1719" s="1" t="s">
        <v>61</v>
      </c>
      <c r="G1719" s="1" t="s">
        <v>1311</v>
      </c>
      <c r="H1719" s="1">
        <v>866</v>
      </c>
      <c r="I1719" s="1" t="s">
        <v>1312</v>
      </c>
      <c r="J1719" s="1">
        <v>3836</v>
      </c>
      <c r="K1719" s="1" t="s">
        <v>35</v>
      </c>
      <c r="L1719" s="1">
        <v>52</v>
      </c>
      <c r="M1719" s="1" t="str">
        <f>IF(L1719&lt;=45,"Joven","Mayor")</f>
        <v>Mayor</v>
      </c>
      <c r="N1719" s="1">
        <v>57</v>
      </c>
      <c r="O1719" s="1" t="s">
        <v>36</v>
      </c>
      <c r="P1719" s="1">
        <v>0.34300000000000003</v>
      </c>
      <c r="Q1719" s="1">
        <v>90.626999999999995</v>
      </c>
      <c r="R1719" s="1">
        <v>5.0128839999999997</v>
      </c>
      <c r="S1719" s="1">
        <v>3.4784733999999999</v>
      </c>
      <c r="T1719" s="1">
        <v>-2.4038013999999999</v>
      </c>
      <c r="U1719" s="1">
        <v>10.067</v>
      </c>
      <c r="V1719" s="1">
        <v>85</v>
      </c>
      <c r="W1719" s="1">
        <v>156</v>
      </c>
      <c r="X1719" s="1">
        <v>1.8352941176470587</v>
      </c>
      <c r="Y1719" s="1">
        <v>86</v>
      </c>
      <c r="Z1719" s="1">
        <v>156</v>
      </c>
      <c r="AA1719" s="1">
        <v>1.8139534883720929</v>
      </c>
      <c r="AB1719" s="1">
        <v>87.56006001675496</v>
      </c>
      <c r="AC1719" s="1">
        <v>155.77884384941041</v>
      </c>
      <c r="AD1719" s="1">
        <v>1.7791084636031715</v>
      </c>
      <c r="AE1719" t="s">
        <v>4817</v>
      </c>
      <c r="AF1719" t="str">
        <f>IF(X1719&lt;$AF$1,"Bajo","Alto")</f>
        <v>Alto</v>
      </c>
      <c r="AG1719" t="str">
        <f>LEFT(AE1719,1)</f>
        <v>C</v>
      </c>
      <c r="AH1719" t="str">
        <f>K1719</f>
        <v>M</v>
      </c>
      <c r="AI1719" t="str">
        <f>LEFT(AF1719,1)</f>
        <v>A</v>
      </c>
      <c r="AJ1719" t="str">
        <f>LEFT(M1719,1)</f>
        <v>M</v>
      </c>
      <c r="AK1719" t="str">
        <f>_xlfn.CONCAT(AG1719,AH1719,AI1719,AJ1719)</f>
        <v>CMAM</v>
      </c>
    </row>
    <row r="1720" spans="1:37" ht="15.75" hidden="1" customHeight="1" x14ac:dyDescent="0.2">
      <c r="A1720" s="1">
        <v>297607</v>
      </c>
      <c r="B1720" s="1" t="s">
        <v>3890</v>
      </c>
      <c r="C1720" s="1" t="s">
        <v>1695</v>
      </c>
      <c r="D1720" s="1" t="s">
        <v>4064</v>
      </c>
      <c r="E1720" s="1" t="s">
        <v>727</v>
      </c>
      <c r="F1720" s="1" t="s">
        <v>43</v>
      </c>
      <c r="G1720" s="1" t="s">
        <v>4068</v>
      </c>
      <c r="H1720" s="1">
        <v>1323</v>
      </c>
      <c r="I1720" s="1" t="s">
        <v>91</v>
      </c>
      <c r="J1720" s="1">
        <v>6</v>
      </c>
      <c r="K1720" s="1" t="s">
        <v>35</v>
      </c>
      <c r="L1720" s="1">
        <v>45</v>
      </c>
      <c r="M1720" s="1" t="str">
        <f>IF(L1720&lt;=45,"Joven","Mayor")</f>
        <v>Joven</v>
      </c>
      <c r="N1720" s="1">
        <v>52</v>
      </c>
      <c r="O1720" s="1" t="s">
        <v>36</v>
      </c>
      <c r="P1720" s="1">
        <v>1.05</v>
      </c>
      <c r="Q1720" s="1">
        <v>93.186999999999998</v>
      </c>
      <c r="R1720" s="1">
        <v>2.1061969999999999</v>
      </c>
      <c r="S1720" s="1">
        <v>-2.7232416000000002</v>
      </c>
      <c r="T1720" s="1">
        <v>3.4174327999999998</v>
      </c>
      <c r="U1720" s="1">
        <v>0.48499999999999999</v>
      </c>
      <c r="V1720" s="1">
        <v>59</v>
      </c>
      <c r="W1720" s="1">
        <v>109</v>
      </c>
      <c r="X1720" s="1">
        <v>1.847457627118644</v>
      </c>
      <c r="Y1720" s="1">
        <v>59</v>
      </c>
      <c r="Z1720" s="1">
        <v>109</v>
      </c>
      <c r="AA1720" s="1">
        <v>1.847457627118644</v>
      </c>
      <c r="AB1720" s="1">
        <v>60.802605534466693</v>
      </c>
      <c r="AC1720" s="1">
        <v>108.8657794471806</v>
      </c>
      <c r="AD1720" s="1">
        <v>1.7904788535002618</v>
      </c>
      <c r="AE1720" t="s">
        <v>4817</v>
      </c>
      <c r="AF1720" t="str">
        <f>IF(X1720&lt;$AF$1,"Bajo","Alto")</f>
        <v>Alto</v>
      </c>
      <c r="AG1720" t="str">
        <f>LEFT(AE1720,1)</f>
        <v>C</v>
      </c>
      <c r="AH1720" t="str">
        <f>K1720</f>
        <v>M</v>
      </c>
      <c r="AI1720" t="str">
        <f>LEFT(AF1720,1)</f>
        <v>A</v>
      </c>
      <c r="AJ1720" t="str">
        <f>LEFT(M1720,1)</f>
        <v>J</v>
      </c>
      <c r="AK1720" t="str">
        <f>_xlfn.CONCAT(AG1720,AH1720,AI1720,AJ1720)</f>
        <v>CMAJ</v>
      </c>
    </row>
    <row r="1721" spans="1:37" ht="15.75" hidden="1" customHeight="1" x14ac:dyDescent="0.2">
      <c r="A1721" s="1">
        <v>174807</v>
      </c>
      <c r="B1721" s="1" t="s">
        <v>2551</v>
      </c>
      <c r="C1721" s="1" t="s">
        <v>2552</v>
      </c>
      <c r="D1721" s="1" t="s">
        <v>2649</v>
      </c>
      <c r="E1721" s="1" t="s">
        <v>2650</v>
      </c>
      <c r="F1721" s="1" t="s">
        <v>43</v>
      </c>
      <c r="G1721" s="1" t="s">
        <v>2652</v>
      </c>
      <c r="H1721" s="1">
        <v>2458</v>
      </c>
      <c r="I1721" s="1" t="s">
        <v>2508</v>
      </c>
      <c r="J1721" s="1">
        <v>2310</v>
      </c>
      <c r="K1721" s="1" t="s">
        <v>35</v>
      </c>
      <c r="L1721" s="1">
        <v>42</v>
      </c>
      <c r="M1721" s="1" t="str">
        <f>IF(L1721&lt;=45,"Joven","Mayor")</f>
        <v>Joven</v>
      </c>
      <c r="N1721" s="1">
        <v>32</v>
      </c>
      <c r="O1721" s="1" t="s">
        <v>36</v>
      </c>
      <c r="P1721" s="1">
        <v>0.35099999999999998</v>
      </c>
      <c r="Q1721" s="1">
        <v>92.896000000000001</v>
      </c>
      <c r="R1721" s="1">
        <v>3.2520790000000002</v>
      </c>
      <c r="S1721" s="1">
        <v>-1.1856747000000001</v>
      </c>
      <c r="T1721" s="1">
        <v>-4.3010634999999997</v>
      </c>
      <c r="U1721" s="1">
        <v>3.6349999999999998</v>
      </c>
      <c r="V1721" s="1">
        <v>72</v>
      </c>
      <c r="W1721" s="1">
        <v>133</v>
      </c>
      <c r="X1721" s="1">
        <v>1.8472222222222223</v>
      </c>
      <c r="Y1721" s="1">
        <v>73</v>
      </c>
      <c r="Z1721" s="1">
        <v>133</v>
      </c>
      <c r="AA1721" s="1">
        <v>1.821917808219178</v>
      </c>
      <c r="AB1721" s="1">
        <v>74.497129898455796</v>
      </c>
      <c r="AC1721" s="1">
        <v>132.6254376367838</v>
      </c>
      <c r="AD1721" s="1">
        <v>1.780275801464573</v>
      </c>
      <c r="AE1721" t="s">
        <v>4817</v>
      </c>
      <c r="AF1721" t="str">
        <f>IF(X1721&lt;$AF$1,"Bajo","Alto")</f>
        <v>Alto</v>
      </c>
      <c r="AG1721" t="str">
        <f>LEFT(AE1721,1)</f>
        <v>C</v>
      </c>
      <c r="AH1721" t="str">
        <f>K1721</f>
        <v>M</v>
      </c>
      <c r="AI1721" t="str">
        <f>LEFT(AF1721,1)</f>
        <v>A</v>
      </c>
      <c r="AJ1721" t="str">
        <f>LEFT(M1721,1)</f>
        <v>J</v>
      </c>
      <c r="AK1721" t="str">
        <f>_xlfn.CONCAT(AG1721,AH1721,AI1721,AJ1721)</f>
        <v>CMAJ</v>
      </c>
    </row>
    <row r="1722" spans="1:37" ht="15.75" hidden="1" customHeight="1" x14ac:dyDescent="0.2">
      <c r="A1722" s="1">
        <v>1079403</v>
      </c>
      <c r="B1722" s="1" t="s">
        <v>1067</v>
      </c>
      <c r="C1722" s="1" t="s">
        <v>1068</v>
      </c>
      <c r="D1722" s="1" t="s">
        <v>1522</v>
      </c>
      <c r="E1722" s="1" t="s">
        <v>775</v>
      </c>
      <c r="F1722" s="1" t="s">
        <v>63</v>
      </c>
      <c r="G1722" s="1" t="s">
        <v>1524</v>
      </c>
      <c r="H1722" s="1">
        <v>1001</v>
      </c>
      <c r="I1722" s="1" t="s">
        <v>65</v>
      </c>
      <c r="J1722" s="1">
        <v>2</v>
      </c>
      <c r="K1722" s="1" t="s">
        <v>35</v>
      </c>
      <c r="L1722" s="1">
        <v>47</v>
      </c>
      <c r="M1722" s="1" t="str">
        <f>IF(L1722&lt;=45,"Joven","Mayor")</f>
        <v>Mayor</v>
      </c>
      <c r="N1722" s="1">
        <v>55</v>
      </c>
      <c r="O1722" s="1" t="s">
        <v>36</v>
      </c>
      <c r="P1722" s="1">
        <v>0.40400000000000003</v>
      </c>
      <c r="Q1722" s="1">
        <v>89.432000000000002</v>
      </c>
      <c r="R1722" s="1">
        <v>5.2866879999999998</v>
      </c>
      <c r="S1722" s="1">
        <v>-5.6468344000000004</v>
      </c>
      <c r="T1722" s="1">
        <v>-1.8713976000000001</v>
      </c>
      <c r="U1722" s="1">
        <v>0.28199999999999997</v>
      </c>
      <c r="V1722" s="1">
        <v>79</v>
      </c>
      <c r="W1722" s="1">
        <v>134</v>
      </c>
      <c r="X1722" s="1">
        <v>1.6962025316455696</v>
      </c>
      <c r="Y1722" s="1">
        <v>80</v>
      </c>
      <c r="Z1722" s="1">
        <v>134</v>
      </c>
      <c r="AA1722" s="1">
        <v>1.675</v>
      </c>
      <c r="AB1722" s="1">
        <v>80.035520779513945</v>
      </c>
      <c r="AC1722" s="1">
        <v>133.79790514733079</v>
      </c>
      <c r="AD1722" s="1">
        <v>1.6717315492445446</v>
      </c>
      <c r="AE1722" t="s">
        <v>4817</v>
      </c>
      <c r="AF1722" t="str">
        <f>IF(X1722&lt;$AF$1,"Bajo","Alto")</f>
        <v>Bajo</v>
      </c>
      <c r="AG1722" t="str">
        <f>LEFT(AE1722,1)</f>
        <v>C</v>
      </c>
      <c r="AH1722" t="str">
        <f>K1722</f>
        <v>M</v>
      </c>
      <c r="AI1722" t="str">
        <f>LEFT(AF1722,1)</f>
        <v>B</v>
      </c>
      <c r="AJ1722" t="str">
        <f>LEFT(M1722,1)</f>
        <v>M</v>
      </c>
      <c r="AK1722" t="str">
        <f>_xlfn.CONCAT(AG1722,AH1722,AI1722,AJ1722)</f>
        <v>CMBM</v>
      </c>
    </row>
    <row r="1723" spans="1:37" ht="15.75" hidden="1" customHeight="1" x14ac:dyDescent="0.2">
      <c r="A1723" s="1">
        <v>176003</v>
      </c>
      <c r="B1723" s="1" t="s">
        <v>2551</v>
      </c>
      <c r="C1723" s="1" t="s">
        <v>2552</v>
      </c>
      <c r="D1723" s="1" t="s">
        <v>2653</v>
      </c>
      <c r="E1723" s="1" t="s">
        <v>1458</v>
      </c>
      <c r="F1723" s="1" t="s">
        <v>63</v>
      </c>
      <c r="G1723" s="1" t="s">
        <v>2654</v>
      </c>
      <c r="H1723" s="1">
        <v>1994</v>
      </c>
      <c r="I1723" s="1" t="s">
        <v>2655</v>
      </c>
      <c r="J1723" s="1">
        <v>2710</v>
      </c>
      <c r="K1723" s="1" t="s">
        <v>35</v>
      </c>
      <c r="L1723" s="1">
        <v>39</v>
      </c>
      <c r="M1723" s="1" t="str">
        <f>IF(L1723&lt;=45,"Joven","Mayor")</f>
        <v>Joven</v>
      </c>
      <c r="N1723" s="1">
        <v>42</v>
      </c>
      <c r="O1723" s="1" t="s">
        <v>36</v>
      </c>
      <c r="P1723" s="1">
        <v>0.35799999999999998</v>
      </c>
      <c r="Q1723" s="1">
        <v>90.292000000000002</v>
      </c>
      <c r="R1723" s="1">
        <v>5.1678740000000003</v>
      </c>
      <c r="S1723" s="1">
        <v>3.9101273999999999</v>
      </c>
      <c r="T1723" s="1">
        <v>-6.7932829999999997</v>
      </c>
      <c r="U1723" s="1">
        <v>2.919</v>
      </c>
      <c r="V1723" s="1">
        <v>85</v>
      </c>
      <c r="W1723" s="1">
        <v>157</v>
      </c>
      <c r="X1723" s="1">
        <v>1.8470588235294119</v>
      </c>
      <c r="Y1723" s="1">
        <v>89</v>
      </c>
      <c r="Z1723" s="1">
        <v>157</v>
      </c>
      <c r="AA1723" s="1">
        <v>1.7640449438202248</v>
      </c>
      <c r="AB1723" s="1">
        <v>90.554200526391469</v>
      </c>
      <c r="AC1723" s="1">
        <v>156.48920080152811</v>
      </c>
      <c r="AD1723" s="1">
        <v>1.7281274627996996</v>
      </c>
      <c r="AE1723" t="s">
        <v>4817</v>
      </c>
      <c r="AF1723" t="str">
        <f>IF(X1723&lt;$AF$1,"Bajo","Alto")</f>
        <v>Alto</v>
      </c>
      <c r="AG1723" t="str">
        <f>LEFT(AE1723,1)</f>
        <v>C</v>
      </c>
      <c r="AH1723" t="str">
        <f>K1723</f>
        <v>M</v>
      </c>
      <c r="AI1723" t="str">
        <f>LEFT(AF1723,1)</f>
        <v>A</v>
      </c>
      <c r="AJ1723" t="str">
        <f>LEFT(M1723,1)</f>
        <v>J</v>
      </c>
      <c r="AK1723" t="str">
        <f>_xlfn.CONCAT(AG1723,AH1723,AI1723,AJ1723)</f>
        <v>CMAJ</v>
      </c>
    </row>
    <row r="1724" spans="1:37" ht="15.75" hidden="1" customHeight="1" x14ac:dyDescent="0.2">
      <c r="A1724" s="1">
        <v>521503</v>
      </c>
      <c r="B1724" s="1" t="s">
        <v>4529</v>
      </c>
      <c r="C1724" s="1" t="s">
        <v>685</v>
      </c>
      <c r="D1724" s="1" t="s">
        <v>4553</v>
      </c>
      <c r="E1724" s="1" t="s">
        <v>57</v>
      </c>
      <c r="F1724" s="1" t="s">
        <v>63</v>
      </c>
      <c r="G1724" s="1" t="s">
        <v>4555</v>
      </c>
      <c r="H1724" s="1">
        <v>877</v>
      </c>
      <c r="I1724" s="1" t="s">
        <v>91</v>
      </c>
      <c r="J1724" s="1">
        <v>6</v>
      </c>
      <c r="K1724" s="1" t="s">
        <v>35</v>
      </c>
      <c r="L1724" s="1">
        <v>35</v>
      </c>
      <c r="M1724" s="1" t="str">
        <f>IF(L1724&lt;=45,"Joven","Mayor")</f>
        <v>Joven</v>
      </c>
      <c r="N1724" s="1">
        <v>30</v>
      </c>
      <c r="O1724" s="1" t="s">
        <v>36</v>
      </c>
      <c r="P1724" s="1">
        <v>0.32</v>
      </c>
      <c r="Q1724" s="1">
        <v>92.176000000000002</v>
      </c>
      <c r="R1724" s="1">
        <v>3.1324255000000001</v>
      </c>
      <c r="S1724" s="1">
        <v>4.4088683</v>
      </c>
      <c r="T1724" s="1">
        <v>-1.2399758000000001</v>
      </c>
      <c r="U1724" s="1">
        <v>1.218</v>
      </c>
      <c r="V1724" s="1">
        <v>85</v>
      </c>
      <c r="W1724" s="1">
        <v>157</v>
      </c>
      <c r="X1724" s="1">
        <v>1.8470588235294119</v>
      </c>
      <c r="Y1724" s="1">
        <v>85</v>
      </c>
      <c r="Z1724" s="1">
        <v>157</v>
      </c>
      <c r="AA1724" s="1">
        <v>1.8470588235294119</v>
      </c>
      <c r="AB1724" s="1">
        <v>85.932254140540863</v>
      </c>
      <c r="AC1724" s="1">
        <v>157.0065150022165</v>
      </c>
      <c r="AD1724" s="1">
        <v>1.8270964327950108</v>
      </c>
      <c r="AE1724" t="s">
        <v>4817</v>
      </c>
      <c r="AF1724" t="str">
        <f>IF(X1724&lt;$AF$1,"Bajo","Alto")</f>
        <v>Alto</v>
      </c>
      <c r="AG1724" t="str">
        <f>LEFT(AE1724,1)</f>
        <v>C</v>
      </c>
      <c r="AH1724" t="str">
        <f>K1724</f>
        <v>M</v>
      </c>
      <c r="AI1724" t="str">
        <f>LEFT(AF1724,1)</f>
        <v>A</v>
      </c>
      <c r="AJ1724" t="str">
        <f>LEFT(M1724,1)</f>
        <v>J</v>
      </c>
      <c r="AK1724" t="str">
        <f>_xlfn.CONCAT(AG1724,AH1724,AI1724,AJ1724)</f>
        <v>CMAJ</v>
      </c>
    </row>
    <row r="1725" spans="1:37" ht="15.75" hidden="1" customHeight="1" x14ac:dyDescent="0.2">
      <c r="A1725" s="1">
        <v>10126504</v>
      </c>
      <c r="B1725" s="1" t="s">
        <v>29</v>
      </c>
      <c r="C1725" s="1" t="s">
        <v>30</v>
      </c>
      <c r="D1725" s="1" t="s">
        <v>527</v>
      </c>
      <c r="E1725" s="1" t="s">
        <v>528</v>
      </c>
      <c r="F1725" s="1" t="s">
        <v>61</v>
      </c>
      <c r="G1725" s="1" t="s">
        <v>532</v>
      </c>
      <c r="H1725" s="1">
        <v>1012</v>
      </c>
      <c r="I1725" s="1" t="s">
        <v>533</v>
      </c>
      <c r="J1725" s="1">
        <v>3470</v>
      </c>
      <c r="K1725" s="1" t="s">
        <v>49</v>
      </c>
      <c r="L1725" s="1">
        <v>42</v>
      </c>
      <c r="M1725" s="1" t="str">
        <f>IF(L1725&lt;=45,"Joven","Mayor")</f>
        <v>Joven</v>
      </c>
      <c r="N1725" s="1">
        <v>36</v>
      </c>
      <c r="O1725" s="1" t="s">
        <v>50</v>
      </c>
      <c r="P1725" s="1">
        <v>0.35399999999999998</v>
      </c>
      <c r="Q1725" s="1">
        <v>92.125</v>
      </c>
      <c r="R1725" s="1">
        <v>3.4212220000000002</v>
      </c>
      <c r="S1725" s="1">
        <v>3.7457775999999998</v>
      </c>
      <c r="T1725" s="1">
        <v>-6.23224</v>
      </c>
      <c r="U1725" s="1">
        <v>28.312999999999999</v>
      </c>
      <c r="V1725" s="1">
        <v>70</v>
      </c>
      <c r="W1725" s="1">
        <v>120</v>
      </c>
      <c r="X1725" s="1">
        <v>1.7142857142857142</v>
      </c>
      <c r="Y1725" s="1">
        <v>71</v>
      </c>
      <c r="Z1725" s="1">
        <v>120</v>
      </c>
      <c r="AA1725" s="1">
        <v>1.6901408450704225</v>
      </c>
      <c r="AB1725" s="1">
        <v>73.385858471734991</v>
      </c>
      <c r="AC1725" s="1">
        <v>119.50792180103009</v>
      </c>
      <c r="AD1725" s="1">
        <v>1.6284870721660809</v>
      </c>
      <c r="AE1725" t="s">
        <v>4817</v>
      </c>
      <c r="AF1725" t="str">
        <f>IF(X1725&lt;$AF$1,"Bajo","Alto")</f>
        <v>Bajo</v>
      </c>
      <c r="AG1725" t="str">
        <f>LEFT(AE1725,1)</f>
        <v>C</v>
      </c>
      <c r="AH1725" t="str">
        <f>K1725</f>
        <v>F</v>
      </c>
      <c r="AI1725" t="str">
        <f>LEFT(AF1725,1)</f>
        <v>B</v>
      </c>
      <c r="AJ1725" t="str">
        <f>LEFT(M1725,1)</f>
        <v>J</v>
      </c>
      <c r="AK1725" t="str">
        <f>_xlfn.CONCAT(AG1725,AH1725,AI1725,AJ1725)</f>
        <v>CFBJ</v>
      </c>
    </row>
    <row r="1726" spans="1:37" ht="15.75" hidden="1" customHeight="1" x14ac:dyDescent="0.2">
      <c r="A1726" s="1">
        <v>1012203</v>
      </c>
      <c r="B1726" s="1" t="s">
        <v>29</v>
      </c>
      <c r="C1726" s="1" t="s">
        <v>30</v>
      </c>
      <c r="D1726" s="1" t="s">
        <v>417</v>
      </c>
      <c r="E1726" s="1" t="s">
        <v>418</v>
      </c>
      <c r="F1726" s="1" t="s">
        <v>63</v>
      </c>
      <c r="G1726" s="1" t="s">
        <v>420</v>
      </c>
      <c r="H1726" s="1">
        <v>1714</v>
      </c>
      <c r="I1726" s="1" t="s">
        <v>421</v>
      </c>
      <c r="J1726" s="1">
        <v>2535</v>
      </c>
      <c r="K1726" s="1" t="s">
        <v>35</v>
      </c>
      <c r="L1726" s="1">
        <v>53</v>
      </c>
      <c r="M1726" s="1" t="str">
        <f>IF(L1726&lt;=45,"Joven","Mayor")</f>
        <v>Mayor</v>
      </c>
      <c r="N1726" s="1">
        <v>58</v>
      </c>
      <c r="O1726" s="1" t="s">
        <v>36</v>
      </c>
      <c r="P1726" s="1">
        <v>0.28100000000000003</v>
      </c>
      <c r="Q1726" s="1">
        <v>82.679000000000002</v>
      </c>
      <c r="R1726" s="1">
        <v>8.0598980000000005</v>
      </c>
      <c r="S1726" s="1">
        <v>8.5220769999999995</v>
      </c>
      <c r="T1726" s="1">
        <v>-7.1354170000000003</v>
      </c>
      <c r="U1726" s="1">
        <v>2.6139999999999999</v>
      </c>
      <c r="V1726" s="1">
        <v>91</v>
      </c>
      <c r="W1726" s="1">
        <v>167</v>
      </c>
      <c r="X1726" s="1">
        <v>1.8351648351648351</v>
      </c>
      <c r="Y1726" s="1">
        <v>95</v>
      </c>
      <c r="Z1726" s="1">
        <v>167</v>
      </c>
      <c r="AA1726" s="1">
        <v>1.7578947368421052</v>
      </c>
      <c r="AB1726" s="1">
        <v>95.636475209189257</v>
      </c>
      <c r="AC1726" s="1">
        <v>165.58242773938809</v>
      </c>
      <c r="AD1726" s="1">
        <v>1.7313731751113102</v>
      </c>
      <c r="AE1726" t="s">
        <v>4817</v>
      </c>
      <c r="AF1726" t="str">
        <f>IF(X1726&lt;$AF$1,"Bajo","Alto")</f>
        <v>Alto</v>
      </c>
      <c r="AG1726" t="str">
        <f>LEFT(AE1726,1)</f>
        <v>C</v>
      </c>
      <c r="AH1726" t="str">
        <f>K1726</f>
        <v>M</v>
      </c>
      <c r="AI1726" t="str">
        <f>LEFT(AF1726,1)</f>
        <v>A</v>
      </c>
      <c r="AJ1726" t="str">
        <f>LEFT(M1726,1)</f>
        <v>M</v>
      </c>
      <c r="AK1726" t="str">
        <f>_xlfn.CONCAT(AG1726,AH1726,AI1726,AJ1726)</f>
        <v>CMAM</v>
      </c>
    </row>
    <row r="1727" spans="1:37" ht="15.75" hidden="1" customHeight="1" x14ac:dyDescent="0.2">
      <c r="A1727" s="1">
        <v>525502</v>
      </c>
      <c r="B1727" s="1" t="s">
        <v>4529</v>
      </c>
      <c r="C1727" s="1" t="s">
        <v>685</v>
      </c>
      <c r="D1727" s="1" t="s">
        <v>4651</v>
      </c>
      <c r="E1727" s="1" t="s">
        <v>690</v>
      </c>
      <c r="F1727" s="1" t="s">
        <v>37</v>
      </c>
      <c r="G1727" s="1" t="s">
        <v>4653</v>
      </c>
      <c r="H1727" s="1">
        <v>4154</v>
      </c>
      <c r="I1727" s="1" t="s">
        <v>4654</v>
      </c>
      <c r="J1727" s="1">
        <v>2671</v>
      </c>
      <c r="K1727" s="1" t="s">
        <v>35</v>
      </c>
      <c r="L1727" s="1">
        <v>42</v>
      </c>
      <c r="M1727" s="1" t="str">
        <f>IF(L1727&lt;=45,"Joven","Mayor")</f>
        <v>Joven</v>
      </c>
      <c r="N1727" s="1">
        <v>31</v>
      </c>
      <c r="O1727" s="1" t="s">
        <v>36</v>
      </c>
      <c r="P1727" s="1">
        <v>0.437</v>
      </c>
      <c r="Q1727" s="1">
        <v>81.655000000000001</v>
      </c>
      <c r="R1727" s="1">
        <v>7.7705374000000003</v>
      </c>
      <c r="S1727" s="1">
        <v>10.289213999999999</v>
      </c>
      <c r="T1727" s="1">
        <v>-4.5281260000000003</v>
      </c>
      <c r="U1727" s="1">
        <v>1</v>
      </c>
      <c r="V1727" s="1">
        <v>97</v>
      </c>
      <c r="W1727" s="1">
        <v>166</v>
      </c>
      <c r="X1727" s="1">
        <v>1.7113402061855669</v>
      </c>
      <c r="Y1727" s="1">
        <v>100</v>
      </c>
      <c r="Z1727" s="1">
        <v>166</v>
      </c>
      <c r="AA1727" s="1">
        <v>1.66</v>
      </c>
      <c r="AB1727" s="1">
        <v>103.3984476954963</v>
      </c>
      <c r="AC1727" s="1">
        <v>165.32396706073999</v>
      </c>
      <c r="AD1727" s="1">
        <v>1.5989018282712668</v>
      </c>
      <c r="AE1727" t="s">
        <v>4817</v>
      </c>
      <c r="AF1727" t="str">
        <f>IF(X1727&lt;$AF$1,"Bajo","Alto")</f>
        <v>Bajo</v>
      </c>
      <c r="AG1727" t="str">
        <f>LEFT(AE1727,1)</f>
        <v>C</v>
      </c>
      <c r="AH1727" t="str">
        <f>K1727</f>
        <v>M</v>
      </c>
      <c r="AI1727" t="str">
        <f>LEFT(AF1727,1)</f>
        <v>B</v>
      </c>
      <c r="AJ1727" t="str">
        <f>LEFT(M1727,1)</f>
        <v>J</v>
      </c>
      <c r="AK1727" t="str">
        <f>_xlfn.CONCAT(AG1727,AH1727,AI1727,AJ1727)</f>
        <v>CMBJ</v>
      </c>
    </row>
    <row r="1728" spans="1:37" ht="15.75" hidden="1" customHeight="1" x14ac:dyDescent="0.2">
      <c r="A1728" s="1">
        <v>1533402</v>
      </c>
      <c r="B1728" s="1" t="s">
        <v>2077</v>
      </c>
      <c r="C1728" s="1" t="s">
        <v>57</v>
      </c>
      <c r="D1728" s="1" t="s">
        <v>2426</v>
      </c>
      <c r="E1728" s="1" t="s">
        <v>1423</v>
      </c>
      <c r="F1728" s="1" t="s">
        <v>37</v>
      </c>
      <c r="G1728" s="1" t="s">
        <v>2428</v>
      </c>
      <c r="H1728" s="1">
        <v>18</v>
      </c>
      <c r="I1728" s="1" t="s">
        <v>45</v>
      </c>
      <c r="J1728" s="1">
        <v>17</v>
      </c>
      <c r="K1728" s="1" t="s">
        <v>35</v>
      </c>
      <c r="L1728" s="1">
        <v>29</v>
      </c>
      <c r="M1728" s="1" t="str">
        <f>IF(L1728&lt;=45,"Joven","Mayor")</f>
        <v>Joven</v>
      </c>
      <c r="N1728" s="1">
        <v>28</v>
      </c>
      <c r="O1728" s="1" t="s">
        <v>36</v>
      </c>
      <c r="P1728" s="1">
        <v>0.53400000000000003</v>
      </c>
      <c r="Q1728" s="1">
        <v>88.712999999999994</v>
      </c>
      <c r="R1728" s="1">
        <v>5.3489285000000004</v>
      </c>
      <c r="S1728" s="1">
        <v>6.8474529999999998</v>
      </c>
      <c r="T1728" s="1">
        <v>-0.85774326000000001</v>
      </c>
      <c r="U1728" s="1">
        <v>5.4779999999999998</v>
      </c>
      <c r="V1728" s="1">
        <v>91</v>
      </c>
      <c r="W1728" s="1">
        <v>168</v>
      </c>
      <c r="X1728" s="1">
        <v>1.8461538461538463</v>
      </c>
      <c r="Y1728" s="1">
        <v>92</v>
      </c>
      <c r="Z1728" s="1">
        <v>168</v>
      </c>
      <c r="AA1728" s="1">
        <v>1.826086956521739</v>
      </c>
      <c r="AB1728" s="1">
        <v>91.603568273395013</v>
      </c>
      <c r="AC1728" s="1">
        <v>167.99614464411749</v>
      </c>
      <c r="AD1728" s="1">
        <v>1.8339476049964054</v>
      </c>
      <c r="AE1728" t="s">
        <v>4817</v>
      </c>
      <c r="AF1728" t="str">
        <f>IF(X1728&lt;$AF$1,"Bajo","Alto")</f>
        <v>Alto</v>
      </c>
      <c r="AG1728" t="str">
        <f>LEFT(AE1728,1)</f>
        <v>C</v>
      </c>
      <c r="AH1728" t="str">
        <f>K1728</f>
        <v>M</v>
      </c>
      <c r="AI1728" t="str">
        <f>LEFT(AF1728,1)</f>
        <v>A</v>
      </c>
      <c r="AJ1728" t="str">
        <f>LEFT(M1728,1)</f>
        <v>J</v>
      </c>
      <c r="AK1728" t="str">
        <f>_xlfn.CONCAT(AG1728,AH1728,AI1728,AJ1728)</f>
        <v>CMAJ</v>
      </c>
    </row>
    <row r="1729" spans="1:37" ht="15.75" hidden="1" customHeight="1" x14ac:dyDescent="0.2">
      <c r="A1729" s="1">
        <v>238801</v>
      </c>
      <c r="B1729" s="1" t="s">
        <v>319</v>
      </c>
      <c r="C1729" s="1" t="s">
        <v>1989</v>
      </c>
      <c r="D1729" s="1" t="s">
        <v>3097</v>
      </c>
      <c r="E1729" s="1" t="s">
        <v>763</v>
      </c>
      <c r="F1729" s="1" t="s">
        <v>32</v>
      </c>
      <c r="G1729" s="1" t="s">
        <v>3098</v>
      </c>
      <c r="H1729" s="1">
        <v>2240</v>
      </c>
      <c r="I1729" s="1" t="s">
        <v>100</v>
      </c>
      <c r="J1729" s="1">
        <v>1</v>
      </c>
      <c r="K1729" s="1" t="s">
        <v>35</v>
      </c>
      <c r="L1729" s="1">
        <v>63</v>
      </c>
      <c r="M1729" s="1" t="str">
        <f>IF(L1729&lt;=45,"Joven","Mayor")</f>
        <v>Mayor</v>
      </c>
      <c r="N1729" s="1">
        <v>49</v>
      </c>
      <c r="O1729" s="1" t="s">
        <v>36</v>
      </c>
      <c r="P1729" s="1">
        <v>0.28799999999999998</v>
      </c>
      <c r="Q1729" s="1">
        <v>94.798000000000002</v>
      </c>
      <c r="R1729" s="1">
        <v>0.27252710000000002</v>
      </c>
      <c r="S1729" s="1">
        <v>0.23288554</v>
      </c>
      <c r="T1729" s="1">
        <v>-1.4320732</v>
      </c>
      <c r="U1729" s="1">
        <v>1.0760000000000001</v>
      </c>
      <c r="V1729" s="1">
        <v>89</v>
      </c>
      <c r="W1729" s="1">
        <v>151</v>
      </c>
      <c r="X1729" s="1">
        <v>1.696629213483146</v>
      </c>
      <c r="Y1729" s="1">
        <v>93</v>
      </c>
      <c r="Z1729" s="1">
        <v>151</v>
      </c>
      <c r="AA1729" s="1">
        <v>1.6236559139784945</v>
      </c>
      <c r="AB1729" s="1">
        <v>92.071247603427537</v>
      </c>
      <c r="AC1729" s="1">
        <v>151.12777865243331</v>
      </c>
      <c r="AD1729" s="1">
        <v>1.6414220789466882</v>
      </c>
      <c r="AE1729" t="s">
        <v>4817</v>
      </c>
      <c r="AF1729" t="str">
        <f>IF(X1729&lt;$AF$1,"Bajo","Alto")</f>
        <v>Bajo</v>
      </c>
      <c r="AG1729" t="str">
        <f>LEFT(AE1729,1)</f>
        <v>C</v>
      </c>
      <c r="AH1729" t="str">
        <f>K1729</f>
        <v>M</v>
      </c>
      <c r="AI1729" t="str">
        <f>LEFT(AF1729,1)</f>
        <v>B</v>
      </c>
      <c r="AJ1729" t="str">
        <f>LEFT(M1729,1)</f>
        <v>M</v>
      </c>
      <c r="AK1729" t="str">
        <f>_xlfn.CONCAT(AG1729,AH1729,AI1729,AJ1729)</f>
        <v>CMBM</v>
      </c>
    </row>
    <row r="1730" spans="1:37" ht="15.75" hidden="1" customHeight="1" x14ac:dyDescent="0.2">
      <c r="A1730" s="1">
        <v>1521801</v>
      </c>
      <c r="B1730" s="1" t="s">
        <v>2077</v>
      </c>
      <c r="C1730" s="1" t="s">
        <v>57</v>
      </c>
      <c r="D1730" s="1" t="s">
        <v>2253</v>
      </c>
      <c r="E1730" s="1" t="s">
        <v>410</v>
      </c>
      <c r="F1730" s="1" t="s">
        <v>32</v>
      </c>
      <c r="G1730" s="1" t="s">
        <v>2254</v>
      </c>
      <c r="H1730" s="1">
        <v>124</v>
      </c>
      <c r="I1730" s="1" t="s">
        <v>34</v>
      </c>
      <c r="J1730" s="1">
        <v>10</v>
      </c>
      <c r="K1730" s="1" t="s">
        <v>35</v>
      </c>
      <c r="L1730" s="1">
        <v>54</v>
      </c>
      <c r="M1730" s="1" t="str">
        <f>IF(L1730&lt;=45,"Joven","Mayor")</f>
        <v>Mayor</v>
      </c>
      <c r="N1730" s="1">
        <v>63</v>
      </c>
      <c r="O1730" s="1" t="s">
        <v>36</v>
      </c>
      <c r="P1730" s="1">
        <v>1.425</v>
      </c>
      <c r="Q1730" s="1">
        <v>89.042000000000002</v>
      </c>
      <c r="R1730" s="1">
        <v>-4.3526087000000002</v>
      </c>
      <c r="S1730" s="1">
        <v>7.9628589999999999</v>
      </c>
      <c r="T1730" s="1">
        <v>3.0730692999999998</v>
      </c>
      <c r="U1730" s="1">
        <v>4.1890000000000001</v>
      </c>
      <c r="V1730" s="1">
        <v>116</v>
      </c>
      <c r="W1730" s="1">
        <v>211</v>
      </c>
      <c r="X1730" s="1">
        <v>1.8189655172413792</v>
      </c>
      <c r="Y1730" s="1">
        <v>116</v>
      </c>
      <c r="Z1730" s="1">
        <v>211</v>
      </c>
      <c r="AA1730" s="1">
        <v>1.8189655172413792</v>
      </c>
      <c r="AB1730" s="1">
        <v>118.7817101237265</v>
      </c>
      <c r="AC1730" s="1">
        <v>210.91101535786581</v>
      </c>
      <c r="AD1730" s="1">
        <v>1.7756186128165248</v>
      </c>
      <c r="AE1730" t="s">
        <v>4815</v>
      </c>
      <c r="AF1730" t="str">
        <f>IF(X1730&lt;$AF$1,"Bajo","Alto")</f>
        <v>Alto</v>
      </c>
      <c r="AG1730" t="str">
        <f>LEFT(AE1730,1)</f>
        <v>I</v>
      </c>
      <c r="AH1730" t="str">
        <f>K1730</f>
        <v>M</v>
      </c>
      <c r="AI1730" t="str">
        <f>LEFT(AF1730,1)</f>
        <v>A</v>
      </c>
      <c r="AJ1730" t="str">
        <f>LEFT(M1730,1)</f>
        <v>M</v>
      </c>
      <c r="AK1730" t="str">
        <f>_xlfn.CONCAT(AG1730,AH1730,AI1730,AJ1730)</f>
        <v>IMAM</v>
      </c>
    </row>
    <row r="1731" spans="1:37" ht="15.75" hidden="1" customHeight="1" x14ac:dyDescent="0.2">
      <c r="A1731" s="1">
        <v>150402</v>
      </c>
      <c r="B1731" s="1" t="s">
        <v>2077</v>
      </c>
      <c r="C1731" s="1" t="s">
        <v>57</v>
      </c>
      <c r="D1731" s="1" t="s">
        <v>2078</v>
      </c>
      <c r="E1731" s="1" t="s">
        <v>61</v>
      </c>
      <c r="F1731" s="1" t="s">
        <v>37</v>
      </c>
      <c r="G1731" s="1" t="s">
        <v>2080</v>
      </c>
      <c r="H1731" s="1">
        <v>2111</v>
      </c>
      <c r="I1731" s="1" t="s">
        <v>2081</v>
      </c>
      <c r="J1731" s="1">
        <v>2241</v>
      </c>
      <c r="K1731" s="1" t="s">
        <v>49</v>
      </c>
      <c r="L1731" s="1">
        <v>32</v>
      </c>
      <c r="M1731" s="1" t="str">
        <f>IF(L1731&lt;=45,"Joven","Mayor")</f>
        <v>Joven</v>
      </c>
      <c r="N1731" s="1">
        <v>36</v>
      </c>
      <c r="O1731" s="1" t="s">
        <v>50</v>
      </c>
      <c r="P1731" s="1">
        <v>0.36899999999999999</v>
      </c>
      <c r="Q1731" s="1">
        <v>80.432000000000002</v>
      </c>
      <c r="R1731" s="1">
        <v>9.9896239999999992</v>
      </c>
      <c r="S1731" s="1">
        <v>4.2188509999999999</v>
      </c>
      <c r="T1731" s="1">
        <v>-4.1883059999999999</v>
      </c>
      <c r="U1731" s="1">
        <v>40.81</v>
      </c>
      <c r="V1731" s="1">
        <v>63</v>
      </c>
      <c r="W1731" s="1">
        <v>108</v>
      </c>
      <c r="X1731" s="1">
        <v>1.7142857142857142</v>
      </c>
      <c r="Y1731" s="1">
        <v>67</v>
      </c>
      <c r="Z1731" s="1">
        <v>108</v>
      </c>
      <c r="AA1731" s="1">
        <v>1.6119402985074627</v>
      </c>
      <c r="AB1731" s="1">
        <v>65.168861106882105</v>
      </c>
      <c r="AC1731" s="1">
        <v>107.93067959703011</v>
      </c>
      <c r="AD1731" s="1">
        <v>1.6561694920525805</v>
      </c>
      <c r="AE1731" t="s">
        <v>4817</v>
      </c>
      <c r="AF1731" t="str">
        <f>IF(X1731&lt;$AF$1,"Bajo","Alto")</f>
        <v>Bajo</v>
      </c>
      <c r="AG1731" t="str">
        <f>LEFT(AE1731,1)</f>
        <v>C</v>
      </c>
      <c r="AH1731" t="str">
        <f>K1731</f>
        <v>F</v>
      </c>
      <c r="AI1731" t="str">
        <f>LEFT(AF1731,1)</f>
        <v>B</v>
      </c>
      <c r="AJ1731" t="str">
        <f>LEFT(M1731,1)</f>
        <v>J</v>
      </c>
      <c r="AK1731" t="str">
        <f>_xlfn.CONCAT(AG1731,AH1731,AI1731,AJ1731)</f>
        <v>CFBJ</v>
      </c>
    </row>
    <row r="1732" spans="1:37" ht="15.75" hidden="1" customHeight="1" x14ac:dyDescent="0.2">
      <c r="A1732" s="1">
        <v>2718705</v>
      </c>
      <c r="B1732" s="1" t="s">
        <v>3409</v>
      </c>
      <c r="C1732" s="1" t="s">
        <v>973</v>
      </c>
      <c r="D1732" s="1" t="s">
        <v>3586</v>
      </c>
      <c r="E1732" s="1" t="s">
        <v>316</v>
      </c>
      <c r="F1732" s="1" t="s">
        <v>40</v>
      </c>
      <c r="G1732" s="1" t="s">
        <v>3590</v>
      </c>
      <c r="H1732" s="1">
        <v>1236</v>
      </c>
      <c r="I1732" s="1" t="s">
        <v>3591</v>
      </c>
      <c r="J1732" s="1">
        <v>4627</v>
      </c>
      <c r="K1732" s="1" t="s">
        <v>35</v>
      </c>
      <c r="L1732" s="1">
        <v>46</v>
      </c>
      <c r="M1732" s="1" t="str">
        <f>IF(L1732&lt;=45,"Joven","Mayor")</f>
        <v>Mayor</v>
      </c>
      <c r="N1732" s="1">
        <v>47</v>
      </c>
      <c r="O1732" s="1" t="s">
        <v>36</v>
      </c>
      <c r="P1732" s="1">
        <v>0.35899999999999999</v>
      </c>
      <c r="Q1732" s="1">
        <v>93.317999999999998</v>
      </c>
      <c r="R1732" s="1">
        <v>1.0999319999999999</v>
      </c>
      <c r="S1732" s="1">
        <v>5.2553014999999998</v>
      </c>
      <c r="T1732" s="1">
        <v>7.3432097000000001</v>
      </c>
      <c r="U1732" s="1">
        <v>1.5620000000000001</v>
      </c>
      <c r="V1732" s="1">
        <v>97</v>
      </c>
      <c r="W1732" s="1">
        <v>178</v>
      </c>
      <c r="X1732" s="1">
        <v>1.8350515463917525</v>
      </c>
      <c r="Y1732" s="1">
        <v>111</v>
      </c>
      <c r="Z1732" s="1">
        <v>178</v>
      </c>
      <c r="AA1732" s="1">
        <v>1.6036036036036037</v>
      </c>
      <c r="AB1732" s="1">
        <v>106.51086202528791</v>
      </c>
      <c r="AC1732" s="1">
        <v>179.2241683854572</v>
      </c>
      <c r="AD1732" s="1">
        <v>1.6826844227671882</v>
      </c>
      <c r="AE1732" t="s">
        <v>4817</v>
      </c>
      <c r="AF1732" t="str">
        <f>IF(X1732&lt;$AF$1,"Bajo","Alto")</f>
        <v>Alto</v>
      </c>
      <c r="AG1732" t="str">
        <f>LEFT(AE1732,1)</f>
        <v>C</v>
      </c>
      <c r="AH1732" t="str">
        <f>K1732</f>
        <v>M</v>
      </c>
      <c r="AI1732" t="str">
        <f>LEFT(AF1732,1)</f>
        <v>A</v>
      </c>
      <c r="AJ1732" t="str">
        <f>LEFT(M1732,1)</f>
        <v>M</v>
      </c>
      <c r="AK1732" t="str">
        <f>_xlfn.CONCAT(AG1732,AH1732,AI1732,AJ1732)</f>
        <v>CMAM</v>
      </c>
    </row>
    <row r="1733" spans="1:37" ht="15.75" hidden="1" customHeight="1" x14ac:dyDescent="0.2">
      <c r="A1733" s="1">
        <v>255402</v>
      </c>
      <c r="B1733" s="1" t="s">
        <v>3169</v>
      </c>
      <c r="C1733" s="1" t="s">
        <v>821</v>
      </c>
      <c r="D1733" s="1" t="s">
        <v>3272</v>
      </c>
      <c r="E1733" s="1" t="s">
        <v>3148</v>
      </c>
      <c r="F1733" s="1" t="s">
        <v>37</v>
      </c>
      <c r="G1733" s="1" t="s">
        <v>3273</v>
      </c>
      <c r="H1733" s="1">
        <v>1392</v>
      </c>
      <c r="I1733" s="1" t="s">
        <v>85</v>
      </c>
      <c r="J1733" s="1">
        <v>12</v>
      </c>
      <c r="K1733" s="1" t="s">
        <v>35</v>
      </c>
      <c r="L1733" s="1">
        <v>39</v>
      </c>
      <c r="M1733" s="1" t="str">
        <f>IF(L1733&lt;=45,"Joven","Mayor")</f>
        <v>Joven</v>
      </c>
      <c r="N1733" s="1">
        <v>46</v>
      </c>
      <c r="O1733" s="1" t="s">
        <v>36</v>
      </c>
      <c r="P1733" s="1">
        <v>0.36099999999999999</v>
      </c>
      <c r="Q1733" s="1">
        <v>92.308000000000007</v>
      </c>
      <c r="R1733" s="1">
        <v>2.4250143</v>
      </c>
      <c r="S1733" s="1">
        <v>-5.6652380000000004</v>
      </c>
      <c r="T1733" s="1">
        <v>-3.0338450999999999E-2</v>
      </c>
      <c r="U1733" s="1">
        <v>13.349</v>
      </c>
      <c r="V1733" s="1">
        <v>106</v>
      </c>
      <c r="W1733" s="1">
        <v>194</v>
      </c>
      <c r="X1733" s="1">
        <v>1.8301886792452831</v>
      </c>
      <c r="Y1733" s="1">
        <v>106</v>
      </c>
      <c r="Z1733" s="1">
        <v>194</v>
      </c>
      <c r="AA1733" s="1">
        <v>1.8301886792452831</v>
      </c>
      <c r="AB1733" s="1">
        <v>106.0243424084656</v>
      </c>
      <c r="AC1733" s="1">
        <v>194.0010318151549</v>
      </c>
      <c r="AD1733" s="1">
        <v>1.8297782132687364</v>
      </c>
      <c r="AE1733" t="s">
        <v>4815</v>
      </c>
      <c r="AF1733" t="str">
        <f>IF(X1733&lt;$AF$1,"Bajo","Alto")</f>
        <v>Alto</v>
      </c>
      <c r="AG1733" t="str">
        <f>LEFT(AE1733,1)</f>
        <v>I</v>
      </c>
      <c r="AH1733" t="str">
        <f>K1733</f>
        <v>M</v>
      </c>
      <c r="AI1733" t="str">
        <f>LEFT(AF1733,1)</f>
        <v>A</v>
      </c>
      <c r="AJ1733" t="str">
        <f>LEFT(M1733,1)</f>
        <v>J</v>
      </c>
      <c r="AK1733" t="str">
        <f>_xlfn.CONCAT(AG1733,AH1733,AI1733,AJ1733)</f>
        <v>IMAJ</v>
      </c>
    </row>
    <row r="1734" spans="1:37" ht="15.75" hidden="1" customHeight="1" x14ac:dyDescent="0.2">
      <c r="A1734" s="1">
        <v>3110606</v>
      </c>
      <c r="B1734" s="1" t="s">
        <v>4122</v>
      </c>
      <c r="C1734" s="1" t="s">
        <v>628</v>
      </c>
      <c r="D1734" s="1" t="s">
        <v>4148</v>
      </c>
      <c r="E1734" s="1" t="s">
        <v>95</v>
      </c>
      <c r="F1734" s="1" t="s">
        <v>88</v>
      </c>
      <c r="G1734" s="1" t="s">
        <v>4153</v>
      </c>
      <c r="H1734" s="1">
        <v>14487</v>
      </c>
      <c r="I1734" s="1" t="s">
        <v>4154</v>
      </c>
      <c r="J1734" s="1">
        <v>4390</v>
      </c>
      <c r="K1734" s="1" t="s">
        <v>35</v>
      </c>
      <c r="L1734" s="1">
        <v>38</v>
      </c>
      <c r="M1734" s="1" t="str">
        <f>IF(L1734&lt;=45,"Joven","Mayor")</f>
        <v>Joven</v>
      </c>
      <c r="N1734" s="1">
        <v>22</v>
      </c>
      <c r="O1734" s="1" t="s">
        <v>36</v>
      </c>
      <c r="P1734" s="1">
        <v>0.35899999999999999</v>
      </c>
      <c r="Q1734" s="1">
        <v>93.778000000000006</v>
      </c>
      <c r="R1734" s="1">
        <v>1.0467213</v>
      </c>
      <c r="S1734" s="1">
        <v>3.6467000000000001</v>
      </c>
      <c r="T1734" s="1">
        <v>-2.7268522000000002</v>
      </c>
      <c r="U1734" s="1">
        <v>5.2960000000000003</v>
      </c>
      <c r="V1734" s="1">
        <v>130</v>
      </c>
      <c r="W1734" s="1">
        <v>240</v>
      </c>
      <c r="X1734" s="1">
        <v>1.8461538461538463</v>
      </c>
      <c r="Y1734" s="1">
        <v>135</v>
      </c>
      <c r="Z1734" s="1">
        <v>240</v>
      </c>
      <c r="AA1734" s="1">
        <v>1.7777777777777777</v>
      </c>
      <c r="AB1734" s="1">
        <v>133.04029665525809</v>
      </c>
      <c r="AC1734" s="1">
        <v>239.91854355123539</v>
      </c>
      <c r="AD1734" s="1">
        <v>1.8033524396967224</v>
      </c>
      <c r="AE1734" t="s">
        <v>4817</v>
      </c>
      <c r="AF1734" t="str">
        <f>IF(X1734&lt;$AF$1,"Bajo","Alto")</f>
        <v>Alto</v>
      </c>
      <c r="AG1734" t="str">
        <f>LEFT(AE1734,1)</f>
        <v>C</v>
      </c>
      <c r="AH1734" t="str">
        <f>K1734</f>
        <v>M</v>
      </c>
      <c r="AI1734" t="str">
        <f>LEFT(AF1734,1)</f>
        <v>A</v>
      </c>
      <c r="AJ1734" t="str">
        <f>LEFT(M1734,1)</f>
        <v>J</v>
      </c>
      <c r="AK1734" t="str">
        <f>_xlfn.CONCAT(AG1734,AH1734,AI1734,AJ1734)</f>
        <v>CMAJ</v>
      </c>
    </row>
    <row r="1735" spans="1:37" ht="15.75" hidden="1" customHeight="1" x14ac:dyDescent="0.2">
      <c r="A1735" s="1">
        <v>197902</v>
      </c>
      <c r="B1735" s="1" t="s">
        <v>2656</v>
      </c>
      <c r="C1735" s="1" t="s">
        <v>323</v>
      </c>
      <c r="D1735" s="1" t="s">
        <v>2793</v>
      </c>
      <c r="E1735" s="1" t="s">
        <v>739</v>
      </c>
      <c r="F1735" s="1" t="s">
        <v>37</v>
      </c>
      <c r="G1735" s="1" t="s">
        <v>2794</v>
      </c>
      <c r="H1735" s="1">
        <v>842</v>
      </c>
      <c r="I1735" s="1" t="s">
        <v>48</v>
      </c>
      <c r="J1735" s="1">
        <v>4</v>
      </c>
      <c r="K1735" s="1" t="s">
        <v>35</v>
      </c>
      <c r="L1735" s="1">
        <v>40</v>
      </c>
      <c r="M1735" s="1" t="str">
        <f>IF(L1735&lt;=45,"Joven","Mayor")</f>
        <v>Joven</v>
      </c>
      <c r="N1735" s="1">
        <v>46</v>
      </c>
      <c r="O1735" s="1" t="s">
        <v>36</v>
      </c>
      <c r="P1735" s="1">
        <v>0.36099999999999999</v>
      </c>
      <c r="Q1735" s="1">
        <v>91.456000000000003</v>
      </c>
      <c r="R1735" s="1">
        <v>-4.1837444000000001</v>
      </c>
      <c r="S1735" s="1">
        <v>3.6338727</v>
      </c>
      <c r="T1735" s="1">
        <v>4.9519510000000002</v>
      </c>
      <c r="U1735" s="1">
        <v>53.337000000000003</v>
      </c>
      <c r="V1735" s="1">
        <v>97</v>
      </c>
      <c r="W1735" s="1">
        <v>179</v>
      </c>
      <c r="X1735" s="1">
        <v>1.8453608247422681</v>
      </c>
      <c r="Y1735" s="1">
        <v>101</v>
      </c>
      <c r="Z1735" s="1">
        <v>179</v>
      </c>
      <c r="AA1735" s="1">
        <v>1.7722772277227723</v>
      </c>
      <c r="AB1735" s="1">
        <v>101.4718777082453</v>
      </c>
      <c r="AC1735" s="1">
        <v>178.4181916466691</v>
      </c>
      <c r="AD1735" s="1">
        <v>1.7583018632971583</v>
      </c>
      <c r="AE1735" t="s">
        <v>4817</v>
      </c>
      <c r="AF1735" t="str">
        <f>IF(X1735&lt;$AF$1,"Bajo","Alto")</f>
        <v>Alto</v>
      </c>
      <c r="AG1735" t="str">
        <f>LEFT(AE1735,1)</f>
        <v>C</v>
      </c>
      <c r="AH1735" t="str">
        <f>K1735</f>
        <v>M</v>
      </c>
      <c r="AI1735" t="str">
        <f>LEFT(AF1735,1)</f>
        <v>A</v>
      </c>
      <c r="AJ1735" t="str">
        <f>LEFT(M1735,1)</f>
        <v>J</v>
      </c>
      <c r="AK1735" t="str">
        <f>_xlfn.CONCAT(AG1735,AH1735,AI1735,AJ1735)</f>
        <v>CMAJ</v>
      </c>
    </row>
    <row r="1736" spans="1:37" ht="15.75" hidden="1" customHeight="1" x14ac:dyDescent="0.2">
      <c r="A1736" s="1">
        <v>2912703</v>
      </c>
      <c r="B1736" s="1" t="s">
        <v>3890</v>
      </c>
      <c r="C1736" s="1" t="s">
        <v>1695</v>
      </c>
      <c r="D1736" s="1" t="s">
        <v>3959</v>
      </c>
      <c r="E1736" s="1" t="s">
        <v>153</v>
      </c>
      <c r="F1736" s="1" t="s">
        <v>63</v>
      </c>
      <c r="G1736" s="1" t="s">
        <v>3962</v>
      </c>
      <c r="H1736" s="1">
        <v>42</v>
      </c>
      <c r="I1736" s="1" t="s">
        <v>45</v>
      </c>
      <c r="J1736" s="1">
        <v>17</v>
      </c>
      <c r="K1736" s="1" t="s">
        <v>35</v>
      </c>
      <c r="L1736" s="1">
        <v>55</v>
      </c>
      <c r="M1736" s="1" t="str">
        <f>IF(L1736&lt;=45,"Joven","Mayor")</f>
        <v>Mayor</v>
      </c>
      <c r="N1736" s="1">
        <v>59</v>
      </c>
      <c r="O1736" s="1" t="s">
        <v>36</v>
      </c>
      <c r="P1736" s="1">
        <v>1.169</v>
      </c>
      <c r="Q1736" s="1">
        <v>86.899000000000001</v>
      </c>
      <c r="R1736" s="1">
        <v>-7.7690780000000004</v>
      </c>
      <c r="S1736" s="1">
        <v>1.2557883000000001</v>
      </c>
      <c r="T1736" s="1">
        <v>3.6658487000000002</v>
      </c>
      <c r="U1736" s="1">
        <v>4.4909999999999997</v>
      </c>
      <c r="V1736" s="1">
        <v>86</v>
      </c>
      <c r="W1736" s="1">
        <v>146</v>
      </c>
      <c r="X1736" s="1">
        <v>1.6976744186046511</v>
      </c>
      <c r="Y1736" s="1">
        <v>91</v>
      </c>
      <c r="Z1736" s="1">
        <v>146</v>
      </c>
      <c r="AA1736" s="1">
        <v>1.6043956043956045</v>
      </c>
      <c r="AB1736" s="1">
        <v>88.445472836619501</v>
      </c>
      <c r="AC1736" s="1">
        <v>145.89308268509791</v>
      </c>
      <c r="AD1736" s="1">
        <v>1.6495257247886304</v>
      </c>
      <c r="AE1736" t="s">
        <v>4817</v>
      </c>
      <c r="AF1736" t="str">
        <f>IF(X1736&lt;$AF$1,"Bajo","Alto")</f>
        <v>Bajo</v>
      </c>
      <c r="AG1736" t="str">
        <f>LEFT(AE1736,1)</f>
        <v>C</v>
      </c>
      <c r="AH1736" t="str">
        <f>K1736</f>
        <v>M</v>
      </c>
      <c r="AI1736" t="str">
        <f>LEFT(AF1736,1)</f>
        <v>B</v>
      </c>
      <c r="AJ1736" t="str">
        <f>LEFT(M1736,1)</f>
        <v>M</v>
      </c>
      <c r="AK1736" t="str">
        <f>_xlfn.CONCAT(AG1736,AH1736,AI1736,AJ1736)</f>
        <v>CMBM</v>
      </c>
    </row>
    <row r="1737" spans="1:37" ht="15.75" hidden="1" customHeight="1" x14ac:dyDescent="0.2">
      <c r="A1737" s="1">
        <v>1513305</v>
      </c>
      <c r="B1737" s="1" t="s">
        <v>2077</v>
      </c>
      <c r="C1737" s="1" t="s">
        <v>57</v>
      </c>
      <c r="D1737" s="1" t="s">
        <v>2149</v>
      </c>
      <c r="E1737" s="1" t="s">
        <v>169</v>
      </c>
      <c r="F1737" s="1" t="s">
        <v>40</v>
      </c>
      <c r="G1737" s="1" t="s">
        <v>2155</v>
      </c>
      <c r="H1737" s="1">
        <v>1151</v>
      </c>
      <c r="I1737" s="1" t="s">
        <v>2156</v>
      </c>
      <c r="J1737" s="1">
        <v>2285</v>
      </c>
      <c r="K1737" s="1" t="s">
        <v>35</v>
      </c>
      <c r="L1737" s="1">
        <v>39</v>
      </c>
      <c r="M1737" s="1" t="str">
        <f>IF(L1737&lt;=45,"Joven","Mayor")</f>
        <v>Joven</v>
      </c>
      <c r="N1737" s="1">
        <v>47</v>
      </c>
      <c r="O1737" s="1" t="s">
        <v>36</v>
      </c>
      <c r="P1737" s="1">
        <v>5.2999999999999999E-2</v>
      </c>
      <c r="Q1737" s="1">
        <v>93.152000000000001</v>
      </c>
      <c r="R1737" s="1">
        <v>2.9455035000000001</v>
      </c>
      <c r="S1737" s="1">
        <v>1.4403554000000001</v>
      </c>
      <c r="T1737" s="1">
        <v>-2.2731278000000001</v>
      </c>
      <c r="U1737" s="1">
        <v>4.242</v>
      </c>
      <c r="V1737" s="1">
        <v>104</v>
      </c>
      <c r="W1737" s="1">
        <v>178</v>
      </c>
      <c r="X1737" s="1">
        <v>1.7115384615384615</v>
      </c>
      <c r="Y1737" s="1">
        <v>109</v>
      </c>
      <c r="Z1737" s="1">
        <v>178</v>
      </c>
      <c r="AA1737" s="1">
        <v>1.6330275229357798</v>
      </c>
      <c r="AB1737" s="1">
        <v>110.5404181644888</v>
      </c>
      <c r="AC1737" s="1">
        <v>177.66161732284809</v>
      </c>
      <c r="AD1737" s="1">
        <v>1.6072095643647748</v>
      </c>
      <c r="AE1737" t="s">
        <v>4817</v>
      </c>
      <c r="AF1737" t="str">
        <f>IF(X1737&lt;$AF$1,"Bajo","Alto")</f>
        <v>Bajo</v>
      </c>
      <c r="AG1737" t="str">
        <f>LEFT(AE1737,1)</f>
        <v>C</v>
      </c>
      <c r="AH1737" t="str">
        <f>K1737</f>
        <v>M</v>
      </c>
      <c r="AI1737" t="str">
        <f>LEFT(AF1737,1)</f>
        <v>B</v>
      </c>
      <c r="AJ1737" t="str">
        <f>LEFT(M1737,1)</f>
        <v>J</v>
      </c>
      <c r="AK1737" t="str">
        <f>_xlfn.CONCAT(AG1737,AH1737,AI1737,AJ1737)</f>
        <v>CMBJ</v>
      </c>
    </row>
    <row r="1738" spans="1:37" ht="15.75" hidden="1" customHeight="1" x14ac:dyDescent="0.2">
      <c r="A1738" s="1">
        <v>130105</v>
      </c>
      <c r="B1738" s="1" t="s">
        <v>956</v>
      </c>
      <c r="C1738" s="1" t="s">
        <v>163</v>
      </c>
      <c r="D1738" s="1" t="s">
        <v>1949</v>
      </c>
      <c r="E1738" s="1" t="s">
        <v>32</v>
      </c>
      <c r="F1738" s="1" t="s">
        <v>40</v>
      </c>
      <c r="G1738" s="1" t="s">
        <v>1950</v>
      </c>
      <c r="H1738" s="1">
        <v>93608</v>
      </c>
      <c r="I1738" s="1" t="s">
        <v>1951</v>
      </c>
      <c r="J1738" s="1">
        <v>2189</v>
      </c>
      <c r="K1738" s="1" t="s">
        <v>35</v>
      </c>
      <c r="L1738" s="1">
        <v>40</v>
      </c>
      <c r="M1738" s="1" t="str">
        <f>IF(L1738&lt;=45,"Joven","Mayor")</f>
        <v>Joven</v>
      </c>
      <c r="N1738" s="1">
        <v>38</v>
      </c>
      <c r="O1738" s="1" t="s">
        <v>36</v>
      </c>
      <c r="P1738" s="1">
        <v>0.33700000000000002</v>
      </c>
      <c r="Q1738" s="1">
        <v>91.340999999999994</v>
      </c>
      <c r="R1738" s="1">
        <v>3.6136694</v>
      </c>
      <c r="S1738" s="1">
        <v>5.5831112999999997</v>
      </c>
      <c r="T1738" s="1">
        <v>-5.4010559999999996</v>
      </c>
      <c r="U1738" s="1">
        <v>13.464</v>
      </c>
      <c r="V1738" s="1">
        <v>111</v>
      </c>
      <c r="W1738" s="1">
        <v>190</v>
      </c>
      <c r="X1738" s="1">
        <v>1.7117117117117118</v>
      </c>
      <c r="Y1738" s="1">
        <v>114</v>
      </c>
      <c r="Z1738" s="1">
        <v>190</v>
      </c>
      <c r="AA1738" s="1">
        <v>1.6666666666666667</v>
      </c>
      <c r="AB1738" s="1">
        <v>115.8724052693576</v>
      </c>
      <c r="AC1738" s="1">
        <v>189.81533032655761</v>
      </c>
      <c r="AD1738" s="1">
        <v>1.6381409351545944</v>
      </c>
      <c r="AE1738" t="s">
        <v>4817</v>
      </c>
      <c r="AF1738" t="str">
        <f>IF(X1738&lt;$AF$1,"Bajo","Alto")</f>
        <v>Bajo</v>
      </c>
      <c r="AG1738" t="str">
        <f>LEFT(AE1738,1)</f>
        <v>C</v>
      </c>
      <c r="AH1738" t="str">
        <f>K1738</f>
        <v>M</v>
      </c>
      <c r="AI1738" t="str">
        <f>LEFT(AF1738,1)</f>
        <v>B</v>
      </c>
      <c r="AJ1738" t="str">
        <f>LEFT(M1738,1)</f>
        <v>J</v>
      </c>
      <c r="AK1738" t="str">
        <f>_xlfn.CONCAT(AG1738,AH1738,AI1738,AJ1738)</f>
        <v>CMBJ</v>
      </c>
    </row>
    <row r="1739" spans="1:37" ht="15.75" hidden="1" customHeight="1" x14ac:dyDescent="0.2">
      <c r="A1739" s="1">
        <v>10116302</v>
      </c>
      <c r="B1739" s="1" t="s">
        <v>29</v>
      </c>
      <c r="C1739" s="1" t="s">
        <v>30</v>
      </c>
      <c r="D1739" s="1" t="s">
        <v>250</v>
      </c>
      <c r="E1739" s="1" t="s">
        <v>251</v>
      </c>
      <c r="F1739" s="1" t="s">
        <v>37</v>
      </c>
      <c r="G1739" s="1" t="s">
        <v>253</v>
      </c>
      <c r="H1739" s="1">
        <v>1573</v>
      </c>
      <c r="I1739" s="1" t="s">
        <v>42</v>
      </c>
      <c r="J1739" s="1">
        <v>15</v>
      </c>
      <c r="K1739" s="1" t="s">
        <v>35</v>
      </c>
      <c r="L1739" s="1">
        <v>41</v>
      </c>
      <c r="M1739" s="1" t="str">
        <f>IF(L1739&lt;=45,"Joven","Mayor")</f>
        <v>Joven</v>
      </c>
      <c r="N1739" s="1">
        <v>50</v>
      </c>
      <c r="O1739" s="1" t="s">
        <v>36</v>
      </c>
      <c r="P1739" s="1">
        <v>0.36</v>
      </c>
      <c r="Q1739" s="1">
        <v>91.912000000000006</v>
      </c>
      <c r="R1739" s="1">
        <v>3.8703153000000001</v>
      </c>
      <c r="S1739" s="1">
        <v>3.102363</v>
      </c>
      <c r="T1739" s="1">
        <v>-0.62717855</v>
      </c>
      <c r="U1739" s="1">
        <v>0.77500000000000002</v>
      </c>
      <c r="V1739" s="1">
        <v>59</v>
      </c>
      <c r="W1739" s="1">
        <v>101</v>
      </c>
      <c r="X1739" s="1">
        <v>1.7118644067796611</v>
      </c>
      <c r="Y1739" s="1">
        <v>60</v>
      </c>
      <c r="Z1739" s="1">
        <v>101</v>
      </c>
      <c r="AA1739" s="1">
        <v>1.6833333333333333</v>
      </c>
      <c r="AB1739" s="1">
        <v>60.313842621963893</v>
      </c>
      <c r="AC1739" s="1">
        <v>100.9939490415582</v>
      </c>
      <c r="AD1739" s="1">
        <v>1.6744737965804923</v>
      </c>
      <c r="AE1739" t="s">
        <v>4817</v>
      </c>
      <c r="AF1739" t="str">
        <f>IF(X1739&lt;$AF$1,"Bajo","Alto")</f>
        <v>Bajo</v>
      </c>
      <c r="AG1739" t="str">
        <f>LEFT(AE1739,1)</f>
        <v>C</v>
      </c>
      <c r="AH1739" t="str">
        <f>K1739</f>
        <v>M</v>
      </c>
      <c r="AI1739" t="str">
        <f>LEFT(AF1739,1)</f>
        <v>B</v>
      </c>
      <c r="AJ1739" t="str">
        <f>LEFT(M1739,1)</f>
        <v>J</v>
      </c>
      <c r="AK1739" t="str">
        <f>_xlfn.CONCAT(AG1739,AH1739,AI1739,AJ1739)</f>
        <v>CMBJ</v>
      </c>
    </row>
    <row r="1740" spans="1:37" ht="15.75" hidden="1" customHeight="1" x14ac:dyDescent="0.2">
      <c r="A1740" s="1">
        <v>1052805</v>
      </c>
      <c r="B1740" s="1" t="s">
        <v>694</v>
      </c>
      <c r="C1740" s="1" t="s">
        <v>879</v>
      </c>
      <c r="D1740" s="1" t="s">
        <v>976</v>
      </c>
      <c r="E1740" s="1" t="s">
        <v>561</v>
      </c>
      <c r="F1740" s="1" t="s">
        <v>40</v>
      </c>
      <c r="G1740" s="1" t="s">
        <v>980</v>
      </c>
      <c r="H1740" s="1">
        <v>25122</v>
      </c>
      <c r="I1740" s="1" t="s">
        <v>981</v>
      </c>
      <c r="J1740" s="1">
        <v>3694</v>
      </c>
      <c r="K1740" s="1" t="s">
        <v>35</v>
      </c>
      <c r="L1740" s="1">
        <v>32</v>
      </c>
      <c r="M1740" s="1" t="str">
        <f>IF(L1740&lt;=45,"Joven","Mayor")</f>
        <v>Joven</v>
      </c>
      <c r="N1740" s="1">
        <v>29</v>
      </c>
      <c r="O1740" s="1" t="s">
        <v>36</v>
      </c>
      <c r="P1740" s="1">
        <v>0.98299999999999998</v>
      </c>
      <c r="Q1740" s="1">
        <v>89.688000000000002</v>
      </c>
      <c r="R1740" s="1">
        <v>4.7164640000000002</v>
      </c>
      <c r="S1740" s="1">
        <v>6.178388</v>
      </c>
      <c r="T1740" s="1">
        <v>-4.2045636000000002</v>
      </c>
      <c r="U1740" s="1">
        <v>1.448</v>
      </c>
      <c r="V1740" s="1">
        <v>66</v>
      </c>
      <c r="W1740" s="1">
        <v>113</v>
      </c>
      <c r="X1740" s="1">
        <v>1.7121212121212122</v>
      </c>
      <c r="Y1740" s="1">
        <v>67</v>
      </c>
      <c r="Z1740" s="1">
        <v>113</v>
      </c>
      <c r="AA1740" s="1">
        <v>1.6865671641791045</v>
      </c>
      <c r="AB1740" s="1">
        <v>69.312478440081804</v>
      </c>
      <c r="AC1740" s="1">
        <v>112.402605862073</v>
      </c>
      <c r="AD1740" s="1">
        <v>1.6216792183999176</v>
      </c>
      <c r="AE1740" t="s">
        <v>4817</v>
      </c>
      <c r="AF1740" t="str">
        <f>IF(X1740&lt;$AF$1,"Bajo","Alto")</f>
        <v>Bajo</v>
      </c>
      <c r="AG1740" t="str">
        <f>LEFT(AE1740,1)</f>
        <v>C</v>
      </c>
      <c r="AH1740" t="str">
        <f>K1740</f>
        <v>M</v>
      </c>
      <c r="AI1740" t="str">
        <f>LEFT(AF1740,1)</f>
        <v>B</v>
      </c>
      <c r="AJ1740" t="str">
        <f>LEFT(M1740,1)</f>
        <v>J</v>
      </c>
      <c r="AK1740" t="str">
        <f>_xlfn.CONCAT(AG1740,AH1740,AI1740,AJ1740)</f>
        <v>CMBJ</v>
      </c>
    </row>
    <row r="1741" spans="1:37" ht="15.75" hidden="1" customHeight="1" x14ac:dyDescent="0.2">
      <c r="A1741" s="1">
        <v>10727703</v>
      </c>
      <c r="B1741" s="1" t="s">
        <v>1067</v>
      </c>
      <c r="C1741" s="1" t="s">
        <v>1068</v>
      </c>
      <c r="D1741" s="1" t="s">
        <v>1326</v>
      </c>
      <c r="E1741" s="1" t="s">
        <v>550</v>
      </c>
      <c r="F1741" s="1" t="s">
        <v>63</v>
      </c>
      <c r="G1741" s="1" t="s">
        <v>1328</v>
      </c>
      <c r="H1741" s="1">
        <v>1434</v>
      </c>
      <c r="I1741" s="1" t="s">
        <v>93</v>
      </c>
      <c r="J1741" s="1">
        <v>9</v>
      </c>
      <c r="K1741" s="1" t="s">
        <v>35</v>
      </c>
      <c r="L1741" s="1">
        <v>42</v>
      </c>
      <c r="M1741" s="1" t="str">
        <f>IF(L1741&lt;=45,"Joven","Mayor")</f>
        <v>Joven</v>
      </c>
      <c r="N1741" s="1">
        <v>47</v>
      </c>
      <c r="O1741" s="1" t="s">
        <v>36</v>
      </c>
      <c r="P1741" s="1">
        <v>0.34599999999999997</v>
      </c>
      <c r="Q1741" s="1">
        <v>92.662000000000006</v>
      </c>
      <c r="R1741" s="1">
        <v>-2.1995152999999998</v>
      </c>
      <c r="S1741" s="1">
        <v>5.1093489999999999</v>
      </c>
      <c r="T1741" s="1">
        <v>4.0404350000000004</v>
      </c>
      <c r="U1741" s="1">
        <v>1.2350000000000001</v>
      </c>
      <c r="V1741" s="1">
        <v>79</v>
      </c>
      <c r="W1741" s="1">
        <v>136</v>
      </c>
      <c r="X1741" s="1">
        <v>1.7215189873417722</v>
      </c>
      <c r="Y1741" s="1">
        <v>82</v>
      </c>
      <c r="Z1741" s="1">
        <v>136</v>
      </c>
      <c r="AA1741" s="1">
        <v>1.6585365853658536</v>
      </c>
      <c r="AB1741" s="1">
        <v>81.410688330319317</v>
      </c>
      <c r="AC1741" s="1">
        <v>136.01428423860531</v>
      </c>
      <c r="AD1741" s="1">
        <v>1.6707177770900912</v>
      </c>
      <c r="AE1741" t="s">
        <v>4815</v>
      </c>
      <c r="AF1741" t="str">
        <f>IF(X1741&lt;$AF$1,"Bajo","Alto")</f>
        <v>Bajo</v>
      </c>
      <c r="AG1741" t="str">
        <f>LEFT(AE1741,1)</f>
        <v>I</v>
      </c>
      <c r="AH1741" t="str">
        <f>K1741</f>
        <v>M</v>
      </c>
      <c r="AI1741" t="str">
        <f>LEFT(AF1741,1)</f>
        <v>B</v>
      </c>
      <c r="AJ1741" t="str">
        <f>LEFT(M1741,1)</f>
        <v>J</v>
      </c>
      <c r="AK1741" t="str">
        <f>_xlfn.CONCAT(AG1741,AH1741,AI1741,AJ1741)</f>
        <v>IMBJ</v>
      </c>
    </row>
    <row r="1742" spans="1:37" ht="15.75" hidden="1" customHeight="1" x14ac:dyDescent="0.2">
      <c r="A1742" s="1">
        <v>196406</v>
      </c>
      <c r="B1742" s="1" t="s">
        <v>2656</v>
      </c>
      <c r="C1742" s="1" t="s">
        <v>323</v>
      </c>
      <c r="D1742" s="1" t="s">
        <v>2765</v>
      </c>
      <c r="E1742" s="1" t="s">
        <v>710</v>
      </c>
      <c r="F1742" s="1" t="s">
        <v>88</v>
      </c>
      <c r="G1742" s="1" t="s">
        <v>2773</v>
      </c>
      <c r="H1742" s="1">
        <v>6583</v>
      </c>
      <c r="I1742" s="1" t="s">
        <v>2774</v>
      </c>
      <c r="J1742" s="1">
        <v>3737</v>
      </c>
      <c r="K1742" s="1" t="s">
        <v>35</v>
      </c>
      <c r="L1742" s="1">
        <v>40</v>
      </c>
      <c r="M1742" s="1" t="str">
        <f>IF(L1742&lt;=45,"Joven","Mayor")</f>
        <v>Joven</v>
      </c>
      <c r="N1742" s="1">
        <v>49</v>
      </c>
      <c r="O1742" s="1" t="s">
        <v>36</v>
      </c>
      <c r="P1742" s="1">
        <v>0.48699999999999999</v>
      </c>
      <c r="Q1742" s="1">
        <v>93.751000000000005</v>
      </c>
      <c r="R1742" s="1">
        <v>-1.0424618999999999</v>
      </c>
      <c r="S1742" s="1">
        <v>3.6383798000000001</v>
      </c>
      <c r="T1742" s="1">
        <v>9.0990059999999993</v>
      </c>
      <c r="U1742" s="1">
        <v>0.45200000000000001</v>
      </c>
      <c r="V1742" s="1">
        <v>116</v>
      </c>
      <c r="W1742" s="1">
        <v>214</v>
      </c>
      <c r="X1742" s="1">
        <v>1.8448275862068966</v>
      </c>
      <c r="Y1742" s="1">
        <v>132</v>
      </c>
      <c r="Z1742" s="1">
        <v>214</v>
      </c>
      <c r="AA1742" s="1">
        <v>1.6212121212121211</v>
      </c>
      <c r="AB1742" s="1">
        <v>125.2939035653185</v>
      </c>
      <c r="AC1742" s="1">
        <v>216.0513698999907</v>
      </c>
      <c r="AD1742" s="1">
        <v>1.7243566027724431</v>
      </c>
      <c r="AE1742" t="s">
        <v>4817</v>
      </c>
      <c r="AF1742" t="str">
        <f>IF(X1742&lt;$AF$1,"Bajo","Alto")</f>
        <v>Alto</v>
      </c>
      <c r="AG1742" t="str">
        <f>LEFT(AE1742,1)</f>
        <v>C</v>
      </c>
      <c r="AH1742" t="str">
        <f>K1742</f>
        <v>M</v>
      </c>
      <c r="AI1742" t="str">
        <f>LEFT(AF1742,1)</f>
        <v>A</v>
      </c>
      <c r="AJ1742" t="str">
        <f>LEFT(M1742,1)</f>
        <v>J</v>
      </c>
      <c r="AK1742" t="str">
        <f>_xlfn.CONCAT(AG1742,AH1742,AI1742,AJ1742)</f>
        <v>CMAJ</v>
      </c>
    </row>
    <row r="1743" spans="1:37" ht="15.75" hidden="1" customHeight="1" x14ac:dyDescent="0.2">
      <c r="A1743" s="1">
        <v>1519009</v>
      </c>
      <c r="B1743" s="1" t="s">
        <v>2077</v>
      </c>
      <c r="C1743" s="1" t="s">
        <v>57</v>
      </c>
      <c r="D1743" s="1" t="s">
        <v>2218</v>
      </c>
      <c r="E1743" s="1" t="s">
        <v>320</v>
      </c>
      <c r="F1743" s="1" t="s">
        <v>189</v>
      </c>
      <c r="G1743" s="1" t="s">
        <v>2223</v>
      </c>
      <c r="H1743" s="1">
        <v>2032</v>
      </c>
      <c r="I1743" s="1" t="s">
        <v>134</v>
      </c>
      <c r="J1743" s="1">
        <v>8</v>
      </c>
      <c r="K1743" s="1" t="s">
        <v>35</v>
      </c>
      <c r="L1743" s="1">
        <v>42</v>
      </c>
      <c r="M1743" s="1" t="str">
        <f>IF(L1743&lt;=45,"Joven","Mayor")</f>
        <v>Joven</v>
      </c>
      <c r="N1743" s="1">
        <v>42</v>
      </c>
      <c r="O1743" s="1" t="s">
        <v>36</v>
      </c>
      <c r="P1743" s="1">
        <v>0.34899999999999998</v>
      </c>
      <c r="Q1743" s="1">
        <v>79.102999999999994</v>
      </c>
      <c r="R1743" s="1">
        <v>9.1947390000000002</v>
      </c>
      <c r="S1743" s="1">
        <v>9.0160630000000008</v>
      </c>
      <c r="T1743" s="1">
        <v>-10.940697999999999</v>
      </c>
      <c r="U1743" s="1">
        <v>8.0860000000000003</v>
      </c>
      <c r="V1743" s="1">
        <v>103</v>
      </c>
      <c r="W1743" s="1">
        <v>190</v>
      </c>
      <c r="X1743" s="1">
        <v>1.8446601941747574</v>
      </c>
      <c r="Y1743" s="1">
        <v>113</v>
      </c>
      <c r="Z1743" s="1">
        <v>190</v>
      </c>
      <c r="AA1743" s="1">
        <v>1.6814159292035398</v>
      </c>
      <c r="AB1743" s="1">
        <v>112.32566799256369</v>
      </c>
      <c r="AC1743" s="1">
        <v>191.2914104457395</v>
      </c>
      <c r="AD1743" s="1">
        <v>1.7030071030461496</v>
      </c>
      <c r="AE1743" t="s">
        <v>4817</v>
      </c>
      <c r="AF1743" t="str">
        <f>IF(X1743&lt;$AF$1,"Bajo","Alto")</f>
        <v>Alto</v>
      </c>
      <c r="AG1743" t="str">
        <f>LEFT(AE1743,1)</f>
        <v>C</v>
      </c>
      <c r="AH1743" t="str">
        <f>K1743</f>
        <v>M</v>
      </c>
      <c r="AI1743" t="str">
        <f>LEFT(AF1743,1)</f>
        <v>A</v>
      </c>
      <c r="AJ1743" t="str">
        <f>LEFT(M1743,1)</f>
        <v>J</v>
      </c>
      <c r="AK1743" t="str">
        <f>_xlfn.CONCAT(AG1743,AH1743,AI1743,AJ1743)</f>
        <v>CMAJ</v>
      </c>
    </row>
    <row r="1744" spans="1:37" ht="15.75" hidden="1" customHeight="1" x14ac:dyDescent="0.2">
      <c r="A1744" s="1">
        <v>294604</v>
      </c>
      <c r="B1744" s="1" t="s">
        <v>3890</v>
      </c>
      <c r="C1744" s="1" t="s">
        <v>1695</v>
      </c>
      <c r="D1744" s="1" t="s">
        <v>4017</v>
      </c>
      <c r="E1744" s="1" t="s">
        <v>669</v>
      </c>
      <c r="F1744" s="1" t="s">
        <v>61</v>
      </c>
      <c r="G1744" s="1" t="s">
        <v>4019</v>
      </c>
      <c r="H1744" s="1">
        <v>10547</v>
      </c>
      <c r="I1744" s="1" t="s">
        <v>65</v>
      </c>
      <c r="J1744" s="1">
        <v>2</v>
      </c>
      <c r="K1744" s="1" t="s">
        <v>35</v>
      </c>
      <c r="L1744" s="1">
        <v>47</v>
      </c>
      <c r="M1744" s="1" t="str">
        <f>IF(L1744&lt;=45,"Joven","Mayor")</f>
        <v>Mayor</v>
      </c>
      <c r="N1744" s="1">
        <v>60</v>
      </c>
      <c r="O1744" s="1" t="s">
        <v>36</v>
      </c>
      <c r="P1744" s="1">
        <v>0.35499999999999998</v>
      </c>
      <c r="Q1744" s="1">
        <v>92.323999999999998</v>
      </c>
      <c r="R1744" s="1">
        <v>-1.3900459000000001</v>
      </c>
      <c r="S1744" s="1">
        <v>7.5683746000000003</v>
      </c>
      <c r="T1744" s="1">
        <v>4.4600160000000004</v>
      </c>
      <c r="U1744" s="1">
        <v>1.9490000000000001</v>
      </c>
      <c r="V1744" s="1">
        <v>103</v>
      </c>
      <c r="W1744" s="1">
        <v>189</v>
      </c>
      <c r="X1744" s="1">
        <v>1.8349514563106797</v>
      </c>
      <c r="Y1744" s="1">
        <v>116</v>
      </c>
      <c r="Z1744" s="1">
        <v>189</v>
      </c>
      <c r="AA1744" s="1">
        <v>1.6293103448275863</v>
      </c>
      <c r="AB1744" s="1">
        <v>111.9160918639416</v>
      </c>
      <c r="AC1744" s="1">
        <v>189.5941291202557</v>
      </c>
      <c r="AD1744" s="1">
        <v>1.6940738902029271</v>
      </c>
      <c r="AE1744" t="s">
        <v>4817</v>
      </c>
      <c r="AF1744" t="str">
        <f>IF(X1744&lt;$AF$1,"Bajo","Alto")</f>
        <v>Alto</v>
      </c>
      <c r="AG1744" t="str">
        <f>LEFT(AE1744,1)</f>
        <v>C</v>
      </c>
      <c r="AH1744" t="str">
        <f>K1744</f>
        <v>M</v>
      </c>
      <c r="AI1744" t="str">
        <f>LEFT(AF1744,1)</f>
        <v>A</v>
      </c>
      <c r="AJ1744" t="str">
        <f>LEFT(M1744,1)</f>
        <v>M</v>
      </c>
      <c r="AK1744" t="str">
        <f>_xlfn.CONCAT(AG1744,AH1744,AI1744,AJ1744)</f>
        <v>CMAM</v>
      </c>
    </row>
    <row r="1745" spans="1:37" ht="15.75" hidden="1" customHeight="1" x14ac:dyDescent="0.2">
      <c r="A1745" s="1">
        <v>1013101</v>
      </c>
      <c r="B1745" s="1" t="s">
        <v>29</v>
      </c>
      <c r="C1745" s="1" t="s">
        <v>30</v>
      </c>
      <c r="D1745" s="1" t="s">
        <v>627</v>
      </c>
      <c r="E1745" s="1" t="s">
        <v>628</v>
      </c>
      <c r="F1745" s="1" t="s">
        <v>32</v>
      </c>
      <c r="G1745" s="1" t="s">
        <v>629</v>
      </c>
      <c r="H1745" s="1">
        <v>3907</v>
      </c>
      <c r="I1745" s="1" t="s">
        <v>100</v>
      </c>
      <c r="J1745" s="1">
        <v>1</v>
      </c>
      <c r="K1745" s="1" t="s">
        <v>35</v>
      </c>
      <c r="L1745" s="1">
        <v>33</v>
      </c>
      <c r="M1745" s="1" t="str">
        <f>IF(L1745&lt;=45,"Joven","Mayor")</f>
        <v>Joven</v>
      </c>
      <c r="N1745" s="1">
        <v>45</v>
      </c>
      <c r="O1745" s="1" t="s">
        <v>36</v>
      </c>
      <c r="P1745" s="1">
        <v>0.35799999999999998</v>
      </c>
      <c r="Q1745" s="1">
        <v>92.384</v>
      </c>
      <c r="R1745" s="1">
        <v>1.8031219999999999</v>
      </c>
      <c r="S1745" s="1">
        <v>6.7006207</v>
      </c>
      <c r="T1745" s="1">
        <v>-2.6277335000000002</v>
      </c>
      <c r="U1745" s="1">
        <v>21.826000000000001</v>
      </c>
      <c r="V1745" s="1">
        <v>101</v>
      </c>
      <c r="W1745" s="1">
        <v>173</v>
      </c>
      <c r="X1745" s="1">
        <v>1.7128712871287128</v>
      </c>
      <c r="Y1745" s="1">
        <v>101</v>
      </c>
      <c r="Z1745" s="1">
        <v>173</v>
      </c>
      <c r="AA1745" s="1">
        <v>1.7128712871287128</v>
      </c>
      <c r="AB1745" s="1">
        <v>102.7735055588728</v>
      </c>
      <c r="AC1745" s="1">
        <v>172.58885704664411</v>
      </c>
      <c r="AD1745" s="1">
        <v>1.6793127383183233</v>
      </c>
      <c r="AE1745" t="s">
        <v>4817</v>
      </c>
      <c r="AF1745" t="str">
        <f>IF(X1745&lt;$AF$1,"Bajo","Alto")</f>
        <v>Bajo</v>
      </c>
      <c r="AG1745" t="str">
        <f>LEFT(AE1745,1)</f>
        <v>C</v>
      </c>
      <c r="AH1745" t="str">
        <f>K1745</f>
        <v>M</v>
      </c>
      <c r="AI1745" t="str">
        <f>LEFT(AF1745,1)</f>
        <v>B</v>
      </c>
      <c r="AJ1745" t="str">
        <f>LEFT(M1745,1)</f>
        <v>J</v>
      </c>
      <c r="AK1745" t="str">
        <f>_xlfn.CONCAT(AG1745,AH1745,AI1745,AJ1745)</f>
        <v>CMBJ</v>
      </c>
    </row>
    <row r="1746" spans="1:37" ht="15.75" hidden="1" customHeight="1" x14ac:dyDescent="0.2">
      <c r="A1746" s="1">
        <v>134302</v>
      </c>
      <c r="B1746" s="1" t="s">
        <v>956</v>
      </c>
      <c r="C1746" s="1" t="s">
        <v>163</v>
      </c>
      <c r="D1746" s="1" t="s">
        <v>2043</v>
      </c>
      <c r="E1746" s="1" t="s">
        <v>665</v>
      </c>
      <c r="F1746" s="1" t="s">
        <v>37</v>
      </c>
      <c r="G1746" s="1" t="s">
        <v>2044</v>
      </c>
      <c r="H1746" s="1">
        <v>6035</v>
      </c>
      <c r="I1746" s="1" t="s">
        <v>108</v>
      </c>
      <c r="J1746" s="1">
        <v>3</v>
      </c>
      <c r="K1746" s="1" t="s">
        <v>35</v>
      </c>
      <c r="L1746" s="1">
        <v>54</v>
      </c>
      <c r="M1746" s="1" t="str">
        <f>IF(L1746&lt;=45,"Joven","Mayor")</f>
        <v>Mayor</v>
      </c>
      <c r="N1746" s="1">
        <v>48</v>
      </c>
      <c r="O1746" s="1" t="s">
        <v>36</v>
      </c>
      <c r="P1746" s="1">
        <v>0.374</v>
      </c>
      <c r="Q1746" s="1">
        <v>77.834000000000003</v>
      </c>
      <c r="R1746" s="1">
        <v>-10.721985999999999</v>
      </c>
      <c r="S1746" s="1">
        <v>4.4319953999999999</v>
      </c>
      <c r="T1746" s="1">
        <v>9.8029270000000004</v>
      </c>
      <c r="U1746" s="1">
        <v>1.5369999999999999</v>
      </c>
      <c r="V1746" s="1">
        <v>84</v>
      </c>
      <c r="W1746" s="1">
        <v>154</v>
      </c>
      <c r="X1746" s="1">
        <v>1.8333333333333333</v>
      </c>
      <c r="Y1746" s="1">
        <v>91</v>
      </c>
      <c r="Z1746" s="1">
        <v>154</v>
      </c>
      <c r="AA1746" s="1">
        <v>1.6923076923076923</v>
      </c>
      <c r="AB1746" s="1">
        <v>89.924446210406586</v>
      </c>
      <c r="AC1746" s="1">
        <v>153.2838156478947</v>
      </c>
      <c r="AD1746" s="1">
        <v>1.7045844829473722</v>
      </c>
      <c r="AE1746" t="s">
        <v>4817</v>
      </c>
      <c r="AF1746" t="str">
        <f>IF(X1746&lt;$AF$1,"Bajo","Alto")</f>
        <v>Alto</v>
      </c>
      <c r="AG1746" t="str">
        <f>LEFT(AE1746,1)</f>
        <v>C</v>
      </c>
      <c r="AH1746" t="str">
        <f>K1746</f>
        <v>M</v>
      </c>
      <c r="AI1746" t="str">
        <f>LEFT(AF1746,1)</f>
        <v>A</v>
      </c>
      <c r="AJ1746" t="str">
        <f>LEFT(M1746,1)</f>
        <v>M</v>
      </c>
      <c r="AK1746" t="str">
        <f>_xlfn.CONCAT(AG1746,AH1746,AI1746,AJ1746)</f>
        <v>CMAM</v>
      </c>
    </row>
    <row r="1747" spans="1:37" ht="15.75" customHeight="1" x14ac:dyDescent="0.2">
      <c r="A1747" s="1">
        <v>240106</v>
      </c>
      <c r="B1747" s="1" t="s">
        <v>1548</v>
      </c>
      <c r="C1747" s="1" t="s">
        <v>1993</v>
      </c>
      <c r="D1747" s="1" t="s">
        <v>3118</v>
      </c>
      <c r="E1747" s="1" t="s">
        <v>32</v>
      </c>
      <c r="F1747" s="1" t="s">
        <v>88</v>
      </c>
      <c r="G1747" s="1" t="s">
        <v>3123</v>
      </c>
      <c r="H1747" s="1">
        <v>11816</v>
      </c>
      <c r="I1747" s="1" t="s">
        <v>3124</v>
      </c>
      <c r="J1747" s="1">
        <v>2049</v>
      </c>
      <c r="K1747" s="1" t="s">
        <v>49</v>
      </c>
      <c r="L1747" s="1">
        <v>37</v>
      </c>
      <c r="M1747" s="1" t="str">
        <f>IF(L1747&lt;=45,"Joven","Mayor")</f>
        <v>Joven</v>
      </c>
      <c r="N1747" s="1">
        <v>37</v>
      </c>
      <c r="O1747" s="1" t="s">
        <v>50</v>
      </c>
      <c r="P1747" s="1">
        <v>0.36299999999999999</v>
      </c>
      <c r="Q1747" s="1">
        <v>93.287999999999997</v>
      </c>
      <c r="R1747" s="1">
        <v>-0.83670074000000005</v>
      </c>
      <c r="S1747" s="1">
        <v>5.8384460000000002</v>
      </c>
      <c r="T1747" s="1">
        <v>-5.7333449999999999</v>
      </c>
      <c r="U1747" s="1">
        <v>27.911000000000001</v>
      </c>
      <c r="V1747" s="1">
        <v>98</v>
      </c>
      <c r="W1747" s="1">
        <v>186</v>
      </c>
      <c r="X1747" s="1">
        <v>1.8979591836734695</v>
      </c>
      <c r="Y1747" s="1">
        <v>106</v>
      </c>
      <c r="Z1747" s="1">
        <v>186</v>
      </c>
      <c r="AA1747" s="1">
        <v>1.7547169811320755</v>
      </c>
      <c r="AB1747" s="1">
        <v>103.00420068066521</v>
      </c>
      <c r="AC1747" s="1">
        <v>186.76783367846841</v>
      </c>
      <c r="AD1747" s="1">
        <v>1.8132059900885806</v>
      </c>
      <c r="AE1747" t="s">
        <v>4818</v>
      </c>
      <c r="AF1747" t="str">
        <f>IF(X1747&lt;$AF$1,"Bajo","Alto")</f>
        <v>Alto</v>
      </c>
      <c r="AG1747" t="str">
        <f>LEFT(AE1747,1)</f>
        <v>S</v>
      </c>
      <c r="AH1747" t="str">
        <f>K1747</f>
        <v>F</v>
      </c>
      <c r="AI1747" t="str">
        <f>LEFT(AF1747,1)</f>
        <v>A</v>
      </c>
      <c r="AJ1747" t="str">
        <f>LEFT(M1747,1)</f>
        <v>J</v>
      </c>
      <c r="AK1747" t="str">
        <f>_xlfn.CONCAT(AG1747,AH1747,AI1747,AJ1747)</f>
        <v>SFAJ</v>
      </c>
    </row>
    <row r="1748" spans="1:37" ht="15.75" hidden="1" customHeight="1" x14ac:dyDescent="0.2">
      <c r="A1748" s="1">
        <v>311601</v>
      </c>
      <c r="B1748" s="1" t="s">
        <v>4122</v>
      </c>
      <c r="C1748" s="1" t="s">
        <v>628</v>
      </c>
      <c r="D1748" s="1" t="s">
        <v>694</v>
      </c>
      <c r="E1748" s="1" t="s">
        <v>244</v>
      </c>
      <c r="F1748" s="1" t="s">
        <v>32</v>
      </c>
      <c r="G1748" s="1" t="s">
        <v>4174</v>
      </c>
      <c r="H1748" s="1">
        <v>4809</v>
      </c>
      <c r="I1748" s="1" t="s">
        <v>65</v>
      </c>
      <c r="J1748" s="1">
        <v>2</v>
      </c>
      <c r="K1748" s="1" t="s">
        <v>35</v>
      </c>
      <c r="L1748" s="1">
        <v>48</v>
      </c>
      <c r="M1748" s="1" t="str">
        <f>IF(L1748&lt;=45,"Joven","Mayor")</f>
        <v>Mayor</v>
      </c>
      <c r="N1748" s="1">
        <v>49</v>
      </c>
      <c r="O1748" s="1" t="s">
        <v>36</v>
      </c>
      <c r="P1748" s="1">
        <v>0.64200000000000002</v>
      </c>
      <c r="Q1748" s="1">
        <v>94.804000000000002</v>
      </c>
      <c r="R1748" s="1">
        <v>0.100819565</v>
      </c>
      <c r="S1748" s="1">
        <v>0.17947687000000001</v>
      </c>
      <c r="T1748" s="1">
        <v>-0.93869776000000005</v>
      </c>
      <c r="U1748" s="1">
        <v>0.47</v>
      </c>
      <c r="V1748" s="1">
        <v>96</v>
      </c>
      <c r="W1748" s="1">
        <v>163</v>
      </c>
      <c r="X1748" s="1">
        <v>1.6979166666666667</v>
      </c>
      <c r="Y1748" s="1">
        <v>96</v>
      </c>
      <c r="Z1748" s="1">
        <v>163</v>
      </c>
      <c r="AA1748" s="1">
        <v>1.6979166666666667</v>
      </c>
      <c r="AB1748" s="1">
        <v>96.707952264467167</v>
      </c>
      <c r="AC1748" s="1">
        <v>163.01088995854661</v>
      </c>
      <c r="AD1748" s="1">
        <v>1.6855996445127992</v>
      </c>
      <c r="AE1748" t="s">
        <v>4817</v>
      </c>
      <c r="AF1748" t="str">
        <f>IF(X1748&lt;$AF$1,"Bajo","Alto")</f>
        <v>Bajo</v>
      </c>
      <c r="AG1748" t="str">
        <f>LEFT(AE1748,1)</f>
        <v>C</v>
      </c>
      <c r="AH1748" t="str">
        <f>K1748</f>
        <v>M</v>
      </c>
      <c r="AI1748" t="str">
        <f>LEFT(AF1748,1)</f>
        <v>B</v>
      </c>
      <c r="AJ1748" t="str">
        <f>LEFT(M1748,1)</f>
        <v>M</v>
      </c>
      <c r="AK1748" t="str">
        <f>_xlfn.CONCAT(AG1748,AH1748,AI1748,AJ1748)</f>
        <v>CMBM</v>
      </c>
    </row>
    <row r="1749" spans="1:37" ht="15.75" hidden="1" customHeight="1" x14ac:dyDescent="0.2">
      <c r="A1749" s="1">
        <v>10116604</v>
      </c>
      <c r="B1749" s="1" t="s">
        <v>29</v>
      </c>
      <c r="C1749" s="1" t="s">
        <v>30</v>
      </c>
      <c r="D1749" s="1" t="s">
        <v>264</v>
      </c>
      <c r="E1749" s="1" t="s">
        <v>265</v>
      </c>
      <c r="F1749" s="1" t="s">
        <v>61</v>
      </c>
      <c r="G1749" s="1" t="s">
        <v>269</v>
      </c>
      <c r="H1749" s="1">
        <v>18098</v>
      </c>
      <c r="I1749" s="1" t="s">
        <v>270</v>
      </c>
      <c r="J1749" s="1">
        <v>3132</v>
      </c>
      <c r="K1749" s="1" t="s">
        <v>35</v>
      </c>
      <c r="L1749" s="1">
        <v>34</v>
      </c>
      <c r="M1749" s="1" t="str">
        <f>IF(L1749&lt;=45,"Joven","Mayor")</f>
        <v>Joven</v>
      </c>
      <c r="N1749" s="1">
        <v>28</v>
      </c>
      <c r="O1749" s="1" t="s">
        <v>36</v>
      </c>
      <c r="P1749" s="1">
        <v>0.30499999999999999</v>
      </c>
      <c r="Q1749" s="1">
        <v>93.099000000000004</v>
      </c>
      <c r="R1749" s="1">
        <v>2.9202900000000001</v>
      </c>
      <c r="S1749" s="1">
        <v>-1.4676359999999999</v>
      </c>
      <c r="T1749" s="1">
        <v>9.2275489999999998</v>
      </c>
      <c r="U1749" s="1">
        <v>34.725999999999999</v>
      </c>
      <c r="V1749" s="1">
        <v>115</v>
      </c>
      <c r="W1749" s="1">
        <v>212</v>
      </c>
      <c r="X1749" s="1">
        <v>1.8434782608695652</v>
      </c>
      <c r="Y1749" s="1">
        <v>119</v>
      </c>
      <c r="Z1749" s="1">
        <v>212</v>
      </c>
      <c r="AA1749" s="1">
        <v>1.7815126050420169</v>
      </c>
      <c r="AB1749" s="1">
        <v>125.79855578569099</v>
      </c>
      <c r="AC1749" s="1">
        <v>207.33229701876641</v>
      </c>
      <c r="AD1749" s="1">
        <v>1.6481293900700686</v>
      </c>
      <c r="AE1749" t="s">
        <v>4817</v>
      </c>
      <c r="AF1749" t="str">
        <f>IF(X1749&lt;$AF$1,"Bajo","Alto")</f>
        <v>Alto</v>
      </c>
      <c r="AG1749" t="str">
        <f>LEFT(AE1749,1)</f>
        <v>C</v>
      </c>
      <c r="AH1749" t="str">
        <f>K1749</f>
        <v>M</v>
      </c>
      <c r="AI1749" t="str">
        <f>LEFT(AF1749,1)</f>
        <v>A</v>
      </c>
      <c r="AJ1749" t="str">
        <f>LEFT(M1749,1)</f>
        <v>J</v>
      </c>
      <c r="AK1749" t="str">
        <f>_xlfn.CONCAT(AG1749,AH1749,AI1749,AJ1749)</f>
        <v>CMAJ</v>
      </c>
    </row>
    <row r="1750" spans="1:37" ht="15.75" hidden="1" customHeight="1" x14ac:dyDescent="0.2">
      <c r="A1750" s="1">
        <v>1529803</v>
      </c>
      <c r="B1750" s="1" t="s">
        <v>2077</v>
      </c>
      <c r="C1750" s="1" t="s">
        <v>57</v>
      </c>
      <c r="D1750" s="1" t="s">
        <v>2374</v>
      </c>
      <c r="E1750" s="1" t="s">
        <v>608</v>
      </c>
      <c r="F1750" s="1" t="s">
        <v>63</v>
      </c>
      <c r="G1750" s="1" t="s">
        <v>2378</v>
      </c>
      <c r="H1750" s="1">
        <v>3569</v>
      </c>
      <c r="I1750" s="1" t="s">
        <v>2379</v>
      </c>
      <c r="J1750" s="1">
        <v>3731</v>
      </c>
      <c r="K1750" s="1" t="s">
        <v>35</v>
      </c>
      <c r="L1750" s="1">
        <v>48</v>
      </c>
      <c r="M1750" s="1" t="str">
        <f>IF(L1750&lt;=45,"Joven","Mayor")</f>
        <v>Mayor</v>
      </c>
      <c r="N1750" s="1">
        <v>52</v>
      </c>
      <c r="O1750" s="1" t="s">
        <v>36</v>
      </c>
      <c r="P1750" s="1">
        <v>1.1739999999999999</v>
      </c>
      <c r="Q1750" s="1">
        <v>91.316000000000003</v>
      </c>
      <c r="R1750" s="1">
        <v>3.6623814000000001</v>
      </c>
      <c r="S1750" s="1">
        <v>4.7885140000000002</v>
      </c>
      <c r="T1750" s="1">
        <v>-2.1486130000000001</v>
      </c>
      <c r="U1750" s="1">
        <v>0.45900000000000002</v>
      </c>
      <c r="V1750" s="1">
        <v>96</v>
      </c>
      <c r="W1750" s="1">
        <v>176</v>
      </c>
      <c r="X1750" s="1">
        <v>1.8333333333333333</v>
      </c>
      <c r="Y1750" s="1">
        <v>99</v>
      </c>
      <c r="Z1750" s="1">
        <v>176</v>
      </c>
      <c r="AA1750" s="1">
        <v>1.7777777777777777</v>
      </c>
      <c r="AB1750" s="1">
        <v>100.505043869015</v>
      </c>
      <c r="AC1750" s="1">
        <v>175.65131255693399</v>
      </c>
      <c r="AD1750" s="1">
        <v>1.7476865418401759</v>
      </c>
      <c r="AE1750" t="s">
        <v>4817</v>
      </c>
      <c r="AF1750" t="str">
        <f>IF(X1750&lt;$AF$1,"Bajo","Alto")</f>
        <v>Alto</v>
      </c>
      <c r="AG1750" t="str">
        <f>LEFT(AE1750,1)</f>
        <v>C</v>
      </c>
      <c r="AH1750" t="str">
        <f>K1750</f>
        <v>M</v>
      </c>
      <c r="AI1750" t="str">
        <f>LEFT(AF1750,1)</f>
        <v>A</v>
      </c>
      <c r="AJ1750" t="str">
        <f>LEFT(M1750,1)</f>
        <v>M</v>
      </c>
      <c r="AK1750" t="str">
        <f>_xlfn.CONCAT(AG1750,AH1750,AI1750,AJ1750)</f>
        <v>CMAM</v>
      </c>
    </row>
    <row r="1751" spans="1:37" ht="15.75" hidden="1" customHeight="1" x14ac:dyDescent="0.2">
      <c r="A1751" s="1">
        <v>131602</v>
      </c>
      <c r="B1751" s="1" t="s">
        <v>956</v>
      </c>
      <c r="C1751" s="1" t="s">
        <v>163</v>
      </c>
      <c r="D1751" s="1" t="s">
        <v>1977</v>
      </c>
      <c r="E1751" s="1" t="s">
        <v>244</v>
      </c>
      <c r="F1751" s="1" t="s">
        <v>37</v>
      </c>
      <c r="G1751" s="1" t="s">
        <v>1978</v>
      </c>
      <c r="H1751" s="1">
        <v>3516</v>
      </c>
      <c r="I1751" s="1" t="s">
        <v>39</v>
      </c>
      <c r="J1751" s="1">
        <v>11</v>
      </c>
      <c r="K1751" s="1" t="s">
        <v>49</v>
      </c>
      <c r="L1751" s="1">
        <v>56</v>
      </c>
      <c r="M1751" s="1" t="str">
        <f>IF(L1751&lt;=45,"Joven","Mayor")</f>
        <v>Mayor</v>
      </c>
      <c r="N1751" s="1">
        <v>50</v>
      </c>
      <c r="O1751" s="1" t="s">
        <v>50</v>
      </c>
      <c r="P1751" s="1">
        <v>0.307</v>
      </c>
      <c r="Q1751" s="1">
        <v>44.037999999999997</v>
      </c>
      <c r="R1751" s="1">
        <v>16.792683</v>
      </c>
      <c r="S1751" s="1">
        <v>-1.6116283</v>
      </c>
      <c r="T1751" s="1">
        <v>-15.977698999999999</v>
      </c>
      <c r="U1751" s="1">
        <v>23.863</v>
      </c>
      <c r="V1751" s="1">
        <v>57</v>
      </c>
      <c r="W1751" s="1">
        <v>102</v>
      </c>
      <c r="X1751" s="1">
        <v>1.7894736842105263</v>
      </c>
      <c r="Y1751" s="1">
        <v>68</v>
      </c>
      <c r="Z1751" s="1">
        <v>102</v>
      </c>
      <c r="AA1751" s="1">
        <v>1.5</v>
      </c>
      <c r="AB1751" s="1">
        <v>64.432239319583459</v>
      </c>
      <c r="AC1751" s="1">
        <v>101.63805007920151</v>
      </c>
      <c r="AD1751" s="1">
        <v>1.5774409077275351</v>
      </c>
      <c r="AE1751" t="s">
        <v>4816</v>
      </c>
      <c r="AF1751" t="str">
        <f>IF(X1751&lt;$AF$1,"Bajo","Alto")</f>
        <v>Alto</v>
      </c>
      <c r="AG1751" t="str">
        <f>LEFT(AE1751,1)</f>
        <v>D</v>
      </c>
      <c r="AH1751" t="str">
        <f>K1751</f>
        <v>F</v>
      </c>
      <c r="AI1751" t="str">
        <f>LEFT(AF1751,1)</f>
        <v>A</v>
      </c>
      <c r="AJ1751" t="str">
        <f>LEFT(M1751,1)</f>
        <v>M</v>
      </c>
      <c r="AK1751" t="str">
        <f>_xlfn.CONCAT(AG1751,AH1751,AI1751,AJ1751)</f>
        <v>DFAM</v>
      </c>
    </row>
    <row r="1752" spans="1:37" ht="15.75" hidden="1" customHeight="1" x14ac:dyDescent="0.2">
      <c r="A1752" s="1">
        <v>118805</v>
      </c>
      <c r="B1752" s="1" t="s">
        <v>1648</v>
      </c>
      <c r="C1752" s="1" t="s">
        <v>51</v>
      </c>
      <c r="D1752" s="1" t="s">
        <v>1783</v>
      </c>
      <c r="E1752" s="1" t="s">
        <v>763</v>
      </c>
      <c r="F1752" s="1" t="s">
        <v>40</v>
      </c>
      <c r="G1752" s="1" t="s">
        <v>1785</v>
      </c>
      <c r="H1752" s="1">
        <v>4600</v>
      </c>
      <c r="I1752" s="1" t="s">
        <v>65</v>
      </c>
      <c r="J1752" s="1">
        <v>2</v>
      </c>
      <c r="K1752" s="1" t="s">
        <v>35</v>
      </c>
      <c r="L1752" s="1">
        <v>46</v>
      </c>
      <c r="M1752" s="1" t="str">
        <f>IF(L1752&lt;=45,"Joven","Mayor")</f>
        <v>Mayor</v>
      </c>
      <c r="N1752" s="1">
        <v>26</v>
      </c>
      <c r="O1752" s="1" t="s">
        <v>36</v>
      </c>
      <c r="P1752" s="1">
        <v>0.35</v>
      </c>
      <c r="Q1752" s="1">
        <v>78.739999999999995</v>
      </c>
      <c r="R1752" s="1">
        <v>10.447565000000001</v>
      </c>
      <c r="S1752" s="1">
        <v>-4.5399026999999998</v>
      </c>
      <c r="T1752" s="1">
        <v>3.7006385000000002</v>
      </c>
      <c r="U1752" s="1">
        <v>3.746</v>
      </c>
      <c r="V1752" s="1">
        <v>106</v>
      </c>
      <c r="W1752" s="1">
        <v>180</v>
      </c>
      <c r="X1752" s="1">
        <v>1.6981132075471699</v>
      </c>
      <c r="Y1752" s="1">
        <v>106</v>
      </c>
      <c r="Z1752" s="1">
        <v>180</v>
      </c>
      <c r="AA1752" s="1">
        <v>1.6981132075471699</v>
      </c>
      <c r="AB1752" s="1">
        <v>109.00615074848911</v>
      </c>
      <c r="AC1752" s="1">
        <v>179.7537686899318</v>
      </c>
      <c r="AD1752" s="1">
        <v>1.6490240913531506</v>
      </c>
      <c r="AE1752" t="s">
        <v>4817</v>
      </c>
      <c r="AF1752" t="str">
        <f>IF(X1752&lt;$AF$1,"Bajo","Alto")</f>
        <v>Bajo</v>
      </c>
      <c r="AG1752" t="str">
        <f>LEFT(AE1752,1)</f>
        <v>C</v>
      </c>
      <c r="AH1752" t="str">
        <f>K1752</f>
        <v>M</v>
      </c>
      <c r="AI1752" t="str">
        <f>LEFT(AF1752,1)</f>
        <v>B</v>
      </c>
      <c r="AJ1752" t="str">
        <f>LEFT(M1752,1)</f>
        <v>M</v>
      </c>
      <c r="AK1752" t="str">
        <f>_xlfn.CONCAT(AG1752,AH1752,AI1752,AJ1752)</f>
        <v>CMBM</v>
      </c>
    </row>
    <row r="1753" spans="1:37" ht="15.75" hidden="1" customHeight="1" x14ac:dyDescent="0.2">
      <c r="A1753" s="1">
        <v>193701</v>
      </c>
      <c r="B1753" s="1" t="s">
        <v>2656</v>
      </c>
      <c r="C1753" s="1" t="s">
        <v>323</v>
      </c>
      <c r="D1753" s="1" t="s">
        <v>2708</v>
      </c>
      <c r="E1753" s="1" t="s">
        <v>647</v>
      </c>
      <c r="F1753" s="1" t="s">
        <v>32</v>
      </c>
      <c r="G1753" s="1" t="s">
        <v>2709</v>
      </c>
      <c r="H1753" s="1">
        <v>1808</v>
      </c>
      <c r="I1753" s="1" t="s">
        <v>100</v>
      </c>
      <c r="J1753" s="1">
        <v>1</v>
      </c>
      <c r="K1753" s="1" t="s">
        <v>35</v>
      </c>
      <c r="L1753" s="1">
        <v>57</v>
      </c>
      <c r="M1753" s="1" t="str">
        <f>IF(L1753&lt;=45,"Joven","Mayor")</f>
        <v>Mayor</v>
      </c>
      <c r="N1753" s="1">
        <v>54</v>
      </c>
      <c r="O1753" s="1" t="s">
        <v>36</v>
      </c>
      <c r="P1753" s="1">
        <v>0.34100000000000003</v>
      </c>
      <c r="Q1753" s="1">
        <v>81.350999999999999</v>
      </c>
      <c r="R1753" s="1">
        <v>9.2096990000000005</v>
      </c>
      <c r="S1753" s="1">
        <v>6.3336997000000004</v>
      </c>
      <c r="T1753" s="1">
        <v>-4.0495190000000001</v>
      </c>
      <c r="U1753" s="1">
        <v>15.422000000000001</v>
      </c>
      <c r="V1753" s="1">
        <v>78</v>
      </c>
      <c r="W1753" s="1">
        <v>143</v>
      </c>
      <c r="X1753" s="1">
        <v>1.8333333333333333</v>
      </c>
      <c r="Y1753" s="1">
        <v>81</v>
      </c>
      <c r="Z1753" s="1">
        <v>143</v>
      </c>
      <c r="AA1753" s="1">
        <v>1.7654320987654322</v>
      </c>
      <c r="AB1753" s="1">
        <v>83.269425948128855</v>
      </c>
      <c r="AC1753" s="1">
        <v>142.50174744575949</v>
      </c>
      <c r="AD1753" s="1">
        <v>1.7113333714408974</v>
      </c>
      <c r="AE1753" t="s">
        <v>4817</v>
      </c>
      <c r="AF1753" t="str">
        <f>IF(X1753&lt;$AF$1,"Bajo","Alto")</f>
        <v>Alto</v>
      </c>
      <c r="AG1753" t="str">
        <f>LEFT(AE1753,1)</f>
        <v>C</v>
      </c>
      <c r="AH1753" t="str">
        <f>K1753</f>
        <v>M</v>
      </c>
      <c r="AI1753" t="str">
        <f>LEFT(AF1753,1)</f>
        <v>A</v>
      </c>
      <c r="AJ1753" t="str">
        <f>LEFT(M1753,1)</f>
        <v>M</v>
      </c>
      <c r="AK1753" t="str">
        <f>_xlfn.CONCAT(AG1753,AH1753,AI1753,AJ1753)</f>
        <v>CMAM</v>
      </c>
    </row>
    <row r="1754" spans="1:37" ht="15.75" hidden="1" customHeight="1" x14ac:dyDescent="0.2">
      <c r="A1754" s="1">
        <v>10723802</v>
      </c>
      <c r="B1754" s="1" t="s">
        <v>1067</v>
      </c>
      <c r="C1754" s="1" t="s">
        <v>1068</v>
      </c>
      <c r="D1754" s="1" t="s">
        <v>1266</v>
      </c>
      <c r="E1754" s="1" t="s">
        <v>478</v>
      </c>
      <c r="F1754" s="1" t="s">
        <v>37</v>
      </c>
      <c r="G1754" s="1" t="s">
        <v>1267</v>
      </c>
      <c r="H1754" s="1">
        <v>10</v>
      </c>
      <c r="I1754" s="1" t="s">
        <v>91</v>
      </c>
      <c r="J1754" s="1">
        <v>6</v>
      </c>
      <c r="K1754" s="1" t="s">
        <v>35</v>
      </c>
      <c r="L1754" s="1">
        <v>23</v>
      </c>
      <c r="M1754" s="1" t="str">
        <f>IF(L1754&lt;=45,"Joven","Mayor")</f>
        <v>Joven</v>
      </c>
      <c r="N1754" s="1">
        <v>21</v>
      </c>
      <c r="O1754" s="1" t="s">
        <v>36</v>
      </c>
      <c r="P1754" s="1">
        <v>1.0349999999999999</v>
      </c>
      <c r="Q1754" s="1">
        <v>93.471999999999994</v>
      </c>
      <c r="R1754" s="1">
        <v>-1.0489915999999999</v>
      </c>
      <c r="S1754" s="1">
        <v>4.1846436999999996</v>
      </c>
      <c r="T1754" s="1">
        <v>-3.5350864</v>
      </c>
      <c r="U1754" s="1">
        <v>27.981000000000002</v>
      </c>
      <c r="V1754" s="1">
        <v>79</v>
      </c>
      <c r="W1754" s="1">
        <v>144</v>
      </c>
      <c r="X1754" s="1">
        <v>1.8227848101265822</v>
      </c>
      <c r="Y1754" s="1">
        <v>84</v>
      </c>
      <c r="Z1754" s="1">
        <v>144</v>
      </c>
      <c r="AA1754" s="1">
        <v>1.7142857142857142</v>
      </c>
      <c r="AB1754" s="1">
        <v>82.052034037294789</v>
      </c>
      <c r="AC1754" s="1">
        <v>144.77421656077101</v>
      </c>
      <c r="AD1754" s="1">
        <v>1.7644195937296003</v>
      </c>
      <c r="AE1754" t="s">
        <v>4816</v>
      </c>
      <c r="AF1754" t="str">
        <f>IF(X1754&lt;$AF$1,"Bajo","Alto")</f>
        <v>Alto</v>
      </c>
      <c r="AG1754" t="str">
        <f>LEFT(AE1754,1)</f>
        <v>D</v>
      </c>
      <c r="AH1754" t="str">
        <f>K1754</f>
        <v>M</v>
      </c>
      <c r="AI1754" t="str">
        <f>LEFT(AF1754,1)</f>
        <v>A</v>
      </c>
      <c r="AJ1754" t="str">
        <f>LEFT(M1754,1)</f>
        <v>J</v>
      </c>
      <c r="AK1754" t="str">
        <f>_xlfn.CONCAT(AG1754,AH1754,AI1754,AJ1754)</f>
        <v>DMAJ</v>
      </c>
    </row>
    <row r="1755" spans="1:37" ht="15.75" hidden="1" customHeight="1" x14ac:dyDescent="0.2">
      <c r="A1755" s="1">
        <v>10110601</v>
      </c>
      <c r="B1755" s="1" t="s">
        <v>29</v>
      </c>
      <c r="C1755" s="1" t="s">
        <v>30</v>
      </c>
      <c r="D1755" s="1" t="s">
        <v>94</v>
      </c>
      <c r="E1755" s="1" t="s">
        <v>95</v>
      </c>
      <c r="F1755" s="1" t="s">
        <v>32</v>
      </c>
      <c r="G1755" s="1" t="s">
        <v>96</v>
      </c>
      <c r="H1755" s="1">
        <v>529</v>
      </c>
      <c r="I1755" s="1" t="s">
        <v>34</v>
      </c>
      <c r="J1755" s="1">
        <v>10</v>
      </c>
      <c r="K1755" s="1" t="s">
        <v>35</v>
      </c>
      <c r="L1755" s="1">
        <v>49</v>
      </c>
      <c r="M1755" s="1" t="str">
        <f>IF(L1755&lt;=45,"Joven","Mayor")</f>
        <v>Mayor</v>
      </c>
      <c r="N1755" s="1">
        <v>39</v>
      </c>
      <c r="O1755" s="1" t="s">
        <v>36</v>
      </c>
      <c r="P1755" s="1">
        <v>0.317</v>
      </c>
      <c r="Q1755" s="1">
        <v>92.954999999999998</v>
      </c>
      <c r="R1755" s="1">
        <v>3.4001160000000001</v>
      </c>
      <c r="S1755" s="1">
        <v>-0.34182963</v>
      </c>
      <c r="T1755" s="1">
        <v>-4.0996889999999997</v>
      </c>
      <c r="U1755" s="1">
        <v>88.647000000000006</v>
      </c>
      <c r="V1755" s="1">
        <v>122</v>
      </c>
      <c r="W1755" s="1">
        <v>205</v>
      </c>
      <c r="X1755" s="1">
        <v>1.680327868852459</v>
      </c>
      <c r="Y1755" s="1">
        <v>129</v>
      </c>
      <c r="Z1755" s="1">
        <v>205</v>
      </c>
      <c r="AA1755" s="1">
        <v>1.5891472868217054</v>
      </c>
      <c r="AB1755" s="1">
        <v>126.0488367074975</v>
      </c>
      <c r="AC1755" s="1">
        <v>205.04737629750841</v>
      </c>
      <c r="AD1755" s="1">
        <v>1.6267296204671122</v>
      </c>
      <c r="AE1755" t="s">
        <v>4815</v>
      </c>
      <c r="AF1755" t="str">
        <f>IF(X1755&lt;$AF$1,"Bajo","Alto")</f>
        <v>Bajo</v>
      </c>
      <c r="AG1755" t="str">
        <f>LEFT(AE1755,1)</f>
        <v>I</v>
      </c>
      <c r="AH1755" t="str">
        <f>K1755</f>
        <v>M</v>
      </c>
      <c r="AI1755" t="str">
        <f>LEFT(AF1755,1)</f>
        <v>B</v>
      </c>
      <c r="AJ1755" t="str">
        <f>LEFT(M1755,1)</f>
        <v>M</v>
      </c>
      <c r="AK1755" t="str">
        <f>_xlfn.CONCAT(AG1755,AH1755,AI1755,AJ1755)</f>
        <v>IMBM</v>
      </c>
    </row>
    <row r="1756" spans="1:37" ht="15.75" hidden="1" customHeight="1" x14ac:dyDescent="0.2">
      <c r="A1756" s="1">
        <v>278501</v>
      </c>
      <c r="B1756" s="1" t="s">
        <v>3409</v>
      </c>
      <c r="C1756" s="1" t="s">
        <v>973</v>
      </c>
      <c r="D1756" s="1" t="s">
        <v>3751</v>
      </c>
      <c r="E1756" s="1" t="s">
        <v>755</v>
      </c>
      <c r="F1756" s="1" t="s">
        <v>32</v>
      </c>
      <c r="G1756" s="1" t="s">
        <v>3752</v>
      </c>
      <c r="H1756" s="1">
        <v>7</v>
      </c>
      <c r="I1756" s="1" t="s">
        <v>100</v>
      </c>
      <c r="J1756" s="1">
        <v>1</v>
      </c>
      <c r="K1756" s="1" t="s">
        <v>35</v>
      </c>
      <c r="L1756" s="1">
        <v>50</v>
      </c>
      <c r="M1756" s="1" t="str">
        <f>IF(L1756&lt;=45,"Joven","Mayor")</f>
        <v>Mayor</v>
      </c>
      <c r="N1756" s="1">
        <v>60</v>
      </c>
      <c r="O1756" s="1" t="s">
        <v>36</v>
      </c>
      <c r="P1756" s="1">
        <v>2.762</v>
      </c>
      <c r="Q1756" s="1">
        <v>94.072999999999993</v>
      </c>
      <c r="R1756" s="1">
        <v>-0.52121090000000003</v>
      </c>
      <c r="S1756" s="1">
        <v>0.58551280000000006</v>
      </c>
      <c r="T1756" s="1">
        <v>-3.6186733000000002</v>
      </c>
      <c r="U1756" s="1">
        <v>1.339</v>
      </c>
      <c r="V1756" s="1">
        <v>90</v>
      </c>
      <c r="W1756" s="1">
        <v>165</v>
      </c>
      <c r="X1756" s="1">
        <v>1.8333333333333333</v>
      </c>
      <c r="Y1756" s="1">
        <v>95</v>
      </c>
      <c r="Z1756" s="1">
        <v>165</v>
      </c>
      <c r="AA1756" s="1">
        <v>1.736842105263158</v>
      </c>
      <c r="AB1756" s="1">
        <v>92.850116634774395</v>
      </c>
      <c r="AC1756" s="1">
        <v>165.04971957144929</v>
      </c>
      <c r="AD1756" s="1">
        <v>1.7775930236110717</v>
      </c>
      <c r="AE1756" t="s">
        <v>4817</v>
      </c>
      <c r="AF1756" t="str">
        <f>IF(X1756&lt;$AF$1,"Bajo","Alto")</f>
        <v>Alto</v>
      </c>
      <c r="AG1756" t="str">
        <f>LEFT(AE1756,1)</f>
        <v>C</v>
      </c>
      <c r="AH1756" t="str">
        <f>K1756</f>
        <v>M</v>
      </c>
      <c r="AI1756" t="str">
        <f>LEFT(AF1756,1)</f>
        <v>A</v>
      </c>
      <c r="AJ1756" t="str">
        <f>LEFT(M1756,1)</f>
        <v>M</v>
      </c>
      <c r="AK1756" t="str">
        <f>_xlfn.CONCAT(AG1756,AH1756,AI1756,AJ1756)</f>
        <v>CMAM</v>
      </c>
    </row>
    <row r="1757" spans="1:37" ht="15.75" hidden="1" customHeight="1" x14ac:dyDescent="0.2">
      <c r="A1757" s="1">
        <v>318206</v>
      </c>
      <c r="B1757" s="1" t="s">
        <v>4122</v>
      </c>
      <c r="C1757" s="1" t="s">
        <v>628</v>
      </c>
      <c r="D1757" s="1" t="s">
        <v>4265</v>
      </c>
      <c r="E1757" s="1" t="s">
        <v>752</v>
      </c>
      <c r="F1757" s="1" t="s">
        <v>88</v>
      </c>
      <c r="G1757" s="1" t="s">
        <v>4267</v>
      </c>
      <c r="H1757" s="1">
        <v>9882</v>
      </c>
      <c r="I1757" s="1" t="s">
        <v>134</v>
      </c>
      <c r="J1757" s="1">
        <v>8</v>
      </c>
      <c r="K1757" s="1" t="s">
        <v>35</v>
      </c>
      <c r="L1757" s="1">
        <v>57</v>
      </c>
      <c r="M1757" s="1" t="str">
        <f>IF(L1757&lt;=45,"Joven","Mayor")</f>
        <v>Mayor</v>
      </c>
      <c r="N1757" s="1">
        <v>60</v>
      </c>
      <c r="O1757" s="1" t="s">
        <v>50</v>
      </c>
      <c r="P1757" s="1">
        <v>0.11</v>
      </c>
      <c r="Q1757" s="1">
        <v>89.605000000000004</v>
      </c>
      <c r="R1757" s="1">
        <v>4.3344290000000001</v>
      </c>
      <c r="S1757" s="1">
        <v>7.8925999999999998</v>
      </c>
      <c r="T1757" s="1">
        <v>0.89278170000000001</v>
      </c>
      <c r="U1757" s="1">
        <v>2.09</v>
      </c>
      <c r="V1757" s="1">
        <v>84</v>
      </c>
      <c r="W1757" s="1">
        <v>154</v>
      </c>
      <c r="X1757" s="1">
        <v>1.8333333333333333</v>
      </c>
      <c r="Y1757" s="1">
        <v>91</v>
      </c>
      <c r="Z1757" s="1">
        <v>154</v>
      </c>
      <c r="AA1757" s="1">
        <v>1.6923076923076923</v>
      </c>
      <c r="AB1757" s="1">
        <v>90.381280274196797</v>
      </c>
      <c r="AC1757" s="1">
        <v>154.0747930218804</v>
      </c>
      <c r="AD1757" s="1">
        <v>1.7047201871278166</v>
      </c>
      <c r="AE1757" t="s">
        <v>4817</v>
      </c>
      <c r="AF1757" t="str">
        <f>IF(X1757&lt;$AF$1,"Bajo","Alto")</f>
        <v>Alto</v>
      </c>
      <c r="AG1757" t="str">
        <f>LEFT(AE1757,1)</f>
        <v>C</v>
      </c>
      <c r="AH1757" t="str">
        <f>K1757</f>
        <v>M</v>
      </c>
      <c r="AI1757" t="str">
        <f>LEFT(AF1757,1)</f>
        <v>A</v>
      </c>
      <c r="AJ1757" t="str">
        <f>LEFT(M1757,1)</f>
        <v>M</v>
      </c>
      <c r="AK1757" t="str">
        <f>_xlfn.CONCAT(AG1757,AH1757,AI1757,AJ1757)</f>
        <v>CMAM</v>
      </c>
    </row>
    <row r="1758" spans="1:37" ht="15.75" hidden="1" customHeight="1" x14ac:dyDescent="0.2">
      <c r="A1758" s="1">
        <v>640207</v>
      </c>
      <c r="B1758" s="1" t="s">
        <v>4718</v>
      </c>
      <c r="C1758" s="1" t="s">
        <v>710</v>
      </c>
      <c r="D1758" s="1" t="s">
        <v>4725</v>
      </c>
      <c r="E1758" s="1" t="s">
        <v>37</v>
      </c>
      <c r="F1758" s="1" t="s">
        <v>43</v>
      </c>
      <c r="G1758" s="1" t="s">
        <v>4729</v>
      </c>
      <c r="H1758" s="1">
        <v>1808</v>
      </c>
      <c r="I1758" s="1" t="s">
        <v>134</v>
      </c>
      <c r="J1758" s="1">
        <v>8</v>
      </c>
      <c r="K1758" s="1" t="s">
        <v>35</v>
      </c>
      <c r="L1758" s="1">
        <v>51</v>
      </c>
      <c r="M1758" s="1" t="str">
        <f>IF(L1758&lt;=45,"Joven","Mayor")</f>
        <v>Mayor</v>
      </c>
      <c r="N1758" s="1">
        <v>50</v>
      </c>
      <c r="O1758" s="1" t="s">
        <v>36</v>
      </c>
      <c r="P1758" s="1">
        <v>1.9E-2</v>
      </c>
      <c r="Q1758" s="1">
        <v>92.113</v>
      </c>
      <c r="R1758" s="1">
        <v>-2.3690178</v>
      </c>
      <c r="S1758" s="1">
        <v>6.5859084000000001</v>
      </c>
      <c r="T1758" s="1">
        <v>4.4085650000000003</v>
      </c>
      <c r="U1758" s="1">
        <v>3.5049999999999999</v>
      </c>
      <c r="V1758" s="1">
        <v>78</v>
      </c>
      <c r="W1758" s="1">
        <v>143</v>
      </c>
      <c r="X1758" s="1">
        <v>1.8333333333333333</v>
      </c>
      <c r="Y1758" s="1">
        <v>82</v>
      </c>
      <c r="Z1758" s="1">
        <v>143</v>
      </c>
      <c r="AA1758" s="1">
        <v>1.7439024390243902</v>
      </c>
      <c r="AB1758" s="1">
        <v>81.074546447415514</v>
      </c>
      <c r="AC1758" s="1">
        <v>143.26871464261279</v>
      </c>
      <c r="AD1758" s="1">
        <v>1.7671232331288595</v>
      </c>
      <c r="AE1758" t="s">
        <v>4817</v>
      </c>
      <c r="AF1758" t="str">
        <f>IF(X1758&lt;$AF$1,"Bajo","Alto")</f>
        <v>Alto</v>
      </c>
      <c r="AG1758" t="str">
        <f>LEFT(AE1758,1)</f>
        <v>C</v>
      </c>
      <c r="AH1758" t="str">
        <f>K1758</f>
        <v>M</v>
      </c>
      <c r="AI1758" t="str">
        <f>LEFT(AF1758,1)</f>
        <v>A</v>
      </c>
      <c r="AJ1758" t="str">
        <f>LEFT(M1758,1)</f>
        <v>M</v>
      </c>
      <c r="AK1758" t="str">
        <f>_xlfn.CONCAT(AG1758,AH1758,AI1758,AJ1758)</f>
        <v>CMAM</v>
      </c>
    </row>
    <row r="1759" spans="1:37" ht="15.75" hidden="1" customHeight="1" x14ac:dyDescent="0.2">
      <c r="A1759" s="1">
        <v>253702</v>
      </c>
      <c r="B1759" s="1" t="s">
        <v>3169</v>
      </c>
      <c r="C1759" s="1" t="s">
        <v>821</v>
      </c>
      <c r="D1759" s="1" t="s">
        <v>2584</v>
      </c>
      <c r="E1759" s="1" t="s">
        <v>647</v>
      </c>
      <c r="F1759" s="1" t="s">
        <v>37</v>
      </c>
      <c r="G1759" s="1" t="s">
        <v>3240</v>
      </c>
      <c r="H1759" s="1">
        <v>37</v>
      </c>
      <c r="I1759" s="1" t="s">
        <v>85</v>
      </c>
      <c r="J1759" s="1">
        <v>12</v>
      </c>
      <c r="K1759" s="1" t="s">
        <v>35</v>
      </c>
      <c r="L1759" s="1">
        <v>29</v>
      </c>
      <c r="M1759" s="1" t="str">
        <f>IF(L1759&lt;=45,"Joven","Mayor")</f>
        <v>Joven</v>
      </c>
      <c r="N1759" s="1">
        <v>26</v>
      </c>
      <c r="O1759" s="1" t="s">
        <v>50</v>
      </c>
      <c r="P1759" s="1">
        <v>0.25</v>
      </c>
      <c r="Q1759" s="1">
        <v>70.894999999999996</v>
      </c>
      <c r="R1759" s="1">
        <v>12.538301000000001</v>
      </c>
      <c r="S1759" s="1">
        <v>3.4778723999999999</v>
      </c>
      <c r="T1759" s="1">
        <v>-7.5048560000000002</v>
      </c>
      <c r="U1759" s="1">
        <v>2.7789999999999999</v>
      </c>
      <c r="V1759" s="1">
        <v>94</v>
      </c>
      <c r="W1759" s="1">
        <v>172</v>
      </c>
      <c r="X1759" s="1">
        <v>1.8297872340425532</v>
      </c>
      <c r="Y1759" s="1">
        <v>104</v>
      </c>
      <c r="Z1759" s="1">
        <v>172</v>
      </c>
      <c r="AA1759" s="1">
        <v>1.6538461538461537</v>
      </c>
      <c r="AB1759" s="1">
        <v>100.3783388509305</v>
      </c>
      <c r="AC1759" s="1">
        <v>171.4408843309993</v>
      </c>
      <c r="AD1759" s="1">
        <v>1.7079470161944212</v>
      </c>
      <c r="AE1759" t="s">
        <v>4815</v>
      </c>
      <c r="AF1759" t="str">
        <f>IF(X1759&lt;$AF$1,"Bajo","Alto")</f>
        <v>Alto</v>
      </c>
      <c r="AG1759" t="str">
        <f>LEFT(AE1759,1)</f>
        <v>I</v>
      </c>
      <c r="AH1759" t="str">
        <f>K1759</f>
        <v>M</v>
      </c>
      <c r="AI1759" t="str">
        <f>LEFT(AF1759,1)</f>
        <v>A</v>
      </c>
      <c r="AJ1759" t="str">
        <f>LEFT(M1759,1)</f>
        <v>J</v>
      </c>
      <c r="AK1759" t="str">
        <f>_xlfn.CONCAT(AG1759,AH1759,AI1759,AJ1759)</f>
        <v>IMAJ</v>
      </c>
    </row>
    <row r="1760" spans="1:37" ht="15.75" hidden="1" customHeight="1" x14ac:dyDescent="0.2">
      <c r="A1760" s="1">
        <v>1217001</v>
      </c>
      <c r="B1760" s="1" t="s">
        <v>1798</v>
      </c>
      <c r="C1760" s="1" t="s">
        <v>54</v>
      </c>
      <c r="D1760" s="1" t="s">
        <v>1805</v>
      </c>
      <c r="E1760" s="1" t="s">
        <v>286</v>
      </c>
      <c r="F1760" s="1" t="s">
        <v>32</v>
      </c>
      <c r="G1760" s="1" t="s">
        <v>1806</v>
      </c>
      <c r="H1760" s="1">
        <v>148</v>
      </c>
      <c r="I1760" s="1" t="s">
        <v>100</v>
      </c>
      <c r="J1760" s="1">
        <v>1</v>
      </c>
      <c r="K1760" s="1" t="s">
        <v>35</v>
      </c>
      <c r="L1760" s="1">
        <v>40</v>
      </c>
      <c r="M1760" s="1" t="str">
        <f>IF(L1760&lt;=45,"Joven","Mayor")</f>
        <v>Joven</v>
      </c>
      <c r="N1760" s="1">
        <v>51</v>
      </c>
      <c r="O1760" s="1" t="s">
        <v>50</v>
      </c>
      <c r="P1760" s="1">
        <v>0.38800000000000001</v>
      </c>
      <c r="Q1760" s="1">
        <v>93.004000000000005</v>
      </c>
      <c r="R1760" s="1">
        <v>1.6046640999999999</v>
      </c>
      <c r="S1760" s="1">
        <v>-5.2561559999999998</v>
      </c>
      <c r="T1760" s="1">
        <v>-1.2945986</v>
      </c>
      <c r="U1760" s="1">
        <v>8.468</v>
      </c>
      <c r="V1760" s="1">
        <v>119</v>
      </c>
      <c r="W1760" s="1">
        <v>204</v>
      </c>
      <c r="X1760" s="1">
        <v>1.7142857142857142</v>
      </c>
      <c r="Y1760" s="1">
        <v>121</v>
      </c>
      <c r="Z1760" s="1">
        <v>204</v>
      </c>
      <c r="AA1760" s="1">
        <v>1.6859504132231404</v>
      </c>
      <c r="AB1760" s="1">
        <v>122.39247837144011</v>
      </c>
      <c r="AC1760" s="1">
        <v>204.08348622087439</v>
      </c>
      <c r="AD1760" s="1">
        <v>1.6674512105353088</v>
      </c>
      <c r="AE1760" t="s">
        <v>4817</v>
      </c>
      <c r="AF1760" t="str">
        <f>IF(X1760&lt;$AF$1,"Bajo","Alto")</f>
        <v>Bajo</v>
      </c>
      <c r="AG1760" t="str">
        <f>LEFT(AE1760,1)</f>
        <v>C</v>
      </c>
      <c r="AH1760" t="str">
        <f>K1760</f>
        <v>M</v>
      </c>
      <c r="AI1760" t="str">
        <f>LEFT(AF1760,1)</f>
        <v>B</v>
      </c>
      <c r="AJ1760" t="str">
        <f>LEFT(M1760,1)</f>
        <v>J</v>
      </c>
      <c r="AK1760" t="str">
        <f>_xlfn.CONCAT(AG1760,AH1760,AI1760,AJ1760)</f>
        <v>CMBJ</v>
      </c>
    </row>
    <row r="1761" spans="1:37" ht="15.75" hidden="1" customHeight="1" x14ac:dyDescent="0.2">
      <c r="A1761" s="1">
        <v>110402</v>
      </c>
      <c r="B1761" s="1" t="s">
        <v>1648</v>
      </c>
      <c r="C1761" s="1" t="s">
        <v>51</v>
      </c>
      <c r="D1761" s="1" t="s">
        <v>1655</v>
      </c>
      <c r="E1761" s="1" t="s">
        <v>61</v>
      </c>
      <c r="F1761" s="1" t="s">
        <v>37</v>
      </c>
      <c r="G1761" s="1" t="s">
        <v>1657</v>
      </c>
      <c r="H1761" s="1">
        <v>3616</v>
      </c>
      <c r="I1761" s="1" t="s">
        <v>91</v>
      </c>
      <c r="J1761" s="1">
        <v>6</v>
      </c>
      <c r="K1761" s="1" t="s">
        <v>35</v>
      </c>
      <c r="L1761" s="1">
        <v>42</v>
      </c>
      <c r="M1761" s="1" t="str">
        <f>IF(L1761&lt;=45,"Joven","Mayor")</f>
        <v>Joven</v>
      </c>
      <c r="N1761" s="1">
        <v>45</v>
      </c>
      <c r="O1761" s="1" t="s">
        <v>36</v>
      </c>
      <c r="P1761" s="1">
        <v>0.35599999999999998</v>
      </c>
      <c r="Q1761" s="1">
        <v>92.596999999999994</v>
      </c>
      <c r="R1761" s="1">
        <v>-3.8786056000000002</v>
      </c>
      <c r="S1761" s="1">
        <v>-0.115416534</v>
      </c>
      <c r="T1761" s="1">
        <v>-1.8882977000000001</v>
      </c>
      <c r="U1761" s="1">
        <v>12.340999999999999</v>
      </c>
      <c r="V1761" s="1">
        <v>83</v>
      </c>
      <c r="W1761" s="1">
        <v>153</v>
      </c>
      <c r="X1761" s="1">
        <v>1.8433734939759037</v>
      </c>
      <c r="Y1761" s="1">
        <v>84</v>
      </c>
      <c r="Z1761" s="1">
        <v>153</v>
      </c>
      <c r="AA1761" s="1">
        <v>1.8214285714285714</v>
      </c>
      <c r="AB1761" s="1">
        <v>85.305378113023153</v>
      </c>
      <c r="AC1761" s="1">
        <v>152.98281801772691</v>
      </c>
      <c r="AD1761" s="1">
        <v>1.793354902138014</v>
      </c>
      <c r="AE1761" t="s">
        <v>4817</v>
      </c>
      <c r="AF1761" t="str">
        <f>IF(X1761&lt;$AF$1,"Bajo","Alto")</f>
        <v>Alto</v>
      </c>
      <c r="AG1761" t="str">
        <f>LEFT(AE1761,1)</f>
        <v>C</v>
      </c>
      <c r="AH1761" t="str">
        <f>K1761</f>
        <v>M</v>
      </c>
      <c r="AI1761" t="str">
        <f>LEFT(AF1761,1)</f>
        <v>A</v>
      </c>
      <c r="AJ1761" t="str">
        <f>LEFT(M1761,1)</f>
        <v>J</v>
      </c>
      <c r="AK1761" t="str">
        <f>_xlfn.CONCAT(AG1761,AH1761,AI1761,AJ1761)</f>
        <v>CMAJ</v>
      </c>
    </row>
    <row r="1762" spans="1:37" ht="15.75" hidden="1" customHeight="1" x14ac:dyDescent="0.2">
      <c r="A1762" s="1">
        <v>197002</v>
      </c>
      <c r="B1762" s="1" t="s">
        <v>2656</v>
      </c>
      <c r="C1762" s="1" t="s">
        <v>323</v>
      </c>
      <c r="D1762" s="1" t="s">
        <v>2780</v>
      </c>
      <c r="E1762" s="1" t="s">
        <v>720</v>
      </c>
      <c r="F1762" s="1" t="s">
        <v>37</v>
      </c>
      <c r="G1762" s="1" t="s">
        <v>2782</v>
      </c>
      <c r="H1762" s="1">
        <v>377</v>
      </c>
      <c r="I1762" s="1" t="s">
        <v>39</v>
      </c>
      <c r="J1762" s="1">
        <v>11</v>
      </c>
      <c r="K1762" s="1" t="s">
        <v>35</v>
      </c>
      <c r="L1762" s="1">
        <v>57</v>
      </c>
      <c r="M1762" s="1" t="str">
        <f>IF(L1762&lt;=45,"Joven","Mayor")</f>
        <v>Mayor</v>
      </c>
      <c r="N1762" s="1">
        <v>63</v>
      </c>
      <c r="O1762" s="1" t="s">
        <v>36</v>
      </c>
      <c r="P1762" s="1">
        <v>7.8E-2</v>
      </c>
      <c r="Q1762" s="1">
        <v>91.513999999999996</v>
      </c>
      <c r="R1762" s="1">
        <v>2.9079700000000002</v>
      </c>
      <c r="S1762" s="1">
        <v>-6.937627</v>
      </c>
      <c r="T1762" s="1">
        <v>-3.6748254</v>
      </c>
      <c r="U1762" s="1">
        <v>1.744</v>
      </c>
      <c r="V1762" s="1">
        <v>101</v>
      </c>
      <c r="W1762" s="1">
        <v>172</v>
      </c>
      <c r="X1762" s="1">
        <v>1.7029702970297029</v>
      </c>
      <c r="Y1762" s="1">
        <v>103</v>
      </c>
      <c r="Z1762" s="1">
        <v>172</v>
      </c>
      <c r="AA1762" s="1">
        <v>1.6699029126213591</v>
      </c>
      <c r="AB1762" s="1">
        <v>104.18930491439851</v>
      </c>
      <c r="AC1762" s="1">
        <v>171.77453437057471</v>
      </c>
      <c r="AD1762" s="1">
        <v>1.6486772275878407</v>
      </c>
      <c r="AE1762" t="s">
        <v>4816</v>
      </c>
      <c r="AF1762" t="str">
        <f>IF(X1762&lt;$AF$1,"Bajo","Alto")</f>
        <v>Bajo</v>
      </c>
      <c r="AG1762" t="str">
        <f>LEFT(AE1762,1)</f>
        <v>D</v>
      </c>
      <c r="AH1762" t="str">
        <f>K1762</f>
        <v>M</v>
      </c>
      <c r="AI1762" t="str">
        <f>LEFT(AF1762,1)</f>
        <v>B</v>
      </c>
      <c r="AJ1762" t="str">
        <f>LEFT(M1762,1)</f>
        <v>M</v>
      </c>
      <c r="AK1762" t="str">
        <f>_xlfn.CONCAT(AG1762,AH1762,AI1762,AJ1762)</f>
        <v>DMBM</v>
      </c>
    </row>
    <row r="1763" spans="1:37" ht="15.75" hidden="1" customHeight="1" x14ac:dyDescent="0.2">
      <c r="A1763" s="1">
        <v>1241509</v>
      </c>
      <c r="B1763" s="1" t="s">
        <v>1798</v>
      </c>
      <c r="C1763" s="1" t="s">
        <v>54</v>
      </c>
      <c r="D1763" s="1" t="s">
        <v>1844</v>
      </c>
      <c r="E1763" s="1" t="s">
        <v>1845</v>
      </c>
      <c r="F1763" s="1" t="s">
        <v>189</v>
      </c>
      <c r="G1763" s="1" t="s">
        <v>1852</v>
      </c>
      <c r="H1763" s="1">
        <v>2049</v>
      </c>
      <c r="I1763" s="1" t="s">
        <v>108</v>
      </c>
      <c r="J1763" s="1">
        <v>3</v>
      </c>
      <c r="K1763" s="1" t="s">
        <v>35</v>
      </c>
      <c r="L1763" s="1">
        <v>64</v>
      </c>
      <c r="M1763" s="1" t="str">
        <f>IF(L1763&lt;=45,"Joven","Mayor")</f>
        <v>Mayor</v>
      </c>
      <c r="N1763" s="1">
        <v>55</v>
      </c>
      <c r="O1763" s="1" t="s">
        <v>36</v>
      </c>
      <c r="P1763" s="1">
        <v>0.379</v>
      </c>
      <c r="Q1763" s="1">
        <v>94.483000000000004</v>
      </c>
      <c r="R1763" s="1">
        <v>0.42803940000000001</v>
      </c>
      <c r="S1763" s="1">
        <v>1.6853773999999999</v>
      </c>
      <c r="T1763" s="1">
        <v>1.7213632000000001</v>
      </c>
      <c r="U1763" s="1">
        <v>1.208</v>
      </c>
      <c r="V1763" s="1">
        <v>95</v>
      </c>
      <c r="W1763" s="1">
        <v>174</v>
      </c>
      <c r="X1763" s="1">
        <v>1.831578947368421</v>
      </c>
      <c r="Y1763" s="1">
        <v>96</v>
      </c>
      <c r="Z1763" s="1">
        <v>174</v>
      </c>
      <c r="AA1763" s="1">
        <v>1.8125</v>
      </c>
      <c r="AB1763" s="1">
        <v>96.368959282920741</v>
      </c>
      <c r="AC1763" s="1">
        <v>174.041634648951</v>
      </c>
      <c r="AD1763" s="1">
        <v>1.8059926758988671</v>
      </c>
      <c r="AE1763" t="s">
        <v>4817</v>
      </c>
      <c r="AF1763" t="str">
        <f>IF(X1763&lt;$AF$1,"Bajo","Alto")</f>
        <v>Alto</v>
      </c>
      <c r="AG1763" t="str">
        <f>LEFT(AE1763,1)</f>
        <v>C</v>
      </c>
      <c r="AH1763" t="str">
        <f>K1763</f>
        <v>M</v>
      </c>
      <c r="AI1763" t="str">
        <f>LEFT(AF1763,1)</f>
        <v>A</v>
      </c>
      <c r="AJ1763" t="str">
        <f>LEFT(M1763,1)</f>
        <v>M</v>
      </c>
      <c r="AK1763" t="str">
        <f>_xlfn.CONCAT(AG1763,AH1763,AI1763,AJ1763)</f>
        <v>CMAM</v>
      </c>
    </row>
    <row r="1764" spans="1:37" ht="15.75" hidden="1" customHeight="1" x14ac:dyDescent="0.2">
      <c r="A1764" s="1">
        <v>1016102</v>
      </c>
      <c r="B1764" s="1" t="s">
        <v>29</v>
      </c>
      <c r="C1764" s="1" t="s">
        <v>30</v>
      </c>
      <c r="D1764" s="1" t="s">
        <v>700</v>
      </c>
      <c r="E1764" s="1" t="s">
        <v>701</v>
      </c>
      <c r="F1764" s="1" t="s">
        <v>37</v>
      </c>
      <c r="G1764" s="1" t="s">
        <v>703</v>
      </c>
      <c r="H1764" s="1">
        <v>369</v>
      </c>
      <c r="I1764" s="1" t="s">
        <v>39</v>
      </c>
      <c r="J1764" s="1">
        <v>11</v>
      </c>
      <c r="K1764" s="1" t="s">
        <v>35</v>
      </c>
      <c r="L1764" s="1">
        <v>38</v>
      </c>
      <c r="M1764" s="1" t="str">
        <f>IF(L1764&lt;=45,"Joven","Mayor")</f>
        <v>Joven</v>
      </c>
      <c r="N1764" s="1">
        <v>39</v>
      </c>
      <c r="O1764" s="1" t="s">
        <v>36</v>
      </c>
      <c r="P1764" s="1">
        <v>0.33200000000000002</v>
      </c>
      <c r="Q1764" s="1">
        <v>93.662999999999997</v>
      </c>
      <c r="R1764" s="1">
        <v>-1.3546757</v>
      </c>
      <c r="S1764" s="1">
        <v>3.4371111000000001</v>
      </c>
      <c r="T1764" s="1">
        <v>-2.1589513</v>
      </c>
      <c r="U1764" s="1">
        <v>8.7690000000000001</v>
      </c>
      <c r="V1764" s="1">
        <v>77</v>
      </c>
      <c r="W1764" s="1">
        <v>140</v>
      </c>
      <c r="X1764" s="1">
        <v>1.8181818181818181</v>
      </c>
      <c r="Y1764" s="1">
        <v>77</v>
      </c>
      <c r="Z1764" s="1">
        <v>140</v>
      </c>
      <c r="AA1764" s="1">
        <v>1.8181818181818181</v>
      </c>
      <c r="AB1764" s="1">
        <v>78.301530625583155</v>
      </c>
      <c r="AC1764" s="1">
        <v>140.01363840294201</v>
      </c>
      <c r="AD1764" s="1">
        <v>1.7881341179963588</v>
      </c>
      <c r="AE1764" t="s">
        <v>4816</v>
      </c>
      <c r="AF1764" t="str">
        <f>IF(X1764&lt;$AF$1,"Bajo","Alto")</f>
        <v>Alto</v>
      </c>
      <c r="AG1764" t="str">
        <f>LEFT(AE1764,1)</f>
        <v>D</v>
      </c>
      <c r="AH1764" t="str">
        <f>K1764</f>
        <v>M</v>
      </c>
      <c r="AI1764" t="str">
        <f>LEFT(AF1764,1)</f>
        <v>A</v>
      </c>
      <c r="AJ1764" t="str">
        <f>LEFT(M1764,1)</f>
        <v>J</v>
      </c>
      <c r="AK1764" t="str">
        <f>_xlfn.CONCAT(AG1764,AH1764,AI1764,AJ1764)</f>
        <v>DMAJ</v>
      </c>
    </row>
    <row r="1765" spans="1:37" ht="15.75" hidden="1" customHeight="1" x14ac:dyDescent="0.2">
      <c r="A1765" s="1">
        <v>119802</v>
      </c>
      <c r="B1765" s="1" t="s">
        <v>1648</v>
      </c>
      <c r="C1765" s="1" t="s">
        <v>51</v>
      </c>
      <c r="D1765" s="1" t="s">
        <v>1795</v>
      </c>
      <c r="E1765" s="1" t="s">
        <v>1796</v>
      </c>
      <c r="F1765" s="1" t="s">
        <v>37</v>
      </c>
      <c r="G1765" s="1" t="s">
        <v>1797</v>
      </c>
      <c r="H1765" s="1">
        <v>4136</v>
      </c>
      <c r="I1765" s="1" t="s">
        <v>42</v>
      </c>
      <c r="J1765" s="1">
        <v>15</v>
      </c>
      <c r="K1765" s="1" t="s">
        <v>35</v>
      </c>
      <c r="L1765" s="1">
        <v>63</v>
      </c>
      <c r="M1765" s="1" t="str">
        <f>IF(L1765&lt;=45,"Joven","Mayor")</f>
        <v>Mayor</v>
      </c>
      <c r="N1765" s="1">
        <v>46</v>
      </c>
      <c r="O1765" s="1" t="s">
        <v>36</v>
      </c>
      <c r="P1765" s="1">
        <v>2.68</v>
      </c>
      <c r="Q1765" s="1">
        <v>89.242000000000004</v>
      </c>
      <c r="R1765" s="1">
        <v>4.9689813000000003</v>
      </c>
      <c r="S1765" s="1">
        <v>5.0060799999999999</v>
      </c>
      <c r="T1765" s="1">
        <v>-2.8038577999999998</v>
      </c>
      <c r="U1765" s="1">
        <v>1.1519999999999999</v>
      </c>
      <c r="V1765" s="1">
        <v>83</v>
      </c>
      <c r="W1765" s="1">
        <v>141</v>
      </c>
      <c r="X1765" s="1">
        <v>1.6987951807228916</v>
      </c>
      <c r="Y1765" s="1">
        <v>86</v>
      </c>
      <c r="Z1765" s="1">
        <v>141</v>
      </c>
      <c r="AA1765" s="1">
        <v>1.6395348837209303</v>
      </c>
      <c r="AB1765" s="1">
        <v>87.755891535684441</v>
      </c>
      <c r="AC1765" s="1">
        <v>140.58661617705911</v>
      </c>
      <c r="AD1765" s="1">
        <v>1.6020191205041996</v>
      </c>
      <c r="AE1765" t="s">
        <v>4817</v>
      </c>
      <c r="AF1765" t="str">
        <f>IF(X1765&lt;$AF$1,"Bajo","Alto")</f>
        <v>Bajo</v>
      </c>
      <c r="AG1765" t="str">
        <f>LEFT(AE1765,1)</f>
        <v>C</v>
      </c>
      <c r="AH1765" t="str">
        <f>K1765</f>
        <v>M</v>
      </c>
      <c r="AI1765" t="str">
        <f>LEFT(AF1765,1)</f>
        <v>B</v>
      </c>
      <c r="AJ1765" t="str">
        <f>LEFT(M1765,1)</f>
        <v>M</v>
      </c>
      <c r="AK1765" t="str">
        <f>_xlfn.CONCAT(AG1765,AH1765,AI1765,AJ1765)</f>
        <v>CMBM</v>
      </c>
    </row>
    <row r="1766" spans="1:37" ht="15.75" hidden="1" customHeight="1" x14ac:dyDescent="0.2">
      <c r="A1766" s="1">
        <v>191303</v>
      </c>
      <c r="B1766" s="1" t="s">
        <v>2656</v>
      </c>
      <c r="C1766" s="1" t="s">
        <v>323</v>
      </c>
      <c r="D1766" s="1" t="s">
        <v>2676</v>
      </c>
      <c r="E1766" s="1" t="s">
        <v>163</v>
      </c>
      <c r="F1766" s="1" t="s">
        <v>63</v>
      </c>
      <c r="G1766" s="1" t="s">
        <v>2677</v>
      </c>
      <c r="H1766" s="1">
        <v>7172</v>
      </c>
      <c r="I1766" s="1" t="s">
        <v>2678</v>
      </c>
      <c r="J1766" s="1">
        <v>4435</v>
      </c>
      <c r="K1766" s="1" t="s">
        <v>35</v>
      </c>
      <c r="L1766" s="1">
        <v>41</v>
      </c>
      <c r="M1766" s="1" t="str">
        <f>IF(L1766&lt;=45,"Joven","Mayor")</f>
        <v>Joven</v>
      </c>
      <c r="N1766" s="1">
        <v>45</v>
      </c>
      <c r="O1766" s="1" t="s">
        <v>36</v>
      </c>
      <c r="P1766" s="1">
        <v>6.4000000000000001E-2</v>
      </c>
      <c r="Q1766" s="1">
        <v>90.296000000000006</v>
      </c>
      <c r="R1766" s="1">
        <v>-4.9760819999999999</v>
      </c>
      <c r="S1766" s="1">
        <v>4.7945433</v>
      </c>
      <c r="T1766" s="1">
        <v>5.8338289999999997</v>
      </c>
      <c r="U1766" s="1">
        <v>6.077</v>
      </c>
      <c r="V1766" s="1">
        <v>97</v>
      </c>
      <c r="W1766" s="1">
        <v>167</v>
      </c>
      <c r="X1766" s="1">
        <v>1.7216494845360826</v>
      </c>
      <c r="Y1766" s="1">
        <v>99</v>
      </c>
      <c r="Z1766" s="1">
        <v>167</v>
      </c>
      <c r="AA1766" s="1">
        <v>1.6868686868686869</v>
      </c>
      <c r="AB1766" s="1">
        <v>101.1732337764529</v>
      </c>
      <c r="AC1766" s="1">
        <v>166.0334414406384</v>
      </c>
      <c r="AD1766" s="1">
        <v>1.6410807013196516</v>
      </c>
      <c r="AE1766" t="s">
        <v>4815</v>
      </c>
      <c r="AF1766" t="str">
        <f>IF(X1766&lt;$AF$1,"Bajo","Alto")</f>
        <v>Bajo</v>
      </c>
      <c r="AG1766" t="str">
        <f>LEFT(AE1766,1)</f>
        <v>I</v>
      </c>
      <c r="AH1766" t="str">
        <f>K1766</f>
        <v>M</v>
      </c>
      <c r="AI1766" t="str">
        <f>LEFT(AF1766,1)</f>
        <v>B</v>
      </c>
      <c r="AJ1766" t="str">
        <f>LEFT(M1766,1)</f>
        <v>J</v>
      </c>
      <c r="AK1766" t="str">
        <f>_xlfn.CONCAT(AG1766,AH1766,AI1766,AJ1766)</f>
        <v>IMBJ</v>
      </c>
    </row>
    <row r="1767" spans="1:37" ht="15.75" hidden="1" customHeight="1" x14ac:dyDescent="0.2">
      <c r="A1767" s="1">
        <v>112806</v>
      </c>
      <c r="B1767" s="1" t="s">
        <v>1648</v>
      </c>
      <c r="C1767" s="1" t="s">
        <v>51</v>
      </c>
      <c r="D1767" s="1" t="s">
        <v>1689</v>
      </c>
      <c r="E1767" s="1" t="s">
        <v>561</v>
      </c>
      <c r="F1767" s="1" t="s">
        <v>88</v>
      </c>
      <c r="G1767" s="1" t="s">
        <v>1691</v>
      </c>
      <c r="H1767" s="1">
        <v>777</v>
      </c>
      <c r="I1767" s="1" t="s">
        <v>134</v>
      </c>
      <c r="J1767" s="1">
        <v>8</v>
      </c>
      <c r="K1767" s="1" t="s">
        <v>35</v>
      </c>
      <c r="L1767" s="1">
        <v>33</v>
      </c>
      <c r="M1767" s="1" t="str">
        <f>IF(L1767&lt;=45,"Joven","Mayor")</f>
        <v>Joven</v>
      </c>
      <c r="N1767" s="1">
        <v>26</v>
      </c>
      <c r="O1767" s="1" t="s">
        <v>36</v>
      </c>
      <c r="P1767" s="1">
        <v>1.4379999999999999</v>
      </c>
      <c r="Q1767" s="1">
        <v>79.403000000000006</v>
      </c>
      <c r="R1767" s="1">
        <v>-10.275922</v>
      </c>
      <c r="S1767" s="1">
        <v>3.3164454000000001</v>
      </c>
      <c r="T1767" s="1">
        <v>13.426406999999999</v>
      </c>
      <c r="U1767" s="1">
        <v>1.9630000000000001</v>
      </c>
      <c r="V1767" s="1">
        <v>83</v>
      </c>
      <c r="W1767" s="1">
        <v>153</v>
      </c>
      <c r="X1767" s="1">
        <v>1.8433734939759037</v>
      </c>
      <c r="Y1767" s="1">
        <v>96</v>
      </c>
      <c r="Z1767" s="1">
        <v>153</v>
      </c>
      <c r="AA1767" s="1">
        <v>1.59375</v>
      </c>
      <c r="AB1767" s="1">
        <v>91.412550229852513</v>
      </c>
      <c r="AC1767" s="1">
        <v>152.06909870571189</v>
      </c>
      <c r="AD1767" s="1">
        <v>1.6635472735783148</v>
      </c>
      <c r="AE1767" t="s">
        <v>4817</v>
      </c>
      <c r="AF1767" t="str">
        <f>IF(X1767&lt;$AF$1,"Bajo","Alto")</f>
        <v>Alto</v>
      </c>
      <c r="AG1767" t="str">
        <f>LEFT(AE1767,1)</f>
        <v>C</v>
      </c>
      <c r="AH1767" t="str">
        <f>K1767</f>
        <v>M</v>
      </c>
      <c r="AI1767" t="str">
        <f>LEFT(AF1767,1)</f>
        <v>A</v>
      </c>
      <c r="AJ1767" t="str">
        <f>LEFT(M1767,1)</f>
        <v>J</v>
      </c>
      <c r="AK1767" t="str">
        <f>_xlfn.CONCAT(AG1767,AH1767,AI1767,AJ1767)</f>
        <v>CMAJ</v>
      </c>
    </row>
    <row r="1768" spans="1:37" ht="15.75" hidden="1" customHeight="1" x14ac:dyDescent="0.2">
      <c r="A1768" s="1">
        <v>133101</v>
      </c>
      <c r="B1768" s="1" t="s">
        <v>956</v>
      </c>
      <c r="C1768" s="1" t="s">
        <v>163</v>
      </c>
      <c r="D1768" s="1" t="s">
        <v>2015</v>
      </c>
      <c r="E1768" s="1" t="s">
        <v>628</v>
      </c>
      <c r="F1768" s="1" t="s">
        <v>32</v>
      </c>
      <c r="G1768" s="1" t="s">
        <v>2016</v>
      </c>
      <c r="H1768" s="1">
        <v>157</v>
      </c>
      <c r="I1768" s="1" t="s">
        <v>85</v>
      </c>
      <c r="J1768" s="1">
        <v>12</v>
      </c>
      <c r="K1768" s="1" t="s">
        <v>35</v>
      </c>
      <c r="L1768" s="1">
        <v>40</v>
      </c>
      <c r="M1768" s="1" t="str">
        <f>IF(L1768&lt;=45,"Joven","Mayor")</f>
        <v>Joven</v>
      </c>
      <c r="N1768" s="1">
        <v>41</v>
      </c>
      <c r="O1768" s="1" t="s">
        <v>36</v>
      </c>
      <c r="P1768" s="1">
        <v>0.20699999999999999</v>
      </c>
      <c r="Q1768" s="1">
        <v>93.665999999999997</v>
      </c>
      <c r="R1768" s="1">
        <v>1.495884</v>
      </c>
      <c r="S1768" s="1">
        <v>-3.2132641999999998</v>
      </c>
      <c r="T1768" s="1">
        <v>-3.1998316999999998</v>
      </c>
      <c r="U1768" s="1">
        <v>0.60099999999999998</v>
      </c>
      <c r="V1768" s="1">
        <v>105</v>
      </c>
      <c r="W1768" s="1">
        <v>181</v>
      </c>
      <c r="X1768" s="1">
        <v>1.7238095238095239</v>
      </c>
      <c r="Y1768" s="1">
        <v>109</v>
      </c>
      <c r="Z1768" s="1">
        <v>181</v>
      </c>
      <c r="AA1768" s="1">
        <v>1.6605504587155964</v>
      </c>
      <c r="AB1768" s="1">
        <v>107.8505003533805</v>
      </c>
      <c r="AC1768" s="1">
        <v>180.9410822833706</v>
      </c>
      <c r="AD1768" s="1">
        <v>1.6777027616052143</v>
      </c>
      <c r="AE1768" t="s">
        <v>4815</v>
      </c>
      <c r="AF1768" t="str">
        <f>IF(X1768&lt;$AF$1,"Bajo","Alto")</f>
        <v>Bajo</v>
      </c>
      <c r="AG1768" t="str">
        <f>LEFT(AE1768,1)</f>
        <v>I</v>
      </c>
      <c r="AH1768" t="str">
        <f>K1768</f>
        <v>M</v>
      </c>
      <c r="AI1768" t="str">
        <f>LEFT(AF1768,1)</f>
        <v>B</v>
      </c>
      <c r="AJ1768" t="str">
        <f>LEFT(M1768,1)</f>
        <v>J</v>
      </c>
      <c r="AK1768" t="str">
        <f>_xlfn.CONCAT(AG1768,AH1768,AI1768,AJ1768)</f>
        <v>IMBJ</v>
      </c>
    </row>
    <row r="1769" spans="1:37" ht="15.75" hidden="1" customHeight="1" x14ac:dyDescent="0.2">
      <c r="A1769" s="1">
        <v>2719303</v>
      </c>
      <c r="B1769" s="1" t="s">
        <v>3409</v>
      </c>
      <c r="C1769" s="1" t="s">
        <v>973</v>
      </c>
      <c r="D1769" s="1" t="s">
        <v>3604</v>
      </c>
      <c r="E1769" s="1" t="s">
        <v>342</v>
      </c>
      <c r="F1769" s="1" t="s">
        <v>63</v>
      </c>
      <c r="G1769" s="1" t="s">
        <v>3607</v>
      </c>
      <c r="H1769" s="1">
        <v>704</v>
      </c>
      <c r="I1769" s="1" t="s">
        <v>73</v>
      </c>
      <c r="J1769" s="1">
        <v>5</v>
      </c>
      <c r="K1769" s="1" t="s">
        <v>35</v>
      </c>
      <c r="L1769" s="1">
        <v>45</v>
      </c>
      <c r="M1769" s="1" t="str">
        <f>IF(L1769&lt;=45,"Joven","Mayor")</f>
        <v>Joven</v>
      </c>
      <c r="N1769" s="1">
        <v>53</v>
      </c>
      <c r="O1769" s="1" t="s">
        <v>36</v>
      </c>
      <c r="P1769" s="1">
        <v>0.32500000000000001</v>
      </c>
      <c r="Q1769" s="1">
        <v>92.933999999999997</v>
      </c>
      <c r="R1769" s="1">
        <v>1.7418791</v>
      </c>
      <c r="S1769" s="1">
        <v>5.2521275999999997</v>
      </c>
      <c r="T1769" s="1">
        <v>-6.5581199999999997</v>
      </c>
      <c r="U1769" s="1">
        <v>1.923</v>
      </c>
      <c r="V1769" s="1">
        <v>77</v>
      </c>
      <c r="W1769" s="1">
        <v>132</v>
      </c>
      <c r="X1769" s="1">
        <v>1.7142857142857142</v>
      </c>
      <c r="Y1769" s="1">
        <v>81</v>
      </c>
      <c r="Z1769" s="1">
        <v>132</v>
      </c>
      <c r="AA1769" s="1">
        <v>1.6296296296296295</v>
      </c>
      <c r="AB1769" s="1">
        <v>80.721959231713527</v>
      </c>
      <c r="AC1769" s="1">
        <v>131.8215258143928</v>
      </c>
      <c r="AD1769" s="1">
        <v>1.633031792947409</v>
      </c>
      <c r="AE1769" t="s">
        <v>4817</v>
      </c>
      <c r="AF1769" t="str">
        <f>IF(X1769&lt;$AF$1,"Bajo","Alto")</f>
        <v>Bajo</v>
      </c>
      <c r="AG1769" t="str">
        <f>LEFT(AE1769,1)</f>
        <v>C</v>
      </c>
      <c r="AH1769" t="str">
        <f>K1769</f>
        <v>M</v>
      </c>
      <c r="AI1769" t="str">
        <f>LEFT(AF1769,1)</f>
        <v>B</v>
      </c>
      <c r="AJ1769" t="str">
        <f>LEFT(M1769,1)</f>
        <v>J</v>
      </c>
      <c r="AK1769" t="str">
        <f>_xlfn.CONCAT(AG1769,AH1769,AI1769,AJ1769)</f>
        <v>CMBJ</v>
      </c>
    </row>
    <row r="1770" spans="1:37" ht="15.75" hidden="1" customHeight="1" x14ac:dyDescent="0.2">
      <c r="A1770" s="1">
        <v>258502</v>
      </c>
      <c r="B1770" s="1" t="s">
        <v>3169</v>
      </c>
      <c r="C1770" s="1" t="s">
        <v>821</v>
      </c>
      <c r="D1770" s="1" t="s">
        <v>3334</v>
      </c>
      <c r="E1770" s="1" t="s">
        <v>755</v>
      </c>
      <c r="F1770" s="1" t="s">
        <v>37</v>
      </c>
      <c r="G1770" s="1" t="s">
        <v>3335</v>
      </c>
      <c r="H1770" s="1">
        <v>658</v>
      </c>
      <c r="I1770" s="1" t="s">
        <v>294</v>
      </c>
      <c r="J1770" s="1">
        <v>16</v>
      </c>
      <c r="K1770" s="1" t="s">
        <v>35</v>
      </c>
      <c r="L1770" s="1">
        <v>36</v>
      </c>
      <c r="M1770" s="1" t="str">
        <f>IF(L1770&lt;=45,"Joven","Mayor")</f>
        <v>Joven</v>
      </c>
      <c r="N1770" s="1">
        <v>54</v>
      </c>
      <c r="O1770" s="1" t="s">
        <v>36</v>
      </c>
      <c r="P1770" s="1">
        <v>0.36099999999999999</v>
      </c>
      <c r="Q1770" s="1">
        <v>91.087000000000003</v>
      </c>
      <c r="R1770" s="1">
        <v>2.6883067999999999</v>
      </c>
      <c r="S1770" s="1">
        <v>8.0932440000000003</v>
      </c>
      <c r="T1770" s="1">
        <v>-3.0509189999999999</v>
      </c>
      <c r="U1770" s="1">
        <v>72.83</v>
      </c>
      <c r="V1770" s="1">
        <v>109</v>
      </c>
      <c r="W1770" s="1">
        <v>187</v>
      </c>
      <c r="X1770" s="1">
        <v>1.7155963302752293</v>
      </c>
      <c r="Y1770" s="1">
        <v>110</v>
      </c>
      <c r="Z1770" s="1">
        <v>187</v>
      </c>
      <c r="AA1770" s="1">
        <v>1.7</v>
      </c>
      <c r="AB1770" s="1">
        <v>111.5066776711119</v>
      </c>
      <c r="AC1770" s="1">
        <v>187.05429219449621</v>
      </c>
      <c r="AD1770" s="1">
        <v>1.6775165048519465</v>
      </c>
      <c r="AE1770" t="s">
        <v>4817</v>
      </c>
      <c r="AF1770" t="str">
        <f>IF(X1770&lt;$AF$1,"Bajo","Alto")</f>
        <v>Bajo</v>
      </c>
      <c r="AG1770" t="str">
        <f>LEFT(AE1770,1)</f>
        <v>C</v>
      </c>
      <c r="AH1770" t="str">
        <f>K1770</f>
        <v>M</v>
      </c>
      <c r="AI1770" t="str">
        <f>LEFT(AF1770,1)</f>
        <v>B</v>
      </c>
      <c r="AJ1770" t="str">
        <f>LEFT(M1770,1)</f>
        <v>J</v>
      </c>
      <c r="AK1770" t="str">
        <f>_xlfn.CONCAT(AG1770,AH1770,AI1770,AJ1770)</f>
        <v>CMBJ</v>
      </c>
    </row>
    <row r="1771" spans="1:37" ht="15.75" hidden="1" customHeight="1" x14ac:dyDescent="0.2">
      <c r="A1771" s="1">
        <v>156405</v>
      </c>
      <c r="B1771" s="1" t="s">
        <v>2077</v>
      </c>
      <c r="C1771" s="1" t="s">
        <v>57</v>
      </c>
      <c r="D1771" s="1" t="s">
        <v>2493</v>
      </c>
      <c r="E1771" s="1" t="s">
        <v>710</v>
      </c>
      <c r="F1771" s="1" t="s">
        <v>40</v>
      </c>
      <c r="G1771" s="1" t="s">
        <v>2498</v>
      </c>
      <c r="H1771" s="1">
        <v>1203</v>
      </c>
      <c r="I1771" s="1" t="s">
        <v>2499</v>
      </c>
      <c r="J1771" s="1">
        <v>2538</v>
      </c>
      <c r="K1771" s="1" t="s">
        <v>35</v>
      </c>
      <c r="L1771" s="1">
        <v>63</v>
      </c>
      <c r="M1771" s="1" t="str">
        <f>IF(L1771&lt;=45,"Joven","Mayor")</f>
        <v>Mayor</v>
      </c>
      <c r="N1771" s="1">
        <v>60</v>
      </c>
      <c r="O1771" s="1" t="s">
        <v>36</v>
      </c>
      <c r="P1771" s="1">
        <v>0.29799999999999999</v>
      </c>
      <c r="Q1771" s="1">
        <v>85.367999999999995</v>
      </c>
      <c r="R1771" s="1">
        <v>8.8520679999999992</v>
      </c>
      <c r="S1771" s="1">
        <v>0.18556086999999999</v>
      </c>
      <c r="T1771" s="1">
        <v>-9.7559240000000003</v>
      </c>
      <c r="U1771" s="1">
        <v>2.8279999999999998</v>
      </c>
      <c r="V1771" s="1">
        <v>93</v>
      </c>
      <c r="W1771" s="1">
        <v>158</v>
      </c>
      <c r="X1771" s="1">
        <v>1.6989247311827957</v>
      </c>
      <c r="Y1771" s="1">
        <v>101</v>
      </c>
      <c r="Z1771" s="1">
        <v>158</v>
      </c>
      <c r="AA1771" s="1">
        <v>1.5643564356435644</v>
      </c>
      <c r="AB1771" s="1">
        <v>98.602592125748515</v>
      </c>
      <c r="AC1771" s="1">
        <v>157.4096040097015</v>
      </c>
      <c r="AD1771" s="1">
        <v>1.5964043197663205</v>
      </c>
      <c r="AE1771" t="s">
        <v>4817</v>
      </c>
      <c r="AF1771" t="str">
        <f>IF(X1771&lt;$AF$1,"Bajo","Alto")</f>
        <v>Bajo</v>
      </c>
      <c r="AG1771" t="str">
        <f>LEFT(AE1771,1)</f>
        <v>C</v>
      </c>
      <c r="AH1771" t="str">
        <f>K1771</f>
        <v>M</v>
      </c>
      <c r="AI1771" t="str">
        <f>LEFT(AF1771,1)</f>
        <v>B</v>
      </c>
      <c r="AJ1771" t="str">
        <f>LEFT(M1771,1)</f>
        <v>M</v>
      </c>
      <c r="AK1771" t="str">
        <f>_xlfn.CONCAT(AG1771,AH1771,AI1771,AJ1771)</f>
        <v>CMBM</v>
      </c>
    </row>
    <row r="1772" spans="1:37" ht="15.75" hidden="1" customHeight="1" x14ac:dyDescent="0.2">
      <c r="A1772" s="1">
        <v>1077905</v>
      </c>
      <c r="B1772" s="1" t="s">
        <v>1067</v>
      </c>
      <c r="C1772" s="1" t="s">
        <v>1068</v>
      </c>
      <c r="D1772" s="1" t="s">
        <v>1495</v>
      </c>
      <c r="E1772" s="1" t="s">
        <v>739</v>
      </c>
      <c r="F1772" s="1" t="s">
        <v>40</v>
      </c>
      <c r="G1772" s="1" t="s">
        <v>1498</v>
      </c>
      <c r="H1772" s="1">
        <v>258</v>
      </c>
      <c r="I1772" s="1" t="s">
        <v>45</v>
      </c>
      <c r="J1772" s="1">
        <v>17</v>
      </c>
      <c r="K1772" s="1" t="s">
        <v>35</v>
      </c>
      <c r="L1772" s="1">
        <v>58</v>
      </c>
      <c r="M1772" s="1" t="str">
        <f>IF(L1772&lt;=45,"Joven","Mayor")</f>
        <v>Mayor</v>
      </c>
      <c r="N1772" s="1">
        <v>57</v>
      </c>
      <c r="O1772" s="1" t="s">
        <v>36</v>
      </c>
      <c r="P1772" s="1">
        <v>3.5999999999999997E-2</v>
      </c>
      <c r="Q1772" s="1">
        <v>47.45</v>
      </c>
      <c r="R1772" s="1">
        <v>16.379148000000001</v>
      </c>
      <c r="S1772" s="1">
        <v>-1.7229228999999999</v>
      </c>
      <c r="T1772" s="1">
        <v>-8.4426600000000001</v>
      </c>
      <c r="U1772" s="1">
        <v>1.883</v>
      </c>
      <c r="V1772" s="1">
        <v>80</v>
      </c>
      <c r="W1772" s="1">
        <v>136</v>
      </c>
      <c r="X1772" s="1">
        <v>1.7</v>
      </c>
      <c r="Y1772" s="1">
        <v>84</v>
      </c>
      <c r="Z1772" s="1">
        <v>136</v>
      </c>
      <c r="AA1772" s="1">
        <v>1.6190476190476191</v>
      </c>
      <c r="AB1772" s="1">
        <v>83.684469625418842</v>
      </c>
      <c r="AC1772" s="1">
        <v>134.6730272095956</v>
      </c>
      <c r="AD1772" s="1">
        <v>1.6092953425218242</v>
      </c>
      <c r="AE1772" t="s">
        <v>4817</v>
      </c>
      <c r="AF1772" t="str">
        <f>IF(X1772&lt;$AF$1,"Bajo","Alto")</f>
        <v>Bajo</v>
      </c>
      <c r="AG1772" t="str">
        <f>LEFT(AE1772,1)</f>
        <v>C</v>
      </c>
      <c r="AH1772" t="str">
        <f>K1772</f>
        <v>M</v>
      </c>
      <c r="AI1772" t="str">
        <f>LEFT(AF1772,1)</f>
        <v>B</v>
      </c>
      <c r="AJ1772" t="str">
        <f>LEFT(M1772,1)</f>
        <v>M</v>
      </c>
      <c r="AK1772" t="str">
        <f>_xlfn.CONCAT(AG1772,AH1772,AI1772,AJ1772)</f>
        <v>CMBM</v>
      </c>
    </row>
    <row r="1773" spans="1:37" ht="15.75" hidden="1" customHeight="1" x14ac:dyDescent="0.2">
      <c r="A1773" s="1">
        <v>251001</v>
      </c>
      <c r="B1773" s="1" t="s">
        <v>3169</v>
      </c>
      <c r="C1773" s="1" t="s">
        <v>821</v>
      </c>
      <c r="D1773" s="1" t="s">
        <v>3196</v>
      </c>
      <c r="E1773" s="1" t="s">
        <v>75</v>
      </c>
      <c r="F1773" s="1" t="s">
        <v>32</v>
      </c>
      <c r="G1773" s="1" t="s">
        <v>3197</v>
      </c>
      <c r="H1773" s="1">
        <v>2410</v>
      </c>
      <c r="I1773" s="1" t="s">
        <v>100</v>
      </c>
      <c r="J1773" s="1">
        <v>1</v>
      </c>
      <c r="K1773" s="1" t="s">
        <v>35</v>
      </c>
      <c r="L1773" s="1">
        <v>45</v>
      </c>
      <c r="M1773" s="1" t="str">
        <f>IF(L1773&lt;=45,"Joven","Mayor")</f>
        <v>Joven</v>
      </c>
      <c r="N1773" s="1">
        <v>48</v>
      </c>
      <c r="O1773" s="1" t="s">
        <v>36</v>
      </c>
      <c r="P1773" s="1">
        <v>0.36099999999999999</v>
      </c>
      <c r="Q1773" s="1">
        <v>79.2</v>
      </c>
      <c r="R1773" s="1">
        <v>10.797160999999999</v>
      </c>
      <c r="S1773" s="1">
        <v>-1.6065775</v>
      </c>
      <c r="T1773" s="1">
        <v>-8.6363430000000001</v>
      </c>
      <c r="U1773" s="1">
        <v>47.615000000000002</v>
      </c>
      <c r="V1773" s="1">
        <v>108</v>
      </c>
      <c r="W1773" s="1">
        <v>199</v>
      </c>
      <c r="X1773" s="1">
        <v>1.8425925925925926</v>
      </c>
      <c r="Y1773" s="1">
        <v>115</v>
      </c>
      <c r="Z1773" s="1">
        <v>199</v>
      </c>
      <c r="AA1773" s="1">
        <v>1.7304347826086957</v>
      </c>
      <c r="AB1773" s="1">
        <v>116.2356604077174</v>
      </c>
      <c r="AC1773" s="1">
        <v>198.24522975859369</v>
      </c>
      <c r="AD1773" s="1">
        <v>1.7055456910832101</v>
      </c>
      <c r="AE1773" t="s">
        <v>4817</v>
      </c>
      <c r="AF1773" t="str">
        <f>IF(X1773&lt;$AF$1,"Bajo","Alto")</f>
        <v>Alto</v>
      </c>
      <c r="AG1773" t="str">
        <f>LEFT(AE1773,1)</f>
        <v>C</v>
      </c>
      <c r="AH1773" t="str">
        <f>K1773</f>
        <v>M</v>
      </c>
      <c r="AI1773" t="str">
        <f>LEFT(AF1773,1)</f>
        <v>A</v>
      </c>
      <c r="AJ1773" t="str">
        <f>LEFT(M1773,1)</f>
        <v>J</v>
      </c>
      <c r="AK1773" t="str">
        <f>_xlfn.CONCAT(AG1773,AH1773,AI1773,AJ1773)</f>
        <v>CMAJ</v>
      </c>
    </row>
    <row r="1774" spans="1:37" ht="15.75" hidden="1" customHeight="1" x14ac:dyDescent="0.2">
      <c r="A1774" s="1">
        <v>10716603</v>
      </c>
      <c r="B1774" s="1" t="s">
        <v>1067</v>
      </c>
      <c r="C1774" s="1" t="s">
        <v>1068</v>
      </c>
      <c r="D1774" s="1" t="s">
        <v>1170</v>
      </c>
      <c r="E1774" s="1" t="s">
        <v>265</v>
      </c>
      <c r="F1774" s="1" t="s">
        <v>63</v>
      </c>
      <c r="G1774" s="1" t="s">
        <v>1173</v>
      </c>
      <c r="H1774" s="1">
        <v>4968</v>
      </c>
      <c r="I1774" s="1" t="s">
        <v>1174</v>
      </c>
      <c r="J1774" s="1">
        <v>3005</v>
      </c>
      <c r="K1774" s="1" t="s">
        <v>35</v>
      </c>
      <c r="L1774" s="1">
        <v>50</v>
      </c>
      <c r="M1774" s="1" t="str">
        <f>IF(L1774&lt;=45,"Joven","Mayor")</f>
        <v>Mayor</v>
      </c>
      <c r="N1774" s="1">
        <v>43</v>
      </c>
      <c r="O1774" s="1" t="s">
        <v>36</v>
      </c>
      <c r="P1774" s="1">
        <v>0.42799999999999999</v>
      </c>
      <c r="Q1774" s="1">
        <v>84.777000000000001</v>
      </c>
      <c r="R1774" s="1">
        <v>6.8611579999999996</v>
      </c>
      <c r="S1774" s="1">
        <v>9.0780820000000002</v>
      </c>
      <c r="T1774" s="1">
        <v>-10.254320999999999</v>
      </c>
      <c r="U1774" s="1">
        <v>12.303000000000001</v>
      </c>
      <c r="V1774" s="1">
        <v>89</v>
      </c>
      <c r="W1774" s="1">
        <v>163</v>
      </c>
      <c r="X1774" s="1">
        <v>1.8314606741573034</v>
      </c>
      <c r="Y1774" s="1">
        <v>95</v>
      </c>
      <c r="Z1774" s="1">
        <v>163</v>
      </c>
      <c r="AA1774" s="1">
        <v>1.7157894736842105</v>
      </c>
      <c r="AB1774" s="1">
        <v>96.657333095452941</v>
      </c>
      <c r="AC1774" s="1">
        <v>162.5326589284991</v>
      </c>
      <c r="AD1774" s="1">
        <v>1.6815346929548705</v>
      </c>
      <c r="AE1774" t="s">
        <v>4817</v>
      </c>
      <c r="AF1774" t="str">
        <f>IF(X1774&lt;$AF$1,"Bajo","Alto")</f>
        <v>Alto</v>
      </c>
      <c r="AG1774" t="str">
        <f>LEFT(AE1774,1)</f>
        <v>C</v>
      </c>
      <c r="AH1774" t="str">
        <f>K1774</f>
        <v>M</v>
      </c>
      <c r="AI1774" t="str">
        <f>LEFT(AF1774,1)</f>
        <v>A</v>
      </c>
      <c r="AJ1774" t="str">
        <f>LEFT(M1774,1)</f>
        <v>M</v>
      </c>
      <c r="AK1774" t="str">
        <f>_xlfn.CONCAT(AG1774,AH1774,AI1774,AJ1774)</f>
        <v>CMAM</v>
      </c>
    </row>
    <row r="1775" spans="1:37" ht="15.75" hidden="1" customHeight="1" x14ac:dyDescent="0.2">
      <c r="A1775" s="1">
        <v>10127002</v>
      </c>
      <c r="B1775" s="1" t="s">
        <v>29</v>
      </c>
      <c r="C1775" s="1" t="s">
        <v>30</v>
      </c>
      <c r="D1775" s="1" t="s">
        <v>540</v>
      </c>
      <c r="E1775" s="1" t="s">
        <v>541</v>
      </c>
      <c r="F1775" s="1" t="s">
        <v>37</v>
      </c>
      <c r="G1775" s="1" t="s">
        <v>542</v>
      </c>
      <c r="H1775" s="1">
        <v>770</v>
      </c>
      <c r="I1775" s="1" t="s">
        <v>85</v>
      </c>
      <c r="J1775" s="1">
        <v>12</v>
      </c>
      <c r="K1775" s="1" t="s">
        <v>35</v>
      </c>
      <c r="L1775" s="1">
        <v>47</v>
      </c>
      <c r="M1775" s="1" t="str">
        <f>IF(L1775&lt;=45,"Joven","Mayor")</f>
        <v>Mayor</v>
      </c>
      <c r="N1775" s="1">
        <v>47</v>
      </c>
      <c r="O1775" s="1" t="s">
        <v>36</v>
      </c>
      <c r="P1775" s="1">
        <v>0.32900000000000001</v>
      </c>
      <c r="Q1775" s="1">
        <v>93.105000000000004</v>
      </c>
      <c r="R1775" s="1">
        <v>-2.9476943000000002</v>
      </c>
      <c r="S1775" s="1">
        <v>1.309436</v>
      </c>
      <c r="T1775" s="1">
        <v>-1.2932349999999999</v>
      </c>
      <c r="U1775" s="1">
        <v>3.8580000000000001</v>
      </c>
      <c r="V1775" s="1">
        <v>110</v>
      </c>
      <c r="W1775" s="1">
        <v>200</v>
      </c>
      <c r="X1775" s="1">
        <v>1.8181818181818181</v>
      </c>
      <c r="Y1775" s="1">
        <v>114</v>
      </c>
      <c r="Z1775" s="1">
        <v>200</v>
      </c>
      <c r="AA1775" s="1">
        <v>1.7543859649122806</v>
      </c>
      <c r="AB1775" s="1">
        <v>112.8199281370007</v>
      </c>
      <c r="AC1775" s="1">
        <v>200.06190267782631</v>
      </c>
      <c r="AD1775" s="1">
        <v>1.7732851454654801</v>
      </c>
      <c r="AE1775" t="s">
        <v>4815</v>
      </c>
      <c r="AF1775" t="str">
        <f>IF(X1775&lt;$AF$1,"Bajo","Alto")</f>
        <v>Alto</v>
      </c>
      <c r="AG1775" t="str">
        <f>LEFT(AE1775,1)</f>
        <v>I</v>
      </c>
      <c r="AH1775" t="str">
        <f>K1775</f>
        <v>M</v>
      </c>
      <c r="AI1775" t="str">
        <f>LEFT(AF1775,1)</f>
        <v>A</v>
      </c>
      <c r="AJ1775" t="str">
        <f>LEFT(M1775,1)</f>
        <v>M</v>
      </c>
      <c r="AK1775" t="str">
        <f>_xlfn.CONCAT(AG1775,AH1775,AI1775,AJ1775)</f>
        <v>IMAM</v>
      </c>
    </row>
    <row r="1776" spans="1:37" ht="15.75" hidden="1" customHeight="1" x14ac:dyDescent="0.2">
      <c r="A1776" s="1">
        <v>1077903</v>
      </c>
      <c r="B1776" s="1" t="s">
        <v>1067</v>
      </c>
      <c r="C1776" s="1" t="s">
        <v>1068</v>
      </c>
      <c r="D1776" s="1" t="s">
        <v>1495</v>
      </c>
      <c r="E1776" s="1" t="s">
        <v>739</v>
      </c>
      <c r="F1776" s="1" t="s">
        <v>63</v>
      </c>
      <c r="G1776" s="1" t="s">
        <v>1497</v>
      </c>
      <c r="H1776" s="1">
        <v>1576</v>
      </c>
      <c r="I1776" s="1" t="s">
        <v>87</v>
      </c>
      <c r="J1776" s="1">
        <v>14</v>
      </c>
      <c r="K1776" s="1" t="s">
        <v>35</v>
      </c>
      <c r="L1776" s="1">
        <v>46</v>
      </c>
      <c r="M1776" s="1" t="str">
        <f>IF(L1776&lt;=45,"Joven","Mayor")</f>
        <v>Mayor</v>
      </c>
      <c r="N1776" s="1">
        <v>49</v>
      </c>
      <c r="O1776" s="1" t="s">
        <v>36</v>
      </c>
      <c r="P1776" s="1">
        <v>0.29399999999999998</v>
      </c>
      <c r="Q1776" s="1">
        <v>91.614999999999995</v>
      </c>
      <c r="R1776" s="1">
        <v>4.9192710000000002</v>
      </c>
      <c r="S1776" s="1">
        <v>0.20951690000000001</v>
      </c>
      <c r="T1776" s="1">
        <v>-2.7559102000000002</v>
      </c>
      <c r="U1776" s="1">
        <v>16.300999999999998</v>
      </c>
      <c r="V1776" s="1">
        <v>93</v>
      </c>
      <c r="W1776" s="1">
        <v>169</v>
      </c>
      <c r="X1776" s="1">
        <v>1.8172043010752688</v>
      </c>
      <c r="Y1776" s="1">
        <v>96</v>
      </c>
      <c r="Z1776" s="1">
        <v>169</v>
      </c>
      <c r="AA1776" s="1">
        <v>1.7604166666666667</v>
      </c>
      <c r="AB1776" s="1">
        <v>98.05262176906399</v>
      </c>
      <c r="AC1776" s="1">
        <v>168.8526211884114</v>
      </c>
      <c r="AD1776" s="1">
        <v>1.7220612579447121</v>
      </c>
      <c r="AE1776" t="s">
        <v>4816</v>
      </c>
      <c r="AF1776" t="str">
        <f>IF(X1776&lt;$AF$1,"Bajo","Alto")</f>
        <v>Alto</v>
      </c>
      <c r="AG1776" t="str">
        <f>LEFT(AE1776,1)</f>
        <v>D</v>
      </c>
      <c r="AH1776" t="str">
        <f>K1776</f>
        <v>M</v>
      </c>
      <c r="AI1776" t="str">
        <f>LEFT(AF1776,1)</f>
        <v>A</v>
      </c>
      <c r="AJ1776" t="str">
        <f>LEFT(M1776,1)</f>
        <v>M</v>
      </c>
      <c r="AK1776" t="str">
        <f>_xlfn.CONCAT(AG1776,AH1776,AI1776,AJ1776)</f>
        <v>DMAM</v>
      </c>
    </row>
    <row r="1777" spans="1:37" ht="15.75" hidden="1" customHeight="1" x14ac:dyDescent="0.2">
      <c r="A1777" s="1">
        <v>285003</v>
      </c>
      <c r="B1777" s="1" t="s">
        <v>1775</v>
      </c>
      <c r="C1777" s="1" t="s">
        <v>561</v>
      </c>
      <c r="D1777" s="1" t="s">
        <v>278</v>
      </c>
      <c r="E1777" s="1" t="s">
        <v>1001</v>
      </c>
      <c r="F1777" s="1" t="s">
        <v>63</v>
      </c>
      <c r="G1777" s="1" t="s">
        <v>3876</v>
      </c>
      <c r="H1777" s="1">
        <v>72</v>
      </c>
      <c r="I1777" s="1" t="s">
        <v>42</v>
      </c>
      <c r="J1777" s="1">
        <v>15</v>
      </c>
      <c r="K1777" s="1" t="s">
        <v>35</v>
      </c>
      <c r="L1777" s="1">
        <v>41</v>
      </c>
      <c r="M1777" s="1" t="str">
        <f>IF(L1777&lt;=45,"Joven","Mayor")</f>
        <v>Joven</v>
      </c>
      <c r="N1777" s="1">
        <v>45</v>
      </c>
      <c r="O1777" s="1" t="s">
        <v>36</v>
      </c>
      <c r="P1777" s="1">
        <v>1.758</v>
      </c>
      <c r="Q1777" s="1">
        <v>93.418000000000006</v>
      </c>
      <c r="R1777" s="1">
        <v>1.1315138</v>
      </c>
      <c r="S1777" s="1">
        <v>3.4780521000000002</v>
      </c>
      <c r="T1777" s="1">
        <v>1.1382037</v>
      </c>
      <c r="U1777" s="1">
        <v>9.8710000000000004</v>
      </c>
      <c r="V1777" s="1">
        <v>108</v>
      </c>
      <c r="W1777" s="1">
        <v>199</v>
      </c>
      <c r="X1777" s="1">
        <v>1.8425925925925926</v>
      </c>
      <c r="Y1777" s="1">
        <v>110</v>
      </c>
      <c r="Z1777" s="1">
        <v>199</v>
      </c>
      <c r="AA1777" s="1">
        <v>1.8090909090909091</v>
      </c>
      <c r="AB1777" s="1">
        <v>110.8721801326565</v>
      </c>
      <c r="AC1777" s="1">
        <v>198.82168651936129</v>
      </c>
      <c r="AD1777" s="1">
        <v>1.7932513483677768</v>
      </c>
      <c r="AE1777" t="s">
        <v>4817</v>
      </c>
      <c r="AF1777" t="str">
        <f>IF(X1777&lt;$AF$1,"Bajo","Alto")</f>
        <v>Alto</v>
      </c>
      <c r="AG1777" t="str">
        <f>LEFT(AE1777,1)</f>
        <v>C</v>
      </c>
      <c r="AH1777" t="str">
        <f>K1777</f>
        <v>M</v>
      </c>
      <c r="AI1777" t="str">
        <f>LEFT(AF1777,1)</f>
        <v>A</v>
      </c>
      <c r="AJ1777" t="str">
        <f>LEFT(M1777,1)</f>
        <v>J</v>
      </c>
      <c r="AK1777" t="str">
        <f>_xlfn.CONCAT(AG1777,AH1777,AI1777,AJ1777)</f>
        <v>CMAJ</v>
      </c>
    </row>
    <row r="1778" spans="1:37" ht="15.75" hidden="1" customHeight="1" x14ac:dyDescent="0.2">
      <c r="A1778" s="1">
        <v>524004</v>
      </c>
      <c r="B1778" s="1" t="s">
        <v>4529</v>
      </c>
      <c r="C1778" s="1" t="s">
        <v>685</v>
      </c>
      <c r="D1778" s="1" t="s">
        <v>2867</v>
      </c>
      <c r="E1778" s="1" t="s">
        <v>657</v>
      </c>
      <c r="F1778" s="1" t="s">
        <v>61</v>
      </c>
      <c r="G1778" s="1" t="s">
        <v>4601</v>
      </c>
      <c r="H1778" s="1">
        <v>1089</v>
      </c>
      <c r="I1778" s="1" t="s">
        <v>3345</v>
      </c>
      <c r="J1778" s="1">
        <v>2936</v>
      </c>
      <c r="K1778" s="1" t="s">
        <v>49</v>
      </c>
      <c r="L1778" s="1">
        <v>47</v>
      </c>
      <c r="M1778" s="1" t="str">
        <f>IF(L1778&lt;=45,"Joven","Mayor")</f>
        <v>Mayor</v>
      </c>
      <c r="N1778" s="1">
        <v>44</v>
      </c>
      <c r="O1778" s="1" t="s">
        <v>50</v>
      </c>
      <c r="P1778" s="1">
        <v>0.36499999999999999</v>
      </c>
      <c r="Q1778" s="1">
        <v>92.349000000000004</v>
      </c>
      <c r="R1778" s="1">
        <v>2.2407382</v>
      </c>
      <c r="S1778" s="1">
        <v>5.9345020000000002</v>
      </c>
      <c r="T1778" s="1">
        <v>0.64336866000000004</v>
      </c>
      <c r="U1778" s="1">
        <v>6.56</v>
      </c>
      <c r="V1778" s="1">
        <v>95</v>
      </c>
      <c r="W1778" s="1">
        <v>160</v>
      </c>
      <c r="X1778" s="1">
        <v>1.6842105263157894</v>
      </c>
      <c r="Y1778" s="1">
        <v>95</v>
      </c>
      <c r="Z1778" s="1">
        <v>160</v>
      </c>
      <c r="AA1778" s="1">
        <v>1.6842105263157894</v>
      </c>
      <c r="AB1778" s="1">
        <v>95.443157490165277</v>
      </c>
      <c r="AC1778" s="1">
        <v>159.97868438236719</v>
      </c>
      <c r="AD1778" s="1">
        <v>1.6761671406234839</v>
      </c>
      <c r="AE1778" t="s">
        <v>4817</v>
      </c>
      <c r="AF1778" t="str">
        <f>IF(X1778&lt;$AF$1,"Bajo","Alto")</f>
        <v>Bajo</v>
      </c>
      <c r="AG1778" t="str">
        <f>LEFT(AE1778,1)</f>
        <v>C</v>
      </c>
      <c r="AH1778" t="str">
        <f>K1778</f>
        <v>F</v>
      </c>
      <c r="AI1778" t="str">
        <f>LEFT(AF1778,1)</f>
        <v>B</v>
      </c>
      <c r="AJ1778" t="str">
        <f>LEFT(M1778,1)</f>
        <v>M</v>
      </c>
      <c r="AK1778" t="str">
        <f>_xlfn.CONCAT(AG1778,AH1778,AI1778,AJ1778)</f>
        <v>CFBM</v>
      </c>
    </row>
    <row r="1779" spans="1:37" ht="15.75" hidden="1" customHeight="1" x14ac:dyDescent="0.2">
      <c r="A1779" s="1">
        <v>133203</v>
      </c>
      <c r="B1779" s="1" t="s">
        <v>956</v>
      </c>
      <c r="C1779" s="1" t="s">
        <v>163</v>
      </c>
      <c r="D1779" s="1" t="s">
        <v>2018</v>
      </c>
      <c r="E1779" s="1" t="s">
        <v>2019</v>
      </c>
      <c r="F1779" s="1" t="s">
        <v>63</v>
      </c>
      <c r="G1779" s="1" t="s">
        <v>2021</v>
      </c>
      <c r="H1779" s="1">
        <v>9315</v>
      </c>
      <c r="I1779" s="1" t="s">
        <v>108</v>
      </c>
      <c r="J1779" s="1">
        <v>3</v>
      </c>
      <c r="K1779" s="1" t="s">
        <v>35</v>
      </c>
      <c r="L1779" s="1">
        <v>43</v>
      </c>
      <c r="M1779" s="1" t="str">
        <f>IF(L1779&lt;=45,"Joven","Mayor")</f>
        <v>Joven</v>
      </c>
      <c r="N1779" s="1">
        <v>48</v>
      </c>
      <c r="O1779" s="1" t="s">
        <v>36</v>
      </c>
      <c r="P1779" s="1">
        <v>0.27800000000000002</v>
      </c>
      <c r="Q1779" s="1">
        <v>91.444000000000003</v>
      </c>
      <c r="R1779" s="1">
        <v>4.2668014000000003</v>
      </c>
      <c r="S1779" s="1">
        <v>3.4911460000000001</v>
      </c>
      <c r="T1779" s="1">
        <v>-2.2899968999999998</v>
      </c>
      <c r="U1779" s="1">
        <v>5.7869999999999999</v>
      </c>
      <c r="V1779" s="1">
        <v>81</v>
      </c>
      <c r="W1779" s="1">
        <v>139</v>
      </c>
      <c r="X1779" s="1">
        <v>1.7160493827160495</v>
      </c>
      <c r="Y1779" s="1">
        <v>82</v>
      </c>
      <c r="Z1779" s="1">
        <v>139</v>
      </c>
      <c r="AA1779" s="1">
        <v>1.6951219512195121</v>
      </c>
      <c r="AB1779" s="1">
        <v>82.293862044871275</v>
      </c>
      <c r="AC1779" s="1">
        <v>138.96890739746229</v>
      </c>
      <c r="AD1779" s="1">
        <v>1.6886910389706655</v>
      </c>
      <c r="AE1779" t="s">
        <v>4817</v>
      </c>
      <c r="AF1779" t="str">
        <f>IF(X1779&lt;$AF$1,"Bajo","Alto")</f>
        <v>Bajo</v>
      </c>
      <c r="AG1779" t="str">
        <f>LEFT(AE1779,1)</f>
        <v>C</v>
      </c>
      <c r="AH1779" t="str">
        <f>K1779</f>
        <v>M</v>
      </c>
      <c r="AI1779" t="str">
        <f>LEFT(AF1779,1)</f>
        <v>B</v>
      </c>
      <c r="AJ1779" t="str">
        <f>LEFT(M1779,1)</f>
        <v>J</v>
      </c>
      <c r="AK1779" t="str">
        <f>_xlfn.CONCAT(AG1779,AH1779,AI1779,AJ1779)</f>
        <v>CMBJ</v>
      </c>
    </row>
    <row r="1780" spans="1:37" ht="15.75" hidden="1" customHeight="1" x14ac:dyDescent="0.2">
      <c r="A1780" s="1">
        <v>4654011</v>
      </c>
      <c r="B1780" s="1" t="s">
        <v>4382</v>
      </c>
      <c r="C1780" s="1" t="s">
        <v>669</v>
      </c>
      <c r="D1780" s="1" t="s">
        <v>4407</v>
      </c>
      <c r="E1780" s="1" t="s">
        <v>4408</v>
      </c>
      <c r="F1780" s="1" t="s">
        <v>51</v>
      </c>
      <c r="G1780" s="1" t="s">
        <v>4414</v>
      </c>
      <c r="H1780" s="1">
        <v>23</v>
      </c>
      <c r="I1780" s="1" t="s">
        <v>93</v>
      </c>
      <c r="J1780" s="1">
        <v>9</v>
      </c>
      <c r="K1780" s="1" t="s">
        <v>35</v>
      </c>
      <c r="L1780" s="1">
        <v>42</v>
      </c>
      <c r="M1780" s="1" t="str">
        <f>IF(L1780&lt;=45,"Joven","Mayor")</f>
        <v>Joven</v>
      </c>
      <c r="N1780" s="1">
        <v>46</v>
      </c>
      <c r="O1780" s="1" t="s">
        <v>36</v>
      </c>
      <c r="P1780" s="1">
        <v>0.36699999999999999</v>
      </c>
      <c r="Q1780" s="1">
        <v>89.914000000000001</v>
      </c>
      <c r="R1780" s="1">
        <v>6.3383830000000003</v>
      </c>
      <c r="S1780" s="1">
        <v>-5.6508716000000001E-2</v>
      </c>
      <c r="T1780" s="1">
        <v>-3.0175106999999999</v>
      </c>
      <c r="U1780" s="1">
        <v>30.295000000000002</v>
      </c>
      <c r="V1780" s="1">
        <v>87</v>
      </c>
      <c r="W1780" s="1">
        <v>150</v>
      </c>
      <c r="X1780" s="1">
        <v>1.7241379310344827</v>
      </c>
      <c r="Y1780" s="1">
        <v>89</v>
      </c>
      <c r="Z1780" s="1">
        <v>150</v>
      </c>
      <c r="AA1780" s="1">
        <v>1.6853932584269662</v>
      </c>
      <c r="AB1780" s="1">
        <v>89.142943547342838</v>
      </c>
      <c r="AC1780" s="1">
        <v>150.0552297569061</v>
      </c>
      <c r="AD1780" s="1">
        <v>1.6833102406722009</v>
      </c>
      <c r="AE1780" t="s">
        <v>4815</v>
      </c>
      <c r="AF1780" t="str">
        <f>IF(X1780&lt;$AF$1,"Bajo","Alto")</f>
        <v>Bajo</v>
      </c>
      <c r="AG1780" t="str">
        <f>LEFT(AE1780,1)</f>
        <v>I</v>
      </c>
      <c r="AH1780" t="str">
        <f>K1780</f>
        <v>M</v>
      </c>
      <c r="AI1780" t="str">
        <f>LEFT(AF1780,1)</f>
        <v>B</v>
      </c>
      <c r="AJ1780" t="str">
        <f>LEFT(M1780,1)</f>
        <v>J</v>
      </c>
      <c r="AK1780" t="str">
        <f>_xlfn.CONCAT(AG1780,AH1780,AI1780,AJ1780)</f>
        <v>IMBJ</v>
      </c>
    </row>
    <row r="1781" spans="1:37" ht="15.75" hidden="1" customHeight="1" x14ac:dyDescent="0.2">
      <c r="A1781" s="1">
        <v>402501</v>
      </c>
      <c r="B1781" s="1" t="s">
        <v>4287</v>
      </c>
      <c r="C1781" s="1" t="s">
        <v>657</v>
      </c>
      <c r="D1781" s="1" t="s">
        <v>4307</v>
      </c>
      <c r="E1781" s="1" t="s">
        <v>821</v>
      </c>
      <c r="F1781" s="1" t="s">
        <v>32</v>
      </c>
      <c r="G1781" s="1" t="s">
        <v>4308</v>
      </c>
      <c r="H1781" s="1">
        <v>2495</v>
      </c>
      <c r="I1781" s="1" t="s">
        <v>39</v>
      </c>
      <c r="J1781" s="1">
        <v>11</v>
      </c>
      <c r="K1781" s="1" t="s">
        <v>35</v>
      </c>
      <c r="L1781" s="1">
        <v>52</v>
      </c>
      <c r="M1781" s="1" t="str">
        <f>IF(L1781&lt;=45,"Joven","Mayor")</f>
        <v>Mayor</v>
      </c>
      <c r="N1781" s="1">
        <v>51</v>
      </c>
      <c r="O1781" s="1" t="s">
        <v>36</v>
      </c>
      <c r="P1781" s="1">
        <v>0.36099999999999999</v>
      </c>
      <c r="Q1781" s="1">
        <v>90.772000000000006</v>
      </c>
      <c r="R1781" s="1">
        <v>4.5611056999999997</v>
      </c>
      <c r="S1781" s="1">
        <v>-4.5077275999999999</v>
      </c>
      <c r="T1781" s="1">
        <v>-6.9023075</v>
      </c>
      <c r="U1781" s="1">
        <v>8.5869999999999997</v>
      </c>
      <c r="V1781" s="1">
        <v>89</v>
      </c>
      <c r="W1781" s="1">
        <v>152</v>
      </c>
      <c r="X1781" s="1">
        <v>1.7078651685393258</v>
      </c>
      <c r="Y1781" s="1">
        <v>94</v>
      </c>
      <c r="Z1781" s="1">
        <v>152</v>
      </c>
      <c r="AA1781" s="1">
        <v>1.6170212765957446</v>
      </c>
      <c r="AB1781" s="1">
        <v>92.801515108243848</v>
      </c>
      <c r="AC1781" s="1">
        <v>151.49926452770751</v>
      </c>
      <c r="AD1781" s="1">
        <v>1.6325085247907698</v>
      </c>
      <c r="AE1781" t="s">
        <v>4816</v>
      </c>
      <c r="AF1781" t="str">
        <f>IF(X1781&lt;$AF$1,"Bajo","Alto")</f>
        <v>Bajo</v>
      </c>
      <c r="AG1781" t="str">
        <f>LEFT(AE1781,1)</f>
        <v>D</v>
      </c>
      <c r="AH1781" t="str">
        <f>K1781</f>
        <v>M</v>
      </c>
      <c r="AI1781" t="str">
        <f>LEFT(AF1781,1)</f>
        <v>B</v>
      </c>
      <c r="AJ1781" t="str">
        <f>LEFT(M1781,1)</f>
        <v>M</v>
      </c>
      <c r="AK1781" t="str">
        <f>_xlfn.CONCAT(AG1781,AH1781,AI1781,AJ1781)</f>
        <v>DMBM</v>
      </c>
    </row>
    <row r="1782" spans="1:37" ht="15.75" hidden="1" customHeight="1" x14ac:dyDescent="0.2">
      <c r="A1782" s="1">
        <v>10116301</v>
      </c>
      <c r="B1782" s="1" t="s">
        <v>29</v>
      </c>
      <c r="C1782" s="1" t="s">
        <v>30</v>
      </c>
      <c r="D1782" s="1" t="s">
        <v>250</v>
      </c>
      <c r="E1782" s="1" t="s">
        <v>251</v>
      </c>
      <c r="F1782" s="1" t="s">
        <v>32</v>
      </c>
      <c r="G1782" s="1" t="s">
        <v>252</v>
      </c>
      <c r="H1782" s="1">
        <v>194</v>
      </c>
      <c r="I1782" s="1" t="s">
        <v>34</v>
      </c>
      <c r="J1782" s="1">
        <v>10</v>
      </c>
      <c r="K1782" s="1" t="s">
        <v>35</v>
      </c>
      <c r="L1782" s="1">
        <v>48</v>
      </c>
      <c r="M1782" s="1" t="str">
        <f>IF(L1782&lt;=45,"Joven","Mayor")</f>
        <v>Mayor</v>
      </c>
      <c r="N1782" s="1">
        <v>46</v>
      </c>
      <c r="O1782" s="1" t="s">
        <v>36</v>
      </c>
      <c r="P1782" s="1">
        <v>0.36099999999999999</v>
      </c>
      <c r="Q1782" s="1">
        <v>92.058999999999997</v>
      </c>
      <c r="R1782" s="1">
        <v>4.3011860000000004</v>
      </c>
      <c r="S1782" s="1">
        <v>0.90428805000000001</v>
      </c>
      <c r="T1782" s="1">
        <v>-5.7832689999999998</v>
      </c>
      <c r="U1782" s="1">
        <v>12.238</v>
      </c>
      <c r="V1782" s="1">
        <v>72</v>
      </c>
      <c r="W1782" s="1">
        <v>121</v>
      </c>
      <c r="X1782" s="1">
        <v>1.6805555555555556</v>
      </c>
      <c r="Y1782" s="1">
        <v>72</v>
      </c>
      <c r="Z1782" s="1">
        <v>121</v>
      </c>
      <c r="AA1782" s="1">
        <v>1.6805555555555556</v>
      </c>
      <c r="AB1782" s="1">
        <v>74.958803301639591</v>
      </c>
      <c r="AC1782" s="1">
        <v>120.887960175487</v>
      </c>
      <c r="AD1782" s="1">
        <v>1.6127253217880919</v>
      </c>
      <c r="AE1782" t="s">
        <v>4815</v>
      </c>
      <c r="AF1782" t="str">
        <f>IF(X1782&lt;$AF$1,"Bajo","Alto")</f>
        <v>Bajo</v>
      </c>
      <c r="AG1782" t="str">
        <f>LEFT(AE1782,1)</f>
        <v>I</v>
      </c>
      <c r="AH1782" t="str">
        <f>K1782</f>
        <v>M</v>
      </c>
      <c r="AI1782" t="str">
        <f>LEFT(AF1782,1)</f>
        <v>B</v>
      </c>
      <c r="AJ1782" t="str">
        <f>LEFT(M1782,1)</f>
        <v>M</v>
      </c>
      <c r="AK1782" t="str">
        <f>_xlfn.CONCAT(AG1782,AH1782,AI1782,AJ1782)</f>
        <v>IMBM</v>
      </c>
    </row>
    <row r="1783" spans="1:37" ht="15.75" hidden="1" customHeight="1" x14ac:dyDescent="0.2">
      <c r="A1783" s="1">
        <v>196101</v>
      </c>
      <c r="B1783" s="1" t="s">
        <v>2656</v>
      </c>
      <c r="C1783" s="1" t="s">
        <v>323</v>
      </c>
      <c r="D1783" s="1" t="s">
        <v>2760</v>
      </c>
      <c r="E1783" s="1" t="s">
        <v>701</v>
      </c>
      <c r="F1783" s="1" t="s">
        <v>32</v>
      </c>
      <c r="G1783" s="1" t="s">
        <v>2761</v>
      </c>
      <c r="H1783" s="1">
        <v>2055</v>
      </c>
      <c r="I1783" s="1" t="s">
        <v>39</v>
      </c>
      <c r="J1783" s="1">
        <v>11</v>
      </c>
      <c r="K1783" s="1" t="s">
        <v>35</v>
      </c>
      <c r="L1783" s="1">
        <v>53</v>
      </c>
      <c r="M1783" s="1" t="str">
        <f>IF(L1783&lt;=45,"Joven","Mayor")</f>
        <v>Mayor</v>
      </c>
      <c r="N1783" s="1">
        <v>58</v>
      </c>
      <c r="O1783" s="1" t="s">
        <v>36</v>
      </c>
      <c r="P1783" s="1">
        <v>1.1319999999999999</v>
      </c>
      <c r="Q1783" s="1">
        <v>26.765999999999998</v>
      </c>
      <c r="R1783" s="1">
        <v>-18.827164</v>
      </c>
      <c r="S1783" s="1">
        <v>-2.8815243000000001</v>
      </c>
      <c r="T1783" s="1">
        <v>0.77603759999999999</v>
      </c>
      <c r="U1783" s="1">
        <v>55.110999999999997</v>
      </c>
      <c r="V1783" s="1">
        <v>103</v>
      </c>
      <c r="W1783" s="1">
        <v>187</v>
      </c>
      <c r="X1783" s="1">
        <v>1.8155339805825244</v>
      </c>
      <c r="Y1783" s="1">
        <v>114</v>
      </c>
      <c r="Z1783" s="1">
        <v>187</v>
      </c>
      <c r="AA1783" s="1">
        <v>1.6403508771929824</v>
      </c>
      <c r="AB1783" s="1">
        <v>113.420695569484</v>
      </c>
      <c r="AC1783" s="1">
        <v>187.0911995635947</v>
      </c>
      <c r="AD1783" s="1">
        <v>1.6495331705048357</v>
      </c>
      <c r="AE1783" t="s">
        <v>4816</v>
      </c>
      <c r="AF1783" t="str">
        <f>IF(X1783&lt;$AF$1,"Bajo","Alto")</f>
        <v>Alto</v>
      </c>
      <c r="AG1783" t="str">
        <f>LEFT(AE1783,1)</f>
        <v>D</v>
      </c>
      <c r="AH1783" t="str">
        <f>K1783</f>
        <v>M</v>
      </c>
      <c r="AI1783" t="str">
        <f>LEFT(AF1783,1)</f>
        <v>A</v>
      </c>
      <c r="AJ1783" t="str">
        <f>LEFT(M1783,1)</f>
        <v>M</v>
      </c>
      <c r="AK1783" t="str">
        <f>_xlfn.CONCAT(AG1783,AH1783,AI1783,AJ1783)</f>
        <v>DMAM</v>
      </c>
    </row>
    <row r="1784" spans="1:37" ht="15.75" hidden="1" customHeight="1" x14ac:dyDescent="0.2">
      <c r="A1784" s="1">
        <v>1018804</v>
      </c>
      <c r="B1784" s="1" t="s">
        <v>29</v>
      </c>
      <c r="C1784" s="1" t="s">
        <v>30</v>
      </c>
      <c r="D1784" s="1" t="s">
        <v>762</v>
      </c>
      <c r="E1784" s="1" t="s">
        <v>763</v>
      </c>
      <c r="F1784" s="1" t="s">
        <v>61</v>
      </c>
      <c r="G1784" s="1" t="s">
        <v>765</v>
      </c>
      <c r="H1784" s="1">
        <v>489</v>
      </c>
      <c r="I1784" s="1" t="s">
        <v>48</v>
      </c>
      <c r="J1784" s="1">
        <v>4</v>
      </c>
      <c r="K1784" s="1" t="s">
        <v>35</v>
      </c>
      <c r="L1784" s="1">
        <v>42</v>
      </c>
      <c r="M1784" s="1" t="str">
        <f>IF(L1784&lt;=45,"Joven","Mayor")</f>
        <v>Joven</v>
      </c>
      <c r="N1784" s="1">
        <v>30</v>
      </c>
      <c r="O1784" s="1" t="s">
        <v>36</v>
      </c>
      <c r="P1784" s="1">
        <v>4.5129999999999999</v>
      </c>
      <c r="Q1784" s="1">
        <v>86.311000000000007</v>
      </c>
      <c r="R1784" s="1">
        <v>-6.8708429999999998</v>
      </c>
      <c r="S1784" s="1">
        <v>3.0893674</v>
      </c>
      <c r="T1784" s="1">
        <v>5.9731702999999996</v>
      </c>
      <c r="U1784" s="1">
        <v>33.387</v>
      </c>
      <c r="V1784" s="1">
        <v>92</v>
      </c>
      <c r="W1784" s="1">
        <v>158</v>
      </c>
      <c r="X1784" s="1">
        <v>1.7173913043478262</v>
      </c>
      <c r="Y1784" s="1">
        <v>100</v>
      </c>
      <c r="Z1784" s="1">
        <v>158</v>
      </c>
      <c r="AA1784" s="1">
        <v>1.58</v>
      </c>
      <c r="AB1784" s="1">
        <v>96.495519504623417</v>
      </c>
      <c r="AC1784" s="1">
        <v>157.45436414724961</v>
      </c>
      <c r="AD1784" s="1">
        <v>1.6317272030408152</v>
      </c>
      <c r="AE1784" t="s">
        <v>4817</v>
      </c>
      <c r="AF1784" t="str">
        <f>IF(X1784&lt;$AF$1,"Bajo","Alto")</f>
        <v>Bajo</v>
      </c>
      <c r="AG1784" t="str">
        <f>LEFT(AE1784,1)</f>
        <v>C</v>
      </c>
      <c r="AH1784" t="str">
        <f>K1784</f>
        <v>M</v>
      </c>
      <c r="AI1784" t="str">
        <f>LEFT(AF1784,1)</f>
        <v>B</v>
      </c>
      <c r="AJ1784" t="str">
        <f>LEFT(M1784,1)</f>
        <v>J</v>
      </c>
      <c r="AK1784" t="str">
        <f>_xlfn.CONCAT(AG1784,AH1784,AI1784,AJ1784)</f>
        <v>CMBJ</v>
      </c>
    </row>
    <row r="1785" spans="1:37" ht="15.75" hidden="1" customHeight="1" x14ac:dyDescent="0.2">
      <c r="A1785" s="1">
        <v>171305</v>
      </c>
      <c r="B1785" s="1" t="s">
        <v>2551</v>
      </c>
      <c r="C1785" s="1" t="s">
        <v>2552</v>
      </c>
      <c r="D1785" s="1" t="s">
        <v>2581</v>
      </c>
      <c r="E1785" s="1" t="s">
        <v>163</v>
      </c>
      <c r="F1785" s="1" t="s">
        <v>40</v>
      </c>
      <c r="G1785" s="1" t="s">
        <v>2582</v>
      </c>
      <c r="H1785" s="1">
        <v>1216</v>
      </c>
      <c r="I1785" s="1" t="s">
        <v>2583</v>
      </c>
      <c r="J1785" s="1">
        <v>2713</v>
      </c>
      <c r="K1785" s="1" t="s">
        <v>35</v>
      </c>
      <c r="L1785" s="1">
        <v>59</v>
      </c>
      <c r="M1785" s="1" t="str">
        <f>IF(L1785&lt;=45,"Joven","Mayor")</f>
        <v>Mayor</v>
      </c>
      <c r="N1785" s="1">
        <v>57</v>
      </c>
      <c r="O1785" s="1" t="s">
        <v>36</v>
      </c>
      <c r="P1785" s="1">
        <v>1.276</v>
      </c>
      <c r="Q1785" s="1">
        <v>89.344999999999999</v>
      </c>
      <c r="R1785" s="1">
        <v>4.5553755999999996</v>
      </c>
      <c r="S1785" s="1">
        <v>7.0556307</v>
      </c>
      <c r="T1785" s="1">
        <v>-5.3757352999999997</v>
      </c>
      <c r="U1785" s="1">
        <v>9.6630000000000003</v>
      </c>
      <c r="V1785" s="1">
        <v>60</v>
      </c>
      <c r="W1785" s="1">
        <v>102</v>
      </c>
      <c r="X1785" s="1">
        <v>1.7</v>
      </c>
      <c r="Y1785" s="1">
        <v>60</v>
      </c>
      <c r="Z1785" s="1">
        <v>102</v>
      </c>
      <c r="AA1785" s="1">
        <v>1.7</v>
      </c>
      <c r="AB1785" s="1">
        <v>62.35933099918725</v>
      </c>
      <c r="AC1785" s="1">
        <v>101.6450631548764</v>
      </c>
      <c r="AD1785" s="1">
        <v>1.629989634689974</v>
      </c>
      <c r="AE1785" t="s">
        <v>4817</v>
      </c>
      <c r="AF1785" t="str">
        <f>IF(X1785&lt;$AF$1,"Bajo","Alto")</f>
        <v>Bajo</v>
      </c>
      <c r="AG1785" t="str">
        <f>LEFT(AE1785,1)</f>
        <v>C</v>
      </c>
      <c r="AH1785" t="str">
        <f>K1785</f>
        <v>M</v>
      </c>
      <c r="AI1785" t="str">
        <f>LEFT(AF1785,1)</f>
        <v>B</v>
      </c>
      <c r="AJ1785" t="str">
        <f>LEFT(M1785,1)</f>
        <v>M</v>
      </c>
      <c r="AK1785" t="str">
        <f>_xlfn.CONCAT(AG1785,AH1785,AI1785,AJ1785)</f>
        <v>CMBM</v>
      </c>
    </row>
    <row r="1786" spans="1:37" ht="15.75" hidden="1" customHeight="1" x14ac:dyDescent="0.2">
      <c r="A1786" s="1">
        <v>157607</v>
      </c>
      <c r="B1786" s="1" t="s">
        <v>2077</v>
      </c>
      <c r="C1786" s="1" t="s">
        <v>57</v>
      </c>
      <c r="D1786" s="1" t="s">
        <v>2513</v>
      </c>
      <c r="E1786" s="1" t="s">
        <v>727</v>
      </c>
      <c r="F1786" s="1" t="s">
        <v>43</v>
      </c>
      <c r="G1786" s="1" t="s">
        <v>2517</v>
      </c>
      <c r="H1786" s="1">
        <v>19559</v>
      </c>
      <c r="I1786" s="1" t="s">
        <v>93</v>
      </c>
      <c r="J1786" s="1">
        <v>9</v>
      </c>
      <c r="K1786" s="1" t="s">
        <v>35</v>
      </c>
      <c r="L1786" s="1">
        <v>54</v>
      </c>
      <c r="M1786" s="1" t="str">
        <f>IF(L1786&lt;=45,"Joven","Mayor")</f>
        <v>Mayor</v>
      </c>
      <c r="N1786" s="1">
        <v>50</v>
      </c>
      <c r="O1786" s="1" t="s">
        <v>36</v>
      </c>
      <c r="P1786" s="1">
        <v>4.3999999999999997E-2</v>
      </c>
      <c r="Q1786" s="1">
        <v>93.406000000000006</v>
      </c>
      <c r="R1786" s="1">
        <v>2.3079890999999999</v>
      </c>
      <c r="S1786" s="1">
        <v>2.3283892000000002</v>
      </c>
      <c r="T1786" s="1">
        <v>-3.0094623999999999</v>
      </c>
      <c r="U1786" s="1">
        <v>9.5190000000000001</v>
      </c>
      <c r="V1786" s="1">
        <v>66</v>
      </c>
      <c r="W1786" s="1">
        <v>120</v>
      </c>
      <c r="X1786" s="1">
        <v>1.8181818181818181</v>
      </c>
      <c r="Y1786" s="1">
        <v>70</v>
      </c>
      <c r="Z1786" s="1">
        <v>120</v>
      </c>
      <c r="AA1786" s="1">
        <v>1.7142857142857142</v>
      </c>
      <c r="AB1786" s="1">
        <v>68.328435072634647</v>
      </c>
      <c r="AC1786" s="1">
        <v>119.99200797981671</v>
      </c>
      <c r="AD1786" s="1">
        <v>1.7561064855687465</v>
      </c>
      <c r="AE1786" t="s">
        <v>4815</v>
      </c>
      <c r="AF1786" t="str">
        <f>IF(X1786&lt;$AF$1,"Bajo","Alto")</f>
        <v>Alto</v>
      </c>
      <c r="AG1786" t="str">
        <f>LEFT(AE1786,1)</f>
        <v>I</v>
      </c>
      <c r="AH1786" t="str">
        <f>K1786</f>
        <v>M</v>
      </c>
      <c r="AI1786" t="str">
        <f>LEFT(AF1786,1)</f>
        <v>A</v>
      </c>
      <c r="AJ1786" t="str">
        <f>LEFT(M1786,1)</f>
        <v>M</v>
      </c>
      <c r="AK1786" t="str">
        <f>_xlfn.CONCAT(AG1786,AH1786,AI1786,AJ1786)</f>
        <v>IMAM</v>
      </c>
    </row>
    <row r="1787" spans="1:37" ht="15.75" hidden="1" customHeight="1" x14ac:dyDescent="0.2">
      <c r="A1787" s="1">
        <v>1078504</v>
      </c>
      <c r="B1787" s="1" t="s">
        <v>1067</v>
      </c>
      <c r="C1787" s="1" t="s">
        <v>1068</v>
      </c>
      <c r="D1787" s="1" t="s">
        <v>1506</v>
      </c>
      <c r="E1787" s="1" t="s">
        <v>755</v>
      </c>
      <c r="F1787" s="1" t="s">
        <v>61</v>
      </c>
      <c r="G1787" s="1" t="s">
        <v>1509</v>
      </c>
      <c r="H1787" s="1">
        <v>718</v>
      </c>
      <c r="I1787" s="1" t="s">
        <v>1510</v>
      </c>
      <c r="J1787" s="1">
        <v>3840</v>
      </c>
      <c r="K1787" s="1" t="s">
        <v>35</v>
      </c>
      <c r="L1787" s="1">
        <v>51</v>
      </c>
      <c r="M1787" s="1" t="str">
        <f>IF(L1787&lt;=45,"Joven","Mayor")</f>
        <v>Mayor</v>
      </c>
      <c r="N1787" s="1">
        <v>50</v>
      </c>
      <c r="O1787" s="1" t="s">
        <v>36</v>
      </c>
      <c r="P1787" s="1">
        <v>0.38900000000000001</v>
      </c>
      <c r="Q1787" s="1">
        <v>76.962000000000003</v>
      </c>
      <c r="R1787" s="1">
        <v>-11.388553999999999</v>
      </c>
      <c r="S1787" s="1">
        <v>1.6739299000000001</v>
      </c>
      <c r="T1787" s="1">
        <v>8.8681970000000003</v>
      </c>
      <c r="U1787" s="1">
        <v>4.1749999999999998</v>
      </c>
      <c r="V1787" s="1">
        <v>89</v>
      </c>
      <c r="W1787" s="1">
        <v>163</v>
      </c>
      <c r="X1787" s="1">
        <v>1.8314606741573034</v>
      </c>
      <c r="Y1787" s="1">
        <v>100</v>
      </c>
      <c r="Z1787" s="1">
        <v>163</v>
      </c>
      <c r="AA1787" s="1">
        <v>1.63</v>
      </c>
      <c r="AB1787" s="1">
        <v>95.335832319350857</v>
      </c>
      <c r="AC1787" s="1">
        <v>163.20969857737151</v>
      </c>
      <c r="AD1787" s="1">
        <v>1.7119449697639437</v>
      </c>
      <c r="AE1787" t="s">
        <v>4817</v>
      </c>
      <c r="AF1787" t="str">
        <f>IF(X1787&lt;$AF$1,"Bajo","Alto")</f>
        <v>Alto</v>
      </c>
      <c r="AG1787" t="str">
        <f>LEFT(AE1787,1)</f>
        <v>C</v>
      </c>
      <c r="AH1787" t="str">
        <f>K1787</f>
        <v>M</v>
      </c>
      <c r="AI1787" t="str">
        <f>LEFT(AF1787,1)</f>
        <v>A</v>
      </c>
      <c r="AJ1787" t="str">
        <f>LEFT(M1787,1)</f>
        <v>M</v>
      </c>
      <c r="AK1787" t="str">
        <f>_xlfn.CONCAT(AG1787,AH1787,AI1787,AJ1787)</f>
        <v>CMAM</v>
      </c>
    </row>
    <row r="1788" spans="1:37" ht="15.75" hidden="1" customHeight="1" x14ac:dyDescent="0.2">
      <c r="A1788" s="1">
        <v>10116903</v>
      </c>
      <c r="B1788" s="1" t="s">
        <v>29</v>
      </c>
      <c r="C1788" s="1" t="s">
        <v>30</v>
      </c>
      <c r="D1788" s="1" t="s">
        <v>278</v>
      </c>
      <c r="E1788" s="1" t="s">
        <v>279</v>
      </c>
      <c r="F1788" s="1" t="s">
        <v>63</v>
      </c>
      <c r="G1788" s="1" t="s">
        <v>281</v>
      </c>
      <c r="H1788" s="1">
        <v>1795</v>
      </c>
      <c r="I1788" s="1" t="s">
        <v>65</v>
      </c>
      <c r="J1788" s="1">
        <v>2</v>
      </c>
      <c r="K1788" s="1" t="s">
        <v>35</v>
      </c>
      <c r="L1788" s="1">
        <v>39</v>
      </c>
      <c r="M1788" s="1" t="str">
        <f>IF(L1788&lt;=45,"Joven","Mayor")</f>
        <v>Joven</v>
      </c>
      <c r="N1788" s="1">
        <v>35</v>
      </c>
      <c r="O1788" s="1" t="s">
        <v>36</v>
      </c>
      <c r="P1788" s="1">
        <v>1.034</v>
      </c>
      <c r="Q1788" s="1">
        <v>93.415999999999997</v>
      </c>
      <c r="R1788" s="1">
        <v>0.65438414</v>
      </c>
      <c r="S1788" s="1">
        <v>5.1774389999999997</v>
      </c>
      <c r="T1788" s="1">
        <v>0.19971013000000001</v>
      </c>
      <c r="U1788" s="1">
        <v>2.5649999999999999</v>
      </c>
      <c r="V1788" s="1">
        <v>120</v>
      </c>
      <c r="W1788" s="1">
        <v>221</v>
      </c>
      <c r="X1788" s="1">
        <v>1.8416666666666666</v>
      </c>
      <c r="Y1788" s="1">
        <v>121</v>
      </c>
      <c r="Z1788" s="1">
        <v>221</v>
      </c>
      <c r="AA1788" s="1">
        <v>1.8264462809917354</v>
      </c>
      <c r="AB1788" s="1">
        <v>120.81452857210139</v>
      </c>
      <c r="AC1788" s="1">
        <v>221.0056286768918</v>
      </c>
      <c r="AD1788" s="1">
        <v>1.8292967848233332</v>
      </c>
      <c r="AE1788" t="s">
        <v>4817</v>
      </c>
      <c r="AF1788" t="str">
        <f>IF(X1788&lt;$AF$1,"Bajo","Alto")</f>
        <v>Alto</v>
      </c>
      <c r="AG1788" t="str">
        <f>LEFT(AE1788,1)</f>
        <v>C</v>
      </c>
      <c r="AH1788" t="str">
        <f>K1788</f>
        <v>M</v>
      </c>
      <c r="AI1788" t="str">
        <f>LEFT(AF1788,1)</f>
        <v>A</v>
      </c>
      <c r="AJ1788" t="str">
        <f>LEFT(M1788,1)</f>
        <v>J</v>
      </c>
      <c r="AK1788" t="str">
        <f>_xlfn.CONCAT(AG1788,AH1788,AI1788,AJ1788)</f>
        <v>CMAJ</v>
      </c>
    </row>
    <row r="1789" spans="1:37" ht="15.75" hidden="1" customHeight="1" x14ac:dyDescent="0.2">
      <c r="A1789" s="1">
        <v>251302</v>
      </c>
      <c r="B1789" s="1" t="s">
        <v>3169</v>
      </c>
      <c r="C1789" s="1" t="s">
        <v>821</v>
      </c>
      <c r="D1789" s="1" t="s">
        <v>3200</v>
      </c>
      <c r="E1789" s="1" t="s">
        <v>163</v>
      </c>
      <c r="F1789" s="1" t="s">
        <v>37</v>
      </c>
      <c r="G1789" s="1" t="s">
        <v>3201</v>
      </c>
      <c r="H1789" s="1">
        <v>1880</v>
      </c>
      <c r="I1789" s="1" t="s">
        <v>65</v>
      </c>
      <c r="J1789" s="1">
        <v>2</v>
      </c>
      <c r="K1789" s="1" t="s">
        <v>35</v>
      </c>
      <c r="L1789" s="1">
        <v>52</v>
      </c>
      <c r="M1789" s="1" t="str">
        <f>IF(L1789&lt;=45,"Joven","Mayor")</f>
        <v>Mayor</v>
      </c>
      <c r="N1789" s="1">
        <v>55</v>
      </c>
      <c r="O1789" s="1" t="s">
        <v>36</v>
      </c>
      <c r="P1789" s="1">
        <v>0.35799999999999998</v>
      </c>
      <c r="Q1789" s="1">
        <v>93.415000000000006</v>
      </c>
      <c r="R1789" s="1">
        <v>9.5195755000000007E-2</v>
      </c>
      <c r="S1789" s="1">
        <v>6.6668200000000004</v>
      </c>
      <c r="T1789" s="1">
        <v>0.91357920000000004</v>
      </c>
      <c r="U1789" s="1">
        <v>28.193000000000001</v>
      </c>
      <c r="V1789" s="1">
        <v>110</v>
      </c>
      <c r="W1789" s="1">
        <v>187</v>
      </c>
      <c r="X1789" s="1">
        <v>1.7</v>
      </c>
      <c r="Y1789" s="1">
        <v>113</v>
      </c>
      <c r="Z1789" s="1">
        <v>187</v>
      </c>
      <c r="AA1789" s="1">
        <v>1.654867256637168</v>
      </c>
      <c r="AB1789" s="1">
        <v>112.1724768780805</v>
      </c>
      <c r="AC1789" s="1">
        <v>186.97622888511069</v>
      </c>
      <c r="AD1789" s="1">
        <v>1.6668636914234662</v>
      </c>
      <c r="AE1789" t="s">
        <v>4817</v>
      </c>
      <c r="AF1789" t="str">
        <f>IF(X1789&lt;$AF$1,"Bajo","Alto")</f>
        <v>Bajo</v>
      </c>
      <c r="AG1789" t="str">
        <f>LEFT(AE1789,1)</f>
        <v>C</v>
      </c>
      <c r="AH1789" t="str">
        <f>K1789</f>
        <v>M</v>
      </c>
      <c r="AI1789" t="str">
        <f>LEFT(AF1789,1)</f>
        <v>B</v>
      </c>
      <c r="AJ1789" t="str">
        <f>LEFT(M1789,1)</f>
        <v>M</v>
      </c>
      <c r="AK1789" t="str">
        <f>_xlfn.CONCAT(AG1789,AH1789,AI1789,AJ1789)</f>
        <v>CMBM</v>
      </c>
    </row>
    <row r="1790" spans="1:37" ht="15.75" hidden="1" customHeight="1" x14ac:dyDescent="0.2">
      <c r="A1790" s="1">
        <v>1079401</v>
      </c>
      <c r="B1790" s="1" t="s">
        <v>1067</v>
      </c>
      <c r="C1790" s="1" t="s">
        <v>1068</v>
      </c>
      <c r="D1790" s="1" t="s">
        <v>1522</v>
      </c>
      <c r="E1790" s="1" t="s">
        <v>775</v>
      </c>
      <c r="F1790" s="1" t="s">
        <v>32</v>
      </c>
      <c r="G1790" s="1" t="s">
        <v>1523</v>
      </c>
      <c r="H1790" s="1">
        <v>346</v>
      </c>
      <c r="I1790" s="1" t="s">
        <v>39</v>
      </c>
      <c r="J1790" s="1">
        <v>11</v>
      </c>
      <c r="K1790" s="1" t="s">
        <v>35</v>
      </c>
      <c r="L1790" s="1">
        <v>37</v>
      </c>
      <c r="M1790" s="1" t="str">
        <f>IF(L1790&lt;=45,"Joven","Mayor")</f>
        <v>Joven</v>
      </c>
      <c r="N1790" s="1">
        <v>44</v>
      </c>
      <c r="O1790" s="1" t="s">
        <v>36</v>
      </c>
      <c r="P1790" s="1">
        <v>0.72899999999999998</v>
      </c>
      <c r="Q1790" s="1">
        <v>91.694999999999993</v>
      </c>
      <c r="R1790" s="1">
        <v>-0.94069800000000003</v>
      </c>
      <c r="S1790" s="1">
        <v>9.3392400000000002</v>
      </c>
      <c r="T1790" s="1">
        <v>2.2636739999999999E-2</v>
      </c>
      <c r="U1790" s="1">
        <v>0.70399999999999996</v>
      </c>
      <c r="V1790" s="1">
        <v>92</v>
      </c>
      <c r="W1790" s="1">
        <v>158</v>
      </c>
      <c r="X1790" s="1">
        <v>1.7173913043478262</v>
      </c>
      <c r="Y1790" s="1">
        <v>93</v>
      </c>
      <c r="Z1790" s="1">
        <v>158</v>
      </c>
      <c r="AA1790" s="1">
        <v>1.6989247311827957</v>
      </c>
      <c r="AB1790" s="1">
        <v>93.01737650961536</v>
      </c>
      <c r="AC1790" s="1">
        <v>157.99880241177561</v>
      </c>
      <c r="AD1790" s="1">
        <v>1.6985944813810463</v>
      </c>
      <c r="AE1790" t="s">
        <v>4816</v>
      </c>
      <c r="AF1790" t="str">
        <f>IF(X1790&lt;$AF$1,"Bajo","Alto")</f>
        <v>Bajo</v>
      </c>
      <c r="AG1790" t="str">
        <f>LEFT(AE1790,1)</f>
        <v>D</v>
      </c>
      <c r="AH1790" t="str">
        <f>K1790</f>
        <v>M</v>
      </c>
      <c r="AI1790" t="str">
        <f>LEFT(AF1790,1)</f>
        <v>B</v>
      </c>
      <c r="AJ1790" t="str">
        <f>LEFT(M1790,1)</f>
        <v>J</v>
      </c>
      <c r="AK1790" t="str">
        <f>_xlfn.CONCAT(AG1790,AH1790,AI1790,AJ1790)</f>
        <v>DMBJ</v>
      </c>
    </row>
    <row r="1791" spans="1:37" ht="15.75" hidden="1" customHeight="1" x14ac:dyDescent="0.2">
      <c r="A1791" s="1">
        <v>318503</v>
      </c>
      <c r="B1791" s="1" t="s">
        <v>4122</v>
      </c>
      <c r="C1791" s="1" t="s">
        <v>628</v>
      </c>
      <c r="D1791" s="1" t="s">
        <v>4268</v>
      </c>
      <c r="E1791" s="1" t="s">
        <v>755</v>
      </c>
      <c r="F1791" s="1" t="s">
        <v>63</v>
      </c>
      <c r="G1791" s="1" t="s">
        <v>4270</v>
      </c>
      <c r="H1791" s="1">
        <v>3539</v>
      </c>
      <c r="I1791" s="1" t="s">
        <v>48</v>
      </c>
      <c r="J1791" s="1">
        <v>4</v>
      </c>
      <c r="K1791" s="1" t="s">
        <v>35</v>
      </c>
      <c r="L1791" s="1">
        <v>52</v>
      </c>
      <c r="M1791" s="1" t="str">
        <f>IF(L1791&lt;=45,"Joven","Mayor")</f>
        <v>Mayor</v>
      </c>
      <c r="N1791" s="1">
        <v>51</v>
      </c>
      <c r="O1791" s="1" t="s">
        <v>36</v>
      </c>
      <c r="P1791" s="1">
        <v>0.23699999999999999</v>
      </c>
      <c r="Q1791" s="1">
        <v>94.215000000000003</v>
      </c>
      <c r="R1791" s="1">
        <v>-5.1263983999999999E-2</v>
      </c>
      <c r="S1791" s="1">
        <v>4.0004396</v>
      </c>
      <c r="T1791" s="1">
        <v>1.1813804000000001</v>
      </c>
      <c r="U1791" s="1">
        <v>68.203999999999994</v>
      </c>
      <c r="V1791" s="1">
        <v>127</v>
      </c>
      <c r="W1791" s="1">
        <v>216</v>
      </c>
      <c r="X1791" s="1">
        <v>1.7007874015748032</v>
      </c>
      <c r="Y1791" s="1">
        <v>128</v>
      </c>
      <c r="Z1791" s="1">
        <v>216</v>
      </c>
      <c r="AA1791" s="1">
        <v>1.6875</v>
      </c>
      <c r="AB1791" s="1">
        <v>129.27169541449979</v>
      </c>
      <c r="AC1791" s="1">
        <v>215.99532129808631</v>
      </c>
      <c r="AD1791" s="1">
        <v>1.6708632203322922</v>
      </c>
      <c r="AE1791" t="s">
        <v>4817</v>
      </c>
      <c r="AF1791" t="str">
        <f>IF(X1791&lt;$AF$1,"Bajo","Alto")</f>
        <v>Bajo</v>
      </c>
      <c r="AG1791" t="str">
        <f>LEFT(AE1791,1)</f>
        <v>C</v>
      </c>
      <c r="AH1791" t="str">
        <f>K1791</f>
        <v>M</v>
      </c>
      <c r="AI1791" t="str">
        <f>LEFT(AF1791,1)</f>
        <v>B</v>
      </c>
      <c r="AJ1791" t="str">
        <f>LEFT(M1791,1)</f>
        <v>M</v>
      </c>
      <c r="AK1791" t="str">
        <f>_xlfn.CONCAT(AG1791,AH1791,AI1791,AJ1791)</f>
        <v>CMBM</v>
      </c>
    </row>
    <row r="1792" spans="1:37" ht="15.75" hidden="1" customHeight="1" x14ac:dyDescent="0.2">
      <c r="A1792" s="1">
        <v>2911802</v>
      </c>
      <c r="B1792" s="1" t="s">
        <v>3890</v>
      </c>
      <c r="C1792" s="1" t="s">
        <v>1695</v>
      </c>
      <c r="D1792" s="1" t="s">
        <v>3950</v>
      </c>
      <c r="E1792" s="1" t="s">
        <v>129</v>
      </c>
      <c r="F1792" s="1" t="s">
        <v>37</v>
      </c>
      <c r="G1792" s="1" t="s">
        <v>3951</v>
      </c>
      <c r="H1792" s="1">
        <v>2144</v>
      </c>
      <c r="I1792" s="1" t="s">
        <v>65</v>
      </c>
      <c r="J1792" s="1">
        <v>2</v>
      </c>
      <c r="K1792" s="1" t="s">
        <v>35</v>
      </c>
      <c r="L1792" s="1">
        <v>28</v>
      </c>
      <c r="M1792" s="1" t="str">
        <f>IF(L1792&lt;=45,"Joven","Mayor")</f>
        <v>Joven</v>
      </c>
      <c r="N1792" s="1">
        <v>26</v>
      </c>
      <c r="O1792" s="1" t="s">
        <v>36</v>
      </c>
      <c r="P1792" s="1">
        <v>0.36099999999999999</v>
      </c>
      <c r="Q1792" s="1">
        <v>88.608999999999995</v>
      </c>
      <c r="R1792" s="1">
        <v>-6.3584337</v>
      </c>
      <c r="S1792" s="1">
        <v>4.0829019999999998</v>
      </c>
      <c r="T1792" s="1">
        <v>7.0669092999999998</v>
      </c>
      <c r="U1792" s="1">
        <v>22.081</v>
      </c>
      <c r="V1792" s="1">
        <v>82</v>
      </c>
      <c r="W1792" s="1">
        <v>151</v>
      </c>
      <c r="X1792" s="1">
        <v>1.8414634146341464</v>
      </c>
      <c r="Y1792" s="1">
        <v>86</v>
      </c>
      <c r="Z1792" s="1">
        <v>151</v>
      </c>
      <c r="AA1792" s="1">
        <v>1.7558139534883721</v>
      </c>
      <c r="AB1792" s="1">
        <v>86.790306002808848</v>
      </c>
      <c r="AC1792" s="1">
        <v>150.34499013776761</v>
      </c>
      <c r="AD1792" s="1">
        <v>1.7322786041669436</v>
      </c>
      <c r="AE1792" t="s">
        <v>4817</v>
      </c>
      <c r="AF1792" t="str">
        <f>IF(X1792&lt;$AF$1,"Bajo","Alto")</f>
        <v>Alto</v>
      </c>
      <c r="AG1792" t="str">
        <f>LEFT(AE1792,1)</f>
        <v>C</v>
      </c>
      <c r="AH1792" t="str">
        <f>K1792</f>
        <v>M</v>
      </c>
      <c r="AI1792" t="str">
        <f>LEFT(AF1792,1)</f>
        <v>A</v>
      </c>
      <c r="AJ1792" t="str">
        <f>LEFT(M1792,1)</f>
        <v>J</v>
      </c>
      <c r="AK1792" t="str">
        <f>_xlfn.CONCAT(AG1792,AH1792,AI1792,AJ1792)</f>
        <v>CMAJ</v>
      </c>
    </row>
    <row r="1793" spans="1:37" ht="15.75" hidden="1" customHeight="1" x14ac:dyDescent="0.2">
      <c r="A1793" s="1">
        <v>284107</v>
      </c>
      <c r="B1793" s="1" t="s">
        <v>1775</v>
      </c>
      <c r="C1793" s="1" t="s">
        <v>561</v>
      </c>
      <c r="D1793" s="1" t="s">
        <v>3854</v>
      </c>
      <c r="E1793" s="1" t="s">
        <v>988</v>
      </c>
      <c r="F1793" s="1" t="s">
        <v>43</v>
      </c>
      <c r="G1793" s="1" t="s">
        <v>3861</v>
      </c>
      <c r="H1793" s="1">
        <v>25</v>
      </c>
      <c r="I1793" s="1" t="s">
        <v>134</v>
      </c>
      <c r="J1793" s="1">
        <v>8</v>
      </c>
      <c r="K1793" s="1" t="s">
        <v>35</v>
      </c>
      <c r="L1793" s="1">
        <v>28</v>
      </c>
      <c r="M1793" s="1" t="str">
        <f>IF(L1793&lt;=45,"Joven","Mayor")</f>
        <v>Joven</v>
      </c>
      <c r="N1793" s="1">
        <v>37</v>
      </c>
      <c r="O1793" s="1" t="s">
        <v>36</v>
      </c>
      <c r="P1793" s="1">
        <v>2.278</v>
      </c>
      <c r="Q1793" s="1">
        <v>91.260999999999996</v>
      </c>
      <c r="R1793" s="1">
        <v>2.7124782000000001</v>
      </c>
      <c r="S1793" s="1">
        <v>6.2378410000000004</v>
      </c>
      <c r="T1793" s="1">
        <v>0.81220895000000004</v>
      </c>
      <c r="U1793" s="1">
        <v>0.98899999999999999</v>
      </c>
      <c r="V1793" s="1">
        <v>92</v>
      </c>
      <c r="W1793" s="1">
        <v>158</v>
      </c>
      <c r="X1793" s="1">
        <v>1.7173913043478262</v>
      </c>
      <c r="Y1793" s="1">
        <v>98</v>
      </c>
      <c r="Z1793" s="1">
        <v>158</v>
      </c>
      <c r="AA1793" s="1">
        <v>1.6122448979591837</v>
      </c>
      <c r="AB1793" s="1">
        <v>97.30974177348503</v>
      </c>
      <c r="AC1793" s="1">
        <v>158.09752709800429</v>
      </c>
      <c r="AD1793" s="1">
        <v>1.6246834511802468</v>
      </c>
      <c r="AE1793" t="s">
        <v>4817</v>
      </c>
      <c r="AF1793" t="str">
        <f>IF(X1793&lt;$AF$1,"Bajo","Alto")</f>
        <v>Bajo</v>
      </c>
      <c r="AG1793" t="str">
        <f>LEFT(AE1793,1)</f>
        <v>C</v>
      </c>
      <c r="AH1793" t="str">
        <f>K1793</f>
        <v>M</v>
      </c>
      <c r="AI1793" t="str">
        <f>LEFT(AF1793,1)</f>
        <v>B</v>
      </c>
      <c r="AJ1793" t="str">
        <f>LEFT(M1793,1)</f>
        <v>J</v>
      </c>
      <c r="AK1793" t="str">
        <f>_xlfn.CONCAT(AG1793,AH1793,AI1793,AJ1793)</f>
        <v>CMBJ</v>
      </c>
    </row>
    <row r="1794" spans="1:37" ht="15.75" hidden="1" customHeight="1" x14ac:dyDescent="0.2">
      <c r="A1794" s="1">
        <v>1523903</v>
      </c>
      <c r="B1794" s="1" t="s">
        <v>2077</v>
      </c>
      <c r="C1794" s="1" t="s">
        <v>57</v>
      </c>
      <c r="D1794" s="1" t="s">
        <v>2291</v>
      </c>
      <c r="E1794" s="1" t="s">
        <v>2292</v>
      </c>
      <c r="F1794" s="1" t="s">
        <v>63</v>
      </c>
      <c r="G1794" s="1" t="s">
        <v>2293</v>
      </c>
      <c r="H1794" s="1">
        <v>6394</v>
      </c>
      <c r="I1794" s="1" t="s">
        <v>2294</v>
      </c>
      <c r="J1794" s="1">
        <v>3564</v>
      </c>
      <c r="K1794" s="1" t="s">
        <v>35</v>
      </c>
      <c r="L1794" s="1">
        <v>48</v>
      </c>
      <c r="M1794" s="1" t="str">
        <f>IF(L1794&lt;=45,"Joven","Mayor")</f>
        <v>Mayor</v>
      </c>
      <c r="N1794" s="1">
        <v>54</v>
      </c>
      <c r="O1794" s="1" t="s">
        <v>36</v>
      </c>
      <c r="P1794" s="1">
        <v>0.35599999999999998</v>
      </c>
      <c r="Q1794" s="1">
        <v>94.2</v>
      </c>
      <c r="R1794" s="1">
        <v>0.32448605000000003</v>
      </c>
      <c r="S1794" s="1">
        <v>3.3913465</v>
      </c>
      <c r="T1794" s="1">
        <v>3.9845576</v>
      </c>
      <c r="U1794" s="1">
        <v>6.157</v>
      </c>
      <c r="V1794" s="1">
        <v>83</v>
      </c>
      <c r="W1794" s="1">
        <v>152</v>
      </c>
      <c r="X1794" s="1">
        <v>1.8313253012048192</v>
      </c>
      <c r="Y1794" s="1">
        <v>85</v>
      </c>
      <c r="Z1794" s="1">
        <v>152</v>
      </c>
      <c r="AA1794" s="1">
        <v>1.7882352941176471</v>
      </c>
      <c r="AB1794" s="1">
        <v>85.509390306047862</v>
      </c>
      <c r="AC1794" s="1">
        <v>151.70207546311801</v>
      </c>
      <c r="AD1794" s="1">
        <v>1.7740984343375503</v>
      </c>
      <c r="AE1794" t="s">
        <v>4817</v>
      </c>
      <c r="AF1794" t="str">
        <f>IF(X1794&lt;$AF$1,"Bajo","Alto")</f>
        <v>Alto</v>
      </c>
      <c r="AG1794" t="str">
        <f>LEFT(AE1794,1)</f>
        <v>C</v>
      </c>
      <c r="AH1794" t="str">
        <f>K1794</f>
        <v>M</v>
      </c>
      <c r="AI1794" t="str">
        <f>LEFT(AF1794,1)</f>
        <v>A</v>
      </c>
      <c r="AJ1794" t="str">
        <f>LEFT(M1794,1)</f>
        <v>M</v>
      </c>
      <c r="AK1794" t="str">
        <f>_xlfn.CONCAT(AG1794,AH1794,AI1794,AJ1794)</f>
        <v>CMAM</v>
      </c>
    </row>
    <row r="1795" spans="1:37" ht="15.75" hidden="1" customHeight="1" x14ac:dyDescent="0.2">
      <c r="A1795" s="1">
        <v>243802</v>
      </c>
      <c r="B1795" s="1" t="s">
        <v>1548</v>
      </c>
      <c r="C1795" s="1" t="s">
        <v>1993</v>
      </c>
      <c r="D1795" s="1" t="s">
        <v>3144</v>
      </c>
      <c r="E1795" s="1" t="s">
        <v>2637</v>
      </c>
      <c r="F1795" s="1" t="s">
        <v>37</v>
      </c>
      <c r="G1795" s="1" t="s">
        <v>3146</v>
      </c>
      <c r="H1795" s="1">
        <v>2018</v>
      </c>
      <c r="I1795" s="1" t="s">
        <v>39</v>
      </c>
      <c r="J1795" s="1">
        <v>11</v>
      </c>
      <c r="K1795" s="1" t="s">
        <v>35</v>
      </c>
      <c r="L1795" s="1">
        <v>49</v>
      </c>
      <c r="M1795" s="1" t="str">
        <f>IF(L1795&lt;=45,"Joven","Mayor")</f>
        <v>Mayor</v>
      </c>
      <c r="N1795" s="1">
        <v>50</v>
      </c>
      <c r="O1795" s="1" t="s">
        <v>36</v>
      </c>
      <c r="P1795" s="1">
        <v>0.34799999999999998</v>
      </c>
      <c r="Q1795" s="1">
        <v>88.590999999999994</v>
      </c>
      <c r="R1795" s="1">
        <v>5.0240020000000003</v>
      </c>
      <c r="S1795" s="1">
        <v>7.9911894999999999</v>
      </c>
      <c r="T1795" s="1">
        <v>-1.5612081</v>
      </c>
      <c r="U1795" s="1">
        <v>4.1909999999999998</v>
      </c>
      <c r="V1795" s="1">
        <v>100</v>
      </c>
      <c r="W1795" s="1">
        <v>171</v>
      </c>
      <c r="X1795" s="1">
        <v>1.71</v>
      </c>
      <c r="Y1795" s="1">
        <v>104</v>
      </c>
      <c r="Z1795" s="1">
        <v>171</v>
      </c>
      <c r="AA1795" s="1">
        <v>1.6442307692307692</v>
      </c>
      <c r="AB1795" s="1">
        <v>105.2691469768383</v>
      </c>
      <c r="AC1795" s="1">
        <v>170.90927827025601</v>
      </c>
      <c r="AD1795" s="1">
        <v>1.6235457698527764</v>
      </c>
      <c r="AE1795" t="s">
        <v>4816</v>
      </c>
      <c r="AF1795" t="str">
        <f>IF(X1795&lt;$AF$1,"Bajo","Alto")</f>
        <v>Bajo</v>
      </c>
      <c r="AG1795" t="str">
        <f>LEFT(AE1795,1)</f>
        <v>D</v>
      </c>
      <c r="AH1795" t="str">
        <f>K1795</f>
        <v>M</v>
      </c>
      <c r="AI1795" t="str">
        <f>LEFT(AF1795,1)</f>
        <v>B</v>
      </c>
      <c r="AJ1795" t="str">
        <f>LEFT(M1795,1)</f>
        <v>M</v>
      </c>
      <c r="AK1795" t="str">
        <f>_xlfn.CONCAT(AG1795,AH1795,AI1795,AJ1795)</f>
        <v>DMBM</v>
      </c>
    </row>
    <row r="1796" spans="1:37" ht="15.75" hidden="1" customHeight="1" x14ac:dyDescent="0.2">
      <c r="A1796" s="1">
        <v>1215004</v>
      </c>
      <c r="B1796" s="1" t="s">
        <v>1798</v>
      </c>
      <c r="C1796" s="1" t="s">
        <v>54</v>
      </c>
      <c r="D1796" s="1" t="s">
        <v>1799</v>
      </c>
      <c r="E1796" s="1" t="s">
        <v>205</v>
      </c>
      <c r="F1796" s="1" t="s">
        <v>61</v>
      </c>
      <c r="G1796" s="1" t="s">
        <v>1801</v>
      </c>
      <c r="H1796" s="1">
        <v>6135</v>
      </c>
      <c r="I1796" s="1" t="s">
        <v>108</v>
      </c>
      <c r="J1796" s="1">
        <v>3</v>
      </c>
      <c r="K1796" s="1" t="s">
        <v>49</v>
      </c>
      <c r="L1796" s="1">
        <v>61</v>
      </c>
      <c r="M1796" s="1" t="str">
        <f>IF(L1796&lt;=45,"Joven","Mayor")</f>
        <v>Mayor</v>
      </c>
      <c r="N1796" s="1">
        <v>48</v>
      </c>
      <c r="O1796" s="1" t="s">
        <v>50</v>
      </c>
      <c r="P1796" s="1">
        <v>0.41099999999999998</v>
      </c>
      <c r="Q1796" s="1">
        <v>92.179000000000002</v>
      </c>
      <c r="R1796" s="1">
        <v>2.3801603</v>
      </c>
      <c r="S1796" s="1">
        <v>6.0785727999999999</v>
      </c>
      <c r="T1796" s="1">
        <v>-3.0020191999999999</v>
      </c>
      <c r="U1796" s="1">
        <v>54.323</v>
      </c>
      <c r="V1796" s="1">
        <v>89</v>
      </c>
      <c r="W1796" s="1">
        <v>150</v>
      </c>
      <c r="X1796" s="1">
        <v>1.6853932584269662</v>
      </c>
      <c r="Y1796" s="1">
        <v>94</v>
      </c>
      <c r="Z1796" s="1">
        <v>150</v>
      </c>
      <c r="AA1796" s="1">
        <v>1.5957446808510638</v>
      </c>
      <c r="AB1796" s="1">
        <v>91.776156850288999</v>
      </c>
      <c r="AC1796" s="1">
        <v>149.89889575824961</v>
      </c>
      <c r="AD1796" s="1">
        <v>1.633309793117335</v>
      </c>
      <c r="AE1796" t="s">
        <v>4817</v>
      </c>
      <c r="AF1796" t="str">
        <f>IF(X1796&lt;$AF$1,"Bajo","Alto")</f>
        <v>Bajo</v>
      </c>
      <c r="AG1796" t="str">
        <f>LEFT(AE1796,1)</f>
        <v>C</v>
      </c>
      <c r="AH1796" t="str">
        <f>K1796</f>
        <v>F</v>
      </c>
      <c r="AI1796" t="str">
        <f>LEFT(AF1796,1)</f>
        <v>B</v>
      </c>
      <c r="AJ1796" t="str">
        <f>LEFT(M1796,1)</f>
        <v>M</v>
      </c>
      <c r="AK1796" t="str">
        <f>_xlfn.CONCAT(AG1796,AH1796,AI1796,AJ1796)</f>
        <v>CFBM</v>
      </c>
    </row>
    <row r="1797" spans="1:37" ht="15.75" hidden="1" customHeight="1" x14ac:dyDescent="0.2">
      <c r="A1797" s="1">
        <v>232804</v>
      </c>
      <c r="B1797" s="1" t="s">
        <v>319</v>
      </c>
      <c r="C1797" s="1" t="s">
        <v>1989</v>
      </c>
      <c r="D1797" s="1" t="s">
        <v>3010</v>
      </c>
      <c r="E1797" s="1" t="s">
        <v>561</v>
      </c>
      <c r="F1797" s="1" t="s">
        <v>61</v>
      </c>
      <c r="G1797" s="1" t="s">
        <v>3013</v>
      </c>
      <c r="H1797" s="1">
        <v>3096</v>
      </c>
      <c r="I1797" s="1" t="s">
        <v>134</v>
      </c>
      <c r="J1797" s="1">
        <v>8</v>
      </c>
      <c r="K1797" s="1" t="s">
        <v>35</v>
      </c>
      <c r="L1797" s="1">
        <v>52</v>
      </c>
      <c r="M1797" s="1" t="str">
        <f>IF(L1797&lt;=45,"Joven","Mayor")</f>
        <v>Mayor</v>
      </c>
      <c r="N1797" s="1">
        <v>37</v>
      </c>
      <c r="O1797" s="1" t="s">
        <v>36</v>
      </c>
      <c r="P1797" s="1">
        <v>0.34599999999999997</v>
      </c>
      <c r="Q1797" s="1">
        <v>85.382999999999996</v>
      </c>
      <c r="R1797" s="1">
        <v>8.7641729999999995</v>
      </c>
      <c r="S1797" s="1">
        <v>0.68205159999999998</v>
      </c>
      <c r="T1797" s="1">
        <v>-8.0429130000000004</v>
      </c>
      <c r="U1797" s="1">
        <v>29.994</v>
      </c>
      <c r="V1797" s="1">
        <v>106</v>
      </c>
      <c r="W1797" s="1">
        <v>194</v>
      </c>
      <c r="X1797" s="1">
        <v>1.8301886792452831</v>
      </c>
      <c r="Y1797" s="1">
        <v>113</v>
      </c>
      <c r="Z1797" s="1">
        <v>194</v>
      </c>
      <c r="AA1797" s="1">
        <v>1.7168141592920354</v>
      </c>
      <c r="AB1797" s="1">
        <v>113.9118804798011</v>
      </c>
      <c r="AC1797" s="1">
        <v>193.6307916991218</v>
      </c>
      <c r="AD1797" s="1">
        <v>1.6998296480010835</v>
      </c>
      <c r="AE1797" t="s">
        <v>4817</v>
      </c>
      <c r="AF1797" t="str">
        <f>IF(X1797&lt;$AF$1,"Bajo","Alto")</f>
        <v>Alto</v>
      </c>
      <c r="AG1797" t="str">
        <f>LEFT(AE1797,1)</f>
        <v>C</v>
      </c>
      <c r="AH1797" t="str">
        <f>K1797</f>
        <v>M</v>
      </c>
      <c r="AI1797" t="str">
        <f>LEFT(AF1797,1)</f>
        <v>A</v>
      </c>
      <c r="AJ1797" t="str">
        <f>LEFT(M1797,1)</f>
        <v>M</v>
      </c>
      <c r="AK1797" t="str">
        <f>_xlfn.CONCAT(AG1797,AH1797,AI1797,AJ1797)</f>
        <v>CMAM</v>
      </c>
    </row>
    <row r="1798" spans="1:37" ht="15.75" hidden="1" customHeight="1" x14ac:dyDescent="0.2">
      <c r="A1798" s="1">
        <v>130902</v>
      </c>
      <c r="B1798" s="1" t="s">
        <v>956</v>
      </c>
      <c r="C1798" s="1" t="s">
        <v>163</v>
      </c>
      <c r="D1798" s="1" t="s">
        <v>1966</v>
      </c>
      <c r="E1798" s="1" t="s">
        <v>189</v>
      </c>
      <c r="F1798" s="1" t="s">
        <v>37</v>
      </c>
      <c r="G1798" s="1" t="s">
        <v>1968</v>
      </c>
      <c r="H1798" s="1">
        <v>4597</v>
      </c>
      <c r="I1798" s="1" t="s">
        <v>1969</v>
      </c>
      <c r="J1798" s="1">
        <v>4140</v>
      </c>
      <c r="K1798" s="1" t="s">
        <v>35</v>
      </c>
      <c r="L1798" s="1">
        <v>45</v>
      </c>
      <c r="M1798" s="1" t="str">
        <f>IF(L1798&lt;=45,"Joven","Mayor")</f>
        <v>Joven</v>
      </c>
      <c r="N1798" s="1">
        <v>48</v>
      </c>
      <c r="O1798" s="1" t="s">
        <v>36</v>
      </c>
      <c r="P1798" s="1">
        <v>0.36</v>
      </c>
      <c r="Q1798" s="1">
        <v>87.992000000000004</v>
      </c>
      <c r="R1798" s="1">
        <v>3.1449067999999998</v>
      </c>
      <c r="S1798" s="1">
        <v>-12.053369</v>
      </c>
      <c r="T1798" s="1">
        <v>-0.27822986</v>
      </c>
      <c r="U1798" s="1">
        <v>2.25</v>
      </c>
      <c r="V1798" s="1">
        <v>75</v>
      </c>
      <c r="W1798" s="1">
        <v>138</v>
      </c>
      <c r="X1798" s="1">
        <v>1.84</v>
      </c>
      <c r="Y1798" s="1">
        <v>76</v>
      </c>
      <c r="Z1798" s="1">
        <v>138</v>
      </c>
      <c r="AA1798" s="1">
        <v>1.8157894736842106</v>
      </c>
      <c r="AB1798" s="1">
        <v>76.183632229655586</v>
      </c>
      <c r="AC1798" s="1">
        <v>138.0177969464271</v>
      </c>
      <c r="AD1798" s="1">
        <v>1.8116463196500319</v>
      </c>
      <c r="AE1798" t="s">
        <v>4817</v>
      </c>
      <c r="AF1798" t="str">
        <f>IF(X1798&lt;$AF$1,"Bajo","Alto")</f>
        <v>Alto</v>
      </c>
      <c r="AG1798" t="str">
        <f>LEFT(AE1798,1)</f>
        <v>C</v>
      </c>
      <c r="AH1798" t="str">
        <f>K1798</f>
        <v>M</v>
      </c>
      <c r="AI1798" t="str">
        <f>LEFT(AF1798,1)</f>
        <v>A</v>
      </c>
      <c r="AJ1798" t="str">
        <f>LEFT(M1798,1)</f>
        <v>J</v>
      </c>
      <c r="AK1798" t="str">
        <f>_xlfn.CONCAT(AG1798,AH1798,AI1798,AJ1798)</f>
        <v>CMAJ</v>
      </c>
    </row>
    <row r="1799" spans="1:37" ht="15.75" hidden="1" customHeight="1" x14ac:dyDescent="0.2">
      <c r="A1799" s="1">
        <v>10124402</v>
      </c>
      <c r="B1799" s="1" t="s">
        <v>29</v>
      </c>
      <c r="C1799" s="1" t="s">
        <v>30</v>
      </c>
      <c r="D1799" s="1" t="s">
        <v>490</v>
      </c>
      <c r="E1799" s="1" t="s">
        <v>491</v>
      </c>
      <c r="F1799" s="1" t="s">
        <v>37</v>
      </c>
      <c r="G1799" s="1" t="s">
        <v>493</v>
      </c>
      <c r="H1799" s="1">
        <v>1064</v>
      </c>
      <c r="I1799" s="1" t="s">
        <v>108</v>
      </c>
      <c r="J1799" s="1">
        <v>3</v>
      </c>
      <c r="K1799" s="1" t="s">
        <v>35</v>
      </c>
      <c r="L1799" s="1">
        <v>40</v>
      </c>
      <c r="M1799" s="1" t="str">
        <f>IF(L1799&lt;=45,"Joven","Mayor")</f>
        <v>Joven</v>
      </c>
      <c r="N1799" s="1">
        <v>37</v>
      </c>
      <c r="O1799" s="1" t="s">
        <v>36</v>
      </c>
      <c r="P1799" s="1">
        <v>0.35499999999999998</v>
      </c>
      <c r="Q1799" s="1">
        <v>81.927000000000007</v>
      </c>
      <c r="R1799" s="1">
        <v>7.6370579999999997</v>
      </c>
      <c r="S1799" s="1">
        <v>10.385077000000001</v>
      </c>
      <c r="T1799" s="1">
        <v>-6.6120919999999996</v>
      </c>
      <c r="U1799" s="1">
        <v>28.576000000000001</v>
      </c>
      <c r="V1799" s="1">
        <v>81</v>
      </c>
      <c r="W1799" s="1">
        <v>149</v>
      </c>
      <c r="X1799" s="1">
        <v>1.8395061728395061</v>
      </c>
      <c r="Y1799" s="1">
        <v>84</v>
      </c>
      <c r="Z1799" s="1">
        <v>149</v>
      </c>
      <c r="AA1799" s="1">
        <v>1.7738095238095237</v>
      </c>
      <c r="AB1799" s="1">
        <v>85.06709918990714</v>
      </c>
      <c r="AC1799" s="1">
        <v>148.12407128936141</v>
      </c>
      <c r="AD1799" s="1">
        <v>1.7412615770367743</v>
      </c>
      <c r="AE1799" t="s">
        <v>4817</v>
      </c>
      <c r="AF1799" t="str">
        <f>IF(X1799&lt;$AF$1,"Bajo","Alto")</f>
        <v>Alto</v>
      </c>
      <c r="AG1799" t="str">
        <f>LEFT(AE1799,1)</f>
        <v>C</v>
      </c>
      <c r="AH1799" t="str">
        <f>K1799</f>
        <v>M</v>
      </c>
      <c r="AI1799" t="str">
        <f>LEFT(AF1799,1)</f>
        <v>A</v>
      </c>
      <c r="AJ1799" t="str">
        <f>LEFT(M1799,1)</f>
        <v>J</v>
      </c>
      <c r="AK1799" t="str">
        <f>_xlfn.CONCAT(AG1799,AH1799,AI1799,AJ1799)</f>
        <v>CMAJ</v>
      </c>
    </row>
    <row r="1800" spans="1:37" ht="15.75" hidden="1" customHeight="1" x14ac:dyDescent="0.2">
      <c r="A1800" s="1">
        <v>154605</v>
      </c>
      <c r="B1800" s="1" t="s">
        <v>2077</v>
      </c>
      <c r="C1800" s="1" t="s">
        <v>57</v>
      </c>
      <c r="D1800" s="1" t="s">
        <v>2464</v>
      </c>
      <c r="E1800" s="1" t="s">
        <v>669</v>
      </c>
      <c r="F1800" s="1" t="s">
        <v>40</v>
      </c>
      <c r="G1800" s="1" t="s">
        <v>2467</v>
      </c>
      <c r="H1800" s="1">
        <v>6439</v>
      </c>
      <c r="I1800" s="1" t="s">
        <v>383</v>
      </c>
      <c r="J1800" s="1">
        <v>1500</v>
      </c>
      <c r="K1800" s="1" t="s">
        <v>35</v>
      </c>
      <c r="L1800" s="1">
        <v>47</v>
      </c>
      <c r="M1800" s="1" t="str">
        <f>IF(L1800&lt;=45,"Joven","Mayor")</f>
        <v>Mayor</v>
      </c>
      <c r="N1800" s="1">
        <v>46</v>
      </c>
      <c r="O1800" s="1" t="s">
        <v>36</v>
      </c>
      <c r="P1800" s="1">
        <v>0.35399999999999998</v>
      </c>
      <c r="Q1800" s="1">
        <v>89.795000000000002</v>
      </c>
      <c r="R1800" s="1">
        <v>4.2884019999999996</v>
      </c>
      <c r="S1800" s="1">
        <v>7.4676980000000004</v>
      </c>
      <c r="T1800" s="1">
        <v>-6.6727657000000002</v>
      </c>
      <c r="U1800" s="1">
        <v>10.053000000000001</v>
      </c>
      <c r="V1800" s="1">
        <v>107</v>
      </c>
      <c r="W1800" s="1">
        <v>182</v>
      </c>
      <c r="X1800" s="1">
        <v>1.7009345794392523</v>
      </c>
      <c r="Y1800" s="1">
        <v>107</v>
      </c>
      <c r="Z1800" s="1">
        <v>182</v>
      </c>
      <c r="AA1800" s="1">
        <v>1.7009345794392523</v>
      </c>
      <c r="AB1800" s="1">
        <v>112.43370940428009</v>
      </c>
      <c r="AC1800" s="1">
        <v>181.34812415969739</v>
      </c>
      <c r="AD1800" s="1">
        <v>1.6129337466543987</v>
      </c>
      <c r="AE1800" t="s">
        <v>4817</v>
      </c>
      <c r="AF1800" t="str">
        <f>IF(X1800&lt;$AF$1,"Bajo","Alto")</f>
        <v>Bajo</v>
      </c>
      <c r="AG1800" t="str">
        <f>LEFT(AE1800,1)</f>
        <v>C</v>
      </c>
      <c r="AH1800" t="str">
        <f>K1800</f>
        <v>M</v>
      </c>
      <c r="AI1800" t="str">
        <f>LEFT(AF1800,1)</f>
        <v>B</v>
      </c>
      <c r="AJ1800" t="str">
        <f>LEFT(M1800,1)</f>
        <v>M</v>
      </c>
      <c r="AK1800" t="str">
        <f>_xlfn.CONCAT(AG1800,AH1800,AI1800,AJ1800)</f>
        <v>CMBM</v>
      </c>
    </row>
    <row r="1801" spans="1:37" ht="15.75" hidden="1" customHeight="1" x14ac:dyDescent="0.2">
      <c r="A1801" s="1">
        <v>10721701</v>
      </c>
      <c r="B1801" s="1" t="s">
        <v>1067</v>
      </c>
      <c r="C1801" s="1" t="s">
        <v>1068</v>
      </c>
      <c r="D1801" s="1" t="s">
        <v>1232</v>
      </c>
      <c r="E1801" s="1" t="s">
        <v>404</v>
      </c>
      <c r="F1801" s="1" t="s">
        <v>32</v>
      </c>
      <c r="G1801" s="1" t="s">
        <v>1233</v>
      </c>
      <c r="H1801" s="1">
        <v>3771</v>
      </c>
      <c r="I1801" s="1" t="s">
        <v>100</v>
      </c>
      <c r="J1801" s="1">
        <v>1</v>
      </c>
      <c r="K1801" s="1" t="s">
        <v>35</v>
      </c>
      <c r="L1801" s="1">
        <v>45</v>
      </c>
      <c r="M1801" s="1" t="str">
        <f>IF(L1801&lt;=45,"Joven","Mayor")</f>
        <v>Joven</v>
      </c>
      <c r="N1801" s="1">
        <v>43</v>
      </c>
      <c r="O1801" s="1" t="s">
        <v>36</v>
      </c>
      <c r="P1801" s="1">
        <v>0.35099999999999998</v>
      </c>
      <c r="Q1801" s="1">
        <v>72.55</v>
      </c>
      <c r="R1801" s="1">
        <v>12.362073000000001</v>
      </c>
      <c r="S1801" s="1">
        <v>2.1280025999999999</v>
      </c>
      <c r="T1801" s="1">
        <v>-5.4268445999999999</v>
      </c>
      <c r="U1801" s="1">
        <v>55.936</v>
      </c>
      <c r="V1801" s="1">
        <v>112</v>
      </c>
      <c r="W1801" s="1">
        <v>206</v>
      </c>
      <c r="X1801" s="1">
        <v>1.8392857142857142</v>
      </c>
      <c r="Y1801" s="1">
        <v>113</v>
      </c>
      <c r="Z1801" s="1">
        <v>206</v>
      </c>
      <c r="AA1801" s="1">
        <v>1.8230088495575221</v>
      </c>
      <c r="AB1801" s="1">
        <v>116.60502598063979</v>
      </c>
      <c r="AC1801" s="1">
        <v>205.45495819560529</v>
      </c>
      <c r="AD1801" s="1">
        <v>1.7619734352592782</v>
      </c>
      <c r="AE1801" t="s">
        <v>4817</v>
      </c>
      <c r="AF1801" t="str">
        <f>IF(X1801&lt;$AF$1,"Bajo","Alto")</f>
        <v>Alto</v>
      </c>
      <c r="AG1801" t="str">
        <f>LEFT(AE1801,1)</f>
        <v>C</v>
      </c>
      <c r="AH1801" t="str">
        <f>K1801</f>
        <v>M</v>
      </c>
      <c r="AI1801" t="str">
        <f>LEFT(AF1801,1)</f>
        <v>A</v>
      </c>
      <c r="AJ1801" t="str">
        <f>LEFT(M1801,1)</f>
        <v>J</v>
      </c>
      <c r="AK1801" t="str">
        <f>_xlfn.CONCAT(AG1801,AH1801,AI1801,AJ1801)</f>
        <v>CMAJ</v>
      </c>
    </row>
    <row r="1802" spans="1:37" ht="15.75" hidden="1" customHeight="1" x14ac:dyDescent="0.2">
      <c r="A1802" s="1">
        <v>278206</v>
      </c>
      <c r="B1802" s="1" t="s">
        <v>3409</v>
      </c>
      <c r="C1802" s="1" t="s">
        <v>973</v>
      </c>
      <c r="D1802" s="1" t="s">
        <v>3742</v>
      </c>
      <c r="E1802" s="1" t="s">
        <v>752</v>
      </c>
      <c r="F1802" s="1" t="s">
        <v>88</v>
      </c>
      <c r="G1802" s="1" t="s">
        <v>3745</v>
      </c>
      <c r="H1802" s="1">
        <v>10585</v>
      </c>
      <c r="I1802" s="1" t="s">
        <v>73</v>
      </c>
      <c r="J1802" s="1">
        <v>5</v>
      </c>
      <c r="K1802" s="1" t="s">
        <v>35</v>
      </c>
      <c r="L1802" s="1">
        <v>44</v>
      </c>
      <c r="M1802" s="1" t="str">
        <f>IF(L1802&lt;=45,"Joven","Mayor")</f>
        <v>Joven</v>
      </c>
      <c r="N1802" s="1">
        <v>49</v>
      </c>
      <c r="O1802" s="1" t="s">
        <v>50</v>
      </c>
      <c r="P1802" s="1">
        <v>1.155</v>
      </c>
      <c r="Q1802" s="1">
        <v>84.688000000000002</v>
      </c>
      <c r="R1802" s="1">
        <v>-8.7656100000000006</v>
      </c>
      <c r="S1802" s="1">
        <v>-1.488515</v>
      </c>
      <c r="T1802" s="1">
        <v>13.467586000000001</v>
      </c>
      <c r="U1802" s="1">
        <v>2.4860000000000002</v>
      </c>
      <c r="V1802" s="1">
        <v>112</v>
      </c>
      <c r="W1802" s="1">
        <v>206</v>
      </c>
      <c r="X1802" s="1">
        <v>1.8392857142857142</v>
      </c>
      <c r="Y1802" s="1">
        <v>124</v>
      </c>
      <c r="Z1802" s="1">
        <v>206</v>
      </c>
      <c r="AA1802" s="1">
        <v>1.6612903225806452</v>
      </c>
      <c r="AB1802" s="1">
        <v>122.4281283404093</v>
      </c>
      <c r="AC1802" s="1">
        <v>203.59591058039999</v>
      </c>
      <c r="AD1802" s="1">
        <v>1.6629831178526642</v>
      </c>
      <c r="AE1802" t="s">
        <v>4817</v>
      </c>
      <c r="AF1802" t="str">
        <f>IF(X1802&lt;$AF$1,"Bajo","Alto")</f>
        <v>Alto</v>
      </c>
      <c r="AG1802" t="str">
        <f>LEFT(AE1802,1)</f>
        <v>C</v>
      </c>
      <c r="AH1802" t="str">
        <f>K1802</f>
        <v>M</v>
      </c>
      <c r="AI1802" t="str">
        <f>LEFT(AF1802,1)</f>
        <v>A</v>
      </c>
      <c r="AJ1802" t="str">
        <f>LEFT(M1802,1)</f>
        <v>J</v>
      </c>
      <c r="AK1802" t="str">
        <f>_xlfn.CONCAT(AG1802,AH1802,AI1802,AJ1802)</f>
        <v>CMAJ</v>
      </c>
    </row>
    <row r="1803" spans="1:37" ht="15.75" hidden="1" customHeight="1" x14ac:dyDescent="0.2">
      <c r="A1803" s="1">
        <v>10730405</v>
      </c>
      <c r="B1803" s="1" t="s">
        <v>1067</v>
      </c>
      <c r="C1803" s="1" t="s">
        <v>1068</v>
      </c>
      <c r="D1803" s="1" t="s">
        <v>1365</v>
      </c>
      <c r="E1803" s="1" t="s">
        <v>1366</v>
      </c>
      <c r="F1803" s="1" t="s">
        <v>40</v>
      </c>
      <c r="G1803" s="1" t="s">
        <v>1369</v>
      </c>
      <c r="H1803" s="1">
        <v>2211</v>
      </c>
      <c r="I1803" s="1" t="s">
        <v>1370</v>
      </c>
      <c r="J1803" s="1">
        <v>2321</v>
      </c>
      <c r="K1803" s="1" t="s">
        <v>35</v>
      </c>
      <c r="L1803" s="1">
        <v>42</v>
      </c>
      <c r="M1803" s="1" t="str">
        <f>IF(L1803&lt;=45,"Joven","Mayor")</f>
        <v>Joven</v>
      </c>
      <c r="N1803" s="1">
        <v>25</v>
      </c>
      <c r="O1803" s="1" t="s">
        <v>36</v>
      </c>
      <c r="P1803" s="1">
        <v>0.35499999999999998</v>
      </c>
      <c r="Q1803" s="1">
        <v>92.266000000000005</v>
      </c>
      <c r="R1803" s="1">
        <v>-2.2656230000000002</v>
      </c>
      <c r="S1803" s="1">
        <v>6.1220192999999998</v>
      </c>
      <c r="T1803" s="1">
        <v>-9.0456030000000007E-2</v>
      </c>
      <c r="U1803" s="1">
        <v>4.71</v>
      </c>
      <c r="V1803" s="1">
        <v>110</v>
      </c>
      <c r="W1803" s="1">
        <v>189</v>
      </c>
      <c r="X1803" s="1">
        <v>1.7181818181818183</v>
      </c>
      <c r="Y1803" s="1">
        <v>115</v>
      </c>
      <c r="Z1803" s="1">
        <v>189</v>
      </c>
      <c r="AA1803" s="1">
        <v>1.6434782608695653</v>
      </c>
      <c r="AB1803" s="1">
        <v>114.93197022253121</v>
      </c>
      <c r="AC1803" s="1">
        <v>189.0155520106791</v>
      </c>
      <c r="AD1803" s="1">
        <v>1.6445863726577323</v>
      </c>
      <c r="AE1803" t="s">
        <v>4817</v>
      </c>
      <c r="AF1803" t="str">
        <f>IF(X1803&lt;$AF$1,"Bajo","Alto")</f>
        <v>Bajo</v>
      </c>
      <c r="AG1803" t="str">
        <f>LEFT(AE1803,1)</f>
        <v>C</v>
      </c>
      <c r="AH1803" t="str">
        <f>K1803</f>
        <v>M</v>
      </c>
      <c r="AI1803" t="str">
        <f>LEFT(AF1803,1)</f>
        <v>B</v>
      </c>
      <c r="AJ1803" t="str">
        <f>LEFT(M1803,1)</f>
        <v>J</v>
      </c>
      <c r="AK1803" t="str">
        <f>_xlfn.CONCAT(AG1803,AH1803,AI1803,AJ1803)</f>
        <v>CMBJ</v>
      </c>
    </row>
    <row r="1804" spans="1:37" ht="15.75" hidden="1" customHeight="1" x14ac:dyDescent="0.2">
      <c r="A1804" s="1">
        <v>1237503</v>
      </c>
      <c r="B1804" s="1" t="s">
        <v>1798</v>
      </c>
      <c r="C1804" s="1" t="s">
        <v>54</v>
      </c>
      <c r="D1804" s="1" t="s">
        <v>1832</v>
      </c>
      <c r="E1804" s="1" t="s">
        <v>1833</v>
      </c>
      <c r="F1804" s="1" t="s">
        <v>63</v>
      </c>
      <c r="G1804" s="1" t="s">
        <v>1834</v>
      </c>
      <c r="H1804" s="1">
        <v>6577</v>
      </c>
      <c r="I1804" s="1" t="s">
        <v>65</v>
      </c>
      <c r="J1804" s="1">
        <v>2</v>
      </c>
      <c r="K1804" s="1" t="s">
        <v>35</v>
      </c>
      <c r="L1804" s="1">
        <v>39</v>
      </c>
      <c r="M1804" s="1" t="str">
        <f>IF(L1804&lt;=45,"Joven","Mayor")</f>
        <v>Joven</v>
      </c>
      <c r="N1804" s="1">
        <v>45</v>
      </c>
      <c r="O1804" s="1" t="s">
        <v>36</v>
      </c>
      <c r="P1804" s="1">
        <v>0.32800000000000001</v>
      </c>
      <c r="Q1804" s="1">
        <v>91.180999999999997</v>
      </c>
      <c r="R1804" s="1">
        <v>-4.50359</v>
      </c>
      <c r="S1804" s="1">
        <v>3.5121286</v>
      </c>
      <c r="T1804" s="1">
        <v>8.4111840000000004</v>
      </c>
      <c r="U1804" s="1">
        <v>2.4780000000000002</v>
      </c>
      <c r="V1804" s="1">
        <v>93</v>
      </c>
      <c r="W1804" s="1">
        <v>171</v>
      </c>
      <c r="X1804" s="1">
        <v>1.8387096774193548</v>
      </c>
      <c r="Y1804" s="1">
        <v>105</v>
      </c>
      <c r="Z1804" s="1">
        <v>171</v>
      </c>
      <c r="AA1804" s="1">
        <v>1.6285714285714286</v>
      </c>
      <c r="AB1804" s="1">
        <v>100.77624107544671</v>
      </c>
      <c r="AC1804" s="1">
        <v>172.0862122263884</v>
      </c>
      <c r="AD1804" s="1">
        <v>1.7076069755127607</v>
      </c>
      <c r="AE1804" t="s">
        <v>4817</v>
      </c>
      <c r="AF1804" t="str">
        <f>IF(X1804&lt;$AF$1,"Bajo","Alto")</f>
        <v>Alto</v>
      </c>
      <c r="AG1804" t="str">
        <f>LEFT(AE1804,1)</f>
        <v>C</v>
      </c>
      <c r="AH1804" t="str">
        <f>K1804</f>
        <v>M</v>
      </c>
      <c r="AI1804" t="str">
        <f>LEFT(AF1804,1)</f>
        <v>A</v>
      </c>
      <c r="AJ1804" t="str">
        <f>LEFT(M1804,1)</f>
        <v>J</v>
      </c>
      <c r="AK1804" t="str">
        <f>_xlfn.CONCAT(AG1804,AH1804,AI1804,AJ1804)</f>
        <v>CMAJ</v>
      </c>
    </row>
    <row r="1805" spans="1:37" ht="15.75" hidden="1" customHeight="1" x14ac:dyDescent="0.2">
      <c r="A1805" s="1">
        <v>524510</v>
      </c>
      <c r="B1805" s="1" t="s">
        <v>4529</v>
      </c>
      <c r="C1805" s="1" t="s">
        <v>685</v>
      </c>
      <c r="D1805" s="1" t="s">
        <v>4620</v>
      </c>
      <c r="E1805" s="1" t="s">
        <v>3682</v>
      </c>
      <c r="F1805" s="1" t="s">
        <v>75</v>
      </c>
      <c r="G1805" s="1" t="s">
        <v>4623</v>
      </c>
      <c r="H1805" s="1">
        <v>1767</v>
      </c>
      <c r="I1805" s="1" t="s">
        <v>91</v>
      </c>
      <c r="J1805" s="1">
        <v>6</v>
      </c>
      <c r="K1805" s="1" t="s">
        <v>35</v>
      </c>
      <c r="L1805" s="1">
        <v>29</v>
      </c>
      <c r="M1805" s="1" t="str">
        <f>IF(L1805&lt;=45,"Joven","Mayor")</f>
        <v>Joven</v>
      </c>
      <c r="N1805" s="1">
        <v>28</v>
      </c>
      <c r="O1805" s="1" t="s">
        <v>36</v>
      </c>
      <c r="P1805" s="1">
        <v>0.33</v>
      </c>
      <c r="Q1805" s="1">
        <v>58.4</v>
      </c>
      <c r="R1805" s="1">
        <v>14.802655</v>
      </c>
      <c r="S1805" s="1">
        <v>-2.322336</v>
      </c>
      <c r="T1805" s="1">
        <v>-1.9974068</v>
      </c>
      <c r="U1805" s="1">
        <v>9.3439999999999994</v>
      </c>
      <c r="V1805" s="1">
        <v>93</v>
      </c>
      <c r="W1805" s="1">
        <v>171</v>
      </c>
      <c r="X1805" s="1">
        <v>1.8387096774193548</v>
      </c>
      <c r="Y1805" s="1">
        <v>94</v>
      </c>
      <c r="Z1805" s="1">
        <v>171</v>
      </c>
      <c r="AA1805" s="1">
        <v>1.8191489361702127</v>
      </c>
      <c r="AB1805" s="1">
        <v>95.127931109220981</v>
      </c>
      <c r="AC1805" s="1">
        <v>170.40814164672469</v>
      </c>
      <c r="AD1805" s="1">
        <v>1.7913575924516938</v>
      </c>
      <c r="AE1805" t="s">
        <v>4817</v>
      </c>
      <c r="AF1805" t="str">
        <f>IF(X1805&lt;$AF$1,"Bajo","Alto")</f>
        <v>Alto</v>
      </c>
      <c r="AG1805" t="str">
        <f>LEFT(AE1805,1)</f>
        <v>C</v>
      </c>
      <c r="AH1805" t="str">
        <f>K1805</f>
        <v>M</v>
      </c>
      <c r="AI1805" t="str">
        <f>LEFT(AF1805,1)</f>
        <v>A</v>
      </c>
      <c r="AJ1805" t="str">
        <f>LEFT(M1805,1)</f>
        <v>J</v>
      </c>
      <c r="AK1805" t="str">
        <f>_xlfn.CONCAT(AG1805,AH1805,AI1805,AJ1805)</f>
        <v>CMAJ</v>
      </c>
    </row>
    <row r="1806" spans="1:37" ht="15.75" hidden="1" customHeight="1" x14ac:dyDescent="0.2">
      <c r="A1806" s="1">
        <v>2722102</v>
      </c>
      <c r="B1806" s="1" t="s">
        <v>3409</v>
      </c>
      <c r="C1806" s="1" t="s">
        <v>973</v>
      </c>
      <c r="D1806" s="1" t="s">
        <v>929</v>
      </c>
      <c r="E1806" s="1" t="s">
        <v>3650</v>
      </c>
      <c r="F1806" s="1" t="s">
        <v>37</v>
      </c>
      <c r="G1806" s="1" t="s">
        <v>3652</v>
      </c>
      <c r="H1806" s="1">
        <v>2590</v>
      </c>
      <c r="I1806" s="1" t="s">
        <v>3653</v>
      </c>
      <c r="J1806" s="1">
        <v>2301</v>
      </c>
      <c r="K1806" s="1" t="s">
        <v>35</v>
      </c>
      <c r="L1806" s="1">
        <v>36</v>
      </c>
      <c r="M1806" s="1" t="str">
        <f>IF(L1806&lt;=45,"Joven","Mayor")</f>
        <v>Joven</v>
      </c>
      <c r="N1806" s="1">
        <v>38</v>
      </c>
      <c r="O1806" s="1" t="s">
        <v>36</v>
      </c>
      <c r="P1806" s="1">
        <v>0.36</v>
      </c>
      <c r="Q1806" s="1">
        <v>91.006</v>
      </c>
      <c r="R1806" s="1">
        <v>5.4481077000000004</v>
      </c>
      <c r="S1806" s="1">
        <v>-0.23731490999999999</v>
      </c>
      <c r="T1806" s="1">
        <v>-0.70712399999999997</v>
      </c>
      <c r="U1806" s="1">
        <v>0.91600000000000004</v>
      </c>
      <c r="V1806" s="1">
        <v>99</v>
      </c>
      <c r="W1806" s="1">
        <v>182</v>
      </c>
      <c r="X1806" s="1">
        <v>1.8383838383838385</v>
      </c>
      <c r="Y1806" s="1">
        <v>101</v>
      </c>
      <c r="Z1806" s="1">
        <v>182</v>
      </c>
      <c r="AA1806" s="1">
        <v>1.801980198019802</v>
      </c>
      <c r="AB1806" s="1">
        <v>100.4863136557826</v>
      </c>
      <c r="AC1806" s="1">
        <v>181.9861394083091</v>
      </c>
      <c r="AD1806" s="1">
        <v>1.8110539912102399</v>
      </c>
      <c r="AE1806" t="s">
        <v>4817</v>
      </c>
      <c r="AF1806" t="str">
        <f>IF(X1806&lt;$AF$1,"Bajo","Alto")</f>
        <v>Alto</v>
      </c>
      <c r="AG1806" t="str">
        <f>LEFT(AE1806,1)</f>
        <v>C</v>
      </c>
      <c r="AH1806" t="str">
        <f>K1806</f>
        <v>M</v>
      </c>
      <c r="AI1806" t="str">
        <f>LEFT(AF1806,1)</f>
        <v>A</v>
      </c>
      <c r="AJ1806" t="str">
        <f>LEFT(M1806,1)</f>
        <v>J</v>
      </c>
      <c r="AK1806" t="str">
        <f>_xlfn.CONCAT(AG1806,AH1806,AI1806,AJ1806)</f>
        <v>CMAJ</v>
      </c>
    </row>
    <row r="1807" spans="1:37" ht="15.75" hidden="1" customHeight="1" x14ac:dyDescent="0.2">
      <c r="A1807" s="1">
        <v>197404</v>
      </c>
      <c r="B1807" s="1" t="s">
        <v>2656</v>
      </c>
      <c r="C1807" s="1" t="s">
        <v>323</v>
      </c>
      <c r="D1807" s="1" t="s">
        <v>1286</v>
      </c>
      <c r="E1807" s="1" t="s">
        <v>2786</v>
      </c>
      <c r="F1807" s="1" t="s">
        <v>61</v>
      </c>
      <c r="G1807" s="1" t="s">
        <v>2789</v>
      </c>
      <c r="H1807" s="1">
        <v>2081</v>
      </c>
      <c r="I1807" s="1" t="s">
        <v>2790</v>
      </c>
      <c r="J1807" s="1">
        <v>3534</v>
      </c>
      <c r="K1807" s="1" t="s">
        <v>35</v>
      </c>
      <c r="L1807" s="1">
        <v>46</v>
      </c>
      <c r="M1807" s="1" t="str">
        <f>IF(L1807&lt;=45,"Joven","Mayor")</f>
        <v>Mayor</v>
      </c>
      <c r="N1807" s="1">
        <v>45</v>
      </c>
      <c r="O1807" s="1" t="s">
        <v>36</v>
      </c>
      <c r="P1807" s="1">
        <v>0.33100000000000002</v>
      </c>
      <c r="Q1807" s="1">
        <v>81.430999999999997</v>
      </c>
      <c r="R1807" s="1">
        <v>9.2278400000000005</v>
      </c>
      <c r="S1807" s="1">
        <v>6.1597505000000004</v>
      </c>
      <c r="T1807" s="1">
        <v>-4.5047860000000002</v>
      </c>
      <c r="U1807" s="1">
        <v>9.9969999999999999</v>
      </c>
      <c r="V1807" s="1">
        <v>97</v>
      </c>
      <c r="W1807" s="1">
        <v>165</v>
      </c>
      <c r="X1807" s="1">
        <v>1.7010309278350515</v>
      </c>
      <c r="Y1807" s="1">
        <v>99</v>
      </c>
      <c r="Z1807" s="1">
        <v>165</v>
      </c>
      <c r="AA1807" s="1">
        <v>1.6666666666666667</v>
      </c>
      <c r="AB1807" s="1">
        <v>102.2285734923541</v>
      </c>
      <c r="AC1807" s="1">
        <v>164.80444759230841</v>
      </c>
      <c r="AD1807" s="1">
        <v>1.6121172580446355</v>
      </c>
      <c r="AE1807" t="s">
        <v>4817</v>
      </c>
      <c r="AF1807" t="str">
        <f>IF(X1807&lt;$AF$1,"Bajo","Alto")</f>
        <v>Bajo</v>
      </c>
      <c r="AG1807" t="str">
        <f>LEFT(AE1807,1)</f>
        <v>C</v>
      </c>
      <c r="AH1807" t="str">
        <f>K1807</f>
        <v>M</v>
      </c>
      <c r="AI1807" t="str">
        <f>LEFT(AF1807,1)</f>
        <v>B</v>
      </c>
      <c r="AJ1807" t="str">
        <f>LEFT(M1807,1)</f>
        <v>M</v>
      </c>
      <c r="AK1807" t="str">
        <f>_xlfn.CONCAT(AG1807,AH1807,AI1807,AJ1807)</f>
        <v>CMBM</v>
      </c>
    </row>
    <row r="1808" spans="1:37" ht="15.75" hidden="1" customHeight="1" x14ac:dyDescent="0.2">
      <c r="A1808" s="1">
        <v>10727101</v>
      </c>
      <c r="B1808" s="1" t="s">
        <v>1067</v>
      </c>
      <c r="C1808" s="1" t="s">
        <v>1068</v>
      </c>
      <c r="D1808" s="1" t="s">
        <v>1317</v>
      </c>
      <c r="E1808" s="1" t="s">
        <v>546</v>
      </c>
      <c r="F1808" s="1" t="s">
        <v>32</v>
      </c>
      <c r="G1808" s="1" t="s">
        <v>1318</v>
      </c>
      <c r="H1808" s="1">
        <v>1829</v>
      </c>
      <c r="I1808" s="1" t="s">
        <v>39</v>
      </c>
      <c r="J1808" s="1">
        <v>11</v>
      </c>
      <c r="K1808" s="1" t="s">
        <v>35</v>
      </c>
      <c r="L1808" s="1">
        <v>50</v>
      </c>
      <c r="M1808" s="1" t="str">
        <f>IF(L1808&lt;=45,"Joven","Mayor")</f>
        <v>Mayor</v>
      </c>
      <c r="N1808" s="1">
        <v>48</v>
      </c>
      <c r="O1808" s="1" t="s">
        <v>36</v>
      </c>
      <c r="P1808" s="1">
        <v>0.92800000000000005</v>
      </c>
      <c r="Q1808" s="1">
        <v>92.353999999999999</v>
      </c>
      <c r="R1808" s="1">
        <v>2.8407735999999999</v>
      </c>
      <c r="S1808" s="1">
        <v>-4.0067057999999998</v>
      </c>
      <c r="T1808" s="1">
        <v>-5.1966248000000004</v>
      </c>
      <c r="U1808" s="1">
        <v>12.77</v>
      </c>
      <c r="V1808" s="1">
        <v>80</v>
      </c>
      <c r="W1808" s="1">
        <v>137</v>
      </c>
      <c r="X1808" s="1">
        <v>1.7124999999999999</v>
      </c>
      <c r="Y1808" s="1">
        <v>81</v>
      </c>
      <c r="Z1808" s="1">
        <v>137</v>
      </c>
      <c r="AA1808" s="1">
        <v>1.691358024691358</v>
      </c>
      <c r="AB1808" s="1">
        <v>83.384709351691072</v>
      </c>
      <c r="AC1808" s="1">
        <v>137.07091121776881</v>
      </c>
      <c r="AD1808" s="1">
        <v>1.6438374887132585</v>
      </c>
      <c r="AE1808" t="s">
        <v>4816</v>
      </c>
      <c r="AF1808" t="str">
        <f>IF(X1808&lt;$AF$1,"Bajo","Alto")</f>
        <v>Bajo</v>
      </c>
      <c r="AG1808" t="str">
        <f>LEFT(AE1808,1)</f>
        <v>D</v>
      </c>
      <c r="AH1808" t="str">
        <f>K1808</f>
        <v>M</v>
      </c>
      <c r="AI1808" t="str">
        <f>LEFT(AF1808,1)</f>
        <v>B</v>
      </c>
      <c r="AJ1808" t="str">
        <f>LEFT(M1808,1)</f>
        <v>M</v>
      </c>
      <c r="AK1808" t="str">
        <f>_xlfn.CONCAT(AG1808,AH1808,AI1808,AJ1808)</f>
        <v>DMBM</v>
      </c>
    </row>
    <row r="1809" spans="1:37" ht="15.75" hidden="1" customHeight="1" x14ac:dyDescent="0.2">
      <c r="A1809" s="1">
        <v>4688005</v>
      </c>
      <c r="B1809" s="1" t="s">
        <v>4382</v>
      </c>
      <c r="C1809" s="1" t="s">
        <v>669</v>
      </c>
      <c r="D1809" s="1" t="s">
        <v>929</v>
      </c>
      <c r="E1809" s="1" t="s">
        <v>4457</v>
      </c>
      <c r="F1809" s="1" t="s">
        <v>40</v>
      </c>
      <c r="G1809" s="1" t="s">
        <v>4461</v>
      </c>
      <c r="H1809" s="1">
        <v>2186</v>
      </c>
      <c r="I1809" s="1" t="s">
        <v>4462</v>
      </c>
      <c r="J1809" s="1">
        <v>766</v>
      </c>
      <c r="K1809" s="1" t="s">
        <v>35</v>
      </c>
      <c r="L1809" s="1">
        <v>38</v>
      </c>
      <c r="M1809" s="1" t="str">
        <f>IF(L1809&lt;=45,"Joven","Mayor")</f>
        <v>Joven</v>
      </c>
      <c r="N1809" s="1">
        <v>36</v>
      </c>
      <c r="O1809" s="1" t="s">
        <v>36</v>
      </c>
      <c r="P1809" s="1">
        <v>0.39500000000000002</v>
      </c>
      <c r="Q1809" s="1">
        <v>86.626000000000005</v>
      </c>
      <c r="R1809" s="1">
        <v>6.6063013000000002</v>
      </c>
      <c r="S1809" s="1">
        <v>7.1646814000000001</v>
      </c>
      <c r="T1809" s="1">
        <v>0.12304234</v>
      </c>
      <c r="U1809" s="1">
        <v>3.722</v>
      </c>
      <c r="V1809" s="1">
        <v>74</v>
      </c>
      <c r="W1809" s="1">
        <v>136</v>
      </c>
      <c r="X1809" s="1">
        <v>1.8378378378378379</v>
      </c>
      <c r="Y1809" s="1">
        <v>75</v>
      </c>
      <c r="Z1809" s="1">
        <v>136</v>
      </c>
      <c r="AA1809" s="1">
        <v>1.8133333333333332</v>
      </c>
      <c r="AB1809" s="1">
        <v>75.087874244552722</v>
      </c>
      <c r="AC1809" s="1">
        <v>136.0039813870649</v>
      </c>
      <c r="AD1809" s="1">
        <v>1.8112642388052602</v>
      </c>
      <c r="AE1809" t="s">
        <v>4817</v>
      </c>
      <c r="AF1809" t="str">
        <f>IF(X1809&lt;$AF$1,"Bajo","Alto")</f>
        <v>Alto</v>
      </c>
      <c r="AG1809" t="str">
        <f>LEFT(AE1809,1)</f>
        <v>C</v>
      </c>
      <c r="AH1809" t="str">
        <f>K1809</f>
        <v>M</v>
      </c>
      <c r="AI1809" t="str">
        <f>LEFT(AF1809,1)</f>
        <v>A</v>
      </c>
      <c r="AJ1809" t="str">
        <f>LEFT(M1809,1)</f>
        <v>J</v>
      </c>
      <c r="AK1809" t="str">
        <f>_xlfn.CONCAT(AG1809,AH1809,AI1809,AJ1809)</f>
        <v>CMAJ</v>
      </c>
    </row>
    <row r="1810" spans="1:37" ht="15.75" hidden="1" customHeight="1" x14ac:dyDescent="0.2">
      <c r="A1810" s="1">
        <v>2310303</v>
      </c>
      <c r="B1810" s="1" t="s">
        <v>319</v>
      </c>
      <c r="C1810" s="1" t="s">
        <v>1989</v>
      </c>
      <c r="D1810" s="1" t="s">
        <v>2927</v>
      </c>
      <c r="E1810" s="1" t="s">
        <v>81</v>
      </c>
      <c r="F1810" s="1" t="s">
        <v>63</v>
      </c>
      <c r="G1810" s="1" t="s">
        <v>2930</v>
      </c>
      <c r="H1810" s="1">
        <v>3029</v>
      </c>
      <c r="I1810" s="1" t="s">
        <v>134</v>
      </c>
      <c r="J1810" s="1">
        <v>8</v>
      </c>
      <c r="K1810" s="1" t="s">
        <v>35</v>
      </c>
      <c r="L1810" s="1">
        <v>43</v>
      </c>
      <c r="M1810" s="1" t="str">
        <f>IF(L1810&lt;=45,"Joven","Mayor")</f>
        <v>Joven</v>
      </c>
      <c r="N1810" s="1">
        <v>25</v>
      </c>
      <c r="O1810" s="1" t="s">
        <v>36</v>
      </c>
      <c r="P1810" s="1">
        <v>0.38400000000000001</v>
      </c>
      <c r="Q1810" s="1">
        <v>91.137</v>
      </c>
      <c r="R1810" s="1">
        <v>5.1467890000000001</v>
      </c>
      <c r="S1810" s="1">
        <v>1.1108756</v>
      </c>
      <c r="T1810" s="1">
        <v>0.25591668000000001</v>
      </c>
      <c r="U1810" s="1">
        <v>3</v>
      </c>
      <c r="V1810" s="1">
        <v>103</v>
      </c>
      <c r="W1810" s="1">
        <v>177</v>
      </c>
      <c r="X1810" s="1">
        <v>1.7184466019417475</v>
      </c>
      <c r="Y1810" s="1">
        <v>105</v>
      </c>
      <c r="Z1810" s="1">
        <v>177</v>
      </c>
      <c r="AA1810" s="1">
        <v>1.6857142857142857</v>
      </c>
      <c r="AB1810" s="1">
        <v>104.8068899305069</v>
      </c>
      <c r="AC1810" s="1">
        <v>177.03396698186091</v>
      </c>
      <c r="AD1810" s="1">
        <v>1.6891443596813607</v>
      </c>
      <c r="AE1810" t="s">
        <v>4817</v>
      </c>
      <c r="AF1810" t="str">
        <f>IF(X1810&lt;$AF$1,"Bajo","Alto")</f>
        <v>Bajo</v>
      </c>
      <c r="AG1810" t="str">
        <f>LEFT(AE1810,1)</f>
        <v>C</v>
      </c>
      <c r="AH1810" t="str">
        <f>K1810</f>
        <v>M</v>
      </c>
      <c r="AI1810" t="str">
        <f>LEFT(AF1810,1)</f>
        <v>B</v>
      </c>
      <c r="AJ1810" t="str">
        <f>LEFT(M1810,1)</f>
        <v>J</v>
      </c>
      <c r="AK1810" t="str">
        <f>_xlfn.CONCAT(AG1810,AH1810,AI1810,AJ1810)</f>
        <v>CMBJ</v>
      </c>
    </row>
    <row r="1811" spans="1:37" ht="15.75" hidden="1" customHeight="1" x14ac:dyDescent="0.2">
      <c r="A1811" s="1">
        <v>155203</v>
      </c>
      <c r="B1811" s="1" t="s">
        <v>2077</v>
      </c>
      <c r="C1811" s="1" t="s">
        <v>57</v>
      </c>
      <c r="D1811" s="1" t="s">
        <v>2472</v>
      </c>
      <c r="E1811" s="1" t="s">
        <v>685</v>
      </c>
      <c r="F1811" s="1" t="s">
        <v>63</v>
      </c>
      <c r="G1811" s="1" t="s">
        <v>2473</v>
      </c>
      <c r="H1811" s="1">
        <v>93</v>
      </c>
      <c r="I1811" s="1" t="s">
        <v>87</v>
      </c>
      <c r="J1811" s="1">
        <v>14</v>
      </c>
      <c r="K1811" s="1" t="s">
        <v>35</v>
      </c>
      <c r="L1811" s="1">
        <v>41</v>
      </c>
      <c r="M1811" s="1" t="str">
        <f>IF(L1811&lt;=45,"Joven","Mayor")</f>
        <v>Joven</v>
      </c>
      <c r="N1811" s="1">
        <v>53</v>
      </c>
      <c r="O1811" s="1" t="s">
        <v>36</v>
      </c>
      <c r="P1811" s="1">
        <v>0.35699999999999998</v>
      </c>
      <c r="Q1811" s="1">
        <v>92.332999999999998</v>
      </c>
      <c r="R1811" s="1">
        <v>2.5012151999999999</v>
      </c>
      <c r="S1811" s="1">
        <v>5.4280105000000001</v>
      </c>
      <c r="T1811" s="1">
        <v>-3.1572444000000002</v>
      </c>
      <c r="U1811" s="1">
        <v>9.8789999999999996</v>
      </c>
      <c r="V1811" s="1">
        <v>89</v>
      </c>
      <c r="W1811" s="1">
        <v>153</v>
      </c>
      <c r="X1811" s="1">
        <v>1.7191011235955056</v>
      </c>
      <c r="Y1811" s="1">
        <v>90</v>
      </c>
      <c r="Z1811" s="1">
        <v>153</v>
      </c>
      <c r="AA1811" s="1">
        <v>1.7</v>
      </c>
      <c r="AB1811" s="1">
        <v>92.451984820162124</v>
      </c>
      <c r="AC1811" s="1">
        <v>152.8228440985508</v>
      </c>
      <c r="AD1811" s="1">
        <v>1.6529968977499212</v>
      </c>
      <c r="AE1811" t="s">
        <v>4816</v>
      </c>
      <c r="AF1811" t="str">
        <f>IF(X1811&lt;$AF$1,"Bajo","Alto")</f>
        <v>Bajo</v>
      </c>
      <c r="AG1811" t="str">
        <f>LEFT(AE1811,1)</f>
        <v>D</v>
      </c>
      <c r="AH1811" t="str">
        <f>K1811</f>
        <v>M</v>
      </c>
      <c r="AI1811" t="str">
        <f>LEFT(AF1811,1)</f>
        <v>B</v>
      </c>
      <c r="AJ1811" t="str">
        <f>LEFT(M1811,1)</f>
        <v>J</v>
      </c>
      <c r="AK1811" t="str">
        <f>_xlfn.CONCAT(AG1811,AH1811,AI1811,AJ1811)</f>
        <v>DMBJ</v>
      </c>
    </row>
    <row r="1812" spans="1:37" ht="15.75" hidden="1" customHeight="1" x14ac:dyDescent="0.2">
      <c r="A1812" s="1">
        <v>151305</v>
      </c>
      <c r="B1812" s="1" t="s">
        <v>2077</v>
      </c>
      <c r="C1812" s="1" t="s">
        <v>57</v>
      </c>
      <c r="D1812" s="1" t="s">
        <v>2141</v>
      </c>
      <c r="E1812" s="1" t="s">
        <v>163</v>
      </c>
      <c r="F1812" s="1" t="s">
        <v>40</v>
      </c>
      <c r="G1812" s="1" t="s">
        <v>2144</v>
      </c>
      <c r="H1812" s="1">
        <v>2346</v>
      </c>
      <c r="I1812" s="1" t="s">
        <v>2145</v>
      </c>
      <c r="J1812" s="1">
        <v>3216</v>
      </c>
      <c r="K1812" s="1" t="s">
        <v>35</v>
      </c>
      <c r="L1812" s="1">
        <v>30</v>
      </c>
      <c r="M1812" s="1" t="str">
        <f>IF(L1812&lt;=45,"Joven","Mayor")</f>
        <v>Joven</v>
      </c>
      <c r="N1812" s="1">
        <v>37</v>
      </c>
      <c r="O1812" s="1" t="s">
        <v>36</v>
      </c>
      <c r="P1812" s="1">
        <v>4.4999999999999998E-2</v>
      </c>
      <c r="Q1812" s="1">
        <v>94.195999999999998</v>
      </c>
      <c r="R1812" s="1">
        <v>0.42358269999999998</v>
      </c>
      <c r="S1812" s="1">
        <v>3.5221827000000001</v>
      </c>
      <c r="T1812" s="1">
        <v>4.7787446999999998</v>
      </c>
      <c r="U1812" s="1">
        <v>1.1559999999999999</v>
      </c>
      <c r="V1812" s="1">
        <v>86</v>
      </c>
      <c r="W1812" s="1">
        <v>158</v>
      </c>
      <c r="X1812" s="1">
        <v>1.8372093023255813</v>
      </c>
      <c r="Y1812" s="1">
        <v>94</v>
      </c>
      <c r="Z1812" s="1">
        <v>158</v>
      </c>
      <c r="AA1812" s="1">
        <v>1.6808510638297873</v>
      </c>
      <c r="AB1812" s="1">
        <v>90.174297433653692</v>
      </c>
      <c r="AC1812" s="1">
        <v>158.03392276987461</v>
      </c>
      <c r="AD1812" s="1">
        <v>1.7525384424109216</v>
      </c>
      <c r="AE1812" t="s">
        <v>4817</v>
      </c>
      <c r="AF1812" t="str">
        <f>IF(X1812&lt;$AF$1,"Bajo","Alto")</f>
        <v>Alto</v>
      </c>
      <c r="AG1812" t="str">
        <f>LEFT(AE1812,1)</f>
        <v>C</v>
      </c>
      <c r="AH1812" t="str">
        <f>K1812</f>
        <v>M</v>
      </c>
      <c r="AI1812" t="str">
        <f>LEFT(AF1812,1)</f>
        <v>A</v>
      </c>
      <c r="AJ1812" t="str">
        <f>LEFT(M1812,1)</f>
        <v>J</v>
      </c>
      <c r="AK1812" t="str">
        <f>_xlfn.CONCAT(AG1812,AH1812,AI1812,AJ1812)</f>
        <v>CMAJ</v>
      </c>
    </row>
    <row r="1813" spans="1:37" ht="15.75" customHeight="1" x14ac:dyDescent="0.2">
      <c r="A1813" s="1">
        <v>252806</v>
      </c>
      <c r="B1813" s="1" t="s">
        <v>3169</v>
      </c>
      <c r="C1813" s="1" t="s">
        <v>821</v>
      </c>
      <c r="D1813" s="1" t="s">
        <v>3216</v>
      </c>
      <c r="E1813" s="1" t="s">
        <v>561</v>
      </c>
      <c r="F1813" s="1" t="s">
        <v>88</v>
      </c>
      <c r="G1813" s="1" t="s">
        <v>3219</v>
      </c>
      <c r="H1813" s="1">
        <v>351</v>
      </c>
      <c r="I1813" s="1" t="s">
        <v>91</v>
      </c>
      <c r="J1813" s="1">
        <v>6</v>
      </c>
      <c r="K1813" s="1" t="s">
        <v>35</v>
      </c>
      <c r="L1813" s="1">
        <v>57</v>
      </c>
      <c r="M1813" s="1" t="str">
        <f>IF(L1813&lt;=45,"Joven","Mayor")</f>
        <v>Mayor</v>
      </c>
      <c r="N1813" s="1">
        <v>62</v>
      </c>
      <c r="O1813" s="1" t="s">
        <v>36</v>
      </c>
      <c r="P1813" s="1">
        <v>0.38800000000000001</v>
      </c>
      <c r="Q1813" s="1">
        <v>94.647999999999996</v>
      </c>
      <c r="R1813" s="1">
        <v>0.40220335000000002</v>
      </c>
      <c r="S1813" s="1">
        <v>-0.73396530000000004</v>
      </c>
      <c r="T1813" s="1">
        <v>-3.2389581000000001</v>
      </c>
      <c r="U1813" s="1">
        <v>0.49299999999999999</v>
      </c>
      <c r="V1813" s="1">
        <v>96</v>
      </c>
      <c r="W1813" s="1">
        <v>174</v>
      </c>
      <c r="X1813" s="1">
        <v>1.8125</v>
      </c>
      <c r="Y1813" s="1">
        <v>99</v>
      </c>
      <c r="Z1813" s="1">
        <v>174</v>
      </c>
      <c r="AA1813" s="1">
        <v>1.7575757575757576</v>
      </c>
      <c r="AB1813" s="1">
        <v>101.2148711093748</v>
      </c>
      <c r="AC1813" s="1">
        <v>173.3830462478177</v>
      </c>
      <c r="AD1813" s="1">
        <v>1.7130194836730714</v>
      </c>
      <c r="AE1813" t="s">
        <v>4818</v>
      </c>
      <c r="AF1813" t="str">
        <f>IF(X1813&lt;$AF$1,"Bajo","Alto")</f>
        <v>Alto</v>
      </c>
      <c r="AG1813" t="str">
        <f>LEFT(AE1813,1)</f>
        <v>S</v>
      </c>
      <c r="AH1813" t="str">
        <f>K1813</f>
        <v>M</v>
      </c>
      <c r="AI1813" t="str">
        <f>LEFT(AF1813,1)</f>
        <v>A</v>
      </c>
      <c r="AJ1813" t="str">
        <f>LEFT(M1813,1)</f>
        <v>M</v>
      </c>
      <c r="AK1813" t="str">
        <f>_xlfn.CONCAT(AG1813,AH1813,AI1813,AJ1813)</f>
        <v>SMAM</v>
      </c>
    </row>
    <row r="1814" spans="1:37" ht="15.75" hidden="1" customHeight="1" x14ac:dyDescent="0.2">
      <c r="A1814" s="1">
        <v>317301</v>
      </c>
      <c r="B1814" s="1" t="s">
        <v>4122</v>
      </c>
      <c r="C1814" s="1" t="s">
        <v>628</v>
      </c>
      <c r="D1814" s="1" t="s">
        <v>1133</v>
      </c>
      <c r="E1814" s="1" t="s">
        <v>1021</v>
      </c>
      <c r="F1814" s="1" t="s">
        <v>32</v>
      </c>
      <c r="G1814" s="1" t="s">
        <v>4252</v>
      </c>
      <c r="H1814" s="1">
        <v>227</v>
      </c>
      <c r="I1814" s="1" t="s">
        <v>65</v>
      </c>
      <c r="J1814" s="1">
        <v>2</v>
      </c>
      <c r="K1814" s="1" t="s">
        <v>35</v>
      </c>
      <c r="L1814" s="1">
        <v>31</v>
      </c>
      <c r="M1814" s="1" t="str">
        <f>IF(L1814&lt;=45,"Joven","Mayor")</f>
        <v>Joven</v>
      </c>
      <c r="N1814" s="1">
        <v>38</v>
      </c>
      <c r="O1814" s="1" t="s">
        <v>36</v>
      </c>
      <c r="P1814" s="1">
        <v>0.35299999999999998</v>
      </c>
      <c r="Q1814" s="1">
        <v>90.108000000000004</v>
      </c>
      <c r="R1814" s="1">
        <v>4.3101653999999998</v>
      </c>
      <c r="S1814" s="1">
        <v>6.7846913000000004</v>
      </c>
      <c r="T1814" s="1">
        <v>-8.1356540000000006</v>
      </c>
      <c r="U1814" s="1">
        <v>5.4710000000000001</v>
      </c>
      <c r="V1814" s="1">
        <v>96</v>
      </c>
      <c r="W1814" s="1">
        <v>165</v>
      </c>
      <c r="X1814" s="1">
        <v>1.71875</v>
      </c>
      <c r="Y1814" s="1">
        <v>98</v>
      </c>
      <c r="Z1814" s="1">
        <v>165</v>
      </c>
      <c r="AA1814" s="1">
        <v>1.6836734693877551</v>
      </c>
      <c r="AB1814" s="1">
        <v>102.1096992736843</v>
      </c>
      <c r="AC1814" s="1">
        <v>163.76395652903739</v>
      </c>
      <c r="AD1814" s="1">
        <v>1.6038041213900882</v>
      </c>
      <c r="AE1814" t="s">
        <v>4817</v>
      </c>
      <c r="AF1814" t="str">
        <f>IF(X1814&lt;$AF$1,"Bajo","Alto")</f>
        <v>Bajo</v>
      </c>
      <c r="AG1814" t="str">
        <f>LEFT(AE1814,1)</f>
        <v>C</v>
      </c>
      <c r="AH1814" t="str">
        <f>K1814</f>
        <v>M</v>
      </c>
      <c r="AI1814" t="str">
        <f>LEFT(AF1814,1)</f>
        <v>B</v>
      </c>
      <c r="AJ1814" t="str">
        <f>LEFT(M1814,1)</f>
        <v>J</v>
      </c>
      <c r="AK1814" t="str">
        <f>_xlfn.CONCAT(AG1814,AH1814,AI1814,AJ1814)</f>
        <v>CMBJ</v>
      </c>
    </row>
    <row r="1815" spans="1:37" ht="15.75" hidden="1" customHeight="1" x14ac:dyDescent="0.2">
      <c r="A1815" s="1">
        <v>641902</v>
      </c>
      <c r="B1815" s="1" t="s">
        <v>4718</v>
      </c>
      <c r="C1815" s="1" t="s">
        <v>710</v>
      </c>
      <c r="D1815" s="1" t="s">
        <v>4754</v>
      </c>
      <c r="E1815" s="1" t="s">
        <v>323</v>
      </c>
      <c r="F1815" s="1" t="s">
        <v>37</v>
      </c>
      <c r="G1815" s="1" t="s">
        <v>4756</v>
      </c>
      <c r="H1815" s="1">
        <v>646</v>
      </c>
      <c r="I1815" s="1" t="s">
        <v>48</v>
      </c>
      <c r="J1815" s="1">
        <v>4</v>
      </c>
      <c r="K1815" s="1" t="s">
        <v>35</v>
      </c>
      <c r="L1815" s="1">
        <v>51</v>
      </c>
      <c r="M1815" s="1" t="str">
        <f>IF(L1815&lt;=45,"Joven","Mayor")</f>
        <v>Mayor</v>
      </c>
      <c r="N1815" s="1">
        <v>56</v>
      </c>
      <c r="O1815" s="1" t="s">
        <v>36</v>
      </c>
      <c r="P1815" s="1">
        <v>1.9910000000000001</v>
      </c>
      <c r="Q1815" s="1">
        <v>94.006</v>
      </c>
      <c r="R1815" s="1">
        <v>-0.71509606000000003</v>
      </c>
      <c r="S1815" s="1">
        <v>1.5007343</v>
      </c>
      <c r="T1815" s="1">
        <v>0.59001179999999998</v>
      </c>
      <c r="U1815" s="1">
        <v>1.466</v>
      </c>
      <c r="V1815" s="1">
        <v>97</v>
      </c>
      <c r="W1815" s="1">
        <v>165</v>
      </c>
      <c r="X1815" s="1">
        <v>1.7010309278350515</v>
      </c>
      <c r="Y1815" s="1">
        <v>98</v>
      </c>
      <c r="Z1815" s="1">
        <v>165</v>
      </c>
      <c r="AA1815" s="1">
        <v>1.6836734693877551</v>
      </c>
      <c r="AB1815" s="1">
        <v>98.437595070438419</v>
      </c>
      <c r="AC1815" s="1">
        <v>164.96035924854459</v>
      </c>
      <c r="AD1815" s="1">
        <v>1.6757861580273763</v>
      </c>
      <c r="AE1815" t="s">
        <v>4817</v>
      </c>
      <c r="AF1815" t="str">
        <f>IF(X1815&lt;$AF$1,"Bajo","Alto")</f>
        <v>Bajo</v>
      </c>
      <c r="AG1815" t="str">
        <f>LEFT(AE1815,1)</f>
        <v>C</v>
      </c>
      <c r="AH1815" t="str">
        <f>K1815</f>
        <v>M</v>
      </c>
      <c r="AI1815" t="str">
        <f>LEFT(AF1815,1)</f>
        <v>B</v>
      </c>
      <c r="AJ1815" t="str">
        <f>LEFT(M1815,1)</f>
        <v>M</v>
      </c>
      <c r="AK1815" t="str">
        <f>_xlfn.CONCAT(AG1815,AH1815,AI1815,AJ1815)</f>
        <v>CMBM</v>
      </c>
    </row>
    <row r="1816" spans="1:37" ht="15.75" hidden="1" customHeight="1" x14ac:dyDescent="0.2">
      <c r="A1816" s="1">
        <v>600110</v>
      </c>
      <c r="B1816" s="1" t="s">
        <v>4700</v>
      </c>
      <c r="C1816" s="1" t="s">
        <v>1458</v>
      </c>
      <c r="D1816" s="1" t="s">
        <v>4701</v>
      </c>
      <c r="E1816" s="1" t="s">
        <v>32</v>
      </c>
      <c r="F1816" s="1" t="s">
        <v>75</v>
      </c>
      <c r="G1816" s="1" t="s">
        <v>4710</v>
      </c>
      <c r="H1816" s="1">
        <v>3097</v>
      </c>
      <c r="I1816" s="1" t="s">
        <v>4711</v>
      </c>
      <c r="J1816" s="1">
        <v>3621</v>
      </c>
      <c r="K1816" s="1" t="s">
        <v>35</v>
      </c>
      <c r="L1816" s="1">
        <v>25</v>
      </c>
      <c r="M1816" s="1" t="str">
        <f>IF(L1816&lt;=45,"Joven","Mayor")</f>
        <v>Joven</v>
      </c>
      <c r="N1816" s="1">
        <v>29</v>
      </c>
      <c r="O1816" s="1" t="s">
        <v>36</v>
      </c>
      <c r="P1816" s="1">
        <v>0.35899999999999999</v>
      </c>
      <c r="Q1816" s="1">
        <v>91.117000000000004</v>
      </c>
      <c r="R1816" s="1">
        <v>3.9077518000000002</v>
      </c>
      <c r="S1816" s="1">
        <v>5.4074492000000003</v>
      </c>
      <c r="T1816" s="1">
        <v>-1.6001468000000001</v>
      </c>
      <c r="U1816" s="1">
        <v>71.358000000000004</v>
      </c>
      <c r="V1816" s="1">
        <v>92</v>
      </c>
      <c r="W1816" s="1">
        <v>169</v>
      </c>
      <c r="X1816" s="1">
        <v>1.8369565217391304</v>
      </c>
      <c r="Y1816" s="1">
        <v>94</v>
      </c>
      <c r="Z1816" s="1">
        <v>169</v>
      </c>
      <c r="AA1816" s="1">
        <v>1.7978723404255319</v>
      </c>
      <c r="AB1816" s="1">
        <v>95.247857282718769</v>
      </c>
      <c r="AC1816" s="1">
        <v>168.76655215192659</v>
      </c>
      <c r="AD1816" s="1">
        <v>1.7718671786073517</v>
      </c>
      <c r="AE1816" t="s">
        <v>4817</v>
      </c>
      <c r="AF1816" t="str">
        <f>IF(X1816&lt;$AF$1,"Bajo","Alto")</f>
        <v>Alto</v>
      </c>
      <c r="AG1816" t="str">
        <f>LEFT(AE1816,1)</f>
        <v>C</v>
      </c>
      <c r="AH1816" t="str">
        <f>K1816</f>
        <v>M</v>
      </c>
      <c r="AI1816" t="str">
        <f>LEFT(AF1816,1)</f>
        <v>A</v>
      </c>
      <c r="AJ1816" t="str">
        <f>LEFT(M1816,1)</f>
        <v>J</v>
      </c>
      <c r="AK1816" t="str">
        <f>_xlfn.CONCAT(AG1816,AH1816,AI1816,AJ1816)</f>
        <v>CMAJ</v>
      </c>
    </row>
    <row r="1817" spans="1:37" ht="15.75" hidden="1" customHeight="1" x14ac:dyDescent="0.2">
      <c r="A1817" s="1">
        <v>1090105</v>
      </c>
      <c r="B1817" s="1" t="s">
        <v>719</v>
      </c>
      <c r="C1817" s="1" t="s">
        <v>98</v>
      </c>
      <c r="D1817" s="1" t="s">
        <v>1532</v>
      </c>
      <c r="E1817" s="1" t="s">
        <v>32</v>
      </c>
      <c r="F1817" s="1" t="s">
        <v>40</v>
      </c>
      <c r="G1817" s="1" t="s">
        <v>1535</v>
      </c>
      <c r="H1817" s="1">
        <v>18804</v>
      </c>
      <c r="I1817" s="1" t="s">
        <v>1536</v>
      </c>
      <c r="J1817" s="1">
        <v>3426</v>
      </c>
      <c r="K1817" s="1" t="s">
        <v>35</v>
      </c>
      <c r="L1817" s="1">
        <v>43</v>
      </c>
      <c r="M1817" s="1" t="str">
        <f>IF(L1817&lt;=45,"Joven","Mayor")</f>
        <v>Joven</v>
      </c>
      <c r="N1817" s="1">
        <v>46</v>
      </c>
      <c r="O1817" s="1" t="s">
        <v>36</v>
      </c>
      <c r="P1817" s="1">
        <v>0.92100000000000004</v>
      </c>
      <c r="Q1817" s="1">
        <v>93.686000000000007</v>
      </c>
      <c r="R1817" s="1">
        <v>-0.86561716</v>
      </c>
      <c r="S1817" s="1">
        <v>3.8558916999999999</v>
      </c>
      <c r="T1817" s="1">
        <v>-3.3080894999999999</v>
      </c>
      <c r="U1817" s="1">
        <v>1.7090000000000001</v>
      </c>
      <c r="V1817" s="1">
        <v>82</v>
      </c>
      <c r="W1817" s="1">
        <v>141</v>
      </c>
      <c r="X1817" s="1">
        <v>1.7195121951219512</v>
      </c>
      <c r="Y1817" s="1">
        <v>88</v>
      </c>
      <c r="Z1817" s="1">
        <v>141</v>
      </c>
      <c r="AA1817" s="1">
        <v>1.6022727272727273</v>
      </c>
      <c r="AB1817" s="1">
        <v>86.064509376479464</v>
      </c>
      <c r="AC1817" s="1">
        <v>141.57291850940459</v>
      </c>
      <c r="AD1817" s="1">
        <v>1.6449628253861284</v>
      </c>
      <c r="AE1817" t="s">
        <v>4817</v>
      </c>
      <c r="AF1817" t="str">
        <f>IF(X1817&lt;$AF$1,"Bajo","Alto")</f>
        <v>Bajo</v>
      </c>
      <c r="AG1817" t="str">
        <f>LEFT(AE1817,1)</f>
        <v>C</v>
      </c>
      <c r="AH1817" t="str">
        <f>K1817</f>
        <v>M</v>
      </c>
      <c r="AI1817" t="str">
        <f>LEFT(AF1817,1)</f>
        <v>B</v>
      </c>
      <c r="AJ1817" t="str">
        <f>LEFT(M1817,1)</f>
        <v>J</v>
      </c>
      <c r="AK1817" t="str">
        <f>_xlfn.CONCAT(AG1817,AH1817,AI1817,AJ1817)</f>
        <v>CMBJ</v>
      </c>
    </row>
    <row r="1818" spans="1:37" ht="15.75" hidden="1" customHeight="1" x14ac:dyDescent="0.2">
      <c r="A1818" s="1">
        <v>257003</v>
      </c>
      <c r="B1818" s="1" t="s">
        <v>3169</v>
      </c>
      <c r="C1818" s="1" t="s">
        <v>821</v>
      </c>
      <c r="D1818" s="1" t="s">
        <v>3307</v>
      </c>
      <c r="E1818" s="1" t="s">
        <v>720</v>
      </c>
      <c r="F1818" s="1" t="s">
        <v>63</v>
      </c>
      <c r="G1818" s="1" t="s">
        <v>3310</v>
      </c>
      <c r="H1818" s="1">
        <v>1158</v>
      </c>
      <c r="I1818" s="1" t="s">
        <v>1087</v>
      </c>
      <c r="J1818" s="1">
        <v>2164</v>
      </c>
      <c r="K1818" s="1" t="s">
        <v>49</v>
      </c>
      <c r="L1818" s="1">
        <v>35</v>
      </c>
      <c r="M1818" s="1" t="str">
        <f>IF(L1818&lt;=45,"Joven","Mayor")</f>
        <v>Joven</v>
      </c>
      <c r="N1818" s="1">
        <v>33</v>
      </c>
      <c r="O1818" s="1" t="s">
        <v>50</v>
      </c>
      <c r="P1818" s="1">
        <v>0.34300000000000003</v>
      </c>
      <c r="Q1818" s="1">
        <v>94.448999999999998</v>
      </c>
      <c r="R1818" s="1">
        <v>0.45262897000000002</v>
      </c>
      <c r="S1818" s="1">
        <v>1.8566239</v>
      </c>
      <c r="T1818" s="1">
        <v>1.2421826</v>
      </c>
      <c r="U1818" s="1">
        <v>60.109000000000002</v>
      </c>
      <c r="V1818" s="1">
        <v>81</v>
      </c>
      <c r="W1818" s="1">
        <v>139</v>
      </c>
      <c r="X1818" s="1">
        <v>1.7160493827160495</v>
      </c>
      <c r="Y1818" s="1">
        <v>83</v>
      </c>
      <c r="Z1818" s="1">
        <v>139</v>
      </c>
      <c r="AA1818" s="1">
        <v>1.6746987951807228</v>
      </c>
      <c r="AB1818" s="1">
        <v>82.243426267539917</v>
      </c>
      <c r="AC1818" s="1">
        <v>139.0323696252899</v>
      </c>
      <c r="AD1818" s="1">
        <v>1.6904982675820697</v>
      </c>
      <c r="AE1818" t="s">
        <v>4817</v>
      </c>
      <c r="AF1818" t="str">
        <f>IF(X1818&lt;$AF$1,"Bajo","Alto")</f>
        <v>Bajo</v>
      </c>
      <c r="AG1818" t="str">
        <f>LEFT(AE1818,1)</f>
        <v>C</v>
      </c>
      <c r="AH1818" t="str">
        <f>K1818</f>
        <v>F</v>
      </c>
      <c r="AI1818" t="str">
        <f>LEFT(AF1818,1)</f>
        <v>B</v>
      </c>
      <c r="AJ1818" t="str">
        <f>LEFT(M1818,1)</f>
        <v>J</v>
      </c>
      <c r="AK1818" t="str">
        <f>_xlfn.CONCAT(AG1818,AH1818,AI1818,AJ1818)</f>
        <v>CFBJ</v>
      </c>
    </row>
    <row r="1819" spans="1:37" ht="15.75" hidden="1" customHeight="1" x14ac:dyDescent="0.2">
      <c r="A1819" s="1">
        <v>239502</v>
      </c>
      <c r="B1819" s="1" t="s">
        <v>319</v>
      </c>
      <c r="C1819" s="1" t="s">
        <v>1989</v>
      </c>
      <c r="D1819" s="1" t="s">
        <v>3105</v>
      </c>
      <c r="E1819" s="1" t="s">
        <v>1056</v>
      </c>
      <c r="F1819" s="1" t="s">
        <v>37</v>
      </c>
      <c r="G1819" s="1" t="s">
        <v>3107</v>
      </c>
      <c r="H1819" s="1">
        <v>46</v>
      </c>
      <c r="I1819" s="1" t="s">
        <v>42</v>
      </c>
      <c r="J1819" s="1">
        <v>15</v>
      </c>
      <c r="K1819" s="1" t="s">
        <v>35</v>
      </c>
      <c r="L1819" s="1">
        <v>69</v>
      </c>
      <c r="M1819" s="1" t="str">
        <f>IF(L1819&lt;=45,"Joven","Mayor")</f>
        <v>Mayor</v>
      </c>
      <c r="N1819" s="1">
        <v>50</v>
      </c>
      <c r="O1819" s="1" t="s">
        <v>36</v>
      </c>
      <c r="P1819" s="1">
        <v>0.35399999999999998</v>
      </c>
      <c r="Q1819" s="1">
        <v>92.644999999999996</v>
      </c>
      <c r="R1819" s="1">
        <v>1.0659559999999999</v>
      </c>
      <c r="S1819" s="1">
        <v>7.2926983999999999</v>
      </c>
      <c r="T1819" s="1">
        <v>1.9292482</v>
      </c>
      <c r="U1819" s="1">
        <v>3.823</v>
      </c>
      <c r="V1819" s="1">
        <v>87</v>
      </c>
      <c r="W1819" s="1">
        <v>148</v>
      </c>
      <c r="X1819" s="1">
        <v>1.7011494252873562</v>
      </c>
      <c r="Y1819" s="1">
        <v>88</v>
      </c>
      <c r="Z1819" s="1">
        <v>148</v>
      </c>
      <c r="AA1819" s="1">
        <v>1.6818181818181819</v>
      </c>
      <c r="AB1819" s="1">
        <v>89.22940223594901</v>
      </c>
      <c r="AC1819" s="1">
        <v>148.15176538672901</v>
      </c>
      <c r="AD1819" s="1">
        <v>1.6603469447769221</v>
      </c>
      <c r="AE1819" t="s">
        <v>4817</v>
      </c>
      <c r="AF1819" t="str">
        <f>IF(X1819&lt;$AF$1,"Bajo","Alto")</f>
        <v>Bajo</v>
      </c>
      <c r="AG1819" t="str">
        <f>LEFT(AE1819,1)</f>
        <v>C</v>
      </c>
      <c r="AH1819" t="str">
        <f>K1819</f>
        <v>M</v>
      </c>
      <c r="AI1819" t="str">
        <f>LEFT(AF1819,1)</f>
        <v>B</v>
      </c>
      <c r="AJ1819" t="str">
        <f>LEFT(M1819,1)</f>
        <v>M</v>
      </c>
      <c r="AK1819" t="str">
        <f>_xlfn.CONCAT(AG1819,AH1819,AI1819,AJ1819)</f>
        <v>CMBM</v>
      </c>
    </row>
    <row r="1820" spans="1:37" ht="15.75" hidden="1" customHeight="1" x14ac:dyDescent="0.2">
      <c r="A1820" s="1">
        <v>239504</v>
      </c>
      <c r="B1820" s="1" t="s">
        <v>319</v>
      </c>
      <c r="C1820" s="1" t="s">
        <v>1989</v>
      </c>
      <c r="D1820" s="1" t="s">
        <v>3105</v>
      </c>
      <c r="E1820" s="1" t="s">
        <v>1056</v>
      </c>
      <c r="F1820" s="1" t="s">
        <v>61</v>
      </c>
      <c r="G1820" s="1" t="s">
        <v>3108</v>
      </c>
      <c r="H1820" s="1">
        <v>5495</v>
      </c>
      <c r="I1820" s="1" t="s">
        <v>108</v>
      </c>
      <c r="J1820" s="1">
        <v>3</v>
      </c>
      <c r="K1820" s="1" t="s">
        <v>35</v>
      </c>
      <c r="L1820" s="1">
        <v>45</v>
      </c>
      <c r="M1820" s="1" t="str">
        <f>IF(L1820&lt;=45,"Joven","Mayor")</f>
        <v>Joven</v>
      </c>
      <c r="N1820" s="1">
        <v>42</v>
      </c>
      <c r="O1820" s="1" t="s">
        <v>36</v>
      </c>
      <c r="P1820" s="1">
        <v>0.34</v>
      </c>
      <c r="Q1820" s="1">
        <v>94.284999999999997</v>
      </c>
      <c r="R1820" s="1">
        <v>-0.79498100000000005</v>
      </c>
      <c r="S1820" s="1">
        <v>1.8739980000000001</v>
      </c>
      <c r="T1820" s="1">
        <v>-1.2513932999999999</v>
      </c>
      <c r="U1820" s="1">
        <v>3.0369999999999999</v>
      </c>
      <c r="V1820" s="1">
        <v>100</v>
      </c>
      <c r="W1820" s="1">
        <v>172</v>
      </c>
      <c r="X1820" s="1">
        <v>1.72</v>
      </c>
      <c r="Y1820" s="1">
        <v>105</v>
      </c>
      <c r="Z1820" s="1">
        <v>172</v>
      </c>
      <c r="AA1820" s="1">
        <v>1.638095238095238</v>
      </c>
      <c r="AB1820" s="1">
        <v>106.0013993661335</v>
      </c>
      <c r="AC1820" s="1">
        <v>171.76242459087459</v>
      </c>
      <c r="AD1820" s="1">
        <v>1.6203788404490738</v>
      </c>
      <c r="AE1820" t="s">
        <v>4817</v>
      </c>
      <c r="AF1820" t="str">
        <f>IF(X1820&lt;$AF$1,"Bajo","Alto")</f>
        <v>Bajo</v>
      </c>
      <c r="AG1820" t="str">
        <f>LEFT(AE1820,1)</f>
        <v>C</v>
      </c>
      <c r="AH1820" t="str">
        <f>K1820</f>
        <v>M</v>
      </c>
      <c r="AI1820" t="str">
        <f>LEFT(AF1820,1)</f>
        <v>B</v>
      </c>
      <c r="AJ1820" t="str">
        <f>LEFT(M1820,1)</f>
        <v>J</v>
      </c>
      <c r="AK1820" t="str">
        <f>_xlfn.CONCAT(AG1820,AH1820,AI1820,AJ1820)</f>
        <v>CMBJ</v>
      </c>
    </row>
    <row r="1821" spans="1:37" ht="15.75" hidden="1" customHeight="1" x14ac:dyDescent="0.2">
      <c r="A1821" s="1">
        <v>259402</v>
      </c>
      <c r="B1821" s="1" t="s">
        <v>3169</v>
      </c>
      <c r="C1821" s="1" t="s">
        <v>821</v>
      </c>
      <c r="D1821" s="1" t="s">
        <v>549</v>
      </c>
      <c r="E1821" s="1" t="s">
        <v>775</v>
      </c>
      <c r="F1821" s="1" t="s">
        <v>37</v>
      </c>
      <c r="G1821" s="1" t="s">
        <v>3352</v>
      </c>
      <c r="H1821" s="1">
        <v>3017</v>
      </c>
      <c r="I1821" s="1" t="s">
        <v>3353</v>
      </c>
      <c r="J1821" s="1">
        <v>2828</v>
      </c>
      <c r="K1821" s="1" t="s">
        <v>35</v>
      </c>
      <c r="L1821" s="1">
        <v>41</v>
      </c>
      <c r="M1821" s="1" t="str">
        <f>IF(L1821&lt;=45,"Joven","Mayor")</f>
        <v>Joven</v>
      </c>
      <c r="N1821" s="1">
        <v>46</v>
      </c>
      <c r="O1821" s="1" t="s">
        <v>36</v>
      </c>
      <c r="P1821" s="1">
        <v>0.372</v>
      </c>
      <c r="Q1821" s="1">
        <v>86.558999999999997</v>
      </c>
      <c r="R1821" s="1">
        <v>5.9308420000000002</v>
      </c>
      <c r="S1821" s="1">
        <v>8.9950074999999998</v>
      </c>
      <c r="T1821" s="1">
        <v>-5.7273525999999997</v>
      </c>
      <c r="U1821" s="1">
        <v>2.593</v>
      </c>
      <c r="V1821" s="1">
        <v>86</v>
      </c>
      <c r="W1821" s="1">
        <v>148</v>
      </c>
      <c r="X1821" s="1">
        <v>1.7209302325581395</v>
      </c>
      <c r="Y1821" s="1">
        <v>100</v>
      </c>
      <c r="Z1821" s="1">
        <v>148</v>
      </c>
      <c r="AA1821" s="1">
        <v>1.48</v>
      </c>
      <c r="AB1821" s="1">
        <v>96.806345388495856</v>
      </c>
      <c r="AC1821" s="1">
        <v>149.15729086729431</v>
      </c>
      <c r="AD1821" s="1">
        <v>1.5407801035015589</v>
      </c>
      <c r="AE1821" t="s">
        <v>4817</v>
      </c>
      <c r="AF1821" t="str">
        <f>IF(X1821&lt;$AF$1,"Bajo","Alto")</f>
        <v>Bajo</v>
      </c>
      <c r="AG1821" t="str">
        <f>LEFT(AE1821,1)</f>
        <v>C</v>
      </c>
      <c r="AH1821" t="str">
        <f>K1821</f>
        <v>M</v>
      </c>
      <c r="AI1821" t="str">
        <f>LEFT(AF1821,1)</f>
        <v>B</v>
      </c>
      <c r="AJ1821" t="str">
        <f>LEFT(M1821,1)</f>
        <v>J</v>
      </c>
      <c r="AK1821" t="str">
        <f>_xlfn.CONCAT(AG1821,AH1821,AI1821,AJ1821)</f>
        <v>CMBJ</v>
      </c>
    </row>
    <row r="1822" spans="1:37" ht="15.75" hidden="1" customHeight="1" x14ac:dyDescent="0.2">
      <c r="A1822" s="1">
        <v>10511301</v>
      </c>
      <c r="B1822" s="1" t="s">
        <v>694</v>
      </c>
      <c r="C1822" s="1" t="s">
        <v>879</v>
      </c>
      <c r="D1822" s="1" t="s">
        <v>918</v>
      </c>
      <c r="E1822" s="1" t="s">
        <v>919</v>
      </c>
      <c r="F1822" s="1" t="s">
        <v>32</v>
      </c>
      <c r="G1822" s="1" t="s">
        <v>920</v>
      </c>
      <c r="H1822" s="1">
        <v>8</v>
      </c>
      <c r="I1822" s="1" t="s">
        <v>100</v>
      </c>
      <c r="J1822" s="1">
        <v>1</v>
      </c>
      <c r="K1822" s="1" t="s">
        <v>35</v>
      </c>
      <c r="L1822" s="1">
        <v>35</v>
      </c>
      <c r="M1822" s="1" t="str">
        <f>IF(L1822&lt;=45,"Joven","Mayor")</f>
        <v>Joven</v>
      </c>
      <c r="N1822" s="1">
        <v>34</v>
      </c>
      <c r="O1822" s="1" t="s">
        <v>36</v>
      </c>
      <c r="P1822" s="1">
        <v>0.35699999999999998</v>
      </c>
      <c r="Q1822" s="1">
        <v>87.516999999999996</v>
      </c>
      <c r="R1822" s="1">
        <v>7.4950919999999996</v>
      </c>
      <c r="S1822" s="1">
        <v>-1.9834399</v>
      </c>
      <c r="T1822" s="1">
        <v>-0.27779072999999999</v>
      </c>
      <c r="U1822" s="1">
        <v>49.259</v>
      </c>
      <c r="V1822" s="1">
        <v>116</v>
      </c>
      <c r="W1822" s="1">
        <v>213</v>
      </c>
      <c r="X1822" s="1">
        <v>1.8362068965517242</v>
      </c>
      <c r="Y1822" s="1">
        <v>118</v>
      </c>
      <c r="Z1822" s="1">
        <v>213</v>
      </c>
      <c r="AA1822" s="1">
        <v>1.8050847457627119</v>
      </c>
      <c r="AB1822" s="1">
        <v>118.2943620883793</v>
      </c>
      <c r="AC1822" s="1">
        <v>212.98779986185539</v>
      </c>
      <c r="AD1822" s="1">
        <v>1.8004898636059203</v>
      </c>
      <c r="AE1822" t="s">
        <v>4817</v>
      </c>
      <c r="AF1822" t="str">
        <f>IF(X1822&lt;$AF$1,"Bajo","Alto")</f>
        <v>Alto</v>
      </c>
      <c r="AG1822" t="str">
        <f>LEFT(AE1822,1)</f>
        <v>C</v>
      </c>
      <c r="AH1822" t="str">
        <f>K1822</f>
        <v>M</v>
      </c>
      <c r="AI1822" t="str">
        <f>LEFT(AF1822,1)</f>
        <v>A</v>
      </c>
      <c r="AJ1822" t="str">
        <f>LEFT(M1822,1)</f>
        <v>J</v>
      </c>
      <c r="AK1822" t="str">
        <f>_xlfn.CONCAT(AG1822,AH1822,AI1822,AJ1822)</f>
        <v>CMAJ</v>
      </c>
    </row>
    <row r="1823" spans="1:37" ht="15.75" hidden="1" customHeight="1" x14ac:dyDescent="0.2">
      <c r="A1823" s="1">
        <v>2716901</v>
      </c>
      <c r="B1823" s="1" t="s">
        <v>3409</v>
      </c>
      <c r="C1823" s="1" t="s">
        <v>973</v>
      </c>
      <c r="D1823" s="1" t="s">
        <v>3548</v>
      </c>
      <c r="E1823" s="1" t="s">
        <v>279</v>
      </c>
      <c r="F1823" s="1" t="s">
        <v>32</v>
      </c>
      <c r="G1823" s="1" t="s">
        <v>3549</v>
      </c>
      <c r="H1823" s="1">
        <v>5985</v>
      </c>
      <c r="I1823" s="1" t="s">
        <v>100</v>
      </c>
      <c r="J1823" s="1">
        <v>1</v>
      </c>
      <c r="K1823" s="1" t="s">
        <v>35</v>
      </c>
      <c r="L1823" s="1">
        <v>36</v>
      </c>
      <c r="M1823" s="1" t="str">
        <f>IF(L1823&lt;=45,"Joven","Mayor")</f>
        <v>Joven</v>
      </c>
      <c r="N1823" s="1">
        <v>36</v>
      </c>
      <c r="O1823" s="1" t="s">
        <v>36</v>
      </c>
      <c r="P1823" s="1">
        <v>0.77300000000000002</v>
      </c>
      <c r="Q1823" s="1">
        <v>88.944000000000003</v>
      </c>
      <c r="R1823" s="1">
        <v>6.133</v>
      </c>
      <c r="S1823" s="1">
        <v>3.6739682999999999</v>
      </c>
      <c r="T1823" s="1">
        <v>-6.0198345</v>
      </c>
      <c r="U1823" s="1">
        <v>6.4080000000000004</v>
      </c>
      <c r="V1823" s="1">
        <v>86</v>
      </c>
      <c r="W1823" s="1">
        <v>148</v>
      </c>
      <c r="X1823" s="1">
        <v>1.7209302325581395</v>
      </c>
      <c r="Y1823" s="1">
        <v>89</v>
      </c>
      <c r="Z1823" s="1">
        <v>148</v>
      </c>
      <c r="AA1823" s="1">
        <v>1.6629213483146068</v>
      </c>
      <c r="AB1823" s="1">
        <v>89.510929975269619</v>
      </c>
      <c r="AC1823" s="1">
        <v>147.393621734102</v>
      </c>
      <c r="AD1823" s="1">
        <v>1.6466550149219141</v>
      </c>
      <c r="AE1823" t="s">
        <v>4817</v>
      </c>
      <c r="AF1823" t="str">
        <f>IF(X1823&lt;$AF$1,"Bajo","Alto")</f>
        <v>Bajo</v>
      </c>
      <c r="AG1823" t="str">
        <f>LEFT(AE1823,1)</f>
        <v>C</v>
      </c>
      <c r="AH1823" t="str">
        <f>K1823</f>
        <v>M</v>
      </c>
      <c r="AI1823" t="str">
        <f>LEFT(AF1823,1)</f>
        <v>B</v>
      </c>
      <c r="AJ1823" t="str">
        <f>LEFT(M1823,1)</f>
        <v>J</v>
      </c>
      <c r="AK1823" t="str">
        <f>_xlfn.CONCAT(AG1823,AH1823,AI1823,AJ1823)</f>
        <v>CMBJ</v>
      </c>
    </row>
    <row r="1824" spans="1:37" ht="15.75" hidden="1" customHeight="1" x14ac:dyDescent="0.2">
      <c r="A1824" s="1">
        <v>288002</v>
      </c>
      <c r="B1824" s="1" t="s">
        <v>1775</v>
      </c>
      <c r="C1824" s="1" t="s">
        <v>561</v>
      </c>
      <c r="D1824" s="1" t="s">
        <v>3885</v>
      </c>
      <c r="E1824" s="1" t="s">
        <v>744</v>
      </c>
      <c r="F1824" s="1" t="s">
        <v>37</v>
      </c>
      <c r="G1824" s="1" t="s">
        <v>3887</v>
      </c>
      <c r="H1824" s="1">
        <v>20</v>
      </c>
      <c r="I1824" s="1" t="s">
        <v>85</v>
      </c>
      <c r="J1824" s="1">
        <v>12</v>
      </c>
      <c r="K1824" s="1" t="s">
        <v>35</v>
      </c>
      <c r="L1824" s="1">
        <v>37</v>
      </c>
      <c r="M1824" s="1" t="str">
        <f>IF(L1824&lt;=45,"Joven","Mayor")</f>
        <v>Joven</v>
      </c>
      <c r="N1824" s="1">
        <v>32</v>
      </c>
      <c r="O1824" s="1" t="s">
        <v>36</v>
      </c>
      <c r="P1824" s="1">
        <v>0.36899999999999999</v>
      </c>
      <c r="Q1824" s="1">
        <v>90.06</v>
      </c>
      <c r="R1824" s="1">
        <v>4.7562895000000003</v>
      </c>
      <c r="S1824" s="1">
        <v>5.7423906000000002</v>
      </c>
      <c r="T1824" s="1">
        <v>-2.2024138</v>
      </c>
      <c r="U1824" s="1">
        <v>11.834</v>
      </c>
      <c r="V1824" s="1">
        <v>79</v>
      </c>
      <c r="W1824" s="1">
        <v>144</v>
      </c>
      <c r="X1824" s="1">
        <v>1.8227848101265822</v>
      </c>
      <c r="Y1824" s="1">
        <v>82</v>
      </c>
      <c r="Z1824" s="1">
        <v>144</v>
      </c>
      <c r="AA1824" s="1">
        <v>1.7560975609756098</v>
      </c>
      <c r="AB1824" s="1">
        <v>83.438192823621193</v>
      </c>
      <c r="AC1824" s="1">
        <v>143.9704867677319</v>
      </c>
      <c r="AD1824" s="1">
        <v>1.7254746525019911</v>
      </c>
      <c r="AE1824" t="s">
        <v>4815</v>
      </c>
      <c r="AF1824" t="str">
        <f>IF(X1824&lt;$AF$1,"Bajo","Alto")</f>
        <v>Alto</v>
      </c>
      <c r="AG1824" t="str">
        <f>LEFT(AE1824,1)</f>
        <v>I</v>
      </c>
      <c r="AH1824" t="str">
        <f>K1824</f>
        <v>M</v>
      </c>
      <c r="AI1824" t="str">
        <f>LEFT(AF1824,1)</f>
        <v>A</v>
      </c>
      <c r="AJ1824" t="str">
        <f>LEFT(M1824,1)</f>
        <v>J</v>
      </c>
      <c r="AK1824" t="str">
        <f>_xlfn.CONCAT(AG1824,AH1824,AI1824,AJ1824)</f>
        <v>IMAJ</v>
      </c>
    </row>
    <row r="1825" spans="1:37" ht="15.75" hidden="1" customHeight="1" x14ac:dyDescent="0.2">
      <c r="A1825" s="1">
        <v>130402</v>
      </c>
      <c r="B1825" s="1" t="s">
        <v>956</v>
      </c>
      <c r="C1825" s="1" t="s">
        <v>163</v>
      </c>
      <c r="D1825" s="1" t="s">
        <v>1954</v>
      </c>
      <c r="E1825" s="1" t="s">
        <v>61</v>
      </c>
      <c r="F1825" s="1" t="s">
        <v>37</v>
      </c>
      <c r="G1825" s="1" t="s">
        <v>1956</v>
      </c>
      <c r="H1825" s="1">
        <v>378</v>
      </c>
      <c r="I1825" s="1" t="s">
        <v>39</v>
      </c>
      <c r="J1825" s="1">
        <v>11</v>
      </c>
      <c r="K1825" s="1" t="s">
        <v>35</v>
      </c>
      <c r="L1825" s="1">
        <v>48</v>
      </c>
      <c r="M1825" s="1" t="str">
        <f>IF(L1825&lt;=45,"Joven","Mayor")</f>
        <v>Mayor</v>
      </c>
      <c r="N1825" s="1">
        <v>48</v>
      </c>
      <c r="O1825" s="1" t="s">
        <v>36</v>
      </c>
      <c r="P1825" s="1">
        <v>0.32700000000000001</v>
      </c>
      <c r="Q1825" s="1">
        <v>91.968000000000004</v>
      </c>
      <c r="R1825" s="1">
        <v>3.7861492999999999</v>
      </c>
      <c r="S1825" s="1">
        <v>3.2084255000000002</v>
      </c>
      <c r="T1825" s="1">
        <v>-6.1528486999999998</v>
      </c>
      <c r="U1825" s="1">
        <v>4.9530000000000003</v>
      </c>
      <c r="V1825" s="1">
        <v>96</v>
      </c>
      <c r="W1825" s="1">
        <v>174</v>
      </c>
      <c r="X1825" s="1">
        <v>1.8125</v>
      </c>
      <c r="Y1825" s="1">
        <v>99</v>
      </c>
      <c r="Z1825" s="1">
        <v>174</v>
      </c>
      <c r="AA1825" s="1">
        <v>1.7575757575757576</v>
      </c>
      <c r="AB1825" s="1">
        <v>103.4672267850476</v>
      </c>
      <c r="AC1825" s="1">
        <v>173.21203622701569</v>
      </c>
      <c r="AD1825" s="1">
        <v>1.6740763390407902</v>
      </c>
      <c r="AE1825" t="s">
        <v>4816</v>
      </c>
      <c r="AF1825" t="str">
        <f>IF(X1825&lt;$AF$1,"Bajo","Alto")</f>
        <v>Alto</v>
      </c>
      <c r="AG1825" t="str">
        <f>LEFT(AE1825,1)</f>
        <v>D</v>
      </c>
      <c r="AH1825" t="str">
        <f>K1825</f>
        <v>M</v>
      </c>
      <c r="AI1825" t="str">
        <f>LEFT(AF1825,1)</f>
        <v>A</v>
      </c>
      <c r="AJ1825" t="str">
        <f>LEFT(M1825,1)</f>
        <v>M</v>
      </c>
      <c r="AK1825" t="str">
        <f>_xlfn.CONCAT(AG1825,AH1825,AI1825,AJ1825)</f>
        <v>DMAM</v>
      </c>
    </row>
    <row r="1826" spans="1:37" ht="15.75" hidden="1" customHeight="1" x14ac:dyDescent="0.2">
      <c r="A1826" s="1">
        <v>1034704</v>
      </c>
      <c r="B1826" s="1" t="s">
        <v>783</v>
      </c>
      <c r="C1826" s="1" t="s">
        <v>81</v>
      </c>
      <c r="D1826" s="1" t="s">
        <v>856</v>
      </c>
      <c r="E1826" s="1" t="s">
        <v>857</v>
      </c>
      <c r="F1826" s="1" t="s">
        <v>61</v>
      </c>
      <c r="G1826" s="1" t="s">
        <v>858</v>
      </c>
      <c r="H1826" s="1">
        <v>2779</v>
      </c>
      <c r="I1826" s="1" t="s">
        <v>65</v>
      </c>
      <c r="J1826" s="1">
        <v>2</v>
      </c>
      <c r="K1826" s="1" t="s">
        <v>35</v>
      </c>
      <c r="L1826" s="1">
        <v>34</v>
      </c>
      <c r="M1826" s="1" t="str">
        <f>IF(L1826&lt;=45,"Joven","Mayor")</f>
        <v>Joven</v>
      </c>
      <c r="N1826" s="1">
        <v>38</v>
      </c>
      <c r="O1826" s="1" t="s">
        <v>36</v>
      </c>
      <c r="P1826" s="1">
        <v>0.39800000000000002</v>
      </c>
      <c r="Q1826" s="1">
        <v>86.951999999999998</v>
      </c>
      <c r="R1826" s="1">
        <v>-7.3690179999999996</v>
      </c>
      <c r="S1826" s="1">
        <v>-3.9390551999999999</v>
      </c>
      <c r="T1826" s="1">
        <v>9.2180605</v>
      </c>
      <c r="U1826" s="1">
        <v>44.093000000000004</v>
      </c>
      <c r="V1826" s="1">
        <v>79</v>
      </c>
      <c r="W1826" s="1">
        <v>145</v>
      </c>
      <c r="X1826" s="1">
        <v>1.8354430379746836</v>
      </c>
      <c r="Y1826" s="1">
        <v>84</v>
      </c>
      <c r="Z1826" s="1">
        <v>145</v>
      </c>
      <c r="AA1826" s="1">
        <v>1.7261904761904763</v>
      </c>
      <c r="AB1826" s="1">
        <v>84.547665648877228</v>
      </c>
      <c r="AC1826" s="1">
        <v>144.08859780331889</v>
      </c>
      <c r="AD1826" s="1">
        <v>1.7042291670323881</v>
      </c>
      <c r="AE1826" t="s">
        <v>4817</v>
      </c>
      <c r="AF1826" t="str">
        <f>IF(X1826&lt;$AF$1,"Bajo","Alto")</f>
        <v>Alto</v>
      </c>
      <c r="AG1826" t="str">
        <f>LEFT(AE1826,1)</f>
        <v>C</v>
      </c>
      <c r="AH1826" t="str">
        <f>K1826</f>
        <v>M</v>
      </c>
      <c r="AI1826" t="str">
        <f>LEFT(AF1826,1)</f>
        <v>A</v>
      </c>
      <c r="AJ1826" t="str">
        <f>LEFT(M1826,1)</f>
        <v>J</v>
      </c>
      <c r="AK1826" t="str">
        <f>_xlfn.CONCAT(AG1826,AH1826,AI1826,AJ1826)</f>
        <v>CMAJ</v>
      </c>
    </row>
    <row r="1827" spans="1:37" ht="15.75" hidden="1" customHeight="1" x14ac:dyDescent="0.2">
      <c r="A1827" s="1">
        <v>118705</v>
      </c>
      <c r="B1827" s="1" t="s">
        <v>1648</v>
      </c>
      <c r="C1827" s="1" t="s">
        <v>51</v>
      </c>
      <c r="D1827" s="1" t="s">
        <v>1779</v>
      </c>
      <c r="E1827" s="1" t="s">
        <v>1780</v>
      </c>
      <c r="F1827" s="1" t="s">
        <v>40</v>
      </c>
      <c r="G1827" s="1" t="s">
        <v>1781</v>
      </c>
      <c r="H1827" s="1">
        <v>3116</v>
      </c>
      <c r="I1827" s="1" t="s">
        <v>1782</v>
      </c>
      <c r="J1827" s="1">
        <v>3697</v>
      </c>
      <c r="K1827" s="1" t="s">
        <v>35</v>
      </c>
      <c r="L1827" s="1">
        <v>40</v>
      </c>
      <c r="M1827" s="1" t="str">
        <f>IF(L1827&lt;=45,"Joven","Mayor")</f>
        <v>Joven</v>
      </c>
      <c r="N1827" s="1">
        <v>54</v>
      </c>
      <c r="O1827" s="1" t="s">
        <v>36</v>
      </c>
      <c r="P1827" s="1">
        <v>0.315</v>
      </c>
      <c r="Q1827" s="1">
        <v>89.95</v>
      </c>
      <c r="R1827" s="1">
        <v>4.8143060000000002</v>
      </c>
      <c r="S1827" s="1">
        <v>5.8809500000000003</v>
      </c>
      <c r="T1827" s="1">
        <v>-0.45375848000000002</v>
      </c>
      <c r="U1827" s="1">
        <v>0.41699999999999998</v>
      </c>
      <c r="V1827" s="1">
        <v>79</v>
      </c>
      <c r="W1827" s="1">
        <v>145</v>
      </c>
      <c r="X1827" s="1">
        <v>1.8354430379746836</v>
      </c>
      <c r="Y1827" s="1">
        <v>83</v>
      </c>
      <c r="Z1827" s="1">
        <v>145</v>
      </c>
      <c r="AA1827" s="1">
        <v>1.7469879518072289</v>
      </c>
      <c r="AB1827" s="1">
        <v>83.266660032207938</v>
      </c>
      <c r="AC1827" s="1">
        <v>144.95585535917641</v>
      </c>
      <c r="AD1827" s="1">
        <v>1.7408630933810338</v>
      </c>
      <c r="AE1827" t="s">
        <v>4817</v>
      </c>
      <c r="AF1827" t="str">
        <f>IF(X1827&lt;$AF$1,"Bajo","Alto")</f>
        <v>Alto</v>
      </c>
      <c r="AG1827" t="str">
        <f>LEFT(AE1827,1)</f>
        <v>C</v>
      </c>
      <c r="AH1827" t="str">
        <f>K1827</f>
        <v>M</v>
      </c>
      <c r="AI1827" t="str">
        <f>LEFT(AF1827,1)</f>
        <v>A</v>
      </c>
      <c r="AJ1827" t="str">
        <f>LEFT(M1827,1)</f>
        <v>J</v>
      </c>
      <c r="AK1827" t="str">
        <f>_xlfn.CONCAT(AG1827,AH1827,AI1827,AJ1827)</f>
        <v>CMAJ</v>
      </c>
    </row>
    <row r="1828" spans="1:37" ht="15.75" hidden="1" customHeight="1" x14ac:dyDescent="0.2">
      <c r="A1828" s="1">
        <v>402001</v>
      </c>
      <c r="B1828" s="1" t="s">
        <v>4287</v>
      </c>
      <c r="C1828" s="1" t="s">
        <v>657</v>
      </c>
      <c r="D1828" s="1" t="s">
        <v>4302</v>
      </c>
      <c r="E1828" s="1" t="s">
        <v>1983</v>
      </c>
      <c r="F1828" s="1" t="s">
        <v>32</v>
      </c>
      <c r="G1828" s="1" t="s">
        <v>4303</v>
      </c>
      <c r="H1828" s="1">
        <v>971</v>
      </c>
      <c r="I1828" s="1" t="s">
        <v>100</v>
      </c>
      <c r="J1828" s="1">
        <v>1</v>
      </c>
      <c r="K1828" s="1" t="s">
        <v>35</v>
      </c>
      <c r="L1828" s="1">
        <v>37</v>
      </c>
      <c r="M1828" s="1" t="str">
        <f>IF(L1828&lt;=45,"Joven","Mayor")</f>
        <v>Joven</v>
      </c>
      <c r="N1828" s="1">
        <v>47</v>
      </c>
      <c r="O1828" s="1" t="s">
        <v>36</v>
      </c>
      <c r="P1828" s="1">
        <v>0.29399999999999998</v>
      </c>
      <c r="Q1828" s="1">
        <v>82.834000000000003</v>
      </c>
      <c r="R1828" s="1">
        <v>9.1302869999999992</v>
      </c>
      <c r="S1828" s="1">
        <v>4.4121037000000003</v>
      </c>
      <c r="T1828" s="1">
        <v>-3.6532735999999999</v>
      </c>
      <c r="U1828" s="1">
        <v>66.914000000000001</v>
      </c>
      <c r="V1828" s="1">
        <v>79</v>
      </c>
      <c r="W1828" s="1">
        <v>136</v>
      </c>
      <c r="X1828" s="1">
        <v>1.7215189873417722</v>
      </c>
      <c r="Y1828" s="1">
        <v>81</v>
      </c>
      <c r="Z1828" s="1">
        <v>136</v>
      </c>
      <c r="AA1828" s="1">
        <v>1.6790123456790123</v>
      </c>
      <c r="AB1828" s="1">
        <v>81.197048156566552</v>
      </c>
      <c r="AC1828" s="1">
        <v>135.91479173256309</v>
      </c>
      <c r="AD1828" s="1">
        <v>1.6738883348380862</v>
      </c>
      <c r="AE1828" t="s">
        <v>4817</v>
      </c>
      <c r="AF1828" t="str">
        <f>IF(X1828&lt;$AF$1,"Bajo","Alto")</f>
        <v>Bajo</v>
      </c>
      <c r="AG1828" t="str">
        <f>LEFT(AE1828,1)</f>
        <v>C</v>
      </c>
      <c r="AH1828" t="str">
        <f>K1828</f>
        <v>M</v>
      </c>
      <c r="AI1828" t="str">
        <f>LEFT(AF1828,1)</f>
        <v>B</v>
      </c>
      <c r="AJ1828" t="str">
        <f>LEFT(M1828,1)</f>
        <v>J</v>
      </c>
      <c r="AK1828" t="str">
        <f>_xlfn.CONCAT(AG1828,AH1828,AI1828,AJ1828)</f>
        <v>CMBJ</v>
      </c>
    </row>
    <row r="1829" spans="1:37" ht="15.75" hidden="1" customHeight="1" x14ac:dyDescent="0.2">
      <c r="A1829" s="1">
        <v>642301</v>
      </c>
      <c r="B1829" s="1" t="s">
        <v>4718</v>
      </c>
      <c r="C1829" s="1" t="s">
        <v>710</v>
      </c>
      <c r="D1829" s="1" t="s">
        <v>4760</v>
      </c>
      <c r="E1829" s="1" t="s">
        <v>1989</v>
      </c>
      <c r="F1829" s="1" t="s">
        <v>32</v>
      </c>
      <c r="G1829" s="1" t="s">
        <v>4761</v>
      </c>
      <c r="H1829" s="1">
        <v>425</v>
      </c>
      <c r="I1829" s="1" t="s">
        <v>34</v>
      </c>
      <c r="J1829" s="1">
        <v>10</v>
      </c>
      <c r="K1829" s="1" t="s">
        <v>35</v>
      </c>
      <c r="L1829" s="1">
        <v>43</v>
      </c>
      <c r="M1829" s="1" t="str">
        <f>IF(L1829&lt;=45,"Joven","Mayor")</f>
        <v>Joven</v>
      </c>
      <c r="N1829" s="1">
        <v>46</v>
      </c>
      <c r="O1829" s="1" t="s">
        <v>36</v>
      </c>
      <c r="P1829" s="1">
        <v>0.34799999999999998</v>
      </c>
      <c r="Q1829" s="1">
        <v>93.123000000000005</v>
      </c>
      <c r="R1829" s="1">
        <v>-1.8218171999999999</v>
      </c>
      <c r="S1829" s="1">
        <v>4.4167695</v>
      </c>
      <c r="T1829" s="1">
        <v>-0.98520470000000004</v>
      </c>
      <c r="U1829" s="1">
        <v>12.087999999999999</v>
      </c>
      <c r="V1829" s="1">
        <v>79</v>
      </c>
      <c r="W1829" s="1">
        <v>144</v>
      </c>
      <c r="X1829" s="1">
        <v>1.8227848101265822</v>
      </c>
      <c r="Y1829" s="1">
        <v>82</v>
      </c>
      <c r="Z1829" s="1">
        <v>144</v>
      </c>
      <c r="AA1829" s="1">
        <v>1.7560975609756098</v>
      </c>
      <c r="AB1829" s="1">
        <v>82.710034993375757</v>
      </c>
      <c r="AC1829" s="1">
        <v>144.03029491920731</v>
      </c>
      <c r="AD1829" s="1">
        <v>1.7413883929651666</v>
      </c>
      <c r="AE1829" t="s">
        <v>4815</v>
      </c>
      <c r="AF1829" t="str">
        <f>IF(X1829&lt;$AF$1,"Bajo","Alto")</f>
        <v>Alto</v>
      </c>
      <c r="AG1829" t="str">
        <f>LEFT(AE1829,1)</f>
        <v>I</v>
      </c>
      <c r="AH1829" t="str">
        <f>K1829</f>
        <v>M</v>
      </c>
      <c r="AI1829" t="str">
        <f>LEFT(AF1829,1)</f>
        <v>A</v>
      </c>
      <c r="AJ1829" t="str">
        <f>LEFT(M1829,1)</f>
        <v>J</v>
      </c>
      <c r="AK1829" t="str">
        <f>_xlfn.CONCAT(AG1829,AH1829,AI1829,AJ1829)</f>
        <v>IMAJ</v>
      </c>
    </row>
    <row r="1830" spans="1:37" ht="15.75" hidden="1" customHeight="1" x14ac:dyDescent="0.2">
      <c r="A1830" s="1">
        <v>10725303</v>
      </c>
      <c r="B1830" s="1" t="s">
        <v>1067</v>
      </c>
      <c r="C1830" s="1" t="s">
        <v>1068</v>
      </c>
      <c r="D1830" s="1" t="s">
        <v>1292</v>
      </c>
      <c r="E1830" s="1" t="s">
        <v>506</v>
      </c>
      <c r="F1830" s="1" t="s">
        <v>63</v>
      </c>
      <c r="G1830" s="1" t="s">
        <v>1295</v>
      </c>
      <c r="H1830" s="1">
        <v>1203</v>
      </c>
      <c r="I1830" s="1" t="s">
        <v>65</v>
      </c>
      <c r="J1830" s="1">
        <v>2</v>
      </c>
      <c r="K1830" s="1" t="s">
        <v>35</v>
      </c>
      <c r="L1830" s="1">
        <v>26</v>
      </c>
      <c r="M1830" s="1" t="str">
        <f>IF(L1830&lt;=45,"Joven","Mayor")</f>
        <v>Joven</v>
      </c>
      <c r="N1830" s="1">
        <v>19</v>
      </c>
      <c r="O1830" s="1" t="s">
        <v>36</v>
      </c>
      <c r="P1830" s="1">
        <v>4.2000000000000003E-2</v>
      </c>
      <c r="Q1830" s="1">
        <v>86.418999999999997</v>
      </c>
      <c r="R1830" s="1">
        <v>-7.1262702999999998</v>
      </c>
      <c r="S1830" s="1">
        <v>6.1917996000000004</v>
      </c>
      <c r="T1830" s="1">
        <v>2.9833666999999999</v>
      </c>
      <c r="U1830" s="1">
        <v>13.647</v>
      </c>
      <c r="V1830" s="1">
        <v>85</v>
      </c>
      <c r="W1830" s="1">
        <v>156</v>
      </c>
      <c r="X1830" s="1">
        <v>1.8352941176470587</v>
      </c>
      <c r="Y1830" s="1">
        <v>88</v>
      </c>
      <c r="Z1830" s="1">
        <v>156</v>
      </c>
      <c r="AA1830" s="1">
        <v>1.7727272727272727</v>
      </c>
      <c r="AB1830" s="1">
        <v>86.810502022824949</v>
      </c>
      <c r="AC1830" s="1">
        <v>155.632432894658</v>
      </c>
      <c r="AD1830" s="1">
        <v>1.7927834682229784</v>
      </c>
      <c r="AE1830" t="s">
        <v>4817</v>
      </c>
      <c r="AF1830" t="str">
        <f>IF(X1830&lt;$AF$1,"Bajo","Alto")</f>
        <v>Alto</v>
      </c>
      <c r="AG1830" t="str">
        <f>LEFT(AE1830,1)</f>
        <v>C</v>
      </c>
      <c r="AH1830" t="str">
        <f>K1830</f>
        <v>M</v>
      </c>
      <c r="AI1830" t="str">
        <f>LEFT(AF1830,1)</f>
        <v>A</v>
      </c>
      <c r="AJ1830" t="str">
        <f>LEFT(M1830,1)</f>
        <v>J</v>
      </c>
      <c r="AK1830" t="str">
        <f>_xlfn.CONCAT(AG1830,AH1830,AI1830,AJ1830)</f>
        <v>CMAJ</v>
      </c>
    </row>
    <row r="1831" spans="1:37" ht="15.75" hidden="1" customHeight="1" x14ac:dyDescent="0.2">
      <c r="A1831" s="1">
        <v>1057304</v>
      </c>
      <c r="B1831" s="1" t="s">
        <v>694</v>
      </c>
      <c r="C1831" s="1" t="s">
        <v>879</v>
      </c>
      <c r="D1831" s="1" t="s">
        <v>1020</v>
      </c>
      <c r="E1831" s="1" t="s">
        <v>1021</v>
      </c>
      <c r="F1831" s="1" t="s">
        <v>61</v>
      </c>
      <c r="G1831" s="1" t="s">
        <v>1022</v>
      </c>
      <c r="H1831" s="1">
        <v>3516</v>
      </c>
      <c r="I1831" s="1" t="s">
        <v>65</v>
      </c>
      <c r="J1831" s="1">
        <v>2</v>
      </c>
      <c r="K1831" s="1" t="s">
        <v>35</v>
      </c>
      <c r="L1831" s="1">
        <v>40</v>
      </c>
      <c r="M1831" s="1" t="str">
        <f>IF(L1831&lt;=45,"Joven","Mayor")</f>
        <v>Joven</v>
      </c>
      <c r="N1831" s="1">
        <v>49</v>
      </c>
      <c r="O1831" s="1" t="s">
        <v>36</v>
      </c>
      <c r="P1831" s="1">
        <v>0.34899999999999998</v>
      </c>
      <c r="Q1831" s="1">
        <v>85.772999999999996</v>
      </c>
      <c r="R1831" s="1">
        <v>8.423686</v>
      </c>
      <c r="S1831" s="1">
        <v>1.7075037</v>
      </c>
      <c r="T1831" s="1">
        <v>-9.0249539999999993</v>
      </c>
      <c r="U1831" s="1">
        <v>7.8010000000000002</v>
      </c>
      <c r="V1831" s="1">
        <v>91</v>
      </c>
      <c r="W1831" s="1">
        <v>167</v>
      </c>
      <c r="X1831" s="1">
        <v>1.8351648351648351</v>
      </c>
      <c r="Y1831" s="1">
        <v>99</v>
      </c>
      <c r="Z1831" s="1">
        <v>167</v>
      </c>
      <c r="AA1831" s="1">
        <v>1.6868686868686869</v>
      </c>
      <c r="AB1831" s="1">
        <v>97.873525970050423</v>
      </c>
      <c r="AC1831" s="1">
        <v>166.8149346330483</v>
      </c>
      <c r="AD1831" s="1">
        <v>1.7043928169512779</v>
      </c>
      <c r="AE1831" t="s">
        <v>4817</v>
      </c>
      <c r="AF1831" t="str">
        <f>IF(X1831&lt;$AF$1,"Bajo","Alto")</f>
        <v>Alto</v>
      </c>
      <c r="AG1831" t="str">
        <f>LEFT(AE1831,1)</f>
        <v>C</v>
      </c>
      <c r="AH1831" t="str">
        <f>K1831</f>
        <v>M</v>
      </c>
      <c r="AI1831" t="str">
        <f>LEFT(AF1831,1)</f>
        <v>A</v>
      </c>
      <c r="AJ1831" t="str">
        <f>LEFT(M1831,1)</f>
        <v>J</v>
      </c>
      <c r="AK1831" t="str">
        <f>_xlfn.CONCAT(AG1831,AH1831,AI1831,AJ1831)</f>
        <v>CMAJ</v>
      </c>
    </row>
    <row r="1832" spans="1:37" ht="15.75" hidden="1" customHeight="1" x14ac:dyDescent="0.2">
      <c r="A1832" s="1">
        <v>254601</v>
      </c>
      <c r="B1832" s="1" t="s">
        <v>3169</v>
      </c>
      <c r="C1832" s="1" t="s">
        <v>821</v>
      </c>
      <c r="D1832" s="1" t="s">
        <v>3256</v>
      </c>
      <c r="E1832" s="1" t="s">
        <v>669</v>
      </c>
      <c r="F1832" s="1" t="s">
        <v>32</v>
      </c>
      <c r="G1832" s="1" t="s">
        <v>3257</v>
      </c>
      <c r="H1832" s="1">
        <v>1847</v>
      </c>
      <c r="I1832" s="1" t="s">
        <v>3258</v>
      </c>
      <c r="J1832" s="1">
        <v>3175</v>
      </c>
      <c r="K1832" s="1" t="s">
        <v>35</v>
      </c>
      <c r="L1832" s="1">
        <v>36</v>
      </c>
      <c r="M1832" s="1" t="str">
        <f>IF(L1832&lt;=45,"Joven","Mayor")</f>
        <v>Joven</v>
      </c>
      <c r="N1832" s="1">
        <v>51</v>
      </c>
      <c r="O1832" s="1" t="s">
        <v>36</v>
      </c>
      <c r="P1832" s="1">
        <v>1.0069999999999999</v>
      </c>
      <c r="Q1832" s="1">
        <v>93.09</v>
      </c>
      <c r="R1832" s="1">
        <v>2.8853399999999998</v>
      </c>
      <c r="S1832" s="1">
        <v>0.68943845999999998</v>
      </c>
      <c r="T1832" s="1">
        <v>-1.3322555</v>
      </c>
      <c r="U1832" s="1">
        <v>0.61199999999999999</v>
      </c>
      <c r="V1832" s="1">
        <v>121</v>
      </c>
      <c r="W1832" s="1">
        <v>222</v>
      </c>
      <c r="X1832" s="1">
        <v>1.834710743801653</v>
      </c>
      <c r="Y1832" s="1">
        <v>122</v>
      </c>
      <c r="Z1832" s="1">
        <v>222</v>
      </c>
      <c r="AA1832" s="1">
        <v>1.819672131147541</v>
      </c>
      <c r="AB1832" s="1">
        <v>123.2225288903589</v>
      </c>
      <c r="AC1832" s="1">
        <v>222.07948957687179</v>
      </c>
      <c r="AD1832" s="1">
        <v>1.8022636897387001</v>
      </c>
      <c r="AE1832" t="s">
        <v>4817</v>
      </c>
      <c r="AF1832" t="str">
        <f>IF(X1832&lt;$AF$1,"Bajo","Alto")</f>
        <v>Alto</v>
      </c>
      <c r="AG1832" t="str">
        <f>LEFT(AE1832,1)</f>
        <v>C</v>
      </c>
      <c r="AH1832" t="str">
        <f>K1832</f>
        <v>M</v>
      </c>
      <c r="AI1832" t="str">
        <f>LEFT(AF1832,1)</f>
        <v>A</v>
      </c>
      <c r="AJ1832" t="str">
        <f>LEFT(M1832,1)</f>
        <v>J</v>
      </c>
      <c r="AK1832" t="str">
        <f>_xlfn.CONCAT(AG1832,AH1832,AI1832,AJ1832)</f>
        <v>CMAJ</v>
      </c>
    </row>
    <row r="1833" spans="1:37" ht="15.75" hidden="1" customHeight="1" x14ac:dyDescent="0.2">
      <c r="A1833" s="1">
        <v>1285002</v>
      </c>
      <c r="B1833" s="1" t="s">
        <v>1798</v>
      </c>
      <c r="C1833" s="1" t="s">
        <v>54</v>
      </c>
      <c r="D1833" s="1" t="s">
        <v>1931</v>
      </c>
      <c r="E1833" s="1" t="s">
        <v>1932</v>
      </c>
      <c r="F1833" s="1" t="s">
        <v>37</v>
      </c>
      <c r="G1833" s="1" t="s">
        <v>1933</v>
      </c>
      <c r="H1833" s="1">
        <v>289</v>
      </c>
      <c r="I1833" s="1" t="s">
        <v>85</v>
      </c>
      <c r="J1833" s="1">
        <v>12</v>
      </c>
      <c r="K1833" s="1" t="s">
        <v>35</v>
      </c>
      <c r="L1833" s="1">
        <v>53</v>
      </c>
      <c r="M1833" s="1" t="str">
        <f>IF(L1833&lt;=45,"Joven","Mayor")</f>
        <v>Mayor</v>
      </c>
      <c r="N1833" s="1">
        <v>53</v>
      </c>
      <c r="O1833" s="1" t="s">
        <v>36</v>
      </c>
      <c r="P1833" s="1">
        <v>0.109</v>
      </c>
      <c r="Q1833" s="1">
        <v>83.283000000000001</v>
      </c>
      <c r="R1833" s="1">
        <v>8.2965459999999993</v>
      </c>
      <c r="S1833" s="1">
        <v>7.1352890000000002</v>
      </c>
      <c r="T1833" s="1">
        <v>0.44428604999999999</v>
      </c>
      <c r="U1833" s="1">
        <v>2.9820000000000002</v>
      </c>
      <c r="V1833" s="1">
        <v>105</v>
      </c>
      <c r="W1833" s="1">
        <v>177</v>
      </c>
      <c r="X1833" s="1">
        <v>1.6857142857142857</v>
      </c>
      <c r="Y1833" s="1">
        <v>110</v>
      </c>
      <c r="Z1833" s="1">
        <v>177</v>
      </c>
      <c r="AA1833" s="1">
        <v>1.6090909090909091</v>
      </c>
      <c r="AB1833" s="1">
        <v>110.353385078708</v>
      </c>
      <c r="AC1833" s="1">
        <v>176.98692448116341</v>
      </c>
      <c r="AD1833" s="1">
        <v>1.6038196232488018</v>
      </c>
      <c r="AE1833" t="s">
        <v>4815</v>
      </c>
      <c r="AF1833" t="str">
        <f>IF(X1833&lt;$AF$1,"Bajo","Alto")</f>
        <v>Bajo</v>
      </c>
      <c r="AG1833" t="str">
        <f>LEFT(AE1833,1)</f>
        <v>I</v>
      </c>
      <c r="AH1833" t="str">
        <f>K1833</f>
        <v>M</v>
      </c>
      <c r="AI1833" t="str">
        <f>LEFT(AF1833,1)</f>
        <v>B</v>
      </c>
      <c r="AJ1833" t="str">
        <f>LEFT(M1833,1)</f>
        <v>M</v>
      </c>
      <c r="AK1833" t="str">
        <f>_xlfn.CONCAT(AG1833,AH1833,AI1833,AJ1833)</f>
        <v>IMBM</v>
      </c>
    </row>
    <row r="1834" spans="1:37" ht="15.75" hidden="1" customHeight="1" x14ac:dyDescent="0.2">
      <c r="A1834" s="1">
        <v>1033402</v>
      </c>
      <c r="B1834" s="1" t="s">
        <v>783</v>
      </c>
      <c r="C1834" s="1" t="s">
        <v>81</v>
      </c>
      <c r="D1834" s="1" t="s">
        <v>831</v>
      </c>
      <c r="E1834" s="1" t="s">
        <v>634</v>
      </c>
      <c r="F1834" s="1" t="s">
        <v>37</v>
      </c>
      <c r="G1834" s="1" t="s">
        <v>832</v>
      </c>
      <c r="H1834" s="1">
        <v>328</v>
      </c>
      <c r="I1834" s="1" t="s">
        <v>91</v>
      </c>
      <c r="J1834" s="1">
        <v>6</v>
      </c>
      <c r="K1834" s="1" t="s">
        <v>35</v>
      </c>
      <c r="L1834" s="1">
        <v>40</v>
      </c>
      <c r="M1834" s="1" t="str">
        <f>IF(L1834&lt;=45,"Joven","Mayor")</f>
        <v>Joven</v>
      </c>
      <c r="N1834" s="1">
        <v>49</v>
      </c>
      <c r="O1834" s="1" t="s">
        <v>36</v>
      </c>
      <c r="P1834" s="1">
        <v>0.51900000000000002</v>
      </c>
      <c r="Q1834" s="1">
        <v>16.661999999999999</v>
      </c>
      <c r="R1834" s="1">
        <v>20.464127999999999</v>
      </c>
      <c r="S1834" s="1">
        <v>-1.2177560000000001</v>
      </c>
      <c r="T1834" s="1">
        <v>-8.4697320000000005</v>
      </c>
      <c r="U1834" s="1">
        <v>56.143000000000001</v>
      </c>
      <c r="V1834" s="1">
        <v>90</v>
      </c>
      <c r="W1834" s="1">
        <v>165</v>
      </c>
      <c r="X1834" s="1">
        <v>1.8333333333333333</v>
      </c>
      <c r="Y1834" s="1">
        <v>99</v>
      </c>
      <c r="Z1834" s="1">
        <v>165</v>
      </c>
      <c r="AA1834" s="1">
        <v>1.6666666666666667</v>
      </c>
      <c r="AB1834" s="1">
        <v>95.351780287981455</v>
      </c>
      <c r="AC1834" s="1">
        <v>164.9679215798437</v>
      </c>
      <c r="AD1834" s="1">
        <v>1.7300979707102224</v>
      </c>
      <c r="AE1834" t="s">
        <v>4817</v>
      </c>
      <c r="AF1834" t="str">
        <f>IF(X1834&lt;$AF$1,"Bajo","Alto")</f>
        <v>Alto</v>
      </c>
      <c r="AG1834" t="str">
        <f>LEFT(AE1834,1)</f>
        <v>C</v>
      </c>
      <c r="AH1834" t="str">
        <f>K1834</f>
        <v>M</v>
      </c>
      <c r="AI1834" t="str">
        <f>LEFT(AF1834,1)</f>
        <v>A</v>
      </c>
      <c r="AJ1834" t="str">
        <f>LEFT(M1834,1)</f>
        <v>J</v>
      </c>
      <c r="AK1834" t="str">
        <f>_xlfn.CONCAT(AG1834,AH1834,AI1834,AJ1834)</f>
        <v>CMAJ</v>
      </c>
    </row>
    <row r="1835" spans="1:37" ht="15.75" hidden="1" customHeight="1" x14ac:dyDescent="0.2">
      <c r="A1835" s="1">
        <v>1019402</v>
      </c>
      <c r="B1835" s="1" t="s">
        <v>29</v>
      </c>
      <c r="C1835" s="1" t="s">
        <v>30</v>
      </c>
      <c r="D1835" s="1" t="s">
        <v>774</v>
      </c>
      <c r="E1835" s="1" t="s">
        <v>775</v>
      </c>
      <c r="F1835" s="1" t="s">
        <v>37</v>
      </c>
      <c r="G1835" s="1" t="s">
        <v>777</v>
      </c>
      <c r="H1835" s="1">
        <v>3454</v>
      </c>
      <c r="I1835" s="1" t="s">
        <v>108</v>
      </c>
      <c r="J1835" s="1">
        <v>3</v>
      </c>
      <c r="K1835" s="1" t="s">
        <v>35</v>
      </c>
      <c r="L1835" s="1">
        <v>38</v>
      </c>
      <c r="M1835" s="1" t="str">
        <f>IF(L1835&lt;=45,"Joven","Mayor")</f>
        <v>Joven</v>
      </c>
      <c r="N1835" s="1">
        <v>35</v>
      </c>
      <c r="O1835" s="1" t="s">
        <v>36</v>
      </c>
      <c r="P1835" s="1">
        <v>5.1999999999999998E-2</v>
      </c>
      <c r="Q1835" s="1">
        <v>67.063999999999993</v>
      </c>
      <c r="R1835" s="1">
        <v>13.520035999999999</v>
      </c>
      <c r="S1835" s="1">
        <v>1.6589794</v>
      </c>
      <c r="T1835" s="1">
        <v>-15.177478000000001</v>
      </c>
      <c r="U1835" s="1">
        <v>5.157</v>
      </c>
      <c r="V1835" s="1">
        <v>90</v>
      </c>
      <c r="W1835" s="1">
        <v>155</v>
      </c>
      <c r="X1835" s="1">
        <v>1.7222222222222223</v>
      </c>
      <c r="Y1835" s="1">
        <v>108</v>
      </c>
      <c r="Z1835" s="1">
        <v>155</v>
      </c>
      <c r="AA1835" s="1">
        <v>1.4351851851851851</v>
      </c>
      <c r="AB1835" s="1">
        <v>98.904005414581434</v>
      </c>
      <c r="AC1835" s="1">
        <v>154.04428677092619</v>
      </c>
      <c r="AD1835" s="1">
        <v>1.5575131272511176</v>
      </c>
      <c r="AE1835" t="s">
        <v>4817</v>
      </c>
      <c r="AF1835" t="str">
        <f>IF(X1835&lt;$AF$1,"Bajo","Alto")</f>
        <v>Bajo</v>
      </c>
      <c r="AG1835" t="str">
        <f>LEFT(AE1835,1)</f>
        <v>C</v>
      </c>
      <c r="AH1835" t="str">
        <f>K1835</f>
        <v>M</v>
      </c>
      <c r="AI1835" t="str">
        <f>LEFT(AF1835,1)</f>
        <v>B</v>
      </c>
      <c r="AJ1835" t="str">
        <f>LEFT(M1835,1)</f>
        <v>J</v>
      </c>
      <c r="AK1835" t="str">
        <f>_xlfn.CONCAT(AG1835,AH1835,AI1835,AJ1835)</f>
        <v>CMBJ</v>
      </c>
    </row>
    <row r="1836" spans="1:37" ht="15.75" hidden="1" customHeight="1" x14ac:dyDescent="0.2">
      <c r="A1836" s="1">
        <v>10733704</v>
      </c>
      <c r="B1836" s="1" t="s">
        <v>1067</v>
      </c>
      <c r="C1836" s="1" t="s">
        <v>1068</v>
      </c>
      <c r="D1836" s="1" t="s">
        <v>1427</v>
      </c>
      <c r="E1836" s="1" t="s">
        <v>1428</v>
      </c>
      <c r="F1836" s="1" t="s">
        <v>61</v>
      </c>
      <c r="G1836" s="1" t="s">
        <v>1430</v>
      </c>
      <c r="H1836" s="1">
        <v>697</v>
      </c>
      <c r="I1836" s="1" t="s">
        <v>134</v>
      </c>
      <c r="J1836" s="1">
        <v>8</v>
      </c>
      <c r="K1836" s="1" t="s">
        <v>49</v>
      </c>
      <c r="L1836" s="1">
        <v>49</v>
      </c>
      <c r="M1836" s="1" t="str">
        <f>IF(L1836&lt;=45,"Joven","Mayor")</f>
        <v>Mayor</v>
      </c>
      <c r="N1836" s="1">
        <v>52</v>
      </c>
      <c r="O1836" s="1" t="s">
        <v>50</v>
      </c>
      <c r="P1836" s="1">
        <v>0.30499999999999999</v>
      </c>
      <c r="Q1836" s="1">
        <v>65.588999999999999</v>
      </c>
      <c r="R1836" s="1">
        <v>13.517327</v>
      </c>
      <c r="S1836" s="1">
        <v>3.5430264</v>
      </c>
      <c r="T1836" s="1">
        <v>-17.843274999999998</v>
      </c>
      <c r="U1836" s="1">
        <v>37.975999999999999</v>
      </c>
      <c r="V1836" s="1">
        <v>74</v>
      </c>
      <c r="W1836" s="1">
        <v>135</v>
      </c>
      <c r="X1836" s="1">
        <v>1.8243243243243243</v>
      </c>
      <c r="Y1836" s="1">
        <v>89</v>
      </c>
      <c r="Z1836" s="1">
        <v>135</v>
      </c>
      <c r="AA1836" s="1">
        <v>1.5168539325842696</v>
      </c>
      <c r="AB1836" s="1">
        <v>84.841943759101241</v>
      </c>
      <c r="AC1836" s="1">
        <v>136.47303451704559</v>
      </c>
      <c r="AD1836" s="1">
        <v>1.6085561983886743</v>
      </c>
      <c r="AE1836" t="s">
        <v>4817</v>
      </c>
      <c r="AF1836" t="str">
        <f>IF(X1836&lt;$AF$1,"Bajo","Alto")</f>
        <v>Alto</v>
      </c>
      <c r="AG1836" t="str">
        <f>LEFT(AE1836,1)</f>
        <v>C</v>
      </c>
      <c r="AH1836" t="str">
        <f>K1836</f>
        <v>F</v>
      </c>
      <c r="AI1836" t="str">
        <f>LEFT(AF1836,1)</f>
        <v>A</v>
      </c>
      <c r="AJ1836" t="str">
        <f>LEFT(M1836,1)</f>
        <v>M</v>
      </c>
      <c r="AK1836" t="str">
        <f>_xlfn.CONCAT(AG1836,AH1836,AI1836,AJ1836)</f>
        <v>CFAM</v>
      </c>
    </row>
    <row r="1837" spans="1:37" ht="15.75" hidden="1" customHeight="1" x14ac:dyDescent="0.2">
      <c r="A1837" s="1">
        <v>1237504</v>
      </c>
      <c r="B1837" s="1" t="s">
        <v>1798</v>
      </c>
      <c r="C1837" s="1" t="s">
        <v>54</v>
      </c>
      <c r="D1837" s="1" t="s">
        <v>1832</v>
      </c>
      <c r="E1837" s="1" t="s">
        <v>1833</v>
      </c>
      <c r="F1837" s="1" t="s">
        <v>61</v>
      </c>
      <c r="G1837" s="1" t="s">
        <v>1835</v>
      </c>
      <c r="H1837" s="1">
        <v>1409</v>
      </c>
      <c r="I1837" s="1" t="s">
        <v>108</v>
      </c>
      <c r="J1837" s="1">
        <v>3</v>
      </c>
      <c r="K1837" s="1" t="s">
        <v>35</v>
      </c>
      <c r="L1837" s="1">
        <v>42</v>
      </c>
      <c r="M1837" s="1" t="str">
        <f>IF(L1837&lt;=45,"Joven","Mayor")</f>
        <v>Joven</v>
      </c>
      <c r="N1837" s="1">
        <v>55</v>
      </c>
      <c r="O1837" s="1" t="s">
        <v>36</v>
      </c>
      <c r="P1837" s="1">
        <v>0.35399999999999998</v>
      </c>
      <c r="Q1837" s="1">
        <v>93.245999999999995</v>
      </c>
      <c r="R1837" s="1">
        <v>-1.3657868</v>
      </c>
      <c r="S1837" s="1">
        <v>4.9708214000000002</v>
      </c>
      <c r="T1837" s="1">
        <v>-2.1263399999999999</v>
      </c>
      <c r="U1837" s="1">
        <v>1.2589999999999999</v>
      </c>
      <c r="V1837" s="1">
        <v>101</v>
      </c>
      <c r="W1837" s="1">
        <v>174</v>
      </c>
      <c r="X1837" s="1">
        <v>1.7227722772277227</v>
      </c>
      <c r="Y1837" s="1">
        <v>102</v>
      </c>
      <c r="Z1837" s="1">
        <v>174</v>
      </c>
      <c r="AA1837" s="1">
        <v>1.7058823529411764</v>
      </c>
      <c r="AB1837" s="1">
        <v>102.89692081369</v>
      </c>
      <c r="AC1837" s="1">
        <v>174.10280966251</v>
      </c>
      <c r="AD1837" s="1">
        <v>1.6920118530830357</v>
      </c>
      <c r="AE1837" t="s">
        <v>4817</v>
      </c>
      <c r="AF1837" t="str">
        <f>IF(X1837&lt;$AF$1,"Bajo","Alto")</f>
        <v>Bajo</v>
      </c>
      <c r="AG1837" t="str">
        <f>LEFT(AE1837,1)</f>
        <v>C</v>
      </c>
      <c r="AH1837" t="str">
        <f>K1837</f>
        <v>M</v>
      </c>
      <c r="AI1837" t="str">
        <f>LEFT(AF1837,1)</f>
        <v>B</v>
      </c>
      <c r="AJ1837" t="str">
        <f>LEFT(M1837,1)</f>
        <v>J</v>
      </c>
      <c r="AK1837" t="str">
        <f>_xlfn.CONCAT(AG1837,AH1837,AI1837,AJ1837)</f>
        <v>CMBJ</v>
      </c>
    </row>
    <row r="1838" spans="1:37" ht="15.75" hidden="1" customHeight="1" x14ac:dyDescent="0.2">
      <c r="A1838" s="1">
        <v>10115003</v>
      </c>
      <c r="B1838" s="1" t="s">
        <v>29</v>
      </c>
      <c r="C1838" s="1" t="s">
        <v>30</v>
      </c>
      <c r="D1838" s="1" t="s">
        <v>204</v>
      </c>
      <c r="E1838" s="1" t="s">
        <v>205</v>
      </c>
      <c r="F1838" s="1" t="s">
        <v>63</v>
      </c>
      <c r="G1838" s="1" t="s">
        <v>208</v>
      </c>
      <c r="H1838" s="1">
        <v>125</v>
      </c>
      <c r="I1838" s="1" t="s">
        <v>108</v>
      </c>
      <c r="J1838" s="1">
        <v>3</v>
      </c>
      <c r="K1838" s="1" t="s">
        <v>35</v>
      </c>
      <c r="L1838" s="1">
        <v>65</v>
      </c>
      <c r="M1838" s="1" t="str">
        <f>IF(L1838&lt;=45,"Joven","Mayor")</f>
        <v>Mayor</v>
      </c>
      <c r="N1838" s="1">
        <v>67</v>
      </c>
      <c r="O1838" s="1" t="s">
        <v>36</v>
      </c>
      <c r="P1838" s="1">
        <v>0.20100000000000001</v>
      </c>
      <c r="Q1838" s="1">
        <v>91.432000000000002</v>
      </c>
      <c r="R1838" s="1">
        <v>3.4881934999999999</v>
      </c>
      <c r="S1838" s="1">
        <v>5.7639885</v>
      </c>
      <c r="T1838" s="1">
        <v>-2.4835943999999999</v>
      </c>
      <c r="U1838" s="1">
        <v>5.1589999999999998</v>
      </c>
      <c r="V1838" s="1">
        <v>114</v>
      </c>
      <c r="W1838" s="1">
        <v>194</v>
      </c>
      <c r="X1838" s="1">
        <v>1.7017543859649122</v>
      </c>
      <c r="Y1838" s="1">
        <v>116</v>
      </c>
      <c r="Z1838" s="1">
        <v>194</v>
      </c>
      <c r="AA1838" s="1">
        <v>1.6724137931034482</v>
      </c>
      <c r="AB1838" s="1">
        <v>118.1877040457468</v>
      </c>
      <c r="AC1838" s="1">
        <v>193.86110335344759</v>
      </c>
      <c r="AD1838" s="1">
        <v>1.6402814905212979</v>
      </c>
      <c r="AE1838" t="s">
        <v>4817</v>
      </c>
      <c r="AF1838" t="str">
        <f>IF(X1838&lt;$AF$1,"Bajo","Alto")</f>
        <v>Bajo</v>
      </c>
      <c r="AG1838" t="str">
        <f>LEFT(AE1838,1)</f>
        <v>C</v>
      </c>
      <c r="AH1838" t="str">
        <f>K1838</f>
        <v>M</v>
      </c>
      <c r="AI1838" t="str">
        <f>LEFT(AF1838,1)</f>
        <v>B</v>
      </c>
      <c r="AJ1838" t="str">
        <f>LEFT(M1838,1)</f>
        <v>M</v>
      </c>
      <c r="AK1838" t="str">
        <f>_xlfn.CONCAT(AG1838,AH1838,AI1838,AJ1838)</f>
        <v>CMBM</v>
      </c>
    </row>
    <row r="1839" spans="1:37" ht="15.75" hidden="1" customHeight="1" x14ac:dyDescent="0.2">
      <c r="A1839" s="1">
        <v>296705</v>
      </c>
      <c r="B1839" s="1" t="s">
        <v>3890</v>
      </c>
      <c r="C1839" s="1" t="s">
        <v>1695</v>
      </c>
      <c r="D1839" s="1" t="s">
        <v>4049</v>
      </c>
      <c r="E1839" s="1" t="s">
        <v>715</v>
      </c>
      <c r="F1839" s="1" t="s">
        <v>40</v>
      </c>
      <c r="G1839" s="1" t="s">
        <v>4052</v>
      </c>
      <c r="H1839" s="1">
        <v>2694</v>
      </c>
      <c r="I1839" s="1" t="s">
        <v>134</v>
      </c>
      <c r="J1839" s="1">
        <v>8</v>
      </c>
      <c r="K1839" s="1" t="s">
        <v>49</v>
      </c>
      <c r="L1839" s="1">
        <v>53</v>
      </c>
      <c r="M1839" s="1" t="str">
        <f>IF(L1839&lt;=45,"Joven","Mayor")</f>
        <v>Mayor</v>
      </c>
      <c r="N1839" s="1">
        <v>31</v>
      </c>
      <c r="O1839" s="1" t="s">
        <v>50</v>
      </c>
      <c r="P1839" s="1">
        <v>0.36099999999999999</v>
      </c>
      <c r="Q1839" s="1">
        <v>90.561999999999998</v>
      </c>
      <c r="R1839" s="1">
        <v>-4.4624243000000003</v>
      </c>
      <c r="S1839" s="1">
        <v>-5.3451858000000003</v>
      </c>
      <c r="T1839" s="1">
        <v>5.2080126</v>
      </c>
      <c r="U1839" s="1">
        <v>22.812000000000001</v>
      </c>
      <c r="V1839" s="1">
        <v>85</v>
      </c>
      <c r="W1839" s="1">
        <v>155</v>
      </c>
      <c r="X1839" s="1">
        <v>1.8235294117647058</v>
      </c>
      <c r="Y1839" s="1">
        <v>98</v>
      </c>
      <c r="Z1839" s="1">
        <v>155</v>
      </c>
      <c r="AA1839" s="1">
        <v>1.5816326530612246</v>
      </c>
      <c r="AB1839" s="1">
        <v>93.329151046081961</v>
      </c>
      <c r="AC1839" s="1">
        <v>155.08629050901851</v>
      </c>
      <c r="AD1839" s="1">
        <v>1.661713288621296</v>
      </c>
      <c r="AE1839" t="s">
        <v>4817</v>
      </c>
      <c r="AF1839" t="str">
        <f>IF(X1839&lt;$AF$1,"Bajo","Alto")</f>
        <v>Alto</v>
      </c>
      <c r="AG1839" t="str">
        <f>LEFT(AE1839,1)</f>
        <v>C</v>
      </c>
      <c r="AH1839" t="str">
        <f>K1839</f>
        <v>F</v>
      </c>
      <c r="AI1839" t="str">
        <f>LEFT(AF1839,1)</f>
        <v>A</v>
      </c>
      <c r="AJ1839" t="str">
        <f>LEFT(M1839,1)</f>
        <v>M</v>
      </c>
      <c r="AK1839" t="str">
        <f>_xlfn.CONCAT(AG1839,AH1839,AI1839,AJ1839)</f>
        <v>CFAM</v>
      </c>
    </row>
    <row r="1840" spans="1:37" ht="15.75" hidden="1" customHeight="1" x14ac:dyDescent="0.2">
      <c r="A1840" s="1">
        <v>10734001</v>
      </c>
      <c r="B1840" s="1" t="s">
        <v>1067</v>
      </c>
      <c r="C1840" s="1" t="s">
        <v>1068</v>
      </c>
      <c r="D1840" s="1" t="s">
        <v>1432</v>
      </c>
      <c r="E1840" s="1" t="s">
        <v>1433</v>
      </c>
      <c r="F1840" s="1" t="s">
        <v>32</v>
      </c>
      <c r="G1840" s="1" t="s">
        <v>1434</v>
      </c>
      <c r="H1840" s="1">
        <v>807</v>
      </c>
      <c r="I1840" s="1" t="s">
        <v>48</v>
      </c>
      <c r="J1840" s="1">
        <v>4</v>
      </c>
      <c r="K1840" s="1" t="s">
        <v>35</v>
      </c>
      <c r="L1840" s="1">
        <v>27</v>
      </c>
      <c r="M1840" s="1" t="str">
        <f>IF(L1840&lt;=45,"Joven","Mayor")</f>
        <v>Joven</v>
      </c>
      <c r="N1840" s="1">
        <v>31</v>
      </c>
      <c r="O1840" s="1" t="s">
        <v>36</v>
      </c>
      <c r="P1840" s="1">
        <v>0.35499999999999998</v>
      </c>
      <c r="Q1840" s="1">
        <v>91.686999999999998</v>
      </c>
      <c r="R1840" s="1">
        <v>-1.9173765</v>
      </c>
      <c r="S1840" s="1">
        <v>8.1588919999999998</v>
      </c>
      <c r="T1840" s="1">
        <v>-0.90961769999999997</v>
      </c>
      <c r="U1840" s="1">
        <v>35.482999999999997</v>
      </c>
      <c r="V1840" s="1">
        <v>84</v>
      </c>
      <c r="W1840" s="1">
        <v>154</v>
      </c>
      <c r="X1840" s="1">
        <v>1.8333333333333333</v>
      </c>
      <c r="Y1840" s="1">
        <v>85</v>
      </c>
      <c r="Z1840" s="1">
        <v>154</v>
      </c>
      <c r="AA1840" s="1">
        <v>1.8117647058823529</v>
      </c>
      <c r="AB1840" s="1">
        <v>84.57679527328969</v>
      </c>
      <c r="AC1840" s="1">
        <v>153.96471803354191</v>
      </c>
      <c r="AD1840" s="1">
        <v>1.8204132414339151</v>
      </c>
      <c r="AE1840" t="s">
        <v>4817</v>
      </c>
      <c r="AF1840" t="str">
        <f>IF(X1840&lt;$AF$1,"Bajo","Alto")</f>
        <v>Alto</v>
      </c>
      <c r="AG1840" t="str">
        <f>LEFT(AE1840,1)</f>
        <v>C</v>
      </c>
      <c r="AH1840" t="str">
        <f>K1840</f>
        <v>M</v>
      </c>
      <c r="AI1840" t="str">
        <f>LEFT(AF1840,1)</f>
        <v>A</v>
      </c>
      <c r="AJ1840" t="str">
        <f>LEFT(M1840,1)</f>
        <v>J</v>
      </c>
      <c r="AK1840" t="str">
        <f>_xlfn.CONCAT(AG1840,AH1840,AI1840,AJ1840)</f>
        <v>CMAJ</v>
      </c>
    </row>
    <row r="1841" spans="1:37" ht="15.75" hidden="1" customHeight="1" x14ac:dyDescent="0.2">
      <c r="A1841" s="1">
        <v>480601</v>
      </c>
      <c r="B1841" s="1" t="s">
        <v>4465</v>
      </c>
      <c r="C1841" s="1" t="s">
        <v>2650</v>
      </c>
      <c r="D1841" s="1" t="s">
        <v>4482</v>
      </c>
      <c r="E1841" s="1" t="s">
        <v>88</v>
      </c>
      <c r="F1841" s="1" t="s">
        <v>32</v>
      </c>
      <c r="G1841" s="1" t="s">
        <v>4483</v>
      </c>
      <c r="H1841" s="1">
        <v>2705</v>
      </c>
      <c r="I1841" s="1" t="s">
        <v>65</v>
      </c>
      <c r="J1841" s="1">
        <v>2</v>
      </c>
      <c r="K1841" s="1" t="s">
        <v>35</v>
      </c>
      <c r="L1841" s="1">
        <v>41</v>
      </c>
      <c r="M1841" s="1" t="str">
        <f>IF(L1841&lt;=45,"Joven","Mayor")</f>
        <v>Joven</v>
      </c>
      <c r="N1841" s="1">
        <v>50</v>
      </c>
      <c r="O1841" s="1" t="s">
        <v>36</v>
      </c>
      <c r="P1841" s="1">
        <v>0.374</v>
      </c>
      <c r="Q1841" s="1">
        <v>93.022000000000006</v>
      </c>
      <c r="R1841" s="1">
        <v>3.1483338000000001</v>
      </c>
      <c r="S1841" s="1">
        <v>0.91968749999999999</v>
      </c>
      <c r="T1841" s="1">
        <v>-3.5605967000000001</v>
      </c>
      <c r="U1841" s="1">
        <v>13.516</v>
      </c>
      <c r="V1841" s="1">
        <v>101</v>
      </c>
      <c r="W1841" s="1">
        <v>174</v>
      </c>
      <c r="X1841" s="1">
        <v>1.7227722772277227</v>
      </c>
      <c r="Y1841" s="1">
        <v>107</v>
      </c>
      <c r="Z1841" s="1">
        <v>174</v>
      </c>
      <c r="AA1841" s="1">
        <v>1.6261682242990654</v>
      </c>
      <c r="AB1841" s="1">
        <v>104.2471852528397</v>
      </c>
      <c r="AC1841" s="1">
        <v>174.40937310388111</v>
      </c>
      <c r="AD1841" s="1">
        <v>1.6730367604733978</v>
      </c>
      <c r="AE1841" t="s">
        <v>4817</v>
      </c>
      <c r="AF1841" t="str">
        <f>IF(X1841&lt;$AF$1,"Bajo","Alto")</f>
        <v>Bajo</v>
      </c>
      <c r="AG1841" t="str">
        <f>LEFT(AE1841,1)</f>
        <v>C</v>
      </c>
      <c r="AH1841" t="str">
        <f>K1841</f>
        <v>M</v>
      </c>
      <c r="AI1841" t="str">
        <f>LEFT(AF1841,1)</f>
        <v>B</v>
      </c>
      <c r="AJ1841" t="str">
        <f>LEFT(M1841,1)</f>
        <v>J</v>
      </c>
      <c r="AK1841" t="str">
        <f>_xlfn.CONCAT(AG1841,AH1841,AI1841,AJ1841)</f>
        <v>CMBJ</v>
      </c>
    </row>
    <row r="1842" spans="1:37" ht="15.75" hidden="1" customHeight="1" x14ac:dyDescent="0.2">
      <c r="A1842" s="1">
        <v>1076704</v>
      </c>
      <c r="B1842" s="1" t="s">
        <v>1067</v>
      </c>
      <c r="C1842" s="1" t="s">
        <v>1068</v>
      </c>
      <c r="D1842" s="1" t="s">
        <v>1467</v>
      </c>
      <c r="E1842" s="1" t="s">
        <v>715</v>
      </c>
      <c r="F1842" s="1" t="s">
        <v>61</v>
      </c>
      <c r="G1842" s="1" t="s">
        <v>1471</v>
      </c>
      <c r="H1842" s="1">
        <v>48</v>
      </c>
      <c r="I1842" s="1" t="s">
        <v>45</v>
      </c>
      <c r="J1842" s="1">
        <v>17</v>
      </c>
      <c r="K1842" s="1" t="s">
        <v>35</v>
      </c>
      <c r="L1842" s="1">
        <v>39</v>
      </c>
      <c r="M1842" s="1" t="str">
        <f>IF(L1842&lt;=45,"Joven","Mayor")</f>
        <v>Joven</v>
      </c>
      <c r="N1842" s="1">
        <v>33</v>
      </c>
      <c r="O1842" s="1" t="s">
        <v>36</v>
      </c>
      <c r="P1842" s="1">
        <v>0.36099999999999999</v>
      </c>
      <c r="Q1842" s="1">
        <v>94.245999999999995</v>
      </c>
      <c r="R1842" s="1">
        <v>-0.41028005000000001</v>
      </c>
      <c r="S1842" s="1">
        <v>2.9859619999999998</v>
      </c>
      <c r="T1842" s="1">
        <v>-5.6754600000000004E-4</v>
      </c>
      <c r="U1842" s="1">
        <v>53.972999999999999</v>
      </c>
      <c r="V1842" s="1">
        <v>66</v>
      </c>
      <c r="W1842" s="1">
        <v>121</v>
      </c>
      <c r="X1842" s="1">
        <v>1.8333333333333333</v>
      </c>
      <c r="Y1842" s="1">
        <v>67</v>
      </c>
      <c r="Z1842" s="1">
        <v>121</v>
      </c>
      <c r="AA1842" s="1">
        <v>1.8059701492537314</v>
      </c>
      <c r="AB1842" s="1">
        <v>67.000307068650045</v>
      </c>
      <c r="AC1842" s="1">
        <v>120.99999008851729</v>
      </c>
      <c r="AD1842" s="1">
        <v>1.8059617243923665</v>
      </c>
      <c r="AE1842" t="s">
        <v>4817</v>
      </c>
      <c r="AF1842" t="str">
        <f>IF(X1842&lt;$AF$1,"Bajo","Alto")</f>
        <v>Alto</v>
      </c>
      <c r="AG1842" t="str">
        <f>LEFT(AE1842,1)</f>
        <v>C</v>
      </c>
      <c r="AH1842" t="str">
        <f>K1842</f>
        <v>M</v>
      </c>
      <c r="AI1842" t="str">
        <f>LEFT(AF1842,1)</f>
        <v>A</v>
      </c>
      <c r="AJ1842" t="str">
        <f>LEFT(M1842,1)</f>
        <v>J</v>
      </c>
      <c r="AK1842" t="str">
        <f>_xlfn.CONCAT(AG1842,AH1842,AI1842,AJ1842)</f>
        <v>CMAJ</v>
      </c>
    </row>
    <row r="1843" spans="1:37" ht="15.75" hidden="1" customHeight="1" x14ac:dyDescent="0.2">
      <c r="A1843" s="1">
        <v>156702</v>
      </c>
      <c r="B1843" s="1" t="s">
        <v>2077</v>
      </c>
      <c r="C1843" s="1" t="s">
        <v>57</v>
      </c>
      <c r="D1843" s="1" t="s">
        <v>2502</v>
      </c>
      <c r="E1843" s="1" t="s">
        <v>715</v>
      </c>
      <c r="F1843" s="1" t="s">
        <v>37</v>
      </c>
      <c r="G1843" s="1" t="s">
        <v>2504</v>
      </c>
      <c r="H1843" s="1">
        <v>389</v>
      </c>
      <c r="I1843" s="1" t="s">
        <v>34</v>
      </c>
      <c r="J1843" s="1">
        <v>10</v>
      </c>
      <c r="K1843" s="1" t="s">
        <v>35</v>
      </c>
      <c r="L1843" s="1">
        <v>36</v>
      </c>
      <c r="M1843" s="1" t="str">
        <f>IF(L1843&lt;=45,"Joven","Mayor")</f>
        <v>Joven</v>
      </c>
      <c r="N1843" s="1">
        <v>33</v>
      </c>
      <c r="O1843" s="1" t="s">
        <v>36</v>
      </c>
      <c r="P1843" s="1">
        <v>0.32</v>
      </c>
      <c r="Q1843" s="1">
        <v>93.906000000000006</v>
      </c>
      <c r="R1843" s="1">
        <v>2.0530140000000001</v>
      </c>
      <c r="S1843" s="1">
        <v>-0.15081741000000001</v>
      </c>
      <c r="T1843" s="1">
        <v>-1.2960566</v>
      </c>
      <c r="U1843" s="1">
        <v>24.506</v>
      </c>
      <c r="V1843" s="1">
        <v>101</v>
      </c>
      <c r="W1843" s="1">
        <v>184</v>
      </c>
      <c r="X1843" s="1">
        <v>1.8217821782178218</v>
      </c>
      <c r="Y1843" s="1">
        <v>107</v>
      </c>
      <c r="Z1843" s="1">
        <v>184</v>
      </c>
      <c r="AA1843" s="1">
        <v>1.719626168224299</v>
      </c>
      <c r="AB1843" s="1">
        <v>105.86431825059501</v>
      </c>
      <c r="AC1843" s="1">
        <v>183.97554551477651</v>
      </c>
      <c r="AD1843" s="1">
        <v>1.7378428214054313</v>
      </c>
      <c r="AE1843" t="s">
        <v>4815</v>
      </c>
      <c r="AF1843" t="str">
        <f>IF(X1843&lt;$AF$1,"Bajo","Alto")</f>
        <v>Alto</v>
      </c>
      <c r="AG1843" t="str">
        <f>LEFT(AE1843,1)</f>
        <v>I</v>
      </c>
      <c r="AH1843" t="str">
        <f>K1843</f>
        <v>M</v>
      </c>
      <c r="AI1843" t="str">
        <f>LEFT(AF1843,1)</f>
        <v>A</v>
      </c>
      <c r="AJ1843" t="str">
        <f>LEFT(M1843,1)</f>
        <v>J</v>
      </c>
      <c r="AK1843" t="str">
        <f>_xlfn.CONCAT(AG1843,AH1843,AI1843,AJ1843)</f>
        <v>IMAJ</v>
      </c>
    </row>
    <row r="1844" spans="1:37" ht="15.75" hidden="1" customHeight="1" x14ac:dyDescent="0.2">
      <c r="A1844" s="1">
        <v>10913303</v>
      </c>
      <c r="B1844" s="1" t="s">
        <v>719</v>
      </c>
      <c r="C1844" s="1" t="s">
        <v>98</v>
      </c>
      <c r="D1844" s="1" t="s">
        <v>1590</v>
      </c>
      <c r="E1844" s="1" t="s">
        <v>169</v>
      </c>
      <c r="F1844" s="1" t="s">
        <v>63</v>
      </c>
      <c r="G1844" s="1" t="s">
        <v>1592</v>
      </c>
      <c r="H1844" s="1">
        <v>2116</v>
      </c>
      <c r="I1844" s="1" t="s">
        <v>91</v>
      </c>
      <c r="J1844" s="1">
        <v>6</v>
      </c>
      <c r="K1844" s="1" t="s">
        <v>35</v>
      </c>
      <c r="L1844" s="1">
        <v>39</v>
      </c>
      <c r="M1844" s="1" t="str">
        <f>IF(L1844&lt;=45,"Joven","Mayor")</f>
        <v>Joven</v>
      </c>
      <c r="N1844" s="1">
        <v>50</v>
      </c>
      <c r="O1844" s="1" t="s">
        <v>36</v>
      </c>
      <c r="P1844" s="1">
        <v>1.1080000000000001</v>
      </c>
      <c r="Q1844" s="1">
        <v>92.64</v>
      </c>
      <c r="R1844" s="1">
        <v>3.0881154999999998</v>
      </c>
      <c r="S1844" s="1">
        <v>1.9816487</v>
      </c>
      <c r="T1844" s="1">
        <v>-4.1372410000000004</v>
      </c>
      <c r="U1844" s="1">
        <v>1.7370000000000001</v>
      </c>
      <c r="V1844" s="1">
        <v>94</v>
      </c>
      <c r="W1844" s="1">
        <v>162</v>
      </c>
      <c r="X1844" s="1">
        <v>1.7234042553191489</v>
      </c>
      <c r="Y1844" s="1">
        <v>103</v>
      </c>
      <c r="Z1844" s="1">
        <v>162</v>
      </c>
      <c r="AA1844" s="1">
        <v>1.5728155339805825</v>
      </c>
      <c r="AB1844" s="1">
        <v>100.1343455708729</v>
      </c>
      <c r="AC1844" s="1">
        <v>162.15501022641411</v>
      </c>
      <c r="AD1844" s="1">
        <v>1.6193745442880469</v>
      </c>
      <c r="AE1844" t="s">
        <v>4817</v>
      </c>
      <c r="AF1844" t="str">
        <f>IF(X1844&lt;$AF$1,"Bajo","Alto")</f>
        <v>Bajo</v>
      </c>
      <c r="AG1844" t="str">
        <f>LEFT(AE1844,1)</f>
        <v>C</v>
      </c>
      <c r="AH1844" t="str">
        <f>K1844</f>
        <v>M</v>
      </c>
      <c r="AI1844" t="str">
        <f>LEFT(AF1844,1)</f>
        <v>B</v>
      </c>
      <c r="AJ1844" t="str">
        <f>LEFT(M1844,1)</f>
        <v>J</v>
      </c>
      <c r="AK1844" t="str">
        <f>_xlfn.CONCAT(AG1844,AH1844,AI1844,AJ1844)</f>
        <v>CMBJ</v>
      </c>
    </row>
    <row r="1845" spans="1:37" ht="15.75" hidden="1" customHeight="1" x14ac:dyDescent="0.2">
      <c r="A1845" s="1">
        <v>312501</v>
      </c>
      <c r="B1845" s="1" t="s">
        <v>4122</v>
      </c>
      <c r="C1845" s="1" t="s">
        <v>628</v>
      </c>
      <c r="D1845" s="1" t="s">
        <v>4191</v>
      </c>
      <c r="E1845" s="1" t="s">
        <v>821</v>
      </c>
      <c r="F1845" s="1" t="s">
        <v>32</v>
      </c>
      <c r="G1845" s="1" t="s">
        <v>4192</v>
      </c>
      <c r="H1845" s="1">
        <v>6649</v>
      </c>
      <c r="I1845" s="1" t="s">
        <v>100</v>
      </c>
      <c r="J1845" s="1">
        <v>1</v>
      </c>
      <c r="K1845" s="1" t="s">
        <v>35</v>
      </c>
      <c r="L1845" s="1">
        <v>44</v>
      </c>
      <c r="M1845" s="1" t="str">
        <f>IF(L1845&lt;=45,"Joven","Mayor")</f>
        <v>Joven</v>
      </c>
      <c r="N1845" s="1">
        <v>50</v>
      </c>
      <c r="O1845" s="1" t="s">
        <v>36</v>
      </c>
      <c r="P1845" s="1">
        <v>0.42</v>
      </c>
      <c r="Q1845" s="1">
        <v>90.774000000000001</v>
      </c>
      <c r="R1845" s="1">
        <v>-5.5378439999999998</v>
      </c>
      <c r="S1845" s="1">
        <v>0.69649320000000003</v>
      </c>
      <c r="T1845" s="1">
        <v>6.6088966999999998</v>
      </c>
      <c r="U1845" s="1">
        <v>1.5980000000000001</v>
      </c>
      <c r="V1845" s="1">
        <v>90</v>
      </c>
      <c r="W1845" s="1">
        <v>165</v>
      </c>
      <c r="X1845" s="1">
        <v>1.8333333333333333</v>
      </c>
      <c r="Y1845" s="1">
        <v>100</v>
      </c>
      <c r="Z1845" s="1">
        <v>165</v>
      </c>
      <c r="AA1845" s="1">
        <v>1.65</v>
      </c>
      <c r="AB1845" s="1">
        <v>94.616743389141675</v>
      </c>
      <c r="AC1845" s="1">
        <v>164.5941079633881</v>
      </c>
      <c r="AD1845" s="1">
        <v>1.7395875409328145</v>
      </c>
      <c r="AE1845" t="s">
        <v>4817</v>
      </c>
      <c r="AF1845" t="str">
        <f>IF(X1845&lt;$AF$1,"Bajo","Alto")</f>
        <v>Alto</v>
      </c>
      <c r="AG1845" t="str">
        <f>LEFT(AE1845,1)</f>
        <v>C</v>
      </c>
      <c r="AH1845" t="str">
        <f>K1845</f>
        <v>M</v>
      </c>
      <c r="AI1845" t="str">
        <f>LEFT(AF1845,1)</f>
        <v>A</v>
      </c>
      <c r="AJ1845" t="str">
        <f>LEFT(M1845,1)</f>
        <v>J</v>
      </c>
      <c r="AK1845" t="str">
        <f>_xlfn.CONCAT(AG1845,AH1845,AI1845,AJ1845)</f>
        <v>CMAJ</v>
      </c>
    </row>
    <row r="1846" spans="1:37" ht="15.75" hidden="1" customHeight="1" x14ac:dyDescent="0.2">
      <c r="A1846" s="1">
        <v>132203</v>
      </c>
      <c r="B1846" s="1" t="s">
        <v>956</v>
      </c>
      <c r="C1846" s="1" t="s">
        <v>163</v>
      </c>
      <c r="D1846" s="1" t="s">
        <v>1985</v>
      </c>
      <c r="E1846" s="1" t="s">
        <v>418</v>
      </c>
      <c r="F1846" s="1" t="s">
        <v>63</v>
      </c>
      <c r="G1846" s="1" t="s">
        <v>1986</v>
      </c>
      <c r="H1846" s="1">
        <v>994</v>
      </c>
      <c r="I1846" s="1" t="s">
        <v>87</v>
      </c>
      <c r="J1846" s="1">
        <v>14</v>
      </c>
      <c r="K1846" s="1" t="s">
        <v>35</v>
      </c>
      <c r="L1846" s="1">
        <v>46</v>
      </c>
      <c r="M1846" s="1" t="str">
        <f>IF(L1846&lt;=45,"Joven","Mayor")</f>
        <v>Mayor</v>
      </c>
      <c r="N1846" s="1">
        <v>48</v>
      </c>
      <c r="O1846" s="1" t="s">
        <v>36</v>
      </c>
      <c r="P1846" s="1">
        <v>0.36099999999999999</v>
      </c>
      <c r="Q1846" s="1">
        <v>93.347999999999999</v>
      </c>
      <c r="R1846" s="1">
        <v>2.1258843000000001</v>
      </c>
      <c r="S1846" s="1">
        <v>2.7517211000000001</v>
      </c>
      <c r="T1846" s="1">
        <v>-3.5175455000000002</v>
      </c>
      <c r="U1846" s="1">
        <v>10.194000000000001</v>
      </c>
      <c r="V1846" s="1">
        <v>64</v>
      </c>
      <c r="W1846" s="1">
        <v>116</v>
      </c>
      <c r="X1846" s="1">
        <v>1.8125</v>
      </c>
      <c r="Y1846" s="1">
        <v>64</v>
      </c>
      <c r="Z1846" s="1">
        <v>116</v>
      </c>
      <c r="AA1846" s="1">
        <v>1.8125</v>
      </c>
      <c r="AB1846" s="1">
        <v>65.842761794893249</v>
      </c>
      <c r="AC1846" s="1">
        <v>115.7814626035001</v>
      </c>
      <c r="AD1846" s="1">
        <v>1.7584539203287199</v>
      </c>
      <c r="AE1846" t="s">
        <v>4816</v>
      </c>
      <c r="AF1846" t="str">
        <f>IF(X1846&lt;$AF$1,"Bajo","Alto")</f>
        <v>Alto</v>
      </c>
      <c r="AG1846" t="str">
        <f>LEFT(AE1846,1)</f>
        <v>D</v>
      </c>
      <c r="AH1846" t="str">
        <f>K1846</f>
        <v>M</v>
      </c>
      <c r="AI1846" t="str">
        <f>LEFT(AF1846,1)</f>
        <v>A</v>
      </c>
      <c r="AJ1846" t="str">
        <f>LEFT(M1846,1)</f>
        <v>M</v>
      </c>
      <c r="AK1846" t="str">
        <f>_xlfn.CONCAT(AG1846,AH1846,AI1846,AJ1846)</f>
        <v>DMAM</v>
      </c>
    </row>
    <row r="1847" spans="1:37" ht="15.75" hidden="1" customHeight="1" x14ac:dyDescent="0.2">
      <c r="A1847" s="1">
        <v>172801</v>
      </c>
      <c r="B1847" s="1" t="s">
        <v>2551</v>
      </c>
      <c r="C1847" s="1" t="s">
        <v>2552</v>
      </c>
      <c r="D1847" s="1" t="s">
        <v>2615</v>
      </c>
      <c r="E1847" s="1" t="s">
        <v>561</v>
      </c>
      <c r="F1847" s="1" t="s">
        <v>32</v>
      </c>
      <c r="G1847" s="1" t="s">
        <v>2616</v>
      </c>
      <c r="H1847" s="1">
        <v>1584</v>
      </c>
      <c r="I1847" s="1" t="s">
        <v>100</v>
      </c>
      <c r="J1847" s="1">
        <v>1</v>
      </c>
      <c r="K1847" s="1" t="s">
        <v>35</v>
      </c>
      <c r="L1847" s="1">
        <v>71</v>
      </c>
      <c r="M1847" s="1" t="str">
        <f>IF(L1847&lt;=45,"Joven","Mayor")</f>
        <v>Mayor</v>
      </c>
      <c r="N1847" s="1">
        <v>58</v>
      </c>
      <c r="O1847" s="1" t="s">
        <v>36</v>
      </c>
      <c r="P1847" s="1">
        <v>0.38100000000000001</v>
      </c>
      <c r="Q1847" s="1">
        <v>89.242999999999995</v>
      </c>
      <c r="R1847" s="1">
        <v>-6.4707699999999999</v>
      </c>
      <c r="S1847" s="1">
        <v>-1.8122351999999999</v>
      </c>
      <c r="T1847" s="1">
        <v>8.2760649999999991</v>
      </c>
      <c r="U1847" s="1">
        <v>0.98399999999999999</v>
      </c>
      <c r="V1847" s="1">
        <v>94</v>
      </c>
      <c r="W1847" s="1">
        <v>160</v>
      </c>
      <c r="X1847" s="1">
        <v>1.7021276595744681</v>
      </c>
      <c r="Y1847" s="1">
        <v>101</v>
      </c>
      <c r="Z1847" s="1">
        <v>160</v>
      </c>
      <c r="AA1847" s="1">
        <v>1.5841584158415842</v>
      </c>
      <c r="AB1847" s="1">
        <v>99.786397145895535</v>
      </c>
      <c r="AC1847" s="1">
        <v>160.49290336996731</v>
      </c>
      <c r="AD1847" s="1">
        <v>1.6083645462749205</v>
      </c>
      <c r="AE1847" t="s">
        <v>4817</v>
      </c>
      <c r="AF1847" t="str">
        <f>IF(X1847&lt;$AF$1,"Bajo","Alto")</f>
        <v>Bajo</v>
      </c>
      <c r="AG1847" t="str">
        <f>LEFT(AE1847,1)</f>
        <v>C</v>
      </c>
      <c r="AH1847" t="str">
        <f>K1847</f>
        <v>M</v>
      </c>
      <c r="AI1847" t="str">
        <f>LEFT(AF1847,1)</f>
        <v>B</v>
      </c>
      <c r="AJ1847" t="str">
        <f>LEFT(M1847,1)</f>
        <v>M</v>
      </c>
      <c r="AK1847" t="str">
        <f>_xlfn.CONCAT(AG1847,AH1847,AI1847,AJ1847)</f>
        <v>CMBM</v>
      </c>
    </row>
    <row r="1848" spans="1:37" ht="15.75" hidden="1" customHeight="1" x14ac:dyDescent="0.2">
      <c r="A1848" s="1">
        <v>10732501</v>
      </c>
      <c r="B1848" s="1" t="s">
        <v>1067</v>
      </c>
      <c r="C1848" s="1" t="s">
        <v>1068</v>
      </c>
      <c r="D1848" s="1" t="s">
        <v>1411</v>
      </c>
      <c r="E1848" s="1" t="s">
        <v>1412</v>
      </c>
      <c r="F1848" s="1" t="s">
        <v>32</v>
      </c>
      <c r="G1848" s="1" t="s">
        <v>1413</v>
      </c>
      <c r="H1848" s="1">
        <v>2817</v>
      </c>
      <c r="I1848" s="1" t="s">
        <v>100</v>
      </c>
      <c r="J1848" s="1">
        <v>1</v>
      </c>
      <c r="K1848" s="1" t="s">
        <v>35</v>
      </c>
      <c r="L1848" s="1">
        <v>60</v>
      </c>
      <c r="M1848" s="1" t="str">
        <f>IF(L1848&lt;=45,"Joven","Mayor")</f>
        <v>Mayor</v>
      </c>
      <c r="N1848" s="1">
        <v>58</v>
      </c>
      <c r="O1848" s="1" t="s">
        <v>36</v>
      </c>
      <c r="P1848" s="1">
        <v>0.34200000000000003</v>
      </c>
      <c r="Q1848" s="1">
        <v>71.251000000000005</v>
      </c>
      <c r="R1848" s="1">
        <v>-11.925316</v>
      </c>
      <c r="S1848" s="1">
        <v>6.5085150000000001</v>
      </c>
      <c r="T1848" s="1">
        <v>10.152354000000001</v>
      </c>
      <c r="U1848" s="1">
        <v>3.629</v>
      </c>
      <c r="V1848" s="1">
        <v>91</v>
      </c>
      <c r="W1848" s="1">
        <v>155</v>
      </c>
      <c r="X1848" s="1">
        <v>1.7032967032967032</v>
      </c>
      <c r="Y1848" s="1">
        <v>95</v>
      </c>
      <c r="Z1848" s="1">
        <v>155</v>
      </c>
      <c r="AA1848" s="1">
        <v>1.631578947368421</v>
      </c>
      <c r="AB1848" s="1">
        <v>98.741014616785378</v>
      </c>
      <c r="AC1848" s="1">
        <v>155.56961791241841</v>
      </c>
      <c r="AD1848" s="1">
        <v>1.5755318953950925</v>
      </c>
      <c r="AE1848" t="s">
        <v>4817</v>
      </c>
      <c r="AF1848" t="str">
        <f>IF(X1848&lt;$AF$1,"Bajo","Alto")</f>
        <v>Bajo</v>
      </c>
      <c r="AG1848" t="str">
        <f>LEFT(AE1848,1)</f>
        <v>C</v>
      </c>
      <c r="AH1848" t="str">
        <f>K1848</f>
        <v>M</v>
      </c>
      <c r="AI1848" t="str">
        <f>LEFT(AF1848,1)</f>
        <v>B</v>
      </c>
      <c r="AJ1848" t="str">
        <f>LEFT(M1848,1)</f>
        <v>M</v>
      </c>
      <c r="AK1848" t="str">
        <f>_xlfn.CONCAT(AG1848,AH1848,AI1848,AJ1848)</f>
        <v>CMBM</v>
      </c>
    </row>
    <row r="1849" spans="1:37" ht="15.75" customHeight="1" x14ac:dyDescent="0.2">
      <c r="A1849" s="1">
        <v>255802</v>
      </c>
      <c r="B1849" s="1" t="s">
        <v>3169</v>
      </c>
      <c r="C1849" s="1" t="s">
        <v>821</v>
      </c>
      <c r="D1849" s="1" t="s">
        <v>3281</v>
      </c>
      <c r="E1849" s="1" t="s">
        <v>695</v>
      </c>
      <c r="F1849" s="1" t="s">
        <v>37</v>
      </c>
      <c r="G1849" s="1" t="s">
        <v>3282</v>
      </c>
      <c r="H1849" s="1">
        <v>894</v>
      </c>
      <c r="I1849" s="1" t="s">
        <v>65</v>
      </c>
      <c r="J1849" s="1">
        <v>2</v>
      </c>
      <c r="K1849" s="1" t="s">
        <v>35</v>
      </c>
      <c r="L1849" s="1">
        <v>51</v>
      </c>
      <c r="M1849" s="1" t="str">
        <f>IF(L1849&lt;=45,"Joven","Mayor")</f>
        <v>Mayor</v>
      </c>
      <c r="N1849" s="1">
        <v>51</v>
      </c>
      <c r="O1849" s="1" t="s">
        <v>36</v>
      </c>
      <c r="P1849" s="1">
        <v>0.376</v>
      </c>
      <c r="Q1849" s="1">
        <v>90.168999999999997</v>
      </c>
      <c r="R1849" s="1">
        <v>4.0636476999999998</v>
      </c>
      <c r="S1849" s="1">
        <v>7.2068019999999997</v>
      </c>
      <c r="T1849" s="1">
        <v>-1.6174024</v>
      </c>
      <c r="U1849" s="1">
        <v>69.16</v>
      </c>
      <c r="V1849" s="1">
        <v>80</v>
      </c>
      <c r="W1849" s="1">
        <v>141</v>
      </c>
      <c r="X1849" s="1">
        <v>1.7625</v>
      </c>
      <c r="Y1849" s="1">
        <v>81</v>
      </c>
      <c r="Z1849" s="1">
        <v>141</v>
      </c>
      <c r="AA1849" s="1">
        <v>1.7407407407407407</v>
      </c>
      <c r="AB1849" s="1">
        <v>82.124963829389117</v>
      </c>
      <c r="AC1849" s="1">
        <v>140.94382395261121</v>
      </c>
      <c r="AD1849" s="1">
        <v>1.7162117020278462</v>
      </c>
      <c r="AE1849" t="s">
        <v>4818</v>
      </c>
      <c r="AF1849" t="str">
        <f>IF(X1849&lt;$AF$1,"Bajo","Alto")</f>
        <v>Bajo</v>
      </c>
      <c r="AG1849" t="str">
        <f>LEFT(AE1849,1)</f>
        <v>S</v>
      </c>
      <c r="AH1849" t="str">
        <f>K1849</f>
        <v>M</v>
      </c>
      <c r="AI1849" t="str">
        <f>LEFT(AF1849,1)</f>
        <v>B</v>
      </c>
      <c r="AJ1849" t="str">
        <f>LEFT(M1849,1)</f>
        <v>M</v>
      </c>
      <c r="AK1849" t="str">
        <f>_xlfn.CONCAT(AG1849,AH1849,AI1849,AJ1849)</f>
        <v>SMBM</v>
      </c>
    </row>
    <row r="1850" spans="1:37" ht="15.75" hidden="1" customHeight="1" x14ac:dyDescent="0.2">
      <c r="A1850" s="1">
        <v>4664002</v>
      </c>
      <c r="B1850" s="1" t="s">
        <v>4382</v>
      </c>
      <c r="C1850" s="1" t="s">
        <v>669</v>
      </c>
      <c r="D1850" s="1" t="s">
        <v>4423</v>
      </c>
      <c r="E1850" s="1" t="s">
        <v>4424</v>
      </c>
      <c r="F1850" s="1" t="s">
        <v>37</v>
      </c>
      <c r="G1850" s="1" t="s">
        <v>4425</v>
      </c>
      <c r="H1850" s="1">
        <v>3856</v>
      </c>
      <c r="I1850" s="1" t="s">
        <v>108</v>
      </c>
      <c r="J1850" s="1">
        <v>3</v>
      </c>
      <c r="K1850" s="1" t="s">
        <v>35</v>
      </c>
      <c r="L1850" s="1">
        <v>50</v>
      </c>
      <c r="M1850" s="1" t="str">
        <f>IF(L1850&lt;=45,"Joven","Mayor")</f>
        <v>Mayor</v>
      </c>
      <c r="N1850" s="1">
        <v>53</v>
      </c>
      <c r="O1850" s="1" t="s">
        <v>36</v>
      </c>
      <c r="P1850" s="1">
        <v>5.0999999999999997E-2</v>
      </c>
      <c r="Q1850" s="1">
        <v>28.898</v>
      </c>
      <c r="R1850" s="1">
        <v>18.352356</v>
      </c>
      <c r="S1850" s="1">
        <v>-6.0602483999999999</v>
      </c>
      <c r="T1850" s="1">
        <v>-7.8957256999999998</v>
      </c>
      <c r="U1850" s="1">
        <v>1.3</v>
      </c>
      <c r="V1850" s="1">
        <v>91</v>
      </c>
      <c r="W1850" s="1">
        <v>155</v>
      </c>
      <c r="X1850" s="1">
        <v>1.7032967032967032</v>
      </c>
      <c r="Y1850" s="1">
        <v>95</v>
      </c>
      <c r="Z1850" s="1">
        <v>155</v>
      </c>
      <c r="AA1850" s="1">
        <v>1.631578947368421</v>
      </c>
      <c r="AB1850" s="1">
        <v>94.533154865005372</v>
      </c>
      <c r="AC1850" s="1">
        <v>153.80529696505849</v>
      </c>
      <c r="AD1850" s="1">
        <v>1.6269984555650823</v>
      </c>
      <c r="AE1850" t="s">
        <v>4817</v>
      </c>
      <c r="AF1850" t="str">
        <f>IF(X1850&lt;$AF$1,"Bajo","Alto")</f>
        <v>Bajo</v>
      </c>
      <c r="AG1850" t="str">
        <f>LEFT(AE1850,1)</f>
        <v>C</v>
      </c>
      <c r="AH1850" t="str">
        <f>K1850</f>
        <v>M</v>
      </c>
      <c r="AI1850" t="str">
        <f>LEFT(AF1850,1)</f>
        <v>B</v>
      </c>
      <c r="AJ1850" t="str">
        <f>LEFT(M1850,1)</f>
        <v>M</v>
      </c>
      <c r="AK1850" t="str">
        <f>_xlfn.CONCAT(AG1850,AH1850,AI1850,AJ1850)</f>
        <v>CMBM</v>
      </c>
    </row>
    <row r="1851" spans="1:37" ht="15.75" hidden="1" customHeight="1" x14ac:dyDescent="0.2">
      <c r="A1851" s="1">
        <v>500101</v>
      </c>
      <c r="B1851" s="1" t="s">
        <v>4525</v>
      </c>
      <c r="C1851" s="1" t="s">
        <v>1001</v>
      </c>
      <c r="D1851" s="1" t="s">
        <v>4526</v>
      </c>
      <c r="E1851" s="1" t="s">
        <v>32</v>
      </c>
      <c r="F1851" s="1" t="s">
        <v>32</v>
      </c>
      <c r="G1851" s="1" t="s">
        <v>4527</v>
      </c>
      <c r="H1851" s="1">
        <v>423</v>
      </c>
      <c r="I1851" s="1" t="s">
        <v>85</v>
      </c>
      <c r="J1851" s="1">
        <v>12</v>
      </c>
      <c r="K1851" s="1" t="s">
        <v>35</v>
      </c>
      <c r="L1851" s="1">
        <v>59</v>
      </c>
      <c r="M1851" s="1" t="str">
        <f>IF(L1851&lt;=45,"Joven","Mayor")</f>
        <v>Mayor</v>
      </c>
      <c r="N1851" s="1">
        <v>78</v>
      </c>
      <c r="O1851" s="1" t="s">
        <v>36</v>
      </c>
      <c r="P1851" s="1">
        <v>0.04</v>
      </c>
      <c r="Q1851" s="1">
        <v>93.754999999999995</v>
      </c>
      <c r="R1851" s="1">
        <v>1.2133847</v>
      </c>
      <c r="S1851" s="1">
        <v>-3.6845370000000002</v>
      </c>
      <c r="T1851" s="1">
        <v>-1.3470793000000001</v>
      </c>
      <c r="U1851" s="1">
        <v>2.8479999999999999</v>
      </c>
      <c r="V1851" s="1">
        <v>115</v>
      </c>
      <c r="W1851" s="1">
        <v>209</v>
      </c>
      <c r="X1851" s="1">
        <v>1.817391304347826</v>
      </c>
      <c r="Y1851" s="1">
        <v>116</v>
      </c>
      <c r="Z1851" s="1">
        <v>209</v>
      </c>
      <c r="AA1851" s="1">
        <v>1.8017241379310345</v>
      </c>
      <c r="AB1851" s="1">
        <v>116.2847104130058</v>
      </c>
      <c r="AC1851" s="1">
        <v>208.96574745173891</v>
      </c>
      <c r="AD1851" s="1">
        <v>1.7970182555347125</v>
      </c>
      <c r="AE1851" t="s">
        <v>4815</v>
      </c>
      <c r="AF1851" t="str">
        <f>IF(X1851&lt;$AF$1,"Bajo","Alto")</f>
        <v>Alto</v>
      </c>
      <c r="AG1851" t="str">
        <f>LEFT(AE1851,1)</f>
        <v>I</v>
      </c>
      <c r="AH1851" t="str">
        <f>K1851</f>
        <v>M</v>
      </c>
      <c r="AI1851" t="str">
        <f>LEFT(AF1851,1)</f>
        <v>A</v>
      </c>
      <c r="AJ1851" t="str">
        <f>LEFT(M1851,1)</f>
        <v>M</v>
      </c>
      <c r="AK1851" t="str">
        <f>_xlfn.CONCAT(AG1851,AH1851,AI1851,AJ1851)</f>
        <v>IMAM</v>
      </c>
    </row>
    <row r="1852" spans="1:37" ht="15.75" hidden="1" customHeight="1" x14ac:dyDescent="0.2">
      <c r="A1852" s="1">
        <v>2911201</v>
      </c>
      <c r="B1852" s="1" t="s">
        <v>3890</v>
      </c>
      <c r="C1852" s="1" t="s">
        <v>1695</v>
      </c>
      <c r="D1852" s="1" t="s">
        <v>3938</v>
      </c>
      <c r="E1852" s="1" t="s">
        <v>106</v>
      </c>
      <c r="F1852" s="1" t="s">
        <v>32</v>
      </c>
      <c r="G1852" s="1" t="s">
        <v>3939</v>
      </c>
      <c r="H1852" s="1">
        <v>1126</v>
      </c>
      <c r="I1852" s="1" t="s">
        <v>39</v>
      </c>
      <c r="J1852" s="1">
        <v>11</v>
      </c>
      <c r="K1852" s="1" t="s">
        <v>35</v>
      </c>
      <c r="L1852" s="1">
        <v>48</v>
      </c>
      <c r="M1852" s="1" t="str">
        <f>IF(L1852&lt;=45,"Joven","Mayor")</f>
        <v>Mayor</v>
      </c>
      <c r="N1852" s="1">
        <v>54</v>
      </c>
      <c r="O1852" s="1" t="s">
        <v>36</v>
      </c>
      <c r="P1852" s="1">
        <v>0.35499999999999998</v>
      </c>
      <c r="Q1852" s="1">
        <v>90.376000000000005</v>
      </c>
      <c r="R1852" s="1">
        <v>4.3439683999999996</v>
      </c>
      <c r="S1852" s="1">
        <v>6.109083</v>
      </c>
      <c r="T1852" s="1">
        <v>-0.15962729000000001</v>
      </c>
      <c r="U1852" s="1">
        <v>13.34</v>
      </c>
      <c r="V1852" s="1">
        <v>80</v>
      </c>
      <c r="W1852" s="1">
        <v>137</v>
      </c>
      <c r="X1852" s="1">
        <v>1.7124999999999999</v>
      </c>
      <c r="Y1852" s="1">
        <v>81</v>
      </c>
      <c r="Z1852" s="1">
        <v>137</v>
      </c>
      <c r="AA1852" s="1">
        <v>1.691358024691358</v>
      </c>
      <c r="AB1852" s="1">
        <v>81.099982297115048</v>
      </c>
      <c r="AC1852" s="1">
        <v>137.0022543271848</v>
      </c>
      <c r="AD1852" s="1">
        <v>1.6893006687136891</v>
      </c>
      <c r="AE1852" t="s">
        <v>4816</v>
      </c>
      <c r="AF1852" t="str">
        <f>IF(X1852&lt;$AF$1,"Bajo","Alto")</f>
        <v>Bajo</v>
      </c>
      <c r="AG1852" t="str">
        <f>LEFT(AE1852,1)</f>
        <v>D</v>
      </c>
      <c r="AH1852" t="str">
        <f>K1852</f>
        <v>M</v>
      </c>
      <c r="AI1852" t="str">
        <f>LEFT(AF1852,1)</f>
        <v>B</v>
      </c>
      <c r="AJ1852" t="str">
        <f>LEFT(M1852,1)</f>
        <v>M</v>
      </c>
      <c r="AK1852" t="str">
        <f>_xlfn.CONCAT(AG1852,AH1852,AI1852,AJ1852)</f>
        <v>DMBM</v>
      </c>
    </row>
    <row r="1853" spans="1:37" ht="15.75" hidden="1" customHeight="1" x14ac:dyDescent="0.2">
      <c r="A1853" s="1">
        <v>525901</v>
      </c>
      <c r="B1853" s="1" t="s">
        <v>4529</v>
      </c>
      <c r="C1853" s="1" t="s">
        <v>685</v>
      </c>
      <c r="D1853" s="1" t="s">
        <v>4660</v>
      </c>
      <c r="E1853" s="1" t="s">
        <v>1005</v>
      </c>
      <c r="F1853" s="1" t="s">
        <v>32</v>
      </c>
      <c r="G1853" s="1" t="s">
        <v>4661</v>
      </c>
      <c r="H1853" s="1">
        <v>661</v>
      </c>
      <c r="I1853" s="1" t="s">
        <v>65</v>
      </c>
      <c r="J1853" s="1">
        <v>2</v>
      </c>
      <c r="K1853" s="1" t="s">
        <v>35</v>
      </c>
      <c r="L1853" s="1">
        <v>39</v>
      </c>
      <c r="M1853" s="1" t="str">
        <f>IF(L1853&lt;=45,"Joven","Mayor")</f>
        <v>Joven</v>
      </c>
      <c r="N1853" s="1">
        <v>31</v>
      </c>
      <c r="O1853" s="1" t="s">
        <v>36</v>
      </c>
      <c r="P1853" s="1">
        <v>0.34899999999999998</v>
      </c>
      <c r="Q1853" s="1">
        <v>9.1389999999999993</v>
      </c>
      <c r="R1853" s="1">
        <v>21.791146999999999</v>
      </c>
      <c r="S1853" s="1">
        <v>-4.717015</v>
      </c>
      <c r="T1853" s="1">
        <v>-3.2368906000000002</v>
      </c>
      <c r="U1853" s="1">
        <v>16.132999999999999</v>
      </c>
      <c r="V1853" s="1">
        <v>84</v>
      </c>
      <c r="W1853" s="1">
        <v>154</v>
      </c>
      <c r="X1853" s="1">
        <v>1.8333333333333333</v>
      </c>
      <c r="Y1853" s="1">
        <v>84</v>
      </c>
      <c r="Z1853" s="1">
        <v>154</v>
      </c>
      <c r="AA1853" s="1">
        <v>1.8333333333333333</v>
      </c>
      <c r="AB1853" s="1">
        <v>85.729311344057805</v>
      </c>
      <c r="AC1853" s="1">
        <v>153.18966732339001</v>
      </c>
      <c r="AD1853" s="1">
        <v>1.7868995437114066</v>
      </c>
      <c r="AE1853" t="s">
        <v>4817</v>
      </c>
      <c r="AF1853" t="str">
        <f>IF(X1853&lt;$AF$1,"Bajo","Alto")</f>
        <v>Alto</v>
      </c>
      <c r="AG1853" t="str">
        <f>LEFT(AE1853,1)</f>
        <v>C</v>
      </c>
      <c r="AH1853" t="str">
        <f>K1853</f>
        <v>M</v>
      </c>
      <c r="AI1853" t="str">
        <f>LEFT(AF1853,1)</f>
        <v>A</v>
      </c>
      <c r="AJ1853" t="str">
        <f>LEFT(M1853,1)</f>
        <v>J</v>
      </c>
      <c r="AK1853" t="str">
        <f>_xlfn.CONCAT(AG1853,AH1853,AI1853,AJ1853)</f>
        <v>CMAJ</v>
      </c>
    </row>
    <row r="1854" spans="1:37" ht="15.75" hidden="1" customHeight="1" x14ac:dyDescent="0.2">
      <c r="A1854" s="1">
        <v>1017006</v>
      </c>
      <c r="B1854" s="1" t="s">
        <v>29</v>
      </c>
      <c r="C1854" s="1" t="s">
        <v>30</v>
      </c>
      <c r="D1854" s="1" t="s">
        <v>719</v>
      </c>
      <c r="E1854" s="1" t="s">
        <v>720</v>
      </c>
      <c r="F1854" s="1" t="s">
        <v>88</v>
      </c>
      <c r="G1854" s="1" t="s">
        <v>725</v>
      </c>
      <c r="H1854" s="1">
        <v>11058</v>
      </c>
      <c r="I1854" s="1" t="s">
        <v>134</v>
      </c>
      <c r="J1854" s="1">
        <v>8</v>
      </c>
      <c r="K1854" s="1" t="s">
        <v>35</v>
      </c>
      <c r="L1854" s="1">
        <v>42</v>
      </c>
      <c r="M1854" s="1" t="str">
        <f>IF(L1854&lt;=45,"Joven","Mayor")</f>
        <v>Joven</v>
      </c>
      <c r="N1854" s="1">
        <v>43</v>
      </c>
      <c r="O1854" s="1" t="s">
        <v>36</v>
      </c>
      <c r="P1854" s="1">
        <v>0.44800000000000001</v>
      </c>
      <c r="Q1854" s="1">
        <v>89.418000000000006</v>
      </c>
      <c r="R1854" s="1">
        <v>5.0618369999999997</v>
      </c>
      <c r="S1854" s="1">
        <v>6.2668509999999999</v>
      </c>
      <c r="T1854" s="1">
        <v>-2.4065525999999999</v>
      </c>
      <c r="U1854" s="1">
        <v>4.633</v>
      </c>
      <c r="V1854" s="1">
        <v>89</v>
      </c>
      <c r="W1854" s="1">
        <v>163</v>
      </c>
      <c r="X1854" s="1">
        <v>1.8314606741573034</v>
      </c>
      <c r="Y1854" s="1">
        <v>92</v>
      </c>
      <c r="Z1854" s="1">
        <v>163</v>
      </c>
      <c r="AA1854" s="1">
        <v>1.7717391304347827</v>
      </c>
      <c r="AB1854" s="1">
        <v>93.640445792965465</v>
      </c>
      <c r="AC1854" s="1">
        <v>162.68827994976479</v>
      </c>
      <c r="AD1854" s="1">
        <v>1.7373719077487175</v>
      </c>
      <c r="AE1854" t="s">
        <v>4817</v>
      </c>
      <c r="AF1854" t="str">
        <f>IF(X1854&lt;$AF$1,"Bajo","Alto")</f>
        <v>Alto</v>
      </c>
      <c r="AG1854" t="str">
        <f>LEFT(AE1854,1)</f>
        <v>C</v>
      </c>
      <c r="AH1854" t="str">
        <f>K1854</f>
        <v>M</v>
      </c>
      <c r="AI1854" t="str">
        <f>LEFT(AF1854,1)</f>
        <v>A</v>
      </c>
      <c r="AJ1854" t="str">
        <f>LEFT(M1854,1)</f>
        <v>J</v>
      </c>
      <c r="AK1854" t="str">
        <f>_xlfn.CONCAT(AG1854,AH1854,AI1854,AJ1854)</f>
        <v>CMAJ</v>
      </c>
    </row>
    <row r="1855" spans="1:37" ht="15.75" hidden="1" customHeight="1" x14ac:dyDescent="0.2">
      <c r="A1855" s="1">
        <v>10729801</v>
      </c>
      <c r="B1855" s="1" t="s">
        <v>1067</v>
      </c>
      <c r="C1855" s="1" t="s">
        <v>1068</v>
      </c>
      <c r="D1855" s="1" t="s">
        <v>1356</v>
      </c>
      <c r="E1855" s="1" t="s">
        <v>608</v>
      </c>
      <c r="F1855" s="1" t="s">
        <v>32</v>
      </c>
      <c r="G1855" s="1" t="s">
        <v>1357</v>
      </c>
      <c r="H1855" s="1">
        <v>1483</v>
      </c>
      <c r="I1855" s="1" t="s">
        <v>100</v>
      </c>
      <c r="J1855" s="1">
        <v>1</v>
      </c>
      <c r="K1855" s="1" t="s">
        <v>35</v>
      </c>
      <c r="L1855" s="1">
        <v>27</v>
      </c>
      <c r="M1855" s="1" t="str">
        <f>IF(L1855&lt;=45,"Joven","Mayor")</f>
        <v>Joven</v>
      </c>
      <c r="N1855" s="1">
        <v>34</v>
      </c>
      <c r="O1855" s="1" t="s">
        <v>36</v>
      </c>
      <c r="P1855" s="1">
        <v>0.36199999999999999</v>
      </c>
      <c r="Q1855" s="1">
        <v>88.855999999999995</v>
      </c>
      <c r="R1855" s="1">
        <v>6.0232396000000001</v>
      </c>
      <c r="S1855" s="1">
        <v>4.6857758</v>
      </c>
      <c r="T1855" s="1">
        <v>-9.1968979999999991</v>
      </c>
      <c r="U1855" s="1">
        <v>48.613</v>
      </c>
      <c r="V1855" s="1">
        <v>89</v>
      </c>
      <c r="W1855" s="1">
        <v>163</v>
      </c>
      <c r="X1855" s="1">
        <v>1.8314606741573034</v>
      </c>
      <c r="Y1855" s="1">
        <v>101</v>
      </c>
      <c r="Z1855" s="1">
        <v>163</v>
      </c>
      <c r="AA1855" s="1">
        <v>1.613861386138614</v>
      </c>
      <c r="AB1855" s="1">
        <v>95.847285034869174</v>
      </c>
      <c r="AC1855" s="1">
        <v>163.4618657973501</v>
      </c>
      <c r="AD1855" s="1">
        <v>1.7054407512730567</v>
      </c>
      <c r="AE1855" t="s">
        <v>4817</v>
      </c>
      <c r="AF1855" t="str">
        <f>IF(X1855&lt;$AF$1,"Bajo","Alto")</f>
        <v>Alto</v>
      </c>
      <c r="AG1855" t="str">
        <f>LEFT(AE1855,1)</f>
        <v>C</v>
      </c>
      <c r="AH1855" t="str">
        <f>K1855</f>
        <v>M</v>
      </c>
      <c r="AI1855" t="str">
        <f>LEFT(AF1855,1)</f>
        <v>A</v>
      </c>
      <c r="AJ1855" t="str">
        <f>LEFT(M1855,1)</f>
        <v>J</v>
      </c>
      <c r="AK1855" t="str">
        <f>_xlfn.CONCAT(AG1855,AH1855,AI1855,AJ1855)</f>
        <v>CMAJ</v>
      </c>
    </row>
    <row r="1856" spans="1:37" ht="15.75" hidden="1" customHeight="1" x14ac:dyDescent="0.2">
      <c r="A1856" s="1">
        <v>251603</v>
      </c>
      <c r="B1856" s="1" t="s">
        <v>3169</v>
      </c>
      <c r="C1856" s="1" t="s">
        <v>821</v>
      </c>
      <c r="D1856" s="1" t="s">
        <v>3203</v>
      </c>
      <c r="E1856" s="1" t="s">
        <v>244</v>
      </c>
      <c r="F1856" s="1" t="s">
        <v>63</v>
      </c>
      <c r="G1856" s="1" t="s">
        <v>3205</v>
      </c>
      <c r="H1856" s="1">
        <v>106</v>
      </c>
      <c r="I1856" s="1" t="s">
        <v>134</v>
      </c>
      <c r="J1856" s="1">
        <v>8</v>
      </c>
      <c r="K1856" s="1" t="s">
        <v>35</v>
      </c>
      <c r="L1856" s="1">
        <v>29</v>
      </c>
      <c r="M1856" s="1" t="str">
        <f>IF(L1856&lt;=45,"Joven","Mayor")</f>
        <v>Joven</v>
      </c>
      <c r="N1856" s="1">
        <v>35</v>
      </c>
      <c r="O1856" s="1" t="s">
        <v>36</v>
      </c>
      <c r="P1856" s="1">
        <v>0.32800000000000001</v>
      </c>
      <c r="Q1856" s="1">
        <v>88.426000000000002</v>
      </c>
      <c r="R1856" s="1">
        <v>4.1890326</v>
      </c>
      <c r="S1856" s="1">
        <v>9.932283</v>
      </c>
      <c r="T1856" s="1">
        <v>-2.064441</v>
      </c>
      <c r="U1856" s="1">
        <v>1.01</v>
      </c>
      <c r="V1856" s="1">
        <v>94</v>
      </c>
      <c r="W1856" s="1">
        <v>162</v>
      </c>
      <c r="X1856" s="1">
        <v>1.7234042553191489</v>
      </c>
      <c r="Y1856" s="1">
        <v>95</v>
      </c>
      <c r="Z1856" s="1">
        <v>162</v>
      </c>
      <c r="AA1856" s="1">
        <v>1.7052631578947368</v>
      </c>
      <c r="AB1856" s="1">
        <v>96.487349969496336</v>
      </c>
      <c r="AC1856" s="1">
        <v>161.85882930138399</v>
      </c>
      <c r="AD1856" s="1">
        <v>1.677513470445134</v>
      </c>
      <c r="AE1856" t="s">
        <v>4817</v>
      </c>
      <c r="AF1856" t="str">
        <f>IF(X1856&lt;$AF$1,"Bajo","Alto")</f>
        <v>Bajo</v>
      </c>
      <c r="AG1856" t="str">
        <f>LEFT(AE1856,1)</f>
        <v>C</v>
      </c>
      <c r="AH1856" t="str">
        <f>K1856</f>
        <v>M</v>
      </c>
      <c r="AI1856" t="str">
        <f>LEFT(AF1856,1)</f>
        <v>B</v>
      </c>
      <c r="AJ1856" t="str">
        <f>LEFT(M1856,1)</f>
        <v>J</v>
      </c>
      <c r="AK1856" t="str">
        <f>_xlfn.CONCAT(AG1856,AH1856,AI1856,AJ1856)</f>
        <v>CMBJ</v>
      </c>
    </row>
    <row r="1857" spans="1:37" ht="15.75" hidden="1" customHeight="1" x14ac:dyDescent="0.2">
      <c r="A1857" s="1">
        <v>2910003</v>
      </c>
      <c r="B1857" s="1" t="s">
        <v>3890</v>
      </c>
      <c r="C1857" s="1" t="s">
        <v>1695</v>
      </c>
      <c r="D1857" s="1" t="s">
        <v>3914</v>
      </c>
      <c r="E1857" s="1" t="s">
        <v>70</v>
      </c>
      <c r="F1857" s="1" t="s">
        <v>63</v>
      </c>
      <c r="G1857" s="1" t="s">
        <v>3916</v>
      </c>
      <c r="H1857" s="1">
        <v>1551</v>
      </c>
      <c r="I1857" s="1" t="s">
        <v>3917</v>
      </c>
      <c r="J1857" s="1">
        <v>3019</v>
      </c>
      <c r="K1857" s="1" t="s">
        <v>35</v>
      </c>
      <c r="L1857" s="1">
        <v>35</v>
      </c>
      <c r="M1857" s="1" t="str">
        <f>IF(L1857&lt;=45,"Joven","Mayor")</f>
        <v>Joven</v>
      </c>
      <c r="N1857" s="1">
        <v>29</v>
      </c>
      <c r="O1857" s="1" t="s">
        <v>36</v>
      </c>
      <c r="P1857" s="1">
        <v>0.36</v>
      </c>
      <c r="Q1857" s="1">
        <v>91.159000000000006</v>
      </c>
      <c r="R1857" s="1">
        <v>-4.3036737</v>
      </c>
      <c r="S1857" s="1">
        <v>4.1788999999999996</v>
      </c>
      <c r="T1857" s="1">
        <v>6.1603630000000003</v>
      </c>
      <c r="U1857" s="1">
        <v>58.216000000000001</v>
      </c>
      <c r="V1857" s="1">
        <v>89</v>
      </c>
      <c r="W1857" s="1">
        <v>163</v>
      </c>
      <c r="X1857" s="1">
        <v>1.8314606741573034</v>
      </c>
      <c r="Y1857" s="1">
        <v>95</v>
      </c>
      <c r="Z1857" s="1">
        <v>163</v>
      </c>
      <c r="AA1857" s="1">
        <v>1.7157894736842105</v>
      </c>
      <c r="AB1857" s="1">
        <v>93.958954710890339</v>
      </c>
      <c r="AC1857" s="1">
        <v>163.34648561833231</v>
      </c>
      <c r="AD1857" s="1">
        <v>1.7384876845527486</v>
      </c>
      <c r="AE1857" t="s">
        <v>4817</v>
      </c>
      <c r="AF1857" t="str">
        <f>IF(X1857&lt;$AF$1,"Bajo","Alto")</f>
        <v>Alto</v>
      </c>
      <c r="AG1857" t="str">
        <f>LEFT(AE1857,1)</f>
        <v>C</v>
      </c>
      <c r="AH1857" t="str">
        <f>K1857</f>
        <v>M</v>
      </c>
      <c r="AI1857" t="str">
        <f>LEFT(AF1857,1)</f>
        <v>A</v>
      </c>
      <c r="AJ1857" t="str">
        <f>LEFT(M1857,1)</f>
        <v>J</v>
      </c>
      <c r="AK1857" t="str">
        <f>_xlfn.CONCAT(AG1857,AH1857,AI1857,AJ1857)</f>
        <v>CMAJ</v>
      </c>
    </row>
    <row r="1858" spans="1:37" ht="15.75" hidden="1" customHeight="1" x14ac:dyDescent="0.2">
      <c r="A1858" s="1">
        <v>250112</v>
      </c>
      <c r="B1858" s="1" t="s">
        <v>3169</v>
      </c>
      <c r="C1858" s="1" t="s">
        <v>821</v>
      </c>
      <c r="D1858" s="1" t="s">
        <v>3170</v>
      </c>
      <c r="E1858" s="1" t="s">
        <v>32</v>
      </c>
      <c r="F1858" s="1" t="s">
        <v>54</v>
      </c>
      <c r="G1858" s="1" t="s">
        <v>3183</v>
      </c>
      <c r="H1858" s="1">
        <v>1406</v>
      </c>
      <c r="I1858" s="1" t="s">
        <v>3184</v>
      </c>
      <c r="J1858" s="1">
        <v>4248</v>
      </c>
      <c r="K1858" s="1" t="s">
        <v>35</v>
      </c>
      <c r="L1858" s="1">
        <v>56</v>
      </c>
      <c r="M1858" s="1" t="str">
        <f>IF(L1858&lt;=45,"Joven","Mayor")</f>
        <v>Mayor</v>
      </c>
      <c r="N1858" s="1">
        <v>55</v>
      </c>
      <c r="O1858" s="1" t="s">
        <v>36</v>
      </c>
      <c r="P1858" s="1">
        <v>3.1E-2</v>
      </c>
      <c r="Q1858" s="1">
        <v>92.97</v>
      </c>
      <c r="R1858" s="1">
        <v>1.2255237000000001</v>
      </c>
      <c r="S1858" s="1">
        <v>6.3758106000000003</v>
      </c>
      <c r="T1858" s="1">
        <v>-3.1788479999999999</v>
      </c>
      <c r="U1858" s="1">
        <v>4.17</v>
      </c>
      <c r="V1858" s="1">
        <v>118</v>
      </c>
      <c r="W1858" s="1">
        <v>201</v>
      </c>
      <c r="X1858" s="1">
        <v>1.7033898305084745</v>
      </c>
      <c r="Y1858" s="1">
        <v>120</v>
      </c>
      <c r="Z1858" s="1">
        <v>201</v>
      </c>
      <c r="AA1858" s="1">
        <v>1.675</v>
      </c>
      <c r="AB1858" s="1">
        <v>120.4801732876392</v>
      </c>
      <c r="AC1858" s="1">
        <v>200.80162789001</v>
      </c>
      <c r="AD1858" s="1">
        <v>1.6666777811699203</v>
      </c>
      <c r="AE1858" t="s">
        <v>4817</v>
      </c>
      <c r="AF1858" t="str">
        <f>IF(X1858&lt;$AF$1,"Bajo","Alto")</f>
        <v>Bajo</v>
      </c>
      <c r="AG1858" t="str">
        <f>LEFT(AE1858,1)</f>
        <v>C</v>
      </c>
      <c r="AH1858" t="str">
        <f>K1858</f>
        <v>M</v>
      </c>
      <c r="AI1858" t="str">
        <f>LEFT(AF1858,1)</f>
        <v>B</v>
      </c>
      <c r="AJ1858" t="str">
        <f>LEFT(M1858,1)</f>
        <v>M</v>
      </c>
      <c r="AK1858" t="str">
        <f>_xlfn.CONCAT(AG1858,AH1858,AI1858,AJ1858)</f>
        <v>CMBM</v>
      </c>
    </row>
    <row r="1859" spans="1:37" ht="15.75" hidden="1" customHeight="1" x14ac:dyDescent="0.2">
      <c r="A1859" s="1">
        <v>10732401</v>
      </c>
      <c r="B1859" s="1" t="s">
        <v>1067</v>
      </c>
      <c r="C1859" s="1" t="s">
        <v>1068</v>
      </c>
      <c r="D1859" s="1" t="s">
        <v>1408</v>
      </c>
      <c r="E1859" s="1" t="s">
        <v>1409</v>
      </c>
      <c r="F1859" s="1" t="s">
        <v>32</v>
      </c>
      <c r="G1859" s="1" t="s">
        <v>1410</v>
      </c>
      <c r="H1859" s="1">
        <v>803</v>
      </c>
      <c r="I1859" s="1" t="s">
        <v>100</v>
      </c>
      <c r="J1859" s="1">
        <v>1</v>
      </c>
      <c r="K1859" s="1" t="s">
        <v>35</v>
      </c>
      <c r="L1859" s="1">
        <v>45</v>
      </c>
      <c r="M1859" s="1" t="str">
        <f>IF(L1859&lt;=45,"Joven","Mayor")</f>
        <v>Joven</v>
      </c>
      <c r="N1859" s="1">
        <v>52</v>
      </c>
      <c r="O1859" s="1" t="s">
        <v>36</v>
      </c>
      <c r="P1859" s="1">
        <v>0.36099999999999999</v>
      </c>
      <c r="Q1859" s="1">
        <v>93.784000000000006</v>
      </c>
      <c r="R1859" s="1">
        <v>1.9669348</v>
      </c>
      <c r="S1859" s="1">
        <v>-1.1097674</v>
      </c>
      <c r="T1859" s="1">
        <v>-5.6356225000000002</v>
      </c>
      <c r="U1859" s="1">
        <v>0.36599999999999999</v>
      </c>
      <c r="V1859" s="1">
        <v>87</v>
      </c>
      <c r="W1859" s="1">
        <v>150</v>
      </c>
      <c r="X1859" s="1">
        <v>1.7241379310344827</v>
      </c>
      <c r="Y1859" s="1">
        <v>90</v>
      </c>
      <c r="Z1859" s="1">
        <v>150</v>
      </c>
      <c r="AA1859" s="1">
        <v>1.6666666666666667</v>
      </c>
      <c r="AB1859" s="1">
        <v>90.80215942675045</v>
      </c>
      <c r="AC1859" s="1">
        <v>149.96239211848021</v>
      </c>
      <c r="AD1859" s="1">
        <v>1.6515289180920192</v>
      </c>
      <c r="AE1859" t="s">
        <v>4817</v>
      </c>
      <c r="AF1859" t="str">
        <f>IF(X1859&lt;$AF$1,"Bajo","Alto")</f>
        <v>Bajo</v>
      </c>
      <c r="AG1859" t="str">
        <f>LEFT(AE1859,1)</f>
        <v>C</v>
      </c>
      <c r="AH1859" t="str">
        <f>K1859</f>
        <v>M</v>
      </c>
      <c r="AI1859" t="str">
        <f>LEFT(AF1859,1)</f>
        <v>B</v>
      </c>
      <c r="AJ1859" t="str">
        <f>LEFT(M1859,1)</f>
        <v>J</v>
      </c>
      <c r="AK1859" t="str">
        <f>_xlfn.CONCAT(AG1859,AH1859,AI1859,AJ1859)</f>
        <v>CMBJ</v>
      </c>
    </row>
    <row r="1860" spans="1:37" ht="15.75" hidden="1" customHeight="1" x14ac:dyDescent="0.2">
      <c r="A1860" s="1">
        <v>3112404</v>
      </c>
      <c r="B1860" s="1" t="s">
        <v>4122</v>
      </c>
      <c r="C1860" s="1" t="s">
        <v>628</v>
      </c>
      <c r="D1860" s="1" t="s">
        <v>4167</v>
      </c>
      <c r="E1860" s="1" t="s">
        <v>145</v>
      </c>
      <c r="F1860" s="1" t="s">
        <v>61</v>
      </c>
      <c r="G1860" s="1" t="s">
        <v>4168</v>
      </c>
      <c r="H1860" s="1">
        <v>6566</v>
      </c>
      <c r="I1860" s="1" t="s">
        <v>48</v>
      </c>
      <c r="J1860" s="1">
        <v>4</v>
      </c>
      <c r="K1860" s="1" t="s">
        <v>49</v>
      </c>
      <c r="L1860" s="1">
        <v>45</v>
      </c>
      <c r="M1860" s="1" t="str">
        <f>IF(L1860&lt;=45,"Joven","Mayor")</f>
        <v>Joven</v>
      </c>
      <c r="N1860" s="1">
        <v>50</v>
      </c>
      <c r="O1860" s="1" t="s">
        <v>50</v>
      </c>
      <c r="P1860" s="1">
        <v>0.36799999999999999</v>
      </c>
      <c r="Q1860" s="1">
        <v>91.162999999999997</v>
      </c>
      <c r="R1860" s="1">
        <v>-5.2364234999999999</v>
      </c>
      <c r="S1860" s="1">
        <v>0.60054605999999999</v>
      </c>
      <c r="T1860" s="1">
        <v>0.113351464</v>
      </c>
      <c r="U1860" s="1">
        <v>17.399999999999999</v>
      </c>
      <c r="V1860" s="1">
        <v>88</v>
      </c>
      <c r="W1860" s="1">
        <v>164</v>
      </c>
      <c r="X1860" s="1">
        <v>1.8636363636363635</v>
      </c>
      <c r="Y1860" s="1">
        <v>91</v>
      </c>
      <c r="Z1860" s="1">
        <v>164</v>
      </c>
      <c r="AA1860" s="1">
        <v>1.8021978021978022</v>
      </c>
      <c r="AB1860" s="1">
        <v>90.904860879428725</v>
      </c>
      <c r="AC1860" s="1">
        <v>163.9957223509023</v>
      </c>
      <c r="AD1860" s="1">
        <v>1.8040368882849656</v>
      </c>
      <c r="AE1860" t="s">
        <v>4817</v>
      </c>
      <c r="AF1860" t="str">
        <f>IF(X1860&lt;$AF$1,"Bajo","Alto")</f>
        <v>Alto</v>
      </c>
      <c r="AG1860" t="str">
        <f>LEFT(AE1860,1)</f>
        <v>C</v>
      </c>
      <c r="AH1860" t="str">
        <f>K1860</f>
        <v>F</v>
      </c>
      <c r="AI1860" t="str">
        <f>LEFT(AF1860,1)</f>
        <v>A</v>
      </c>
      <c r="AJ1860" t="str">
        <f>LEFT(M1860,1)</f>
        <v>J</v>
      </c>
      <c r="AK1860" t="str">
        <f>_xlfn.CONCAT(AG1860,AH1860,AI1860,AJ1860)</f>
        <v>CFAJ</v>
      </c>
    </row>
    <row r="1861" spans="1:37" ht="15.75" hidden="1" customHeight="1" x14ac:dyDescent="0.2">
      <c r="A1861" s="1">
        <v>2812003</v>
      </c>
      <c r="B1861" s="1" t="s">
        <v>1775</v>
      </c>
      <c r="C1861" s="1" t="s">
        <v>561</v>
      </c>
      <c r="D1861" s="1" t="s">
        <v>3783</v>
      </c>
      <c r="E1861" s="1" t="s">
        <v>1564</v>
      </c>
      <c r="F1861" s="1" t="s">
        <v>63</v>
      </c>
      <c r="G1861" s="1" t="s">
        <v>3785</v>
      </c>
      <c r="H1861" s="1">
        <v>531</v>
      </c>
      <c r="I1861" s="1" t="s">
        <v>87</v>
      </c>
      <c r="J1861" s="1">
        <v>14</v>
      </c>
      <c r="K1861" s="1" t="s">
        <v>35</v>
      </c>
      <c r="L1861" s="1">
        <v>46</v>
      </c>
      <c r="M1861" s="1" t="str">
        <f>IF(L1861&lt;=45,"Joven","Mayor")</f>
        <v>Mayor</v>
      </c>
      <c r="N1861" s="1">
        <v>46</v>
      </c>
      <c r="O1861" s="1" t="s">
        <v>36</v>
      </c>
      <c r="P1861" s="1">
        <v>0.72</v>
      </c>
      <c r="Q1861" s="1">
        <v>92.183999999999997</v>
      </c>
      <c r="R1861" s="1">
        <v>2.4621902000000002</v>
      </c>
      <c r="S1861" s="1">
        <v>5.6366277</v>
      </c>
      <c r="T1861" s="1">
        <v>-2.3746219000000002</v>
      </c>
      <c r="U1861" s="1">
        <v>11.010999999999999</v>
      </c>
      <c r="V1861" s="1">
        <v>91</v>
      </c>
      <c r="W1861" s="1">
        <v>156</v>
      </c>
      <c r="X1861" s="1">
        <v>1.7142857142857142</v>
      </c>
      <c r="Y1861" s="1">
        <v>91</v>
      </c>
      <c r="Z1861" s="1">
        <v>156</v>
      </c>
      <c r="AA1861" s="1">
        <v>1.7142857142857142</v>
      </c>
      <c r="AB1861" s="1">
        <v>92.620613869157296</v>
      </c>
      <c r="AC1861" s="1">
        <v>155.9074728073883</v>
      </c>
      <c r="AD1861" s="1">
        <v>1.6832912922347361</v>
      </c>
      <c r="AE1861" t="s">
        <v>4816</v>
      </c>
      <c r="AF1861" t="str">
        <f>IF(X1861&lt;$AF$1,"Bajo","Alto")</f>
        <v>Bajo</v>
      </c>
      <c r="AG1861" t="str">
        <f>LEFT(AE1861,1)</f>
        <v>D</v>
      </c>
      <c r="AH1861" t="str">
        <f>K1861</f>
        <v>M</v>
      </c>
      <c r="AI1861" t="str">
        <f>LEFT(AF1861,1)</f>
        <v>B</v>
      </c>
      <c r="AJ1861" t="str">
        <f>LEFT(M1861,1)</f>
        <v>M</v>
      </c>
      <c r="AK1861" t="str">
        <f>_xlfn.CONCAT(AG1861,AH1861,AI1861,AJ1861)</f>
        <v>DMBM</v>
      </c>
    </row>
    <row r="1862" spans="1:37" ht="15.75" hidden="1" customHeight="1" x14ac:dyDescent="0.2">
      <c r="A1862" s="1">
        <v>1530703</v>
      </c>
      <c r="B1862" s="1" t="s">
        <v>2077</v>
      </c>
      <c r="C1862" s="1" t="s">
        <v>57</v>
      </c>
      <c r="D1862" s="1" t="s">
        <v>2387</v>
      </c>
      <c r="E1862" s="1" t="s">
        <v>1374</v>
      </c>
      <c r="F1862" s="1" t="s">
        <v>63</v>
      </c>
      <c r="G1862" s="1" t="s">
        <v>2390</v>
      </c>
      <c r="H1862" s="1">
        <v>2367</v>
      </c>
      <c r="I1862" s="1" t="s">
        <v>2391</v>
      </c>
      <c r="J1862" s="1">
        <v>2798</v>
      </c>
      <c r="K1862" s="1" t="s">
        <v>35</v>
      </c>
      <c r="L1862" s="1">
        <v>47</v>
      </c>
      <c r="M1862" s="1" t="str">
        <f>IF(L1862&lt;=45,"Joven","Mayor")</f>
        <v>Mayor</v>
      </c>
      <c r="N1862" s="1">
        <v>50</v>
      </c>
      <c r="O1862" s="1" t="s">
        <v>36</v>
      </c>
      <c r="P1862" s="1">
        <v>0.23699999999999999</v>
      </c>
      <c r="Q1862" s="1">
        <v>83.704999999999998</v>
      </c>
      <c r="R1862" s="1">
        <v>9.2186280000000007</v>
      </c>
      <c r="S1862" s="1">
        <v>2.2909562999999999</v>
      </c>
      <c r="T1862" s="1">
        <v>-8.8771229999999992</v>
      </c>
      <c r="U1862" s="1">
        <v>0.49399999999999999</v>
      </c>
      <c r="V1862" s="1">
        <v>108</v>
      </c>
      <c r="W1862" s="1">
        <v>184</v>
      </c>
      <c r="X1862" s="1">
        <v>1.7037037037037037</v>
      </c>
      <c r="Y1862" s="1">
        <v>115</v>
      </c>
      <c r="Z1862" s="1">
        <v>184</v>
      </c>
      <c r="AA1862" s="1">
        <v>1.6</v>
      </c>
      <c r="AB1862" s="1">
        <v>115.50233487443511</v>
      </c>
      <c r="AC1862" s="1">
        <v>184.11070550569869</v>
      </c>
      <c r="AD1862" s="1">
        <v>1.5939998590145308</v>
      </c>
      <c r="AE1862" t="s">
        <v>4817</v>
      </c>
      <c r="AF1862" t="str">
        <f>IF(X1862&lt;$AF$1,"Bajo","Alto")</f>
        <v>Bajo</v>
      </c>
      <c r="AG1862" t="str">
        <f>LEFT(AE1862,1)</f>
        <v>C</v>
      </c>
      <c r="AH1862" t="str">
        <f>K1862</f>
        <v>M</v>
      </c>
      <c r="AI1862" t="str">
        <f>LEFT(AF1862,1)</f>
        <v>B</v>
      </c>
      <c r="AJ1862" t="str">
        <f>LEFT(M1862,1)</f>
        <v>M</v>
      </c>
      <c r="AK1862" t="str">
        <f>_xlfn.CONCAT(AG1862,AH1862,AI1862,AJ1862)</f>
        <v>CMBM</v>
      </c>
    </row>
    <row r="1863" spans="1:37" ht="15.75" hidden="1" customHeight="1" x14ac:dyDescent="0.2">
      <c r="A1863" s="1">
        <v>2313906</v>
      </c>
      <c r="B1863" s="1" t="s">
        <v>319</v>
      </c>
      <c r="C1863" s="1" t="s">
        <v>1989</v>
      </c>
      <c r="D1863" s="1" t="s">
        <v>2987</v>
      </c>
      <c r="E1863" s="1" t="s">
        <v>176</v>
      </c>
      <c r="F1863" s="1" t="s">
        <v>88</v>
      </c>
      <c r="G1863" s="1" t="s">
        <v>2992</v>
      </c>
      <c r="H1863" s="1">
        <v>2066</v>
      </c>
      <c r="I1863" s="1" t="s">
        <v>48</v>
      </c>
      <c r="J1863" s="1">
        <v>4</v>
      </c>
      <c r="K1863" s="1" t="s">
        <v>35</v>
      </c>
      <c r="L1863" s="1">
        <v>49</v>
      </c>
      <c r="M1863" s="1" t="str">
        <f>IF(L1863&lt;=45,"Joven","Mayor")</f>
        <v>Mayor</v>
      </c>
      <c r="N1863" s="1">
        <v>47</v>
      </c>
      <c r="O1863" s="1" t="s">
        <v>36</v>
      </c>
      <c r="P1863" s="1">
        <v>0.33300000000000002</v>
      </c>
      <c r="Q1863" s="1">
        <v>86.13</v>
      </c>
      <c r="R1863" s="1">
        <v>7.412973</v>
      </c>
      <c r="S1863" s="1">
        <v>5.4905113999999999</v>
      </c>
      <c r="T1863" s="1">
        <v>-3.1470932999999999</v>
      </c>
      <c r="U1863" s="1">
        <v>2.6859999999999999</v>
      </c>
      <c r="V1863" s="1">
        <v>105</v>
      </c>
      <c r="W1863" s="1">
        <v>179</v>
      </c>
      <c r="X1863" s="1">
        <v>1.7047619047619047</v>
      </c>
      <c r="Y1863" s="1">
        <v>105</v>
      </c>
      <c r="Z1863" s="1">
        <v>179</v>
      </c>
      <c r="AA1863" s="1">
        <v>1.7047619047619047</v>
      </c>
      <c r="AB1863" s="1">
        <v>107.3670259566472</v>
      </c>
      <c r="AC1863" s="1">
        <v>178.51044911268309</v>
      </c>
      <c r="AD1863" s="1">
        <v>1.6626189234743476</v>
      </c>
      <c r="AE1863" t="s">
        <v>4817</v>
      </c>
      <c r="AF1863" t="str">
        <f>IF(X1863&lt;$AF$1,"Bajo","Alto")</f>
        <v>Bajo</v>
      </c>
      <c r="AG1863" t="str">
        <f>LEFT(AE1863,1)</f>
        <v>C</v>
      </c>
      <c r="AH1863" t="str">
        <f>K1863</f>
        <v>M</v>
      </c>
      <c r="AI1863" t="str">
        <f>LEFT(AF1863,1)</f>
        <v>B</v>
      </c>
      <c r="AJ1863" t="str">
        <f>LEFT(M1863,1)</f>
        <v>M</v>
      </c>
      <c r="AK1863" t="str">
        <f>_xlfn.CONCAT(AG1863,AH1863,AI1863,AJ1863)</f>
        <v>CMBM</v>
      </c>
    </row>
    <row r="1864" spans="1:37" ht="15.75" hidden="1" customHeight="1" x14ac:dyDescent="0.2">
      <c r="A1864" s="1">
        <v>464001</v>
      </c>
      <c r="B1864" s="1" t="s">
        <v>4382</v>
      </c>
      <c r="C1864" s="1" t="s">
        <v>669</v>
      </c>
      <c r="D1864" s="1" t="s">
        <v>4395</v>
      </c>
      <c r="E1864" s="1" t="s">
        <v>657</v>
      </c>
      <c r="F1864" s="1" t="s">
        <v>32</v>
      </c>
      <c r="G1864" s="1" t="s">
        <v>4396</v>
      </c>
      <c r="H1864" s="1">
        <v>7570</v>
      </c>
      <c r="I1864" s="1" t="s">
        <v>39</v>
      </c>
      <c r="J1864" s="1">
        <v>11</v>
      </c>
      <c r="K1864" s="1" t="s">
        <v>49</v>
      </c>
      <c r="L1864" s="1">
        <v>35</v>
      </c>
      <c r="M1864" s="1" t="str">
        <f>IF(L1864&lt;=45,"Joven","Mayor")</f>
        <v>Joven</v>
      </c>
      <c r="N1864" s="1">
        <v>34</v>
      </c>
      <c r="O1864" s="1" t="s">
        <v>50</v>
      </c>
      <c r="P1864" s="1">
        <v>1.1100000000000001</v>
      </c>
      <c r="Q1864" s="1">
        <v>92.781999999999996</v>
      </c>
      <c r="R1864" s="1">
        <v>1.3215775000000001</v>
      </c>
      <c r="S1864" s="1">
        <v>5.8882510000000003</v>
      </c>
      <c r="T1864" s="1">
        <v>1.2600334</v>
      </c>
      <c r="U1864" s="1">
        <v>28.169</v>
      </c>
      <c r="V1864" s="1">
        <v>84</v>
      </c>
      <c r="W1864" s="1">
        <v>157</v>
      </c>
      <c r="X1864" s="1">
        <v>1.8690476190476191</v>
      </c>
      <c r="Y1864" s="1">
        <v>86</v>
      </c>
      <c r="Z1864" s="1">
        <v>157</v>
      </c>
      <c r="AA1864" s="1">
        <v>1.8255813953488371</v>
      </c>
      <c r="AB1864" s="1">
        <v>86.902782752619942</v>
      </c>
      <c r="AC1864" s="1">
        <v>156.89606620740321</v>
      </c>
      <c r="AD1864" s="1">
        <v>1.8054205082710439</v>
      </c>
      <c r="AE1864" t="s">
        <v>4816</v>
      </c>
      <c r="AF1864" t="str">
        <f>IF(X1864&lt;$AF$1,"Bajo","Alto")</f>
        <v>Alto</v>
      </c>
      <c r="AG1864" t="str">
        <f>LEFT(AE1864,1)</f>
        <v>D</v>
      </c>
      <c r="AH1864" t="str">
        <f>K1864</f>
        <v>F</v>
      </c>
      <c r="AI1864" t="str">
        <f>LEFT(AF1864,1)</f>
        <v>A</v>
      </c>
      <c r="AJ1864" t="str">
        <f>LEFT(M1864,1)</f>
        <v>J</v>
      </c>
      <c r="AK1864" t="str">
        <f>_xlfn.CONCAT(AG1864,AH1864,AI1864,AJ1864)</f>
        <v>DFAJ</v>
      </c>
    </row>
    <row r="1865" spans="1:37" ht="15.75" hidden="1" customHeight="1" x14ac:dyDescent="0.2">
      <c r="A1865" s="1">
        <v>1018502</v>
      </c>
      <c r="B1865" s="1" t="s">
        <v>29</v>
      </c>
      <c r="C1865" s="1" t="s">
        <v>30</v>
      </c>
      <c r="D1865" s="1" t="s">
        <v>754</v>
      </c>
      <c r="E1865" s="1" t="s">
        <v>755</v>
      </c>
      <c r="F1865" s="1" t="s">
        <v>37</v>
      </c>
      <c r="G1865" s="1" t="s">
        <v>757</v>
      </c>
      <c r="H1865" s="1">
        <v>478</v>
      </c>
      <c r="I1865" s="1" t="s">
        <v>65</v>
      </c>
      <c r="J1865" s="1">
        <v>2</v>
      </c>
      <c r="K1865" s="1" t="s">
        <v>35</v>
      </c>
      <c r="L1865" s="1">
        <v>78</v>
      </c>
      <c r="M1865" s="1" t="str">
        <f>IF(L1865&lt;=45,"Joven","Mayor")</f>
        <v>Mayor</v>
      </c>
      <c r="N1865" s="1">
        <v>76</v>
      </c>
      <c r="O1865" s="1" t="s">
        <v>36</v>
      </c>
      <c r="P1865" s="1">
        <v>0.44800000000000001</v>
      </c>
      <c r="Q1865" s="1">
        <v>93.858000000000004</v>
      </c>
      <c r="R1865" s="1">
        <v>1.9400774999999999</v>
      </c>
      <c r="S1865" s="1">
        <v>0.66114693999999996</v>
      </c>
      <c r="T1865" s="1">
        <v>-0.79096449999999996</v>
      </c>
      <c r="U1865" s="1">
        <v>1.2909999999999999</v>
      </c>
      <c r="V1865" s="1">
        <v>95</v>
      </c>
      <c r="W1865" s="1">
        <v>162</v>
      </c>
      <c r="X1865" s="1">
        <v>1.7052631578947368</v>
      </c>
      <c r="Y1865" s="1">
        <v>99</v>
      </c>
      <c r="Z1865" s="1">
        <v>162</v>
      </c>
      <c r="AA1865" s="1">
        <v>1.6363636363636365</v>
      </c>
      <c r="AB1865" s="1">
        <v>99.515137486612048</v>
      </c>
      <c r="AC1865" s="1">
        <v>161.98456357096171</v>
      </c>
      <c r="AD1865" s="1">
        <v>1.6277379267325414</v>
      </c>
      <c r="AE1865" t="s">
        <v>4817</v>
      </c>
      <c r="AF1865" t="str">
        <f>IF(X1865&lt;$AF$1,"Bajo","Alto")</f>
        <v>Bajo</v>
      </c>
      <c r="AG1865" t="str">
        <f>LEFT(AE1865,1)</f>
        <v>C</v>
      </c>
      <c r="AH1865" t="str">
        <f>K1865</f>
        <v>M</v>
      </c>
      <c r="AI1865" t="str">
        <f>LEFT(AF1865,1)</f>
        <v>B</v>
      </c>
      <c r="AJ1865" t="str">
        <f>LEFT(M1865,1)</f>
        <v>M</v>
      </c>
      <c r="AK1865" t="str">
        <f>_xlfn.CONCAT(AG1865,AH1865,AI1865,AJ1865)</f>
        <v>CMBM</v>
      </c>
    </row>
    <row r="1866" spans="1:37" ht="15.75" hidden="1" customHeight="1" x14ac:dyDescent="0.2">
      <c r="A1866" s="1">
        <v>10122603</v>
      </c>
      <c r="B1866" s="1" t="s">
        <v>29</v>
      </c>
      <c r="C1866" s="1" t="s">
        <v>30</v>
      </c>
      <c r="D1866" s="1" t="s">
        <v>430</v>
      </c>
      <c r="E1866" s="1" t="s">
        <v>431</v>
      </c>
      <c r="F1866" s="1" t="s">
        <v>63</v>
      </c>
      <c r="G1866" s="1" t="s">
        <v>433</v>
      </c>
      <c r="H1866" s="1">
        <v>2885</v>
      </c>
      <c r="I1866" s="1" t="s">
        <v>65</v>
      </c>
      <c r="J1866" s="1">
        <v>2</v>
      </c>
      <c r="K1866" s="1" t="s">
        <v>49</v>
      </c>
      <c r="L1866" s="1">
        <v>39</v>
      </c>
      <c r="M1866" s="1" t="str">
        <f>IF(L1866&lt;=45,"Joven","Mayor")</f>
        <v>Joven</v>
      </c>
      <c r="N1866" s="1">
        <v>24</v>
      </c>
      <c r="O1866" s="1" t="s">
        <v>50</v>
      </c>
      <c r="P1866" s="1">
        <v>0.47299999999999998</v>
      </c>
      <c r="Q1866" s="1">
        <v>83.605999999999995</v>
      </c>
      <c r="R1866" s="1">
        <v>7.8435782999999999</v>
      </c>
      <c r="S1866" s="1">
        <v>7.8736230000000003</v>
      </c>
      <c r="T1866" s="1">
        <v>-9.4512239999999998</v>
      </c>
      <c r="U1866" s="1">
        <v>58.551000000000002</v>
      </c>
      <c r="V1866" s="1">
        <v>67</v>
      </c>
      <c r="W1866" s="1">
        <v>115</v>
      </c>
      <c r="X1866" s="1">
        <v>1.7164179104477613</v>
      </c>
      <c r="Y1866" s="1">
        <v>74</v>
      </c>
      <c r="Z1866" s="1">
        <v>115</v>
      </c>
      <c r="AA1866" s="1">
        <v>1.5540540540540539</v>
      </c>
      <c r="AB1866" s="1">
        <v>71.837802394351229</v>
      </c>
      <c r="AC1866" s="1">
        <v>114.9168324624743</v>
      </c>
      <c r="AD1866" s="1">
        <v>1.5996707670933776</v>
      </c>
      <c r="AE1866" t="s">
        <v>4817</v>
      </c>
      <c r="AF1866" t="str">
        <f>IF(X1866&lt;$AF$1,"Bajo","Alto")</f>
        <v>Bajo</v>
      </c>
      <c r="AG1866" t="str">
        <f>LEFT(AE1866,1)</f>
        <v>C</v>
      </c>
      <c r="AH1866" t="str">
        <f>K1866</f>
        <v>F</v>
      </c>
      <c r="AI1866" t="str">
        <f>LEFT(AF1866,1)</f>
        <v>B</v>
      </c>
      <c r="AJ1866" t="str">
        <f>LEFT(M1866,1)</f>
        <v>J</v>
      </c>
      <c r="AK1866" t="str">
        <f>_xlfn.CONCAT(AG1866,AH1866,AI1866,AJ1866)</f>
        <v>CFBJ</v>
      </c>
    </row>
    <row r="1867" spans="1:37" ht="15.75" hidden="1" customHeight="1" x14ac:dyDescent="0.2">
      <c r="A1867" s="1">
        <v>2510003</v>
      </c>
      <c r="B1867" s="1" t="s">
        <v>3169</v>
      </c>
      <c r="C1867" s="1" t="s">
        <v>821</v>
      </c>
      <c r="D1867" s="1" t="s">
        <v>3192</v>
      </c>
      <c r="E1867" s="1" t="s">
        <v>70</v>
      </c>
      <c r="F1867" s="1" t="s">
        <v>63</v>
      </c>
      <c r="G1867" s="1" t="s">
        <v>3194</v>
      </c>
      <c r="H1867" s="1">
        <v>6986</v>
      </c>
      <c r="I1867" s="1" t="s">
        <v>108</v>
      </c>
      <c r="J1867" s="1">
        <v>3</v>
      </c>
      <c r="K1867" s="1" t="s">
        <v>49</v>
      </c>
      <c r="L1867" s="1">
        <v>51</v>
      </c>
      <c r="M1867" s="1" t="str">
        <f>IF(L1867&lt;=45,"Joven","Mayor")</f>
        <v>Mayor</v>
      </c>
      <c r="N1867" s="1">
        <v>50</v>
      </c>
      <c r="O1867" s="1" t="s">
        <v>50</v>
      </c>
      <c r="P1867" s="1">
        <v>0.36699999999999999</v>
      </c>
      <c r="Q1867" s="1">
        <v>89.027000000000001</v>
      </c>
      <c r="R1867" s="1">
        <v>-3.4805098000000001</v>
      </c>
      <c r="S1867" s="1">
        <v>10.252164</v>
      </c>
      <c r="T1867" s="1">
        <v>5.287407</v>
      </c>
      <c r="U1867" s="1">
        <v>61.048000000000002</v>
      </c>
      <c r="V1867" s="1">
        <v>99</v>
      </c>
      <c r="W1867" s="1">
        <v>167</v>
      </c>
      <c r="X1867" s="1">
        <v>1.6868686868686869</v>
      </c>
      <c r="Y1867" s="1">
        <v>110</v>
      </c>
      <c r="Z1867" s="1">
        <v>167</v>
      </c>
      <c r="AA1867" s="1">
        <v>1.5181818181818181</v>
      </c>
      <c r="AB1867" s="1">
        <v>105.93802969497639</v>
      </c>
      <c r="AC1867" s="1">
        <v>167.57953532370681</v>
      </c>
      <c r="AD1867" s="1">
        <v>1.5818638104391087</v>
      </c>
      <c r="AE1867" t="s">
        <v>4817</v>
      </c>
      <c r="AF1867" t="str">
        <f>IF(X1867&lt;$AF$1,"Bajo","Alto")</f>
        <v>Bajo</v>
      </c>
      <c r="AG1867" t="str">
        <f>LEFT(AE1867,1)</f>
        <v>C</v>
      </c>
      <c r="AH1867" t="str">
        <f>K1867</f>
        <v>F</v>
      </c>
      <c r="AI1867" t="str">
        <f>LEFT(AF1867,1)</f>
        <v>B</v>
      </c>
      <c r="AJ1867" t="str">
        <f>LEFT(M1867,1)</f>
        <v>M</v>
      </c>
      <c r="AK1867" t="str">
        <f>_xlfn.CONCAT(AG1867,AH1867,AI1867,AJ1867)</f>
        <v>CFBM</v>
      </c>
    </row>
    <row r="1868" spans="1:37" ht="15.75" hidden="1" customHeight="1" x14ac:dyDescent="0.2">
      <c r="A1868" s="1">
        <v>10723203</v>
      </c>
      <c r="B1868" s="1" t="s">
        <v>1067</v>
      </c>
      <c r="C1868" s="1" t="s">
        <v>1068</v>
      </c>
      <c r="D1868" s="1" t="s">
        <v>1250</v>
      </c>
      <c r="E1868" s="1" t="s">
        <v>461</v>
      </c>
      <c r="F1868" s="1" t="s">
        <v>63</v>
      </c>
      <c r="G1868" s="1" t="s">
        <v>1252</v>
      </c>
      <c r="H1868" s="1">
        <v>665</v>
      </c>
      <c r="I1868" s="1" t="s">
        <v>48</v>
      </c>
      <c r="J1868" s="1">
        <v>4</v>
      </c>
      <c r="K1868" s="1" t="s">
        <v>35</v>
      </c>
      <c r="L1868" s="1">
        <v>46</v>
      </c>
      <c r="M1868" s="1" t="str">
        <f>IF(L1868&lt;=45,"Joven","Mayor")</f>
        <v>Mayor</v>
      </c>
      <c r="N1868" s="1">
        <v>56</v>
      </c>
      <c r="O1868" s="1" t="s">
        <v>36</v>
      </c>
      <c r="P1868" s="1">
        <v>0.44800000000000001</v>
      </c>
      <c r="Q1868" s="1">
        <v>92.150999999999996</v>
      </c>
      <c r="R1868" s="1">
        <v>-2.3940999999999999</v>
      </c>
      <c r="S1868" s="1">
        <v>-6.0982580000000004</v>
      </c>
      <c r="T1868" s="1">
        <v>7.8762499999999998</v>
      </c>
      <c r="U1868" s="1">
        <v>2.7749999999999999</v>
      </c>
      <c r="V1868" s="1">
        <v>95</v>
      </c>
      <c r="W1868" s="1">
        <v>162</v>
      </c>
      <c r="X1868" s="1">
        <v>1.7052631578947368</v>
      </c>
      <c r="Y1868" s="1">
        <v>103</v>
      </c>
      <c r="Z1868" s="1">
        <v>162</v>
      </c>
      <c r="AA1868" s="1">
        <v>1.5728155339805825</v>
      </c>
      <c r="AB1868" s="1">
        <v>101.0925349294296</v>
      </c>
      <c r="AC1868" s="1">
        <v>162.25319025484211</v>
      </c>
      <c r="AD1868" s="1">
        <v>1.604996752412108</v>
      </c>
      <c r="AE1868" t="s">
        <v>4817</v>
      </c>
      <c r="AF1868" t="str">
        <f>IF(X1868&lt;$AF$1,"Bajo","Alto")</f>
        <v>Bajo</v>
      </c>
      <c r="AG1868" t="str">
        <f>LEFT(AE1868,1)</f>
        <v>C</v>
      </c>
      <c r="AH1868" t="str">
        <f>K1868</f>
        <v>M</v>
      </c>
      <c r="AI1868" t="str">
        <f>LEFT(AF1868,1)</f>
        <v>B</v>
      </c>
      <c r="AJ1868" t="str">
        <f>LEFT(M1868,1)</f>
        <v>M</v>
      </c>
      <c r="AK1868" t="str">
        <f>_xlfn.CONCAT(AG1868,AH1868,AI1868,AJ1868)</f>
        <v>CMBM</v>
      </c>
    </row>
    <row r="1869" spans="1:37" ht="15.75" hidden="1" customHeight="1" x14ac:dyDescent="0.2">
      <c r="A1869" s="1">
        <v>116002</v>
      </c>
      <c r="B1869" s="1" t="s">
        <v>1648</v>
      </c>
      <c r="C1869" s="1" t="s">
        <v>51</v>
      </c>
      <c r="D1869" s="1" t="s">
        <v>1735</v>
      </c>
      <c r="E1869" s="1" t="s">
        <v>1458</v>
      </c>
      <c r="F1869" s="1" t="s">
        <v>37</v>
      </c>
      <c r="G1869" s="1" t="s">
        <v>1736</v>
      </c>
      <c r="H1869" s="1">
        <v>634</v>
      </c>
      <c r="I1869" s="1" t="s">
        <v>85</v>
      </c>
      <c r="J1869" s="1">
        <v>12</v>
      </c>
      <c r="K1869" s="1" t="s">
        <v>35</v>
      </c>
      <c r="L1869" s="1">
        <v>31</v>
      </c>
      <c r="M1869" s="1" t="str">
        <f>IF(L1869&lt;=45,"Joven","Mayor")</f>
        <v>Joven</v>
      </c>
      <c r="N1869" s="1">
        <v>30</v>
      </c>
      <c r="O1869" s="1" t="s">
        <v>36</v>
      </c>
      <c r="P1869" s="1">
        <v>0.36099999999999999</v>
      </c>
      <c r="Q1869" s="1">
        <v>91.210999999999999</v>
      </c>
      <c r="R1869" s="1">
        <v>4.2452106000000001</v>
      </c>
      <c r="S1869" s="1">
        <v>4.2006969999999999</v>
      </c>
      <c r="T1869" s="1">
        <v>-2.5499463000000002</v>
      </c>
      <c r="U1869" s="1">
        <v>0.13</v>
      </c>
      <c r="V1869" s="1">
        <v>99</v>
      </c>
      <c r="W1869" s="1">
        <v>171</v>
      </c>
      <c r="X1869" s="1">
        <v>1.7272727272727273</v>
      </c>
      <c r="Y1869" s="1">
        <v>102</v>
      </c>
      <c r="Z1869" s="1">
        <v>171</v>
      </c>
      <c r="AA1869" s="1">
        <v>1.6764705882352942</v>
      </c>
      <c r="AB1869" s="1">
        <v>103.8565732219956</v>
      </c>
      <c r="AC1869" s="1">
        <v>170.697208035182</v>
      </c>
      <c r="AD1869" s="1">
        <v>1.6435859834342228</v>
      </c>
      <c r="AE1869" t="s">
        <v>4815</v>
      </c>
      <c r="AF1869" t="str">
        <f>IF(X1869&lt;$AF$1,"Bajo","Alto")</f>
        <v>Bajo</v>
      </c>
      <c r="AG1869" t="str">
        <f>LEFT(AE1869,1)</f>
        <v>I</v>
      </c>
      <c r="AH1869" t="str">
        <f>K1869</f>
        <v>M</v>
      </c>
      <c r="AI1869" t="str">
        <f>LEFT(AF1869,1)</f>
        <v>B</v>
      </c>
      <c r="AJ1869" t="str">
        <f>LEFT(M1869,1)</f>
        <v>J</v>
      </c>
      <c r="AK1869" t="str">
        <f>_xlfn.CONCAT(AG1869,AH1869,AI1869,AJ1869)</f>
        <v>IMBJ</v>
      </c>
    </row>
    <row r="1870" spans="1:37" ht="15.75" hidden="1" customHeight="1" x14ac:dyDescent="0.2">
      <c r="A1870" s="1">
        <v>1032207</v>
      </c>
      <c r="B1870" s="1" t="s">
        <v>783</v>
      </c>
      <c r="C1870" s="1" t="s">
        <v>81</v>
      </c>
      <c r="D1870" s="1" t="s">
        <v>816</v>
      </c>
      <c r="E1870" s="1" t="s">
        <v>418</v>
      </c>
      <c r="F1870" s="1" t="s">
        <v>43</v>
      </c>
      <c r="G1870" s="1" t="s">
        <v>818</v>
      </c>
      <c r="H1870" s="1">
        <v>18092</v>
      </c>
      <c r="I1870" s="1" t="s">
        <v>108</v>
      </c>
      <c r="J1870" s="1">
        <v>3</v>
      </c>
      <c r="K1870" s="1" t="s">
        <v>35</v>
      </c>
      <c r="L1870" s="1">
        <v>38</v>
      </c>
      <c r="M1870" s="1" t="str">
        <f>IF(L1870&lt;=45,"Joven","Mayor")</f>
        <v>Joven</v>
      </c>
      <c r="N1870" s="1">
        <v>39</v>
      </c>
      <c r="O1870" s="1" t="s">
        <v>36</v>
      </c>
      <c r="P1870" s="1">
        <v>0.36599999999999999</v>
      </c>
      <c r="Q1870" s="1">
        <v>85.974000000000004</v>
      </c>
      <c r="R1870" s="1">
        <v>6.2804117000000002</v>
      </c>
      <c r="S1870" s="1">
        <v>8.9786750000000008</v>
      </c>
      <c r="T1870" s="1">
        <v>-5.7244754000000002</v>
      </c>
      <c r="U1870" s="1">
        <v>28.757999999999999</v>
      </c>
      <c r="V1870" s="1">
        <v>100</v>
      </c>
      <c r="W1870" s="1">
        <v>183</v>
      </c>
      <c r="X1870" s="1">
        <v>1.83</v>
      </c>
      <c r="Y1870" s="1">
        <v>100</v>
      </c>
      <c r="Z1870" s="1">
        <v>183</v>
      </c>
      <c r="AA1870" s="1">
        <v>1.83</v>
      </c>
      <c r="AB1870" s="1">
        <v>104.7877798694869</v>
      </c>
      <c r="AC1870" s="1">
        <v>182.48636775898419</v>
      </c>
      <c r="AD1870" s="1">
        <v>1.7414851997653813</v>
      </c>
      <c r="AE1870" t="s">
        <v>4817</v>
      </c>
      <c r="AF1870" t="str">
        <f>IF(X1870&lt;$AF$1,"Bajo","Alto")</f>
        <v>Alto</v>
      </c>
      <c r="AG1870" t="str">
        <f>LEFT(AE1870,1)</f>
        <v>C</v>
      </c>
      <c r="AH1870" t="str">
        <f>K1870</f>
        <v>M</v>
      </c>
      <c r="AI1870" t="str">
        <f>LEFT(AF1870,1)</f>
        <v>A</v>
      </c>
      <c r="AJ1870" t="str">
        <f>LEFT(M1870,1)</f>
        <v>J</v>
      </c>
      <c r="AK1870" t="str">
        <f>_xlfn.CONCAT(AG1870,AH1870,AI1870,AJ1870)</f>
        <v>CMAJ</v>
      </c>
    </row>
    <row r="1871" spans="1:37" ht="15.75" hidden="1" customHeight="1" x14ac:dyDescent="0.2">
      <c r="A1871" s="1">
        <v>1059703</v>
      </c>
      <c r="B1871" s="1" t="s">
        <v>694</v>
      </c>
      <c r="C1871" s="1" t="s">
        <v>879</v>
      </c>
      <c r="D1871" s="1" t="s">
        <v>1060</v>
      </c>
      <c r="E1871" s="1" t="s">
        <v>781</v>
      </c>
      <c r="F1871" s="1" t="s">
        <v>63</v>
      </c>
      <c r="G1871" s="1" t="s">
        <v>1063</v>
      </c>
      <c r="H1871" s="1">
        <v>2800</v>
      </c>
      <c r="I1871" s="1" t="s">
        <v>65</v>
      </c>
      <c r="J1871" s="1">
        <v>2</v>
      </c>
      <c r="K1871" s="1" t="s">
        <v>35</v>
      </c>
      <c r="L1871" s="1">
        <v>61</v>
      </c>
      <c r="M1871" s="1" t="str">
        <f>IF(L1871&lt;=45,"Joven","Mayor")</f>
        <v>Mayor</v>
      </c>
      <c r="N1871" s="1">
        <v>65</v>
      </c>
      <c r="O1871" s="1" t="s">
        <v>36</v>
      </c>
      <c r="P1871" s="1">
        <v>0.436</v>
      </c>
      <c r="Q1871" s="1">
        <v>87.191000000000003</v>
      </c>
      <c r="R1871" s="1">
        <v>5.1076864999999998</v>
      </c>
      <c r="S1871" s="1">
        <v>-9.8425989999999999</v>
      </c>
      <c r="T1871" s="1">
        <v>-1.3299384999999999</v>
      </c>
      <c r="U1871" s="1">
        <v>1.742</v>
      </c>
      <c r="V1871" s="1">
        <v>119</v>
      </c>
      <c r="W1871" s="1">
        <v>203</v>
      </c>
      <c r="X1871" s="1">
        <v>1.7058823529411764</v>
      </c>
      <c r="Y1871" s="1">
        <v>119</v>
      </c>
      <c r="Z1871" s="1">
        <v>203</v>
      </c>
      <c r="AA1871" s="1">
        <v>1.7058823529411764</v>
      </c>
      <c r="AB1871" s="1">
        <v>120.31410739663509</v>
      </c>
      <c r="AC1871" s="1">
        <v>203.01494464526741</v>
      </c>
      <c r="AD1871" s="1">
        <v>1.6873743988807191</v>
      </c>
      <c r="AE1871" t="s">
        <v>4817</v>
      </c>
      <c r="AF1871" t="str">
        <f>IF(X1871&lt;$AF$1,"Bajo","Alto")</f>
        <v>Bajo</v>
      </c>
      <c r="AG1871" t="str">
        <f>LEFT(AE1871,1)</f>
        <v>C</v>
      </c>
      <c r="AH1871" t="str">
        <f>K1871</f>
        <v>M</v>
      </c>
      <c r="AI1871" t="str">
        <f>LEFT(AF1871,1)</f>
        <v>B</v>
      </c>
      <c r="AJ1871" t="str">
        <f>LEFT(M1871,1)</f>
        <v>M</v>
      </c>
      <c r="AK1871" t="str">
        <f>_xlfn.CONCAT(AG1871,AH1871,AI1871,AJ1871)</f>
        <v>CMBM</v>
      </c>
    </row>
    <row r="1872" spans="1:37" ht="15.75" hidden="1" customHeight="1" x14ac:dyDescent="0.2">
      <c r="A1872" s="1">
        <v>2710902</v>
      </c>
      <c r="B1872" s="1" t="s">
        <v>3409</v>
      </c>
      <c r="C1872" s="1" t="s">
        <v>973</v>
      </c>
      <c r="D1872" s="1" t="s">
        <v>3437</v>
      </c>
      <c r="E1872" s="1" t="s">
        <v>98</v>
      </c>
      <c r="F1872" s="1" t="s">
        <v>37</v>
      </c>
      <c r="G1872" s="1" t="s">
        <v>3439</v>
      </c>
      <c r="H1872" s="1">
        <v>24</v>
      </c>
      <c r="I1872" s="1" t="s">
        <v>3440</v>
      </c>
      <c r="J1872" s="1">
        <v>391</v>
      </c>
      <c r="K1872" s="1" t="s">
        <v>49</v>
      </c>
      <c r="L1872" s="1">
        <v>31</v>
      </c>
      <c r="M1872" s="1" t="str">
        <f>IF(L1872&lt;=45,"Joven","Mayor")</f>
        <v>Joven</v>
      </c>
      <c r="N1872" s="1">
        <v>36</v>
      </c>
      <c r="O1872" s="1" t="s">
        <v>50</v>
      </c>
      <c r="P1872" s="1">
        <v>0.40500000000000003</v>
      </c>
      <c r="Q1872" s="1">
        <v>87.481999999999999</v>
      </c>
      <c r="R1872" s="1">
        <v>5.3966893999999996</v>
      </c>
      <c r="S1872" s="1">
        <v>8.8624980000000004</v>
      </c>
      <c r="T1872" s="1">
        <v>-3.7529110000000001</v>
      </c>
      <c r="U1872" s="1">
        <v>54.22</v>
      </c>
      <c r="V1872" s="1">
        <v>99</v>
      </c>
      <c r="W1872" s="1">
        <v>170</v>
      </c>
      <c r="X1872" s="1">
        <v>1.7171717171717171</v>
      </c>
      <c r="Y1872" s="1">
        <v>102</v>
      </c>
      <c r="Z1872" s="1">
        <v>170</v>
      </c>
      <c r="AA1872" s="1">
        <v>1.6666666666666667</v>
      </c>
      <c r="AB1872" s="1">
        <v>101.929487996571</v>
      </c>
      <c r="AC1872" s="1">
        <v>169.9627209720411</v>
      </c>
      <c r="AD1872" s="1">
        <v>1.6674538871200726</v>
      </c>
      <c r="AE1872" t="s">
        <v>4817</v>
      </c>
      <c r="AF1872" t="str">
        <f>IF(X1872&lt;$AF$1,"Bajo","Alto")</f>
        <v>Bajo</v>
      </c>
      <c r="AG1872" t="str">
        <f>LEFT(AE1872,1)</f>
        <v>C</v>
      </c>
      <c r="AH1872" t="str">
        <f>K1872</f>
        <v>F</v>
      </c>
      <c r="AI1872" t="str">
        <f>LEFT(AF1872,1)</f>
        <v>B</v>
      </c>
      <c r="AJ1872" t="str">
        <f>LEFT(M1872,1)</f>
        <v>J</v>
      </c>
      <c r="AK1872" t="str">
        <f>_xlfn.CONCAT(AG1872,AH1872,AI1872,AJ1872)</f>
        <v>CFBJ</v>
      </c>
    </row>
    <row r="1873" spans="1:37" ht="15.75" customHeight="1" x14ac:dyDescent="0.2">
      <c r="A1873" s="1">
        <v>257607</v>
      </c>
      <c r="B1873" s="1" t="s">
        <v>3169</v>
      </c>
      <c r="C1873" s="1" t="s">
        <v>821</v>
      </c>
      <c r="D1873" s="1" t="s">
        <v>3315</v>
      </c>
      <c r="E1873" s="1" t="s">
        <v>727</v>
      </c>
      <c r="F1873" s="1" t="s">
        <v>43</v>
      </c>
      <c r="G1873" s="1" t="s">
        <v>3321</v>
      </c>
      <c r="H1873" s="1">
        <v>1762</v>
      </c>
      <c r="I1873" s="1" t="s">
        <v>3322</v>
      </c>
      <c r="J1873" s="1">
        <v>3507</v>
      </c>
      <c r="K1873" s="1" t="s">
        <v>35</v>
      </c>
      <c r="L1873" s="1">
        <v>44</v>
      </c>
      <c r="M1873" s="1" t="str">
        <f>IF(L1873&lt;=45,"Joven","Mayor")</f>
        <v>Joven</v>
      </c>
      <c r="N1873" s="1">
        <v>46</v>
      </c>
      <c r="O1873" s="1" t="s">
        <v>36</v>
      </c>
      <c r="P1873" s="1">
        <v>5.3999999999999999E-2</v>
      </c>
      <c r="Q1873" s="1">
        <v>92.307000000000002</v>
      </c>
      <c r="R1873" s="1">
        <v>-4.0633910000000002</v>
      </c>
      <c r="S1873" s="1">
        <v>1.1763395000000001</v>
      </c>
      <c r="T1873" s="1">
        <v>-0.40311079999999999</v>
      </c>
      <c r="U1873" s="1">
        <v>3.2919999999999998</v>
      </c>
      <c r="V1873" s="1">
        <v>84</v>
      </c>
      <c r="W1873" s="1">
        <v>151</v>
      </c>
      <c r="X1873" s="1">
        <v>1.7976190476190477</v>
      </c>
      <c r="Y1873" s="1">
        <v>84</v>
      </c>
      <c r="Z1873" s="1">
        <v>151</v>
      </c>
      <c r="AA1873" s="1">
        <v>1.7976190476190477</v>
      </c>
      <c r="AB1873" s="1">
        <v>84.307485333561317</v>
      </c>
      <c r="AC1873" s="1">
        <v>151.03144054248651</v>
      </c>
      <c r="AD1873" s="1">
        <v>1.7914357182512661</v>
      </c>
      <c r="AE1873" t="s">
        <v>4818</v>
      </c>
      <c r="AF1873" t="str">
        <f>IF(X1873&lt;$AF$1,"Bajo","Alto")</f>
        <v>Alto</v>
      </c>
      <c r="AG1873" t="str">
        <f>LEFT(AE1873,1)</f>
        <v>S</v>
      </c>
      <c r="AH1873" t="str">
        <f>K1873</f>
        <v>M</v>
      </c>
      <c r="AI1873" t="str">
        <f>LEFT(AF1873,1)</f>
        <v>A</v>
      </c>
      <c r="AJ1873" t="str">
        <f>LEFT(M1873,1)</f>
        <v>J</v>
      </c>
      <c r="AK1873" t="str">
        <f>_xlfn.CONCAT(AG1873,AH1873,AI1873,AJ1873)</f>
        <v>SMAJ</v>
      </c>
    </row>
    <row r="1874" spans="1:37" ht="15.75" hidden="1" customHeight="1" x14ac:dyDescent="0.2">
      <c r="A1874" s="1">
        <v>197401</v>
      </c>
      <c r="B1874" s="1" t="s">
        <v>2656</v>
      </c>
      <c r="C1874" s="1" t="s">
        <v>323</v>
      </c>
      <c r="D1874" s="1" t="s">
        <v>1286</v>
      </c>
      <c r="E1874" s="1" t="s">
        <v>2786</v>
      </c>
      <c r="F1874" s="1" t="s">
        <v>32</v>
      </c>
      <c r="G1874" s="1" t="s">
        <v>2787</v>
      </c>
      <c r="H1874" s="1">
        <v>2062</v>
      </c>
      <c r="I1874" s="1" t="s">
        <v>39</v>
      </c>
      <c r="J1874" s="1">
        <v>11</v>
      </c>
      <c r="K1874" s="1" t="s">
        <v>49</v>
      </c>
      <c r="L1874" s="1">
        <v>37</v>
      </c>
      <c r="M1874" s="1" t="str">
        <f>IF(L1874&lt;=45,"Joven","Mayor")</f>
        <v>Joven</v>
      </c>
      <c r="N1874" s="1">
        <v>30</v>
      </c>
      <c r="O1874" s="1" t="s">
        <v>50</v>
      </c>
      <c r="P1874" s="1">
        <v>0.32400000000000001</v>
      </c>
      <c r="Q1874" s="1">
        <v>70.897999999999996</v>
      </c>
      <c r="R1874" s="1">
        <v>12.42051</v>
      </c>
      <c r="S1874" s="1">
        <v>-4.1822499999999998</v>
      </c>
      <c r="T1874" s="1">
        <v>-9.2820289999999996</v>
      </c>
      <c r="U1874" s="1">
        <v>29.940999999999999</v>
      </c>
      <c r="V1874" s="1">
        <v>92</v>
      </c>
      <c r="W1874" s="1">
        <v>157</v>
      </c>
      <c r="X1874" s="1">
        <v>1.7065217391304348</v>
      </c>
      <c r="Y1874" s="1">
        <v>99</v>
      </c>
      <c r="Z1874" s="1">
        <v>157</v>
      </c>
      <c r="AA1874" s="1">
        <v>1.5858585858585859</v>
      </c>
      <c r="AB1874" s="1">
        <v>96.763273160401923</v>
      </c>
      <c r="AC1874" s="1">
        <v>155.58947492989179</v>
      </c>
      <c r="AD1874" s="1">
        <v>1.6079393539320981</v>
      </c>
      <c r="AE1874" t="s">
        <v>4816</v>
      </c>
      <c r="AF1874" t="str">
        <f>IF(X1874&lt;$AF$1,"Bajo","Alto")</f>
        <v>Bajo</v>
      </c>
      <c r="AG1874" t="str">
        <f>LEFT(AE1874,1)</f>
        <v>D</v>
      </c>
      <c r="AH1874" t="str">
        <f>K1874</f>
        <v>F</v>
      </c>
      <c r="AI1874" t="str">
        <f>LEFT(AF1874,1)</f>
        <v>B</v>
      </c>
      <c r="AJ1874" t="str">
        <f>LEFT(M1874,1)</f>
        <v>J</v>
      </c>
      <c r="AK1874" t="str">
        <f>_xlfn.CONCAT(AG1874,AH1874,AI1874,AJ1874)</f>
        <v>DFBJ</v>
      </c>
    </row>
    <row r="1875" spans="1:37" ht="15.75" hidden="1" customHeight="1" x14ac:dyDescent="0.2">
      <c r="A1875" s="1">
        <v>314005</v>
      </c>
      <c r="B1875" s="1" t="s">
        <v>4122</v>
      </c>
      <c r="C1875" s="1" t="s">
        <v>628</v>
      </c>
      <c r="D1875" s="1" t="s">
        <v>4214</v>
      </c>
      <c r="E1875" s="1" t="s">
        <v>657</v>
      </c>
      <c r="F1875" s="1" t="s">
        <v>40</v>
      </c>
      <c r="G1875" s="1" t="s">
        <v>4216</v>
      </c>
      <c r="H1875" s="1">
        <v>2045</v>
      </c>
      <c r="I1875" s="1" t="s">
        <v>4217</v>
      </c>
      <c r="J1875" s="1">
        <v>4102</v>
      </c>
      <c r="K1875" s="1" t="s">
        <v>35</v>
      </c>
      <c r="L1875" s="1">
        <v>40</v>
      </c>
      <c r="M1875" s="1" t="str">
        <f>IF(L1875&lt;=45,"Joven","Mayor")</f>
        <v>Joven</v>
      </c>
      <c r="N1875" s="1">
        <v>36</v>
      </c>
      <c r="O1875" s="1" t="s">
        <v>36</v>
      </c>
      <c r="P1875" s="1">
        <v>0.35899999999999999</v>
      </c>
      <c r="Q1875" s="1">
        <v>91.366</v>
      </c>
      <c r="R1875" s="1">
        <v>-2.3857954000000001</v>
      </c>
      <c r="S1875" s="1">
        <v>-8.0501889999999996</v>
      </c>
      <c r="T1875" s="1">
        <v>-2.4954429999999999</v>
      </c>
      <c r="U1875" s="1">
        <v>29.678999999999998</v>
      </c>
      <c r="V1875" s="1">
        <v>93</v>
      </c>
      <c r="W1875" s="1">
        <v>169</v>
      </c>
      <c r="X1875" s="1">
        <v>1.8172043010752688</v>
      </c>
      <c r="Y1875" s="1">
        <v>94</v>
      </c>
      <c r="Z1875" s="1">
        <v>169</v>
      </c>
      <c r="AA1875" s="1">
        <v>1.7978723404255319</v>
      </c>
      <c r="AB1875" s="1">
        <v>95.045263439130395</v>
      </c>
      <c r="AC1875" s="1">
        <v>169.10097478668919</v>
      </c>
      <c r="AD1875" s="1">
        <v>1.7791625660018935</v>
      </c>
      <c r="AE1875" t="s">
        <v>4815</v>
      </c>
      <c r="AF1875" t="str">
        <f>IF(X1875&lt;$AF$1,"Bajo","Alto")</f>
        <v>Alto</v>
      </c>
      <c r="AG1875" t="str">
        <f>LEFT(AE1875,1)</f>
        <v>I</v>
      </c>
      <c r="AH1875" t="str">
        <f>K1875</f>
        <v>M</v>
      </c>
      <c r="AI1875" t="str">
        <f>LEFT(AF1875,1)</f>
        <v>A</v>
      </c>
      <c r="AJ1875" t="str">
        <f>LEFT(M1875,1)</f>
        <v>J</v>
      </c>
      <c r="AK1875" t="str">
        <f>_xlfn.CONCAT(AG1875,AH1875,AI1875,AJ1875)</f>
        <v>IMAJ</v>
      </c>
    </row>
    <row r="1876" spans="1:37" ht="15.75" hidden="1" customHeight="1" x14ac:dyDescent="0.2">
      <c r="A1876" s="1">
        <v>190101</v>
      </c>
      <c r="B1876" s="1" t="s">
        <v>2656</v>
      </c>
      <c r="C1876" s="1" t="s">
        <v>323</v>
      </c>
      <c r="D1876" s="1" t="s">
        <v>2657</v>
      </c>
      <c r="E1876" s="1" t="s">
        <v>32</v>
      </c>
      <c r="F1876" s="1" t="s">
        <v>32</v>
      </c>
      <c r="G1876" s="1" t="s">
        <v>2658</v>
      </c>
      <c r="H1876" s="1">
        <v>18666</v>
      </c>
      <c r="I1876" s="1" t="s">
        <v>39</v>
      </c>
      <c r="J1876" s="1">
        <v>11</v>
      </c>
      <c r="K1876" s="1" t="s">
        <v>49</v>
      </c>
      <c r="L1876" s="1">
        <v>48</v>
      </c>
      <c r="M1876" s="1" t="str">
        <f>IF(L1876&lt;=45,"Joven","Mayor")</f>
        <v>Mayor</v>
      </c>
      <c r="N1876" s="1">
        <v>58</v>
      </c>
      <c r="O1876" s="1" t="s">
        <v>50</v>
      </c>
      <c r="P1876" s="1">
        <v>3.5999999999999997E-2</v>
      </c>
      <c r="Q1876" s="1">
        <v>93.513999999999996</v>
      </c>
      <c r="R1876" s="1">
        <v>1.3153877</v>
      </c>
      <c r="S1876" s="1">
        <v>4.4108242999999998</v>
      </c>
      <c r="T1876" s="1">
        <v>-2.8442883000000001</v>
      </c>
      <c r="U1876" s="1">
        <v>63.366999999999997</v>
      </c>
      <c r="V1876" s="1">
        <v>129</v>
      </c>
      <c r="W1876" s="1">
        <v>218</v>
      </c>
      <c r="X1876" s="1">
        <v>1.6899224806201549</v>
      </c>
      <c r="Y1876" s="1">
        <v>130</v>
      </c>
      <c r="Z1876" s="1">
        <v>218</v>
      </c>
      <c r="AA1876" s="1">
        <v>1.676923076923077</v>
      </c>
      <c r="AB1876" s="1">
        <v>132.37056255564991</v>
      </c>
      <c r="AC1876" s="1">
        <v>217.28484499020939</v>
      </c>
      <c r="AD1876" s="1">
        <v>1.6414891709692678</v>
      </c>
      <c r="AE1876" t="s">
        <v>4816</v>
      </c>
      <c r="AF1876" t="str">
        <f>IF(X1876&lt;$AF$1,"Bajo","Alto")</f>
        <v>Bajo</v>
      </c>
      <c r="AG1876" t="str">
        <f>LEFT(AE1876,1)</f>
        <v>D</v>
      </c>
      <c r="AH1876" t="str">
        <f>K1876</f>
        <v>F</v>
      </c>
      <c r="AI1876" t="str">
        <f>LEFT(AF1876,1)</f>
        <v>B</v>
      </c>
      <c r="AJ1876" t="str">
        <f>LEFT(M1876,1)</f>
        <v>M</v>
      </c>
      <c r="AK1876" t="str">
        <f>_xlfn.CONCAT(AG1876,AH1876,AI1876,AJ1876)</f>
        <v>DFBM</v>
      </c>
    </row>
    <row r="1877" spans="1:37" ht="15.75" hidden="1" customHeight="1" x14ac:dyDescent="0.2">
      <c r="A1877" s="1">
        <v>313702</v>
      </c>
      <c r="B1877" s="1" t="s">
        <v>4122</v>
      </c>
      <c r="C1877" s="1" t="s">
        <v>628</v>
      </c>
      <c r="D1877" s="1" t="s">
        <v>4210</v>
      </c>
      <c r="E1877" s="1" t="s">
        <v>647</v>
      </c>
      <c r="F1877" s="1" t="s">
        <v>37</v>
      </c>
      <c r="G1877" s="1" t="s">
        <v>4212</v>
      </c>
      <c r="H1877" s="1">
        <v>2438</v>
      </c>
      <c r="I1877" s="1" t="s">
        <v>45</v>
      </c>
      <c r="J1877" s="1">
        <v>17</v>
      </c>
      <c r="K1877" s="1" t="s">
        <v>35</v>
      </c>
      <c r="L1877" s="1">
        <v>51</v>
      </c>
      <c r="M1877" s="1" t="str">
        <f>IF(L1877&lt;=45,"Joven","Mayor")</f>
        <v>Mayor</v>
      </c>
      <c r="N1877" s="1">
        <v>58</v>
      </c>
      <c r="O1877" s="1" t="s">
        <v>36</v>
      </c>
      <c r="P1877" s="1">
        <v>3.2000000000000001E-2</v>
      </c>
      <c r="Q1877" s="1">
        <v>90.224000000000004</v>
      </c>
      <c r="R1877" s="1">
        <v>5.2506909999999998</v>
      </c>
      <c r="S1877" s="1">
        <v>4.1395609999999996</v>
      </c>
      <c r="T1877" s="1">
        <v>-4.4449924999999997</v>
      </c>
      <c r="U1877" s="1">
        <v>9.9770000000000003</v>
      </c>
      <c r="V1877" s="1">
        <v>123</v>
      </c>
      <c r="W1877" s="1">
        <v>225</v>
      </c>
      <c r="X1877" s="1">
        <v>1.8292682926829269</v>
      </c>
      <c r="Y1877" s="1">
        <v>128</v>
      </c>
      <c r="Z1877" s="1">
        <v>225</v>
      </c>
      <c r="AA1877" s="1">
        <v>1.7578125</v>
      </c>
      <c r="AB1877" s="1">
        <v>127.3576599790176</v>
      </c>
      <c r="AC1877" s="1">
        <v>224.63325280171011</v>
      </c>
      <c r="AD1877" s="1">
        <v>1.7637985248686168</v>
      </c>
      <c r="AE1877" t="s">
        <v>4817</v>
      </c>
      <c r="AF1877" t="str">
        <f>IF(X1877&lt;$AF$1,"Bajo","Alto")</f>
        <v>Alto</v>
      </c>
      <c r="AG1877" t="str">
        <f>LEFT(AE1877,1)</f>
        <v>C</v>
      </c>
      <c r="AH1877" t="str">
        <f>K1877</f>
        <v>M</v>
      </c>
      <c r="AI1877" t="str">
        <f>LEFT(AF1877,1)</f>
        <v>A</v>
      </c>
      <c r="AJ1877" t="str">
        <f>LEFT(M1877,1)</f>
        <v>M</v>
      </c>
      <c r="AK1877" t="str">
        <f>_xlfn.CONCAT(AG1877,AH1877,AI1877,AJ1877)</f>
        <v>CMAM</v>
      </c>
    </row>
    <row r="1878" spans="1:37" ht="15.75" hidden="1" customHeight="1" x14ac:dyDescent="0.2">
      <c r="A1878" s="1">
        <v>173704</v>
      </c>
      <c r="B1878" s="1" t="s">
        <v>2551</v>
      </c>
      <c r="C1878" s="1" t="s">
        <v>2552</v>
      </c>
      <c r="D1878" s="1" t="s">
        <v>2632</v>
      </c>
      <c r="E1878" s="1" t="s">
        <v>647</v>
      </c>
      <c r="F1878" s="1" t="s">
        <v>61</v>
      </c>
      <c r="G1878" s="1" t="s">
        <v>2635</v>
      </c>
      <c r="H1878" s="1">
        <v>1340</v>
      </c>
      <c r="I1878" s="1" t="s">
        <v>65</v>
      </c>
      <c r="J1878" s="1">
        <v>2</v>
      </c>
      <c r="K1878" s="1" t="s">
        <v>49</v>
      </c>
      <c r="L1878" s="1">
        <v>38</v>
      </c>
      <c r="M1878" s="1" t="str">
        <f>IF(L1878&lt;=45,"Joven","Mayor")</f>
        <v>Joven</v>
      </c>
      <c r="N1878" s="1">
        <v>34</v>
      </c>
      <c r="O1878" s="1" t="s">
        <v>50</v>
      </c>
      <c r="P1878" s="1">
        <v>0.14199999999999999</v>
      </c>
      <c r="Q1878" s="1">
        <v>72.38</v>
      </c>
      <c r="R1878" s="1">
        <v>12.39293</v>
      </c>
      <c r="S1878" s="1">
        <v>2.4125277999999999</v>
      </c>
      <c r="T1878" s="1">
        <v>3.4643771999999999</v>
      </c>
      <c r="U1878" s="1">
        <v>4.5129999999999999</v>
      </c>
      <c r="V1878" s="1">
        <v>64</v>
      </c>
      <c r="W1878" s="1">
        <v>110</v>
      </c>
      <c r="X1878" s="1">
        <v>1.71875</v>
      </c>
      <c r="Y1878" s="1">
        <v>69</v>
      </c>
      <c r="Z1878" s="1">
        <v>110</v>
      </c>
      <c r="AA1878" s="1">
        <v>1.5942028985507246</v>
      </c>
      <c r="AB1878" s="1">
        <v>68.027915413221535</v>
      </c>
      <c r="AC1878" s="1">
        <v>110.9471128612736</v>
      </c>
      <c r="AD1878" s="1">
        <v>1.6309056684648979</v>
      </c>
      <c r="AE1878" t="s">
        <v>4817</v>
      </c>
      <c r="AF1878" t="str">
        <f>IF(X1878&lt;$AF$1,"Bajo","Alto")</f>
        <v>Bajo</v>
      </c>
      <c r="AG1878" t="str">
        <f>LEFT(AE1878,1)</f>
        <v>C</v>
      </c>
      <c r="AH1878" t="str">
        <f>K1878</f>
        <v>F</v>
      </c>
      <c r="AI1878" t="str">
        <f>LEFT(AF1878,1)</f>
        <v>B</v>
      </c>
      <c r="AJ1878" t="str">
        <f>LEFT(M1878,1)</f>
        <v>J</v>
      </c>
      <c r="AK1878" t="str">
        <f>_xlfn.CONCAT(AG1878,AH1878,AI1878,AJ1878)</f>
        <v>CFBJ</v>
      </c>
    </row>
    <row r="1879" spans="1:37" ht="15.75" hidden="1" customHeight="1" x14ac:dyDescent="0.2">
      <c r="A1879" s="1">
        <v>174004</v>
      </c>
      <c r="B1879" s="1" t="s">
        <v>2551</v>
      </c>
      <c r="C1879" s="1" t="s">
        <v>2552</v>
      </c>
      <c r="D1879" s="1" t="s">
        <v>2642</v>
      </c>
      <c r="E1879" s="1" t="s">
        <v>657</v>
      </c>
      <c r="F1879" s="1" t="s">
        <v>61</v>
      </c>
      <c r="G1879" s="1" t="s">
        <v>2643</v>
      </c>
      <c r="H1879" s="1">
        <v>326</v>
      </c>
      <c r="I1879" s="1" t="s">
        <v>65</v>
      </c>
      <c r="J1879" s="1">
        <v>2</v>
      </c>
      <c r="K1879" s="1" t="s">
        <v>35</v>
      </c>
      <c r="L1879" s="1">
        <v>47</v>
      </c>
      <c r="M1879" s="1" t="str">
        <f>IF(L1879&lt;=45,"Joven","Mayor")</f>
        <v>Mayor</v>
      </c>
      <c r="N1879" s="1">
        <v>33</v>
      </c>
      <c r="O1879" s="1" t="s">
        <v>36</v>
      </c>
      <c r="P1879" s="1">
        <v>0.36299999999999999</v>
      </c>
      <c r="Q1879" s="1">
        <v>82.549000000000007</v>
      </c>
      <c r="R1879" s="1">
        <v>8.2001609999999996</v>
      </c>
      <c r="S1879" s="1">
        <v>8.2133500000000002</v>
      </c>
      <c r="T1879" s="1">
        <v>-4.9908869999999999</v>
      </c>
      <c r="U1879" s="1">
        <v>11.446999999999999</v>
      </c>
      <c r="V1879" s="1">
        <v>87</v>
      </c>
      <c r="W1879" s="1">
        <v>159</v>
      </c>
      <c r="X1879" s="1">
        <v>1.8275862068965518</v>
      </c>
      <c r="Y1879" s="1">
        <v>87</v>
      </c>
      <c r="Z1879" s="1">
        <v>159</v>
      </c>
      <c r="AA1879" s="1">
        <v>1.8275862068965518</v>
      </c>
      <c r="AB1879" s="1">
        <v>90.672019227753253</v>
      </c>
      <c r="AC1879" s="1">
        <v>158.83214557116119</v>
      </c>
      <c r="AD1879" s="1">
        <v>1.7517217210328235</v>
      </c>
      <c r="AE1879" t="s">
        <v>4817</v>
      </c>
      <c r="AF1879" t="str">
        <f>IF(X1879&lt;$AF$1,"Bajo","Alto")</f>
        <v>Alto</v>
      </c>
      <c r="AG1879" t="str">
        <f>LEFT(AE1879,1)</f>
        <v>C</v>
      </c>
      <c r="AH1879" t="str">
        <f>K1879</f>
        <v>M</v>
      </c>
      <c r="AI1879" t="str">
        <f>LEFT(AF1879,1)</f>
        <v>A</v>
      </c>
      <c r="AJ1879" t="str">
        <f>LEFT(M1879,1)</f>
        <v>M</v>
      </c>
      <c r="AK1879" t="str">
        <f>_xlfn.CONCAT(AG1879,AH1879,AI1879,AJ1879)</f>
        <v>CMAM</v>
      </c>
    </row>
    <row r="1880" spans="1:37" ht="15.75" hidden="1" customHeight="1" x14ac:dyDescent="0.2">
      <c r="A1880" s="1">
        <v>1013106</v>
      </c>
      <c r="B1880" s="1" t="s">
        <v>29</v>
      </c>
      <c r="C1880" s="1" t="s">
        <v>30</v>
      </c>
      <c r="D1880" s="1" t="s">
        <v>627</v>
      </c>
      <c r="E1880" s="1" t="s">
        <v>628</v>
      </c>
      <c r="F1880" s="1" t="s">
        <v>88</v>
      </c>
      <c r="G1880" s="1" t="s">
        <v>632</v>
      </c>
      <c r="H1880" s="1">
        <v>1713</v>
      </c>
      <c r="I1880" s="1" t="s">
        <v>134</v>
      </c>
      <c r="J1880" s="1">
        <v>8</v>
      </c>
      <c r="K1880" s="1" t="s">
        <v>35</v>
      </c>
      <c r="L1880" s="1">
        <v>50</v>
      </c>
      <c r="M1880" s="1" t="str">
        <f>IF(L1880&lt;=45,"Joven","Mayor")</f>
        <v>Mayor</v>
      </c>
      <c r="N1880" s="1">
        <v>44</v>
      </c>
      <c r="O1880" s="1" t="s">
        <v>36</v>
      </c>
      <c r="P1880" s="1">
        <v>0.35899999999999999</v>
      </c>
      <c r="Q1880" s="1">
        <v>93.135999999999996</v>
      </c>
      <c r="R1880" s="1">
        <v>3.2056252999999999</v>
      </c>
      <c r="S1880" s="1">
        <v>9.0774915999999997E-2</v>
      </c>
      <c r="T1880" s="1">
        <v>-1.0754143</v>
      </c>
      <c r="U1880" s="1">
        <v>6.0629999999999997</v>
      </c>
      <c r="V1880" s="1">
        <v>110</v>
      </c>
      <c r="W1880" s="1">
        <v>201</v>
      </c>
      <c r="X1880" s="1">
        <v>1.8272727272727274</v>
      </c>
      <c r="Y1880" s="1">
        <v>112</v>
      </c>
      <c r="Z1880" s="1">
        <v>201</v>
      </c>
      <c r="AA1880" s="1">
        <v>1.7946428571428572</v>
      </c>
      <c r="AB1880" s="1">
        <v>112.9749982355072</v>
      </c>
      <c r="AC1880" s="1">
        <v>200.94582698421939</v>
      </c>
      <c r="AD1880" s="1">
        <v>1.7786751947128034</v>
      </c>
      <c r="AE1880" t="s">
        <v>4817</v>
      </c>
      <c r="AF1880" t="str">
        <f>IF(X1880&lt;$AF$1,"Bajo","Alto")</f>
        <v>Alto</v>
      </c>
      <c r="AG1880" t="str">
        <f>LEFT(AE1880,1)</f>
        <v>C</v>
      </c>
      <c r="AH1880" t="str">
        <f>K1880</f>
        <v>M</v>
      </c>
      <c r="AI1880" t="str">
        <f>LEFT(AF1880,1)</f>
        <v>A</v>
      </c>
      <c r="AJ1880" t="str">
        <f>LEFT(M1880,1)</f>
        <v>M</v>
      </c>
      <c r="AK1880" t="str">
        <f>_xlfn.CONCAT(AG1880,AH1880,AI1880,AJ1880)</f>
        <v>CMAM</v>
      </c>
    </row>
    <row r="1881" spans="1:37" ht="15.75" hidden="1" customHeight="1" x14ac:dyDescent="0.2">
      <c r="A1881" s="1">
        <v>1074303</v>
      </c>
      <c r="B1881" s="1" t="s">
        <v>1067</v>
      </c>
      <c r="C1881" s="1" t="s">
        <v>1068</v>
      </c>
      <c r="D1881" s="1" t="s">
        <v>1447</v>
      </c>
      <c r="E1881" s="1" t="s">
        <v>665</v>
      </c>
      <c r="F1881" s="1" t="s">
        <v>63</v>
      </c>
      <c r="G1881" s="1" t="s">
        <v>1449</v>
      </c>
      <c r="H1881" s="1">
        <v>332</v>
      </c>
      <c r="I1881" s="1" t="s">
        <v>108</v>
      </c>
      <c r="J1881" s="1">
        <v>3</v>
      </c>
      <c r="K1881" s="1" t="s">
        <v>35</v>
      </c>
      <c r="L1881" s="1">
        <v>44</v>
      </c>
      <c r="M1881" s="1" t="str">
        <f>IF(L1881&lt;=45,"Joven","Mayor")</f>
        <v>Joven</v>
      </c>
      <c r="N1881" s="1">
        <v>56</v>
      </c>
      <c r="O1881" s="1" t="s">
        <v>36</v>
      </c>
      <c r="P1881" s="1">
        <v>0.40400000000000003</v>
      </c>
      <c r="Q1881" s="1">
        <v>89.314999999999998</v>
      </c>
      <c r="R1881" s="1">
        <v>4.4504213000000004</v>
      </c>
      <c r="S1881" s="1">
        <v>7.9699182999999998</v>
      </c>
      <c r="T1881" s="1">
        <v>-6.8467865000000003</v>
      </c>
      <c r="U1881" s="1">
        <v>1.4219999999999999</v>
      </c>
      <c r="V1881" s="1">
        <v>87</v>
      </c>
      <c r="W1881" s="1">
        <v>150</v>
      </c>
      <c r="X1881" s="1">
        <v>1.7241379310344827</v>
      </c>
      <c r="Y1881" s="1">
        <v>98</v>
      </c>
      <c r="Z1881" s="1">
        <v>150</v>
      </c>
      <c r="AA1881" s="1">
        <v>1.5306122448979591</v>
      </c>
      <c r="AB1881" s="1">
        <v>93.724669221354134</v>
      </c>
      <c r="AC1881" s="1">
        <v>150.4800655586123</v>
      </c>
      <c r="AD1881" s="1">
        <v>1.6055545120486494</v>
      </c>
      <c r="AE1881" t="s">
        <v>4817</v>
      </c>
      <c r="AF1881" t="str">
        <f>IF(X1881&lt;$AF$1,"Bajo","Alto")</f>
        <v>Bajo</v>
      </c>
      <c r="AG1881" t="str">
        <f>LEFT(AE1881,1)</f>
        <v>C</v>
      </c>
      <c r="AH1881" t="str">
        <f>K1881</f>
        <v>M</v>
      </c>
      <c r="AI1881" t="str">
        <f>LEFT(AF1881,1)</f>
        <v>B</v>
      </c>
      <c r="AJ1881" t="str">
        <f>LEFT(M1881,1)</f>
        <v>J</v>
      </c>
      <c r="AK1881" t="str">
        <f>_xlfn.CONCAT(AG1881,AH1881,AI1881,AJ1881)</f>
        <v>CMBJ</v>
      </c>
    </row>
    <row r="1882" spans="1:37" ht="15.75" hidden="1" customHeight="1" x14ac:dyDescent="0.2">
      <c r="A1882" s="1">
        <v>211504</v>
      </c>
      <c r="B1882" s="1" t="s">
        <v>2816</v>
      </c>
      <c r="C1882" s="1" t="s">
        <v>2817</v>
      </c>
      <c r="D1882" s="1" t="s">
        <v>2838</v>
      </c>
      <c r="E1882" s="1" t="s">
        <v>57</v>
      </c>
      <c r="F1882" s="1" t="s">
        <v>61</v>
      </c>
      <c r="G1882" s="1" t="s">
        <v>2840</v>
      </c>
      <c r="H1882" s="1">
        <v>29</v>
      </c>
      <c r="I1882" s="1" t="s">
        <v>108</v>
      </c>
      <c r="J1882" s="1">
        <v>3</v>
      </c>
      <c r="K1882" s="1" t="s">
        <v>35</v>
      </c>
      <c r="L1882" s="1">
        <v>55</v>
      </c>
      <c r="M1882" s="1" t="str">
        <f>IF(L1882&lt;=45,"Joven","Mayor")</f>
        <v>Mayor</v>
      </c>
      <c r="N1882" s="1">
        <v>60</v>
      </c>
      <c r="O1882" s="1" t="s">
        <v>36</v>
      </c>
      <c r="P1882" s="1">
        <v>0.35299999999999998</v>
      </c>
      <c r="Q1882" s="1">
        <v>93.576999999999998</v>
      </c>
      <c r="R1882" s="1">
        <v>2.1443756</v>
      </c>
      <c r="S1882" s="1">
        <v>-1.6368223</v>
      </c>
      <c r="T1882" s="1">
        <v>1.7166102999999999</v>
      </c>
      <c r="U1882" s="1">
        <v>7.9390000000000001</v>
      </c>
      <c r="V1882" s="1">
        <v>110</v>
      </c>
      <c r="W1882" s="1">
        <v>201</v>
      </c>
      <c r="X1882" s="1">
        <v>1.8272727272727274</v>
      </c>
      <c r="Y1882" s="1">
        <v>114</v>
      </c>
      <c r="Z1882" s="1">
        <v>201</v>
      </c>
      <c r="AA1882" s="1">
        <v>1.763157894736842</v>
      </c>
      <c r="AB1882" s="1">
        <v>112.57086191800251</v>
      </c>
      <c r="AC1882" s="1">
        <v>201.23931098206501</v>
      </c>
      <c r="AD1882" s="1">
        <v>1.7876678525269647</v>
      </c>
      <c r="AE1882" t="s">
        <v>4817</v>
      </c>
      <c r="AF1882" t="str">
        <f>IF(X1882&lt;$AF$1,"Bajo","Alto")</f>
        <v>Alto</v>
      </c>
      <c r="AG1882" t="str">
        <f>LEFT(AE1882,1)</f>
        <v>C</v>
      </c>
      <c r="AH1882" t="str">
        <f>K1882</f>
        <v>M</v>
      </c>
      <c r="AI1882" t="str">
        <f>LEFT(AF1882,1)</f>
        <v>A</v>
      </c>
      <c r="AJ1882" t="str">
        <f>LEFT(M1882,1)</f>
        <v>M</v>
      </c>
      <c r="AK1882" t="str">
        <f>_xlfn.CONCAT(AG1882,AH1882,AI1882,AJ1882)</f>
        <v>CMAM</v>
      </c>
    </row>
    <row r="1883" spans="1:37" ht="15.75" hidden="1" customHeight="1" x14ac:dyDescent="0.2">
      <c r="A1883" s="1">
        <v>1018504</v>
      </c>
      <c r="B1883" s="1" t="s">
        <v>29</v>
      </c>
      <c r="C1883" s="1" t="s">
        <v>30</v>
      </c>
      <c r="D1883" s="1" t="s">
        <v>754</v>
      </c>
      <c r="E1883" s="1" t="s">
        <v>755</v>
      </c>
      <c r="F1883" s="1" t="s">
        <v>61</v>
      </c>
      <c r="G1883" s="1" t="s">
        <v>759</v>
      </c>
      <c r="H1883" s="1">
        <v>154</v>
      </c>
      <c r="I1883" s="1" t="s">
        <v>134</v>
      </c>
      <c r="J1883" s="1">
        <v>8</v>
      </c>
      <c r="K1883" s="1" t="s">
        <v>35</v>
      </c>
      <c r="L1883" s="1">
        <v>56</v>
      </c>
      <c r="M1883" s="1" t="str">
        <f>IF(L1883&lt;=45,"Joven","Mayor")</f>
        <v>Mayor</v>
      </c>
      <c r="N1883" s="1">
        <v>49</v>
      </c>
      <c r="O1883" s="1" t="s">
        <v>36</v>
      </c>
      <c r="P1883" s="1">
        <v>1.3779999999999999</v>
      </c>
      <c r="Q1883" s="1">
        <v>74.888000000000005</v>
      </c>
      <c r="R1883" s="1">
        <v>11.039545</v>
      </c>
      <c r="S1883" s="1">
        <v>5.8635783000000004</v>
      </c>
      <c r="T1883" s="1">
        <v>-6.3055735000000004</v>
      </c>
      <c r="U1883" s="1">
        <v>1.417</v>
      </c>
      <c r="V1883" s="1">
        <v>81</v>
      </c>
      <c r="W1883" s="1">
        <v>148</v>
      </c>
      <c r="X1883" s="1">
        <v>1.8271604938271604</v>
      </c>
      <c r="Y1883" s="1">
        <v>84</v>
      </c>
      <c r="Z1883" s="1">
        <v>148</v>
      </c>
      <c r="AA1883" s="1">
        <v>1.7619047619047619</v>
      </c>
      <c r="AB1883" s="1">
        <v>85.122874335750794</v>
      </c>
      <c r="AC1883" s="1">
        <v>147.6537958795916</v>
      </c>
      <c r="AD1883" s="1">
        <v>1.7345959829457782</v>
      </c>
      <c r="AE1883" t="s">
        <v>4817</v>
      </c>
      <c r="AF1883" t="str">
        <f>IF(X1883&lt;$AF$1,"Bajo","Alto")</f>
        <v>Alto</v>
      </c>
      <c r="AG1883" t="str">
        <f>LEFT(AE1883,1)</f>
        <v>C</v>
      </c>
      <c r="AH1883" t="str">
        <f>K1883</f>
        <v>M</v>
      </c>
      <c r="AI1883" t="str">
        <f>LEFT(AF1883,1)</f>
        <v>A</v>
      </c>
      <c r="AJ1883" t="str">
        <f>LEFT(M1883,1)</f>
        <v>M</v>
      </c>
      <c r="AK1883" t="str">
        <f>_xlfn.CONCAT(AG1883,AH1883,AI1883,AJ1883)</f>
        <v>CMAM</v>
      </c>
    </row>
    <row r="1884" spans="1:37" ht="15.75" hidden="1" customHeight="1" x14ac:dyDescent="0.2">
      <c r="A1884" s="1">
        <v>1051401</v>
      </c>
      <c r="B1884" s="1" t="s">
        <v>694</v>
      </c>
      <c r="C1884" s="1" t="s">
        <v>879</v>
      </c>
      <c r="D1884" s="1" t="s">
        <v>946</v>
      </c>
      <c r="E1884" s="1" t="s">
        <v>947</v>
      </c>
      <c r="F1884" s="1" t="s">
        <v>32</v>
      </c>
      <c r="G1884" s="1" t="s">
        <v>948</v>
      </c>
      <c r="H1884" s="1">
        <v>2506</v>
      </c>
      <c r="I1884" s="1" t="s">
        <v>100</v>
      </c>
      <c r="J1884" s="1">
        <v>1</v>
      </c>
      <c r="K1884" s="1" t="s">
        <v>49</v>
      </c>
      <c r="L1884" s="1">
        <v>50</v>
      </c>
      <c r="M1884" s="1" t="str">
        <f>IF(L1884&lt;=45,"Joven","Mayor")</f>
        <v>Mayor</v>
      </c>
      <c r="N1884" s="1">
        <v>52</v>
      </c>
      <c r="O1884" s="1" t="s">
        <v>50</v>
      </c>
      <c r="P1884" s="1">
        <v>1.179</v>
      </c>
      <c r="Q1884" s="1">
        <v>92.906000000000006</v>
      </c>
      <c r="R1884" s="1">
        <v>-0.92355169999999998</v>
      </c>
      <c r="S1884" s="1">
        <v>6.1840986999999998</v>
      </c>
      <c r="T1884" s="1">
        <v>-9.6846320000000006</v>
      </c>
      <c r="U1884" s="1">
        <v>53.807000000000002</v>
      </c>
      <c r="V1884" s="1">
        <v>93</v>
      </c>
      <c r="W1884" s="1">
        <v>157</v>
      </c>
      <c r="X1884" s="1">
        <v>1.6881720430107527</v>
      </c>
      <c r="Y1884" s="1">
        <v>109</v>
      </c>
      <c r="Z1884" s="1">
        <v>157</v>
      </c>
      <c r="AA1884" s="1">
        <v>1.4403669724770642</v>
      </c>
      <c r="AB1884" s="1">
        <v>102.90452563752299</v>
      </c>
      <c r="AC1884" s="1">
        <v>158.9681589658785</v>
      </c>
      <c r="AD1884" s="1">
        <v>1.544812125424273</v>
      </c>
      <c r="AE1884" t="s">
        <v>4817</v>
      </c>
      <c r="AF1884" t="str">
        <f>IF(X1884&lt;$AF$1,"Bajo","Alto")</f>
        <v>Bajo</v>
      </c>
      <c r="AG1884" t="str">
        <f>LEFT(AE1884,1)</f>
        <v>C</v>
      </c>
      <c r="AH1884" t="str">
        <f>K1884</f>
        <v>F</v>
      </c>
      <c r="AI1884" t="str">
        <f>LEFT(AF1884,1)</f>
        <v>B</v>
      </c>
      <c r="AJ1884" t="str">
        <f>LEFT(M1884,1)</f>
        <v>M</v>
      </c>
      <c r="AK1884" t="str">
        <f>_xlfn.CONCAT(AG1884,AH1884,AI1884,AJ1884)</f>
        <v>CFBM</v>
      </c>
    </row>
    <row r="1885" spans="1:37" ht="15.75" customHeight="1" x14ac:dyDescent="0.2">
      <c r="A1885" s="1">
        <v>258801</v>
      </c>
      <c r="B1885" s="1" t="s">
        <v>3169</v>
      </c>
      <c r="C1885" s="1" t="s">
        <v>821</v>
      </c>
      <c r="D1885" s="1" t="s">
        <v>3340</v>
      </c>
      <c r="E1885" s="1" t="s">
        <v>763</v>
      </c>
      <c r="F1885" s="1" t="s">
        <v>32</v>
      </c>
      <c r="G1885" s="1" t="s">
        <v>3341</v>
      </c>
      <c r="H1885" s="1">
        <v>1367</v>
      </c>
      <c r="I1885" s="1" t="s">
        <v>39</v>
      </c>
      <c r="J1885" s="1">
        <v>11</v>
      </c>
      <c r="K1885" s="1" t="s">
        <v>35</v>
      </c>
      <c r="L1885" s="1">
        <v>39</v>
      </c>
      <c r="M1885" s="1" t="str">
        <f>IF(L1885&lt;=45,"Joven","Mayor")</f>
        <v>Joven</v>
      </c>
      <c r="N1885" s="1">
        <v>47</v>
      </c>
      <c r="O1885" s="1" t="s">
        <v>36</v>
      </c>
      <c r="P1885" s="1">
        <v>0.7</v>
      </c>
      <c r="Q1885" s="1">
        <v>92.215999999999994</v>
      </c>
      <c r="R1885" s="1">
        <v>1.901861</v>
      </c>
      <c r="S1885" s="1">
        <v>6.6970695999999998</v>
      </c>
      <c r="T1885" s="1">
        <v>4.0198900000000002</v>
      </c>
      <c r="U1885" s="1">
        <v>4.6589999999999998</v>
      </c>
      <c r="V1885" s="1">
        <v>66</v>
      </c>
      <c r="W1885" s="1">
        <v>124</v>
      </c>
      <c r="X1885" s="1">
        <v>1.8787878787878789</v>
      </c>
      <c r="Y1885" s="1">
        <v>70</v>
      </c>
      <c r="Z1885" s="1">
        <v>124</v>
      </c>
      <c r="AA1885" s="1">
        <v>1.7714285714285714</v>
      </c>
      <c r="AB1885" s="1">
        <v>68.151016521582733</v>
      </c>
      <c r="AC1885" s="1">
        <v>124.0454458839768</v>
      </c>
      <c r="AD1885" s="1">
        <v>1.8201554755194718</v>
      </c>
      <c r="AE1885" t="s">
        <v>4818</v>
      </c>
      <c r="AF1885" t="str">
        <f>IF(X1885&lt;$AF$1,"Bajo","Alto")</f>
        <v>Alto</v>
      </c>
      <c r="AG1885" t="str">
        <f>LEFT(AE1885,1)</f>
        <v>S</v>
      </c>
      <c r="AH1885" t="str">
        <f>K1885</f>
        <v>M</v>
      </c>
      <c r="AI1885" t="str">
        <f>LEFT(AF1885,1)</f>
        <v>A</v>
      </c>
      <c r="AJ1885" t="str">
        <f>LEFT(M1885,1)</f>
        <v>J</v>
      </c>
      <c r="AK1885" t="str">
        <f>_xlfn.CONCAT(AG1885,AH1885,AI1885,AJ1885)</f>
        <v>SMAJ</v>
      </c>
    </row>
    <row r="1886" spans="1:37" ht="15.75" hidden="1" customHeight="1" x14ac:dyDescent="0.2">
      <c r="A1886" s="1">
        <v>10912001</v>
      </c>
      <c r="B1886" s="1" t="s">
        <v>719</v>
      </c>
      <c r="C1886" s="1" t="s">
        <v>98</v>
      </c>
      <c r="D1886" s="1" t="s">
        <v>1563</v>
      </c>
      <c r="E1886" s="1" t="s">
        <v>1564</v>
      </c>
      <c r="F1886" s="1" t="s">
        <v>32</v>
      </c>
      <c r="G1886" s="1" t="s">
        <v>1565</v>
      </c>
      <c r="H1886" s="1">
        <v>1583</v>
      </c>
      <c r="I1886" s="1" t="s">
        <v>65</v>
      </c>
      <c r="J1886" s="1">
        <v>2</v>
      </c>
      <c r="K1886" s="1" t="s">
        <v>35</v>
      </c>
      <c r="L1886" s="1">
        <v>30</v>
      </c>
      <c r="M1886" s="1" t="str">
        <f>IF(L1886&lt;=45,"Joven","Mayor")</f>
        <v>Joven</v>
      </c>
      <c r="N1886" s="1">
        <v>38</v>
      </c>
      <c r="O1886" s="1" t="s">
        <v>36</v>
      </c>
      <c r="P1886" s="1">
        <v>0.33800000000000002</v>
      </c>
      <c r="Q1886" s="1">
        <v>92.594999999999999</v>
      </c>
      <c r="R1886" s="1">
        <v>-2.8154893E-2</v>
      </c>
      <c r="S1886" s="1">
        <v>8.874492</v>
      </c>
      <c r="T1886" s="1">
        <v>0.36103866000000001</v>
      </c>
      <c r="U1886" s="1">
        <v>1.8560000000000001</v>
      </c>
      <c r="V1886" s="1">
        <v>87</v>
      </c>
      <c r="W1886" s="1">
        <v>150</v>
      </c>
      <c r="X1886" s="1">
        <v>1.7241379310344827</v>
      </c>
      <c r="Y1886" s="1">
        <v>90</v>
      </c>
      <c r="Z1886" s="1">
        <v>150</v>
      </c>
      <c r="AA1886" s="1">
        <v>1.6666666666666667</v>
      </c>
      <c r="AB1886" s="1">
        <v>89.765066160359083</v>
      </c>
      <c r="AC1886" s="1">
        <v>150.04743219176231</v>
      </c>
      <c r="AD1886" s="1">
        <v>1.6715570835063269</v>
      </c>
      <c r="AE1886" t="s">
        <v>4817</v>
      </c>
      <c r="AF1886" t="str">
        <f>IF(X1886&lt;$AF$1,"Bajo","Alto")</f>
        <v>Bajo</v>
      </c>
      <c r="AG1886" t="str">
        <f>LEFT(AE1886,1)</f>
        <v>C</v>
      </c>
      <c r="AH1886" t="str">
        <f>K1886</f>
        <v>M</v>
      </c>
      <c r="AI1886" t="str">
        <f>LEFT(AF1886,1)</f>
        <v>B</v>
      </c>
      <c r="AJ1886" t="str">
        <f>LEFT(M1886,1)</f>
        <v>J</v>
      </c>
      <c r="AK1886" t="str">
        <f>_xlfn.CONCAT(AG1886,AH1886,AI1886,AJ1886)</f>
        <v>CMBJ</v>
      </c>
    </row>
    <row r="1887" spans="1:37" ht="15.75" hidden="1" customHeight="1" x14ac:dyDescent="0.2">
      <c r="A1887" s="1">
        <v>440502</v>
      </c>
      <c r="B1887" s="1" t="s">
        <v>4314</v>
      </c>
      <c r="C1887" s="1" t="s">
        <v>995</v>
      </c>
      <c r="D1887" s="1" t="s">
        <v>4333</v>
      </c>
      <c r="E1887" s="1" t="s">
        <v>40</v>
      </c>
      <c r="F1887" s="1" t="s">
        <v>37</v>
      </c>
      <c r="G1887" s="1" t="s">
        <v>4334</v>
      </c>
      <c r="H1887" s="1">
        <v>2935</v>
      </c>
      <c r="I1887" s="1" t="s">
        <v>4335</v>
      </c>
      <c r="J1887" s="1">
        <v>2373</v>
      </c>
      <c r="K1887" s="1" t="s">
        <v>35</v>
      </c>
      <c r="L1887" s="1">
        <v>30</v>
      </c>
      <c r="M1887" s="1" t="str">
        <f>IF(L1887&lt;=45,"Joven","Mayor")</f>
        <v>Joven</v>
      </c>
      <c r="N1887" s="1">
        <v>27</v>
      </c>
      <c r="O1887" s="1" t="s">
        <v>36</v>
      </c>
      <c r="P1887" s="1">
        <v>1.1739999999999999</v>
      </c>
      <c r="Q1887" s="1">
        <v>91.180999999999997</v>
      </c>
      <c r="R1887" s="1">
        <v>-4.6702857</v>
      </c>
      <c r="S1887" s="1">
        <v>1.9559723</v>
      </c>
      <c r="T1887" s="1">
        <v>5.3809440000000004</v>
      </c>
      <c r="U1887" s="1">
        <v>1.9059999999999999</v>
      </c>
      <c r="V1887" s="1">
        <v>94</v>
      </c>
      <c r="W1887" s="1">
        <v>172</v>
      </c>
      <c r="X1887" s="1">
        <v>1.8297872340425532</v>
      </c>
      <c r="Y1887" s="1">
        <v>95</v>
      </c>
      <c r="Z1887" s="1">
        <v>172</v>
      </c>
      <c r="AA1887" s="1">
        <v>1.8105263157894738</v>
      </c>
      <c r="AB1887" s="1">
        <v>97.430626610888794</v>
      </c>
      <c r="AC1887" s="1">
        <v>170.30426000893479</v>
      </c>
      <c r="AD1887" s="1">
        <v>1.7479540667338958</v>
      </c>
      <c r="AE1887" t="s">
        <v>4817</v>
      </c>
      <c r="AF1887" t="str">
        <f>IF(X1887&lt;$AF$1,"Bajo","Alto")</f>
        <v>Alto</v>
      </c>
      <c r="AG1887" t="str">
        <f>LEFT(AE1887,1)</f>
        <v>C</v>
      </c>
      <c r="AH1887" t="str">
        <f>K1887</f>
        <v>M</v>
      </c>
      <c r="AI1887" t="str">
        <f>LEFT(AF1887,1)</f>
        <v>A</v>
      </c>
      <c r="AJ1887" t="str">
        <f>LEFT(M1887,1)</f>
        <v>J</v>
      </c>
      <c r="AK1887" t="str">
        <f>_xlfn.CONCAT(AG1887,AH1887,AI1887,AJ1887)</f>
        <v>CMAJ</v>
      </c>
    </row>
    <row r="1888" spans="1:37" ht="15.75" hidden="1" customHeight="1" x14ac:dyDescent="0.2">
      <c r="A1888" s="1">
        <v>158503</v>
      </c>
      <c r="B1888" s="1" t="s">
        <v>2077</v>
      </c>
      <c r="C1888" s="1" t="s">
        <v>57</v>
      </c>
      <c r="D1888" s="1" t="s">
        <v>2527</v>
      </c>
      <c r="E1888" s="1" t="s">
        <v>755</v>
      </c>
      <c r="F1888" s="1" t="s">
        <v>63</v>
      </c>
      <c r="G1888" s="1" t="s">
        <v>2528</v>
      </c>
      <c r="H1888" s="1">
        <v>2435</v>
      </c>
      <c r="I1888" s="1" t="s">
        <v>2529</v>
      </c>
      <c r="J1888" s="1">
        <v>2879</v>
      </c>
      <c r="K1888" s="1" t="s">
        <v>35</v>
      </c>
      <c r="L1888" s="1">
        <v>54</v>
      </c>
      <c r="M1888" s="1" t="str">
        <f>IF(L1888&lt;=45,"Joven","Mayor")</f>
        <v>Mayor</v>
      </c>
      <c r="N1888" s="1">
        <v>56</v>
      </c>
      <c r="O1888" s="1" t="s">
        <v>36</v>
      </c>
      <c r="P1888" s="1">
        <v>0.51900000000000002</v>
      </c>
      <c r="Q1888" s="1">
        <v>67.727999999999994</v>
      </c>
      <c r="R1888" s="1">
        <v>-12.106119</v>
      </c>
      <c r="S1888" s="1">
        <v>8.8489599999999999</v>
      </c>
      <c r="T1888" s="1">
        <v>1.7342591999999999</v>
      </c>
      <c r="U1888" s="1">
        <v>2.4980000000000002</v>
      </c>
      <c r="V1888" s="1">
        <v>102</v>
      </c>
      <c r="W1888" s="1">
        <v>174</v>
      </c>
      <c r="X1888" s="1">
        <v>1.7058823529411764</v>
      </c>
      <c r="Y1888" s="1">
        <v>107</v>
      </c>
      <c r="Z1888" s="1">
        <v>174</v>
      </c>
      <c r="AA1888" s="1">
        <v>1.6261682242990654</v>
      </c>
      <c r="AB1888" s="1">
        <v>105.4075284110618</v>
      </c>
      <c r="AC1888" s="1">
        <v>173.70845068907059</v>
      </c>
      <c r="AD1888" s="1">
        <v>1.647970057808898</v>
      </c>
      <c r="AE1888" t="s">
        <v>4817</v>
      </c>
      <c r="AF1888" t="str">
        <f>IF(X1888&lt;$AF$1,"Bajo","Alto")</f>
        <v>Bajo</v>
      </c>
      <c r="AG1888" t="str">
        <f>LEFT(AE1888,1)</f>
        <v>C</v>
      </c>
      <c r="AH1888" t="str">
        <f>K1888</f>
        <v>M</v>
      </c>
      <c r="AI1888" t="str">
        <f>LEFT(AF1888,1)</f>
        <v>B</v>
      </c>
      <c r="AJ1888" t="str">
        <f>LEFT(M1888,1)</f>
        <v>M</v>
      </c>
      <c r="AK1888" t="str">
        <f>_xlfn.CONCAT(AG1888,AH1888,AI1888,AJ1888)</f>
        <v>CMBM</v>
      </c>
    </row>
    <row r="1889" spans="1:37" ht="15.75" hidden="1" customHeight="1" x14ac:dyDescent="0.2">
      <c r="A1889" s="1">
        <v>640205</v>
      </c>
      <c r="B1889" s="1" t="s">
        <v>4718</v>
      </c>
      <c r="C1889" s="1" t="s">
        <v>710</v>
      </c>
      <c r="D1889" s="1" t="s">
        <v>4725</v>
      </c>
      <c r="E1889" s="1" t="s">
        <v>37</v>
      </c>
      <c r="F1889" s="1" t="s">
        <v>40</v>
      </c>
      <c r="G1889" s="1" t="s">
        <v>4728</v>
      </c>
      <c r="H1889" s="1">
        <v>482</v>
      </c>
      <c r="I1889" s="1" t="s">
        <v>108</v>
      </c>
      <c r="J1889" s="1">
        <v>3</v>
      </c>
      <c r="K1889" s="1" t="s">
        <v>49</v>
      </c>
      <c r="L1889" s="1">
        <v>43</v>
      </c>
      <c r="M1889" s="1" t="str">
        <f>IF(L1889&lt;=45,"Joven","Mayor")</f>
        <v>Joven</v>
      </c>
      <c r="N1889" s="1">
        <v>44</v>
      </c>
      <c r="O1889" s="1" t="s">
        <v>50</v>
      </c>
      <c r="P1889" s="1">
        <v>1.0620000000000001</v>
      </c>
      <c r="Q1889" s="1">
        <v>90.664000000000001</v>
      </c>
      <c r="R1889" s="1">
        <v>4.3799862999999997</v>
      </c>
      <c r="S1889" s="1">
        <v>4.6863359999999998</v>
      </c>
      <c r="T1889" s="1">
        <v>-11.024956</v>
      </c>
      <c r="U1889" s="1">
        <v>87.052000000000007</v>
      </c>
      <c r="V1889" s="1">
        <v>88</v>
      </c>
      <c r="W1889" s="1">
        <v>164</v>
      </c>
      <c r="X1889" s="1">
        <v>1.8636363636363635</v>
      </c>
      <c r="Y1889" s="1">
        <v>105</v>
      </c>
      <c r="Z1889" s="1">
        <v>164</v>
      </c>
      <c r="AA1889" s="1">
        <v>1.5619047619047619</v>
      </c>
      <c r="AB1889" s="1">
        <v>97.707494882781702</v>
      </c>
      <c r="AC1889" s="1">
        <v>165.75412631779051</v>
      </c>
      <c r="AD1889" s="1">
        <v>1.6964320548453666</v>
      </c>
      <c r="AE1889" t="s">
        <v>4817</v>
      </c>
      <c r="AF1889" t="str">
        <f>IF(X1889&lt;$AF$1,"Bajo","Alto")</f>
        <v>Alto</v>
      </c>
      <c r="AG1889" t="str">
        <f>LEFT(AE1889,1)</f>
        <v>C</v>
      </c>
      <c r="AH1889" t="str">
        <f>K1889</f>
        <v>F</v>
      </c>
      <c r="AI1889" t="str">
        <f>LEFT(AF1889,1)</f>
        <v>A</v>
      </c>
      <c r="AJ1889" t="str">
        <f>LEFT(M1889,1)</f>
        <v>J</v>
      </c>
      <c r="AK1889" t="str">
        <f>_xlfn.CONCAT(AG1889,AH1889,AI1889,AJ1889)</f>
        <v>CFAJ</v>
      </c>
    </row>
    <row r="1890" spans="1:37" ht="15.75" hidden="1" customHeight="1" x14ac:dyDescent="0.2">
      <c r="A1890" s="1">
        <v>197005</v>
      </c>
      <c r="B1890" s="1" t="s">
        <v>2656</v>
      </c>
      <c r="C1890" s="1" t="s">
        <v>323</v>
      </c>
      <c r="D1890" s="1" t="s">
        <v>2780</v>
      </c>
      <c r="E1890" s="1" t="s">
        <v>720</v>
      </c>
      <c r="F1890" s="1" t="s">
        <v>40</v>
      </c>
      <c r="G1890" s="1" t="s">
        <v>2785</v>
      </c>
      <c r="H1890" s="1">
        <v>4098</v>
      </c>
      <c r="I1890" s="1" t="s">
        <v>156</v>
      </c>
      <c r="J1890" s="1">
        <v>4180</v>
      </c>
      <c r="K1890" s="1" t="s">
        <v>35</v>
      </c>
      <c r="L1890" s="1">
        <v>31</v>
      </c>
      <c r="M1890" s="1" t="str">
        <f>IF(L1890&lt;=45,"Joven","Mayor")</f>
        <v>Joven</v>
      </c>
      <c r="N1890" s="1">
        <v>46</v>
      </c>
      <c r="O1890" s="1" t="s">
        <v>36</v>
      </c>
      <c r="P1890" s="1">
        <v>0.36199999999999999</v>
      </c>
      <c r="Q1890" s="1">
        <v>88.257000000000005</v>
      </c>
      <c r="R1890" s="1">
        <v>6.8512826000000002</v>
      </c>
      <c r="S1890" s="1">
        <v>2.9932810999999999</v>
      </c>
      <c r="T1890" s="1">
        <v>-1.9377382000000001</v>
      </c>
      <c r="U1890" s="1">
        <v>2.6259999999999999</v>
      </c>
      <c r="V1890" s="1">
        <v>88</v>
      </c>
      <c r="W1890" s="1">
        <v>161</v>
      </c>
      <c r="X1890" s="1">
        <v>1.8295454545454546</v>
      </c>
      <c r="Y1890" s="1">
        <v>90</v>
      </c>
      <c r="Z1890" s="1">
        <v>161</v>
      </c>
      <c r="AA1890" s="1">
        <v>1.788888888888889</v>
      </c>
      <c r="AB1890" s="1">
        <v>89.268403324224209</v>
      </c>
      <c r="AC1890" s="1">
        <v>160.90793396879141</v>
      </c>
      <c r="AD1890" s="1">
        <v>1.8025183376963889</v>
      </c>
      <c r="AE1890" t="s">
        <v>4817</v>
      </c>
      <c r="AF1890" t="str">
        <f>IF(X1890&lt;$AF$1,"Bajo","Alto")</f>
        <v>Alto</v>
      </c>
      <c r="AG1890" t="str">
        <f>LEFT(AE1890,1)</f>
        <v>C</v>
      </c>
      <c r="AH1890" t="str">
        <f>K1890</f>
        <v>M</v>
      </c>
      <c r="AI1890" t="str">
        <f>LEFT(AF1890,1)</f>
        <v>A</v>
      </c>
      <c r="AJ1890" t="str">
        <f>LEFT(M1890,1)</f>
        <v>J</v>
      </c>
      <c r="AK1890" t="str">
        <f>_xlfn.CONCAT(AG1890,AH1890,AI1890,AJ1890)</f>
        <v>CMAJ</v>
      </c>
    </row>
    <row r="1891" spans="1:37" ht="15.75" hidden="1" customHeight="1" x14ac:dyDescent="0.2">
      <c r="A1891" s="1">
        <v>480801</v>
      </c>
      <c r="B1891" s="1" t="s">
        <v>4465</v>
      </c>
      <c r="C1891" s="1" t="s">
        <v>2650</v>
      </c>
      <c r="D1891" s="1" t="s">
        <v>4492</v>
      </c>
      <c r="E1891" s="1" t="s">
        <v>46</v>
      </c>
      <c r="F1891" s="1" t="s">
        <v>32</v>
      </c>
      <c r="G1891" s="1" t="s">
        <v>4493</v>
      </c>
      <c r="H1891" s="1">
        <v>2245</v>
      </c>
      <c r="I1891" s="1" t="s">
        <v>65</v>
      </c>
      <c r="J1891" s="1">
        <v>2</v>
      </c>
      <c r="K1891" s="1" t="s">
        <v>35</v>
      </c>
      <c r="L1891" s="1">
        <v>42</v>
      </c>
      <c r="M1891" s="1" t="str">
        <f>IF(L1891&lt;=45,"Joven","Mayor")</f>
        <v>Joven</v>
      </c>
      <c r="N1891" s="1">
        <v>47</v>
      </c>
      <c r="O1891" s="1" t="s">
        <v>36</v>
      </c>
      <c r="P1891" s="1">
        <v>0.34399999999999997</v>
      </c>
      <c r="Q1891" s="1">
        <v>87.99</v>
      </c>
      <c r="R1891" s="1">
        <v>6.2478590000000001</v>
      </c>
      <c r="S1891" s="1">
        <v>5.8326583000000003</v>
      </c>
      <c r="T1891" s="1">
        <v>-1.6557135999999999</v>
      </c>
      <c r="U1891" s="1">
        <v>1.58</v>
      </c>
      <c r="V1891" s="1">
        <v>87</v>
      </c>
      <c r="W1891" s="1">
        <v>150</v>
      </c>
      <c r="X1891" s="1">
        <v>1.7241379310344827</v>
      </c>
      <c r="Y1891" s="1">
        <v>92</v>
      </c>
      <c r="Z1891" s="1">
        <v>150</v>
      </c>
      <c r="AA1891" s="1">
        <v>1.6304347826086956</v>
      </c>
      <c r="AB1891" s="1">
        <v>93.117334531328424</v>
      </c>
      <c r="AC1891" s="1">
        <v>149.87958651469941</v>
      </c>
      <c r="AD1891" s="1">
        <v>1.6095777147086816</v>
      </c>
      <c r="AE1891" t="s">
        <v>4817</v>
      </c>
      <c r="AF1891" t="str">
        <f>IF(X1891&lt;$AF$1,"Bajo","Alto")</f>
        <v>Bajo</v>
      </c>
      <c r="AG1891" t="str">
        <f>LEFT(AE1891,1)</f>
        <v>C</v>
      </c>
      <c r="AH1891" t="str">
        <f>K1891</f>
        <v>M</v>
      </c>
      <c r="AI1891" t="str">
        <f>LEFT(AF1891,1)</f>
        <v>B</v>
      </c>
      <c r="AJ1891" t="str">
        <f>LEFT(M1891,1)</f>
        <v>J</v>
      </c>
      <c r="AK1891" t="str">
        <f>_xlfn.CONCAT(AG1891,AH1891,AI1891,AJ1891)</f>
        <v>CMBJ</v>
      </c>
    </row>
    <row r="1892" spans="1:37" ht="15.75" hidden="1" customHeight="1" x14ac:dyDescent="0.2">
      <c r="A1892" s="1">
        <v>282006</v>
      </c>
      <c r="B1892" s="1" t="s">
        <v>1775</v>
      </c>
      <c r="C1892" s="1" t="s">
        <v>561</v>
      </c>
      <c r="D1892" s="1" t="s">
        <v>3809</v>
      </c>
      <c r="E1892" s="1" t="s">
        <v>1983</v>
      </c>
      <c r="F1892" s="1" t="s">
        <v>88</v>
      </c>
      <c r="G1892" s="1" t="s">
        <v>3815</v>
      </c>
      <c r="H1892" s="1">
        <v>4227</v>
      </c>
      <c r="I1892" s="1" t="s">
        <v>3816</v>
      </c>
      <c r="J1892" s="1">
        <v>3424</v>
      </c>
      <c r="K1892" s="1" t="s">
        <v>35</v>
      </c>
      <c r="L1892" s="1">
        <v>36</v>
      </c>
      <c r="M1892" s="1" t="str">
        <f>IF(L1892&lt;=45,"Joven","Mayor")</f>
        <v>Joven</v>
      </c>
      <c r="N1892" s="1">
        <v>44</v>
      </c>
      <c r="O1892" s="1" t="s">
        <v>36</v>
      </c>
      <c r="P1892" s="1">
        <v>0.377</v>
      </c>
      <c r="Q1892" s="1">
        <v>87.477000000000004</v>
      </c>
      <c r="R1892" s="1">
        <v>6.5724289999999996</v>
      </c>
      <c r="S1892" s="1">
        <v>5.7784550000000001</v>
      </c>
      <c r="T1892" s="1">
        <v>-7.0057499999999999</v>
      </c>
      <c r="U1892" s="1">
        <v>13.316000000000001</v>
      </c>
      <c r="V1892" s="1">
        <v>88</v>
      </c>
      <c r="W1892" s="1">
        <v>161</v>
      </c>
      <c r="X1892" s="1">
        <v>1.8295454545454546</v>
      </c>
      <c r="Y1892" s="1">
        <v>96</v>
      </c>
      <c r="Z1892" s="1">
        <v>161</v>
      </c>
      <c r="AA1892" s="1">
        <v>1.6770833333333333</v>
      </c>
      <c r="AB1892" s="1">
        <v>92.831587434995527</v>
      </c>
      <c r="AC1892" s="1">
        <v>160.65174317785431</v>
      </c>
      <c r="AD1892" s="1">
        <v>1.7305719703473694</v>
      </c>
      <c r="AE1892" t="s">
        <v>4817</v>
      </c>
      <c r="AF1892" t="str">
        <f>IF(X1892&lt;$AF$1,"Bajo","Alto")</f>
        <v>Alto</v>
      </c>
      <c r="AG1892" t="str">
        <f>LEFT(AE1892,1)</f>
        <v>C</v>
      </c>
      <c r="AH1892" t="str">
        <f>K1892</f>
        <v>M</v>
      </c>
      <c r="AI1892" t="str">
        <f>LEFT(AF1892,1)</f>
        <v>A</v>
      </c>
      <c r="AJ1892" t="str">
        <f>LEFT(M1892,1)</f>
        <v>J</v>
      </c>
      <c r="AK1892" t="str">
        <f>_xlfn.CONCAT(AG1892,AH1892,AI1892,AJ1892)</f>
        <v>CMAJ</v>
      </c>
    </row>
    <row r="1893" spans="1:37" ht="15.75" hidden="1" customHeight="1" x14ac:dyDescent="0.2">
      <c r="A1893" s="1">
        <v>10116308</v>
      </c>
      <c r="B1893" s="1" t="s">
        <v>29</v>
      </c>
      <c r="C1893" s="1" t="s">
        <v>30</v>
      </c>
      <c r="D1893" s="1" t="s">
        <v>250</v>
      </c>
      <c r="E1893" s="1" t="s">
        <v>251</v>
      </c>
      <c r="F1893" s="1" t="s">
        <v>46</v>
      </c>
      <c r="G1893" s="1" t="s">
        <v>258</v>
      </c>
      <c r="H1893" s="1">
        <v>12470</v>
      </c>
      <c r="I1893" s="1" t="s">
        <v>259</v>
      </c>
      <c r="J1893" s="1">
        <v>431</v>
      </c>
      <c r="K1893" s="1" t="s">
        <v>35</v>
      </c>
      <c r="L1893" s="1">
        <v>57</v>
      </c>
      <c r="M1893" s="1" t="str">
        <f>IF(L1893&lt;=45,"Joven","Mayor")</f>
        <v>Mayor</v>
      </c>
      <c r="N1893" s="1">
        <v>38</v>
      </c>
      <c r="O1893" s="1" t="s">
        <v>36</v>
      </c>
      <c r="P1893" s="1">
        <v>0.32500000000000001</v>
      </c>
      <c r="Q1893" s="1">
        <v>91.722999999999999</v>
      </c>
      <c r="R1893" s="1">
        <v>2.6158931000000001</v>
      </c>
      <c r="S1893" s="1">
        <v>6.8417709999999996</v>
      </c>
      <c r="T1893" s="1">
        <v>-0.15755795</v>
      </c>
      <c r="U1893" s="1">
        <v>5.8780000000000001</v>
      </c>
      <c r="V1893" s="1">
        <v>92</v>
      </c>
      <c r="W1893" s="1">
        <v>168</v>
      </c>
      <c r="X1893" s="1">
        <v>1.826086956521739</v>
      </c>
      <c r="Y1893" s="1">
        <v>95</v>
      </c>
      <c r="Z1893" s="1">
        <v>168</v>
      </c>
      <c r="AA1893" s="1">
        <v>1.7684210526315789</v>
      </c>
      <c r="AB1893" s="1">
        <v>94.881395040747748</v>
      </c>
      <c r="AC1893" s="1">
        <v>168.0131143019162</v>
      </c>
      <c r="AD1893" s="1">
        <v>1.7707698567222934</v>
      </c>
      <c r="AE1893" t="s">
        <v>4817</v>
      </c>
      <c r="AF1893" t="str">
        <f>IF(X1893&lt;$AF$1,"Bajo","Alto")</f>
        <v>Alto</v>
      </c>
      <c r="AG1893" t="str">
        <f>LEFT(AE1893,1)</f>
        <v>C</v>
      </c>
      <c r="AH1893" t="str">
        <f>K1893</f>
        <v>M</v>
      </c>
      <c r="AI1893" t="str">
        <f>LEFT(AF1893,1)</f>
        <v>A</v>
      </c>
      <c r="AJ1893" t="str">
        <f>LEFT(M1893,1)</f>
        <v>M</v>
      </c>
      <c r="AK1893" t="str">
        <f>_xlfn.CONCAT(AG1893,AH1893,AI1893,AJ1893)</f>
        <v>CMAM</v>
      </c>
    </row>
    <row r="1894" spans="1:37" ht="15.75" hidden="1" customHeight="1" x14ac:dyDescent="0.2">
      <c r="A1894" s="1">
        <v>524005</v>
      </c>
      <c r="B1894" s="1" t="s">
        <v>4529</v>
      </c>
      <c r="C1894" s="1" t="s">
        <v>685</v>
      </c>
      <c r="D1894" s="1" t="s">
        <v>2867</v>
      </c>
      <c r="E1894" s="1" t="s">
        <v>657</v>
      </c>
      <c r="F1894" s="1" t="s">
        <v>40</v>
      </c>
      <c r="G1894" s="1" t="s">
        <v>4602</v>
      </c>
      <c r="H1894" s="1">
        <v>2675</v>
      </c>
      <c r="I1894" s="1" t="s">
        <v>4603</v>
      </c>
      <c r="J1894" s="1">
        <v>3452</v>
      </c>
      <c r="K1894" s="1" t="s">
        <v>35</v>
      </c>
      <c r="L1894" s="1">
        <v>35</v>
      </c>
      <c r="M1894" s="1" t="str">
        <f>IF(L1894&lt;=45,"Joven","Mayor")</f>
        <v>Joven</v>
      </c>
      <c r="N1894" s="1">
        <v>49</v>
      </c>
      <c r="O1894" s="1" t="s">
        <v>36</v>
      </c>
      <c r="P1894" s="1">
        <v>0.05</v>
      </c>
      <c r="Q1894" s="1">
        <v>63.414000000000001</v>
      </c>
      <c r="R1894" s="1">
        <v>13.404429</v>
      </c>
      <c r="S1894" s="1">
        <v>6.8710136000000004</v>
      </c>
      <c r="T1894" s="1">
        <v>-2.3460803000000001</v>
      </c>
      <c r="U1894" s="1">
        <v>2.8279999999999998</v>
      </c>
      <c r="V1894" s="1">
        <v>116</v>
      </c>
      <c r="W1894" s="1">
        <v>200</v>
      </c>
      <c r="X1894" s="1">
        <v>1.7241379310344827</v>
      </c>
      <c r="Y1894" s="1">
        <v>117</v>
      </c>
      <c r="Z1894" s="1">
        <v>200</v>
      </c>
      <c r="AA1894" s="1">
        <v>1.7094017094017093</v>
      </c>
      <c r="AB1894" s="1">
        <v>117.9086021601927</v>
      </c>
      <c r="AC1894" s="1">
        <v>199.66861763281759</v>
      </c>
      <c r="AD1894" s="1">
        <v>1.6934185799399462</v>
      </c>
      <c r="AE1894" t="s">
        <v>4817</v>
      </c>
      <c r="AF1894" t="str">
        <f>IF(X1894&lt;$AF$1,"Bajo","Alto")</f>
        <v>Bajo</v>
      </c>
      <c r="AG1894" t="str">
        <f>LEFT(AE1894,1)</f>
        <v>C</v>
      </c>
      <c r="AH1894" t="str">
        <f>K1894</f>
        <v>M</v>
      </c>
      <c r="AI1894" t="str">
        <f>LEFT(AF1894,1)</f>
        <v>B</v>
      </c>
      <c r="AJ1894" t="str">
        <f>LEFT(M1894,1)</f>
        <v>J</v>
      </c>
      <c r="AK1894" t="str">
        <f>_xlfn.CONCAT(AG1894,AH1894,AI1894,AJ1894)</f>
        <v>CMBJ</v>
      </c>
    </row>
    <row r="1895" spans="1:37" ht="15.75" hidden="1" customHeight="1" x14ac:dyDescent="0.2">
      <c r="A1895" s="1">
        <v>2721902</v>
      </c>
      <c r="B1895" s="1" t="s">
        <v>3409</v>
      </c>
      <c r="C1895" s="1" t="s">
        <v>973</v>
      </c>
      <c r="D1895" s="1" t="s">
        <v>3640</v>
      </c>
      <c r="E1895" s="1" t="s">
        <v>3641</v>
      </c>
      <c r="F1895" s="1" t="s">
        <v>37</v>
      </c>
      <c r="G1895" s="1" t="s">
        <v>3643</v>
      </c>
      <c r="H1895" s="1">
        <v>538</v>
      </c>
      <c r="I1895" s="1" t="s">
        <v>3644</v>
      </c>
      <c r="J1895" s="1">
        <v>4591</v>
      </c>
      <c r="K1895" s="1" t="s">
        <v>49</v>
      </c>
      <c r="L1895" s="1">
        <v>49</v>
      </c>
      <c r="M1895" s="1" t="str">
        <f>IF(L1895&lt;=45,"Joven","Mayor")</f>
        <v>Mayor</v>
      </c>
      <c r="N1895" s="1">
        <v>53</v>
      </c>
      <c r="O1895" s="1" t="s">
        <v>50</v>
      </c>
      <c r="P1895" s="1">
        <v>0.29899999999999999</v>
      </c>
      <c r="Q1895" s="1">
        <v>82.977000000000004</v>
      </c>
      <c r="R1895" s="1">
        <v>8.4550850000000004</v>
      </c>
      <c r="S1895" s="1">
        <v>-6.8809089999999999</v>
      </c>
      <c r="T1895" s="1">
        <v>-6.8847290000000001</v>
      </c>
      <c r="U1895" s="1">
        <v>15.75</v>
      </c>
      <c r="V1895" s="1">
        <v>79</v>
      </c>
      <c r="W1895" s="1">
        <v>144</v>
      </c>
      <c r="X1895" s="1">
        <v>1.8227848101265822</v>
      </c>
      <c r="Y1895" s="1">
        <v>85</v>
      </c>
      <c r="Z1895" s="1">
        <v>144</v>
      </c>
      <c r="AA1895" s="1">
        <v>1.6941176470588235</v>
      </c>
      <c r="AB1895" s="1">
        <v>83.10537399818395</v>
      </c>
      <c r="AC1895" s="1">
        <v>143.44115197998741</v>
      </c>
      <c r="AD1895" s="1">
        <v>1.72601535952563</v>
      </c>
      <c r="AE1895" t="s">
        <v>4817</v>
      </c>
      <c r="AF1895" t="str">
        <f>IF(X1895&lt;$AF$1,"Bajo","Alto")</f>
        <v>Alto</v>
      </c>
      <c r="AG1895" t="str">
        <f>LEFT(AE1895,1)</f>
        <v>C</v>
      </c>
      <c r="AH1895" t="str">
        <f>K1895</f>
        <v>F</v>
      </c>
      <c r="AI1895" t="str">
        <f>LEFT(AF1895,1)</f>
        <v>A</v>
      </c>
      <c r="AJ1895" t="str">
        <f>LEFT(M1895,1)</f>
        <v>M</v>
      </c>
      <c r="AK1895" t="str">
        <f>_xlfn.CONCAT(AG1895,AH1895,AI1895,AJ1895)</f>
        <v>CFAM</v>
      </c>
    </row>
    <row r="1896" spans="1:37" ht="15.75" hidden="1" customHeight="1" x14ac:dyDescent="0.2">
      <c r="A1896" s="1">
        <v>195603</v>
      </c>
      <c r="B1896" s="1" t="s">
        <v>2656</v>
      </c>
      <c r="C1896" s="1" t="s">
        <v>323</v>
      </c>
      <c r="D1896" s="1" t="s">
        <v>1639</v>
      </c>
      <c r="E1896" s="1" t="s">
        <v>2751</v>
      </c>
      <c r="F1896" s="1" t="s">
        <v>63</v>
      </c>
      <c r="G1896" s="1" t="s">
        <v>2754</v>
      </c>
      <c r="H1896" s="1">
        <v>492</v>
      </c>
      <c r="I1896" s="1" t="s">
        <v>108</v>
      </c>
      <c r="J1896" s="1">
        <v>3</v>
      </c>
      <c r="K1896" s="1" t="s">
        <v>35</v>
      </c>
      <c r="L1896" s="1">
        <v>48</v>
      </c>
      <c r="M1896" s="1" t="str">
        <f>IF(L1896&lt;=45,"Joven","Mayor")</f>
        <v>Mayor</v>
      </c>
      <c r="N1896" s="1">
        <v>48</v>
      </c>
      <c r="O1896" s="1" t="s">
        <v>36</v>
      </c>
      <c r="P1896" s="1">
        <v>0.36499999999999999</v>
      </c>
      <c r="Q1896" s="1">
        <v>94.662000000000006</v>
      </c>
      <c r="R1896" s="1">
        <v>0.37417139999999999</v>
      </c>
      <c r="S1896" s="1">
        <v>0.75659540000000003</v>
      </c>
      <c r="T1896" s="1">
        <v>-2.0006510999999998</v>
      </c>
      <c r="U1896" s="1">
        <v>2.855</v>
      </c>
      <c r="V1896" s="1">
        <v>115</v>
      </c>
      <c r="W1896" s="1">
        <v>210</v>
      </c>
      <c r="X1896" s="1">
        <v>1.826086956521739</v>
      </c>
      <c r="Y1896" s="1">
        <v>116</v>
      </c>
      <c r="Z1896" s="1">
        <v>210</v>
      </c>
      <c r="AA1896" s="1">
        <v>1.8103448275862069</v>
      </c>
      <c r="AB1896" s="1">
        <v>116.7452638797222</v>
      </c>
      <c r="AC1896" s="1">
        <v>209.76725781523601</v>
      </c>
      <c r="AD1896" s="1">
        <v>1.7967945837301846</v>
      </c>
      <c r="AE1896" t="s">
        <v>4817</v>
      </c>
      <c r="AF1896" t="str">
        <f>IF(X1896&lt;$AF$1,"Bajo","Alto")</f>
        <v>Alto</v>
      </c>
      <c r="AG1896" t="str">
        <f>LEFT(AE1896,1)</f>
        <v>C</v>
      </c>
      <c r="AH1896" t="str">
        <f>K1896</f>
        <v>M</v>
      </c>
      <c r="AI1896" t="str">
        <f>LEFT(AF1896,1)</f>
        <v>A</v>
      </c>
      <c r="AJ1896" t="str">
        <f>LEFT(M1896,1)</f>
        <v>M</v>
      </c>
      <c r="AK1896" t="str">
        <f>_xlfn.CONCAT(AG1896,AH1896,AI1896,AJ1896)</f>
        <v>CMAM</v>
      </c>
    </row>
    <row r="1897" spans="1:37" ht="15.75" hidden="1" customHeight="1" x14ac:dyDescent="0.2">
      <c r="A1897" s="1">
        <v>1050405</v>
      </c>
      <c r="B1897" s="1" t="s">
        <v>694</v>
      </c>
      <c r="C1897" s="1" t="s">
        <v>879</v>
      </c>
      <c r="D1897" s="1" t="s">
        <v>886</v>
      </c>
      <c r="E1897" s="1" t="s">
        <v>61</v>
      </c>
      <c r="F1897" s="1" t="s">
        <v>40</v>
      </c>
      <c r="G1897" s="1" t="s">
        <v>888</v>
      </c>
      <c r="H1897" s="1">
        <v>8</v>
      </c>
      <c r="I1897" s="1" t="s">
        <v>91</v>
      </c>
      <c r="J1897" s="1">
        <v>6</v>
      </c>
      <c r="K1897" s="1" t="s">
        <v>35</v>
      </c>
      <c r="L1897" s="1">
        <v>65</v>
      </c>
      <c r="M1897" s="1" t="str">
        <f>IF(L1897&lt;=45,"Joven","Mayor")</f>
        <v>Mayor</v>
      </c>
      <c r="N1897" s="1">
        <v>67</v>
      </c>
      <c r="O1897" s="1" t="s">
        <v>36</v>
      </c>
      <c r="P1897" s="1">
        <v>5.0659999999999998</v>
      </c>
      <c r="Q1897" s="1">
        <v>85.79</v>
      </c>
      <c r="R1897" s="1">
        <v>5.6080546</v>
      </c>
      <c r="S1897" s="1">
        <v>7.6240076999999999</v>
      </c>
      <c r="T1897" s="1">
        <v>-5.4554644000000003</v>
      </c>
      <c r="U1897" s="1">
        <v>7.7549999999999999</v>
      </c>
      <c r="V1897" s="1">
        <v>75</v>
      </c>
      <c r="W1897" s="1">
        <v>128</v>
      </c>
      <c r="X1897" s="1">
        <v>1.7066666666666668</v>
      </c>
      <c r="Y1897" s="1">
        <v>79</v>
      </c>
      <c r="Z1897" s="1">
        <v>128</v>
      </c>
      <c r="AA1897" s="1">
        <v>1.620253164556962</v>
      </c>
      <c r="AB1897" s="1">
        <v>78.368088203143998</v>
      </c>
      <c r="AC1897" s="1">
        <v>127.89557097470519</v>
      </c>
      <c r="AD1897" s="1">
        <v>1.6319853387666823</v>
      </c>
      <c r="AE1897" t="s">
        <v>4817</v>
      </c>
      <c r="AF1897" t="str">
        <f>IF(X1897&lt;$AF$1,"Bajo","Alto")</f>
        <v>Bajo</v>
      </c>
      <c r="AG1897" t="str">
        <f>LEFT(AE1897,1)</f>
        <v>C</v>
      </c>
      <c r="AH1897" t="str">
        <f>K1897</f>
        <v>M</v>
      </c>
      <c r="AI1897" t="str">
        <f>LEFT(AF1897,1)</f>
        <v>B</v>
      </c>
      <c r="AJ1897" t="str">
        <f>LEFT(M1897,1)</f>
        <v>M</v>
      </c>
      <c r="AK1897" t="str">
        <f>_xlfn.CONCAT(AG1897,AH1897,AI1897,AJ1897)</f>
        <v>CMBM</v>
      </c>
    </row>
    <row r="1898" spans="1:37" ht="15.75" hidden="1" customHeight="1" x14ac:dyDescent="0.2">
      <c r="A1898" s="1">
        <v>150401</v>
      </c>
      <c r="B1898" s="1" t="s">
        <v>2077</v>
      </c>
      <c r="C1898" s="1" t="s">
        <v>57</v>
      </c>
      <c r="D1898" s="1" t="s">
        <v>2078</v>
      </c>
      <c r="E1898" s="1" t="s">
        <v>61</v>
      </c>
      <c r="F1898" s="1" t="s">
        <v>32</v>
      </c>
      <c r="G1898" s="1" t="s">
        <v>2079</v>
      </c>
      <c r="H1898" s="1">
        <v>3080</v>
      </c>
      <c r="I1898" s="1" t="s">
        <v>108</v>
      </c>
      <c r="J1898" s="1">
        <v>3</v>
      </c>
      <c r="K1898" s="1" t="s">
        <v>35</v>
      </c>
      <c r="L1898" s="1">
        <v>48</v>
      </c>
      <c r="M1898" s="1" t="str">
        <f>IF(L1898&lt;=45,"Joven","Mayor")</f>
        <v>Mayor</v>
      </c>
      <c r="N1898" s="1">
        <v>43</v>
      </c>
      <c r="O1898" s="1" t="s">
        <v>36</v>
      </c>
      <c r="P1898" s="1">
        <v>0.66400000000000003</v>
      </c>
      <c r="Q1898" s="1">
        <v>94.015000000000001</v>
      </c>
      <c r="R1898" s="1">
        <v>0.22966766</v>
      </c>
      <c r="S1898" s="1">
        <v>4.0742373000000001</v>
      </c>
      <c r="T1898" s="1">
        <v>3.5175483000000001</v>
      </c>
      <c r="U1898" s="1">
        <v>45.401000000000003</v>
      </c>
      <c r="V1898" s="1">
        <v>86</v>
      </c>
      <c r="W1898" s="1">
        <v>157</v>
      </c>
      <c r="X1898" s="1">
        <v>1.8255813953488371</v>
      </c>
      <c r="Y1898" s="1">
        <v>96</v>
      </c>
      <c r="Z1898" s="1">
        <v>157</v>
      </c>
      <c r="AA1898" s="1">
        <v>1.6354166666666667</v>
      </c>
      <c r="AB1898" s="1">
        <v>94.162576669743885</v>
      </c>
      <c r="AC1898" s="1">
        <v>157.86995104602559</v>
      </c>
      <c r="AD1898" s="1">
        <v>1.6765678747271582</v>
      </c>
      <c r="AE1898" t="s">
        <v>4817</v>
      </c>
      <c r="AF1898" t="str">
        <f>IF(X1898&lt;$AF$1,"Bajo","Alto")</f>
        <v>Alto</v>
      </c>
      <c r="AG1898" t="str">
        <f>LEFT(AE1898,1)</f>
        <v>C</v>
      </c>
      <c r="AH1898" t="str">
        <f>K1898</f>
        <v>M</v>
      </c>
      <c r="AI1898" t="str">
        <f>LEFT(AF1898,1)</f>
        <v>A</v>
      </c>
      <c r="AJ1898" t="str">
        <f>LEFT(M1898,1)</f>
        <v>M</v>
      </c>
      <c r="AK1898" t="str">
        <f>_xlfn.CONCAT(AG1898,AH1898,AI1898,AJ1898)</f>
        <v>CMAM</v>
      </c>
    </row>
    <row r="1899" spans="1:37" ht="15.75" hidden="1" customHeight="1" x14ac:dyDescent="0.2">
      <c r="A1899" s="1">
        <v>642605</v>
      </c>
      <c r="B1899" s="1" t="s">
        <v>4718</v>
      </c>
      <c r="C1899" s="1" t="s">
        <v>710</v>
      </c>
      <c r="D1899" s="1" t="s">
        <v>4767</v>
      </c>
      <c r="E1899" s="1" t="s">
        <v>968</v>
      </c>
      <c r="F1899" s="1" t="s">
        <v>40</v>
      </c>
      <c r="G1899" s="1" t="s">
        <v>4771</v>
      </c>
      <c r="H1899" s="1">
        <v>2011</v>
      </c>
      <c r="I1899" s="1" t="s">
        <v>4772</v>
      </c>
      <c r="J1899" s="1">
        <v>2243</v>
      </c>
      <c r="K1899" s="1" t="s">
        <v>35</v>
      </c>
      <c r="L1899" s="1">
        <v>33</v>
      </c>
      <c r="M1899" s="1" t="str">
        <f>IF(L1899&lt;=45,"Joven","Mayor")</f>
        <v>Joven</v>
      </c>
      <c r="N1899" s="1">
        <v>28</v>
      </c>
      <c r="O1899" s="1" t="s">
        <v>36</v>
      </c>
      <c r="P1899" s="1">
        <v>0.36099999999999999</v>
      </c>
      <c r="Q1899" s="1">
        <v>90.763999999999996</v>
      </c>
      <c r="R1899" s="1">
        <v>1.4962177999999999</v>
      </c>
      <c r="S1899" s="1">
        <v>10.469901</v>
      </c>
      <c r="T1899" s="1">
        <v>-0.28926677000000001</v>
      </c>
      <c r="U1899" s="1">
        <v>42.281999999999996</v>
      </c>
      <c r="V1899" s="1">
        <v>88</v>
      </c>
      <c r="W1899" s="1">
        <v>161</v>
      </c>
      <c r="X1899" s="1">
        <v>1.8295454545454546</v>
      </c>
      <c r="Y1899" s="1">
        <v>90</v>
      </c>
      <c r="Z1899" s="1">
        <v>161</v>
      </c>
      <c r="AA1899" s="1">
        <v>1.788888888888889</v>
      </c>
      <c r="AB1899" s="1">
        <v>90.205847080328795</v>
      </c>
      <c r="AC1899" s="1">
        <v>161.00299678054529</v>
      </c>
      <c r="AD1899" s="1">
        <v>1.7848399188266726</v>
      </c>
      <c r="AE1899" t="s">
        <v>4817</v>
      </c>
      <c r="AF1899" t="str">
        <f>IF(X1899&lt;$AF$1,"Bajo","Alto")</f>
        <v>Alto</v>
      </c>
      <c r="AG1899" t="str">
        <f>LEFT(AE1899,1)</f>
        <v>C</v>
      </c>
      <c r="AH1899" t="str">
        <f>K1899</f>
        <v>M</v>
      </c>
      <c r="AI1899" t="str">
        <f>LEFT(AF1899,1)</f>
        <v>A</v>
      </c>
      <c r="AJ1899" t="str">
        <f>LEFT(M1899,1)</f>
        <v>J</v>
      </c>
      <c r="AK1899" t="str">
        <f>_xlfn.CONCAT(AG1899,AH1899,AI1899,AJ1899)</f>
        <v>CMAJ</v>
      </c>
    </row>
    <row r="1900" spans="1:37" ht="15.75" hidden="1" customHeight="1" x14ac:dyDescent="0.2">
      <c r="A1900" s="1">
        <v>524202</v>
      </c>
      <c r="B1900" s="1" t="s">
        <v>4529</v>
      </c>
      <c r="C1900" s="1" t="s">
        <v>685</v>
      </c>
      <c r="D1900" s="1" t="s">
        <v>4609</v>
      </c>
      <c r="E1900" s="1" t="s">
        <v>2872</v>
      </c>
      <c r="F1900" s="1" t="s">
        <v>37</v>
      </c>
      <c r="G1900" s="1" t="s">
        <v>4610</v>
      </c>
      <c r="H1900" s="1">
        <v>26</v>
      </c>
      <c r="I1900" s="1" t="s">
        <v>294</v>
      </c>
      <c r="J1900" s="1">
        <v>16</v>
      </c>
      <c r="K1900" s="1" t="s">
        <v>35</v>
      </c>
      <c r="L1900" s="1">
        <v>47</v>
      </c>
      <c r="M1900" s="1" t="str">
        <f>IF(L1900&lt;=45,"Joven","Mayor")</f>
        <v>Mayor</v>
      </c>
      <c r="N1900" s="1">
        <v>53</v>
      </c>
      <c r="O1900" s="1" t="s">
        <v>36</v>
      </c>
      <c r="P1900" s="1">
        <v>0.57199999999999995</v>
      </c>
      <c r="Q1900" s="1">
        <v>91.941000000000003</v>
      </c>
      <c r="R1900" s="1">
        <v>0.19640635000000001</v>
      </c>
      <c r="S1900" s="1">
        <v>9.8740039999999993</v>
      </c>
      <c r="T1900" s="1">
        <v>1.2838433</v>
      </c>
      <c r="U1900" s="1">
        <v>2.0830000000000002</v>
      </c>
      <c r="V1900" s="1">
        <v>103</v>
      </c>
      <c r="W1900" s="1">
        <v>188</v>
      </c>
      <c r="X1900" s="1">
        <v>1.825242718446602</v>
      </c>
      <c r="Y1900" s="1">
        <v>106</v>
      </c>
      <c r="Z1900" s="1">
        <v>188</v>
      </c>
      <c r="AA1900" s="1">
        <v>1.7735849056603774</v>
      </c>
      <c r="AB1900" s="1">
        <v>104.8979304679392</v>
      </c>
      <c r="AC1900" s="1">
        <v>188.04242748938901</v>
      </c>
      <c r="AD1900" s="1">
        <v>1.7926228539547968</v>
      </c>
      <c r="AE1900" t="s">
        <v>4817</v>
      </c>
      <c r="AF1900" t="str">
        <f>IF(X1900&lt;$AF$1,"Bajo","Alto")</f>
        <v>Alto</v>
      </c>
      <c r="AG1900" t="str">
        <f>LEFT(AE1900,1)</f>
        <v>C</v>
      </c>
      <c r="AH1900" t="str">
        <f>K1900</f>
        <v>M</v>
      </c>
      <c r="AI1900" t="str">
        <f>LEFT(AF1900,1)</f>
        <v>A</v>
      </c>
      <c r="AJ1900" t="str">
        <f>LEFT(M1900,1)</f>
        <v>M</v>
      </c>
      <c r="AK1900" t="str">
        <f>_xlfn.CONCAT(AG1900,AH1900,AI1900,AJ1900)</f>
        <v>CMAM</v>
      </c>
    </row>
    <row r="1901" spans="1:37" ht="15.75" hidden="1" customHeight="1" x14ac:dyDescent="0.2">
      <c r="A1901" s="1">
        <v>10122301</v>
      </c>
      <c r="B1901" s="1" t="s">
        <v>29</v>
      </c>
      <c r="C1901" s="1" t="s">
        <v>30</v>
      </c>
      <c r="D1901" s="1" t="s">
        <v>422</v>
      </c>
      <c r="E1901" s="1" t="s">
        <v>423</v>
      </c>
      <c r="F1901" s="1" t="s">
        <v>32</v>
      </c>
      <c r="G1901" s="1" t="s">
        <v>424</v>
      </c>
      <c r="H1901" s="1">
        <v>119</v>
      </c>
      <c r="I1901" s="1" t="s">
        <v>100</v>
      </c>
      <c r="J1901" s="1">
        <v>1</v>
      </c>
      <c r="K1901" s="1" t="s">
        <v>35</v>
      </c>
      <c r="L1901" s="1">
        <v>51</v>
      </c>
      <c r="M1901" s="1" t="str">
        <f>IF(L1901&lt;=45,"Joven","Mayor")</f>
        <v>Mayor</v>
      </c>
      <c r="N1901" s="1">
        <v>49</v>
      </c>
      <c r="O1901" s="1" t="s">
        <v>36</v>
      </c>
      <c r="P1901" s="1">
        <v>0.36099999999999999</v>
      </c>
      <c r="Q1901" s="1">
        <v>61.197000000000003</v>
      </c>
      <c r="R1901" s="1">
        <v>-14.194718999999999</v>
      </c>
      <c r="S1901" s="1">
        <v>3.864789</v>
      </c>
      <c r="T1901" s="1">
        <v>6.2181309999999996</v>
      </c>
      <c r="U1901" s="1">
        <v>64.188999999999993</v>
      </c>
      <c r="V1901" s="1">
        <v>99</v>
      </c>
      <c r="W1901" s="1">
        <v>169</v>
      </c>
      <c r="X1901" s="1">
        <v>1.707070707070707</v>
      </c>
      <c r="Y1901" s="1">
        <v>105</v>
      </c>
      <c r="Z1901" s="1">
        <v>169</v>
      </c>
      <c r="AA1901" s="1">
        <v>1.6095238095238096</v>
      </c>
      <c r="AB1901" s="1">
        <v>103.39999856056561</v>
      </c>
      <c r="AC1901" s="1">
        <v>168.9805542731178</v>
      </c>
      <c r="AD1901" s="1">
        <v>1.6342413600145167</v>
      </c>
      <c r="AE1901" t="s">
        <v>4817</v>
      </c>
      <c r="AF1901" t="str">
        <f>IF(X1901&lt;$AF$1,"Bajo","Alto")</f>
        <v>Bajo</v>
      </c>
      <c r="AG1901" t="str">
        <f>LEFT(AE1901,1)</f>
        <v>C</v>
      </c>
      <c r="AH1901" t="str">
        <f>K1901</f>
        <v>M</v>
      </c>
      <c r="AI1901" t="str">
        <f>LEFT(AF1901,1)</f>
        <v>B</v>
      </c>
      <c r="AJ1901" t="str">
        <f>LEFT(M1901,1)</f>
        <v>M</v>
      </c>
      <c r="AK1901" t="str">
        <f>_xlfn.CONCAT(AG1901,AH1901,AI1901,AJ1901)</f>
        <v>CMBM</v>
      </c>
    </row>
    <row r="1902" spans="1:37" ht="15.75" hidden="1" customHeight="1" x14ac:dyDescent="0.2">
      <c r="A1902" s="1">
        <v>1241002</v>
      </c>
      <c r="B1902" s="1" t="s">
        <v>1798</v>
      </c>
      <c r="C1902" s="1" t="s">
        <v>54</v>
      </c>
      <c r="D1902" s="1" t="s">
        <v>1837</v>
      </c>
      <c r="E1902" s="1" t="s">
        <v>1838</v>
      </c>
      <c r="F1902" s="1" t="s">
        <v>37</v>
      </c>
      <c r="G1902" s="1" t="s">
        <v>1839</v>
      </c>
      <c r="H1902" s="1">
        <v>1247</v>
      </c>
      <c r="I1902" s="1" t="s">
        <v>87</v>
      </c>
      <c r="J1902" s="1">
        <v>14</v>
      </c>
      <c r="K1902" s="1" t="s">
        <v>35</v>
      </c>
      <c r="L1902" s="1">
        <v>60</v>
      </c>
      <c r="M1902" s="1" t="str">
        <f>IF(L1902&lt;=45,"Joven","Mayor")</f>
        <v>Mayor</v>
      </c>
      <c r="N1902" s="1">
        <v>57</v>
      </c>
      <c r="O1902" s="1" t="s">
        <v>36</v>
      </c>
      <c r="P1902" s="1">
        <v>0.51600000000000001</v>
      </c>
      <c r="Q1902" s="1">
        <v>92.896000000000001</v>
      </c>
      <c r="R1902" s="1">
        <v>1.435144</v>
      </c>
      <c r="S1902" s="1">
        <v>5.8220033999999998</v>
      </c>
      <c r="T1902" s="1">
        <v>-2.2475339999999999</v>
      </c>
      <c r="U1902" s="1">
        <v>2.1509999999999998</v>
      </c>
      <c r="V1902" s="1">
        <v>87</v>
      </c>
      <c r="W1902" s="1">
        <v>157</v>
      </c>
      <c r="X1902" s="1">
        <v>1.8045977011494252</v>
      </c>
      <c r="Y1902" s="1">
        <v>88</v>
      </c>
      <c r="Z1902" s="1">
        <v>157</v>
      </c>
      <c r="AA1902" s="1">
        <v>1.7840909090909092</v>
      </c>
      <c r="AB1902" s="1">
        <v>88.776263106421084</v>
      </c>
      <c r="AC1902" s="1">
        <v>157.07530787837189</v>
      </c>
      <c r="AD1902" s="1">
        <v>1.7693390370585538</v>
      </c>
      <c r="AE1902" t="s">
        <v>4816</v>
      </c>
      <c r="AF1902" t="str">
        <f>IF(X1902&lt;$AF$1,"Bajo","Alto")</f>
        <v>Alto</v>
      </c>
      <c r="AG1902" t="str">
        <f>LEFT(AE1902,1)</f>
        <v>D</v>
      </c>
      <c r="AH1902" t="str">
        <f>K1902</f>
        <v>M</v>
      </c>
      <c r="AI1902" t="str">
        <f>LEFT(AF1902,1)</f>
        <v>A</v>
      </c>
      <c r="AJ1902" t="str">
        <f>LEFT(M1902,1)</f>
        <v>M</v>
      </c>
      <c r="AK1902" t="str">
        <f>_xlfn.CONCAT(AG1902,AH1902,AI1902,AJ1902)</f>
        <v>DMAM</v>
      </c>
    </row>
    <row r="1903" spans="1:37" ht="15.75" hidden="1" customHeight="1" x14ac:dyDescent="0.2">
      <c r="A1903" s="1">
        <v>151604</v>
      </c>
      <c r="B1903" s="1" t="s">
        <v>2077</v>
      </c>
      <c r="C1903" s="1" t="s">
        <v>57</v>
      </c>
      <c r="D1903" s="1" t="s">
        <v>2185</v>
      </c>
      <c r="E1903" s="1" t="s">
        <v>244</v>
      </c>
      <c r="F1903" s="1" t="s">
        <v>61</v>
      </c>
      <c r="G1903" s="1" t="s">
        <v>2186</v>
      </c>
      <c r="H1903" s="1">
        <v>62</v>
      </c>
      <c r="I1903" s="1" t="s">
        <v>42</v>
      </c>
      <c r="J1903" s="1">
        <v>15</v>
      </c>
      <c r="K1903" s="1" t="s">
        <v>35</v>
      </c>
      <c r="L1903" s="1">
        <v>63</v>
      </c>
      <c r="M1903" s="1" t="str">
        <f>IF(L1903&lt;=45,"Joven","Mayor")</f>
        <v>Mayor</v>
      </c>
      <c r="N1903" s="1">
        <v>56</v>
      </c>
      <c r="O1903" s="1" t="s">
        <v>36</v>
      </c>
      <c r="P1903" s="1">
        <v>0.35099999999999998</v>
      </c>
      <c r="Q1903" s="1">
        <v>92.795000000000002</v>
      </c>
      <c r="R1903" s="1">
        <v>-3.2590246</v>
      </c>
      <c r="S1903" s="1">
        <v>1.6380774</v>
      </c>
      <c r="T1903" s="1">
        <v>1.8441327000000001</v>
      </c>
      <c r="U1903" s="1">
        <v>4.1100000000000003</v>
      </c>
      <c r="V1903" s="1">
        <v>85</v>
      </c>
      <c r="W1903" s="1">
        <v>155</v>
      </c>
      <c r="X1903" s="1">
        <v>1.8235294117647058</v>
      </c>
      <c r="Y1903" s="1">
        <v>91</v>
      </c>
      <c r="Z1903" s="1">
        <v>155</v>
      </c>
      <c r="AA1903" s="1">
        <v>1.7032967032967032</v>
      </c>
      <c r="AB1903" s="1">
        <v>89.794365614818616</v>
      </c>
      <c r="AC1903" s="1">
        <v>155.2737076902358</v>
      </c>
      <c r="AD1903" s="1">
        <v>1.7292143736088852</v>
      </c>
      <c r="AE1903" t="s">
        <v>4817</v>
      </c>
      <c r="AF1903" t="str">
        <f>IF(X1903&lt;$AF$1,"Bajo","Alto")</f>
        <v>Alto</v>
      </c>
      <c r="AG1903" t="str">
        <f>LEFT(AE1903,1)</f>
        <v>C</v>
      </c>
      <c r="AH1903" t="str">
        <f>K1903</f>
        <v>M</v>
      </c>
      <c r="AI1903" t="str">
        <f>LEFT(AF1903,1)</f>
        <v>A</v>
      </c>
      <c r="AJ1903" t="str">
        <f>LEFT(M1903,1)</f>
        <v>M</v>
      </c>
      <c r="AK1903" t="str">
        <f>_xlfn.CONCAT(AG1903,AH1903,AI1903,AJ1903)</f>
        <v>CMAM</v>
      </c>
    </row>
    <row r="1904" spans="1:37" ht="15.75" hidden="1" customHeight="1" x14ac:dyDescent="0.2">
      <c r="A1904" s="1">
        <v>1014005</v>
      </c>
      <c r="B1904" s="1" t="s">
        <v>29</v>
      </c>
      <c r="C1904" s="1" t="s">
        <v>30</v>
      </c>
      <c r="D1904" s="1" t="s">
        <v>656</v>
      </c>
      <c r="E1904" s="1" t="s">
        <v>657</v>
      </c>
      <c r="F1904" s="1" t="s">
        <v>40</v>
      </c>
      <c r="G1904" s="1" t="s">
        <v>661</v>
      </c>
      <c r="H1904" s="1">
        <v>112</v>
      </c>
      <c r="I1904" s="1" t="s">
        <v>91</v>
      </c>
      <c r="J1904" s="1">
        <v>6</v>
      </c>
      <c r="K1904" s="1" t="s">
        <v>35</v>
      </c>
      <c r="L1904" s="1">
        <v>45</v>
      </c>
      <c r="M1904" s="1" t="str">
        <f>IF(L1904&lt;=45,"Joven","Mayor")</f>
        <v>Joven</v>
      </c>
      <c r="N1904" s="1">
        <v>46</v>
      </c>
      <c r="O1904" s="1" t="s">
        <v>36</v>
      </c>
      <c r="P1904" s="1">
        <v>0.22700000000000001</v>
      </c>
      <c r="Q1904" s="1">
        <v>90.451999999999998</v>
      </c>
      <c r="R1904" s="1">
        <v>4.355486</v>
      </c>
      <c r="S1904" s="1">
        <v>-6.0070550000000003</v>
      </c>
      <c r="T1904" s="1">
        <v>-0.99036204999999999</v>
      </c>
      <c r="U1904" s="1">
        <v>2.9020000000000001</v>
      </c>
      <c r="V1904" s="1">
        <v>76</v>
      </c>
      <c r="W1904" s="1">
        <v>139</v>
      </c>
      <c r="X1904" s="1">
        <v>1.8289473684210527</v>
      </c>
      <c r="Y1904" s="1">
        <v>82</v>
      </c>
      <c r="Z1904" s="1">
        <v>139</v>
      </c>
      <c r="AA1904" s="1">
        <v>1.6951219512195121</v>
      </c>
      <c r="AB1904" s="1">
        <v>81.313666077253401</v>
      </c>
      <c r="AC1904" s="1">
        <v>139.03108838165829</v>
      </c>
      <c r="AD1904" s="1">
        <v>1.7098120782006003</v>
      </c>
      <c r="AE1904" t="s">
        <v>4817</v>
      </c>
      <c r="AF1904" t="str">
        <f>IF(X1904&lt;$AF$1,"Bajo","Alto")</f>
        <v>Alto</v>
      </c>
      <c r="AG1904" t="str">
        <f>LEFT(AE1904,1)</f>
        <v>C</v>
      </c>
      <c r="AH1904" t="str">
        <f>K1904</f>
        <v>M</v>
      </c>
      <c r="AI1904" t="str">
        <f>LEFT(AF1904,1)</f>
        <v>A</v>
      </c>
      <c r="AJ1904" t="str">
        <f>LEFT(M1904,1)</f>
        <v>J</v>
      </c>
      <c r="AK1904" t="str">
        <f>_xlfn.CONCAT(AG1904,AH1904,AI1904,AJ1904)</f>
        <v>CMAJ</v>
      </c>
    </row>
    <row r="1905" spans="1:37" ht="15.75" hidden="1" customHeight="1" x14ac:dyDescent="0.2">
      <c r="A1905" s="1">
        <v>1285005</v>
      </c>
      <c r="B1905" s="1" t="s">
        <v>1798</v>
      </c>
      <c r="C1905" s="1" t="s">
        <v>54</v>
      </c>
      <c r="D1905" s="1" t="s">
        <v>1931</v>
      </c>
      <c r="E1905" s="1" t="s">
        <v>1932</v>
      </c>
      <c r="F1905" s="1" t="s">
        <v>40</v>
      </c>
      <c r="G1905" s="1" t="s">
        <v>1935</v>
      </c>
      <c r="H1905" s="1">
        <v>3538</v>
      </c>
      <c r="I1905" s="1" t="s">
        <v>1936</v>
      </c>
      <c r="J1905" s="1">
        <v>2811</v>
      </c>
      <c r="K1905" s="1" t="s">
        <v>49</v>
      </c>
      <c r="L1905" s="1">
        <v>29</v>
      </c>
      <c r="M1905" s="1" t="str">
        <f>IF(L1905&lt;=45,"Joven","Mayor")</f>
        <v>Joven</v>
      </c>
      <c r="N1905" s="1">
        <v>30</v>
      </c>
      <c r="O1905" s="1" t="s">
        <v>50</v>
      </c>
      <c r="P1905" s="1">
        <v>0.77100000000000002</v>
      </c>
      <c r="Q1905" s="1">
        <v>89.873999999999995</v>
      </c>
      <c r="R1905" s="1">
        <v>6.1113334000000004</v>
      </c>
      <c r="S1905" s="1">
        <v>0.87416519999999998</v>
      </c>
      <c r="T1905" s="1">
        <v>-11.776541999999999</v>
      </c>
      <c r="U1905" s="1">
        <v>37.177999999999997</v>
      </c>
      <c r="V1905" s="1">
        <v>85</v>
      </c>
      <c r="W1905" s="1">
        <v>158</v>
      </c>
      <c r="X1905" s="1">
        <v>1.8588235294117648</v>
      </c>
      <c r="Y1905" s="1">
        <v>94</v>
      </c>
      <c r="Z1905" s="1">
        <v>158</v>
      </c>
      <c r="AA1905" s="1">
        <v>1.6808510638297873</v>
      </c>
      <c r="AB1905" s="1">
        <v>93.007410504192876</v>
      </c>
      <c r="AC1905" s="1">
        <v>157.93978723391359</v>
      </c>
      <c r="AD1905" s="1">
        <v>1.6981419693089239</v>
      </c>
      <c r="AE1905" t="s">
        <v>4817</v>
      </c>
      <c r="AF1905" t="str">
        <f>IF(X1905&lt;$AF$1,"Bajo","Alto")</f>
        <v>Alto</v>
      </c>
      <c r="AG1905" t="str">
        <f>LEFT(AE1905,1)</f>
        <v>C</v>
      </c>
      <c r="AH1905" t="str">
        <f>K1905</f>
        <v>F</v>
      </c>
      <c r="AI1905" t="str">
        <f>LEFT(AF1905,1)</f>
        <v>A</v>
      </c>
      <c r="AJ1905" t="str">
        <f>LEFT(M1905,1)</f>
        <v>J</v>
      </c>
      <c r="AK1905" t="str">
        <f>_xlfn.CONCAT(AG1905,AH1905,AI1905,AJ1905)</f>
        <v>CFAJ</v>
      </c>
    </row>
    <row r="1906" spans="1:37" ht="15.75" hidden="1" customHeight="1" x14ac:dyDescent="0.2">
      <c r="A1906" s="1">
        <v>1016403</v>
      </c>
      <c r="B1906" s="1" t="s">
        <v>29</v>
      </c>
      <c r="C1906" s="1" t="s">
        <v>30</v>
      </c>
      <c r="D1906" s="1" t="s">
        <v>709</v>
      </c>
      <c r="E1906" s="1" t="s">
        <v>710</v>
      </c>
      <c r="F1906" s="1" t="s">
        <v>63</v>
      </c>
      <c r="G1906" s="1" t="s">
        <v>712</v>
      </c>
      <c r="H1906" s="1">
        <v>2157</v>
      </c>
      <c r="I1906" s="1" t="s">
        <v>65</v>
      </c>
      <c r="J1906" s="1">
        <v>2</v>
      </c>
      <c r="K1906" s="1" t="s">
        <v>35</v>
      </c>
      <c r="L1906" s="1">
        <v>40</v>
      </c>
      <c r="M1906" s="1" t="str">
        <f>IF(L1906&lt;=45,"Joven","Mayor")</f>
        <v>Joven</v>
      </c>
      <c r="N1906" s="1">
        <v>67</v>
      </c>
      <c r="O1906" s="1" t="s">
        <v>36</v>
      </c>
      <c r="P1906" s="1">
        <v>0.28399999999999997</v>
      </c>
      <c r="Q1906" s="1">
        <v>92.352999999999994</v>
      </c>
      <c r="R1906" s="1">
        <v>-3.312808</v>
      </c>
      <c r="S1906" s="1">
        <v>-3.3356499999999998</v>
      </c>
      <c r="T1906" s="1">
        <v>0.20344843000000001</v>
      </c>
      <c r="U1906" s="1">
        <v>1.512</v>
      </c>
      <c r="V1906" s="1">
        <v>99</v>
      </c>
      <c r="W1906" s="1">
        <v>181</v>
      </c>
      <c r="X1906" s="1">
        <v>1.8282828282828283</v>
      </c>
      <c r="Y1906" s="1">
        <v>100</v>
      </c>
      <c r="Z1906" s="1">
        <v>181</v>
      </c>
      <c r="AA1906" s="1">
        <v>1.81</v>
      </c>
      <c r="AB1906" s="1">
        <v>99.828929375679081</v>
      </c>
      <c r="AC1906" s="1">
        <v>180.9917572569548</v>
      </c>
      <c r="AD1906" s="1">
        <v>1.8130191156898161</v>
      </c>
      <c r="AE1906" t="s">
        <v>4817</v>
      </c>
      <c r="AF1906" t="str">
        <f>IF(X1906&lt;$AF$1,"Bajo","Alto")</f>
        <v>Alto</v>
      </c>
      <c r="AG1906" t="str">
        <f>LEFT(AE1906,1)</f>
        <v>C</v>
      </c>
      <c r="AH1906" t="str">
        <f>K1906</f>
        <v>M</v>
      </c>
      <c r="AI1906" t="str">
        <f>LEFT(AF1906,1)</f>
        <v>A</v>
      </c>
      <c r="AJ1906" t="str">
        <f>LEFT(M1906,1)</f>
        <v>J</v>
      </c>
      <c r="AK1906" t="str">
        <f>_xlfn.CONCAT(AG1906,AH1906,AI1906,AJ1906)</f>
        <v>CMAJ</v>
      </c>
    </row>
    <row r="1907" spans="1:37" ht="15.75" hidden="1" customHeight="1" x14ac:dyDescent="0.2">
      <c r="A1907" s="1">
        <v>172201</v>
      </c>
      <c r="B1907" s="1" t="s">
        <v>2551</v>
      </c>
      <c r="C1907" s="1" t="s">
        <v>2552</v>
      </c>
      <c r="D1907" s="1" t="s">
        <v>2601</v>
      </c>
      <c r="E1907" s="1" t="s">
        <v>418</v>
      </c>
      <c r="F1907" s="1" t="s">
        <v>32</v>
      </c>
      <c r="G1907" s="1" t="s">
        <v>2602</v>
      </c>
      <c r="H1907" s="1">
        <v>1036</v>
      </c>
      <c r="I1907" s="1" t="s">
        <v>100</v>
      </c>
      <c r="J1907" s="1">
        <v>1</v>
      </c>
      <c r="K1907" s="1" t="s">
        <v>49</v>
      </c>
      <c r="L1907" s="1">
        <v>43</v>
      </c>
      <c r="M1907" s="1" t="str">
        <f>IF(L1907&lt;=45,"Joven","Mayor")</f>
        <v>Joven</v>
      </c>
      <c r="N1907" s="1">
        <v>41</v>
      </c>
      <c r="O1907" s="1" t="s">
        <v>50</v>
      </c>
      <c r="P1907" s="1">
        <v>0.34</v>
      </c>
      <c r="Q1907" s="1">
        <v>86.963999999999999</v>
      </c>
      <c r="R1907" s="1">
        <v>-6.5781660000000004</v>
      </c>
      <c r="S1907" s="1">
        <v>6.7237945000000003</v>
      </c>
      <c r="T1907" s="1">
        <v>-1.1589799999999999</v>
      </c>
      <c r="U1907" s="1">
        <v>4.0990000000000002</v>
      </c>
      <c r="V1907" s="1">
        <v>107</v>
      </c>
      <c r="W1907" s="1">
        <v>184</v>
      </c>
      <c r="X1907" s="1">
        <v>1.719626168224299</v>
      </c>
      <c r="Y1907" s="1">
        <v>110</v>
      </c>
      <c r="Z1907" s="1">
        <v>184</v>
      </c>
      <c r="AA1907" s="1">
        <v>1.6727272727272726</v>
      </c>
      <c r="AB1907" s="1">
        <v>109.1886574066334</v>
      </c>
      <c r="AC1907" s="1">
        <v>184.24553032336459</v>
      </c>
      <c r="AD1907" s="1">
        <v>1.6874054018011158</v>
      </c>
      <c r="AE1907" t="s">
        <v>4817</v>
      </c>
      <c r="AF1907" t="str">
        <f>IF(X1907&lt;$AF$1,"Bajo","Alto")</f>
        <v>Bajo</v>
      </c>
      <c r="AG1907" t="str">
        <f>LEFT(AE1907,1)</f>
        <v>C</v>
      </c>
      <c r="AH1907" t="str">
        <f>K1907</f>
        <v>F</v>
      </c>
      <c r="AI1907" t="str">
        <f>LEFT(AF1907,1)</f>
        <v>B</v>
      </c>
      <c r="AJ1907" t="str">
        <f>LEFT(M1907,1)</f>
        <v>J</v>
      </c>
      <c r="AK1907" t="str">
        <f>_xlfn.CONCAT(AG1907,AH1907,AI1907,AJ1907)</f>
        <v>CFBJ</v>
      </c>
    </row>
    <row r="1908" spans="1:37" ht="15.75" hidden="1" customHeight="1" x14ac:dyDescent="0.2">
      <c r="A1908" s="1">
        <v>2714502</v>
      </c>
      <c r="B1908" s="1" t="s">
        <v>3409</v>
      </c>
      <c r="C1908" s="1" t="s">
        <v>973</v>
      </c>
      <c r="D1908" s="1" t="s">
        <v>3505</v>
      </c>
      <c r="E1908" s="1" t="s">
        <v>193</v>
      </c>
      <c r="F1908" s="1" t="s">
        <v>37</v>
      </c>
      <c r="G1908" s="1" t="s">
        <v>3506</v>
      </c>
      <c r="H1908" s="1">
        <v>3670</v>
      </c>
      <c r="I1908" s="1" t="s">
        <v>3507</v>
      </c>
      <c r="J1908" s="1">
        <v>4202</v>
      </c>
      <c r="K1908" s="1" t="s">
        <v>35</v>
      </c>
      <c r="L1908" s="1">
        <v>36</v>
      </c>
      <c r="M1908" s="1" t="str">
        <f>IF(L1908&lt;=45,"Joven","Mayor")</f>
        <v>Joven</v>
      </c>
      <c r="N1908" s="1">
        <v>40</v>
      </c>
      <c r="O1908" s="1" t="s">
        <v>36</v>
      </c>
      <c r="P1908" s="1">
        <v>0.112</v>
      </c>
      <c r="Q1908" s="1">
        <v>93.341999999999999</v>
      </c>
      <c r="R1908" s="1">
        <v>-1.8608594000000001</v>
      </c>
      <c r="S1908" s="1">
        <v>3.7358123999999999</v>
      </c>
      <c r="T1908" s="1">
        <v>0.12207346400000001</v>
      </c>
      <c r="U1908" s="1">
        <v>5.2430000000000003</v>
      </c>
      <c r="V1908" s="1">
        <v>99</v>
      </c>
      <c r="W1908" s="1">
        <v>181</v>
      </c>
      <c r="X1908" s="1">
        <v>1.8282828282828283</v>
      </c>
      <c r="Y1908" s="1">
        <v>102</v>
      </c>
      <c r="Z1908" s="1">
        <v>181</v>
      </c>
      <c r="AA1908" s="1">
        <v>1.7745098039215685</v>
      </c>
      <c r="AB1908" s="1">
        <v>102.09777527547</v>
      </c>
      <c r="AC1908" s="1">
        <v>180.97615278066681</v>
      </c>
      <c r="AD1908" s="1">
        <v>1.7725768489310865</v>
      </c>
      <c r="AE1908" t="s">
        <v>4817</v>
      </c>
      <c r="AF1908" t="str">
        <f>IF(X1908&lt;$AF$1,"Bajo","Alto")</f>
        <v>Alto</v>
      </c>
      <c r="AG1908" t="str">
        <f>LEFT(AE1908,1)</f>
        <v>C</v>
      </c>
      <c r="AH1908" t="str">
        <f>K1908</f>
        <v>M</v>
      </c>
      <c r="AI1908" t="str">
        <f>LEFT(AF1908,1)</f>
        <v>A</v>
      </c>
      <c r="AJ1908" t="str">
        <f>LEFT(M1908,1)</f>
        <v>J</v>
      </c>
      <c r="AK1908" t="str">
        <f>_xlfn.CONCAT(AG1908,AH1908,AI1908,AJ1908)</f>
        <v>CMAJ</v>
      </c>
    </row>
    <row r="1909" spans="1:37" ht="15.75" hidden="1" customHeight="1" x14ac:dyDescent="0.2">
      <c r="A1909" s="1">
        <v>4683004</v>
      </c>
      <c r="B1909" s="1" t="s">
        <v>4382</v>
      </c>
      <c r="C1909" s="1" t="s">
        <v>669</v>
      </c>
      <c r="D1909" s="1" t="s">
        <v>4440</v>
      </c>
      <c r="E1909" s="1" t="s">
        <v>4441</v>
      </c>
      <c r="F1909" s="1" t="s">
        <v>61</v>
      </c>
      <c r="G1909" s="1" t="s">
        <v>4443</v>
      </c>
      <c r="H1909" s="1">
        <v>209</v>
      </c>
      <c r="I1909" s="1" t="s">
        <v>4444</v>
      </c>
      <c r="J1909" s="1">
        <v>714</v>
      </c>
      <c r="K1909" s="1" t="s">
        <v>49</v>
      </c>
      <c r="L1909" s="1">
        <v>42</v>
      </c>
      <c r="M1909" s="1" t="str">
        <f>IF(L1909&lt;=45,"Joven","Mayor")</f>
        <v>Joven</v>
      </c>
      <c r="N1909" s="1">
        <v>56</v>
      </c>
      <c r="O1909" s="1" t="s">
        <v>50</v>
      </c>
      <c r="P1909" s="1">
        <v>0.36099999999999999</v>
      </c>
      <c r="Q1909" s="1">
        <v>94.628</v>
      </c>
      <c r="R1909" s="1">
        <v>-0.52108109999999996</v>
      </c>
      <c r="S1909" s="1">
        <v>-0.55669283999999997</v>
      </c>
      <c r="T1909" s="1">
        <v>-1.5281389000000001</v>
      </c>
      <c r="U1909" s="1">
        <v>0.77600000000000002</v>
      </c>
      <c r="V1909" s="1">
        <v>84</v>
      </c>
      <c r="W1909" s="1">
        <v>156</v>
      </c>
      <c r="X1909" s="1">
        <v>1.8571428571428572</v>
      </c>
      <c r="Y1909" s="1">
        <v>88</v>
      </c>
      <c r="Z1909" s="1">
        <v>156</v>
      </c>
      <c r="AA1909" s="1">
        <v>1.7727272727272727</v>
      </c>
      <c r="AB1909" s="1">
        <v>86.955322722044457</v>
      </c>
      <c r="AC1909" s="1">
        <v>156.10452572414081</v>
      </c>
      <c r="AD1909" s="1">
        <v>1.7952267996650884</v>
      </c>
      <c r="AE1909" t="s">
        <v>4817</v>
      </c>
      <c r="AF1909" t="str">
        <f>IF(X1909&lt;$AF$1,"Bajo","Alto")</f>
        <v>Alto</v>
      </c>
      <c r="AG1909" t="str">
        <f>LEFT(AE1909,1)</f>
        <v>C</v>
      </c>
      <c r="AH1909" t="str">
        <f>K1909</f>
        <v>F</v>
      </c>
      <c r="AI1909" t="str">
        <f>LEFT(AF1909,1)</f>
        <v>A</v>
      </c>
      <c r="AJ1909" t="str">
        <f>LEFT(M1909,1)</f>
        <v>J</v>
      </c>
      <c r="AK1909" t="str">
        <f>_xlfn.CONCAT(AG1909,AH1909,AI1909,AJ1909)</f>
        <v>CFAJ</v>
      </c>
    </row>
    <row r="1910" spans="1:37" ht="15.75" hidden="1" customHeight="1" x14ac:dyDescent="0.2">
      <c r="A1910" s="1">
        <v>232801</v>
      </c>
      <c r="B1910" s="1" t="s">
        <v>319</v>
      </c>
      <c r="C1910" s="1" t="s">
        <v>1989</v>
      </c>
      <c r="D1910" s="1" t="s">
        <v>3010</v>
      </c>
      <c r="E1910" s="1" t="s">
        <v>561</v>
      </c>
      <c r="F1910" s="1" t="s">
        <v>32</v>
      </c>
      <c r="G1910" s="1" t="s">
        <v>3011</v>
      </c>
      <c r="H1910" s="1">
        <v>102</v>
      </c>
      <c r="I1910" s="1" t="s">
        <v>39</v>
      </c>
      <c r="J1910" s="1">
        <v>11</v>
      </c>
      <c r="K1910" s="1" t="s">
        <v>35</v>
      </c>
      <c r="L1910" s="1">
        <v>44</v>
      </c>
      <c r="M1910" s="1" t="str">
        <f>IF(L1910&lt;=45,"Joven","Mayor")</f>
        <v>Joven</v>
      </c>
      <c r="N1910" s="1">
        <v>52</v>
      </c>
      <c r="O1910" s="1" t="s">
        <v>36</v>
      </c>
      <c r="P1910" s="1">
        <v>0.83599999999999997</v>
      </c>
      <c r="Q1910" s="1">
        <v>92.658000000000001</v>
      </c>
      <c r="R1910" s="1">
        <v>-0.62817420000000002</v>
      </c>
      <c r="S1910" s="1">
        <v>7.5880922999999996</v>
      </c>
      <c r="T1910" s="1">
        <v>-3.9972422000000001</v>
      </c>
      <c r="U1910" s="1">
        <v>3.319</v>
      </c>
      <c r="V1910" s="1">
        <v>98</v>
      </c>
      <c r="W1910" s="1">
        <v>178</v>
      </c>
      <c r="X1910" s="1">
        <v>1.8163265306122449</v>
      </c>
      <c r="Y1910" s="1">
        <v>102</v>
      </c>
      <c r="Z1910" s="1">
        <v>178</v>
      </c>
      <c r="AA1910" s="1">
        <v>1.7450980392156863</v>
      </c>
      <c r="AB1910" s="1">
        <v>101.5955710559704</v>
      </c>
      <c r="AC1910" s="1">
        <v>178.54291680254661</v>
      </c>
      <c r="AD1910" s="1">
        <v>1.7573887812903268</v>
      </c>
      <c r="AE1910" t="s">
        <v>4816</v>
      </c>
      <c r="AF1910" t="str">
        <f>IF(X1910&lt;$AF$1,"Bajo","Alto")</f>
        <v>Alto</v>
      </c>
      <c r="AG1910" t="str">
        <f>LEFT(AE1910,1)</f>
        <v>D</v>
      </c>
      <c r="AH1910" t="str">
        <f>K1910</f>
        <v>M</v>
      </c>
      <c r="AI1910" t="str">
        <f>LEFT(AF1910,1)</f>
        <v>A</v>
      </c>
      <c r="AJ1910" t="str">
        <f>LEFT(M1910,1)</f>
        <v>J</v>
      </c>
      <c r="AK1910" t="str">
        <f>_xlfn.CONCAT(AG1910,AH1910,AI1910,AJ1910)</f>
        <v>DMAJ</v>
      </c>
    </row>
    <row r="1911" spans="1:37" ht="15.75" hidden="1" customHeight="1" x14ac:dyDescent="0.2">
      <c r="A1911" s="1">
        <v>10114202</v>
      </c>
      <c r="B1911" s="1" t="s">
        <v>29</v>
      </c>
      <c r="C1911" s="1" t="s">
        <v>30</v>
      </c>
      <c r="D1911" s="1" t="s">
        <v>180</v>
      </c>
      <c r="E1911" s="1" t="s">
        <v>181</v>
      </c>
      <c r="F1911" s="1" t="s">
        <v>37</v>
      </c>
      <c r="G1911" s="1" t="s">
        <v>183</v>
      </c>
      <c r="H1911" s="1">
        <v>185</v>
      </c>
      <c r="I1911" s="1" t="s">
        <v>45</v>
      </c>
      <c r="J1911" s="1">
        <v>17</v>
      </c>
      <c r="K1911" s="1" t="s">
        <v>35</v>
      </c>
      <c r="L1911" s="1">
        <v>58</v>
      </c>
      <c r="M1911" s="1" t="str">
        <f>IF(L1911&lt;=45,"Joven","Mayor")</f>
        <v>Mayor</v>
      </c>
      <c r="N1911" s="1">
        <v>77</v>
      </c>
      <c r="O1911" s="1" t="s">
        <v>36</v>
      </c>
      <c r="P1911" s="1">
        <v>0.34799999999999998</v>
      </c>
      <c r="Q1911" s="1">
        <v>82.29</v>
      </c>
      <c r="R1911" s="1">
        <v>9.1854750000000003</v>
      </c>
      <c r="S1911" s="1">
        <v>-5.0295540000000001</v>
      </c>
      <c r="T1911" s="1">
        <v>-1.4988942999999999</v>
      </c>
      <c r="U1911" s="1">
        <v>38.281999999999996</v>
      </c>
      <c r="V1911" s="1">
        <v>82</v>
      </c>
      <c r="W1911" s="1">
        <v>140</v>
      </c>
      <c r="X1911" s="1">
        <v>1.7073170731707317</v>
      </c>
      <c r="Y1911" s="1">
        <v>85</v>
      </c>
      <c r="Z1911" s="1">
        <v>140</v>
      </c>
      <c r="AA1911" s="1">
        <v>1.6470588235294117</v>
      </c>
      <c r="AB1911" s="1">
        <v>85.807960564102359</v>
      </c>
      <c r="AC1911" s="1">
        <v>139.84746556644771</v>
      </c>
      <c r="AD1911" s="1">
        <v>1.6297726300344295</v>
      </c>
      <c r="AE1911" t="s">
        <v>4817</v>
      </c>
      <c r="AF1911" t="str">
        <f>IF(X1911&lt;$AF$1,"Bajo","Alto")</f>
        <v>Bajo</v>
      </c>
      <c r="AG1911" t="str">
        <f>LEFT(AE1911,1)</f>
        <v>C</v>
      </c>
      <c r="AH1911" t="str">
        <f>K1911</f>
        <v>M</v>
      </c>
      <c r="AI1911" t="str">
        <f>LEFT(AF1911,1)</f>
        <v>B</v>
      </c>
      <c r="AJ1911" t="str">
        <f>LEFT(M1911,1)</f>
        <v>M</v>
      </c>
      <c r="AK1911" t="str">
        <f>_xlfn.CONCAT(AG1911,AH1911,AI1911,AJ1911)</f>
        <v>CMBM</v>
      </c>
    </row>
    <row r="1912" spans="1:37" ht="15.75" hidden="1" customHeight="1" x14ac:dyDescent="0.2">
      <c r="A1912" s="1">
        <v>2715702</v>
      </c>
      <c r="B1912" s="1" t="s">
        <v>3409</v>
      </c>
      <c r="C1912" s="1" t="s">
        <v>973</v>
      </c>
      <c r="D1912" s="1" t="s">
        <v>3523</v>
      </c>
      <c r="E1912" s="1" t="s">
        <v>229</v>
      </c>
      <c r="F1912" s="1" t="s">
        <v>37</v>
      </c>
      <c r="G1912" s="1" t="s">
        <v>3524</v>
      </c>
      <c r="H1912" s="1">
        <v>1537</v>
      </c>
      <c r="I1912" s="1" t="s">
        <v>3525</v>
      </c>
      <c r="J1912" s="1">
        <v>3721</v>
      </c>
      <c r="K1912" s="1" t="s">
        <v>35</v>
      </c>
      <c r="L1912" s="1">
        <v>52</v>
      </c>
      <c r="M1912" s="1" t="str">
        <f>IF(L1912&lt;=45,"Joven","Mayor")</f>
        <v>Mayor</v>
      </c>
      <c r="N1912" s="1">
        <v>55</v>
      </c>
      <c r="O1912" s="1" t="s">
        <v>36</v>
      </c>
      <c r="P1912" s="1">
        <v>0.35399999999999998</v>
      </c>
      <c r="Q1912" s="1">
        <v>92.272999999999996</v>
      </c>
      <c r="R1912" s="1">
        <v>3.862085</v>
      </c>
      <c r="S1912" s="1">
        <v>1.7315126999999999</v>
      </c>
      <c r="T1912" s="1">
        <v>-3.9542853999999998</v>
      </c>
      <c r="U1912" s="1">
        <v>5.0919999999999996</v>
      </c>
      <c r="V1912" s="1">
        <v>106</v>
      </c>
      <c r="W1912" s="1">
        <v>181</v>
      </c>
      <c r="X1912" s="1">
        <v>1.7075471698113207</v>
      </c>
      <c r="Y1912" s="1">
        <v>106</v>
      </c>
      <c r="Z1912" s="1">
        <v>181</v>
      </c>
      <c r="AA1912" s="1">
        <v>1.7075471698113207</v>
      </c>
      <c r="AB1912" s="1">
        <v>109.0577604666601</v>
      </c>
      <c r="AC1912" s="1">
        <v>180.70703052189489</v>
      </c>
      <c r="AD1912" s="1">
        <v>1.6569846084189359</v>
      </c>
      <c r="AE1912" t="s">
        <v>4817</v>
      </c>
      <c r="AF1912" t="str">
        <f>IF(X1912&lt;$AF$1,"Bajo","Alto")</f>
        <v>Bajo</v>
      </c>
      <c r="AG1912" t="str">
        <f>LEFT(AE1912,1)</f>
        <v>C</v>
      </c>
      <c r="AH1912" t="str">
        <f>K1912</f>
        <v>M</v>
      </c>
      <c r="AI1912" t="str">
        <f>LEFT(AF1912,1)</f>
        <v>B</v>
      </c>
      <c r="AJ1912" t="str">
        <f>LEFT(M1912,1)</f>
        <v>M</v>
      </c>
      <c r="AK1912" t="str">
        <f>_xlfn.CONCAT(AG1912,AH1912,AI1912,AJ1912)</f>
        <v>CMBM</v>
      </c>
    </row>
    <row r="1913" spans="1:37" ht="15.75" hidden="1" customHeight="1" x14ac:dyDescent="0.2">
      <c r="A1913" s="1">
        <v>2718108</v>
      </c>
      <c r="B1913" s="1" t="s">
        <v>3409</v>
      </c>
      <c r="C1913" s="1" t="s">
        <v>973</v>
      </c>
      <c r="D1913" s="1" t="s">
        <v>3574</v>
      </c>
      <c r="E1913" s="1" t="s">
        <v>308</v>
      </c>
      <c r="F1913" s="1" t="s">
        <v>46</v>
      </c>
      <c r="G1913" s="1" t="s">
        <v>3581</v>
      </c>
      <c r="H1913" s="1">
        <v>2434</v>
      </c>
      <c r="I1913" s="1" t="s">
        <v>3582</v>
      </c>
      <c r="J1913" s="1">
        <v>4066</v>
      </c>
      <c r="K1913" s="1" t="s">
        <v>35</v>
      </c>
      <c r="L1913" s="1">
        <v>53</v>
      </c>
      <c r="M1913" s="1" t="str">
        <f>IF(L1913&lt;=45,"Joven","Mayor")</f>
        <v>Mayor</v>
      </c>
      <c r="N1913" s="1">
        <v>55</v>
      </c>
      <c r="O1913" s="1" t="s">
        <v>36</v>
      </c>
      <c r="P1913" s="1">
        <v>0.73499999999999999</v>
      </c>
      <c r="Q1913" s="1">
        <v>81.975999999999999</v>
      </c>
      <c r="R1913" s="1">
        <v>10.05829</v>
      </c>
      <c r="S1913" s="1">
        <v>0.16672064</v>
      </c>
      <c r="T1913" s="1">
        <v>-13.559665000000001</v>
      </c>
      <c r="U1913" s="1">
        <v>2.149</v>
      </c>
      <c r="V1913" s="1">
        <v>89</v>
      </c>
      <c r="W1913" s="1">
        <v>152</v>
      </c>
      <c r="X1913" s="1">
        <v>1.7078651685393258</v>
      </c>
      <c r="Y1913" s="1">
        <v>100</v>
      </c>
      <c r="Z1913" s="1">
        <v>152</v>
      </c>
      <c r="AA1913" s="1">
        <v>1.52</v>
      </c>
      <c r="AB1913" s="1">
        <v>100.8211669572611</v>
      </c>
      <c r="AC1913" s="1">
        <v>154.56247343873159</v>
      </c>
      <c r="AD1913" s="1">
        <v>1.5330359497252384</v>
      </c>
      <c r="AE1913" t="s">
        <v>4817</v>
      </c>
      <c r="AF1913" t="str">
        <f>IF(X1913&lt;$AF$1,"Bajo","Alto")</f>
        <v>Bajo</v>
      </c>
      <c r="AG1913" t="str">
        <f>LEFT(AE1913,1)</f>
        <v>C</v>
      </c>
      <c r="AH1913" t="str">
        <f>K1913</f>
        <v>M</v>
      </c>
      <c r="AI1913" t="str">
        <f>LEFT(AF1913,1)</f>
        <v>B</v>
      </c>
      <c r="AJ1913" t="str">
        <f>LEFT(M1913,1)</f>
        <v>M</v>
      </c>
      <c r="AK1913" t="str">
        <f>_xlfn.CONCAT(AG1913,AH1913,AI1913,AJ1913)</f>
        <v>CMBM</v>
      </c>
    </row>
    <row r="1914" spans="1:37" ht="15.75" hidden="1" customHeight="1" x14ac:dyDescent="0.2">
      <c r="A1914" s="1">
        <v>1010108</v>
      </c>
      <c r="B1914" s="1" t="s">
        <v>29</v>
      </c>
      <c r="C1914" s="1" t="s">
        <v>30</v>
      </c>
      <c r="D1914" s="1" t="s">
        <v>31</v>
      </c>
      <c r="E1914" s="1" t="s">
        <v>32</v>
      </c>
      <c r="F1914" s="1" t="s">
        <v>46</v>
      </c>
      <c r="G1914" s="1" t="s">
        <v>47</v>
      </c>
      <c r="H1914" s="1">
        <v>14254</v>
      </c>
      <c r="I1914" s="1" t="s">
        <v>48</v>
      </c>
      <c r="J1914" s="1">
        <v>4</v>
      </c>
      <c r="K1914" s="1" t="s">
        <v>49</v>
      </c>
      <c r="L1914" s="1">
        <v>48</v>
      </c>
      <c r="M1914" s="1" t="str">
        <f>IF(L1914&lt;=45,"Joven","Mayor")</f>
        <v>Mayor</v>
      </c>
      <c r="N1914" s="1">
        <v>34</v>
      </c>
      <c r="O1914" s="1" t="s">
        <v>50</v>
      </c>
      <c r="P1914" s="1">
        <v>0.96</v>
      </c>
      <c r="Q1914" s="1">
        <v>92.548000000000002</v>
      </c>
      <c r="R1914" s="1">
        <v>1.1373895000000001</v>
      </c>
      <c r="S1914" s="1">
        <v>6.9807519999999998</v>
      </c>
      <c r="T1914" s="1">
        <v>0.72930824999999999</v>
      </c>
      <c r="U1914" s="1">
        <v>82.116</v>
      </c>
      <c r="V1914" s="1">
        <v>49</v>
      </c>
      <c r="W1914" s="1">
        <v>83</v>
      </c>
      <c r="X1914" s="1">
        <v>1.6938775510204083</v>
      </c>
      <c r="Y1914" s="1">
        <v>51</v>
      </c>
      <c r="Z1914" s="1">
        <v>83</v>
      </c>
      <c r="AA1914" s="1">
        <v>1.6274509803921569</v>
      </c>
      <c r="AB1914" s="1">
        <v>51.301352142247417</v>
      </c>
      <c r="AC1914" s="1">
        <v>82.967819158352995</v>
      </c>
      <c r="AD1914" s="1">
        <v>1.6172637892331063</v>
      </c>
      <c r="AE1914" t="s">
        <v>4817</v>
      </c>
      <c r="AF1914" t="str">
        <f>IF(X1914&lt;$AF$1,"Bajo","Alto")</f>
        <v>Bajo</v>
      </c>
      <c r="AG1914" t="str">
        <f>LEFT(AE1914,1)</f>
        <v>C</v>
      </c>
      <c r="AH1914" t="str">
        <f>K1914</f>
        <v>F</v>
      </c>
      <c r="AI1914" t="str">
        <f>LEFT(AF1914,1)</f>
        <v>B</v>
      </c>
      <c r="AJ1914" t="str">
        <f>LEFT(M1914,1)</f>
        <v>M</v>
      </c>
      <c r="AK1914" t="str">
        <f>_xlfn.CONCAT(AG1914,AH1914,AI1914,AJ1914)</f>
        <v>CFBM</v>
      </c>
    </row>
    <row r="1915" spans="1:37" ht="15.75" hidden="1" customHeight="1" x14ac:dyDescent="0.2">
      <c r="A1915" s="1">
        <v>1032801</v>
      </c>
      <c r="B1915" s="1" t="s">
        <v>783</v>
      </c>
      <c r="C1915" s="1" t="s">
        <v>81</v>
      </c>
      <c r="D1915" s="1" t="s">
        <v>826</v>
      </c>
      <c r="E1915" s="1" t="s">
        <v>561</v>
      </c>
      <c r="F1915" s="1" t="s">
        <v>32</v>
      </c>
      <c r="G1915" s="1" t="s">
        <v>827</v>
      </c>
      <c r="H1915" s="1">
        <v>8614</v>
      </c>
      <c r="I1915" s="1" t="s">
        <v>65</v>
      </c>
      <c r="J1915" s="1">
        <v>2</v>
      </c>
      <c r="K1915" s="1" t="s">
        <v>35</v>
      </c>
      <c r="L1915" s="1">
        <v>50</v>
      </c>
      <c r="M1915" s="1" t="str">
        <f>IF(L1915&lt;=45,"Joven","Mayor")</f>
        <v>Mayor</v>
      </c>
      <c r="N1915" s="1">
        <v>50</v>
      </c>
      <c r="O1915" s="1" t="s">
        <v>36</v>
      </c>
      <c r="P1915" s="1">
        <v>0.36099999999999999</v>
      </c>
      <c r="Q1915" s="1">
        <v>90.308000000000007</v>
      </c>
      <c r="R1915" s="1">
        <v>4.4848312999999997</v>
      </c>
      <c r="S1915" s="1">
        <v>5.8991639999999999</v>
      </c>
      <c r="T1915" s="1">
        <v>-2.1459950000000001</v>
      </c>
      <c r="U1915" s="1">
        <v>7.3140000000000001</v>
      </c>
      <c r="V1915" s="1">
        <v>96</v>
      </c>
      <c r="W1915" s="1">
        <v>175</v>
      </c>
      <c r="X1915" s="1">
        <v>1.8229166666666667</v>
      </c>
      <c r="Y1915" s="1">
        <v>98</v>
      </c>
      <c r="Z1915" s="1">
        <v>175</v>
      </c>
      <c r="AA1915" s="1">
        <v>1.7857142857142858</v>
      </c>
      <c r="AB1915" s="1">
        <v>97.655183336108848</v>
      </c>
      <c r="AC1915" s="1">
        <v>174.91471063890191</v>
      </c>
      <c r="AD1915" s="1">
        <v>1.7911462009843535</v>
      </c>
      <c r="AE1915" t="s">
        <v>4817</v>
      </c>
      <c r="AF1915" t="str">
        <f>IF(X1915&lt;$AF$1,"Bajo","Alto")</f>
        <v>Alto</v>
      </c>
      <c r="AG1915" t="str">
        <f>LEFT(AE1915,1)</f>
        <v>C</v>
      </c>
      <c r="AH1915" t="str">
        <f>K1915</f>
        <v>M</v>
      </c>
      <c r="AI1915" t="str">
        <f>LEFT(AF1915,1)</f>
        <v>A</v>
      </c>
      <c r="AJ1915" t="str">
        <f>LEFT(M1915,1)</f>
        <v>M</v>
      </c>
      <c r="AK1915" t="str">
        <f>_xlfn.CONCAT(AG1915,AH1915,AI1915,AJ1915)</f>
        <v>CMAM</v>
      </c>
    </row>
    <row r="1916" spans="1:37" ht="15.75" hidden="1" customHeight="1" x14ac:dyDescent="0.2">
      <c r="A1916" s="1">
        <v>10120504</v>
      </c>
      <c r="B1916" s="1" t="s">
        <v>29</v>
      </c>
      <c r="C1916" s="1" t="s">
        <v>30</v>
      </c>
      <c r="D1916" s="1" t="s">
        <v>363</v>
      </c>
      <c r="E1916" s="1" t="s">
        <v>364</v>
      </c>
      <c r="F1916" s="1" t="s">
        <v>61</v>
      </c>
      <c r="G1916" s="1" t="s">
        <v>367</v>
      </c>
      <c r="H1916" s="1">
        <v>219</v>
      </c>
      <c r="I1916" s="1" t="s">
        <v>42</v>
      </c>
      <c r="J1916" s="1">
        <v>15</v>
      </c>
      <c r="K1916" s="1" t="s">
        <v>49</v>
      </c>
      <c r="L1916" s="1">
        <v>42</v>
      </c>
      <c r="M1916" s="1" t="str">
        <f>IF(L1916&lt;=45,"Joven","Mayor")</f>
        <v>Joven</v>
      </c>
      <c r="N1916" s="1">
        <v>43</v>
      </c>
      <c r="O1916" s="1" t="s">
        <v>50</v>
      </c>
      <c r="P1916" s="1">
        <v>0.41199999999999998</v>
      </c>
      <c r="Q1916" s="1">
        <v>91.885999999999996</v>
      </c>
      <c r="R1916" s="1">
        <v>2.1418857999999998</v>
      </c>
      <c r="S1916" s="1">
        <v>7.2855753999999999</v>
      </c>
      <c r="T1916" s="1">
        <v>-1.3743656</v>
      </c>
      <c r="U1916" s="1">
        <v>23.414999999999999</v>
      </c>
      <c r="V1916" s="1">
        <v>75</v>
      </c>
      <c r="W1916" s="1">
        <v>129</v>
      </c>
      <c r="X1916" s="1">
        <v>1.72</v>
      </c>
      <c r="Y1916" s="1">
        <v>76</v>
      </c>
      <c r="Z1916" s="1">
        <v>129</v>
      </c>
      <c r="AA1916" s="1">
        <v>1.6973684210526316</v>
      </c>
      <c r="AB1916" s="1">
        <v>75.865865529736993</v>
      </c>
      <c r="AC1916" s="1">
        <v>129.05882900108011</v>
      </c>
      <c r="AD1916" s="1">
        <v>1.70114488380144</v>
      </c>
      <c r="AE1916" t="s">
        <v>4817</v>
      </c>
      <c r="AF1916" t="str">
        <f>IF(X1916&lt;$AF$1,"Bajo","Alto")</f>
        <v>Bajo</v>
      </c>
      <c r="AG1916" t="str">
        <f>LEFT(AE1916,1)</f>
        <v>C</v>
      </c>
      <c r="AH1916" t="str">
        <f>K1916</f>
        <v>F</v>
      </c>
      <c r="AI1916" t="str">
        <f>LEFT(AF1916,1)</f>
        <v>B</v>
      </c>
      <c r="AJ1916" t="str">
        <f>LEFT(M1916,1)</f>
        <v>J</v>
      </c>
      <c r="AK1916" t="str">
        <f>_xlfn.CONCAT(AG1916,AH1916,AI1916,AJ1916)</f>
        <v>CFBJ</v>
      </c>
    </row>
    <row r="1917" spans="1:37" ht="15.75" hidden="1" customHeight="1" x14ac:dyDescent="0.2">
      <c r="A1917" s="1">
        <v>131902</v>
      </c>
      <c r="B1917" s="1" t="s">
        <v>956</v>
      </c>
      <c r="C1917" s="1" t="s">
        <v>163</v>
      </c>
      <c r="D1917" s="1" t="s">
        <v>1979</v>
      </c>
      <c r="E1917" s="1" t="s">
        <v>323</v>
      </c>
      <c r="F1917" s="1" t="s">
        <v>37</v>
      </c>
      <c r="G1917" s="1" t="s">
        <v>1980</v>
      </c>
      <c r="H1917" s="1">
        <v>414</v>
      </c>
      <c r="I1917" s="1" t="s">
        <v>42</v>
      </c>
      <c r="J1917" s="1">
        <v>15</v>
      </c>
      <c r="K1917" s="1" t="s">
        <v>35</v>
      </c>
      <c r="L1917" s="1">
        <v>43</v>
      </c>
      <c r="M1917" s="1" t="str">
        <f>IF(L1917&lt;=45,"Joven","Mayor")</f>
        <v>Joven</v>
      </c>
      <c r="N1917" s="1">
        <v>51</v>
      </c>
      <c r="O1917" s="1" t="s">
        <v>36</v>
      </c>
      <c r="P1917" s="1">
        <v>0.36399999999999999</v>
      </c>
      <c r="Q1917" s="1">
        <v>94.025000000000006</v>
      </c>
      <c r="R1917" s="1">
        <v>-1.0769329999999999</v>
      </c>
      <c r="S1917" s="1">
        <v>2.4506614</v>
      </c>
      <c r="T1917" s="1">
        <v>-4.0420699999999998</v>
      </c>
      <c r="U1917" s="1">
        <v>59.067</v>
      </c>
      <c r="V1917" s="1">
        <v>98</v>
      </c>
      <c r="W1917" s="1">
        <v>169</v>
      </c>
      <c r="X1917" s="1">
        <v>1.7244897959183674</v>
      </c>
      <c r="Y1917" s="1">
        <v>100</v>
      </c>
      <c r="Z1917" s="1">
        <v>169</v>
      </c>
      <c r="AA1917" s="1">
        <v>1.69</v>
      </c>
      <c r="AB1917" s="1">
        <v>101.2806773858381</v>
      </c>
      <c r="AC1917" s="1">
        <v>169.07304545557921</v>
      </c>
      <c r="AD1917" s="1">
        <v>1.6693514480701961</v>
      </c>
      <c r="AE1917" t="s">
        <v>4817</v>
      </c>
      <c r="AF1917" t="str">
        <f>IF(X1917&lt;$AF$1,"Bajo","Alto")</f>
        <v>Bajo</v>
      </c>
      <c r="AG1917" t="str">
        <f>LEFT(AE1917,1)</f>
        <v>C</v>
      </c>
      <c r="AH1917" t="str">
        <f>K1917</f>
        <v>M</v>
      </c>
      <c r="AI1917" t="str">
        <f>LEFT(AF1917,1)</f>
        <v>B</v>
      </c>
      <c r="AJ1917" t="str">
        <f>LEFT(M1917,1)</f>
        <v>J</v>
      </c>
      <c r="AK1917" t="str">
        <f>_xlfn.CONCAT(AG1917,AH1917,AI1917,AJ1917)</f>
        <v>CMBJ</v>
      </c>
    </row>
    <row r="1918" spans="1:37" ht="15.75" hidden="1" customHeight="1" x14ac:dyDescent="0.2">
      <c r="A1918" s="1">
        <v>482001</v>
      </c>
      <c r="B1918" s="1" t="s">
        <v>4465</v>
      </c>
      <c r="C1918" s="1" t="s">
        <v>2650</v>
      </c>
      <c r="D1918" s="1" t="s">
        <v>929</v>
      </c>
      <c r="E1918" s="1" t="s">
        <v>1983</v>
      </c>
      <c r="F1918" s="1" t="s">
        <v>32</v>
      </c>
      <c r="G1918" s="1" t="s">
        <v>4519</v>
      </c>
      <c r="H1918" s="1">
        <v>4706</v>
      </c>
      <c r="I1918" s="1" t="s">
        <v>100</v>
      </c>
      <c r="J1918" s="1">
        <v>1</v>
      </c>
      <c r="K1918" s="1" t="s">
        <v>35</v>
      </c>
      <c r="L1918" s="1">
        <v>29</v>
      </c>
      <c r="M1918" s="1" t="str">
        <f>IF(L1918&lt;=45,"Joven","Mayor")</f>
        <v>Joven</v>
      </c>
      <c r="N1918" s="1">
        <v>35</v>
      </c>
      <c r="O1918" s="1" t="s">
        <v>36</v>
      </c>
      <c r="P1918" s="1">
        <v>5.7000000000000002E-2</v>
      </c>
      <c r="Q1918" s="1">
        <v>93.662999999999997</v>
      </c>
      <c r="R1918" s="1">
        <v>2.2820182</v>
      </c>
      <c r="S1918" s="1">
        <v>1.1174683999999999</v>
      </c>
      <c r="T1918" s="1">
        <v>-2.3709190000000002</v>
      </c>
      <c r="U1918" s="1">
        <v>52.264000000000003</v>
      </c>
      <c r="V1918" s="1">
        <v>87</v>
      </c>
      <c r="W1918" s="1">
        <v>159</v>
      </c>
      <c r="X1918" s="1">
        <v>1.8275862068965518</v>
      </c>
      <c r="Y1918" s="1">
        <v>87</v>
      </c>
      <c r="Z1918" s="1">
        <v>159</v>
      </c>
      <c r="AA1918" s="1">
        <v>1.8275862068965518</v>
      </c>
      <c r="AB1918" s="1">
        <v>88.580265527434449</v>
      </c>
      <c r="AC1918" s="1">
        <v>158.73978336527489</v>
      </c>
      <c r="AD1918" s="1">
        <v>1.7920445645549701</v>
      </c>
      <c r="AE1918" t="s">
        <v>4817</v>
      </c>
      <c r="AF1918" t="str">
        <f>IF(X1918&lt;$AF$1,"Bajo","Alto")</f>
        <v>Alto</v>
      </c>
      <c r="AG1918" t="str">
        <f>LEFT(AE1918,1)</f>
        <v>C</v>
      </c>
      <c r="AH1918" t="str">
        <f>K1918</f>
        <v>M</v>
      </c>
      <c r="AI1918" t="str">
        <f>LEFT(AF1918,1)</f>
        <v>A</v>
      </c>
      <c r="AJ1918" t="str">
        <f>LEFT(M1918,1)</f>
        <v>J</v>
      </c>
      <c r="AK1918" t="str">
        <f>_xlfn.CONCAT(AG1918,AH1918,AI1918,AJ1918)</f>
        <v>CMAJ</v>
      </c>
    </row>
    <row r="1919" spans="1:37" ht="15.75" hidden="1" customHeight="1" x14ac:dyDescent="0.2">
      <c r="A1919" s="1">
        <v>1510302</v>
      </c>
      <c r="B1919" s="1" t="s">
        <v>2077</v>
      </c>
      <c r="C1919" s="1" t="s">
        <v>57</v>
      </c>
      <c r="D1919" s="1" t="s">
        <v>2099</v>
      </c>
      <c r="E1919" s="1" t="s">
        <v>81</v>
      </c>
      <c r="F1919" s="1" t="s">
        <v>37</v>
      </c>
      <c r="G1919" s="1" t="s">
        <v>2101</v>
      </c>
      <c r="H1919" s="1">
        <v>1403</v>
      </c>
      <c r="I1919" s="1" t="s">
        <v>294</v>
      </c>
      <c r="J1919" s="1">
        <v>16</v>
      </c>
      <c r="K1919" s="1" t="s">
        <v>35</v>
      </c>
      <c r="L1919" s="1">
        <v>59</v>
      </c>
      <c r="M1919" s="1" t="str">
        <f>IF(L1919&lt;=45,"Joven","Mayor")</f>
        <v>Mayor</v>
      </c>
      <c r="N1919" s="1">
        <v>83</v>
      </c>
      <c r="O1919" s="1" t="s">
        <v>36</v>
      </c>
      <c r="P1919" s="1">
        <v>0.219</v>
      </c>
      <c r="Q1919" s="1">
        <v>26.641999999999999</v>
      </c>
      <c r="R1919" s="1">
        <v>17.711753999999999</v>
      </c>
      <c r="S1919" s="1">
        <v>12.635657</v>
      </c>
      <c r="T1919" s="1">
        <v>-9.6772170000000006</v>
      </c>
      <c r="U1919" s="1">
        <v>0.50600000000000001</v>
      </c>
      <c r="V1919" s="1">
        <v>96</v>
      </c>
      <c r="W1919" s="1">
        <v>164</v>
      </c>
      <c r="X1919" s="1">
        <v>1.7083333333333333</v>
      </c>
      <c r="Y1919" s="1">
        <v>101</v>
      </c>
      <c r="Z1919" s="1">
        <v>164</v>
      </c>
      <c r="AA1919" s="1">
        <v>1.6237623762376239</v>
      </c>
      <c r="AB1919" s="1">
        <v>101.3578538536572</v>
      </c>
      <c r="AC1919" s="1">
        <v>162.1706360342819</v>
      </c>
      <c r="AD1919" s="1">
        <v>1.5999809572569244</v>
      </c>
      <c r="AE1919" t="s">
        <v>4817</v>
      </c>
      <c r="AF1919" t="str">
        <f>IF(X1919&lt;$AF$1,"Bajo","Alto")</f>
        <v>Bajo</v>
      </c>
      <c r="AG1919" t="str">
        <f>LEFT(AE1919,1)</f>
        <v>C</v>
      </c>
      <c r="AH1919" t="str">
        <f>K1919</f>
        <v>M</v>
      </c>
      <c r="AI1919" t="str">
        <f>LEFT(AF1919,1)</f>
        <v>B</v>
      </c>
      <c r="AJ1919" t="str">
        <f>LEFT(M1919,1)</f>
        <v>M</v>
      </c>
      <c r="AK1919" t="str">
        <f>_xlfn.CONCAT(AG1919,AH1919,AI1919,AJ1919)</f>
        <v>CMBM</v>
      </c>
    </row>
    <row r="1920" spans="1:37" ht="15.75" hidden="1" customHeight="1" x14ac:dyDescent="0.2">
      <c r="A1920" s="1">
        <v>10120507</v>
      </c>
      <c r="B1920" s="1" t="s">
        <v>29</v>
      </c>
      <c r="C1920" s="1" t="s">
        <v>30</v>
      </c>
      <c r="D1920" s="1" t="s">
        <v>363</v>
      </c>
      <c r="E1920" s="1" t="s">
        <v>364</v>
      </c>
      <c r="F1920" s="1" t="s">
        <v>43</v>
      </c>
      <c r="G1920" s="1" t="s">
        <v>369</v>
      </c>
      <c r="H1920" s="1">
        <v>28</v>
      </c>
      <c r="I1920" s="1" t="s">
        <v>91</v>
      </c>
      <c r="J1920" s="1">
        <v>6</v>
      </c>
      <c r="K1920" s="1" t="s">
        <v>35</v>
      </c>
      <c r="L1920" s="1">
        <v>67</v>
      </c>
      <c r="M1920" s="1" t="str">
        <f>IF(L1920&lt;=45,"Joven","Mayor")</f>
        <v>Mayor</v>
      </c>
      <c r="N1920" s="1">
        <v>66</v>
      </c>
      <c r="O1920" s="1" t="s">
        <v>36</v>
      </c>
      <c r="P1920" s="1">
        <v>0.27700000000000002</v>
      </c>
      <c r="Q1920" s="1">
        <v>81.656000000000006</v>
      </c>
      <c r="R1920" s="1">
        <v>10.234693</v>
      </c>
      <c r="S1920" s="1">
        <v>0.28667670000000001</v>
      </c>
      <c r="T1920" s="1">
        <v>-5.1303450000000002</v>
      </c>
      <c r="U1920" s="1">
        <v>1.488</v>
      </c>
      <c r="V1920" s="1">
        <v>79</v>
      </c>
      <c r="W1920" s="1">
        <v>135</v>
      </c>
      <c r="X1920" s="1">
        <v>1.7088607594936709</v>
      </c>
      <c r="Y1920" s="1">
        <v>83</v>
      </c>
      <c r="Z1920" s="1">
        <v>135</v>
      </c>
      <c r="AA1920" s="1">
        <v>1.6265060240963856</v>
      </c>
      <c r="AB1920" s="1">
        <v>81.992120683862368</v>
      </c>
      <c r="AC1920" s="1">
        <v>134.72743456693749</v>
      </c>
      <c r="AD1920" s="1">
        <v>1.6431753861618859</v>
      </c>
      <c r="AE1920" t="s">
        <v>4817</v>
      </c>
      <c r="AF1920" t="str">
        <f>IF(X1920&lt;$AF$1,"Bajo","Alto")</f>
        <v>Bajo</v>
      </c>
      <c r="AG1920" t="str">
        <f>LEFT(AE1920,1)</f>
        <v>C</v>
      </c>
      <c r="AH1920" t="str">
        <f>K1920</f>
        <v>M</v>
      </c>
      <c r="AI1920" t="str">
        <f>LEFT(AF1920,1)</f>
        <v>B</v>
      </c>
      <c r="AJ1920" t="str">
        <f>LEFT(M1920,1)</f>
        <v>M</v>
      </c>
      <c r="AK1920" t="str">
        <f>_xlfn.CONCAT(AG1920,AH1920,AI1920,AJ1920)</f>
        <v>CMBM</v>
      </c>
    </row>
    <row r="1921" spans="1:37" ht="15.75" hidden="1" customHeight="1" x14ac:dyDescent="0.2">
      <c r="A1921" s="1">
        <v>1034004</v>
      </c>
      <c r="B1921" s="1" t="s">
        <v>783</v>
      </c>
      <c r="C1921" s="1" t="s">
        <v>81</v>
      </c>
      <c r="D1921" s="1" t="s">
        <v>839</v>
      </c>
      <c r="E1921" s="1" t="s">
        <v>657</v>
      </c>
      <c r="F1921" s="1" t="s">
        <v>61</v>
      </c>
      <c r="G1921" s="1" t="s">
        <v>841</v>
      </c>
      <c r="H1921" s="1">
        <v>7432</v>
      </c>
      <c r="I1921" s="1" t="s">
        <v>65</v>
      </c>
      <c r="J1921" s="1">
        <v>2</v>
      </c>
      <c r="K1921" s="1" t="s">
        <v>35</v>
      </c>
      <c r="L1921" s="1">
        <v>57</v>
      </c>
      <c r="M1921" s="1" t="str">
        <f>IF(L1921&lt;=45,"Joven","Mayor")</f>
        <v>Mayor</v>
      </c>
      <c r="N1921" s="1">
        <v>60</v>
      </c>
      <c r="O1921" s="1" t="s">
        <v>36</v>
      </c>
      <c r="P1921" s="1">
        <v>0.36199999999999999</v>
      </c>
      <c r="Q1921" s="1">
        <v>85.828000000000003</v>
      </c>
      <c r="R1921" s="1">
        <v>6.7855463</v>
      </c>
      <c r="S1921" s="1">
        <v>7.9089593999999996</v>
      </c>
      <c r="T1921" s="1">
        <v>-1.7814102000000001</v>
      </c>
      <c r="U1921" s="1">
        <v>3.8719999999999999</v>
      </c>
      <c r="V1921" s="1">
        <v>86</v>
      </c>
      <c r="W1921" s="1">
        <v>147</v>
      </c>
      <c r="X1921" s="1">
        <v>1.7093023255813953</v>
      </c>
      <c r="Y1921" s="1">
        <v>86</v>
      </c>
      <c r="Z1921" s="1">
        <v>147</v>
      </c>
      <c r="AA1921" s="1">
        <v>1.7093023255813953</v>
      </c>
      <c r="AB1921" s="1">
        <v>87.046462371639791</v>
      </c>
      <c r="AC1921" s="1">
        <v>146.96004122883909</v>
      </c>
      <c r="AD1921" s="1">
        <v>1.688294242233553</v>
      </c>
      <c r="AE1921" t="s">
        <v>4817</v>
      </c>
      <c r="AF1921" t="str">
        <f>IF(X1921&lt;$AF$1,"Bajo","Alto")</f>
        <v>Bajo</v>
      </c>
      <c r="AG1921" t="str">
        <f>LEFT(AE1921,1)</f>
        <v>C</v>
      </c>
      <c r="AH1921" t="str">
        <f>K1921</f>
        <v>M</v>
      </c>
      <c r="AI1921" t="str">
        <f>LEFT(AF1921,1)</f>
        <v>B</v>
      </c>
      <c r="AJ1921" t="str">
        <f>LEFT(M1921,1)</f>
        <v>M</v>
      </c>
      <c r="AK1921" t="str">
        <f>_xlfn.CONCAT(AG1921,AH1921,AI1921,AJ1921)</f>
        <v>CMBM</v>
      </c>
    </row>
    <row r="1922" spans="1:37" ht="15.75" hidden="1" customHeight="1" x14ac:dyDescent="0.2">
      <c r="A1922" s="1">
        <v>10114504</v>
      </c>
      <c r="B1922" s="1" t="s">
        <v>29</v>
      </c>
      <c r="C1922" s="1" t="s">
        <v>30</v>
      </c>
      <c r="D1922" s="1" t="s">
        <v>192</v>
      </c>
      <c r="E1922" s="1" t="s">
        <v>193</v>
      </c>
      <c r="F1922" s="1" t="s">
        <v>61</v>
      </c>
      <c r="G1922" s="1" t="s">
        <v>198</v>
      </c>
      <c r="H1922" s="1">
        <v>2179</v>
      </c>
      <c r="I1922" s="1" t="s">
        <v>199</v>
      </c>
      <c r="J1922" s="1">
        <v>2904</v>
      </c>
      <c r="K1922" s="1" t="s">
        <v>35</v>
      </c>
      <c r="L1922" s="1">
        <v>32</v>
      </c>
      <c r="M1922" s="1" t="str">
        <f>IF(L1922&lt;=45,"Joven","Mayor")</f>
        <v>Joven</v>
      </c>
      <c r="N1922" s="1">
        <v>37</v>
      </c>
      <c r="O1922" s="1" t="s">
        <v>36</v>
      </c>
      <c r="P1922" s="1">
        <v>0.70699999999999996</v>
      </c>
      <c r="Q1922" s="1">
        <v>92.216999999999999</v>
      </c>
      <c r="R1922" s="1">
        <v>2.5338295</v>
      </c>
      <c r="S1922" s="1">
        <v>5.3955830000000002</v>
      </c>
      <c r="T1922" s="1">
        <v>-3.6704009000000002</v>
      </c>
      <c r="U1922" s="1">
        <v>16.7</v>
      </c>
      <c r="V1922" s="1">
        <v>81</v>
      </c>
      <c r="W1922" s="1">
        <v>148</v>
      </c>
      <c r="X1922" s="1">
        <v>1.8271604938271604</v>
      </c>
      <c r="Y1922" s="1">
        <v>85</v>
      </c>
      <c r="Z1922" s="1">
        <v>148</v>
      </c>
      <c r="AA1922" s="1">
        <v>1.7411764705882353</v>
      </c>
      <c r="AB1922" s="1">
        <v>83.522559169493888</v>
      </c>
      <c r="AC1922" s="1">
        <v>148.336593493902</v>
      </c>
      <c r="AD1922" s="1">
        <v>1.7760063265408306</v>
      </c>
      <c r="AE1922" t="s">
        <v>4817</v>
      </c>
      <c r="AF1922" t="str">
        <f>IF(X1922&lt;$AF$1,"Bajo","Alto")</f>
        <v>Alto</v>
      </c>
      <c r="AG1922" t="str">
        <f>LEFT(AE1922,1)</f>
        <v>C</v>
      </c>
      <c r="AH1922" t="str">
        <f>K1922</f>
        <v>M</v>
      </c>
      <c r="AI1922" t="str">
        <f>LEFT(AF1922,1)</f>
        <v>A</v>
      </c>
      <c r="AJ1922" t="str">
        <f>LEFT(M1922,1)</f>
        <v>J</v>
      </c>
      <c r="AK1922" t="str">
        <f>_xlfn.CONCAT(AG1922,AH1922,AI1922,AJ1922)</f>
        <v>CMAJ</v>
      </c>
    </row>
    <row r="1923" spans="1:37" ht="15.75" hidden="1" customHeight="1" x14ac:dyDescent="0.2">
      <c r="A1923" s="1">
        <v>262505</v>
      </c>
      <c r="B1923" s="1" t="s">
        <v>3358</v>
      </c>
      <c r="C1923" s="1" t="s">
        <v>968</v>
      </c>
      <c r="D1923" s="1" t="s">
        <v>956</v>
      </c>
      <c r="E1923" s="1" t="s">
        <v>821</v>
      </c>
      <c r="F1923" s="1" t="s">
        <v>40</v>
      </c>
      <c r="G1923" s="1" t="s">
        <v>3380</v>
      </c>
      <c r="H1923" s="1">
        <v>750</v>
      </c>
      <c r="I1923" s="1" t="s">
        <v>73</v>
      </c>
      <c r="J1923" s="1">
        <v>5</v>
      </c>
      <c r="K1923" s="1" t="s">
        <v>35</v>
      </c>
      <c r="L1923" s="1">
        <v>29</v>
      </c>
      <c r="M1923" s="1" t="str">
        <f>IF(L1923&lt;=45,"Joven","Mayor")</f>
        <v>Joven</v>
      </c>
      <c r="N1923" s="1">
        <v>39</v>
      </c>
      <c r="O1923" s="1" t="s">
        <v>36</v>
      </c>
      <c r="P1923" s="1">
        <v>0.36399999999999999</v>
      </c>
      <c r="Q1923" s="1">
        <v>94.010999999999996</v>
      </c>
      <c r="R1923" s="1">
        <v>1.8479468999999999</v>
      </c>
      <c r="S1923" s="1">
        <v>-0.17706496999999999</v>
      </c>
      <c r="T1923" s="1">
        <v>-3.3454063000000001</v>
      </c>
      <c r="U1923" s="1">
        <v>8.8689999999999998</v>
      </c>
      <c r="V1923" s="1">
        <v>81</v>
      </c>
      <c r="W1923" s="1">
        <v>148</v>
      </c>
      <c r="X1923" s="1">
        <v>1.8271604938271604</v>
      </c>
      <c r="Y1923" s="1">
        <v>82</v>
      </c>
      <c r="Z1923" s="1">
        <v>148</v>
      </c>
      <c r="AA1923" s="1">
        <v>1.8048780487804879</v>
      </c>
      <c r="AB1923" s="1">
        <v>83.137818804766539</v>
      </c>
      <c r="AC1923" s="1">
        <v>147.80614605114579</v>
      </c>
      <c r="AD1923" s="1">
        <v>1.7778448866723411</v>
      </c>
      <c r="AE1923" t="s">
        <v>4817</v>
      </c>
      <c r="AF1923" t="str">
        <f>IF(X1923&lt;$AF$1,"Bajo","Alto")</f>
        <v>Alto</v>
      </c>
      <c r="AG1923" t="str">
        <f>LEFT(AE1923,1)</f>
        <v>C</v>
      </c>
      <c r="AH1923" t="str">
        <f>K1923</f>
        <v>M</v>
      </c>
      <c r="AI1923" t="str">
        <f>LEFT(AF1923,1)</f>
        <v>A</v>
      </c>
      <c r="AJ1923" t="str">
        <f>LEFT(M1923,1)</f>
        <v>J</v>
      </c>
      <c r="AK1923" t="str">
        <f>_xlfn.CONCAT(AG1923,AH1923,AI1923,AJ1923)</f>
        <v>CMAJ</v>
      </c>
    </row>
    <row r="1924" spans="1:37" ht="15.75" hidden="1" customHeight="1" x14ac:dyDescent="0.2">
      <c r="A1924" s="1">
        <v>1524704</v>
      </c>
      <c r="B1924" s="1" t="s">
        <v>2077</v>
      </c>
      <c r="C1924" s="1" t="s">
        <v>57</v>
      </c>
      <c r="D1924" s="1" t="s">
        <v>2303</v>
      </c>
      <c r="E1924" s="1" t="s">
        <v>497</v>
      </c>
      <c r="F1924" s="1" t="s">
        <v>61</v>
      </c>
      <c r="G1924" s="1" t="s">
        <v>2306</v>
      </c>
      <c r="H1924" s="1">
        <v>45731</v>
      </c>
      <c r="I1924" s="1" t="s">
        <v>2307</v>
      </c>
      <c r="J1924" s="1">
        <v>3550</v>
      </c>
      <c r="K1924" s="1" t="s">
        <v>35</v>
      </c>
      <c r="L1924" s="1">
        <v>39</v>
      </c>
      <c r="M1924" s="1" t="str">
        <f>IF(L1924&lt;=45,"Joven","Mayor")</f>
        <v>Joven</v>
      </c>
      <c r="N1924" s="1">
        <v>33</v>
      </c>
      <c r="O1924" s="1" t="s">
        <v>36</v>
      </c>
      <c r="P1924" s="1">
        <v>0.442</v>
      </c>
      <c r="Q1924" s="1">
        <v>87.106999999999999</v>
      </c>
      <c r="R1924" s="1">
        <v>-5.3181070000000004</v>
      </c>
      <c r="S1924" s="1">
        <v>9.5312909999999995</v>
      </c>
      <c r="T1924" s="1">
        <v>3.5737991</v>
      </c>
      <c r="U1924" s="1">
        <v>43.654000000000003</v>
      </c>
      <c r="V1924" s="1">
        <v>98</v>
      </c>
      <c r="W1924" s="1">
        <v>169</v>
      </c>
      <c r="X1924" s="1">
        <v>1.7244897959183674</v>
      </c>
      <c r="Y1924" s="1">
        <v>101</v>
      </c>
      <c r="Z1924" s="1">
        <v>169</v>
      </c>
      <c r="AA1924" s="1">
        <v>1.6732673267326732</v>
      </c>
      <c r="AB1924" s="1">
        <v>101.05079750745951</v>
      </c>
      <c r="AC1924" s="1">
        <v>168.79602031400279</v>
      </c>
      <c r="AD1924" s="1">
        <v>1.6704076016969818</v>
      </c>
      <c r="AE1924" t="s">
        <v>4817</v>
      </c>
      <c r="AF1924" t="str">
        <f>IF(X1924&lt;$AF$1,"Bajo","Alto")</f>
        <v>Bajo</v>
      </c>
      <c r="AG1924" t="str">
        <f>LEFT(AE1924,1)</f>
        <v>C</v>
      </c>
      <c r="AH1924" t="str">
        <f>K1924</f>
        <v>M</v>
      </c>
      <c r="AI1924" t="str">
        <f>LEFT(AF1924,1)</f>
        <v>B</v>
      </c>
      <c r="AJ1924" t="str">
        <f>LEFT(M1924,1)</f>
        <v>J</v>
      </c>
      <c r="AK1924" t="str">
        <f>_xlfn.CONCAT(AG1924,AH1924,AI1924,AJ1924)</f>
        <v>CMBJ</v>
      </c>
    </row>
    <row r="1925" spans="1:37" ht="15.75" hidden="1" customHeight="1" x14ac:dyDescent="0.2">
      <c r="A1925" s="1">
        <v>195101</v>
      </c>
      <c r="B1925" s="1" t="s">
        <v>2656</v>
      </c>
      <c r="C1925" s="1" t="s">
        <v>323</v>
      </c>
      <c r="D1925" s="1" t="s">
        <v>2742</v>
      </c>
      <c r="E1925" s="1" t="s">
        <v>2743</v>
      </c>
      <c r="F1925" s="1" t="s">
        <v>32</v>
      </c>
      <c r="G1925" s="1" t="s">
        <v>2744</v>
      </c>
      <c r="H1925" s="1">
        <v>2888</v>
      </c>
      <c r="I1925" s="1" t="s">
        <v>65</v>
      </c>
      <c r="J1925" s="1">
        <v>2</v>
      </c>
      <c r="K1925" s="1" t="s">
        <v>35</v>
      </c>
      <c r="L1925" s="1">
        <v>40</v>
      </c>
      <c r="M1925" s="1" t="str">
        <f>IF(L1925&lt;=45,"Joven","Mayor")</f>
        <v>Joven</v>
      </c>
      <c r="N1925" s="1">
        <v>38</v>
      </c>
      <c r="O1925" s="1" t="s">
        <v>36</v>
      </c>
      <c r="P1925" s="1">
        <v>0.36099999999999999</v>
      </c>
      <c r="Q1925" s="1">
        <v>91.611999999999995</v>
      </c>
      <c r="R1925" s="1">
        <v>2.8355453000000002</v>
      </c>
      <c r="S1925" s="1">
        <v>6.6379104</v>
      </c>
      <c r="T1925" s="1">
        <v>2.8198957</v>
      </c>
      <c r="U1925" s="1">
        <v>6.8410000000000002</v>
      </c>
      <c r="V1925" s="1">
        <v>98</v>
      </c>
      <c r="W1925" s="1">
        <v>179</v>
      </c>
      <c r="X1925" s="1">
        <v>1.8265306122448979</v>
      </c>
      <c r="Y1925" s="1">
        <v>101</v>
      </c>
      <c r="Z1925" s="1">
        <v>179</v>
      </c>
      <c r="AA1925" s="1">
        <v>1.7722772277227723</v>
      </c>
      <c r="AB1925" s="1">
        <v>100.34116308534681</v>
      </c>
      <c r="AC1925" s="1">
        <v>178.93084124627509</v>
      </c>
      <c r="AD1925" s="1">
        <v>1.7832247080301686</v>
      </c>
      <c r="AE1925" t="s">
        <v>4817</v>
      </c>
      <c r="AF1925" t="str">
        <f>IF(X1925&lt;$AF$1,"Bajo","Alto")</f>
        <v>Alto</v>
      </c>
      <c r="AG1925" t="str">
        <f>LEFT(AE1925,1)</f>
        <v>C</v>
      </c>
      <c r="AH1925" t="str">
        <f>K1925</f>
        <v>M</v>
      </c>
      <c r="AI1925" t="str">
        <f>LEFT(AF1925,1)</f>
        <v>A</v>
      </c>
      <c r="AJ1925" t="str">
        <f>LEFT(M1925,1)</f>
        <v>J</v>
      </c>
      <c r="AK1925" t="str">
        <f>_xlfn.CONCAT(AG1925,AH1925,AI1925,AJ1925)</f>
        <v>CMAJ</v>
      </c>
    </row>
    <row r="1926" spans="1:37" ht="15.75" hidden="1" customHeight="1" x14ac:dyDescent="0.2">
      <c r="A1926" s="1">
        <v>211205</v>
      </c>
      <c r="B1926" s="1" t="s">
        <v>2816</v>
      </c>
      <c r="C1926" s="1" t="s">
        <v>2817</v>
      </c>
      <c r="D1926" s="1" t="s">
        <v>2830</v>
      </c>
      <c r="E1926" s="1" t="s">
        <v>54</v>
      </c>
      <c r="F1926" s="1" t="s">
        <v>40</v>
      </c>
      <c r="G1926" s="1" t="s">
        <v>2834</v>
      </c>
      <c r="H1926" s="1">
        <v>6846</v>
      </c>
      <c r="I1926" s="1" t="s">
        <v>2835</v>
      </c>
      <c r="J1926" s="1">
        <v>2566</v>
      </c>
      <c r="K1926" s="1" t="s">
        <v>35</v>
      </c>
      <c r="L1926" s="1">
        <v>31</v>
      </c>
      <c r="M1926" s="1" t="str">
        <f>IF(L1926&lt;=45,"Joven","Mayor")</f>
        <v>Joven</v>
      </c>
      <c r="N1926" s="1">
        <v>29</v>
      </c>
      <c r="O1926" s="1" t="s">
        <v>36</v>
      </c>
      <c r="P1926" s="1">
        <v>0.35499999999999998</v>
      </c>
      <c r="Q1926" s="1">
        <v>85.28</v>
      </c>
      <c r="R1926" s="1">
        <v>7.0996649999999999</v>
      </c>
      <c r="S1926" s="1">
        <v>7.8324904000000002</v>
      </c>
      <c r="T1926" s="1">
        <v>-4.9791302999999996</v>
      </c>
      <c r="U1926" s="1">
        <v>65.073999999999998</v>
      </c>
      <c r="V1926" s="1">
        <v>98</v>
      </c>
      <c r="W1926" s="1">
        <v>179</v>
      </c>
      <c r="X1926" s="1">
        <v>1.8265306122448979</v>
      </c>
      <c r="Y1926" s="1">
        <v>102</v>
      </c>
      <c r="Z1926" s="1">
        <v>179</v>
      </c>
      <c r="AA1926" s="1">
        <v>1.7549019607843137</v>
      </c>
      <c r="AB1926" s="1">
        <v>101.7094503173889</v>
      </c>
      <c r="AC1926" s="1">
        <v>178.498107426698</v>
      </c>
      <c r="AD1926" s="1">
        <v>1.7549805536229588</v>
      </c>
      <c r="AE1926" t="s">
        <v>4817</v>
      </c>
      <c r="AF1926" t="str">
        <f>IF(X1926&lt;$AF$1,"Bajo","Alto")</f>
        <v>Alto</v>
      </c>
      <c r="AG1926" t="str">
        <f>LEFT(AE1926,1)</f>
        <v>C</v>
      </c>
      <c r="AH1926" t="str">
        <f>K1926</f>
        <v>M</v>
      </c>
      <c r="AI1926" t="str">
        <f>LEFT(AF1926,1)</f>
        <v>A</v>
      </c>
      <c r="AJ1926" t="str">
        <f>LEFT(M1926,1)</f>
        <v>J</v>
      </c>
      <c r="AK1926" t="str">
        <f>_xlfn.CONCAT(AG1926,AH1926,AI1926,AJ1926)</f>
        <v>CMAJ</v>
      </c>
    </row>
    <row r="1927" spans="1:37" ht="15.75" customHeight="1" x14ac:dyDescent="0.2">
      <c r="A1927" s="1">
        <v>270109</v>
      </c>
      <c r="B1927" s="1" t="s">
        <v>3409</v>
      </c>
      <c r="C1927" s="1" t="s">
        <v>973</v>
      </c>
      <c r="D1927" s="1" t="s">
        <v>3410</v>
      </c>
      <c r="E1927" s="1" t="s">
        <v>32</v>
      </c>
      <c r="F1927" s="1" t="s">
        <v>189</v>
      </c>
      <c r="G1927" s="1" t="s">
        <v>3414</v>
      </c>
      <c r="H1927" s="1">
        <v>40607</v>
      </c>
      <c r="I1927" s="1" t="s">
        <v>3415</v>
      </c>
      <c r="J1927" s="1">
        <v>4000</v>
      </c>
      <c r="K1927" s="1" t="s">
        <v>35</v>
      </c>
      <c r="L1927" s="1">
        <v>37</v>
      </c>
      <c r="M1927" s="1" t="str">
        <f>IF(L1927&lt;=45,"Joven","Mayor")</f>
        <v>Joven</v>
      </c>
      <c r="N1927" s="1">
        <v>40</v>
      </c>
      <c r="O1927" s="1" t="s">
        <v>36</v>
      </c>
      <c r="P1927" s="1">
        <v>8.1000000000000003E-2</v>
      </c>
      <c r="Q1927" s="1">
        <v>93.572000000000003</v>
      </c>
      <c r="R1927" s="1">
        <v>2.2939847000000002</v>
      </c>
      <c r="S1927" s="1">
        <v>1.5271996000000001</v>
      </c>
      <c r="T1927" s="1">
        <v>-5.2001650000000001</v>
      </c>
      <c r="U1927" s="1">
        <v>1.0920000000000001</v>
      </c>
      <c r="V1927" s="1">
        <v>91</v>
      </c>
      <c r="W1927" s="1">
        <v>154</v>
      </c>
      <c r="X1927" s="1">
        <v>1.6923076923076923</v>
      </c>
      <c r="Y1927" s="1">
        <v>95</v>
      </c>
      <c r="Z1927" s="1">
        <v>154</v>
      </c>
      <c r="AA1927" s="1">
        <v>1.6210526315789473</v>
      </c>
      <c r="AB1927" s="1">
        <v>94.613416240493734</v>
      </c>
      <c r="AC1927" s="1">
        <v>153.63806353616289</v>
      </c>
      <c r="AD1927" s="1">
        <v>1.6238507142119989</v>
      </c>
      <c r="AE1927" t="s">
        <v>4818</v>
      </c>
      <c r="AF1927" t="str">
        <f>IF(X1927&lt;$AF$1,"Bajo","Alto")</f>
        <v>Bajo</v>
      </c>
      <c r="AG1927" t="str">
        <f>LEFT(AE1927,1)</f>
        <v>S</v>
      </c>
      <c r="AH1927" t="str">
        <f>K1927</f>
        <v>M</v>
      </c>
      <c r="AI1927" t="str">
        <f>LEFT(AF1927,1)</f>
        <v>B</v>
      </c>
      <c r="AJ1927" t="str">
        <f>LEFT(M1927,1)</f>
        <v>J</v>
      </c>
      <c r="AK1927" t="str">
        <f>_xlfn.CONCAT(AG1927,AH1927,AI1927,AJ1927)</f>
        <v>SMBJ</v>
      </c>
    </row>
    <row r="1928" spans="1:37" ht="15.75" hidden="1" customHeight="1" x14ac:dyDescent="0.2">
      <c r="A1928" s="1">
        <v>2310907</v>
      </c>
      <c r="B1928" s="1" t="s">
        <v>319</v>
      </c>
      <c r="C1928" s="1" t="s">
        <v>1989</v>
      </c>
      <c r="D1928" s="1" t="s">
        <v>2253</v>
      </c>
      <c r="E1928" s="1" t="s">
        <v>98</v>
      </c>
      <c r="F1928" s="1" t="s">
        <v>43</v>
      </c>
      <c r="G1928" s="1" t="s">
        <v>2940</v>
      </c>
      <c r="H1928" s="1">
        <v>25</v>
      </c>
      <c r="I1928" s="1" t="s">
        <v>91</v>
      </c>
      <c r="J1928" s="1">
        <v>6</v>
      </c>
      <c r="K1928" s="1" t="s">
        <v>49</v>
      </c>
      <c r="L1928" s="1">
        <v>38</v>
      </c>
      <c r="M1928" s="1" t="str">
        <f>IF(L1928&lt;=45,"Joven","Mayor")</f>
        <v>Joven</v>
      </c>
      <c r="N1928" s="1">
        <v>30</v>
      </c>
      <c r="O1928" s="1" t="s">
        <v>50</v>
      </c>
      <c r="P1928" s="1">
        <v>0.625</v>
      </c>
      <c r="Q1928" s="1">
        <v>41.054000000000002</v>
      </c>
      <c r="R1928" s="1">
        <v>16.814675999999999</v>
      </c>
      <c r="S1928" s="1">
        <v>5.0881420000000004</v>
      </c>
      <c r="T1928" s="1">
        <v>-15.272042000000001</v>
      </c>
      <c r="U1928" s="1">
        <v>49.747999999999998</v>
      </c>
      <c r="V1928" s="1">
        <v>75</v>
      </c>
      <c r="W1928" s="1">
        <v>129</v>
      </c>
      <c r="X1928" s="1">
        <v>1.72</v>
      </c>
      <c r="Y1928" s="1">
        <v>90</v>
      </c>
      <c r="Z1928" s="1">
        <v>129</v>
      </c>
      <c r="AA1928" s="1">
        <v>1.4333333333333333</v>
      </c>
      <c r="AB1928" s="1">
        <v>84.204560644456478</v>
      </c>
      <c r="AC1928" s="1">
        <v>129.71254919178179</v>
      </c>
      <c r="AD1928" s="1">
        <v>1.5404456504378339</v>
      </c>
      <c r="AE1928" t="s">
        <v>4817</v>
      </c>
      <c r="AF1928" t="str">
        <f>IF(X1928&lt;$AF$1,"Bajo","Alto")</f>
        <v>Bajo</v>
      </c>
      <c r="AG1928" t="str">
        <f>LEFT(AE1928,1)</f>
        <v>C</v>
      </c>
      <c r="AH1928" t="str">
        <f>K1928</f>
        <v>F</v>
      </c>
      <c r="AI1928" t="str">
        <f>LEFT(AF1928,1)</f>
        <v>B</v>
      </c>
      <c r="AJ1928" t="str">
        <f>LEFT(M1928,1)</f>
        <v>J</v>
      </c>
      <c r="AK1928" t="str">
        <f>_xlfn.CONCAT(AG1928,AH1928,AI1928,AJ1928)</f>
        <v>CFBJ</v>
      </c>
    </row>
    <row r="1929" spans="1:37" ht="15.75" hidden="1" customHeight="1" x14ac:dyDescent="0.2">
      <c r="A1929" s="1">
        <v>440503</v>
      </c>
      <c r="B1929" s="1" t="s">
        <v>4314</v>
      </c>
      <c r="C1929" s="1" t="s">
        <v>995</v>
      </c>
      <c r="D1929" s="1" t="s">
        <v>4333</v>
      </c>
      <c r="E1929" s="1" t="s">
        <v>40</v>
      </c>
      <c r="F1929" s="1" t="s">
        <v>63</v>
      </c>
      <c r="G1929" s="1" t="s">
        <v>4336</v>
      </c>
      <c r="H1929" s="1">
        <v>5290</v>
      </c>
      <c r="I1929" s="1" t="s">
        <v>4337</v>
      </c>
      <c r="J1929" s="1">
        <v>3491</v>
      </c>
      <c r="K1929" s="1" t="s">
        <v>35</v>
      </c>
      <c r="L1929" s="1">
        <v>40</v>
      </c>
      <c r="M1929" s="1" t="str">
        <f>IF(L1929&lt;=45,"Joven","Mayor")</f>
        <v>Joven</v>
      </c>
      <c r="N1929" s="1">
        <v>47</v>
      </c>
      <c r="O1929" s="1" t="s">
        <v>36</v>
      </c>
      <c r="P1929" s="1">
        <v>0.49299999999999999</v>
      </c>
      <c r="Q1929" s="1">
        <v>76.555000000000007</v>
      </c>
      <c r="R1929" s="1">
        <v>11.247178999999999</v>
      </c>
      <c r="S1929" s="1">
        <v>-3.2457194</v>
      </c>
      <c r="T1929" s="1">
        <v>-11.490333</v>
      </c>
      <c r="U1929" s="1">
        <v>2.7789999999999999</v>
      </c>
      <c r="V1929" s="1">
        <v>80</v>
      </c>
      <c r="W1929" s="1">
        <v>138</v>
      </c>
      <c r="X1929" s="1">
        <v>1.7250000000000001</v>
      </c>
      <c r="Y1929" s="1">
        <v>91</v>
      </c>
      <c r="Z1929" s="1">
        <v>138</v>
      </c>
      <c r="AA1929" s="1">
        <v>1.5164835164835164</v>
      </c>
      <c r="AB1929" s="1">
        <v>87.759188351159764</v>
      </c>
      <c r="AC1929" s="1">
        <v>138.6206934565212</v>
      </c>
      <c r="AD1929" s="1">
        <v>1.579557606000686</v>
      </c>
      <c r="AE1929" t="s">
        <v>4817</v>
      </c>
      <c r="AF1929" t="str">
        <f>IF(X1929&lt;$AF$1,"Bajo","Alto")</f>
        <v>Bajo</v>
      </c>
      <c r="AG1929" t="str">
        <f>LEFT(AE1929,1)</f>
        <v>C</v>
      </c>
      <c r="AH1929" t="str">
        <f>K1929</f>
        <v>M</v>
      </c>
      <c r="AI1929" t="str">
        <f>LEFT(AF1929,1)</f>
        <v>B</v>
      </c>
      <c r="AJ1929" t="str">
        <f>LEFT(M1929,1)</f>
        <v>J</v>
      </c>
      <c r="AK1929" t="str">
        <f>_xlfn.CONCAT(AG1929,AH1929,AI1929,AJ1929)</f>
        <v>CMBJ</v>
      </c>
    </row>
    <row r="1930" spans="1:37" ht="15.75" hidden="1" customHeight="1" x14ac:dyDescent="0.2">
      <c r="A1930" s="1">
        <v>1073102</v>
      </c>
      <c r="B1930" s="1" t="s">
        <v>1067</v>
      </c>
      <c r="C1930" s="1" t="s">
        <v>1068</v>
      </c>
      <c r="D1930" s="1" t="s">
        <v>1386</v>
      </c>
      <c r="E1930" s="1" t="s">
        <v>628</v>
      </c>
      <c r="F1930" s="1" t="s">
        <v>37</v>
      </c>
      <c r="G1930" s="1" t="s">
        <v>1387</v>
      </c>
      <c r="H1930" s="1">
        <v>2270</v>
      </c>
      <c r="I1930" s="1" t="s">
        <v>1388</v>
      </c>
      <c r="J1930" s="1">
        <v>3203</v>
      </c>
      <c r="K1930" s="1" t="s">
        <v>35</v>
      </c>
      <c r="L1930" s="1">
        <v>52</v>
      </c>
      <c r="M1930" s="1" t="str">
        <f>IF(L1930&lt;=45,"Joven","Mayor")</f>
        <v>Mayor</v>
      </c>
      <c r="N1930" s="1">
        <v>53</v>
      </c>
      <c r="O1930" s="1" t="s">
        <v>36</v>
      </c>
      <c r="P1930" s="1">
        <v>0.56699999999999995</v>
      </c>
      <c r="Q1930" s="1">
        <v>89.891000000000005</v>
      </c>
      <c r="R1930" s="1">
        <v>5.2645439999999999</v>
      </c>
      <c r="S1930" s="1">
        <v>-4.4711689999999997</v>
      </c>
      <c r="T1930" s="1">
        <v>-2.8761306000000002</v>
      </c>
      <c r="U1930" s="1">
        <v>0.52300000000000002</v>
      </c>
      <c r="V1930" s="1">
        <v>89</v>
      </c>
      <c r="W1930" s="1">
        <v>153</v>
      </c>
      <c r="X1930" s="1">
        <v>1.7191011235955056</v>
      </c>
      <c r="Y1930" s="1">
        <v>89</v>
      </c>
      <c r="Z1930" s="1">
        <v>153</v>
      </c>
      <c r="AA1930" s="1">
        <v>1.7191011235955056</v>
      </c>
      <c r="AB1930" s="1">
        <v>90.744435103938486</v>
      </c>
      <c r="AC1930" s="1">
        <v>153.00798064843141</v>
      </c>
      <c r="AD1930" s="1">
        <v>1.6861417504354552</v>
      </c>
      <c r="AE1930" t="s">
        <v>4816</v>
      </c>
      <c r="AF1930" t="str">
        <f>IF(X1930&lt;$AF$1,"Bajo","Alto")</f>
        <v>Bajo</v>
      </c>
      <c r="AG1930" t="str">
        <f>LEFT(AE1930,1)</f>
        <v>D</v>
      </c>
      <c r="AH1930" t="str">
        <f>K1930</f>
        <v>M</v>
      </c>
      <c r="AI1930" t="str">
        <f>LEFT(AF1930,1)</f>
        <v>B</v>
      </c>
      <c r="AJ1930" t="str">
        <f>LEFT(M1930,1)</f>
        <v>M</v>
      </c>
      <c r="AK1930" t="str">
        <f>_xlfn.CONCAT(AG1930,AH1930,AI1930,AJ1930)</f>
        <v>DMBM</v>
      </c>
    </row>
    <row r="1931" spans="1:37" ht="15.75" hidden="1" customHeight="1" x14ac:dyDescent="0.2">
      <c r="A1931" s="1">
        <v>10129801</v>
      </c>
      <c r="B1931" s="1" t="s">
        <v>29</v>
      </c>
      <c r="C1931" s="1" t="s">
        <v>30</v>
      </c>
      <c r="D1931" s="1" t="s">
        <v>607</v>
      </c>
      <c r="E1931" s="1" t="s">
        <v>608</v>
      </c>
      <c r="F1931" s="1" t="s">
        <v>32</v>
      </c>
      <c r="G1931" s="1" t="s">
        <v>609</v>
      </c>
      <c r="H1931" s="1">
        <v>101</v>
      </c>
      <c r="I1931" s="1" t="s">
        <v>108</v>
      </c>
      <c r="J1931" s="1">
        <v>3</v>
      </c>
      <c r="K1931" s="1" t="s">
        <v>49</v>
      </c>
      <c r="L1931" s="1">
        <v>32</v>
      </c>
      <c r="M1931" s="1" t="str">
        <f>IF(L1931&lt;=45,"Joven","Mayor")</f>
        <v>Joven</v>
      </c>
      <c r="N1931" s="1">
        <v>24</v>
      </c>
      <c r="O1931" s="1" t="s">
        <v>50</v>
      </c>
      <c r="P1931" s="1">
        <v>4.4999999999999998E-2</v>
      </c>
      <c r="Q1931" s="1">
        <v>85.075000000000003</v>
      </c>
      <c r="R1931" s="1">
        <v>6.8864764999999997</v>
      </c>
      <c r="S1931" s="1">
        <v>8.8755865000000007</v>
      </c>
      <c r="T1931" s="1">
        <v>15.804379000000001</v>
      </c>
      <c r="U1931" s="1">
        <v>72.724999999999994</v>
      </c>
      <c r="V1931" s="1">
        <v>73</v>
      </c>
      <c r="W1931" s="1">
        <v>135</v>
      </c>
      <c r="X1931" s="1">
        <v>1.8493150684931507</v>
      </c>
      <c r="Y1931" s="1">
        <v>100</v>
      </c>
      <c r="Z1931" s="1">
        <v>135</v>
      </c>
      <c r="AA1931" s="1">
        <v>1.35</v>
      </c>
      <c r="AB1931" s="1">
        <v>94.857949156247969</v>
      </c>
      <c r="AC1931" s="1">
        <v>142.42489360467789</v>
      </c>
      <c r="AD1931" s="1">
        <v>1.5014544892814272</v>
      </c>
      <c r="AE1931" t="s">
        <v>4817</v>
      </c>
      <c r="AF1931" t="str">
        <f>IF(X1931&lt;$AF$1,"Bajo","Alto")</f>
        <v>Alto</v>
      </c>
      <c r="AG1931" t="str">
        <f>LEFT(AE1931,1)</f>
        <v>C</v>
      </c>
      <c r="AH1931" t="str">
        <f>K1931</f>
        <v>F</v>
      </c>
      <c r="AI1931" t="str">
        <f>LEFT(AF1931,1)</f>
        <v>A</v>
      </c>
      <c r="AJ1931" t="str">
        <f>LEFT(M1931,1)</f>
        <v>J</v>
      </c>
      <c r="AK1931" t="str">
        <f>_xlfn.CONCAT(AG1931,AH1931,AI1931,AJ1931)</f>
        <v>CFAJ</v>
      </c>
    </row>
    <row r="1932" spans="1:37" ht="15.75" hidden="1" customHeight="1" x14ac:dyDescent="0.2">
      <c r="A1932" s="1">
        <v>10116305</v>
      </c>
      <c r="B1932" s="1" t="s">
        <v>29</v>
      </c>
      <c r="C1932" s="1" t="s">
        <v>30</v>
      </c>
      <c r="D1932" s="1" t="s">
        <v>250</v>
      </c>
      <c r="E1932" s="1" t="s">
        <v>251</v>
      </c>
      <c r="F1932" s="1" t="s">
        <v>40</v>
      </c>
      <c r="G1932" s="1" t="s">
        <v>255</v>
      </c>
      <c r="H1932" s="1">
        <v>12470</v>
      </c>
      <c r="I1932" s="1" t="s">
        <v>91</v>
      </c>
      <c r="J1932" s="1">
        <v>6</v>
      </c>
      <c r="K1932" s="1" t="s">
        <v>35</v>
      </c>
      <c r="L1932" s="1">
        <v>31</v>
      </c>
      <c r="M1932" s="1" t="str">
        <f>IF(L1932&lt;=45,"Joven","Mayor")</f>
        <v>Joven</v>
      </c>
      <c r="N1932" s="1">
        <v>38</v>
      </c>
      <c r="O1932" s="1" t="s">
        <v>36</v>
      </c>
      <c r="P1932" s="1">
        <v>0.31</v>
      </c>
      <c r="Q1932" s="1">
        <v>91.771000000000001</v>
      </c>
      <c r="R1932" s="1">
        <v>2.5882969999999998</v>
      </c>
      <c r="S1932" s="1">
        <v>6.7902750000000003</v>
      </c>
      <c r="T1932" s="1">
        <v>-0.12584537000000001</v>
      </c>
      <c r="U1932" s="1">
        <v>6.1710000000000003</v>
      </c>
      <c r="V1932" s="1">
        <v>92</v>
      </c>
      <c r="W1932" s="1">
        <v>168</v>
      </c>
      <c r="X1932" s="1">
        <v>1.826086956521739</v>
      </c>
      <c r="Y1932" s="1">
        <v>95</v>
      </c>
      <c r="Z1932" s="1">
        <v>168</v>
      </c>
      <c r="AA1932" s="1">
        <v>1.7684210526315789</v>
      </c>
      <c r="AB1932" s="1">
        <v>94.905325034104635</v>
      </c>
      <c r="AC1932" s="1">
        <v>168.01057683515461</v>
      </c>
      <c r="AD1932" s="1">
        <v>1.7702966274524563</v>
      </c>
      <c r="AE1932" t="s">
        <v>4817</v>
      </c>
      <c r="AF1932" t="str">
        <f>IF(X1932&lt;$AF$1,"Bajo","Alto")</f>
        <v>Alto</v>
      </c>
      <c r="AG1932" t="str">
        <f>LEFT(AE1932,1)</f>
        <v>C</v>
      </c>
      <c r="AH1932" t="str">
        <f>K1932</f>
        <v>M</v>
      </c>
      <c r="AI1932" t="str">
        <f>LEFT(AF1932,1)</f>
        <v>A</v>
      </c>
      <c r="AJ1932" t="str">
        <f>LEFT(M1932,1)</f>
        <v>J</v>
      </c>
      <c r="AK1932" t="str">
        <f>_xlfn.CONCAT(AG1932,AH1932,AI1932,AJ1932)</f>
        <v>CMAJ</v>
      </c>
    </row>
    <row r="1933" spans="1:37" ht="15.75" hidden="1" customHeight="1" x14ac:dyDescent="0.2">
      <c r="A1933" s="1">
        <v>270105</v>
      </c>
      <c r="B1933" s="1" t="s">
        <v>3409</v>
      </c>
      <c r="C1933" s="1" t="s">
        <v>973</v>
      </c>
      <c r="D1933" s="1" t="s">
        <v>3410</v>
      </c>
      <c r="E1933" s="1" t="s">
        <v>32</v>
      </c>
      <c r="F1933" s="1" t="s">
        <v>40</v>
      </c>
      <c r="G1933" s="1" t="s">
        <v>3412</v>
      </c>
      <c r="H1933" s="1">
        <v>8281</v>
      </c>
      <c r="I1933" s="1" t="s">
        <v>3413</v>
      </c>
      <c r="J1933" s="1">
        <v>1491</v>
      </c>
      <c r="K1933" s="1" t="s">
        <v>35</v>
      </c>
      <c r="L1933" s="1">
        <v>43</v>
      </c>
      <c r="M1933" s="1" t="str">
        <f>IF(L1933&lt;=45,"Joven","Mayor")</f>
        <v>Joven</v>
      </c>
      <c r="N1933" s="1">
        <v>41</v>
      </c>
      <c r="O1933" s="1" t="s">
        <v>36</v>
      </c>
      <c r="P1933" s="1">
        <v>0.378</v>
      </c>
      <c r="Q1933" s="1">
        <v>43.158000000000001</v>
      </c>
      <c r="R1933" s="1">
        <v>16.549983999999998</v>
      </c>
      <c r="S1933" s="1">
        <v>5.2362485000000003</v>
      </c>
      <c r="T1933" s="1">
        <v>-5.3347100000000003</v>
      </c>
      <c r="U1933" s="1">
        <v>35.392000000000003</v>
      </c>
      <c r="V1933" s="1">
        <v>92</v>
      </c>
      <c r="W1933" s="1">
        <v>168</v>
      </c>
      <c r="X1933" s="1">
        <v>1.826086956521739</v>
      </c>
      <c r="Y1933" s="1">
        <v>96</v>
      </c>
      <c r="Z1933" s="1">
        <v>168</v>
      </c>
      <c r="AA1933" s="1">
        <v>1.75</v>
      </c>
      <c r="AB1933" s="1">
        <v>96.529117811232254</v>
      </c>
      <c r="AC1933" s="1">
        <v>167.55123893245451</v>
      </c>
      <c r="AD1933" s="1">
        <v>1.7357585227299988</v>
      </c>
      <c r="AE1933" t="s">
        <v>4817</v>
      </c>
      <c r="AF1933" t="str">
        <f>IF(X1933&lt;$AF$1,"Bajo","Alto")</f>
        <v>Alto</v>
      </c>
      <c r="AG1933" t="str">
        <f>LEFT(AE1933,1)</f>
        <v>C</v>
      </c>
      <c r="AH1933" t="str">
        <f>K1933</f>
        <v>M</v>
      </c>
      <c r="AI1933" t="str">
        <f>LEFT(AF1933,1)</f>
        <v>A</v>
      </c>
      <c r="AJ1933" t="str">
        <f>LEFT(M1933,1)</f>
        <v>J</v>
      </c>
      <c r="AK1933" t="str">
        <f>_xlfn.CONCAT(AG1933,AH1933,AI1933,AJ1933)</f>
        <v>CMAJ</v>
      </c>
    </row>
    <row r="1934" spans="1:37" ht="15.75" hidden="1" customHeight="1" x14ac:dyDescent="0.2">
      <c r="A1934" s="1">
        <v>134905</v>
      </c>
      <c r="B1934" s="1" t="s">
        <v>956</v>
      </c>
      <c r="C1934" s="1" t="s">
        <v>163</v>
      </c>
      <c r="D1934" s="1" t="s">
        <v>430</v>
      </c>
      <c r="E1934" s="1" t="s">
        <v>673</v>
      </c>
      <c r="F1934" s="1" t="s">
        <v>40</v>
      </c>
      <c r="G1934" s="1" t="s">
        <v>2054</v>
      </c>
      <c r="H1934" s="1">
        <v>52</v>
      </c>
      <c r="I1934" s="1" t="s">
        <v>294</v>
      </c>
      <c r="J1934" s="1">
        <v>16</v>
      </c>
      <c r="K1934" s="1" t="s">
        <v>49</v>
      </c>
      <c r="L1934" s="1">
        <v>40</v>
      </c>
      <c r="M1934" s="1" t="str">
        <f>IF(L1934&lt;=45,"Joven","Mayor")</f>
        <v>Joven</v>
      </c>
      <c r="N1934" s="1">
        <v>30</v>
      </c>
      <c r="O1934" s="1" t="s">
        <v>50</v>
      </c>
      <c r="P1934" s="1">
        <v>0.35499999999999998</v>
      </c>
      <c r="Q1934" s="1">
        <v>93.709000000000003</v>
      </c>
      <c r="R1934" s="1">
        <v>-1.6328737</v>
      </c>
      <c r="S1934" s="1">
        <v>-2.499565</v>
      </c>
      <c r="T1934" s="1">
        <v>-6.4831099999999999</v>
      </c>
      <c r="U1934" s="1">
        <v>28.024000000000001</v>
      </c>
      <c r="V1934" s="1">
        <v>79</v>
      </c>
      <c r="W1934" s="1">
        <v>136</v>
      </c>
      <c r="X1934" s="1">
        <v>1.7215189873417722</v>
      </c>
      <c r="Y1934" s="1">
        <v>83</v>
      </c>
      <c r="Z1934" s="1">
        <v>136</v>
      </c>
      <c r="AA1934" s="1">
        <v>1.6385542168674698</v>
      </c>
      <c r="AB1934" s="1">
        <v>83.575773771219247</v>
      </c>
      <c r="AC1934" s="1">
        <v>136.03358746215099</v>
      </c>
      <c r="AD1934" s="1">
        <v>1.6276676999070332</v>
      </c>
      <c r="AE1934" t="s">
        <v>4817</v>
      </c>
      <c r="AF1934" t="str">
        <f>IF(X1934&lt;$AF$1,"Bajo","Alto")</f>
        <v>Bajo</v>
      </c>
      <c r="AG1934" t="str">
        <f>LEFT(AE1934,1)</f>
        <v>C</v>
      </c>
      <c r="AH1934" t="str">
        <f>K1934</f>
        <v>F</v>
      </c>
      <c r="AI1934" t="str">
        <f>LEFT(AF1934,1)</f>
        <v>B</v>
      </c>
      <c r="AJ1934" t="str">
        <f>LEFT(M1934,1)</f>
        <v>J</v>
      </c>
      <c r="AK1934" t="str">
        <f>_xlfn.CONCAT(AG1934,AH1934,AI1934,AJ1934)</f>
        <v>CFBJ</v>
      </c>
    </row>
    <row r="1935" spans="1:37" ht="15.75" hidden="1" customHeight="1" x14ac:dyDescent="0.2">
      <c r="A1935" s="1">
        <v>253703</v>
      </c>
      <c r="B1935" s="1" t="s">
        <v>3169</v>
      </c>
      <c r="C1935" s="1" t="s">
        <v>821</v>
      </c>
      <c r="D1935" s="1" t="s">
        <v>2584</v>
      </c>
      <c r="E1935" s="1" t="s">
        <v>647</v>
      </c>
      <c r="F1935" s="1" t="s">
        <v>63</v>
      </c>
      <c r="G1935" s="1" t="s">
        <v>3241</v>
      </c>
      <c r="H1935" s="1">
        <v>10</v>
      </c>
      <c r="I1935" s="1" t="s">
        <v>87</v>
      </c>
      <c r="J1935" s="1">
        <v>14</v>
      </c>
      <c r="K1935" s="1" t="s">
        <v>35</v>
      </c>
      <c r="L1935" s="1">
        <v>59</v>
      </c>
      <c r="M1935" s="1" t="str">
        <f>IF(L1935&lt;=45,"Joven","Mayor")</f>
        <v>Mayor</v>
      </c>
      <c r="N1935" s="1">
        <v>53</v>
      </c>
      <c r="O1935" s="1" t="s">
        <v>36</v>
      </c>
      <c r="P1935" s="1">
        <v>0.35599999999999998</v>
      </c>
      <c r="Q1935" s="1">
        <v>89.100999999999999</v>
      </c>
      <c r="R1935" s="1">
        <v>6.6883382999999998</v>
      </c>
      <c r="S1935" s="1">
        <v>1.233177</v>
      </c>
      <c r="T1935" s="1">
        <v>-7.2676129999999999</v>
      </c>
      <c r="U1935" s="1">
        <v>1.994</v>
      </c>
      <c r="V1935" s="1">
        <v>107</v>
      </c>
      <c r="W1935" s="1">
        <v>193</v>
      </c>
      <c r="X1935" s="1">
        <v>1.8037383177570094</v>
      </c>
      <c r="Y1935" s="1">
        <v>116</v>
      </c>
      <c r="Z1935" s="1">
        <v>193</v>
      </c>
      <c r="AA1935" s="1">
        <v>1.6637931034482758</v>
      </c>
      <c r="AB1935" s="1">
        <v>113.8571121517887</v>
      </c>
      <c r="AC1935" s="1">
        <v>193.3470176209685</v>
      </c>
      <c r="AD1935" s="1">
        <v>1.6981549414603787</v>
      </c>
      <c r="AE1935" t="s">
        <v>4816</v>
      </c>
      <c r="AF1935" t="str">
        <f>IF(X1935&lt;$AF$1,"Bajo","Alto")</f>
        <v>Alto</v>
      </c>
      <c r="AG1935" t="str">
        <f>LEFT(AE1935,1)</f>
        <v>D</v>
      </c>
      <c r="AH1935" t="str">
        <f>K1935</f>
        <v>M</v>
      </c>
      <c r="AI1935" t="str">
        <f>LEFT(AF1935,1)</f>
        <v>A</v>
      </c>
      <c r="AJ1935" t="str">
        <f>LEFT(M1935,1)</f>
        <v>M</v>
      </c>
      <c r="AK1935" t="str">
        <f>_xlfn.CONCAT(AG1935,AH1935,AI1935,AJ1935)</f>
        <v>DMAM</v>
      </c>
    </row>
    <row r="1936" spans="1:37" ht="15.75" hidden="1" customHeight="1" x14ac:dyDescent="0.2">
      <c r="A1936" s="1">
        <v>1532805</v>
      </c>
      <c r="B1936" s="1" t="s">
        <v>2077</v>
      </c>
      <c r="C1936" s="1" t="s">
        <v>57</v>
      </c>
      <c r="D1936" s="1" t="s">
        <v>2417</v>
      </c>
      <c r="E1936" s="1" t="s">
        <v>1420</v>
      </c>
      <c r="F1936" s="1" t="s">
        <v>40</v>
      </c>
      <c r="G1936" s="1" t="s">
        <v>2419</v>
      </c>
      <c r="H1936" s="1">
        <v>2488</v>
      </c>
      <c r="I1936" s="1" t="s">
        <v>2420</v>
      </c>
      <c r="J1936" s="1">
        <v>3093</v>
      </c>
      <c r="K1936" s="1" t="s">
        <v>35</v>
      </c>
      <c r="L1936" s="1">
        <v>46</v>
      </c>
      <c r="M1936" s="1" t="str">
        <f>IF(L1936&lt;=45,"Joven","Mayor")</f>
        <v>Mayor</v>
      </c>
      <c r="N1936" s="1">
        <v>40</v>
      </c>
      <c r="O1936" s="1" t="s">
        <v>36</v>
      </c>
      <c r="P1936" s="1">
        <v>0.35099999999999998</v>
      </c>
      <c r="Q1936" s="1">
        <v>93.974999999999994</v>
      </c>
      <c r="R1936" s="1">
        <v>-0.75823635</v>
      </c>
      <c r="S1936" s="1">
        <v>-3.4577130999999999</v>
      </c>
      <c r="T1936" s="1">
        <v>1.9363146</v>
      </c>
      <c r="U1936" s="1">
        <v>12.91</v>
      </c>
      <c r="V1936" s="1">
        <v>107</v>
      </c>
      <c r="W1936" s="1">
        <v>183</v>
      </c>
      <c r="X1936" s="1">
        <v>1.7102803738317758</v>
      </c>
      <c r="Y1936" s="1">
        <v>109</v>
      </c>
      <c r="Z1936" s="1">
        <v>183</v>
      </c>
      <c r="AA1936" s="1">
        <v>1.6788990825688073</v>
      </c>
      <c r="AB1936" s="1">
        <v>108.56075748454531</v>
      </c>
      <c r="AC1936" s="1">
        <v>182.96308447280629</v>
      </c>
      <c r="AD1936" s="1">
        <v>1.6853519514070532</v>
      </c>
      <c r="AE1936" t="s">
        <v>4817</v>
      </c>
      <c r="AF1936" t="str">
        <f>IF(X1936&lt;$AF$1,"Bajo","Alto")</f>
        <v>Bajo</v>
      </c>
      <c r="AG1936" t="str">
        <f>LEFT(AE1936,1)</f>
        <v>C</v>
      </c>
      <c r="AH1936" t="str">
        <f>K1936</f>
        <v>M</v>
      </c>
      <c r="AI1936" t="str">
        <f>LEFT(AF1936,1)</f>
        <v>B</v>
      </c>
      <c r="AJ1936" t="str">
        <f>LEFT(M1936,1)</f>
        <v>M</v>
      </c>
      <c r="AK1936" t="str">
        <f>_xlfn.CONCAT(AG1936,AH1936,AI1936,AJ1936)</f>
        <v>CMBM</v>
      </c>
    </row>
    <row r="1937" spans="1:37" ht="15.75" hidden="1" customHeight="1" x14ac:dyDescent="0.2">
      <c r="A1937" s="1">
        <v>2719401</v>
      </c>
      <c r="B1937" s="1" t="s">
        <v>3409</v>
      </c>
      <c r="C1937" s="1" t="s">
        <v>973</v>
      </c>
      <c r="D1937" s="1" t="s">
        <v>3608</v>
      </c>
      <c r="E1937" s="1" t="s">
        <v>3609</v>
      </c>
      <c r="F1937" s="1" t="s">
        <v>32</v>
      </c>
      <c r="G1937" s="1" t="s">
        <v>3610</v>
      </c>
      <c r="H1937" s="1">
        <v>2</v>
      </c>
      <c r="I1937" s="1" t="s">
        <v>100</v>
      </c>
      <c r="J1937" s="1">
        <v>1</v>
      </c>
      <c r="K1937" s="1" t="s">
        <v>35</v>
      </c>
      <c r="L1937" s="1">
        <v>59</v>
      </c>
      <c r="M1937" s="1" t="str">
        <f>IF(L1937&lt;=45,"Joven","Mayor")</f>
        <v>Mayor</v>
      </c>
      <c r="N1937" s="1">
        <v>55</v>
      </c>
      <c r="O1937" s="1" t="s">
        <v>36</v>
      </c>
      <c r="P1937" s="1">
        <v>1.113</v>
      </c>
      <c r="Q1937" s="1">
        <v>92.07</v>
      </c>
      <c r="R1937" s="1">
        <v>3.2436774000000002</v>
      </c>
      <c r="S1937" s="1">
        <v>3.6719681999999998</v>
      </c>
      <c r="T1937" s="1">
        <v>-0.19710688000000001</v>
      </c>
      <c r="U1937" s="1">
        <v>0.96299999999999997</v>
      </c>
      <c r="V1937" s="1">
        <v>128</v>
      </c>
      <c r="W1937" s="1">
        <v>219</v>
      </c>
      <c r="X1937" s="1">
        <v>1.7109375</v>
      </c>
      <c r="Y1937" s="1">
        <v>128</v>
      </c>
      <c r="Z1937" s="1">
        <v>219</v>
      </c>
      <c r="AA1937" s="1">
        <v>1.7109375</v>
      </c>
      <c r="AB1937" s="1">
        <v>128.19189138404889</v>
      </c>
      <c r="AC1937" s="1">
        <v>219.0021442557468</v>
      </c>
      <c r="AD1937" s="1">
        <v>1.7083931120076881</v>
      </c>
      <c r="AE1937" t="s">
        <v>4817</v>
      </c>
      <c r="AF1937" t="str">
        <f>IF(X1937&lt;$AF$1,"Bajo","Alto")</f>
        <v>Bajo</v>
      </c>
      <c r="AG1937" t="str">
        <f>LEFT(AE1937,1)</f>
        <v>C</v>
      </c>
      <c r="AH1937" t="str">
        <f>K1937</f>
        <v>M</v>
      </c>
      <c r="AI1937" t="str">
        <f>LEFT(AF1937,1)</f>
        <v>B</v>
      </c>
      <c r="AJ1937" t="str">
        <f>LEFT(M1937,1)</f>
        <v>M</v>
      </c>
      <c r="AK1937" t="str">
        <f>_xlfn.CONCAT(AG1937,AH1937,AI1937,AJ1937)</f>
        <v>CMBM</v>
      </c>
    </row>
    <row r="1938" spans="1:37" ht="15.75" hidden="1" customHeight="1" x14ac:dyDescent="0.2">
      <c r="A1938" s="1">
        <v>292504</v>
      </c>
      <c r="B1938" s="1" t="s">
        <v>3890</v>
      </c>
      <c r="C1938" s="1" t="s">
        <v>1695</v>
      </c>
      <c r="D1938" s="1" t="s">
        <v>3979</v>
      </c>
      <c r="E1938" s="1" t="s">
        <v>821</v>
      </c>
      <c r="F1938" s="1" t="s">
        <v>61</v>
      </c>
      <c r="G1938" s="1" t="s">
        <v>3981</v>
      </c>
      <c r="H1938" s="1">
        <v>514</v>
      </c>
      <c r="I1938" s="1" t="s">
        <v>108</v>
      </c>
      <c r="J1938" s="1">
        <v>3</v>
      </c>
      <c r="K1938" s="1" t="s">
        <v>35</v>
      </c>
      <c r="L1938" s="1">
        <v>63</v>
      </c>
      <c r="M1938" s="1" t="str">
        <f>IF(L1938&lt;=45,"Joven","Mayor")</f>
        <v>Mayor</v>
      </c>
      <c r="N1938" s="1">
        <v>70</v>
      </c>
      <c r="O1938" s="1" t="s">
        <v>36</v>
      </c>
      <c r="P1938" s="1">
        <v>0.11</v>
      </c>
      <c r="Q1938" s="1">
        <v>90.688000000000002</v>
      </c>
      <c r="R1938" s="1">
        <v>5.4504023000000004</v>
      </c>
      <c r="S1938" s="1">
        <v>-1.8413565000000001</v>
      </c>
      <c r="T1938" s="1">
        <v>-6.3428319999999996</v>
      </c>
      <c r="U1938" s="1">
        <v>1.371</v>
      </c>
      <c r="V1938" s="1">
        <v>97</v>
      </c>
      <c r="W1938" s="1">
        <v>166</v>
      </c>
      <c r="X1938" s="1">
        <v>1.7113402061855669</v>
      </c>
      <c r="Y1938" s="1">
        <v>99</v>
      </c>
      <c r="Z1938" s="1">
        <v>166</v>
      </c>
      <c r="AA1938" s="1">
        <v>1.6767676767676767</v>
      </c>
      <c r="AB1938" s="1">
        <v>101.70914015801991</v>
      </c>
      <c r="AC1938" s="1">
        <v>165.64671898976891</v>
      </c>
      <c r="AD1938" s="1">
        <v>1.6286315933102247</v>
      </c>
      <c r="AE1938" t="s">
        <v>4817</v>
      </c>
      <c r="AF1938" t="str">
        <f>IF(X1938&lt;$AF$1,"Bajo","Alto")</f>
        <v>Bajo</v>
      </c>
      <c r="AG1938" t="str">
        <f>LEFT(AE1938,1)</f>
        <v>C</v>
      </c>
      <c r="AH1938" t="str">
        <f>K1938</f>
        <v>M</v>
      </c>
      <c r="AI1938" t="str">
        <f>LEFT(AF1938,1)</f>
        <v>B</v>
      </c>
      <c r="AJ1938" t="str">
        <f>LEFT(M1938,1)</f>
        <v>M</v>
      </c>
      <c r="AK1938" t="str">
        <f>_xlfn.CONCAT(AG1938,AH1938,AI1938,AJ1938)</f>
        <v>CMBM</v>
      </c>
    </row>
    <row r="1939" spans="1:37" ht="15.75" hidden="1" customHeight="1" x14ac:dyDescent="0.2">
      <c r="A1939" s="1">
        <v>1510303</v>
      </c>
      <c r="B1939" s="1" t="s">
        <v>2077</v>
      </c>
      <c r="C1939" s="1" t="s">
        <v>57</v>
      </c>
      <c r="D1939" s="1" t="s">
        <v>2099</v>
      </c>
      <c r="E1939" s="1" t="s">
        <v>81</v>
      </c>
      <c r="F1939" s="1" t="s">
        <v>63</v>
      </c>
      <c r="G1939" s="1" t="s">
        <v>2102</v>
      </c>
      <c r="H1939" s="1">
        <v>2047</v>
      </c>
      <c r="I1939" s="1" t="s">
        <v>134</v>
      </c>
      <c r="J1939" s="1">
        <v>8</v>
      </c>
      <c r="K1939" s="1" t="s">
        <v>49</v>
      </c>
      <c r="L1939" s="1">
        <v>45</v>
      </c>
      <c r="M1939" s="1" t="str">
        <f>IF(L1939&lt;=45,"Joven","Mayor")</f>
        <v>Joven</v>
      </c>
      <c r="N1939" s="1">
        <v>35</v>
      </c>
      <c r="O1939" s="1" t="s">
        <v>50</v>
      </c>
      <c r="P1939" s="1">
        <v>1.137</v>
      </c>
      <c r="Q1939" s="1">
        <v>87.442999999999998</v>
      </c>
      <c r="R1939" s="1">
        <v>6.0375857000000002</v>
      </c>
      <c r="S1939" s="1">
        <v>6.8424753999999997</v>
      </c>
      <c r="T1939" s="1">
        <v>-4.8707349999999998</v>
      </c>
      <c r="U1939" s="1">
        <v>80.128</v>
      </c>
      <c r="V1939" s="1">
        <v>91</v>
      </c>
      <c r="W1939" s="1">
        <v>168</v>
      </c>
      <c r="X1939" s="1">
        <v>1.8461538461538463</v>
      </c>
      <c r="Y1939" s="1">
        <v>98</v>
      </c>
      <c r="Z1939" s="1">
        <v>168</v>
      </c>
      <c r="AA1939" s="1">
        <v>1.7142857142857142</v>
      </c>
      <c r="AB1939" s="1">
        <v>95.426228770633998</v>
      </c>
      <c r="AC1939" s="1">
        <v>168.32730559496579</v>
      </c>
      <c r="AD1939" s="1">
        <v>1.7639521938937401</v>
      </c>
      <c r="AE1939" t="s">
        <v>4817</v>
      </c>
      <c r="AF1939" t="str">
        <f>IF(X1939&lt;$AF$1,"Bajo","Alto")</f>
        <v>Alto</v>
      </c>
      <c r="AG1939" t="str">
        <f>LEFT(AE1939,1)</f>
        <v>C</v>
      </c>
      <c r="AH1939" t="str">
        <f>K1939</f>
        <v>F</v>
      </c>
      <c r="AI1939" t="str">
        <f>LEFT(AF1939,1)</f>
        <v>A</v>
      </c>
      <c r="AJ1939" t="str">
        <f>LEFT(M1939,1)</f>
        <v>J</v>
      </c>
      <c r="AK1939" t="str">
        <f>_xlfn.CONCAT(AG1939,AH1939,AI1939,AJ1939)</f>
        <v>CFAJ</v>
      </c>
    </row>
    <row r="1940" spans="1:37" ht="15.75" hidden="1" customHeight="1" x14ac:dyDescent="0.2">
      <c r="A1940" s="1">
        <v>172708</v>
      </c>
      <c r="B1940" s="1" t="s">
        <v>2551</v>
      </c>
      <c r="C1940" s="1" t="s">
        <v>2552</v>
      </c>
      <c r="D1940" s="1" t="s">
        <v>2610</v>
      </c>
      <c r="E1940" s="1" t="s">
        <v>973</v>
      </c>
      <c r="F1940" s="1" t="s">
        <v>46</v>
      </c>
      <c r="G1940" s="1" t="s">
        <v>2612</v>
      </c>
      <c r="H1940" s="1">
        <v>419</v>
      </c>
      <c r="I1940" s="1" t="s">
        <v>91</v>
      </c>
      <c r="J1940" s="1">
        <v>6</v>
      </c>
      <c r="K1940" s="1" t="s">
        <v>35</v>
      </c>
      <c r="L1940" s="1">
        <v>39</v>
      </c>
      <c r="M1940" s="1" t="str">
        <f>IF(L1940&lt;=45,"Joven","Mayor")</f>
        <v>Joven</v>
      </c>
      <c r="N1940" s="1">
        <v>51</v>
      </c>
      <c r="O1940" s="1" t="s">
        <v>36</v>
      </c>
      <c r="P1940" s="1">
        <v>0.35199999999999998</v>
      </c>
      <c r="Q1940" s="1">
        <v>60.677999999999997</v>
      </c>
      <c r="R1940" s="1">
        <v>14.315201999999999</v>
      </c>
      <c r="S1940" s="1">
        <v>3.5622343999999999</v>
      </c>
      <c r="T1940" s="1">
        <v>-4.6352159999999998</v>
      </c>
      <c r="U1940" s="1">
        <v>6.4009999999999998</v>
      </c>
      <c r="V1940" s="1">
        <v>76</v>
      </c>
      <c r="W1940" s="1">
        <v>138</v>
      </c>
      <c r="X1940" s="1">
        <v>1.8157894736842106</v>
      </c>
      <c r="Y1940" s="1">
        <v>79</v>
      </c>
      <c r="Z1940" s="1">
        <v>138</v>
      </c>
      <c r="AA1940" s="1">
        <v>1.7468354430379747</v>
      </c>
      <c r="AB1940" s="1">
        <v>78.418215807459546</v>
      </c>
      <c r="AC1940" s="1">
        <v>137.79109149347369</v>
      </c>
      <c r="AD1940" s="1">
        <v>1.7571311725810304</v>
      </c>
      <c r="AE1940" t="s">
        <v>4815</v>
      </c>
      <c r="AF1940" t="str">
        <f>IF(X1940&lt;$AF$1,"Bajo","Alto")</f>
        <v>Alto</v>
      </c>
      <c r="AG1940" t="str">
        <f>LEFT(AE1940,1)</f>
        <v>I</v>
      </c>
      <c r="AH1940" t="str">
        <f>K1940</f>
        <v>M</v>
      </c>
      <c r="AI1940" t="str">
        <f>LEFT(AF1940,1)</f>
        <v>A</v>
      </c>
      <c r="AJ1940" t="str">
        <f>LEFT(M1940,1)</f>
        <v>J</v>
      </c>
      <c r="AK1940" t="str">
        <f>_xlfn.CONCAT(AG1940,AH1940,AI1940,AJ1940)</f>
        <v>IMAJ</v>
      </c>
    </row>
    <row r="1941" spans="1:37" ht="15.75" hidden="1" customHeight="1" x14ac:dyDescent="0.2">
      <c r="A1941" s="1">
        <v>1030701</v>
      </c>
      <c r="B1941" s="1" t="s">
        <v>783</v>
      </c>
      <c r="C1941" s="1" t="s">
        <v>81</v>
      </c>
      <c r="D1941" s="1" t="s">
        <v>792</v>
      </c>
      <c r="E1941" s="1" t="s">
        <v>43</v>
      </c>
      <c r="F1941" s="1" t="s">
        <v>32</v>
      </c>
      <c r="G1941" s="1" t="s">
        <v>793</v>
      </c>
      <c r="H1941" s="1">
        <v>7222</v>
      </c>
      <c r="I1941" s="1" t="s">
        <v>100</v>
      </c>
      <c r="J1941" s="1">
        <v>1</v>
      </c>
      <c r="K1941" s="1" t="s">
        <v>35</v>
      </c>
      <c r="L1941" s="1">
        <v>42</v>
      </c>
      <c r="M1941" s="1" t="str">
        <f>IF(L1941&lt;=45,"Joven","Mayor")</f>
        <v>Joven</v>
      </c>
      <c r="N1941" s="1">
        <v>41</v>
      </c>
      <c r="O1941" s="1" t="s">
        <v>36</v>
      </c>
      <c r="P1941" s="1">
        <v>0.51100000000000001</v>
      </c>
      <c r="Q1941" s="1">
        <v>89.528999999999996</v>
      </c>
      <c r="R1941" s="1">
        <v>5.5246963999999998</v>
      </c>
      <c r="S1941" s="1">
        <v>4.5913734000000002</v>
      </c>
      <c r="T1941" s="1">
        <v>2.9971619999999999</v>
      </c>
      <c r="U1941" s="1">
        <v>0.92100000000000004</v>
      </c>
      <c r="V1941" s="1">
        <v>91</v>
      </c>
      <c r="W1941" s="1">
        <v>157</v>
      </c>
      <c r="X1941" s="1">
        <v>1.7252747252747254</v>
      </c>
      <c r="Y1941" s="1">
        <v>94</v>
      </c>
      <c r="Z1941" s="1">
        <v>157</v>
      </c>
      <c r="AA1941" s="1">
        <v>1.6702127659574468</v>
      </c>
      <c r="AB1941" s="1">
        <v>93.542134525490383</v>
      </c>
      <c r="AC1941" s="1">
        <v>157.30810867577571</v>
      </c>
      <c r="AD1941" s="1">
        <v>1.6816818375350309</v>
      </c>
      <c r="AE1941" t="s">
        <v>4817</v>
      </c>
      <c r="AF1941" t="str">
        <f>IF(X1941&lt;$AF$1,"Bajo","Alto")</f>
        <v>Bajo</v>
      </c>
      <c r="AG1941" t="str">
        <f>LEFT(AE1941,1)</f>
        <v>C</v>
      </c>
      <c r="AH1941" t="str">
        <f>K1941</f>
        <v>M</v>
      </c>
      <c r="AI1941" t="str">
        <f>LEFT(AF1941,1)</f>
        <v>B</v>
      </c>
      <c r="AJ1941" t="str">
        <f>LEFT(M1941,1)</f>
        <v>J</v>
      </c>
      <c r="AK1941" t="str">
        <f>_xlfn.CONCAT(AG1941,AH1941,AI1941,AJ1941)</f>
        <v>CMBJ</v>
      </c>
    </row>
    <row r="1942" spans="1:37" ht="15.75" hidden="1" customHeight="1" x14ac:dyDescent="0.2">
      <c r="A1942" s="1">
        <v>1527103</v>
      </c>
      <c r="B1942" s="1" t="s">
        <v>2077</v>
      </c>
      <c r="C1942" s="1" t="s">
        <v>57</v>
      </c>
      <c r="D1942" s="1" t="s">
        <v>2328</v>
      </c>
      <c r="E1942" s="1" t="s">
        <v>546</v>
      </c>
      <c r="F1942" s="1" t="s">
        <v>63</v>
      </c>
      <c r="G1942" s="1" t="s">
        <v>2331</v>
      </c>
      <c r="H1942" s="1">
        <v>1535</v>
      </c>
      <c r="I1942" s="1" t="s">
        <v>42</v>
      </c>
      <c r="J1942" s="1">
        <v>15</v>
      </c>
      <c r="K1942" s="1" t="s">
        <v>49</v>
      </c>
      <c r="L1942" s="1">
        <v>40</v>
      </c>
      <c r="M1942" s="1" t="str">
        <f>IF(L1942&lt;=45,"Joven","Mayor")</f>
        <v>Joven</v>
      </c>
      <c r="N1942" s="1">
        <v>43</v>
      </c>
      <c r="O1942" s="1" t="s">
        <v>50</v>
      </c>
      <c r="P1942" s="1">
        <v>0.36099999999999999</v>
      </c>
      <c r="Q1942" s="1">
        <v>78.206000000000003</v>
      </c>
      <c r="R1942" s="1">
        <v>10.004357000000001</v>
      </c>
      <c r="S1942" s="1">
        <v>7.2002350000000002</v>
      </c>
      <c r="T1942" s="1">
        <v>-12.850227</v>
      </c>
      <c r="U1942" s="1">
        <v>5.4409999999999998</v>
      </c>
      <c r="V1942" s="1">
        <v>66</v>
      </c>
      <c r="W1942" s="1">
        <v>114</v>
      </c>
      <c r="X1942" s="1">
        <v>1.7272727272727273</v>
      </c>
      <c r="Y1942" s="1">
        <v>78</v>
      </c>
      <c r="Z1942" s="1">
        <v>114</v>
      </c>
      <c r="AA1942" s="1">
        <v>1.4615384615384615</v>
      </c>
      <c r="AB1942" s="1">
        <v>73.910354376638452</v>
      </c>
      <c r="AC1942" s="1">
        <v>115.8153114738052</v>
      </c>
      <c r="AD1942" s="1">
        <v>1.5669700470332482</v>
      </c>
      <c r="AE1942" t="s">
        <v>4817</v>
      </c>
      <c r="AF1942" t="str">
        <f>IF(X1942&lt;$AF$1,"Bajo","Alto")</f>
        <v>Bajo</v>
      </c>
      <c r="AG1942" t="str">
        <f>LEFT(AE1942,1)</f>
        <v>C</v>
      </c>
      <c r="AH1942" t="str">
        <f>K1942</f>
        <v>F</v>
      </c>
      <c r="AI1942" t="str">
        <f>LEFT(AF1942,1)</f>
        <v>B</v>
      </c>
      <c r="AJ1942" t="str">
        <f>LEFT(M1942,1)</f>
        <v>J</v>
      </c>
      <c r="AK1942" t="str">
        <f>_xlfn.CONCAT(AG1942,AH1942,AI1942,AJ1942)</f>
        <v>CFBJ</v>
      </c>
    </row>
    <row r="1943" spans="1:37" ht="15.75" hidden="1" customHeight="1" x14ac:dyDescent="0.2">
      <c r="A1943" s="1">
        <v>157603</v>
      </c>
      <c r="B1943" s="1" t="s">
        <v>2077</v>
      </c>
      <c r="C1943" s="1" t="s">
        <v>57</v>
      </c>
      <c r="D1943" s="1" t="s">
        <v>2513</v>
      </c>
      <c r="E1943" s="1" t="s">
        <v>727</v>
      </c>
      <c r="F1943" s="1" t="s">
        <v>63</v>
      </c>
      <c r="G1943" s="1" t="s">
        <v>2515</v>
      </c>
      <c r="H1943" s="1">
        <v>4037</v>
      </c>
      <c r="I1943" s="1" t="s">
        <v>294</v>
      </c>
      <c r="J1943" s="1">
        <v>16</v>
      </c>
      <c r="K1943" s="1" t="s">
        <v>35</v>
      </c>
      <c r="L1943" s="1">
        <v>39</v>
      </c>
      <c r="M1943" s="1" t="str">
        <f>IF(L1943&lt;=45,"Joven","Mayor")</f>
        <v>Joven</v>
      </c>
      <c r="N1943" s="1">
        <v>48</v>
      </c>
      <c r="O1943" s="1" t="s">
        <v>36</v>
      </c>
      <c r="P1943" s="1">
        <v>0.27600000000000002</v>
      </c>
      <c r="Q1943" s="1">
        <v>89.385000000000005</v>
      </c>
      <c r="R1943" s="1">
        <v>-1.9013709999999999</v>
      </c>
      <c r="S1943" s="1">
        <v>11.971943</v>
      </c>
      <c r="T1943" s="1">
        <v>-0.18020356000000001</v>
      </c>
      <c r="U1943" s="1">
        <v>16.234000000000002</v>
      </c>
      <c r="V1943" s="1">
        <v>86</v>
      </c>
      <c r="W1943" s="1">
        <v>157</v>
      </c>
      <c r="X1943" s="1">
        <v>1.8255813953488371</v>
      </c>
      <c r="Y1943" s="1">
        <v>87</v>
      </c>
      <c r="Z1943" s="1">
        <v>157</v>
      </c>
      <c r="AA1943" s="1">
        <v>1.8045977011494252</v>
      </c>
      <c r="AB1943" s="1">
        <v>87.14739129321606</v>
      </c>
      <c r="AC1943" s="1">
        <v>157.02438460544411</v>
      </c>
      <c r="AD1943" s="1">
        <v>1.8018254164042611</v>
      </c>
      <c r="AE1943" t="s">
        <v>4817</v>
      </c>
      <c r="AF1943" t="str">
        <f>IF(X1943&lt;$AF$1,"Bajo","Alto")</f>
        <v>Alto</v>
      </c>
      <c r="AG1943" t="str">
        <f>LEFT(AE1943,1)</f>
        <v>C</v>
      </c>
      <c r="AH1943" t="str">
        <f>K1943</f>
        <v>M</v>
      </c>
      <c r="AI1943" t="str">
        <f>LEFT(AF1943,1)</f>
        <v>A</v>
      </c>
      <c r="AJ1943" t="str">
        <f>LEFT(M1943,1)</f>
        <v>J</v>
      </c>
      <c r="AK1943" t="str">
        <f>_xlfn.CONCAT(AG1943,AH1943,AI1943,AJ1943)</f>
        <v>CMAJ</v>
      </c>
    </row>
    <row r="1944" spans="1:37" ht="15.75" hidden="1" customHeight="1" x14ac:dyDescent="0.2">
      <c r="A1944" s="1">
        <v>319706</v>
      </c>
      <c r="B1944" s="1" t="s">
        <v>4122</v>
      </c>
      <c r="C1944" s="1" t="s">
        <v>628</v>
      </c>
      <c r="D1944" s="1" t="s">
        <v>4281</v>
      </c>
      <c r="E1944" s="1" t="s">
        <v>781</v>
      </c>
      <c r="F1944" s="1" t="s">
        <v>88</v>
      </c>
      <c r="G1944" s="1" t="s">
        <v>4286</v>
      </c>
      <c r="H1944" s="1">
        <v>2580</v>
      </c>
      <c r="I1944" s="1" t="s">
        <v>134</v>
      </c>
      <c r="J1944" s="1">
        <v>8</v>
      </c>
      <c r="K1944" s="1" t="s">
        <v>35</v>
      </c>
      <c r="L1944" s="1">
        <v>38</v>
      </c>
      <c r="M1944" s="1" t="str">
        <f>IF(L1944&lt;=45,"Joven","Mayor")</f>
        <v>Joven</v>
      </c>
      <c r="N1944" s="1">
        <v>26</v>
      </c>
      <c r="O1944" s="1" t="s">
        <v>36</v>
      </c>
      <c r="P1944" s="1">
        <v>0.35799999999999998</v>
      </c>
      <c r="Q1944" s="1">
        <v>93.343999999999994</v>
      </c>
      <c r="R1944" s="1">
        <v>2.1689989999999999</v>
      </c>
      <c r="S1944" s="1">
        <v>2.6517149999999998</v>
      </c>
      <c r="T1944" s="1">
        <v>-5.5879289999999999</v>
      </c>
      <c r="U1944" s="1">
        <v>18.640999999999998</v>
      </c>
      <c r="V1944" s="1">
        <v>80</v>
      </c>
      <c r="W1944" s="1">
        <v>146</v>
      </c>
      <c r="X1944" s="1">
        <v>1.825</v>
      </c>
      <c r="Y1944" s="1">
        <v>82</v>
      </c>
      <c r="Z1944" s="1">
        <v>146</v>
      </c>
      <c r="AA1944" s="1">
        <v>1.7804878048780488</v>
      </c>
      <c r="AB1944" s="1">
        <v>83.806883571224034</v>
      </c>
      <c r="AC1944" s="1">
        <v>145.59831840693599</v>
      </c>
      <c r="AD1944" s="1">
        <v>1.7373073929326812</v>
      </c>
      <c r="AE1944" t="s">
        <v>4817</v>
      </c>
      <c r="AF1944" t="str">
        <f>IF(X1944&lt;$AF$1,"Bajo","Alto")</f>
        <v>Alto</v>
      </c>
      <c r="AG1944" t="str">
        <f>LEFT(AE1944,1)</f>
        <v>C</v>
      </c>
      <c r="AH1944" t="str">
        <f>K1944</f>
        <v>M</v>
      </c>
      <c r="AI1944" t="str">
        <f>LEFT(AF1944,1)</f>
        <v>A</v>
      </c>
      <c r="AJ1944" t="str">
        <f>LEFT(M1944,1)</f>
        <v>J</v>
      </c>
      <c r="AK1944" t="str">
        <f>_xlfn.CONCAT(AG1944,AH1944,AI1944,AJ1944)</f>
        <v>CMAJ</v>
      </c>
    </row>
    <row r="1945" spans="1:37" ht="15.75" hidden="1" customHeight="1" x14ac:dyDescent="0.2">
      <c r="A1945" s="1">
        <v>10116603</v>
      </c>
      <c r="B1945" s="1" t="s">
        <v>29</v>
      </c>
      <c r="C1945" s="1" t="s">
        <v>30</v>
      </c>
      <c r="D1945" s="1" t="s">
        <v>264</v>
      </c>
      <c r="E1945" s="1" t="s">
        <v>265</v>
      </c>
      <c r="F1945" s="1" t="s">
        <v>63</v>
      </c>
      <c r="G1945" s="1" t="s">
        <v>268</v>
      </c>
      <c r="H1945" s="1">
        <v>4491</v>
      </c>
      <c r="I1945" s="1" t="s">
        <v>134</v>
      </c>
      <c r="J1945" s="1">
        <v>8</v>
      </c>
      <c r="K1945" s="1" t="s">
        <v>35</v>
      </c>
      <c r="L1945" s="1">
        <v>41</v>
      </c>
      <c r="M1945" s="1" t="str">
        <f>IF(L1945&lt;=45,"Joven","Mayor")</f>
        <v>Joven</v>
      </c>
      <c r="N1945" s="1">
        <v>46</v>
      </c>
      <c r="O1945" s="1" t="s">
        <v>36</v>
      </c>
      <c r="P1945" s="1">
        <v>0.40699999999999997</v>
      </c>
      <c r="Q1945" s="1">
        <v>90.608999999999995</v>
      </c>
      <c r="R1945" s="1">
        <v>3.7302425000000001</v>
      </c>
      <c r="S1945" s="1">
        <v>6.9975414000000002</v>
      </c>
      <c r="T1945" s="1">
        <v>9.1070323999999994E-2</v>
      </c>
      <c r="U1945" s="1">
        <v>35.65</v>
      </c>
      <c r="V1945" s="1">
        <v>113</v>
      </c>
      <c r="W1945" s="1">
        <v>195</v>
      </c>
      <c r="X1945" s="1">
        <v>1.7256637168141593</v>
      </c>
      <c r="Y1945" s="1">
        <v>117</v>
      </c>
      <c r="Z1945" s="1">
        <v>195</v>
      </c>
      <c r="AA1945" s="1">
        <v>1.6666666666666667</v>
      </c>
      <c r="AB1945" s="1">
        <v>116.9251468156954</v>
      </c>
      <c r="AC1945" s="1">
        <v>195.01405895944839</v>
      </c>
      <c r="AD1945" s="1">
        <v>1.6678538729298458</v>
      </c>
      <c r="AE1945" t="s">
        <v>4817</v>
      </c>
      <c r="AF1945" t="str">
        <f>IF(X1945&lt;$AF$1,"Bajo","Alto")</f>
        <v>Bajo</v>
      </c>
      <c r="AG1945" t="str">
        <f>LEFT(AE1945,1)</f>
        <v>C</v>
      </c>
      <c r="AH1945" t="str">
        <f>K1945</f>
        <v>M</v>
      </c>
      <c r="AI1945" t="str">
        <f>LEFT(AF1945,1)</f>
        <v>B</v>
      </c>
      <c r="AJ1945" t="str">
        <f>LEFT(M1945,1)</f>
        <v>J</v>
      </c>
      <c r="AK1945" t="str">
        <f>_xlfn.CONCAT(AG1945,AH1945,AI1945,AJ1945)</f>
        <v>CMBJ</v>
      </c>
    </row>
    <row r="1946" spans="1:37" ht="15.75" hidden="1" customHeight="1" x14ac:dyDescent="0.2">
      <c r="A1946" s="1">
        <v>10910604</v>
      </c>
      <c r="B1946" s="1" t="s">
        <v>719</v>
      </c>
      <c r="C1946" s="1" t="s">
        <v>98</v>
      </c>
      <c r="D1946" s="1" t="s">
        <v>1548</v>
      </c>
      <c r="E1946" s="1" t="s">
        <v>95</v>
      </c>
      <c r="F1946" s="1" t="s">
        <v>61</v>
      </c>
      <c r="G1946" s="1" t="s">
        <v>1549</v>
      </c>
      <c r="H1946" s="1">
        <v>44</v>
      </c>
      <c r="I1946" s="1" t="s">
        <v>65</v>
      </c>
      <c r="J1946" s="1">
        <v>2</v>
      </c>
      <c r="K1946" s="1" t="s">
        <v>35</v>
      </c>
      <c r="L1946" s="1">
        <v>66</v>
      </c>
      <c r="M1946" s="1" t="str">
        <f>IF(L1946&lt;=45,"Joven","Mayor")</f>
        <v>Mayor</v>
      </c>
      <c r="N1946" s="1">
        <v>69</v>
      </c>
      <c r="O1946" s="1" t="s">
        <v>36</v>
      </c>
      <c r="P1946" s="1">
        <v>0.76700000000000002</v>
      </c>
      <c r="Q1946" s="1">
        <v>93.522000000000006</v>
      </c>
      <c r="R1946" s="1">
        <v>-2.2873483000000001</v>
      </c>
      <c r="S1946" s="1">
        <v>-0.90436316000000005</v>
      </c>
      <c r="T1946" s="1">
        <v>-2.6844809999999999</v>
      </c>
      <c r="U1946" s="1">
        <v>0.40799999999999997</v>
      </c>
      <c r="V1946" s="1">
        <v>87</v>
      </c>
      <c r="W1946" s="1">
        <v>149</v>
      </c>
      <c r="X1946" s="1">
        <v>1.7126436781609196</v>
      </c>
      <c r="Y1946" s="1">
        <v>88</v>
      </c>
      <c r="Z1946" s="1">
        <v>149</v>
      </c>
      <c r="AA1946" s="1">
        <v>1.6931818181818181</v>
      </c>
      <c r="AB1946" s="1">
        <v>89.870536041760261</v>
      </c>
      <c r="AC1946" s="1">
        <v>148.83648702198431</v>
      </c>
      <c r="AD1946" s="1">
        <v>1.6561210556574879</v>
      </c>
      <c r="AE1946" t="s">
        <v>4817</v>
      </c>
      <c r="AF1946" t="str">
        <f>IF(X1946&lt;$AF$1,"Bajo","Alto")</f>
        <v>Bajo</v>
      </c>
      <c r="AG1946" t="str">
        <f>LEFT(AE1946,1)</f>
        <v>C</v>
      </c>
      <c r="AH1946" t="str">
        <f>K1946</f>
        <v>M</v>
      </c>
      <c r="AI1946" t="str">
        <f>LEFT(AF1946,1)</f>
        <v>B</v>
      </c>
      <c r="AJ1946" t="str">
        <f>LEFT(M1946,1)</f>
        <v>M</v>
      </c>
      <c r="AK1946" t="str">
        <f>_xlfn.CONCAT(AG1946,AH1946,AI1946,AJ1946)</f>
        <v>CMBM</v>
      </c>
    </row>
    <row r="1947" spans="1:37" ht="15.75" hidden="1" customHeight="1" x14ac:dyDescent="0.2">
      <c r="A1947" s="1">
        <v>10115007</v>
      </c>
      <c r="B1947" s="1" t="s">
        <v>29</v>
      </c>
      <c r="C1947" s="1" t="s">
        <v>30</v>
      </c>
      <c r="D1947" s="1" t="s">
        <v>204</v>
      </c>
      <c r="E1947" s="1" t="s">
        <v>205</v>
      </c>
      <c r="F1947" s="1" t="s">
        <v>43</v>
      </c>
      <c r="G1947" s="1" t="s">
        <v>212</v>
      </c>
      <c r="H1947" s="1">
        <v>1390</v>
      </c>
      <c r="I1947" s="1" t="s">
        <v>213</v>
      </c>
      <c r="J1947" s="1">
        <v>3149</v>
      </c>
      <c r="K1947" s="1" t="s">
        <v>49</v>
      </c>
      <c r="L1947" s="1">
        <v>34</v>
      </c>
      <c r="M1947" s="1" t="str">
        <f>IF(L1947&lt;=45,"Joven","Mayor")</f>
        <v>Joven</v>
      </c>
      <c r="N1947" s="1">
        <v>31</v>
      </c>
      <c r="O1947" s="1" t="s">
        <v>50</v>
      </c>
      <c r="P1947" s="1">
        <v>1.1060000000000001</v>
      </c>
      <c r="Q1947" s="1">
        <v>85.984999999999999</v>
      </c>
      <c r="R1947" s="1">
        <v>6.436267</v>
      </c>
      <c r="S1947" s="1">
        <v>8.1020289999999999</v>
      </c>
      <c r="T1947" s="1">
        <v>-5.2837505</v>
      </c>
      <c r="U1947" s="1">
        <v>1.2729999999999999</v>
      </c>
      <c r="V1947" s="1">
        <v>104</v>
      </c>
      <c r="W1947" s="1">
        <v>180</v>
      </c>
      <c r="X1947" s="1">
        <v>1.7307692307692308</v>
      </c>
      <c r="Y1947" s="1">
        <v>111</v>
      </c>
      <c r="Z1947" s="1">
        <v>180</v>
      </c>
      <c r="AA1947" s="1">
        <v>1.6216216216216217</v>
      </c>
      <c r="AB1947" s="1">
        <v>108.6229393245785</v>
      </c>
      <c r="AC1947" s="1">
        <v>180.1560358095239</v>
      </c>
      <c r="AD1947" s="1">
        <v>1.6585450267663615</v>
      </c>
      <c r="AE1947" t="s">
        <v>4817</v>
      </c>
      <c r="AF1947" t="str">
        <f>IF(X1947&lt;$AF$1,"Bajo","Alto")</f>
        <v>Bajo</v>
      </c>
      <c r="AG1947" t="str">
        <f>LEFT(AE1947,1)</f>
        <v>C</v>
      </c>
      <c r="AH1947" t="str">
        <f>K1947</f>
        <v>F</v>
      </c>
      <c r="AI1947" t="str">
        <f>LEFT(AF1947,1)</f>
        <v>B</v>
      </c>
      <c r="AJ1947" t="str">
        <f>LEFT(M1947,1)</f>
        <v>J</v>
      </c>
      <c r="AK1947" t="str">
        <f>_xlfn.CONCAT(AG1947,AH1947,AI1947,AJ1947)</f>
        <v>CFBJ</v>
      </c>
    </row>
    <row r="1948" spans="1:37" ht="15.75" hidden="1" customHeight="1" x14ac:dyDescent="0.2">
      <c r="A1948" s="1">
        <v>256701</v>
      </c>
      <c r="B1948" s="1" t="s">
        <v>3169</v>
      </c>
      <c r="C1948" s="1" t="s">
        <v>821</v>
      </c>
      <c r="D1948" s="1" t="s">
        <v>3301</v>
      </c>
      <c r="E1948" s="1" t="s">
        <v>715</v>
      </c>
      <c r="F1948" s="1" t="s">
        <v>32</v>
      </c>
      <c r="G1948" s="1" t="s">
        <v>3302</v>
      </c>
      <c r="H1948" s="1">
        <v>135</v>
      </c>
      <c r="I1948" s="1" t="s">
        <v>39</v>
      </c>
      <c r="J1948" s="1">
        <v>11</v>
      </c>
      <c r="K1948" s="1" t="s">
        <v>35</v>
      </c>
      <c r="L1948" s="1">
        <v>58</v>
      </c>
      <c r="M1948" s="1" t="str">
        <f>IF(L1948&lt;=45,"Joven","Mayor")</f>
        <v>Mayor</v>
      </c>
      <c r="N1948" s="1">
        <v>51</v>
      </c>
      <c r="O1948" s="1" t="s">
        <v>36</v>
      </c>
      <c r="P1948" s="1">
        <v>0.36099999999999999</v>
      </c>
      <c r="Q1948" s="1">
        <v>90.063000000000002</v>
      </c>
      <c r="R1948" s="1">
        <v>4.6644170000000003</v>
      </c>
      <c r="S1948" s="1">
        <v>-5.9877200000000004</v>
      </c>
      <c r="T1948" s="1">
        <v>-4.7544560000000002</v>
      </c>
      <c r="U1948" s="1">
        <v>0.58199999999999996</v>
      </c>
      <c r="V1948" s="1">
        <v>107</v>
      </c>
      <c r="W1948" s="1">
        <v>184</v>
      </c>
      <c r="X1948" s="1">
        <v>1.719626168224299</v>
      </c>
      <c r="Y1948" s="1">
        <v>114</v>
      </c>
      <c r="Z1948" s="1">
        <v>184</v>
      </c>
      <c r="AA1948" s="1">
        <v>1.6140350877192982</v>
      </c>
      <c r="AB1948" s="1">
        <v>110.9418763741528</v>
      </c>
      <c r="AC1948" s="1">
        <v>184.27860974986061</v>
      </c>
      <c r="AD1948" s="1">
        <v>1.6610374348490267</v>
      </c>
      <c r="AE1948" t="s">
        <v>4816</v>
      </c>
      <c r="AF1948" t="str">
        <f>IF(X1948&lt;$AF$1,"Bajo","Alto")</f>
        <v>Bajo</v>
      </c>
      <c r="AG1948" t="str">
        <f>LEFT(AE1948,1)</f>
        <v>D</v>
      </c>
      <c r="AH1948" t="str">
        <f>K1948</f>
        <v>M</v>
      </c>
      <c r="AI1948" t="str">
        <f>LEFT(AF1948,1)</f>
        <v>B</v>
      </c>
      <c r="AJ1948" t="str">
        <f>LEFT(M1948,1)</f>
        <v>M</v>
      </c>
      <c r="AK1948" t="str">
        <f>_xlfn.CONCAT(AG1948,AH1948,AI1948,AJ1948)</f>
        <v>DMBM</v>
      </c>
    </row>
    <row r="1949" spans="1:37" ht="15.75" hidden="1" customHeight="1" x14ac:dyDescent="0.2">
      <c r="A1949" s="1">
        <v>155504</v>
      </c>
      <c r="B1949" s="1" t="s">
        <v>2077</v>
      </c>
      <c r="C1949" s="1" t="s">
        <v>57</v>
      </c>
      <c r="D1949" s="1" t="s">
        <v>2476</v>
      </c>
      <c r="E1949" s="1" t="s">
        <v>690</v>
      </c>
      <c r="F1949" s="1" t="s">
        <v>61</v>
      </c>
      <c r="G1949" s="1" t="s">
        <v>2478</v>
      </c>
      <c r="H1949" s="1">
        <v>979</v>
      </c>
      <c r="I1949" s="1" t="s">
        <v>294</v>
      </c>
      <c r="J1949" s="1">
        <v>16</v>
      </c>
      <c r="K1949" s="1" t="s">
        <v>49</v>
      </c>
      <c r="L1949" s="1">
        <v>48</v>
      </c>
      <c r="M1949" s="1" t="str">
        <f>IF(L1949&lt;=45,"Joven","Mayor")</f>
        <v>Mayor</v>
      </c>
      <c r="N1949" s="1">
        <v>51</v>
      </c>
      <c r="O1949" s="1" t="s">
        <v>50</v>
      </c>
      <c r="P1949" s="1">
        <v>0.27300000000000002</v>
      </c>
      <c r="Q1949" s="1">
        <v>92.341999999999999</v>
      </c>
      <c r="R1949" s="1">
        <v>-3.7797624999999999</v>
      </c>
      <c r="S1949" s="1">
        <v>1.8442125</v>
      </c>
      <c r="T1949" s="1">
        <v>6.2165800000000004</v>
      </c>
      <c r="U1949" s="1">
        <v>71.468000000000004</v>
      </c>
      <c r="V1949" s="1">
        <v>83</v>
      </c>
      <c r="W1949" s="1">
        <v>151</v>
      </c>
      <c r="X1949" s="1">
        <v>1.8192771084337349</v>
      </c>
      <c r="Y1949" s="1">
        <v>91</v>
      </c>
      <c r="Z1949" s="1">
        <v>151</v>
      </c>
      <c r="AA1949" s="1">
        <v>1.6593406593406594</v>
      </c>
      <c r="AB1949" s="1">
        <v>87.168275078295665</v>
      </c>
      <c r="AC1949" s="1">
        <v>151.411514576082</v>
      </c>
      <c r="AD1949" s="1">
        <v>1.7370025326310774</v>
      </c>
      <c r="AE1949" t="s">
        <v>4817</v>
      </c>
      <c r="AF1949" t="str">
        <f>IF(X1949&lt;$AF$1,"Bajo","Alto")</f>
        <v>Alto</v>
      </c>
      <c r="AG1949" t="str">
        <f>LEFT(AE1949,1)</f>
        <v>C</v>
      </c>
      <c r="AH1949" t="str">
        <f>K1949</f>
        <v>F</v>
      </c>
      <c r="AI1949" t="str">
        <f>LEFT(AF1949,1)</f>
        <v>A</v>
      </c>
      <c r="AJ1949" t="str">
        <f>LEFT(M1949,1)</f>
        <v>M</v>
      </c>
      <c r="AK1949" t="str">
        <f>_xlfn.CONCAT(AG1949,AH1949,AI1949,AJ1949)</f>
        <v>CFAM</v>
      </c>
    </row>
    <row r="1950" spans="1:37" ht="15.75" hidden="1" customHeight="1" x14ac:dyDescent="0.2">
      <c r="A1950" s="1">
        <v>10130001</v>
      </c>
      <c r="B1950" s="1" t="s">
        <v>29</v>
      </c>
      <c r="C1950" s="1" t="s">
        <v>30</v>
      </c>
      <c r="D1950" s="1" t="s">
        <v>612</v>
      </c>
      <c r="E1950" s="1" t="s">
        <v>613</v>
      </c>
      <c r="F1950" s="1" t="s">
        <v>32</v>
      </c>
      <c r="G1950" s="1" t="s">
        <v>614</v>
      </c>
      <c r="H1950" s="1">
        <v>1492</v>
      </c>
      <c r="I1950" s="1" t="s">
        <v>100</v>
      </c>
      <c r="J1950" s="1">
        <v>1</v>
      </c>
      <c r="K1950" s="1" t="s">
        <v>49</v>
      </c>
      <c r="L1950" s="1">
        <v>38</v>
      </c>
      <c r="M1950" s="1" t="str">
        <f>IF(L1950&lt;=45,"Joven","Mayor")</f>
        <v>Joven</v>
      </c>
      <c r="N1950" s="1">
        <v>37</v>
      </c>
      <c r="O1950" s="1" t="s">
        <v>50</v>
      </c>
      <c r="P1950" s="1">
        <v>0.58199999999999996</v>
      </c>
      <c r="Q1950" s="1">
        <v>93.647999999999996</v>
      </c>
      <c r="R1950" s="1">
        <v>1.6896445</v>
      </c>
      <c r="S1950" s="1">
        <v>2.3651843000000001</v>
      </c>
      <c r="T1950" s="1">
        <v>-7.7212094999999996</v>
      </c>
      <c r="U1950" s="1">
        <v>2.1389999999999998</v>
      </c>
      <c r="V1950" s="1">
        <v>97</v>
      </c>
      <c r="W1950" s="1">
        <v>179</v>
      </c>
      <c r="X1950" s="1">
        <v>1.8453608247422681</v>
      </c>
      <c r="Y1950" s="1">
        <v>109</v>
      </c>
      <c r="Z1950" s="1">
        <v>179</v>
      </c>
      <c r="AA1950" s="1">
        <v>1.6422018348623852</v>
      </c>
      <c r="AB1950" s="1">
        <v>103.77867454007951</v>
      </c>
      <c r="AC1950" s="1">
        <v>179.52675070341499</v>
      </c>
      <c r="AD1950" s="1">
        <v>1.7299002082945416</v>
      </c>
      <c r="AE1950" t="s">
        <v>4817</v>
      </c>
      <c r="AF1950" t="str">
        <f>IF(X1950&lt;$AF$1,"Bajo","Alto")</f>
        <v>Alto</v>
      </c>
      <c r="AG1950" t="str">
        <f>LEFT(AE1950,1)</f>
        <v>C</v>
      </c>
      <c r="AH1950" t="str">
        <f>K1950</f>
        <v>F</v>
      </c>
      <c r="AI1950" t="str">
        <f>LEFT(AF1950,1)</f>
        <v>A</v>
      </c>
      <c r="AJ1950" t="str">
        <f>LEFT(M1950,1)</f>
        <v>J</v>
      </c>
      <c r="AK1950" t="str">
        <f>_xlfn.CONCAT(AG1950,AH1950,AI1950,AJ1950)</f>
        <v>CFAJ</v>
      </c>
    </row>
    <row r="1951" spans="1:37" ht="15.75" hidden="1" customHeight="1" x14ac:dyDescent="0.2">
      <c r="A1951" s="1">
        <v>1053706</v>
      </c>
      <c r="B1951" s="1" t="s">
        <v>694</v>
      </c>
      <c r="C1951" s="1" t="s">
        <v>879</v>
      </c>
      <c r="D1951" s="1" t="s">
        <v>982</v>
      </c>
      <c r="E1951" s="1" t="s">
        <v>647</v>
      </c>
      <c r="F1951" s="1" t="s">
        <v>88</v>
      </c>
      <c r="G1951" s="1" t="s">
        <v>984</v>
      </c>
      <c r="H1951" s="1">
        <v>48</v>
      </c>
      <c r="I1951" s="1" t="s">
        <v>48</v>
      </c>
      <c r="J1951" s="1">
        <v>4</v>
      </c>
      <c r="K1951" s="1" t="s">
        <v>35</v>
      </c>
      <c r="L1951" s="1">
        <v>30</v>
      </c>
      <c r="M1951" s="1" t="str">
        <f>IF(L1951&lt;=45,"Joven","Mayor")</f>
        <v>Joven</v>
      </c>
      <c r="N1951" s="1">
        <v>32</v>
      </c>
      <c r="O1951" s="1" t="s">
        <v>36</v>
      </c>
      <c r="P1951" s="1">
        <v>0.35399999999999998</v>
      </c>
      <c r="Q1951" s="1">
        <v>91.436999999999998</v>
      </c>
      <c r="R1951" s="1">
        <v>4.0341120000000004</v>
      </c>
      <c r="S1951" s="1">
        <v>4.1599159999999999</v>
      </c>
      <c r="T1951" s="1">
        <v>-3.4677576999999999</v>
      </c>
      <c r="U1951" s="1">
        <v>31.96</v>
      </c>
      <c r="V1951" s="1">
        <v>97</v>
      </c>
      <c r="W1951" s="1">
        <v>177</v>
      </c>
      <c r="X1951" s="1">
        <v>1.8247422680412371</v>
      </c>
      <c r="Y1951" s="1">
        <v>98</v>
      </c>
      <c r="Z1951" s="1">
        <v>177</v>
      </c>
      <c r="AA1951" s="1">
        <v>1.8061224489795917</v>
      </c>
      <c r="AB1951" s="1">
        <v>99.786247880933615</v>
      </c>
      <c r="AC1951" s="1">
        <v>176.9178594051059</v>
      </c>
      <c r="AD1951" s="1">
        <v>1.7729683514727084</v>
      </c>
      <c r="AE1951" t="s">
        <v>4817</v>
      </c>
      <c r="AF1951" t="str">
        <f>IF(X1951&lt;$AF$1,"Bajo","Alto")</f>
        <v>Alto</v>
      </c>
      <c r="AG1951" t="str">
        <f>LEFT(AE1951,1)</f>
        <v>C</v>
      </c>
      <c r="AH1951" t="str">
        <f>K1951</f>
        <v>M</v>
      </c>
      <c r="AI1951" t="str">
        <f>LEFT(AF1951,1)</f>
        <v>A</v>
      </c>
      <c r="AJ1951" t="str">
        <f>LEFT(M1951,1)</f>
        <v>J</v>
      </c>
      <c r="AK1951" t="str">
        <f>_xlfn.CONCAT(AG1951,AH1951,AI1951,AJ1951)</f>
        <v>CMAJ</v>
      </c>
    </row>
    <row r="1952" spans="1:37" ht="15.75" hidden="1" customHeight="1" x14ac:dyDescent="0.2">
      <c r="A1952" s="1">
        <v>1017003</v>
      </c>
      <c r="B1952" s="1" t="s">
        <v>29</v>
      </c>
      <c r="C1952" s="1" t="s">
        <v>30</v>
      </c>
      <c r="D1952" s="1" t="s">
        <v>719</v>
      </c>
      <c r="E1952" s="1" t="s">
        <v>720</v>
      </c>
      <c r="F1952" s="1" t="s">
        <v>63</v>
      </c>
      <c r="G1952" s="1" t="s">
        <v>722</v>
      </c>
      <c r="H1952" s="1">
        <v>2639</v>
      </c>
      <c r="I1952" s="1" t="s">
        <v>39</v>
      </c>
      <c r="J1952" s="1">
        <v>11</v>
      </c>
      <c r="K1952" s="1" t="s">
        <v>35</v>
      </c>
      <c r="L1952" s="1">
        <v>43</v>
      </c>
      <c r="M1952" s="1" t="str">
        <f>IF(L1952&lt;=45,"Joven","Mayor")</f>
        <v>Joven</v>
      </c>
      <c r="N1952" s="1">
        <v>47</v>
      </c>
      <c r="O1952" s="1" t="s">
        <v>36</v>
      </c>
      <c r="P1952" s="1">
        <v>0.31900000000000001</v>
      </c>
      <c r="Q1952" s="1">
        <v>91.185000000000002</v>
      </c>
      <c r="R1952" s="1">
        <v>3.7898964999999998</v>
      </c>
      <c r="S1952" s="1">
        <v>5.5667460000000002</v>
      </c>
      <c r="T1952" s="1">
        <v>-1.6352424999999999</v>
      </c>
      <c r="U1952" s="1">
        <v>10.878</v>
      </c>
      <c r="V1952" s="1">
        <v>112</v>
      </c>
      <c r="W1952" s="1">
        <v>203</v>
      </c>
      <c r="X1952" s="1">
        <v>1.8125</v>
      </c>
      <c r="Y1952" s="1">
        <v>118</v>
      </c>
      <c r="Z1952" s="1">
        <v>203</v>
      </c>
      <c r="AA1952" s="1">
        <v>1.7203389830508475</v>
      </c>
      <c r="AB1952" s="1">
        <v>119.4643787022335</v>
      </c>
      <c r="AC1952" s="1">
        <v>202.717573097083</v>
      </c>
      <c r="AD1952" s="1">
        <v>1.6968871834369905</v>
      </c>
      <c r="AE1952" t="s">
        <v>4816</v>
      </c>
      <c r="AF1952" t="str">
        <f>IF(X1952&lt;$AF$1,"Bajo","Alto")</f>
        <v>Alto</v>
      </c>
      <c r="AG1952" t="str">
        <f>LEFT(AE1952,1)</f>
        <v>D</v>
      </c>
      <c r="AH1952" t="str">
        <f>K1952</f>
        <v>M</v>
      </c>
      <c r="AI1952" t="str">
        <f>LEFT(AF1952,1)</f>
        <v>A</v>
      </c>
      <c r="AJ1952" t="str">
        <f>LEFT(M1952,1)</f>
        <v>J</v>
      </c>
      <c r="AK1952" t="str">
        <f>_xlfn.CONCAT(AG1952,AH1952,AI1952,AJ1952)</f>
        <v>DMAJ</v>
      </c>
    </row>
    <row r="1953" spans="1:37" ht="15.75" hidden="1" customHeight="1" x14ac:dyDescent="0.2">
      <c r="A1953" s="1">
        <v>1016101</v>
      </c>
      <c r="B1953" s="1" t="s">
        <v>29</v>
      </c>
      <c r="C1953" s="1" t="s">
        <v>30</v>
      </c>
      <c r="D1953" s="1" t="s">
        <v>700</v>
      </c>
      <c r="E1953" s="1" t="s">
        <v>701</v>
      </c>
      <c r="F1953" s="1" t="s">
        <v>32</v>
      </c>
      <c r="G1953" s="1" t="s">
        <v>702</v>
      </c>
      <c r="H1953" s="1">
        <v>2688</v>
      </c>
      <c r="I1953" s="1" t="s">
        <v>100</v>
      </c>
      <c r="J1953" s="1">
        <v>1</v>
      </c>
      <c r="K1953" s="1" t="s">
        <v>35</v>
      </c>
      <c r="L1953" s="1">
        <v>39</v>
      </c>
      <c r="M1953" s="1" t="str">
        <f>IF(L1953&lt;=45,"Joven","Mayor")</f>
        <v>Joven</v>
      </c>
      <c r="N1953" s="1">
        <v>45</v>
      </c>
      <c r="O1953" s="1" t="s">
        <v>36</v>
      </c>
      <c r="P1953" s="1">
        <v>0.35599999999999998</v>
      </c>
      <c r="Q1953" s="1">
        <v>92.805000000000007</v>
      </c>
      <c r="R1953" s="1">
        <v>2.7182187999999998</v>
      </c>
      <c r="S1953" s="1">
        <v>3.3037044999999998</v>
      </c>
      <c r="T1953" s="1">
        <v>-1.6067461999999999</v>
      </c>
      <c r="U1953" s="1">
        <v>1.345</v>
      </c>
      <c r="V1953" s="1">
        <v>73</v>
      </c>
      <c r="W1953" s="1">
        <v>126</v>
      </c>
      <c r="X1953" s="1">
        <v>1.726027397260274</v>
      </c>
      <c r="Y1953" s="1">
        <v>74</v>
      </c>
      <c r="Z1953" s="1">
        <v>126</v>
      </c>
      <c r="AA1953" s="1">
        <v>1.7027027027027026</v>
      </c>
      <c r="AB1953" s="1">
        <v>74.840124135457017</v>
      </c>
      <c r="AC1953" s="1">
        <v>125.9504593858446</v>
      </c>
      <c r="AD1953" s="1">
        <v>1.6829269170890249</v>
      </c>
      <c r="AE1953" t="s">
        <v>4817</v>
      </c>
      <c r="AF1953" t="str">
        <f>IF(X1953&lt;$AF$1,"Bajo","Alto")</f>
        <v>Bajo</v>
      </c>
      <c r="AG1953" t="str">
        <f>LEFT(AE1953,1)</f>
        <v>C</v>
      </c>
      <c r="AH1953" t="str">
        <f>K1953</f>
        <v>M</v>
      </c>
      <c r="AI1953" t="str">
        <f>LEFT(AF1953,1)</f>
        <v>B</v>
      </c>
      <c r="AJ1953" t="str">
        <f>LEFT(M1953,1)</f>
        <v>J</v>
      </c>
      <c r="AK1953" t="str">
        <f>_xlfn.CONCAT(AG1953,AH1953,AI1953,AJ1953)</f>
        <v>CMBJ</v>
      </c>
    </row>
    <row r="1954" spans="1:37" ht="15.75" hidden="1" customHeight="1" x14ac:dyDescent="0.2">
      <c r="A1954" s="1">
        <v>1059704</v>
      </c>
      <c r="B1954" s="1" t="s">
        <v>694</v>
      </c>
      <c r="C1954" s="1" t="s">
        <v>879</v>
      </c>
      <c r="D1954" s="1" t="s">
        <v>1060</v>
      </c>
      <c r="E1954" s="1" t="s">
        <v>781</v>
      </c>
      <c r="F1954" s="1" t="s">
        <v>61</v>
      </c>
      <c r="G1954" s="1" t="s">
        <v>1064</v>
      </c>
      <c r="H1954" s="1">
        <v>3273</v>
      </c>
      <c r="I1954" s="1" t="s">
        <v>108</v>
      </c>
      <c r="J1954" s="1">
        <v>3</v>
      </c>
      <c r="K1954" s="1" t="s">
        <v>35</v>
      </c>
      <c r="L1954" s="1">
        <v>36</v>
      </c>
      <c r="M1954" s="1" t="str">
        <f>IF(L1954&lt;=45,"Joven","Mayor")</f>
        <v>Joven</v>
      </c>
      <c r="N1954" s="1">
        <v>41</v>
      </c>
      <c r="O1954" s="1" t="s">
        <v>36</v>
      </c>
      <c r="P1954" s="1">
        <v>0.35299999999999998</v>
      </c>
      <c r="Q1954" s="1">
        <v>91.483999999999995</v>
      </c>
      <c r="R1954" s="1">
        <v>4.1279845000000002</v>
      </c>
      <c r="S1954" s="1">
        <v>-3.7267055999999998</v>
      </c>
      <c r="T1954" s="1">
        <v>-3.2569838</v>
      </c>
      <c r="U1954" s="1">
        <v>3.0859999999999999</v>
      </c>
      <c r="V1954" s="1">
        <v>97</v>
      </c>
      <c r="W1954" s="1">
        <v>177</v>
      </c>
      <c r="X1954" s="1">
        <v>1.8247422680412371</v>
      </c>
      <c r="Y1954" s="1">
        <v>97</v>
      </c>
      <c r="Z1954" s="1">
        <v>177</v>
      </c>
      <c r="AA1954" s="1">
        <v>1.8247422680412371</v>
      </c>
      <c r="AB1954" s="1">
        <v>99.684045095760666</v>
      </c>
      <c r="AC1954" s="1">
        <v>176.82773021541561</v>
      </c>
      <c r="AD1954" s="1">
        <v>1.7738819692313599</v>
      </c>
      <c r="AE1954" t="s">
        <v>4817</v>
      </c>
      <c r="AF1954" t="str">
        <f>IF(X1954&lt;$AF$1,"Bajo","Alto")</f>
        <v>Alto</v>
      </c>
      <c r="AG1954" t="str">
        <f>LEFT(AE1954,1)</f>
        <v>C</v>
      </c>
      <c r="AH1954" t="str">
        <f>K1954</f>
        <v>M</v>
      </c>
      <c r="AI1954" t="str">
        <f>LEFT(AF1954,1)</f>
        <v>A</v>
      </c>
      <c r="AJ1954" t="str">
        <f>LEFT(M1954,1)</f>
        <v>J</v>
      </c>
      <c r="AK1954" t="str">
        <f>_xlfn.CONCAT(AG1954,AH1954,AI1954,AJ1954)</f>
        <v>CMAJ</v>
      </c>
    </row>
    <row r="1955" spans="1:37" ht="15.75" hidden="1" customHeight="1" x14ac:dyDescent="0.2">
      <c r="A1955" s="1">
        <v>1052602</v>
      </c>
      <c r="B1955" s="1" t="s">
        <v>694</v>
      </c>
      <c r="C1955" s="1" t="s">
        <v>879</v>
      </c>
      <c r="D1955" s="1" t="s">
        <v>967</v>
      </c>
      <c r="E1955" s="1" t="s">
        <v>968</v>
      </c>
      <c r="F1955" s="1" t="s">
        <v>37</v>
      </c>
      <c r="G1955" s="1" t="s">
        <v>970</v>
      </c>
      <c r="H1955" s="1">
        <v>4032</v>
      </c>
      <c r="I1955" s="1" t="s">
        <v>65</v>
      </c>
      <c r="J1955" s="1">
        <v>2</v>
      </c>
      <c r="K1955" s="1" t="s">
        <v>35</v>
      </c>
      <c r="L1955" s="1">
        <v>35</v>
      </c>
      <c r="M1955" s="1" t="str">
        <f>IF(L1955&lt;=45,"Joven","Mayor")</f>
        <v>Joven</v>
      </c>
      <c r="N1955" s="1">
        <v>40</v>
      </c>
      <c r="O1955" s="1" t="s">
        <v>36</v>
      </c>
      <c r="P1955" s="1">
        <v>0.36399999999999999</v>
      </c>
      <c r="Q1955" s="1">
        <v>90.980999999999995</v>
      </c>
      <c r="R1955" s="1">
        <v>5.3569263999999999</v>
      </c>
      <c r="S1955" s="1">
        <v>-0.79856353999999996</v>
      </c>
      <c r="T1955" s="1">
        <v>-0.48930857</v>
      </c>
      <c r="U1955" s="1">
        <v>3.778</v>
      </c>
      <c r="V1955" s="1">
        <v>74</v>
      </c>
      <c r="W1955" s="1">
        <v>135</v>
      </c>
      <c r="X1955" s="1">
        <v>1.8243243243243243</v>
      </c>
      <c r="Y1955" s="1">
        <v>76</v>
      </c>
      <c r="Z1955" s="1">
        <v>135</v>
      </c>
      <c r="AA1955" s="1">
        <v>1.7763157894736843</v>
      </c>
      <c r="AB1955" s="1">
        <v>76.227807014976179</v>
      </c>
      <c r="AC1955" s="1">
        <v>134.93529750175961</v>
      </c>
      <c r="AD1955" s="1">
        <v>1.770158460353574</v>
      </c>
      <c r="AE1955" t="s">
        <v>4817</v>
      </c>
      <c r="AF1955" t="str">
        <f>IF(X1955&lt;$AF$1,"Bajo","Alto")</f>
        <v>Alto</v>
      </c>
      <c r="AG1955" t="str">
        <f>LEFT(AE1955,1)</f>
        <v>C</v>
      </c>
      <c r="AH1955" t="str">
        <f>K1955</f>
        <v>M</v>
      </c>
      <c r="AI1955" t="str">
        <f>LEFT(AF1955,1)</f>
        <v>A</v>
      </c>
      <c r="AJ1955" t="str">
        <f>LEFT(M1955,1)</f>
        <v>J</v>
      </c>
      <c r="AK1955" t="str">
        <f>_xlfn.CONCAT(AG1955,AH1955,AI1955,AJ1955)</f>
        <v>CMAJ</v>
      </c>
    </row>
    <row r="1956" spans="1:37" ht="15.75" hidden="1" customHeight="1" x14ac:dyDescent="0.2">
      <c r="A1956" s="1">
        <v>10718702</v>
      </c>
      <c r="B1956" s="1" t="s">
        <v>1067</v>
      </c>
      <c r="C1956" s="1" t="s">
        <v>1068</v>
      </c>
      <c r="D1956" s="1" t="s">
        <v>1200</v>
      </c>
      <c r="E1956" s="1" t="s">
        <v>316</v>
      </c>
      <c r="F1956" s="1" t="s">
        <v>37</v>
      </c>
      <c r="G1956" s="1" t="s">
        <v>1201</v>
      </c>
      <c r="H1956" s="1">
        <v>779</v>
      </c>
      <c r="I1956" s="1" t="s">
        <v>1202</v>
      </c>
      <c r="J1956" s="1">
        <v>2492</v>
      </c>
      <c r="K1956" s="1" t="s">
        <v>35</v>
      </c>
      <c r="L1956" s="1">
        <v>37</v>
      </c>
      <c r="M1956" s="1" t="str">
        <f>IF(L1956&lt;=45,"Joven","Mayor")</f>
        <v>Joven</v>
      </c>
      <c r="N1956" s="1">
        <v>40</v>
      </c>
      <c r="O1956" s="1" t="s">
        <v>36</v>
      </c>
      <c r="P1956" s="1">
        <v>0.40600000000000003</v>
      </c>
      <c r="Q1956" s="1">
        <v>92.697000000000003</v>
      </c>
      <c r="R1956" s="1">
        <v>3.5709320999999998</v>
      </c>
      <c r="S1956" s="1">
        <v>-0.84755650000000005</v>
      </c>
      <c r="T1956" s="1">
        <v>-5.0287949999999997</v>
      </c>
      <c r="U1956" s="1">
        <v>26.053000000000001</v>
      </c>
      <c r="V1956" s="1">
        <v>73</v>
      </c>
      <c r="W1956" s="1">
        <v>126</v>
      </c>
      <c r="X1956" s="1">
        <v>1.726027397260274</v>
      </c>
      <c r="Y1956" s="1">
        <v>75</v>
      </c>
      <c r="Z1956" s="1">
        <v>126</v>
      </c>
      <c r="AA1956" s="1">
        <v>1.68</v>
      </c>
      <c r="AB1956" s="1">
        <v>75.699323409723547</v>
      </c>
      <c r="AC1956" s="1">
        <v>125.9532790347057</v>
      </c>
      <c r="AD1956" s="1">
        <v>1.663862678837722</v>
      </c>
      <c r="AE1956" t="s">
        <v>4817</v>
      </c>
      <c r="AF1956" t="str">
        <f>IF(X1956&lt;$AF$1,"Bajo","Alto")</f>
        <v>Bajo</v>
      </c>
      <c r="AG1956" t="str">
        <f>LEFT(AE1956,1)</f>
        <v>C</v>
      </c>
      <c r="AH1956" t="str">
        <f>K1956</f>
        <v>M</v>
      </c>
      <c r="AI1956" t="str">
        <f>LEFT(AF1956,1)</f>
        <v>B</v>
      </c>
      <c r="AJ1956" t="str">
        <f>LEFT(M1956,1)</f>
        <v>J</v>
      </c>
      <c r="AK1956" t="str">
        <f>_xlfn.CONCAT(AG1956,AH1956,AI1956,AJ1956)</f>
        <v>CMBJ</v>
      </c>
    </row>
    <row r="1957" spans="1:37" ht="15.75" hidden="1" customHeight="1" x14ac:dyDescent="0.2">
      <c r="A1957" s="1">
        <v>3110301</v>
      </c>
      <c r="B1957" s="1" t="s">
        <v>4122</v>
      </c>
      <c r="C1957" s="1" t="s">
        <v>628</v>
      </c>
      <c r="D1957" s="1" t="s">
        <v>4140</v>
      </c>
      <c r="E1957" s="1" t="s">
        <v>81</v>
      </c>
      <c r="F1957" s="1" t="s">
        <v>32</v>
      </c>
      <c r="G1957" s="1" t="s">
        <v>4141</v>
      </c>
      <c r="H1957" s="1">
        <v>605</v>
      </c>
      <c r="I1957" s="1" t="s">
        <v>48</v>
      </c>
      <c r="J1957" s="1">
        <v>4</v>
      </c>
      <c r="K1957" s="1" t="s">
        <v>35</v>
      </c>
      <c r="L1957" s="1">
        <v>53</v>
      </c>
      <c r="M1957" s="1" t="str">
        <f>IF(L1957&lt;=45,"Joven","Mayor")</f>
        <v>Mayor</v>
      </c>
      <c r="N1957" s="1">
        <v>50</v>
      </c>
      <c r="O1957" s="1" t="s">
        <v>36</v>
      </c>
      <c r="P1957" s="1">
        <v>0.36099999999999999</v>
      </c>
      <c r="Q1957" s="1">
        <v>91.661000000000001</v>
      </c>
      <c r="R1957" s="1">
        <v>3.8794010000000001</v>
      </c>
      <c r="S1957" s="1">
        <v>3.9163915999999999</v>
      </c>
      <c r="T1957" s="1">
        <v>-0.83673209999999998</v>
      </c>
      <c r="U1957" s="1">
        <v>30.834</v>
      </c>
      <c r="V1957" s="1">
        <v>79</v>
      </c>
      <c r="W1957" s="1">
        <v>144</v>
      </c>
      <c r="X1957" s="1">
        <v>1.8227848101265822</v>
      </c>
      <c r="Y1957" s="1">
        <v>81</v>
      </c>
      <c r="Z1957" s="1">
        <v>144</v>
      </c>
      <c r="AA1957" s="1">
        <v>1.7777777777777777</v>
      </c>
      <c r="AB1957" s="1">
        <v>81.546284780509495</v>
      </c>
      <c r="AC1957" s="1">
        <v>143.94083527666911</v>
      </c>
      <c r="AD1957" s="1">
        <v>1.7651427733844796</v>
      </c>
      <c r="AE1957" t="s">
        <v>4817</v>
      </c>
      <c r="AF1957" t="str">
        <f>IF(X1957&lt;$AF$1,"Bajo","Alto")</f>
        <v>Alto</v>
      </c>
      <c r="AG1957" t="str">
        <f>LEFT(AE1957,1)</f>
        <v>C</v>
      </c>
      <c r="AH1957" t="str">
        <f>K1957</f>
        <v>M</v>
      </c>
      <c r="AI1957" t="str">
        <f>LEFT(AF1957,1)</f>
        <v>A</v>
      </c>
      <c r="AJ1957" t="str">
        <f>LEFT(M1957,1)</f>
        <v>M</v>
      </c>
      <c r="AK1957" t="str">
        <f>_xlfn.CONCAT(AG1957,AH1957,AI1957,AJ1957)</f>
        <v>CMAM</v>
      </c>
    </row>
    <row r="1958" spans="1:37" ht="15.75" hidden="1" customHeight="1" x14ac:dyDescent="0.2">
      <c r="A1958" s="1">
        <v>277402</v>
      </c>
      <c r="B1958" s="1" t="s">
        <v>3409</v>
      </c>
      <c r="C1958" s="1" t="s">
        <v>973</v>
      </c>
      <c r="D1958" s="1" t="s">
        <v>3718</v>
      </c>
      <c r="E1958" s="1" t="s">
        <v>2786</v>
      </c>
      <c r="F1958" s="1" t="s">
        <v>37</v>
      </c>
      <c r="G1958" s="1" t="s">
        <v>3719</v>
      </c>
      <c r="H1958" s="1">
        <v>2201</v>
      </c>
      <c r="I1958" s="1" t="s">
        <v>65</v>
      </c>
      <c r="J1958" s="1">
        <v>2</v>
      </c>
      <c r="K1958" s="1" t="s">
        <v>35</v>
      </c>
      <c r="L1958" s="1">
        <v>43</v>
      </c>
      <c r="M1958" s="1" t="str">
        <f>IF(L1958&lt;=45,"Joven","Mayor")</f>
        <v>Joven</v>
      </c>
      <c r="N1958" s="1">
        <v>43</v>
      </c>
      <c r="O1958" s="1" t="s">
        <v>36</v>
      </c>
      <c r="P1958" s="1">
        <v>3.113</v>
      </c>
      <c r="Q1958" s="1">
        <v>91.344999999999999</v>
      </c>
      <c r="R1958" s="1">
        <v>3.8835793000000001</v>
      </c>
      <c r="S1958" s="1">
        <v>1.8997556</v>
      </c>
      <c r="T1958" s="1">
        <v>-1.751914</v>
      </c>
      <c r="U1958" s="1">
        <v>2.4670000000000001</v>
      </c>
      <c r="V1958" s="1">
        <v>74</v>
      </c>
      <c r="W1958" s="1">
        <v>135</v>
      </c>
      <c r="X1958" s="1">
        <v>1.8243243243243243</v>
      </c>
      <c r="Y1958" s="1">
        <v>76</v>
      </c>
      <c r="Z1958" s="1">
        <v>135</v>
      </c>
      <c r="AA1958" s="1">
        <v>1.7763157894736843</v>
      </c>
      <c r="AB1958" s="1">
        <v>74.974282995059184</v>
      </c>
      <c r="AC1958" s="1">
        <v>134.8451812567732</v>
      </c>
      <c r="AD1958" s="1">
        <v>1.7985524618576147</v>
      </c>
      <c r="AE1958" t="s">
        <v>4817</v>
      </c>
      <c r="AF1958" t="str">
        <f>IF(X1958&lt;$AF$1,"Bajo","Alto")</f>
        <v>Alto</v>
      </c>
      <c r="AG1958" t="str">
        <f>LEFT(AE1958,1)</f>
        <v>C</v>
      </c>
      <c r="AH1958" t="str">
        <f>K1958</f>
        <v>M</v>
      </c>
      <c r="AI1958" t="str">
        <f>LEFT(AF1958,1)</f>
        <v>A</v>
      </c>
      <c r="AJ1958" t="str">
        <f>LEFT(M1958,1)</f>
        <v>J</v>
      </c>
      <c r="AK1958" t="str">
        <f>_xlfn.CONCAT(AG1958,AH1958,AI1958,AJ1958)</f>
        <v>CMAJ</v>
      </c>
    </row>
    <row r="1959" spans="1:37" ht="15.75" hidden="1" customHeight="1" x14ac:dyDescent="0.2">
      <c r="A1959" s="1">
        <v>1520801</v>
      </c>
      <c r="B1959" s="1" t="s">
        <v>2077</v>
      </c>
      <c r="C1959" s="1" t="s">
        <v>57</v>
      </c>
      <c r="D1959" s="1" t="s">
        <v>2237</v>
      </c>
      <c r="E1959" s="1" t="s">
        <v>378</v>
      </c>
      <c r="F1959" s="1" t="s">
        <v>32</v>
      </c>
      <c r="G1959" s="1" t="s">
        <v>2238</v>
      </c>
      <c r="H1959" s="1">
        <v>891</v>
      </c>
      <c r="I1959" s="1" t="s">
        <v>39</v>
      </c>
      <c r="J1959" s="1">
        <v>11</v>
      </c>
      <c r="K1959" s="1" t="s">
        <v>35</v>
      </c>
      <c r="L1959" s="1">
        <v>53</v>
      </c>
      <c r="M1959" s="1" t="str">
        <f>IF(L1959&lt;=45,"Joven","Mayor")</f>
        <v>Mayor</v>
      </c>
      <c r="N1959" s="1">
        <v>60</v>
      </c>
      <c r="O1959" s="1" t="s">
        <v>36</v>
      </c>
      <c r="P1959" s="1">
        <v>0.36699999999999999</v>
      </c>
      <c r="Q1959" s="1">
        <v>93.628</v>
      </c>
      <c r="R1959" s="1">
        <v>2.4343995999999999</v>
      </c>
      <c r="S1959" s="1">
        <v>0.33243384999999998</v>
      </c>
      <c r="T1959" s="1">
        <v>-1.5807818</v>
      </c>
      <c r="U1959" s="1">
        <v>1.3320000000000001</v>
      </c>
      <c r="V1959" s="1">
        <v>104</v>
      </c>
      <c r="W1959" s="1">
        <v>179</v>
      </c>
      <c r="X1959" s="1">
        <v>1.7211538461538463</v>
      </c>
      <c r="Y1959" s="1">
        <v>105</v>
      </c>
      <c r="Z1959" s="1">
        <v>179</v>
      </c>
      <c r="AA1959" s="1">
        <v>1.7047619047619047</v>
      </c>
      <c r="AB1959" s="1">
        <v>106.3669432529109</v>
      </c>
      <c r="AC1959" s="1">
        <v>178.9594632983403</v>
      </c>
      <c r="AD1959" s="1">
        <v>1.6824725598518391</v>
      </c>
      <c r="AE1959" t="s">
        <v>4816</v>
      </c>
      <c r="AF1959" t="str">
        <f>IF(X1959&lt;$AF$1,"Bajo","Alto")</f>
        <v>Bajo</v>
      </c>
      <c r="AG1959" t="str">
        <f>LEFT(AE1959,1)</f>
        <v>D</v>
      </c>
      <c r="AH1959" t="str">
        <f>K1959</f>
        <v>M</v>
      </c>
      <c r="AI1959" t="str">
        <f>LEFT(AF1959,1)</f>
        <v>B</v>
      </c>
      <c r="AJ1959" t="str">
        <f>LEFT(M1959,1)</f>
        <v>M</v>
      </c>
      <c r="AK1959" t="str">
        <f>_xlfn.CONCAT(AG1959,AH1959,AI1959,AJ1959)</f>
        <v>DMBM</v>
      </c>
    </row>
    <row r="1960" spans="1:37" ht="15.75" hidden="1" customHeight="1" x14ac:dyDescent="0.2">
      <c r="A1960" s="1">
        <v>520503</v>
      </c>
      <c r="B1960" s="1" t="s">
        <v>4529</v>
      </c>
      <c r="C1960" s="1" t="s">
        <v>685</v>
      </c>
      <c r="D1960" s="1" t="s">
        <v>4539</v>
      </c>
      <c r="E1960" s="1" t="s">
        <v>40</v>
      </c>
      <c r="F1960" s="1" t="s">
        <v>63</v>
      </c>
      <c r="G1960" s="1" t="s">
        <v>4540</v>
      </c>
      <c r="H1960" s="1">
        <v>3218</v>
      </c>
      <c r="I1960" s="1" t="s">
        <v>294</v>
      </c>
      <c r="J1960" s="1">
        <v>16</v>
      </c>
      <c r="K1960" s="1" t="s">
        <v>35</v>
      </c>
      <c r="L1960" s="1">
        <v>58</v>
      </c>
      <c r="M1960" s="1" t="str">
        <f>IF(L1960&lt;=45,"Joven","Mayor")</f>
        <v>Mayor</v>
      </c>
      <c r="N1960" s="1">
        <v>55</v>
      </c>
      <c r="O1960" s="1" t="s">
        <v>36</v>
      </c>
      <c r="P1960" s="1">
        <v>0.114</v>
      </c>
      <c r="Q1960" s="1">
        <v>88.072999999999993</v>
      </c>
      <c r="R1960" s="1">
        <v>6.9681673000000002</v>
      </c>
      <c r="S1960" s="1">
        <v>3.2356159999999998</v>
      </c>
      <c r="T1960" s="1">
        <v>-7.8065576999999999</v>
      </c>
      <c r="U1960" s="1">
        <v>0.435</v>
      </c>
      <c r="V1960" s="1">
        <v>87</v>
      </c>
      <c r="W1960" s="1">
        <v>149</v>
      </c>
      <c r="X1960" s="1">
        <v>1.7126436781609196</v>
      </c>
      <c r="Y1960" s="1">
        <v>94</v>
      </c>
      <c r="Z1960" s="1">
        <v>149</v>
      </c>
      <c r="AA1960" s="1">
        <v>1.5851063829787233</v>
      </c>
      <c r="AB1960" s="1">
        <v>91.898526749850816</v>
      </c>
      <c r="AC1960" s="1">
        <v>148.97740248962279</v>
      </c>
      <c r="AD1960" s="1">
        <v>1.6211076255350811</v>
      </c>
      <c r="AE1960" t="s">
        <v>4817</v>
      </c>
      <c r="AF1960" t="str">
        <f>IF(X1960&lt;$AF$1,"Bajo","Alto")</f>
        <v>Bajo</v>
      </c>
      <c r="AG1960" t="str">
        <f>LEFT(AE1960,1)</f>
        <v>C</v>
      </c>
      <c r="AH1960" t="str">
        <f>K1960</f>
        <v>M</v>
      </c>
      <c r="AI1960" t="str">
        <f>LEFT(AF1960,1)</f>
        <v>B</v>
      </c>
      <c r="AJ1960" t="str">
        <f>LEFT(M1960,1)</f>
        <v>M</v>
      </c>
      <c r="AK1960" t="str">
        <f>_xlfn.CONCAT(AG1960,AH1960,AI1960,AJ1960)</f>
        <v>CMBM</v>
      </c>
    </row>
    <row r="1961" spans="1:37" ht="15.75" hidden="1" customHeight="1" x14ac:dyDescent="0.2">
      <c r="A1961" s="1">
        <v>10130102</v>
      </c>
      <c r="B1961" s="1" t="s">
        <v>29</v>
      </c>
      <c r="C1961" s="1" t="s">
        <v>30</v>
      </c>
      <c r="D1961" s="1" t="s">
        <v>621</v>
      </c>
      <c r="E1961" s="1" t="s">
        <v>622</v>
      </c>
      <c r="F1961" s="1" t="s">
        <v>37</v>
      </c>
      <c r="G1961" s="1" t="s">
        <v>623</v>
      </c>
      <c r="H1961" s="1">
        <v>3832</v>
      </c>
      <c r="I1961" s="1" t="s">
        <v>624</v>
      </c>
      <c r="J1961" s="1">
        <v>2577</v>
      </c>
      <c r="K1961" s="1" t="s">
        <v>35</v>
      </c>
      <c r="L1961" s="1">
        <v>40</v>
      </c>
      <c r="M1961" s="1" t="str">
        <f>IF(L1961&lt;=45,"Joven","Mayor")</f>
        <v>Joven</v>
      </c>
      <c r="N1961" s="1">
        <v>34</v>
      </c>
      <c r="O1961" s="1" t="s">
        <v>36</v>
      </c>
      <c r="P1961" s="1">
        <v>0.999</v>
      </c>
      <c r="Q1961" s="1">
        <v>71.95</v>
      </c>
      <c r="R1961" s="1">
        <v>12.09205</v>
      </c>
      <c r="S1961" s="1">
        <v>4.1986685000000001</v>
      </c>
      <c r="T1961" s="1">
        <v>1.0014346999999999</v>
      </c>
      <c r="U1961" s="1">
        <v>3.9809999999999999</v>
      </c>
      <c r="V1961" s="1">
        <v>91</v>
      </c>
      <c r="W1961" s="1">
        <v>166</v>
      </c>
      <c r="X1961" s="1">
        <v>1.8241758241758241</v>
      </c>
      <c r="Y1961" s="1">
        <v>97</v>
      </c>
      <c r="Z1961" s="1">
        <v>166</v>
      </c>
      <c r="AA1961" s="1">
        <v>1.7113402061855669</v>
      </c>
      <c r="AB1961" s="1">
        <v>96.408428395283636</v>
      </c>
      <c r="AC1961" s="1">
        <v>166.23680644271639</v>
      </c>
      <c r="AD1961" s="1">
        <v>1.7242974417250101</v>
      </c>
      <c r="AE1961" t="s">
        <v>4817</v>
      </c>
      <c r="AF1961" t="str">
        <f>IF(X1961&lt;$AF$1,"Bajo","Alto")</f>
        <v>Alto</v>
      </c>
      <c r="AG1961" t="str">
        <f>LEFT(AE1961,1)</f>
        <v>C</v>
      </c>
      <c r="AH1961" t="str">
        <f>K1961</f>
        <v>M</v>
      </c>
      <c r="AI1961" t="str">
        <f>LEFT(AF1961,1)</f>
        <v>A</v>
      </c>
      <c r="AJ1961" t="str">
        <f>LEFT(M1961,1)</f>
        <v>J</v>
      </c>
      <c r="AK1961" t="str">
        <f>_xlfn.CONCAT(AG1961,AH1961,AI1961,AJ1961)</f>
        <v>CMAJ</v>
      </c>
    </row>
    <row r="1962" spans="1:37" ht="15.75" hidden="1" customHeight="1" x14ac:dyDescent="0.2">
      <c r="A1962" s="1">
        <v>442002</v>
      </c>
      <c r="B1962" s="1" t="s">
        <v>4314</v>
      </c>
      <c r="C1962" s="1" t="s">
        <v>995</v>
      </c>
      <c r="D1962" s="1" t="s">
        <v>4361</v>
      </c>
      <c r="E1962" s="1" t="s">
        <v>1983</v>
      </c>
      <c r="F1962" s="1" t="s">
        <v>37</v>
      </c>
      <c r="G1962" s="1" t="s">
        <v>4362</v>
      </c>
      <c r="H1962" s="1">
        <v>3169</v>
      </c>
      <c r="I1962" s="1" t="s">
        <v>65</v>
      </c>
      <c r="J1962" s="1">
        <v>2</v>
      </c>
      <c r="K1962" s="1" t="s">
        <v>49</v>
      </c>
      <c r="L1962" s="1">
        <v>40</v>
      </c>
      <c r="M1962" s="1" t="str">
        <f>IF(L1962&lt;=45,"Joven","Mayor")</f>
        <v>Joven</v>
      </c>
      <c r="N1962" s="1">
        <v>42</v>
      </c>
      <c r="O1962" s="1" t="s">
        <v>50</v>
      </c>
      <c r="P1962" s="1">
        <v>0.34</v>
      </c>
      <c r="Q1962" s="1">
        <v>90.971999999999994</v>
      </c>
      <c r="R1962" s="1">
        <v>4.0881452999999999</v>
      </c>
      <c r="S1962" s="1">
        <v>-5.3278999999999996</v>
      </c>
      <c r="T1962" s="1">
        <v>-4.7272277000000003</v>
      </c>
      <c r="U1962" s="1">
        <v>0.61499999999999999</v>
      </c>
      <c r="V1962" s="1">
        <v>64</v>
      </c>
      <c r="W1962" s="1">
        <v>118</v>
      </c>
      <c r="X1962" s="1">
        <v>1.84375</v>
      </c>
      <c r="Y1962" s="1">
        <v>66</v>
      </c>
      <c r="Z1962" s="1">
        <v>118</v>
      </c>
      <c r="AA1962" s="1">
        <v>1.7878787878787878</v>
      </c>
      <c r="AB1962" s="1">
        <v>66.666717511096522</v>
      </c>
      <c r="AC1962" s="1">
        <v>117.9282521103746</v>
      </c>
      <c r="AD1962" s="1">
        <v>1.768922432557831</v>
      </c>
      <c r="AE1962" t="s">
        <v>4817</v>
      </c>
      <c r="AF1962" t="str">
        <f>IF(X1962&lt;$AF$1,"Bajo","Alto")</f>
        <v>Alto</v>
      </c>
      <c r="AG1962" t="str">
        <f>LEFT(AE1962,1)</f>
        <v>C</v>
      </c>
      <c r="AH1962" t="str">
        <f>K1962</f>
        <v>F</v>
      </c>
      <c r="AI1962" t="str">
        <f>LEFT(AF1962,1)</f>
        <v>A</v>
      </c>
      <c r="AJ1962" t="str">
        <f>LEFT(M1962,1)</f>
        <v>J</v>
      </c>
      <c r="AK1962" t="str">
        <f>_xlfn.CONCAT(AG1962,AH1962,AI1962,AJ1962)</f>
        <v>CFAJ</v>
      </c>
    </row>
    <row r="1963" spans="1:37" ht="15.75" hidden="1" customHeight="1" x14ac:dyDescent="0.2">
      <c r="A1963" s="1">
        <v>1054105</v>
      </c>
      <c r="B1963" s="1" t="s">
        <v>694</v>
      </c>
      <c r="C1963" s="1" t="s">
        <v>879</v>
      </c>
      <c r="D1963" s="1" t="s">
        <v>987</v>
      </c>
      <c r="E1963" s="1" t="s">
        <v>988</v>
      </c>
      <c r="F1963" s="1" t="s">
        <v>40</v>
      </c>
      <c r="G1963" s="1" t="s">
        <v>989</v>
      </c>
      <c r="H1963" s="1">
        <v>13</v>
      </c>
      <c r="I1963" s="1" t="s">
        <v>93</v>
      </c>
      <c r="J1963" s="1">
        <v>9</v>
      </c>
      <c r="K1963" s="1" t="s">
        <v>35</v>
      </c>
      <c r="L1963" s="1">
        <v>35</v>
      </c>
      <c r="M1963" s="1" t="str">
        <f>IF(L1963&lt;=45,"Joven","Mayor")</f>
        <v>Joven</v>
      </c>
      <c r="N1963" s="1">
        <v>35</v>
      </c>
      <c r="O1963" s="1" t="s">
        <v>36</v>
      </c>
      <c r="P1963" s="1">
        <v>0.45300000000000001</v>
      </c>
      <c r="Q1963" s="1">
        <v>91.614999999999995</v>
      </c>
      <c r="R1963" s="1">
        <v>3.9422388000000002</v>
      </c>
      <c r="S1963" s="1">
        <v>-3.7809675</v>
      </c>
      <c r="T1963" s="1">
        <v>-0.25422359999999999</v>
      </c>
      <c r="U1963" s="1">
        <v>5.8920000000000003</v>
      </c>
      <c r="V1963" s="1">
        <v>92</v>
      </c>
      <c r="W1963" s="1">
        <v>159</v>
      </c>
      <c r="X1963" s="1">
        <v>1.7282608695652173</v>
      </c>
      <c r="Y1963" s="1">
        <v>93</v>
      </c>
      <c r="Z1963" s="1">
        <v>159</v>
      </c>
      <c r="AA1963" s="1">
        <v>1.7096774193548387</v>
      </c>
      <c r="AB1963" s="1">
        <v>92.803855472324585</v>
      </c>
      <c r="AC1963" s="1">
        <v>159.00730890971451</v>
      </c>
      <c r="AD1963" s="1">
        <v>1.7133696450481277</v>
      </c>
      <c r="AE1963" t="s">
        <v>4815</v>
      </c>
      <c r="AF1963" t="str">
        <f>IF(X1963&lt;$AF$1,"Bajo","Alto")</f>
        <v>Bajo</v>
      </c>
      <c r="AG1963" t="str">
        <f>LEFT(AE1963,1)</f>
        <v>I</v>
      </c>
      <c r="AH1963" t="str">
        <f>K1963</f>
        <v>M</v>
      </c>
      <c r="AI1963" t="str">
        <f>LEFT(AF1963,1)</f>
        <v>B</v>
      </c>
      <c r="AJ1963" t="str">
        <f>LEFT(M1963,1)</f>
        <v>J</v>
      </c>
      <c r="AK1963" t="str">
        <f>_xlfn.CONCAT(AG1963,AH1963,AI1963,AJ1963)</f>
        <v>IMBJ</v>
      </c>
    </row>
    <row r="1964" spans="1:37" ht="15.75" hidden="1" customHeight="1" x14ac:dyDescent="0.2">
      <c r="A1964" s="1">
        <v>1034001</v>
      </c>
      <c r="B1964" s="1" t="s">
        <v>783</v>
      </c>
      <c r="C1964" s="1" t="s">
        <v>81</v>
      </c>
      <c r="D1964" s="1" t="s">
        <v>839</v>
      </c>
      <c r="E1964" s="1" t="s">
        <v>657</v>
      </c>
      <c r="F1964" s="1" t="s">
        <v>32</v>
      </c>
      <c r="G1964" s="1" t="s">
        <v>840</v>
      </c>
      <c r="H1964" s="1">
        <v>1262</v>
      </c>
      <c r="I1964" s="1" t="s">
        <v>100</v>
      </c>
      <c r="J1964" s="1">
        <v>1</v>
      </c>
      <c r="K1964" s="1" t="s">
        <v>35</v>
      </c>
      <c r="L1964" s="1">
        <v>36</v>
      </c>
      <c r="M1964" s="1" t="str">
        <f>IF(L1964&lt;=45,"Joven","Mayor")</f>
        <v>Joven</v>
      </c>
      <c r="N1964" s="1">
        <v>33</v>
      </c>
      <c r="O1964" s="1" t="s">
        <v>36</v>
      </c>
      <c r="P1964" s="1">
        <v>0.35399999999999998</v>
      </c>
      <c r="Q1964" s="1">
        <v>94.022999999999996</v>
      </c>
      <c r="R1964" s="1">
        <v>1.7505697</v>
      </c>
      <c r="S1964" s="1">
        <v>-0.46401912000000001</v>
      </c>
      <c r="T1964" s="1">
        <v>-0.1355259</v>
      </c>
      <c r="U1964" s="1">
        <v>4.8170000000000002</v>
      </c>
      <c r="V1964" s="1">
        <v>95</v>
      </c>
      <c r="W1964" s="1">
        <v>164</v>
      </c>
      <c r="X1964" s="1">
        <v>1.7263157894736842</v>
      </c>
      <c r="Y1964" s="1">
        <v>99</v>
      </c>
      <c r="Z1964" s="1">
        <v>164</v>
      </c>
      <c r="AA1964" s="1">
        <v>1.6565656565656566</v>
      </c>
      <c r="AB1964" s="1">
        <v>99.110895483748891</v>
      </c>
      <c r="AC1964" s="1">
        <v>163.99717584004159</v>
      </c>
      <c r="AD1964" s="1">
        <v>1.6546836252421111</v>
      </c>
      <c r="AE1964" t="s">
        <v>4817</v>
      </c>
      <c r="AF1964" t="str">
        <f>IF(X1964&lt;$AF$1,"Bajo","Alto")</f>
        <v>Bajo</v>
      </c>
      <c r="AG1964" t="str">
        <f>LEFT(AE1964,1)</f>
        <v>C</v>
      </c>
      <c r="AH1964" t="str">
        <f>K1964</f>
        <v>M</v>
      </c>
      <c r="AI1964" t="str">
        <f>LEFT(AF1964,1)</f>
        <v>B</v>
      </c>
      <c r="AJ1964" t="str">
        <f>LEFT(M1964,1)</f>
        <v>J</v>
      </c>
      <c r="AK1964" t="str">
        <f>_xlfn.CONCAT(AG1964,AH1964,AI1964,AJ1964)</f>
        <v>CMBJ</v>
      </c>
    </row>
    <row r="1965" spans="1:37" ht="15.75" hidden="1" customHeight="1" x14ac:dyDescent="0.2">
      <c r="A1965" s="1">
        <v>1051601</v>
      </c>
      <c r="B1965" s="1" t="s">
        <v>694</v>
      </c>
      <c r="C1965" s="1" t="s">
        <v>879</v>
      </c>
      <c r="D1965" s="1" t="s">
        <v>956</v>
      </c>
      <c r="E1965" s="1" t="s">
        <v>244</v>
      </c>
      <c r="F1965" s="1" t="s">
        <v>32</v>
      </c>
      <c r="G1965" s="1" t="s">
        <v>957</v>
      </c>
      <c r="H1965" s="1">
        <v>5053</v>
      </c>
      <c r="I1965" s="1" t="s">
        <v>100</v>
      </c>
      <c r="J1965" s="1">
        <v>1</v>
      </c>
      <c r="K1965" s="1" t="s">
        <v>35</v>
      </c>
      <c r="L1965" s="1">
        <v>36</v>
      </c>
      <c r="M1965" s="1" t="str">
        <f>IF(L1965&lt;=45,"Joven","Mayor")</f>
        <v>Joven</v>
      </c>
      <c r="N1965" s="1">
        <v>48</v>
      </c>
      <c r="O1965" s="1" t="s">
        <v>36</v>
      </c>
      <c r="P1965" s="1">
        <v>0.39900000000000002</v>
      </c>
      <c r="Q1965" s="1">
        <v>91.917000000000002</v>
      </c>
      <c r="R1965" s="1">
        <v>-2.665816</v>
      </c>
      <c r="S1965" s="1">
        <v>6.1917872000000003</v>
      </c>
      <c r="T1965" s="1">
        <v>-4.742699</v>
      </c>
      <c r="U1965" s="1">
        <v>25.794</v>
      </c>
      <c r="V1965" s="1">
        <v>99</v>
      </c>
      <c r="W1965" s="1">
        <v>171</v>
      </c>
      <c r="X1965" s="1">
        <v>1.7272727272727273</v>
      </c>
      <c r="Y1965" s="1">
        <v>103</v>
      </c>
      <c r="Z1965" s="1">
        <v>171</v>
      </c>
      <c r="AA1965" s="1">
        <v>1.6601941747572815</v>
      </c>
      <c r="AB1965" s="1">
        <v>102.96045192610271</v>
      </c>
      <c r="AC1965" s="1">
        <v>171.07595367256229</v>
      </c>
      <c r="AD1965" s="1">
        <v>1.6615695684334</v>
      </c>
      <c r="AE1965" t="s">
        <v>4817</v>
      </c>
      <c r="AF1965" t="str">
        <f>IF(X1965&lt;$AF$1,"Bajo","Alto")</f>
        <v>Bajo</v>
      </c>
      <c r="AG1965" t="str">
        <f>LEFT(AE1965,1)</f>
        <v>C</v>
      </c>
      <c r="AH1965" t="str">
        <f>K1965</f>
        <v>M</v>
      </c>
      <c r="AI1965" t="str">
        <f>LEFT(AF1965,1)</f>
        <v>B</v>
      </c>
      <c r="AJ1965" t="str">
        <f>LEFT(M1965,1)</f>
        <v>J</v>
      </c>
      <c r="AK1965" t="str">
        <f>_xlfn.CONCAT(AG1965,AH1965,AI1965,AJ1965)</f>
        <v>CMBJ</v>
      </c>
    </row>
    <row r="1966" spans="1:37" ht="15.75" hidden="1" customHeight="1" x14ac:dyDescent="0.2">
      <c r="A1966" s="1">
        <v>10730404</v>
      </c>
      <c r="B1966" s="1" t="s">
        <v>1067</v>
      </c>
      <c r="C1966" s="1" t="s">
        <v>1068</v>
      </c>
      <c r="D1966" s="1" t="s">
        <v>1365</v>
      </c>
      <c r="E1966" s="1" t="s">
        <v>1366</v>
      </c>
      <c r="F1966" s="1" t="s">
        <v>61</v>
      </c>
      <c r="G1966" s="1" t="s">
        <v>1368</v>
      </c>
      <c r="H1966" s="1">
        <v>231</v>
      </c>
      <c r="I1966" s="1" t="s">
        <v>91</v>
      </c>
      <c r="J1966" s="1">
        <v>6</v>
      </c>
      <c r="K1966" s="1" t="s">
        <v>35</v>
      </c>
      <c r="L1966" s="1">
        <v>49</v>
      </c>
      <c r="M1966" s="1" t="str">
        <f>IF(L1966&lt;=45,"Joven","Mayor")</f>
        <v>Mayor</v>
      </c>
      <c r="N1966" s="1">
        <v>50</v>
      </c>
      <c r="O1966" s="1" t="s">
        <v>36</v>
      </c>
      <c r="P1966" s="1">
        <v>1.0369999999999999</v>
      </c>
      <c r="Q1966" s="1">
        <v>78.430000000000007</v>
      </c>
      <c r="R1966" s="1">
        <v>10.616282999999999</v>
      </c>
      <c r="S1966" s="1">
        <v>3.4267745000000001</v>
      </c>
      <c r="T1966" s="1">
        <v>-10.373901999999999</v>
      </c>
      <c r="U1966" s="1">
        <v>4.9269999999999996</v>
      </c>
      <c r="V1966" s="1">
        <v>107</v>
      </c>
      <c r="W1966" s="1">
        <v>195</v>
      </c>
      <c r="X1966" s="1">
        <v>1.8224299065420562</v>
      </c>
      <c r="Y1966" s="1">
        <v>120</v>
      </c>
      <c r="Z1966" s="1">
        <v>195</v>
      </c>
      <c r="AA1966" s="1">
        <v>1.625</v>
      </c>
      <c r="AB1966" s="1">
        <v>115.6950592059009</v>
      </c>
      <c r="AC1966" s="1">
        <v>195.05373097891919</v>
      </c>
      <c r="AD1966" s="1">
        <v>1.6859296526378429</v>
      </c>
      <c r="AE1966" t="s">
        <v>4817</v>
      </c>
      <c r="AF1966" t="str">
        <f>IF(X1966&lt;$AF$1,"Bajo","Alto")</f>
        <v>Alto</v>
      </c>
      <c r="AG1966" t="str">
        <f>LEFT(AE1966,1)</f>
        <v>C</v>
      </c>
      <c r="AH1966" t="str">
        <f>K1966</f>
        <v>M</v>
      </c>
      <c r="AI1966" t="str">
        <f>LEFT(AF1966,1)</f>
        <v>A</v>
      </c>
      <c r="AJ1966" t="str">
        <f>LEFT(M1966,1)</f>
        <v>M</v>
      </c>
      <c r="AK1966" t="str">
        <f>_xlfn.CONCAT(AG1966,AH1966,AI1966,AJ1966)</f>
        <v>CMAM</v>
      </c>
    </row>
    <row r="1967" spans="1:37" ht="15.75" hidden="1" customHeight="1" x14ac:dyDescent="0.2">
      <c r="A1967" s="1">
        <v>10719302</v>
      </c>
      <c r="B1967" s="1" t="s">
        <v>1067</v>
      </c>
      <c r="C1967" s="1" t="s">
        <v>1068</v>
      </c>
      <c r="D1967" s="1" t="s">
        <v>1209</v>
      </c>
      <c r="E1967" s="1" t="s">
        <v>342</v>
      </c>
      <c r="F1967" s="1" t="s">
        <v>37</v>
      </c>
      <c r="G1967" s="1" t="s">
        <v>1210</v>
      </c>
      <c r="H1967" s="1">
        <v>25</v>
      </c>
      <c r="I1967" s="1" t="s">
        <v>65</v>
      </c>
      <c r="J1967" s="1">
        <v>2</v>
      </c>
      <c r="K1967" s="1" t="s">
        <v>49</v>
      </c>
      <c r="L1967" s="1">
        <v>40</v>
      </c>
      <c r="M1967" s="1" t="str">
        <f>IF(L1967&lt;=45,"Joven","Mayor")</f>
        <v>Joven</v>
      </c>
      <c r="N1967" s="1">
        <v>47</v>
      </c>
      <c r="O1967" s="1" t="s">
        <v>50</v>
      </c>
      <c r="P1967" s="1">
        <v>4.2000000000000003E-2</v>
      </c>
      <c r="Q1967" s="1">
        <v>83.27</v>
      </c>
      <c r="R1967" s="1">
        <v>9.2137419999999999</v>
      </c>
      <c r="S1967" s="1">
        <v>3.4462989999999998</v>
      </c>
      <c r="T1967" s="1">
        <v>-9.3082750000000001</v>
      </c>
      <c r="U1967" s="1">
        <v>85.918000000000006</v>
      </c>
      <c r="V1967" s="1">
        <v>82</v>
      </c>
      <c r="W1967" s="1">
        <v>142</v>
      </c>
      <c r="X1967" s="1">
        <v>1.7317073170731707</v>
      </c>
      <c r="Y1967" s="1">
        <v>90</v>
      </c>
      <c r="Z1967" s="1">
        <v>142</v>
      </c>
      <c r="AA1967" s="1">
        <v>1.5777777777777777</v>
      </c>
      <c r="AB1967" s="1">
        <v>87.875346960968272</v>
      </c>
      <c r="AC1967" s="1">
        <v>142.7181375702821</v>
      </c>
      <c r="AD1967" s="1">
        <v>1.6240975712297721</v>
      </c>
      <c r="AE1967" t="s">
        <v>4817</v>
      </c>
      <c r="AF1967" t="str">
        <f>IF(X1967&lt;$AF$1,"Bajo","Alto")</f>
        <v>Bajo</v>
      </c>
      <c r="AG1967" t="str">
        <f>LEFT(AE1967,1)</f>
        <v>C</v>
      </c>
      <c r="AH1967" t="str">
        <f>K1967</f>
        <v>F</v>
      </c>
      <c r="AI1967" t="str">
        <f>LEFT(AF1967,1)</f>
        <v>B</v>
      </c>
      <c r="AJ1967" t="str">
        <f>LEFT(M1967,1)</f>
        <v>J</v>
      </c>
      <c r="AK1967" t="str">
        <f>_xlfn.CONCAT(AG1967,AH1967,AI1967,AJ1967)</f>
        <v>CFBJ</v>
      </c>
    </row>
    <row r="1968" spans="1:37" ht="15.75" hidden="1" customHeight="1" x14ac:dyDescent="0.2">
      <c r="A1968" s="1">
        <v>211001</v>
      </c>
      <c r="B1968" s="1" t="s">
        <v>2816</v>
      </c>
      <c r="C1968" s="1" t="s">
        <v>2817</v>
      </c>
      <c r="D1968" s="1" t="s">
        <v>2827</v>
      </c>
      <c r="E1968" s="1" t="s">
        <v>75</v>
      </c>
      <c r="F1968" s="1" t="s">
        <v>32</v>
      </c>
      <c r="G1968" s="1" t="s">
        <v>2828</v>
      </c>
      <c r="H1968" s="1">
        <v>8607</v>
      </c>
      <c r="I1968" s="1" t="s">
        <v>39</v>
      </c>
      <c r="J1968" s="1">
        <v>11</v>
      </c>
      <c r="K1968" s="1" t="s">
        <v>35</v>
      </c>
      <c r="L1968" s="1">
        <v>52</v>
      </c>
      <c r="M1968" s="1" t="str">
        <f>IF(L1968&lt;=45,"Joven","Mayor")</f>
        <v>Mayor</v>
      </c>
      <c r="N1968" s="1">
        <v>59</v>
      </c>
      <c r="O1968" s="1" t="s">
        <v>36</v>
      </c>
      <c r="P1968" s="1">
        <v>0.01</v>
      </c>
      <c r="Q1968" s="1">
        <v>93.622</v>
      </c>
      <c r="R1968" s="1">
        <v>0.80690830000000002</v>
      </c>
      <c r="S1968" s="1">
        <v>5.073728</v>
      </c>
      <c r="T1968" s="1">
        <v>1.0021994999999999</v>
      </c>
      <c r="U1968" s="1">
        <v>0.32700000000000001</v>
      </c>
      <c r="V1968" s="1">
        <v>117</v>
      </c>
      <c r="W1968" s="1">
        <v>211</v>
      </c>
      <c r="X1968" s="1">
        <v>1.8034188034188035</v>
      </c>
      <c r="Y1968" s="1">
        <v>118</v>
      </c>
      <c r="Z1968" s="1">
        <v>211</v>
      </c>
      <c r="AA1968" s="1">
        <v>1.7881355932203389</v>
      </c>
      <c r="AB1968" s="1">
        <v>118.9089607068358</v>
      </c>
      <c r="AC1968" s="1">
        <v>210.95023136936291</v>
      </c>
      <c r="AD1968" s="1">
        <v>1.774048230809538</v>
      </c>
      <c r="AE1968" t="s">
        <v>4816</v>
      </c>
      <c r="AF1968" t="str">
        <f>IF(X1968&lt;$AF$1,"Bajo","Alto")</f>
        <v>Alto</v>
      </c>
      <c r="AG1968" t="str">
        <f>LEFT(AE1968,1)</f>
        <v>D</v>
      </c>
      <c r="AH1968" t="str">
        <f>K1968</f>
        <v>M</v>
      </c>
      <c r="AI1968" t="str">
        <f>LEFT(AF1968,1)</f>
        <v>A</v>
      </c>
      <c r="AJ1968" t="str">
        <f>LEFT(M1968,1)</f>
        <v>M</v>
      </c>
      <c r="AK1968" t="str">
        <f>_xlfn.CONCAT(AG1968,AH1968,AI1968,AJ1968)</f>
        <v>DMAM</v>
      </c>
    </row>
    <row r="1969" spans="1:37" ht="15.75" hidden="1" customHeight="1" x14ac:dyDescent="0.2">
      <c r="A1969" s="1">
        <v>1285006</v>
      </c>
      <c r="B1969" s="1" t="s">
        <v>1798</v>
      </c>
      <c r="C1969" s="1" t="s">
        <v>54</v>
      </c>
      <c r="D1969" s="1" t="s">
        <v>1931</v>
      </c>
      <c r="E1969" s="1" t="s">
        <v>1932</v>
      </c>
      <c r="F1969" s="1" t="s">
        <v>88</v>
      </c>
      <c r="G1969" s="1" t="s">
        <v>1937</v>
      </c>
      <c r="H1969" s="1">
        <v>5201</v>
      </c>
      <c r="I1969" s="1" t="s">
        <v>1938</v>
      </c>
      <c r="J1969" s="1">
        <v>2951</v>
      </c>
      <c r="K1969" s="1" t="s">
        <v>35</v>
      </c>
      <c r="L1969" s="1">
        <v>40</v>
      </c>
      <c r="M1969" s="1" t="str">
        <f>IF(L1969&lt;=45,"Joven","Mayor")</f>
        <v>Joven</v>
      </c>
      <c r="N1969" s="1">
        <v>43</v>
      </c>
      <c r="O1969" s="1" t="s">
        <v>36</v>
      </c>
      <c r="P1969" s="1">
        <v>0.36</v>
      </c>
      <c r="Q1969" s="1">
        <v>80.301000000000002</v>
      </c>
      <c r="R1969" s="1">
        <v>10.211952999999999</v>
      </c>
      <c r="S1969" s="1">
        <v>3.2495747000000001</v>
      </c>
      <c r="T1969" s="1">
        <v>-4.8271959999999998</v>
      </c>
      <c r="U1969" s="1">
        <v>4.4349999999999996</v>
      </c>
      <c r="V1969" s="1">
        <v>91</v>
      </c>
      <c r="W1969" s="1">
        <v>166</v>
      </c>
      <c r="X1969" s="1">
        <v>1.8241758241758241</v>
      </c>
      <c r="Y1969" s="1">
        <v>96</v>
      </c>
      <c r="Z1969" s="1">
        <v>166</v>
      </c>
      <c r="AA1969" s="1">
        <v>1.7291666666666667</v>
      </c>
      <c r="AB1969" s="1">
        <v>94.043258750047016</v>
      </c>
      <c r="AC1969" s="1">
        <v>165.24290107172331</v>
      </c>
      <c r="AD1969" s="1">
        <v>1.7570945888946101</v>
      </c>
      <c r="AE1969" t="s">
        <v>4817</v>
      </c>
      <c r="AF1969" t="str">
        <f>IF(X1969&lt;$AF$1,"Bajo","Alto")</f>
        <v>Alto</v>
      </c>
      <c r="AG1969" t="str">
        <f>LEFT(AE1969,1)</f>
        <v>C</v>
      </c>
      <c r="AH1969" t="str">
        <f>K1969</f>
        <v>M</v>
      </c>
      <c r="AI1969" t="str">
        <f>LEFT(AF1969,1)</f>
        <v>A</v>
      </c>
      <c r="AJ1969" t="str">
        <f>LEFT(M1969,1)</f>
        <v>J</v>
      </c>
      <c r="AK1969" t="str">
        <f>_xlfn.CONCAT(AG1969,AH1969,AI1969,AJ1969)</f>
        <v>CMAJ</v>
      </c>
    </row>
    <row r="1970" spans="1:37" ht="15.75" hidden="1" customHeight="1" x14ac:dyDescent="0.2">
      <c r="A1970" s="1">
        <v>254301</v>
      </c>
      <c r="B1970" s="1" t="s">
        <v>3169</v>
      </c>
      <c r="C1970" s="1" t="s">
        <v>821</v>
      </c>
      <c r="D1970" s="1" t="s">
        <v>3252</v>
      </c>
      <c r="E1970" s="1" t="s">
        <v>665</v>
      </c>
      <c r="F1970" s="1" t="s">
        <v>32</v>
      </c>
      <c r="G1970" s="1" t="s">
        <v>3253</v>
      </c>
      <c r="H1970" s="1">
        <v>2729</v>
      </c>
      <c r="I1970" s="1" t="s">
        <v>91</v>
      </c>
      <c r="J1970" s="1">
        <v>6</v>
      </c>
      <c r="K1970" s="1" t="s">
        <v>35</v>
      </c>
      <c r="L1970" s="1">
        <v>39</v>
      </c>
      <c r="M1970" s="1" t="str">
        <f>IF(L1970&lt;=45,"Joven","Mayor")</f>
        <v>Joven</v>
      </c>
      <c r="N1970" s="1">
        <v>53</v>
      </c>
      <c r="O1970" s="1" t="s">
        <v>36</v>
      </c>
      <c r="P1970" s="1">
        <v>0.39</v>
      </c>
      <c r="Q1970" s="1">
        <v>85.515000000000001</v>
      </c>
      <c r="R1970" s="1">
        <v>7.5453663000000004</v>
      </c>
      <c r="S1970" s="1">
        <v>6.0621103999999999</v>
      </c>
      <c r="T1970" s="1">
        <v>-13.523462</v>
      </c>
      <c r="U1970" s="1">
        <v>0.86399999999999999</v>
      </c>
      <c r="V1970" s="1">
        <v>108</v>
      </c>
      <c r="W1970" s="1">
        <v>197</v>
      </c>
      <c r="X1970" s="1">
        <v>1.8240740740740742</v>
      </c>
      <c r="Y1970" s="1">
        <v>117</v>
      </c>
      <c r="Z1970" s="1">
        <v>197</v>
      </c>
      <c r="AA1970" s="1">
        <v>1.6837606837606838</v>
      </c>
      <c r="AB1970" s="1">
        <v>120.6731343042006</v>
      </c>
      <c r="AC1970" s="1">
        <v>196.44874027323979</v>
      </c>
      <c r="AD1970" s="1">
        <v>1.6279409779646492</v>
      </c>
      <c r="AE1970" t="s">
        <v>4817</v>
      </c>
      <c r="AF1970" t="str">
        <f>IF(X1970&lt;$AF$1,"Bajo","Alto")</f>
        <v>Alto</v>
      </c>
      <c r="AG1970" t="str">
        <f>LEFT(AE1970,1)</f>
        <v>C</v>
      </c>
      <c r="AH1970" t="str">
        <f>K1970</f>
        <v>M</v>
      </c>
      <c r="AI1970" t="str">
        <f>LEFT(AF1970,1)</f>
        <v>A</v>
      </c>
      <c r="AJ1970" t="str">
        <f>LEFT(M1970,1)</f>
        <v>J</v>
      </c>
      <c r="AK1970" t="str">
        <f>_xlfn.CONCAT(AG1970,AH1970,AI1970,AJ1970)</f>
        <v>CMAJ</v>
      </c>
    </row>
    <row r="1971" spans="1:37" ht="15.75" hidden="1" customHeight="1" x14ac:dyDescent="0.2">
      <c r="A1971" s="1">
        <v>10122303</v>
      </c>
      <c r="B1971" s="1" t="s">
        <v>29</v>
      </c>
      <c r="C1971" s="1" t="s">
        <v>30</v>
      </c>
      <c r="D1971" s="1" t="s">
        <v>422</v>
      </c>
      <c r="E1971" s="1" t="s">
        <v>423</v>
      </c>
      <c r="F1971" s="1" t="s">
        <v>63</v>
      </c>
      <c r="G1971" s="1" t="s">
        <v>426</v>
      </c>
      <c r="H1971" s="1">
        <v>840</v>
      </c>
      <c r="I1971" s="1" t="s">
        <v>65</v>
      </c>
      <c r="J1971" s="1">
        <v>2</v>
      </c>
      <c r="K1971" s="1" t="s">
        <v>49</v>
      </c>
      <c r="L1971" s="1">
        <v>51</v>
      </c>
      <c r="M1971" s="1" t="str">
        <f>IF(L1971&lt;=45,"Joven","Mayor")</f>
        <v>Mayor</v>
      </c>
      <c r="N1971" s="1">
        <v>56</v>
      </c>
      <c r="O1971" s="1" t="s">
        <v>50</v>
      </c>
      <c r="P1971" s="1">
        <v>0.318</v>
      </c>
      <c r="Q1971" s="1">
        <v>93.775000000000006</v>
      </c>
      <c r="R1971" s="1">
        <v>-1.8289949000000001</v>
      </c>
      <c r="S1971" s="1">
        <v>1.6518505999999999</v>
      </c>
      <c r="T1971" s="1">
        <v>-4.6802900000000003</v>
      </c>
      <c r="U1971" s="1">
        <v>1.161</v>
      </c>
      <c r="V1971" s="1">
        <v>123</v>
      </c>
      <c r="W1971" s="1">
        <v>223</v>
      </c>
      <c r="X1971" s="1">
        <v>1.8130081300813008</v>
      </c>
      <c r="Y1971" s="1">
        <v>128</v>
      </c>
      <c r="Z1971" s="1">
        <v>223</v>
      </c>
      <c r="AA1971" s="1">
        <v>1.7421875</v>
      </c>
      <c r="AB1971" s="1">
        <v>128.54634125035861</v>
      </c>
      <c r="AC1971" s="1">
        <v>223.23555773081759</v>
      </c>
      <c r="AD1971" s="1">
        <v>1.7366154147945834</v>
      </c>
      <c r="AE1971" t="s">
        <v>4817</v>
      </c>
      <c r="AF1971" t="str">
        <f>IF(X1971&lt;$AF$1,"Bajo","Alto")</f>
        <v>Alto</v>
      </c>
      <c r="AG1971" t="str">
        <f>LEFT(AE1971,1)</f>
        <v>C</v>
      </c>
      <c r="AH1971" t="str">
        <f>K1971</f>
        <v>F</v>
      </c>
      <c r="AI1971" t="str">
        <f>LEFT(AF1971,1)</f>
        <v>A</v>
      </c>
      <c r="AJ1971" t="str">
        <f>LEFT(M1971,1)</f>
        <v>M</v>
      </c>
      <c r="AK1971" t="str">
        <f>_xlfn.CONCAT(AG1971,AH1971,AI1971,AJ1971)</f>
        <v>CFAM</v>
      </c>
    </row>
    <row r="1972" spans="1:37" ht="15.75" hidden="1" customHeight="1" x14ac:dyDescent="0.2">
      <c r="A1972" s="1">
        <v>10123701</v>
      </c>
      <c r="B1972" s="1" t="s">
        <v>29</v>
      </c>
      <c r="C1972" s="1" t="s">
        <v>30</v>
      </c>
      <c r="D1972" s="1" t="s">
        <v>472</v>
      </c>
      <c r="E1972" s="1" t="s">
        <v>473</v>
      </c>
      <c r="F1972" s="1" t="s">
        <v>32</v>
      </c>
      <c r="G1972" s="1" t="s">
        <v>474</v>
      </c>
      <c r="H1972" s="1">
        <v>17</v>
      </c>
      <c r="I1972" s="1" t="s">
        <v>34</v>
      </c>
      <c r="J1972" s="1">
        <v>10</v>
      </c>
      <c r="K1972" s="1" t="s">
        <v>35</v>
      </c>
      <c r="L1972" s="1">
        <v>65</v>
      </c>
      <c r="M1972" s="1" t="str">
        <f>IF(L1972&lt;=45,"Joven","Mayor")</f>
        <v>Mayor</v>
      </c>
      <c r="N1972" s="1">
        <v>62</v>
      </c>
      <c r="O1972" s="1" t="s">
        <v>36</v>
      </c>
      <c r="P1972" s="1">
        <v>0.373</v>
      </c>
      <c r="Q1972" s="1">
        <v>88.350999999999999</v>
      </c>
      <c r="R1972" s="1">
        <v>7.0329223000000001</v>
      </c>
      <c r="S1972" s="1">
        <v>1.8653408</v>
      </c>
      <c r="T1972" s="1">
        <v>-4.5590339999999996</v>
      </c>
      <c r="U1972" s="1">
        <v>19.212</v>
      </c>
      <c r="V1972" s="1">
        <v>110</v>
      </c>
      <c r="W1972" s="1">
        <v>186</v>
      </c>
      <c r="X1972" s="1">
        <v>1.6909090909090909</v>
      </c>
      <c r="Y1972" s="1">
        <v>112</v>
      </c>
      <c r="Z1972" s="1">
        <v>186</v>
      </c>
      <c r="AA1972" s="1">
        <v>1.6607142857142858</v>
      </c>
      <c r="AB1972" s="1">
        <v>112.6724323592136</v>
      </c>
      <c r="AC1972" s="1">
        <v>185.411489531657</v>
      </c>
      <c r="AD1972" s="1">
        <v>1.6455798960702501</v>
      </c>
      <c r="AE1972" t="s">
        <v>4815</v>
      </c>
      <c r="AF1972" t="str">
        <f>IF(X1972&lt;$AF$1,"Bajo","Alto")</f>
        <v>Bajo</v>
      </c>
      <c r="AG1972" t="str">
        <f>LEFT(AE1972,1)</f>
        <v>I</v>
      </c>
      <c r="AH1972" t="str">
        <f>K1972</f>
        <v>M</v>
      </c>
      <c r="AI1972" t="str">
        <f>LEFT(AF1972,1)</f>
        <v>B</v>
      </c>
      <c r="AJ1972" t="str">
        <f>LEFT(M1972,1)</f>
        <v>M</v>
      </c>
      <c r="AK1972" t="str">
        <f>_xlfn.CONCAT(AG1972,AH1972,AI1972,AJ1972)</f>
        <v>IMBM</v>
      </c>
    </row>
    <row r="1973" spans="1:37" ht="15.75" hidden="1" customHeight="1" x14ac:dyDescent="0.2">
      <c r="A1973" s="1">
        <v>1513302</v>
      </c>
      <c r="B1973" s="1" t="s">
        <v>2077</v>
      </c>
      <c r="C1973" s="1" t="s">
        <v>57</v>
      </c>
      <c r="D1973" s="1" t="s">
        <v>2149</v>
      </c>
      <c r="E1973" s="1" t="s">
        <v>169</v>
      </c>
      <c r="F1973" s="1" t="s">
        <v>37</v>
      </c>
      <c r="G1973" s="1" t="s">
        <v>2151</v>
      </c>
      <c r="H1973" s="1">
        <v>51</v>
      </c>
      <c r="I1973" s="1" t="s">
        <v>42</v>
      </c>
      <c r="J1973" s="1">
        <v>15</v>
      </c>
      <c r="K1973" s="1" t="s">
        <v>35</v>
      </c>
      <c r="L1973" s="1">
        <v>46</v>
      </c>
      <c r="M1973" s="1" t="str">
        <f>IF(L1973&lt;=45,"Joven","Mayor")</f>
        <v>Mayor</v>
      </c>
      <c r="N1973" s="1">
        <v>55</v>
      </c>
      <c r="O1973" s="1" t="s">
        <v>36</v>
      </c>
      <c r="P1973" s="1">
        <v>0.29599999999999999</v>
      </c>
      <c r="Q1973" s="1">
        <v>91.099000000000004</v>
      </c>
      <c r="R1973" s="1">
        <v>4.8650574999999998</v>
      </c>
      <c r="S1973" s="1">
        <v>2.5363120000000001</v>
      </c>
      <c r="T1973" s="1">
        <v>-2.7454866999999998</v>
      </c>
      <c r="U1973" s="1">
        <v>6.4370000000000003</v>
      </c>
      <c r="V1973" s="1">
        <v>90</v>
      </c>
      <c r="W1973" s="1">
        <v>164</v>
      </c>
      <c r="X1973" s="1">
        <v>1.8222222222222222</v>
      </c>
      <c r="Y1973" s="1">
        <v>92</v>
      </c>
      <c r="Z1973" s="1">
        <v>164</v>
      </c>
      <c r="AA1973" s="1">
        <v>1.7826086956521738</v>
      </c>
      <c r="AB1973" s="1">
        <v>93.906175749895283</v>
      </c>
      <c r="AC1973" s="1">
        <v>163.76385523836689</v>
      </c>
      <c r="AD1973" s="1">
        <v>1.7439093215181805</v>
      </c>
      <c r="AE1973" t="s">
        <v>4817</v>
      </c>
      <c r="AF1973" t="str">
        <f>IF(X1973&lt;$AF$1,"Bajo","Alto")</f>
        <v>Alto</v>
      </c>
      <c r="AG1973" t="str">
        <f>LEFT(AE1973,1)</f>
        <v>C</v>
      </c>
      <c r="AH1973" t="str">
        <f>K1973</f>
        <v>M</v>
      </c>
      <c r="AI1973" t="str">
        <f>LEFT(AF1973,1)</f>
        <v>A</v>
      </c>
      <c r="AJ1973" t="str">
        <f>LEFT(M1973,1)</f>
        <v>M</v>
      </c>
      <c r="AK1973" t="str">
        <f>_xlfn.CONCAT(AG1973,AH1973,AI1973,AJ1973)</f>
        <v>CMAM</v>
      </c>
    </row>
    <row r="1974" spans="1:37" ht="15.75" hidden="1" customHeight="1" x14ac:dyDescent="0.2">
      <c r="A1974" s="1">
        <v>1019101</v>
      </c>
      <c r="B1974" s="1" t="s">
        <v>29</v>
      </c>
      <c r="C1974" s="1" t="s">
        <v>30</v>
      </c>
      <c r="D1974" s="1" t="s">
        <v>769</v>
      </c>
      <c r="E1974" s="1" t="s">
        <v>770</v>
      </c>
      <c r="F1974" s="1" t="s">
        <v>32</v>
      </c>
      <c r="G1974" s="1" t="s">
        <v>771</v>
      </c>
      <c r="H1974" s="1">
        <v>1870</v>
      </c>
      <c r="I1974" s="1" t="s">
        <v>108</v>
      </c>
      <c r="J1974" s="1">
        <v>3</v>
      </c>
      <c r="K1974" s="1" t="s">
        <v>35</v>
      </c>
      <c r="L1974" s="1">
        <v>41</v>
      </c>
      <c r="M1974" s="1" t="str">
        <f>IF(L1974&lt;=45,"Joven","Mayor")</f>
        <v>Joven</v>
      </c>
      <c r="N1974" s="1">
        <v>51</v>
      </c>
      <c r="O1974" s="1" t="s">
        <v>36</v>
      </c>
      <c r="P1974" s="1">
        <v>6.37</v>
      </c>
      <c r="Q1974" s="1">
        <v>38.719000000000001</v>
      </c>
      <c r="R1974" s="1">
        <v>15.84036</v>
      </c>
      <c r="S1974" s="1">
        <v>-9.6529255000000003</v>
      </c>
      <c r="T1974" s="1">
        <v>-2.9113462000000001</v>
      </c>
      <c r="U1974" s="1">
        <v>5.39</v>
      </c>
      <c r="V1974" s="1">
        <v>68</v>
      </c>
      <c r="W1974" s="1">
        <v>124</v>
      </c>
      <c r="X1974" s="1">
        <v>1.8235294117647058</v>
      </c>
      <c r="Y1974" s="1">
        <v>69</v>
      </c>
      <c r="Z1974" s="1">
        <v>124</v>
      </c>
      <c r="AA1974" s="1">
        <v>1.7971014492753623</v>
      </c>
      <c r="AB1974" s="1">
        <v>69.435955096173075</v>
      </c>
      <c r="AC1974" s="1">
        <v>123.6367926695448</v>
      </c>
      <c r="AD1974" s="1">
        <v>1.7805874852344183</v>
      </c>
      <c r="AE1974" t="s">
        <v>4817</v>
      </c>
      <c r="AF1974" t="str">
        <f>IF(X1974&lt;$AF$1,"Bajo","Alto")</f>
        <v>Alto</v>
      </c>
      <c r="AG1974" t="str">
        <f>LEFT(AE1974,1)</f>
        <v>C</v>
      </c>
      <c r="AH1974" t="str">
        <f>K1974</f>
        <v>M</v>
      </c>
      <c r="AI1974" t="str">
        <f>LEFT(AF1974,1)</f>
        <v>A</v>
      </c>
      <c r="AJ1974" t="str">
        <f>LEFT(M1974,1)</f>
        <v>J</v>
      </c>
      <c r="AK1974" t="str">
        <f>_xlfn.CONCAT(AG1974,AH1974,AI1974,AJ1974)</f>
        <v>CMAJ</v>
      </c>
    </row>
    <row r="1975" spans="1:37" ht="15.75" hidden="1" customHeight="1" x14ac:dyDescent="0.2">
      <c r="A1975" s="1">
        <v>262004</v>
      </c>
      <c r="B1975" s="1" t="s">
        <v>3358</v>
      </c>
      <c r="C1975" s="1" t="s">
        <v>968</v>
      </c>
      <c r="D1975" s="1" t="s">
        <v>3372</v>
      </c>
      <c r="E1975" s="1" t="s">
        <v>1983</v>
      </c>
      <c r="F1975" s="1" t="s">
        <v>61</v>
      </c>
      <c r="G1975" s="1" t="s">
        <v>3376</v>
      </c>
      <c r="H1975" s="1">
        <v>5084</v>
      </c>
      <c r="I1975" s="1" t="s">
        <v>3377</v>
      </c>
      <c r="J1975" s="1">
        <v>3484</v>
      </c>
      <c r="K1975" s="1" t="s">
        <v>49</v>
      </c>
      <c r="L1975" s="1">
        <v>37</v>
      </c>
      <c r="M1975" s="1" t="str">
        <f>IF(L1975&lt;=45,"Joven","Mayor")</f>
        <v>Joven</v>
      </c>
      <c r="N1975" s="1">
        <v>34</v>
      </c>
      <c r="O1975" s="1" t="s">
        <v>50</v>
      </c>
      <c r="P1975" s="1">
        <v>0.64100000000000001</v>
      </c>
      <c r="Q1975" s="1">
        <v>82.617999999999995</v>
      </c>
      <c r="R1975" s="1">
        <v>9.4239660000000001</v>
      </c>
      <c r="S1975" s="1">
        <v>2.9844270000000002</v>
      </c>
      <c r="T1975" s="1">
        <v>-4.0521946</v>
      </c>
      <c r="U1975" s="1">
        <v>22.154</v>
      </c>
      <c r="V1975" s="1">
        <v>63</v>
      </c>
      <c r="W1975" s="1">
        <v>116</v>
      </c>
      <c r="X1975" s="1">
        <v>1.8412698412698412</v>
      </c>
      <c r="Y1975" s="1">
        <v>65</v>
      </c>
      <c r="Z1975" s="1">
        <v>116</v>
      </c>
      <c r="AA1975" s="1">
        <v>1.7846153846153847</v>
      </c>
      <c r="AB1975" s="1">
        <v>65.033126688908851</v>
      </c>
      <c r="AC1975" s="1">
        <v>115.5686801068409</v>
      </c>
      <c r="AD1975" s="1">
        <v>1.7770740235153217</v>
      </c>
      <c r="AE1975" t="s">
        <v>4817</v>
      </c>
      <c r="AF1975" t="str">
        <f>IF(X1975&lt;$AF$1,"Bajo","Alto")</f>
        <v>Alto</v>
      </c>
      <c r="AG1975" t="str">
        <f>LEFT(AE1975,1)</f>
        <v>C</v>
      </c>
      <c r="AH1975" t="str">
        <f>K1975</f>
        <v>F</v>
      </c>
      <c r="AI1975" t="str">
        <f>LEFT(AF1975,1)</f>
        <v>A</v>
      </c>
      <c r="AJ1975" t="str">
        <f>LEFT(M1975,1)</f>
        <v>J</v>
      </c>
      <c r="AK1975" t="str">
        <f>_xlfn.CONCAT(AG1975,AH1975,AI1975,AJ1975)</f>
        <v>CFAJ</v>
      </c>
    </row>
    <row r="1976" spans="1:37" ht="15.75" hidden="1" customHeight="1" x14ac:dyDescent="0.2">
      <c r="A1976" s="1">
        <v>170610</v>
      </c>
      <c r="B1976" s="1" t="s">
        <v>2551</v>
      </c>
      <c r="C1976" s="1" t="s">
        <v>2552</v>
      </c>
      <c r="D1976" s="1" t="s">
        <v>2570</v>
      </c>
      <c r="E1976" s="1" t="s">
        <v>88</v>
      </c>
      <c r="F1976" s="1" t="s">
        <v>75</v>
      </c>
      <c r="G1976" s="1" t="s">
        <v>2573</v>
      </c>
      <c r="H1976" s="1">
        <v>3323</v>
      </c>
      <c r="I1976" s="1" t="s">
        <v>2574</v>
      </c>
      <c r="J1976" s="1">
        <v>2307</v>
      </c>
      <c r="K1976" s="1" t="s">
        <v>35</v>
      </c>
      <c r="L1976" s="1">
        <v>52</v>
      </c>
      <c r="M1976" s="1" t="str">
        <f>IF(L1976&lt;=45,"Joven","Mayor")</f>
        <v>Mayor</v>
      </c>
      <c r="N1976" s="1">
        <v>38</v>
      </c>
      <c r="O1976" s="1" t="s">
        <v>36</v>
      </c>
      <c r="P1976" s="1">
        <v>0.28499999999999998</v>
      </c>
      <c r="Q1976" s="1">
        <v>93.777000000000001</v>
      </c>
      <c r="R1976" s="1">
        <v>-1.0565977</v>
      </c>
      <c r="S1976" s="1">
        <v>3.7001225999999998</v>
      </c>
      <c r="T1976" s="1">
        <v>9.6864400000000003E-2</v>
      </c>
      <c r="U1976" s="1">
        <v>9.1419999999999995</v>
      </c>
      <c r="V1976" s="1">
        <v>84</v>
      </c>
      <c r="W1976" s="1">
        <v>153</v>
      </c>
      <c r="X1976" s="1">
        <v>1.8214285714285714</v>
      </c>
      <c r="Y1976" s="1">
        <v>89</v>
      </c>
      <c r="Z1976" s="1">
        <v>153</v>
      </c>
      <c r="AA1976" s="1">
        <v>1.7191011235955056</v>
      </c>
      <c r="AB1976" s="1">
        <v>89.070878092821658</v>
      </c>
      <c r="AC1976" s="1">
        <v>152.99978135253241</v>
      </c>
      <c r="AD1976" s="1">
        <v>1.7177306952457547</v>
      </c>
      <c r="AE1976" t="s">
        <v>4817</v>
      </c>
      <c r="AF1976" t="str">
        <f>IF(X1976&lt;$AF$1,"Bajo","Alto")</f>
        <v>Alto</v>
      </c>
      <c r="AG1976" t="str">
        <f>LEFT(AE1976,1)</f>
        <v>C</v>
      </c>
      <c r="AH1976" t="str">
        <f>K1976</f>
        <v>M</v>
      </c>
      <c r="AI1976" t="str">
        <f>LEFT(AF1976,1)</f>
        <v>A</v>
      </c>
      <c r="AJ1976" t="str">
        <f>LEFT(M1976,1)</f>
        <v>M</v>
      </c>
      <c r="AK1976" t="str">
        <f>_xlfn.CONCAT(AG1976,AH1976,AI1976,AJ1976)</f>
        <v>CMAM</v>
      </c>
    </row>
    <row r="1977" spans="1:37" ht="15.75" hidden="1" customHeight="1" x14ac:dyDescent="0.2">
      <c r="A1977" s="1">
        <v>1523802</v>
      </c>
      <c r="B1977" s="1" t="s">
        <v>2077</v>
      </c>
      <c r="C1977" s="1" t="s">
        <v>57</v>
      </c>
      <c r="D1977" s="1" t="s">
        <v>2285</v>
      </c>
      <c r="E1977" s="1" t="s">
        <v>478</v>
      </c>
      <c r="F1977" s="1" t="s">
        <v>37</v>
      </c>
      <c r="G1977" s="1" t="s">
        <v>2287</v>
      </c>
      <c r="H1977" s="1">
        <v>2674</v>
      </c>
      <c r="I1977" s="1" t="s">
        <v>2288</v>
      </c>
      <c r="J1977" s="1">
        <v>2565</v>
      </c>
      <c r="K1977" s="1" t="s">
        <v>49</v>
      </c>
      <c r="L1977" s="1">
        <v>40</v>
      </c>
      <c r="M1977" s="1" t="str">
        <f>IF(L1977&lt;=45,"Joven","Mayor")</f>
        <v>Joven</v>
      </c>
      <c r="N1977" s="1">
        <v>53</v>
      </c>
      <c r="O1977" s="1" t="s">
        <v>50</v>
      </c>
      <c r="P1977" s="1">
        <v>0.372</v>
      </c>
      <c r="Q1977" s="1">
        <v>93.602999999999994</v>
      </c>
      <c r="R1977" s="1">
        <v>0.76937299999999997</v>
      </c>
      <c r="S1977" s="1">
        <v>4.8916792999999998</v>
      </c>
      <c r="T1977" s="1">
        <v>2.6560054000000002</v>
      </c>
      <c r="U1977" s="1">
        <v>29.385999999999999</v>
      </c>
      <c r="V1977" s="1">
        <v>86</v>
      </c>
      <c r="W1977" s="1">
        <v>149</v>
      </c>
      <c r="X1977" s="1">
        <v>1.7325581395348837</v>
      </c>
      <c r="Y1977" s="1">
        <v>89</v>
      </c>
      <c r="Z1977" s="1">
        <v>149</v>
      </c>
      <c r="AA1977" s="1">
        <v>1.6741573033707866</v>
      </c>
      <c r="AB1977" s="1">
        <v>87.807531589805876</v>
      </c>
      <c r="AC1977" s="1">
        <v>149.07163412310999</v>
      </c>
      <c r="AD1977" s="1">
        <v>1.6977089712474807</v>
      </c>
      <c r="AE1977" t="s">
        <v>4817</v>
      </c>
      <c r="AF1977" t="str">
        <f>IF(X1977&lt;$AF$1,"Bajo","Alto")</f>
        <v>Bajo</v>
      </c>
      <c r="AG1977" t="str">
        <f>LEFT(AE1977,1)</f>
        <v>C</v>
      </c>
      <c r="AH1977" t="str">
        <f>K1977</f>
        <v>F</v>
      </c>
      <c r="AI1977" t="str">
        <f>LEFT(AF1977,1)</f>
        <v>B</v>
      </c>
      <c r="AJ1977" t="str">
        <f>LEFT(M1977,1)</f>
        <v>J</v>
      </c>
      <c r="AK1977" t="str">
        <f>_xlfn.CONCAT(AG1977,AH1977,AI1977,AJ1977)</f>
        <v>CFBJ</v>
      </c>
    </row>
    <row r="1978" spans="1:37" ht="15.75" hidden="1" customHeight="1" x14ac:dyDescent="0.2">
      <c r="A1978" s="1">
        <v>290703</v>
      </c>
      <c r="B1978" s="1" t="s">
        <v>3890</v>
      </c>
      <c r="C1978" s="1" t="s">
        <v>1695</v>
      </c>
      <c r="D1978" s="1" t="s">
        <v>3908</v>
      </c>
      <c r="E1978" s="1" t="s">
        <v>43</v>
      </c>
      <c r="F1978" s="1" t="s">
        <v>63</v>
      </c>
      <c r="G1978" s="1" t="s">
        <v>3911</v>
      </c>
      <c r="H1978" s="1">
        <v>1794</v>
      </c>
      <c r="I1978" s="1" t="s">
        <v>134</v>
      </c>
      <c r="J1978" s="1">
        <v>8</v>
      </c>
      <c r="K1978" s="1" t="s">
        <v>35</v>
      </c>
      <c r="L1978" s="1">
        <v>33</v>
      </c>
      <c r="M1978" s="1" t="str">
        <f>IF(L1978&lt;=45,"Joven","Mayor")</f>
        <v>Joven</v>
      </c>
      <c r="N1978" s="1">
        <v>43</v>
      </c>
      <c r="O1978" s="1" t="s">
        <v>36</v>
      </c>
      <c r="P1978" s="1">
        <v>0.34599999999999997</v>
      </c>
      <c r="Q1978" s="1">
        <v>91.042000000000002</v>
      </c>
      <c r="R1978" s="1">
        <v>5.0669737000000001</v>
      </c>
      <c r="S1978" s="1">
        <v>1.878652</v>
      </c>
      <c r="T1978" s="1">
        <v>-9.8116289999999999</v>
      </c>
      <c r="U1978" s="1">
        <v>15.225</v>
      </c>
      <c r="V1978" s="1">
        <v>85</v>
      </c>
      <c r="W1978" s="1">
        <v>155</v>
      </c>
      <c r="X1978" s="1">
        <v>1.8235294117647058</v>
      </c>
      <c r="Y1978" s="1">
        <v>97</v>
      </c>
      <c r="Z1978" s="1">
        <v>155</v>
      </c>
      <c r="AA1978" s="1">
        <v>1.597938144329897</v>
      </c>
      <c r="AB1978" s="1">
        <v>91.425160621387477</v>
      </c>
      <c r="AC1978" s="1">
        <v>155.45941839107081</v>
      </c>
      <c r="AD1978" s="1">
        <v>1.700400823301409</v>
      </c>
      <c r="AE1978" t="s">
        <v>4817</v>
      </c>
      <c r="AF1978" t="str">
        <f>IF(X1978&lt;$AF$1,"Bajo","Alto")</f>
        <v>Alto</v>
      </c>
      <c r="AG1978" t="str">
        <f>LEFT(AE1978,1)</f>
        <v>C</v>
      </c>
      <c r="AH1978" t="str">
        <f>K1978</f>
        <v>M</v>
      </c>
      <c r="AI1978" t="str">
        <f>LEFT(AF1978,1)</f>
        <v>A</v>
      </c>
      <c r="AJ1978" t="str">
        <f>LEFT(M1978,1)</f>
        <v>J</v>
      </c>
      <c r="AK1978" t="str">
        <f>_xlfn.CONCAT(AG1978,AH1978,AI1978,AJ1978)</f>
        <v>CMAJ</v>
      </c>
    </row>
    <row r="1979" spans="1:37" ht="15.75" hidden="1" customHeight="1" x14ac:dyDescent="0.2">
      <c r="A1979" s="1">
        <v>522705</v>
      </c>
      <c r="B1979" s="1" t="s">
        <v>4529</v>
      </c>
      <c r="C1979" s="1" t="s">
        <v>685</v>
      </c>
      <c r="D1979" s="1" t="s">
        <v>4570</v>
      </c>
      <c r="E1979" s="1" t="s">
        <v>973</v>
      </c>
      <c r="F1979" s="1" t="s">
        <v>40</v>
      </c>
      <c r="G1979" s="1" t="s">
        <v>4574</v>
      </c>
      <c r="H1979" s="1">
        <v>818</v>
      </c>
      <c r="I1979" s="1" t="s">
        <v>48</v>
      </c>
      <c r="J1979" s="1">
        <v>4</v>
      </c>
      <c r="K1979" s="1" t="s">
        <v>35</v>
      </c>
      <c r="L1979" s="1">
        <v>41</v>
      </c>
      <c r="M1979" s="1" t="str">
        <f>IF(L1979&lt;=45,"Joven","Mayor")</f>
        <v>Joven</v>
      </c>
      <c r="N1979" s="1">
        <v>65</v>
      </c>
      <c r="O1979" s="1" t="s">
        <v>36</v>
      </c>
      <c r="P1979" s="1">
        <v>0.33300000000000002</v>
      </c>
      <c r="Q1979" s="1">
        <v>78.325000000000003</v>
      </c>
      <c r="R1979" s="1">
        <v>9.8201370000000008</v>
      </c>
      <c r="S1979" s="1">
        <v>7.7727469999999999</v>
      </c>
      <c r="T1979" s="1">
        <v>-4.1646369999999999</v>
      </c>
      <c r="U1979" s="1">
        <v>52.968000000000004</v>
      </c>
      <c r="V1979" s="1">
        <v>113</v>
      </c>
      <c r="W1979" s="1">
        <v>206</v>
      </c>
      <c r="X1979" s="1">
        <v>1.8230088495575221</v>
      </c>
      <c r="Y1979" s="1">
        <v>121</v>
      </c>
      <c r="Z1979" s="1">
        <v>206</v>
      </c>
      <c r="AA1979" s="1">
        <v>1.7024793388429753</v>
      </c>
      <c r="AB1979" s="1">
        <v>116.97674364545109</v>
      </c>
      <c r="AC1979" s="1">
        <v>205.6739228469132</v>
      </c>
      <c r="AD1979" s="1">
        <v>1.75824626705542</v>
      </c>
      <c r="AE1979" t="s">
        <v>4817</v>
      </c>
      <c r="AF1979" t="str">
        <f>IF(X1979&lt;$AF$1,"Bajo","Alto")</f>
        <v>Alto</v>
      </c>
      <c r="AG1979" t="str">
        <f>LEFT(AE1979,1)</f>
        <v>C</v>
      </c>
      <c r="AH1979" t="str">
        <f>K1979</f>
        <v>M</v>
      </c>
      <c r="AI1979" t="str">
        <f>LEFT(AF1979,1)</f>
        <v>A</v>
      </c>
      <c r="AJ1979" t="str">
        <f>LEFT(M1979,1)</f>
        <v>J</v>
      </c>
      <c r="AK1979" t="str">
        <f>_xlfn.CONCAT(AG1979,AH1979,AI1979,AJ1979)</f>
        <v>CMAJ</v>
      </c>
    </row>
    <row r="1980" spans="1:37" ht="15.75" hidden="1" customHeight="1" x14ac:dyDescent="0.2">
      <c r="A1980" s="1">
        <v>278802</v>
      </c>
      <c r="B1980" s="1" t="s">
        <v>3409</v>
      </c>
      <c r="C1980" s="1" t="s">
        <v>973</v>
      </c>
      <c r="D1980" s="1" t="s">
        <v>3754</v>
      </c>
      <c r="E1980" s="1" t="s">
        <v>763</v>
      </c>
      <c r="F1980" s="1" t="s">
        <v>37</v>
      </c>
      <c r="G1980" s="1" t="s">
        <v>3756</v>
      </c>
      <c r="H1980" s="1">
        <v>1599</v>
      </c>
      <c r="I1980" s="1" t="s">
        <v>3757</v>
      </c>
      <c r="J1980" s="1">
        <v>3713</v>
      </c>
      <c r="K1980" s="1" t="s">
        <v>49</v>
      </c>
      <c r="L1980" s="1">
        <v>30</v>
      </c>
      <c r="M1980" s="1" t="str">
        <f>IF(L1980&lt;=45,"Joven","Mayor")</f>
        <v>Joven</v>
      </c>
      <c r="N1980" s="1">
        <v>24</v>
      </c>
      <c r="O1980" s="1" t="s">
        <v>50</v>
      </c>
      <c r="P1980" s="1">
        <v>0.34499999999999997</v>
      </c>
      <c r="Q1980" s="1">
        <v>92.884</v>
      </c>
      <c r="R1980" s="1">
        <v>1.0027153</v>
      </c>
      <c r="S1980" s="1">
        <v>6.7640576000000001</v>
      </c>
      <c r="T1980" s="1">
        <v>-3.5026708000000002</v>
      </c>
      <c r="U1980" s="1">
        <v>33.277999999999999</v>
      </c>
      <c r="V1980" s="1">
        <v>91</v>
      </c>
      <c r="W1980" s="1">
        <v>167</v>
      </c>
      <c r="X1980" s="1">
        <v>1.8351648351648351</v>
      </c>
      <c r="Y1980" s="1">
        <v>91</v>
      </c>
      <c r="Z1980" s="1">
        <v>167</v>
      </c>
      <c r="AA1980" s="1">
        <v>1.8351648351648351</v>
      </c>
      <c r="AB1980" s="1">
        <v>93.396000400728553</v>
      </c>
      <c r="AC1980" s="1">
        <v>166.6880359180918</v>
      </c>
      <c r="AD1980" s="1">
        <v>1.7847449055943889</v>
      </c>
      <c r="AE1980" t="s">
        <v>4817</v>
      </c>
      <c r="AF1980" t="str">
        <f>IF(X1980&lt;$AF$1,"Bajo","Alto")</f>
        <v>Alto</v>
      </c>
      <c r="AG1980" t="str">
        <f>LEFT(AE1980,1)</f>
        <v>C</v>
      </c>
      <c r="AH1980" t="str">
        <f>K1980</f>
        <v>F</v>
      </c>
      <c r="AI1980" t="str">
        <f>LEFT(AF1980,1)</f>
        <v>A</v>
      </c>
      <c r="AJ1980" t="str">
        <f>LEFT(M1980,1)</f>
        <v>J</v>
      </c>
      <c r="AK1980" t="str">
        <f>_xlfn.CONCAT(AG1980,AH1980,AI1980,AJ1980)</f>
        <v>CFAJ</v>
      </c>
    </row>
    <row r="1981" spans="1:37" ht="15.75" hidden="1" customHeight="1" x14ac:dyDescent="0.2">
      <c r="A1981" s="1">
        <v>172802</v>
      </c>
      <c r="B1981" s="1" t="s">
        <v>2551</v>
      </c>
      <c r="C1981" s="1" t="s">
        <v>2552</v>
      </c>
      <c r="D1981" s="1" t="s">
        <v>2615</v>
      </c>
      <c r="E1981" s="1" t="s">
        <v>561</v>
      </c>
      <c r="F1981" s="1" t="s">
        <v>37</v>
      </c>
      <c r="G1981" s="1" t="s">
        <v>2617</v>
      </c>
      <c r="H1981" s="1">
        <v>380</v>
      </c>
      <c r="I1981" s="1" t="s">
        <v>65</v>
      </c>
      <c r="J1981" s="1">
        <v>2</v>
      </c>
      <c r="K1981" s="1" t="s">
        <v>35</v>
      </c>
      <c r="L1981" s="1">
        <v>44</v>
      </c>
      <c r="M1981" s="1" t="str">
        <f>IF(L1981&lt;=45,"Joven","Mayor")</f>
        <v>Joven</v>
      </c>
      <c r="N1981" s="1">
        <v>45</v>
      </c>
      <c r="O1981" s="1" t="s">
        <v>36</v>
      </c>
      <c r="P1981" s="1">
        <v>0.35699999999999998</v>
      </c>
      <c r="Q1981" s="1">
        <v>88.429000000000002</v>
      </c>
      <c r="R1981" s="1">
        <v>7.0407047</v>
      </c>
      <c r="S1981" s="1">
        <v>1.6086589</v>
      </c>
      <c r="T1981" s="1">
        <v>-5.8891716000000001</v>
      </c>
      <c r="U1981" s="1">
        <v>1.2629999999999999</v>
      </c>
      <c r="V1981" s="1">
        <v>88</v>
      </c>
      <c r="W1981" s="1">
        <v>152</v>
      </c>
      <c r="X1981" s="1">
        <v>1.7272727272727273</v>
      </c>
      <c r="Y1981" s="1">
        <v>96</v>
      </c>
      <c r="Z1981" s="1">
        <v>152</v>
      </c>
      <c r="AA1981" s="1">
        <v>1.5833333333333333</v>
      </c>
      <c r="AB1981" s="1">
        <v>92.76838769610481</v>
      </c>
      <c r="AC1981" s="1">
        <v>152.3264283818921</v>
      </c>
      <c r="AD1981" s="1">
        <v>1.6420079314183018</v>
      </c>
      <c r="AE1981" t="s">
        <v>4817</v>
      </c>
      <c r="AF1981" t="str">
        <f>IF(X1981&lt;$AF$1,"Bajo","Alto")</f>
        <v>Bajo</v>
      </c>
      <c r="AG1981" t="str">
        <f>LEFT(AE1981,1)</f>
        <v>C</v>
      </c>
      <c r="AH1981" t="str">
        <f>K1981</f>
        <v>M</v>
      </c>
      <c r="AI1981" t="str">
        <f>LEFT(AF1981,1)</f>
        <v>B</v>
      </c>
      <c r="AJ1981" t="str">
        <f>LEFT(M1981,1)</f>
        <v>J</v>
      </c>
      <c r="AK1981" t="str">
        <f>_xlfn.CONCAT(AG1981,AH1981,AI1981,AJ1981)</f>
        <v>CMBJ</v>
      </c>
    </row>
    <row r="1982" spans="1:37" ht="15.75" hidden="1" customHeight="1" x14ac:dyDescent="0.2">
      <c r="A1982" s="1">
        <v>271603</v>
      </c>
      <c r="B1982" s="1" t="s">
        <v>3409</v>
      </c>
      <c r="C1982" s="1" t="s">
        <v>973</v>
      </c>
      <c r="D1982" s="1" t="s">
        <v>3530</v>
      </c>
      <c r="E1982" s="1" t="s">
        <v>244</v>
      </c>
      <c r="F1982" s="1" t="s">
        <v>63</v>
      </c>
      <c r="G1982" s="1" t="s">
        <v>3534</v>
      </c>
      <c r="H1982" s="1">
        <v>2465</v>
      </c>
      <c r="I1982" s="1" t="s">
        <v>471</v>
      </c>
      <c r="J1982" s="1">
        <v>4361</v>
      </c>
      <c r="K1982" s="1" t="s">
        <v>35</v>
      </c>
      <c r="L1982" s="1">
        <v>40</v>
      </c>
      <c r="M1982" s="1" t="str">
        <f>IF(L1982&lt;=45,"Joven","Mayor")</f>
        <v>Joven</v>
      </c>
      <c r="N1982" s="1">
        <v>45</v>
      </c>
      <c r="O1982" s="1" t="s">
        <v>36</v>
      </c>
      <c r="P1982" s="1">
        <v>1.9259999999999999</v>
      </c>
      <c r="Q1982" s="1">
        <v>90.421000000000006</v>
      </c>
      <c r="R1982" s="1">
        <v>5.3606290000000003</v>
      </c>
      <c r="S1982" s="1">
        <v>-0.87103695000000003</v>
      </c>
      <c r="T1982" s="1">
        <v>-5.6853300000000004</v>
      </c>
      <c r="U1982" s="1">
        <v>44.357999999999997</v>
      </c>
      <c r="V1982" s="1">
        <v>96</v>
      </c>
      <c r="W1982" s="1">
        <v>175</v>
      </c>
      <c r="X1982" s="1">
        <v>1.8229166666666667</v>
      </c>
      <c r="Y1982" s="1">
        <v>97</v>
      </c>
      <c r="Z1982" s="1">
        <v>175</v>
      </c>
      <c r="AA1982" s="1">
        <v>1.8041237113402062</v>
      </c>
      <c r="AB1982" s="1">
        <v>100.08476158915001</v>
      </c>
      <c r="AC1982" s="1">
        <v>174.43636416989921</v>
      </c>
      <c r="AD1982" s="1">
        <v>1.7428863435371316</v>
      </c>
      <c r="AE1982" t="s">
        <v>4817</v>
      </c>
      <c r="AF1982" t="str">
        <f>IF(X1982&lt;$AF$1,"Bajo","Alto")</f>
        <v>Alto</v>
      </c>
      <c r="AG1982" t="str">
        <f>LEFT(AE1982,1)</f>
        <v>C</v>
      </c>
      <c r="AH1982" t="str">
        <f>K1982</f>
        <v>M</v>
      </c>
      <c r="AI1982" t="str">
        <f>LEFT(AF1982,1)</f>
        <v>A</v>
      </c>
      <c r="AJ1982" t="str">
        <f>LEFT(M1982,1)</f>
        <v>J</v>
      </c>
      <c r="AK1982" t="str">
        <f>_xlfn.CONCAT(AG1982,AH1982,AI1982,AJ1982)</f>
        <v>CMAJ</v>
      </c>
    </row>
    <row r="1983" spans="1:37" ht="15.75" hidden="1" customHeight="1" x14ac:dyDescent="0.2">
      <c r="A1983" s="1">
        <v>217302</v>
      </c>
      <c r="B1983" s="1" t="s">
        <v>2816</v>
      </c>
      <c r="C1983" s="1" t="s">
        <v>2817</v>
      </c>
      <c r="D1983" s="1" t="s">
        <v>2901</v>
      </c>
      <c r="E1983" s="1" t="s">
        <v>1021</v>
      </c>
      <c r="F1983" s="1" t="s">
        <v>37</v>
      </c>
      <c r="G1983" s="1" t="s">
        <v>2902</v>
      </c>
      <c r="H1983" s="1">
        <v>1114</v>
      </c>
      <c r="I1983" s="1" t="s">
        <v>65</v>
      </c>
      <c r="J1983" s="1">
        <v>2</v>
      </c>
      <c r="K1983" s="1" t="s">
        <v>35</v>
      </c>
      <c r="L1983" s="1">
        <v>35</v>
      </c>
      <c r="M1983" s="1" t="str">
        <f>IF(L1983&lt;=45,"Joven","Mayor")</f>
        <v>Joven</v>
      </c>
      <c r="N1983" s="1">
        <v>35</v>
      </c>
      <c r="O1983" s="1" t="s">
        <v>36</v>
      </c>
      <c r="P1983" s="1">
        <v>1.254</v>
      </c>
      <c r="Q1983" s="1">
        <v>93.713999999999999</v>
      </c>
      <c r="R1983" s="1">
        <v>0.17044566999999999</v>
      </c>
      <c r="S1983" s="1">
        <v>4.8032149999999998</v>
      </c>
      <c r="T1983" s="1">
        <v>-4.1497419999999998</v>
      </c>
      <c r="U1983" s="1">
        <v>1.853</v>
      </c>
      <c r="V1983" s="1">
        <v>99</v>
      </c>
      <c r="W1983" s="1">
        <v>171</v>
      </c>
      <c r="X1983" s="1">
        <v>1.7272727272727273</v>
      </c>
      <c r="Y1983" s="1">
        <v>101</v>
      </c>
      <c r="Z1983" s="1">
        <v>171</v>
      </c>
      <c r="AA1983" s="1">
        <v>1.693069306930693</v>
      </c>
      <c r="AB1983" s="1">
        <v>102.0691696638075</v>
      </c>
      <c r="AC1983" s="1">
        <v>171.05823890635881</v>
      </c>
      <c r="AD1983" s="1">
        <v>1.6759050697657827</v>
      </c>
      <c r="AE1983" t="s">
        <v>4817</v>
      </c>
      <c r="AF1983" t="str">
        <f>IF(X1983&lt;$AF$1,"Bajo","Alto")</f>
        <v>Bajo</v>
      </c>
      <c r="AG1983" t="str">
        <f>LEFT(AE1983,1)</f>
        <v>C</v>
      </c>
      <c r="AH1983" t="str">
        <f>K1983</f>
        <v>M</v>
      </c>
      <c r="AI1983" t="str">
        <f>LEFT(AF1983,1)</f>
        <v>B</v>
      </c>
      <c r="AJ1983" t="str">
        <f>LEFT(M1983,1)</f>
        <v>J</v>
      </c>
      <c r="AK1983" t="str">
        <f>_xlfn.CONCAT(AG1983,AH1983,AI1983,AJ1983)</f>
        <v>CMBJ</v>
      </c>
    </row>
    <row r="1984" spans="1:37" ht="15.75" hidden="1" customHeight="1" x14ac:dyDescent="0.2">
      <c r="A1984" s="1">
        <v>2820001</v>
      </c>
      <c r="B1984" s="1" t="s">
        <v>1775</v>
      </c>
      <c r="C1984" s="1" t="s">
        <v>561</v>
      </c>
      <c r="D1984" s="1" t="s">
        <v>3800</v>
      </c>
      <c r="E1984" s="1" t="s">
        <v>1814</v>
      </c>
      <c r="F1984" s="1" t="s">
        <v>32</v>
      </c>
      <c r="G1984" s="1" t="s">
        <v>3801</v>
      </c>
      <c r="H1984" s="1">
        <v>8047</v>
      </c>
      <c r="I1984" s="1" t="s">
        <v>100</v>
      </c>
      <c r="J1984" s="1">
        <v>1</v>
      </c>
      <c r="K1984" s="1" t="s">
        <v>35</v>
      </c>
      <c r="L1984" s="1">
        <v>49</v>
      </c>
      <c r="M1984" s="1" t="str">
        <f>IF(L1984&lt;=45,"Joven","Mayor")</f>
        <v>Mayor</v>
      </c>
      <c r="N1984" s="1">
        <v>43</v>
      </c>
      <c r="O1984" s="1" t="s">
        <v>36</v>
      </c>
      <c r="P1984" s="1">
        <v>0.22500000000000001</v>
      </c>
      <c r="Q1984" s="1">
        <v>90.611000000000004</v>
      </c>
      <c r="R1984" s="1">
        <v>2.4434428000000001</v>
      </c>
      <c r="S1984" s="1">
        <v>9.4783190000000008</v>
      </c>
      <c r="T1984" s="1">
        <v>4.7902250000000004</v>
      </c>
      <c r="U1984" s="1">
        <v>0.98499999999999999</v>
      </c>
      <c r="V1984" s="1">
        <v>84</v>
      </c>
      <c r="W1984" s="1">
        <v>153</v>
      </c>
      <c r="X1984" s="1">
        <v>1.8214285714285714</v>
      </c>
      <c r="Y1984" s="1">
        <v>93</v>
      </c>
      <c r="Z1984" s="1">
        <v>153</v>
      </c>
      <c r="AA1984" s="1">
        <v>1.6451612903225807</v>
      </c>
      <c r="AB1984" s="1">
        <v>89.334848842805741</v>
      </c>
      <c r="AC1984" s="1">
        <v>153.21715997532189</v>
      </c>
      <c r="AD1984" s="1">
        <v>1.7150883665222734</v>
      </c>
      <c r="AE1984" t="s">
        <v>4817</v>
      </c>
      <c r="AF1984" t="str">
        <f>IF(X1984&lt;$AF$1,"Bajo","Alto")</f>
        <v>Alto</v>
      </c>
      <c r="AG1984" t="str">
        <f>LEFT(AE1984,1)</f>
        <v>C</v>
      </c>
      <c r="AH1984" t="str">
        <f>K1984</f>
        <v>M</v>
      </c>
      <c r="AI1984" t="str">
        <f>LEFT(AF1984,1)</f>
        <v>A</v>
      </c>
      <c r="AJ1984" t="str">
        <f>LEFT(M1984,1)</f>
        <v>M</v>
      </c>
      <c r="AK1984" t="str">
        <f>_xlfn.CONCAT(AG1984,AH1984,AI1984,AJ1984)</f>
        <v>CMAM</v>
      </c>
    </row>
    <row r="1985" spans="1:37" ht="15.75" hidden="1" customHeight="1" x14ac:dyDescent="0.2">
      <c r="A1985" s="1">
        <v>264005</v>
      </c>
      <c r="B1985" s="1" t="s">
        <v>3358</v>
      </c>
      <c r="C1985" s="1" t="s">
        <v>968</v>
      </c>
      <c r="D1985" s="1" t="s">
        <v>3389</v>
      </c>
      <c r="E1985" s="1" t="s">
        <v>657</v>
      </c>
      <c r="F1985" s="1" t="s">
        <v>40</v>
      </c>
      <c r="G1985" s="1" t="s">
        <v>3394</v>
      </c>
      <c r="H1985" s="1">
        <v>1576</v>
      </c>
      <c r="I1985" s="1" t="s">
        <v>3395</v>
      </c>
      <c r="J1985" s="1">
        <v>4494</v>
      </c>
      <c r="K1985" s="1" t="s">
        <v>35</v>
      </c>
      <c r="L1985" s="1">
        <v>35</v>
      </c>
      <c r="M1985" s="1" t="str">
        <f>IF(L1985&lt;=45,"Joven","Mayor")</f>
        <v>Joven</v>
      </c>
      <c r="N1985" s="1">
        <v>44</v>
      </c>
      <c r="O1985" s="1" t="s">
        <v>36</v>
      </c>
      <c r="P1985" s="1">
        <v>0.28699999999999998</v>
      </c>
      <c r="Q1985" s="1">
        <v>89.688999999999993</v>
      </c>
      <c r="R1985" s="1">
        <v>-6.2289133000000003</v>
      </c>
      <c r="S1985" s="1">
        <v>1.5997131</v>
      </c>
      <c r="T1985" s="1">
        <v>3.3882873</v>
      </c>
      <c r="U1985" s="1">
        <v>2.1589999999999998</v>
      </c>
      <c r="V1985" s="1">
        <v>110</v>
      </c>
      <c r="W1985" s="1">
        <v>190</v>
      </c>
      <c r="X1985" s="1">
        <v>1.7272727272727273</v>
      </c>
      <c r="Y1985" s="1">
        <v>111</v>
      </c>
      <c r="Z1985" s="1">
        <v>190</v>
      </c>
      <c r="AA1985" s="1">
        <v>1.7117117117117118</v>
      </c>
      <c r="AB1985" s="1">
        <v>113.05833927001621</v>
      </c>
      <c r="AC1985" s="1">
        <v>189.490559927573</v>
      </c>
      <c r="AD1985" s="1">
        <v>1.6760423083432565</v>
      </c>
      <c r="AE1985" t="s">
        <v>4817</v>
      </c>
      <c r="AF1985" t="str">
        <f>IF(X1985&lt;$AF$1,"Bajo","Alto")</f>
        <v>Bajo</v>
      </c>
      <c r="AG1985" t="str">
        <f>LEFT(AE1985,1)</f>
        <v>C</v>
      </c>
      <c r="AH1985" t="str">
        <f>K1985</f>
        <v>M</v>
      </c>
      <c r="AI1985" t="str">
        <f>LEFT(AF1985,1)</f>
        <v>B</v>
      </c>
      <c r="AJ1985" t="str">
        <f>LEFT(M1985,1)</f>
        <v>J</v>
      </c>
      <c r="AK1985" t="str">
        <f>_xlfn.CONCAT(AG1985,AH1985,AI1985,AJ1985)</f>
        <v>CMBJ</v>
      </c>
    </row>
    <row r="1986" spans="1:37" ht="15.75" hidden="1" customHeight="1" x14ac:dyDescent="0.2">
      <c r="A1986" s="1">
        <v>1057605</v>
      </c>
      <c r="B1986" s="1" t="s">
        <v>694</v>
      </c>
      <c r="C1986" s="1" t="s">
        <v>879</v>
      </c>
      <c r="D1986" s="1" t="s">
        <v>1024</v>
      </c>
      <c r="E1986" s="1" t="s">
        <v>727</v>
      </c>
      <c r="F1986" s="1" t="s">
        <v>40</v>
      </c>
      <c r="G1986" s="1" t="s">
        <v>1028</v>
      </c>
      <c r="H1986" s="1">
        <v>733</v>
      </c>
      <c r="I1986" s="1" t="s">
        <v>294</v>
      </c>
      <c r="J1986" s="1">
        <v>16</v>
      </c>
      <c r="K1986" s="1" t="s">
        <v>35</v>
      </c>
      <c r="L1986" s="1">
        <v>51</v>
      </c>
      <c r="M1986" s="1" t="str">
        <f>IF(L1986&lt;=45,"Joven","Mayor")</f>
        <v>Mayor</v>
      </c>
      <c r="N1986" s="1">
        <v>52</v>
      </c>
      <c r="O1986" s="1" t="s">
        <v>36</v>
      </c>
      <c r="P1986" s="1">
        <v>4.6589999999999998</v>
      </c>
      <c r="Q1986" s="1">
        <v>91.263000000000005</v>
      </c>
      <c r="R1986" s="1">
        <v>-0.30551349999999999</v>
      </c>
      <c r="S1986" s="1">
        <v>-8.4588400000000004</v>
      </c>
      <c r="T1986" s="1">
        <v>0.48297462000000002</v>
      </c>
      <c r="U1986" s="1">
        <v>0.45300000000000001</v>
      </c>
      <c r="V1986" s="1">
        <v>101</v>
      </c>
      <c r="W1986" s="1">
        <v>173</v>
      </c>
      <c r="X1986" s="1">
        <v>1.7128712871287128</v>
      </c>
      <c r="Y1986" s="1">
        <v>105</v>
      </c>
      <c r="Z1986" s="1">
        <v>173</v>
      </c>
      <c r="AA1986" s="1">
        <v>1.6476190476190475</v>
      </c>
      <c r="AB1986" s="1">
        <v>105.38402184452249</v>
      </c>
      <c r="AC1986" s="1">
        <v>172.9432772706555</v>
      </c>
      <c r="AD1986" s="1">
        <v>1.6410768373008768</v>
      </c>
      <c r="AE1986" t="s">
        <v>4817</v>
      </c>
      <c r="AF1986" t="str">
        <f>IF(X1986&lt;$AF$1,"Bajo","Alto")</f>
        <v>Bajo</v>
      </c>
      <c r="AG1986" t="str">
        <f>LEFT(AE1986,1)</f>
        <v>C</v>
      </c>
      <c r="AH1986" t="str">
        <f>K1986</f>
        <v>M</v>
      </c>
      <c r="AI1986" t="str">
        <f>LEFT(AF1986,1)</f>
        <v>B</v>
      </c>
      <c r="AJ1986" t="str">
        <f>LEFT(M1986,1)</f>
        <v>M</v>
      </c>
      <c r="AK1986" t="str">
        <f>_xlfn.CONCAT(AG1986,AH1986,AI1986,AJ1986)</f>
        <v>CMBM</v>
      </c>
    </row>
    <row r="1987" spans="1:37" ht="15.75" hidden="1" customHeight="1" x14ac:dyDescent="0.2">
      <c r="A1987" s="1">
        <v>117001</v>
      </c>
      <c r="B1987" s="1" t="s">
        <v>1648</v>
      </c>
      <c r="C1987" s="1" t="s">
        <v>51</v>
      </c>
      <c r="D1987" s="1" t="s">
        <v>1755</v>
      </c>
      <c r="E1987" s="1" t="s">
        <v>720</v>
      </c>
      <c r="F1987" s="1" t="s">
        <v>32</v>
      </c>
      <c r="G1987" s="1" t="s">
        <v>1756</v>
      </c>
      <c r="H1987" s="1">
        <v>2043</v>
      </c>
      <c r="I1987" s="1" t="s">
        <v>100</v>
      </c>
      <c r="J1987" s="1">
        <v>1</v>
      </c>
      <c r="K1987" s="1" t="s">
        <v>35</v>
      </c>
      <c r="L1987" s="1">
        <v>50</v>
      </c>
      <c r="M1987" s="1" t="str">
        <f>IF(L1987&lt;=45,"Joven","Mayor")</f>
        <v>Mayor</v>
      </c>
      <c r="N1987" s="1">
        <v>48</v>
      </c>
      <c r="O1987" s="1" t="s">
        <v>36</v>
      </c>
      <c r="P1987" s="1">
        <v>0.249</v>
      </c>
      <c r="Q1987" s="1">
        <v>87.552000000000007</v>
      </c>
      <c r="R1987" s="1">
        <v>7.6188359999999999</v>
      </c>
      <c r="S1987" s="1">
        <v>-1.3515671</v>
      </c>
      <c r="T1987" s="1">
        <v>-3.2995632000000001</v>
      </c>
      <c r="U1987" s="1">
        <v>1.921</v>
      </c>
      <c r="V1987" s="1">
        <v>108</v>
      </c>
      <c r="W1987" s="1">
        <v>185</v>
      </c>
      <c r="X1987" s="1">
        <v>1.712962962962963</v>
      </c>
      <c r="Y1987" s="1">
        <v>109</v>
      </c>
      <c r="Z1987" s="1">
        <v>185</v>
      </c>
      <c r="AA1987" s="1">
        <v>1.6972477064220184</v>
      </c>
      <c r="AB1987" s="1">
        <v>110.4685587224913</v>
      </c>
      <c r="AC1987" s="1">
        <v>184.4630915905509</v>
      </c>
      <c r="AD1987" s="1">
        <v>1.6698243710587526</v>
      </c>
      <c r="AE1987" t="s">
        <v>4817</v>
      </c>
      <c r="AF1987" t="str">
        <f>IF(X1987&lt;$AF$1,"Bajo","Alto")</f>
        <v>Bajo</v>
      </c>
      <c r="AG1987" t="str">
        <f>LEFT(AE1987,1)</f>
        <v>C</v>
      </c>
      <c r="AH1987" t="str">
        <f>K1987</f>
        <v>M</v>
      </c>
      <c r="AI1987" t="str">
        <f>LEFT(AF1987,1)</f>
        <v>B</v>
      </c>
      <c r="AJ1987" t="str">
        <f>LEFT(M1987,1)</f>
        <v>M</v>
      </c>
      <c r="AK1987" t="str">
        <f>_xlfn.CONCAT(AG1987,AH1987,AI1987,AJ1987)</f>
        <v>CMBM</v>
      </c>
    </row>
    <row r="1988" spans="1:37" ht="15.75" hidden="1" customHeight="1" x14ac:dyDescent="0.2">
      <c r="A1988" s="1">
        <v>284103</v>
      </c>
      <c r="B1988" s="1" t="s">
        <v>1775</v>
      </c>
      <c r="C1988" s="1" t="s">
        <v>561</v>
      </c>
      <c r="D1988" s="1" t="s">
        <v>3854</v>
      </c>
      <c r="E1988" s="1" t="s">
        <v>988</v>
      </c>
      <c r="F1988" s="1" t="s">
        <v>63</v>
      </c>
      <c r="G1988" s="1" t="s">
        <v>3857</v>
      </c>
      <c r="H1988" s="1">
        <v>29</v>
      </c>
      <c r="I1988" s="1" t="s">
        <v>65</v>
      </c>
      <c r="J1988" s="1">
        <v>2</v>
      </c>
      <c r="K1988" s="1" t="s">
        <v>49</v>
      </c>
      <c r="L1988" s="1">
        <v>37</v>
      </c>
      <c r="M1988" s="1" t="str">
        <f>IF(L1988&lt;=45,"Joven","Mayor")</f>
        <v>Joven</v>
      </c>
      <c r="N1988" s="1">
        <v>37</v>
      </c>
      <c r="O1988" s="1" t="s">
        <v>50</v>
      </c>
      <c r="P1988" s="1">
        <v>0.46800000000000003</v>
      </c>
      <c r="Q1988" s="1">
        <v>93.734999999999999</v>
      </c>
      <c r="R1988" s="1">
        <v>1.8342556999999999</v>
      </c>
      <c r="S1988" s="1">
        <v>1.6568902999999999</v>
      </c>
      <c r="T1988" s="1">
        <v>1.776716</v>
      </c>
      <c r="U1988" s="1">
        <v>41.243000000000002</v>
      </c>
      <c r="V1988" s="1">
        <v>72</v>
      </c>
      <c r="W1988" s="1">
        <v>125</v>
      </c>
      <c r="X1988" s="1">
        <v>1.7361111111111112</v>
      </c>
      <c r="Y1988" s="1">
        <v>76</v>
      </c>
      <c r="Z1988" s="1">
        <v>125</v>
      </c>
      <c r="AA1988" s="1">
        <v>1.6447368421052631</v>
      </c>
      <c r="AB1988" s="1">
        <v>75.002320627403606</v>
      </c>
      <c r="AC1988" s="1">
        <v>125.1259327741482</v>
      </c>
      <c r="AD1988" s="1">
        <v>1.6682941504670046</v>
      </c>
      <c r="AE1988" t="s">
        <v>4817</v>
      </c>
      <c r="AF1988" t="str">
        <f>IF(X1988&lt;$AF$1,"Bajo","Alto")</f>
        <v>Bajo</v>
      </c>
      <c r="AG1988" t="str">
        <f>LEFT(AE1988,1)</f>
        <v>C</v>
      </c>
      <c r="AH1988" t="str">
        <f>K1988</f>
        <v>F</v>
      </c>
      <c r="AI1988" t="str">
        <f>LEFT(AF1988,1)</f>
        <v>B</v>
      </c>
      <c r="AJ1988" t="str">
        <f>LEFT(M1988,1)</f>
        <v>J</v>
      </c>
      <c r="AK1988" t="str">
        <f>_xlfn.CONCAT(AG1988,AH1988,AI1988,AJ1988)</f>
        <v>CFBJ</v>
      </c>
    </row>
    <row r="1989" spans="1:37" ht="15.75" hidden="1" customHeight="1" x14ac:dyDescent="0.2">
      <c r="A1989" s="1">
        <v>273702</v>
      </c>
      <c r="B1989" s="1" t="s">
        <v>3409</v>
      </c>
      <c r="C1989" s="1" t="s">
        <v>973</v>
      </c>
      <c r="D1989" s="1" t="s">
        <v>3668</v>
      </c>
      <c r="E1989" s="1" t="s">
        <v>647</v>
      </c>
      <c r="F1989" s="1" t="s">
        <v>37</v>
      </c>
      <c r="G1989" s="1" t="s">
        <v>3669</v>
      </c>
      <c r="H1989" s="1">
        <v>1266</v>
      </c>
      <c r="I1989" s="1" t="s">
        <v>3670</v>
      </c>
      <c r="J1989" s="1">
        <v>4401</v>
      </c>
      <c r="K1989" s="1" t="s">
        <v>35</v>
      </c>
      <c r="L1989" s="1">
        <v>37</v>
      </c>
      <c r="M1989" s="1" t="str">
        <f>IF(L1989&lt;=45,"Joven","Mayor")</f>
        <v>Joven</v>
      </c>
      <c r="N1989" s="1">
        <v>37</v>
      </c>
      <c r="O1989" s="1" t="s">
        <v>36</v>
      </c>
      <c r="P1989" s="1">
        <v>0.14099999999999999</v>
      </c>
      <c r="Q1989" s="1">
        <v>93.212000000000003</v>
      </c>
      <c r="R1989" s="1">
        <v>-2.2134396999999999</v>
      </c>
      <c r="S1989" s="1">
        <v>3.3174907999999999</v>
      </c>
      <c r="T1989" s="1">
        <v>0.73793960000000003</v>
      </c>
      <c r="U1989" s="1">
        <v>30.178000000000001</v>
      </c>
      <c r="V1989" s="1">
        <v>121</v>
      </c>
      <c r="W1989" s="1">
        <v>209</v>
      </c>
      <c r="X1989" s="1">
        <v>1.7272727272727273</v>
      </c>
      <c r="Y1989" s="1">
        <v>121</v>
      </c>
      <c r="Z1989" s="1">
        <v>209</v>
      </c>
      <c r="AA1989" s="1">
        <v>1.7272727272727273</v>
      </c>
      <c r="AB1989" s="1">
        <v>121.69831592412309</v>
      </c>
      <c r="AC1989" s="1">
        <v>208.91827008802741</v>
      </c>
      <c r="AD1989" s="1">
        <v>1.7166899024164355</v>
      </c>
      <c r="AE1989" t="s">
        <v>4817</v>
      </c>
      <c r="AF1989" t="str">
        <f>IF(X1989&lt;$AF$1,"Bajo","Alto")</f>
        <v>Bajo</v>
      </c>
      <c r="AG1989" t="str">
        <f>LEFT(AE1989,1)</f>
        <v>C</v>
      </c>
      <c r="AH1989" t="str">
        <f>K1989</f>
        <v>M</v>
      </c>
      <c r="AI1989" t="str">
        <f>LEFT(AF1989,1)</f>
        <v>B</v>
      </c>
      <c r="AJ1989" t="str">
        <f>LEFT(M1989,1)</f>
        <v>J</v>
      </c>
      <c r="AK1989" t="str">
        <f>_xlfn.CONCAT(AG1989,AH1989,AI1989,AJ1989)</f>
        <v>CMBJ</v>
      </c>
    </row>
    <row r="1990" spans="1:37" ht="15.75" hidden="1" customHeight="1" x14ac:dyDescent="0.2">
      <c r="A1990" s="1">
        <v>1093406</v>
      </c>
      <c r="B1990" s="1" t="s">
        <v>719</v>
      </c>
      <c r="C1990" s="1" t="s">
        <v>98</v>
      </c>
      <c r="D1990" s="1" t="s">
        <v>1597</v>
      </c>
      <c r="E1990" s="1" t="s">
        <v>634</v>
      </c>
      <c r="F1990" s="1" t="s">
        <v>88</v>
      </c>
      <c r="G1990" s="1" t="s">
        <v>1600</v>
      </c>
      <c r="H1990" s="1">
        <v>11156</v>
      </c>
      <c r="I1990" s="1" t="s">
        <v>1601</v>
      </c>
      <c r="J1990" s="1">
        <v>3438</v>
      </c>
      <c r="K1990" s="1" t="s">
        <v>35</v>
      </c>
      <c r="L1990" s="1">
        <v>41</v>
      </c>
      <c r="M1990" s="1" t="str">
        <f>IF(L1990&lt;=45,"Joven","Mayor")</f>
        <v>Joven</v>
      </c>
      <c r="N1990" s="1">
        <v>40</v>
      </c>
      <c r="O1990" s="1" t="s">
        <v>36</v>
      </c>
      <c r="P1990" s="1">
        <v>3.4000000000000002E-2</v>
      </c>
      <c r="Q1990" s="1">
        <v>94.963999999999999</v>
      </c>
      <c r="R1990" s="1">
        <v>-2.8311132999999999E-2</v>
      </c>
      <c r="S1990" s="1">
        <v>0.13308026000000001</v>
      </c>
      <c r="T1990" s="1">
        <v>5.7908597000000004</v>
      </c>
      <c r="U1990" s="1">
        <v>0.91800000000000004</v>
      </c>
      <c r="V1990" s="1">
        <v>79</v>
      </c>
      <c r="W1990" s="1">
        <v>144</v>
      </c>
      <c r="X1990" s="1">
        <v>1.8227848101265822</v>
      </c>
      <c r="Y1990" s="1">
        <v>82</v>
      </c>
      <c r="Z1990" s="1">
        <v>144</v>
      </c>
      <c r="AA1990" s="1">
        <v>1.7560975609756098</v>
      </c>
      <c r="AB1990" s="1">
        <v>82.935444705731697</v>
      </c>
      <c r="AC1990" s="1">
        <v>143.7696296428571</v>
      </c>
      <c r="AD1990" s="1">
        <v>1.7335124946031806</v>
      </c>
      <c r="AE1990" t="s">
        <v>4817</v>
      </c>
      <c r="AF1990" t="str">
        <f>IF(X1990&lt;$AF$1,"Bajo","Alto")</f>
        <v>Alto</v>
      </c>
      <c r="AG1990" t="str">
        <f>LEFT(AE1990,1)</f>
        <v>C</v>
      </c>
      <c r="AH1990" t="str">
        <f>K1990</f>
        <v>M</v>
      </c>
      <c r="AI1990" t="str">
        <f>LEFT(AF1990,1)</f>
        <v>A</v>
      </c>
      <c r="AJ1990" t="str">
        <f>LEFT(M1990,1)</f>
        <v>J</v>
      </c>
      <c r="AK1990" t="str">
        <f>_xlfn.CONCAT(AG1990,AH1990,AI1990,AJ1990)</f>
        <v>CMAJ</v>
      </c>
    </row>
    <row r="1991" spans="1:37" ht="15.75" hidden="1" customHeight="1" x14ac:dyDescent="0.2">
      <c r="A1991" s="1">
        <v>214903</v>
      </c>
      <c r="B1991" s="1" t="s">
        <v>2816</v>
      </c>
      <c r="C1991" s="1" t="s">
        <v>2817</v>
      </c>
      <c r="D1991" s="1" t="s">
        <v>2883</v>
      </c>
      <c r="E1991" s="1" t="s">
        <v>673</v>
      </c>
      <c r="F1991" s="1" t="s">
        <v>63</v>
      </c>
      <c r="G1991" s="1" t="s">
        <v>2884</v>
      </c>
      <c r="H1991" s="1">
        <v>7351</v>
      </c>
      <c r="I1991" s="1" t="s">
        <v>108</v>
      </c>
      <c r="J1991" s="1">
        <v>3</v>
      </c>
      <c r="K1991" s="1" t="s">
        <v>35</v>
      </c>
      <c r="L1991" s="1">
        <v>46</v>
      </c>
      <c r="M1991" s="1" t="str">
        <f>IF(L1991&lt;=45,"Joven","Mayor")</f>
        <v>Mayor</v>
      </c>
      <c r="N1991" s="1">
        <v>50</v>
      </c>
      <c r="O1991" s="1" t="s">
        <v>36</v>
      </c>
      <c r="P1991" s="1">
        <v>9.1999999999999998E-2</v>
      </c>
      <c r="Q1991" s="1">
        <v>92.691999999999993</v>
      </c>
      <c r="R1991" s="1">
        <v>-3.7450600000000001</v>
      </c>
      <c r="S1991" s="1">
        <v>0.5882193</v>
      </c>
      <c r="T1991" s="1">
        <v>-3.6803347999999998</v>
      </c>
      <c r="U1991" s="1">
        <v>1.55</v>
      </c>
      <c r="V1991" s="1">
        <v>95</v>
      </c>
      <c r="W1991" s="1">
        <v>173</v>
      </c>
      <c r="X1991" s="1">
        <v>1.8210526315789475</v>
      </c>
      <c r="Y1991" s="1">
        <v>105</v>
      </c>
      <c r="Z1991" s="1">
        <v>173</v>
      </c>
      <c r="AA1991" s="1">
        <v>1.6476190476190475</v>
      </c>
      <c r="AB1991" s="1">
        <v>102.6651960720224</v>
      </c>
      <c r="AC1991" s="1">
        <v>173.99120930384561</v>
      </c>
      <c r="AD1991" s="1">
        <v>1.6947438466078231</v>
      </c>
      <c r="AE1991" t="s">
        <v>4817</v>
      </c>
      <c r="AF1991" t="str">
        <f>IF(X1991&lt;$AF$1,"Bajo","Alto")</f>
        <v>Alto</v>
      </c>
      <c r="AG1991" t="str">
        <f>LEFT(AE1991,1)</f>
        <v>C</v>
      </c>
      <c r="AH1991" t="str">
        <f>K1991</f>
        <v>M</v>
      </c>
      <c r="AI1991" t="str">
        <f>LEFT(AF1991,1)</f>
        <v>A</v>
      </c>
      <c r="AJ1991" t="str">
        <f>LEFT(M1991,1)</f>
        <v>M</v>
      </c>
      <c r="AK1991" t="str">
        <f>_xlfn.CONCAT(AG1991,AH1991,AI1991,AJ1991)</f>
        <v>CMAM</v>
      </c>
    </row>
    <row r="1992" spans="1:37" ht="15.75" hidden="1" customHeight="1" x14ac:dyDescent="0.2">
      <c r="A1992" s="1">
        <v>10126505</v>
      </c>
      <c r="B1992" s="1" t="s">
        <v>29</v>
      </c>
      <c r="C1992" s="1" t="s">
        <v>30</v>
      </c>
      <c r="D1992" s="1" t="s">
        <v>527</v>
      </c>
      <c r="E1992" s="1" t="s">
        <v>528</v>
      </c>
      <c r="F1992" s="1" t="s">
        <v>40</v>
      </c>
      <c r="G1992" s="1" t="s">
        <v>534</v>
      </c>
      <c r="H1992" s="1">
        <v>3230</v>
      </c>
      <c r="I1992" s="1" t="s">
        <v>535</v>
      </c>
      <c r="J1992" s="1">
        <v>3958</v>
      </c>
      <c r="K1992" s="1" t="s">
        <v>35</v>
      </c>
      <c r="L1992" s="1">
        <v>36</v>
      </c>
      <c r="M1992" s="1" t="str">
        <f>IF(L1992&lt;=45,"Joven","Mayor")</f>
        <v>Joven</v>
      </c>
      <c r="N1992" s="1">
        <v>52</v>
      </c>
      <c r="O1992" s="1" t="s">
        <v>36</v>
      </c>
      <c r="P1992" s="1">
        <v>0.28899999999999998</v>
      </c>
      <c r="Q1992" s="1">
        <v>90.575000000000003</v>
      </c>
      <c r="R1992" s="1">
        <v>2.8904097000000002</v>
      </c>
      <c r="S1992" s="1">
        <v>8.7765550000000001</v>
      </c>
      <c r="T1992" s="1">
        <v>-4.3175350000000003</v>
      </c>
      <c r="U1992" s="1">
        <v>6.5750000000000002</v>
      </c>
      <c r="V1992" s="1">
        <v>84</v>
      </c>
      <c r="W1992" s="1">
        <v>153</v>
      </c>
      <c r="X1992" s="1">
        <v>1.8214285714285714</v>
      </c>
      <c r="Y1992" s="1">
        <v>88</v>
      </c>
      <c r="Z1992" s="1">
        <v>153</v>
      </c>
      <c r="AA1992" s="1">
        <v>1.7386363636363635</v>
      </c>
      <c r="AB1992" s="1">
        <v>87.224679411173611</v>
      </c>
      <c r="AC1992" s="1">
        <v>153.2433625794101</v>
      </c>
      <c r="AD1992" s="1">
        <v>1.7568807774807298</v>
      </c>
      <c r="AE1992" t="s">
        <v>4817</v>
      </c>
      <c r="AF1992" t="str">
        <f>IF(X1992&lt;$AF$1,"Bajo","Alto")</f>
        <v>Alto</v>
      </c>
      <c r="AG1992" t="str">
        <f>LEFT(AE1992,1)</f>
        <v>C</v>
      </c>
      <c r="AH1992" t="str">
        <f>K1992</f>
        <v>M</v>
      </c>
      <c r="AI1992" t="str">
        <f>LEFT(AF1992,1)</f>
        <v>A</v>
      </c>
      <c r="AJ1992" t="str">
        <f>LEFT(M1992,1)</f>
        <v>J</v>
      </c>
      <c r="AK1992" t="str">
        <f>_xlfn.CONCAT(AG1992,AH1992,AI1992,AJ1992)</f>
        <v>CMAJ</v>
      </c>
    </row>
    <row r="1993" spans="1:37" ht="15.75" hidden="1" customHeight="1" x14ac:dyDescent="0.2">
      <c r="A1993" s="1">
        <v>247805</v>
      </c>
      <c r="B1993" s="1" t="s">
        <v>1548</v>
      </c>
      <c r="C1993" s="1" t="s">
        <v>1993</v>
      </c>
      <c r="D1993" s="1" t="s">
        <v>3159</v>
      </c>
      <c r="E1993" s="1" t="s">
        <v>732</v>
      </c>
      <c r="F1993" s="1" t="s">
        <v>40</v>
      </c>
      <c r="G1993" s="1" t="s">
        <v>3161</v>
      </c>
      <c r="H1993" s="1">
        <v>3756</v>
      </c>
      <c r="I1993" s="1" t="s">
        <v>108</v>
      </c>
      <c r="J1993" s="1">
        <v>3</v>
      </c>
      <c r="K1993" s="1" t="s">
        <v>35</v>
      </c>
      <c r="L1993" s="1">
        <v>46</v>
      </c>
      <c r="M1993" s="1" t="str">
        <f>IF(L1993&lt;=45,"Joven","Mayor")</f>
        <v>Mayor</v>
      </c>
      <c r="N1993" s="1">
        <v>44</v>
      </c>
      <c r="O1993" s="1" t="s">
        <v>36</v>
      </c>
      <c r="P1993" s="1">
        <v>0.64500000000000002</v>
      </c>
      <c r="Q1993" s="1">
        <v>92.388000000000005</v>
      </c>
      <c r="R1993" s="1">
        <v>1.3011246000000001</v>
      </c>
      <c r="S1993" s="1">
        <v>7.3493209999999998</v>
      </c>
      <c r="T1993" s="1">
        <v>-2.1095538</v>
      </c>
      <c r="U1993" s="1">
        <v>12.9</v>
      </c>
      <c r="V1993" s="1">
        <v>108</v>
      </c>
      <c r="W1993" s="1">
        <v>185</v>
      </c>
      <c r="X1993" s="1">
        <v>1.712962962962963</v>
      </c>
      <c r="Y1993" s="1">
        <v>111</v>
      </c>
      <c r="Z1993" s="1">
        <v>185</v>
      </c>
      <c r="AA1993" s="1">
        <v>1.6666666666666667</v>
      </c>
      <c r="AB1993" s="1">
        <v>112.8020993542784</v>
      </c>
      <c r="AC1993" s="1">
        <v>184.80099921544749</v>
      </c>
      <c r="AD1993" s="1">
        <v>1.6382762401880626</v>
      </c>
      <c r="AE1993" t="s">
        <v>4817</v>
      </c>
      <c r="AF1993" t="str">
        <f>IF(X1993&lt;$AF$1,"Bajo","Alto")</f>
        <v>Bajo</v>
      </c>
      <c r="AG1993" t="str">
        <f>LEFT(AE1993,1)</f>
        <v>C</v>
      </c>
      <c r="AH1993" t="str">
        <f>K1993</f>
        <v>M</v>
      </c>
      <c r="AI1993" t="str">
        <f>LEFT(AF1993,1)</f>
        <v>B</v>
      </c>
      <c r="AJ1993" t="str">
        <f>LEFT(M1993,1)</f>
        <v>M</v>
      </c>
      <c r="AK1993" t="str">
        <f>_xlfn.CONCAT(AG1993,AH1993,AI1993,AJ1993)</f>
        <v>CMBM</v>
      </c>
    </row>
    <row r="1994" spans="1:37" ht="15.75" hidden="1" customHeight="1" x14ac:dyDescent="0.2">
      <c r="A1994" s="1">
        <v>1032501</v>
      </c>
      <c r="B1994" s="1" t="s">
        <v>783</v>
      </c>
      <c r="C1994" s="1" t="s">
        <v>81</v>
      </c>
      <c r="D1994" s="1" t="s">
        <v>820</v>
      </c>
      <c r="E1994" s="1" t="s">
        <v>821</v>
      </c>
      <c r="F1994" s="1" t="s">
        <v>32</v>
      </c>
      <c r="G1994" s="1" t="s">
        <v>822</v>
      </c>
      <c r="H1994" s="1">
        <v>408</v>
      </c>
      <c r="I1994" s="1" t="s">
        <v>100</v>
      </c>
      <c r="J1994" s="1">
        <v>1</v>
      </c>
      <c r="K1994" s="1" t="s">
        <v>35</v>
      </c>
      <c r="L1994" s="1">
        <v>58</v>
      </c>
      <c r="M1994" s="1" t="str">
        <f>IF(L1994&lt;=45,"Joven","Mayor")</f>
        <v>Mayor</v>
      </c>
      <c r="N1994" s="1">
        <v>54</v>
      </c>
      <c r="O1994" s="1" t="s">
        <v>36</v>
      </c>
      <c r="P1994" s="1">
        <v>0.223</v>
      </c>
      <c r="Q1994" s="1">
        <v>92.323999999999998</v>
      </c>
      <c r="R1994" s="1">
        <v>4.2037469999999999</v>
      </c>
      <c r="S1994" s="1">
        <v>0.24839263</v>
      </c>
      <c r="T1994" s="1">
        <v>-3.3565296999999998</v>
      </c>
      <c r="U1994" s="1">
        <v>0.68799999999999994</v>
      </c>
      <c r="V1994" s="1">
        <v>84</v>
      </c>
      <c r="W1994" s="1">
        <v>144</v>
      </c>
      <c r="X1994" s="1">
        <v>1.7142857142857142</v>
      </c>
      <c r="Y1994" s="1">
        <v>86</v>
      </c>
      <c r="Z1994" s="1">
        <v>144</v>
      </c>
      <c r="AA1994" s="1">
        <v>1.6744186046511629</v>
      </c>
      <c r="AB1994" s="1">
        <v>86.314958724182588</v>
      </c>
      <c r="AC1994" s="1">
        <v>143.92862021098929</v>
      </c>
      <c r="AD1994" s="1">
        <v>1.6674817706964304</v>
      </c>
      <c r="AE1994" t="s">
        <v>4817</v>
      </c>
      <c r="AF1994" t="str">
        <f>IF(X1994&lt;$AF$1,"Bajo","Alto")</f>
        <v>Bajo</v>
      </c>
      <c r="AG1994" t="str">
        <f>LEFT(AE1994,1)</f>
        <v>C</v>
      </c>
      <c r="AH1994" t="str">
        <f>K1994</f>
        <v>M</v>
      </c>
      <c r="AI1994" t="str">
        <f>LEFT(AF1994,1)</f>
        <v>B</v>
      </c>
      <c r="AJ1994" t="str">
        <f>LEFT(M1994,1)</f>
        <v>M</v>
      </c>
      <c r="AK1994" t="str">
        <f>_xlfn.CONCAT(AG1994,AH1994,AI1994,AJ1994)</f>
        <v>CMBM</v>
      </c>
    </row>
    <row r="1995" spans="1:37" ht="15.75" hidden="1" customHeight="1" x14ac:dyDescent="0.2">
      <c r="A1995" s="1">
        <v>172503</v>
      </c>
      <c r="B1995" s="1" t="s">
        <v>2551</v>
      </c>
      <c r="C1995" s="1" t="s">
        <v>2552</v>
      </c>
      <c r="D1995" s="1" t="s">
        <v>2604</v>
      </c>
      <c r="E1995" s="1" t="s">
        <v>821</v>
      </c>
      <c r="F1995" s="1" t="s">
        <v>63</v>
      </c>
      <c r="G1995" s="1" t="s">
        <v>2606</v>
      </c>
      <c r="H1995" s="1">
        <v>447</v>
      </c>
      <c r="I1995" s="1" t="s">
        <v>2607</v>
      </c>
      <c r="J1995" s="1">
        <v>898</v>
      </c>
      <c r="K1995" s="1" t="s">
        <v>49</v>
      </c>
      <c r="L1995" s="1">
        <v>42</v>
      </c>
      <c r="M1995" s="1" t="str">
        <f>IF(L1995&lt;=45,"Joven","Mayor")</f>
        <v>Joven</v>
      </c>
      <c r="N1995" s="1">
        <v>78</v>
      </c>
      <c r="O1995" s="1" t="s">
        <v>50</v>
      </c>
      <c r="P1995" s="1">
        <v>0.72099999999999997</v>
      </c>
      <c r="Q1995" s="1">
        <v>92.408000000000001</v>
      </c>
      <c r="R1995" s="1">
        <v>-1.2143435</v>
      </c>
      <c r="S1995" s="1">
        <v>7.3871609999999999</v>
      </c>
      <c r="T1995" s="1">
        <v>3.3618271000000002</v>
      </c>
      <c r="U1995" s="1">
        <v>50.234000000000002</v>
      </c>
      <c r="V1995" s="1">
        <v>88</v>
      </c>
      <c r="W1995" s="1">
        <v>161</v>
      </c>
      <c r="X1995" s="1">
        <v>1.8295454545454546</v>
      </c>
      <c r="Y1995" s="1">
        <v>90</v>
      </c>
      <c r="Z1995" s="1">
        <v>161</v>
      </c>
      <c r="AA1995" s="1">
        <v>1.788888888888889</v>
      </c>
      <c r="AB1995" s="1">
        <v>90.663344393753277</v>
      </c>
      <c r="AC1995" s="1">
        <v>161.30935103305359</v>
      </c>
      <c r="AD1995" s="1">
        <v>1.7792124492174353</v>
      </c>
      <c r="AE1995" t="s">
        <v>4817</v>
      </c>
      <c r="AF1995" t="str">
        <f>IF(X1995&lt;$AF$1,"Bajo","Alto")</f>
        <v>Alto</v>
      </c>
      <c r="AG1995" t="str">
        <f>LEFT(AE1995,1)</f>
        <v>C</v>
      </c>
      <c r="AH1995" t="str">
        <f>K1995</f>
        <v>F</v>
      </c>
      <c r="AI1995" t="str">
        <f>LEFT(AF1995,1)</f>
        <v>A</v>
      </c>
      <c r="AJ1995" t="str">
        <f>LEFT(M1995,1)</f>
        <v>J</v>
      </c>
      <c r="AK1995" t="str">
        <f>_xlfn.CONCAT(AG1995,AH1995,AI1995,AJ1995)</f>
        <v>CFAJ</v>
      </c>
    </row>
    <row r="1996" spans="1:37" ht="15.75" hidden="1" customHeight="1" x14ac:dyDescent="0.2">
      <c r="A1996" s="1">
        <v>2721702</v>
      </c>
      <c r="B1996" s="1" t="s">
        <v>3409</v>
      </c>
      <c r="C1996" s="1" t="s">
        <v>973</v>
      </c>
      <c r="D1996" s="1" t="s">
        <v>3634</v>
      </c>
      <c r="E1996" s="1" t="s">
        <v>404</v>
      </c>
      <c r="F1996" s="1" t="s">
        <v>37</v>
      </c>
      <c r="G1996" s="1" t="s">
        <v>3635</v>
      </c>
      <c r="H1996" s="1">
        <v>1349</v>
      </c>
      <c r="I1996" s="1" t="s">
        <v>91</v>
      </c>
      <c r="J1996" s="1">
        <v>6</v>
      </c>
      <c r="K1996" s="1" t="s">
        <v>35</v>
      </c>
      <c r="L1996" s="1">
        <v>53</v>
      </c>
      <c r="M1996" s="1" t="str">
        <f>IF(L1996&lt;=45,"Joven","Mayor")</f>
        <v>Mayor</v>
      </c>
      <c r="N1996" s="1">
        <v>58</v>
      </c>
      <c r="O1996" s="1" t="s">
        <v>36</v>
      </c>
      <c r="P1996" s="1">
        <v>0.48</v>
      </c>
      <c r="Q1996" s="1">
        <v>87.394999999999996</v>
      </c>
      <c r="R1996" s="1">
        <v>7.8557069999999998</v>
      </c>
      <c r="S1996" s="1">
        <v>9.9422789999999997E-2</v>
      </c>
      <c r="T1996" s="1">
        <v>-8.4900439999999993</v>
      </c>
      <c r="U1996" s="1">
        <v>0.80700000000000005</v>
      </c>
      <c r="V1996" s="1">
        <v>81</v>
      </c>
      <c r="W1996" s="1">
        <v>139</v>
      </c>
      <c r="X1996" s="1">
        <v>1.7160493827160495</v>
      </c>
      <c r="Y1996" s="1">
        <v>90</v>
      </c>
      <c r="Z1996" s="1">
        <v>139</v>
      </c>
      <c r="AA1996" s="1">
        <v>1.5444444444444445</v>
      </c>
      <c r="AB1996" s="1">
        <v>86.608416448307025</v>
      </c>
      <c r="AC1996" s="1">
        <v>139.54369875773321</v>
      </c>
      <c r="AD1996" s="1">
        <v>1.6112025191110735</v>
      </c>
      <c r="AE1996" t="s">
        <v>4817</v>
      </c>
      <c r="AF1996" t="str">
        <f>IF(X1996&lt;$AF$1,"Bajo","Alto")</f>
        <v>Bajo</v>
      </c>
      <c r="AG1996" t="str">
        <f>LEFT(AE1996,1)</f>
        <v>C</v>
      </c>
      <c r="AH1996" t="str">
        <f>K1996</f>
        <v>M</v>
      </c>
      <c r="AI1996" t="str">
        <f>LEFT(AF1996,1)</f>
        <v>B</v>
      </c>
      <c r="AJ1996" t="str">
        <f>LEFT(M1996,1)</f>
        <v>M</v>
      </c>
      <c r="AK1996" t="str">
        <f>_xlfn.CONCAT(AG1996,AH1996,AI1996,AJ1996)</f>
        <v>CMBM</v>
      </c>
    </row>
    <row r="1997" spans="1:37" ht="15.75" hidden="1" customHeight="1" x14ac:dyDescent="0.2">
      <c r="A1997" s="1">
        <v>2313902</v>
      </c>
      <c r="B1997" s="1" t="s">
        <v>319</v>
      </c>
      <c r="C1997" s="1" t="s">
        <v>1989</v>
      </c>
      <c r="D1997" s="1" t="s">
        <v>2987</v>
      </c>
      <c r="E1997" s="1" t="s">
        <v>176</v>
      </c>
      <c r="F1997" s="1" t="s">
        <v>37</v>
      </c>
      <c r="G1997" s="1" t="s">
        <v>2989</v>
      </c>
      <c r="H1997" s="1">
        <v>1427</v>
      </c>
      <c r="I1997" s="1" t="s">
        <v>39</v>
      </c>
      <c r="J1997" s="1">
        <v>11</v>
      </c>
      <c r="K1997" s="1" t="s">
        <v>49</v>
      </c>
      <c r="L1997" s="1">
        <v>34</v>
      </c>
      <c r="M1997" s="1" t="str">
        <f>IF(L1997&lt;=45,"Joven","Mayor")</f>
        <v>Joven</v>
      </c>
      <c r="N1997" s="1">
        <v>44</v>
      </c>
      <c r="O1997" s="1" t="s">
        <v>50</v>
      </c>
      <c r="P1997" s="1">
        <v>0.35499999999999998</v>
      </c>
      <c r="Q1997" s="1">
        <v>92.701999999999998</v>
      </c>
      <c r="R1997" s="1">
        <v>3.5789645000000001</v>
      </c>
      <c r="S1997" s="1">
        <v>0.85770862999999997</v>
      </c>
      <c r="T1997" s="1">
        <v>-1.974451</v>
      </c>
      <c r="U1997" s="1">
        <v>13.994</v>
      </c>
      <c r="V1997" s="1">
        <v>76</v>
      </c>
      <c r="W1997" s="1">
        <v>130</v>
      </c>
      <c r="X1997" s="1">
        <v>1.7105263157894737</v>
      </c>
      <c r="Y1997" s="1">
        <v>78</v>
      </c>
      <c r="Z1997" s="1">
        <v>130</v>
      </c>
      <c r="AA1997" s="1">
        <v>1.6666666666666667</v>
      </c>
      <c r="AB1997" s="1">
        <v>77.195216653575926</v>
      </c>
      <c r="AC1997" s="1">
        <v>129.99172538057289</v>
      </c>
      <c r="AD1997" s="1">
        <v>1.6839349770067815</v>
      </c>
      <c r="AE1997" t="s">
        <v>4816</v>
      </c>
      <c r="AF1997" t="str">
        <f>IF(X1997&lt;$AF$1,"Bajo","Alto")</f>
        <v>Bajo</v>
      </c>
      <c r="AG1997" t="str">
        <f>LEFT(AE1997,1)</f>
        <v>D</v>
      </c>
      <c r="AH1997" t="str">
        <f>K1997</f>
        <v>F</v>
      </c>
      <c r="AI1997" t="str">
        <f>LEFT(AF1997,1)</f>
        <v>B</v>
      </c>
      <c r="AJ1997" t="str">
        <f>LEFT(M1997,1)</f>
        <v>J</v>
      </c>
      <c r="AK1997" t="str">
        <f>_xlfn.CONCAT(AG1997,AH1997,AI1997,AJ1997)</f>
        <v>DFBJ</v>
      </c>
    </row>
    <row r="1998" spans="1:37" ht="15.75" hidden="1" customHeight="1" x14ac:dyDescent="0.2">
      <c r="A1998" s="1">
        <v>1077302</v>
      </c>
      <c r="B1998" s="1" t="s">
        <v>1067</v>
      </c>
      <c r="C1998" s="1" t="s">
        <v>1068</v>
      </c>
      <c r="D1998" s="1" t="s">
        <v>1486</v>
      </c>
      <c r="E1998" s="1" t="s">
        <v>1021</v>
      </c>
      <c r="F1998" s="1" t="s">
        <v>37</v>
      </c>
      <c r="G1998" s="1" t="s">
        <v>1487</v>
      </c>
      <c r="H1998" s="1">
        <v>2252</v>
      </c>
      <c r="I1998" s="1" t="s">
        <v>108</v>
      </c>
      <c r="J1998" s="1">
        <v>3</v>
      </c>
      <c r="K1998" s="1" t="s">
        <v>35</v>
      </c>
      <c r="L1998" s="1">
        <v>42</v>
      </c>
      <c r="M1998" s="1" t="str">
        <f>IF(L1998&lt;=45,"Joven","Mayor")</f>
        <v>Joven</v>
      </c>
      <c r="N1998" s="1">
        <v>52</v>
      </c>
      <c r="O1998" s="1" t="s">
        <v>36</v>
      </c>
      <c r="P1998" s="1">
        <v>0.112</v>
      </c>
      <c r="Q1998" s="1">
        <v>93.218000000000004</v>
      </c>
      <c r="R1998" s="1">
        <v>3.1383078000000002</v>
      </c>
      <c r="S1998" s="1">
        <v>-0.27995920000000002</v>
      </c>
      <c r="T1998" s="1">
        <v>-4.8110265999999999</v>
      </c>
      <c r="U1998" s="1">
        <v>2.5579999999999998</v>
      </c>
      <c r="V1998" s="1">
        <v>59</v>
      </c>
      <c r="W1998" s="1">
        <v>102</v>
      </c>
      <c r="X1998" s="1">
        <v>1.728813559322034</v>
      </c>
      <c r="Y1998" s="1">
        <v>60</v>
      </c>
      <c r="Z1998" s="1">
        <v>102</v>
      </c>
      <c r="AA1998" s="1">
        <v>1.7</v>
      </c>
      <c r="AB1998" s="1">
        <v>61.71760541535059</v>
      </c>
      <c r="AC1998" s="1">
        <v>101.6406271694341</v>
      </c>
      <c r="AD1998" s="1">
        <v>1.6468660195969582</v>
      </c>
      <c r="AE1998" t="s">
        <v>4817</v>
      </c>
      <c r="AF1998" t="str">
        <f>IF(X1998&lt;$AF$1,"Bajo","Alto")</f>
        <v>Bajo</v>
      </c>
      <c r="AG1998" t="str">
        <f>LEFT(AE1998,1)</f>
        <v>C</v>
      </c>
      <c r="AH1998" t="str">
        <f>K1998</f>
        <v>M</v>
      </c>
      <c r="AI1998" t="str">
        <f>LEFT(AF1998,1)</f>
        <v>B</v>
      </c>
      <c r="AJ1998" t="str">
        <f>LEFT(M1998,1)</f>
        <v>J</v>
      </c>
      <c r="AK1998" t="str">
        <f>_xlfn.CONCAT(AG1998,AH1998,AI1998,AJ1998)</f>
        <v>CMBJ</v>
      </c>
    </row>
    <row r="1999" spans="1:37" ht="15.75" hidden="1" customHeight="1" x14ac:dyDescent="0.2">
      <c r="A1999" s="1">
        <v>10715702</v>
      </c>
      <c r="B1999" s="1" t="s">
        <v>1067</v>
      </c>
      <c r="C1999" s="1" t="s">
        <v>1068</v>
      </c>
      <c r="D1999" s="1" t="s">
        <v>1146</v>
      </c>
      <c r="E1999" s="1" t="s">
        <v>229</v>
      </c>
      <c r="F1999" s="1" t="s">
        <v>37</v>
      </c>
      <c r="G1999" s="1" t="s">
        <v>1148</v>
      </c>
      <c r="H1999" s="1">
        <v>519</v>
      </c>
      <c r="I1999" s="1" t="s">
        <v>48</v>
      </c>
      <c r="J1999" s="1">
        <v>4</v>
      </c>
      <c r="K1999" s="1" t="s">
        <v>35</v>
      </c>
      <c r="L1999" s="1">
        <v>46</v>
      </c>
      <c r="M1999" s="1" t="str">
        <f>IF(L1999&lt;=45,"Joven","Mayor")</f>
        <v>Mayor</v>
      </c>
      <c r="N1999" s="1">
        <v>59</v>
      </c>
      <c r="O1999" s="1" t="s">
        <v>36</v>
      </c>
      <c r="P1999" s="1">
        <v>0.115</v>
      </c>
      <c r="Q1999" s="1">
        <v>93.090999999999994</v>
      </c>
      <c r="R1999" s="1">
        <v>-3.0176356000000002</v>
      </c>
      <c r="S1999" s="1">
        <v>1.4024572</v>
      </c>
      <c r="T1999" s="1">
        <v>-4.5188383999999999</v>
      </c>
      <c r="U1999" s="1">
        <v>6.2240000000000002</v>
      </c>
      <c r="V1999" s="1">
        <v>113</v>
      </c>
      <c r="W1999" s="1">
        <v>194</v>
      </c>
      <c r="X1999" s="1">
        <v>1.7168141592920354</v>
      </c>
      <c r="Y1999" s="1">
        <v>126</v>
      </c>
      <c r="Z1999" s="1">
        <v>194</v>
      </c>
      <c r="AA1999" s="1">
        <v>1.5396825396825398</v>
      </c>
      <c r="AB1999" s="1">
        <v>122.3780652014636</v>
      </c>
      <c r="AC1999" s="1">
        <v>195.36661947542009</v>
      </c>
      <c r="AD1999" s="1">
        <v>1.5964185996387494</v>
      </c>
      <c r="AE1999" t="s">
        <v>4817</v>
      </c>
      <c r="AF1999" t="str">
        <f>IF(X1999&lt;$AF$1,"Bajo","Alto")</f>
        <v>Bajo</v>
      </c>
      <c r="AG1999" t="str">
        <f>LEFT(AE1999,1)</f>
        <v>C</v>
      </c>
      <c r="AH1999" t="str">
        <f>K1999</f>
        <v>M</v>
      </c>
      <c r="AI1999" t="str">
        <f>LEFT(AF1999,1)</f>
        <v>B</v>
      </c>
      <c r="AJ1999" t="str">
        <f>LEFT(M1999,1)</f>
        <v>M</v>
      </c>
      <c r="AK1999" t="str">
        <f>_xlfn.CONCAT(AG1999,AH1999,AI1999,AJ1999)</f>
        <v>CMBM</v>
      </c>
    </row>
    <row r="2000" spans="1:37" ht="15.75" hidden="1" customHeight="1" x14ac:dyDescent="0.2">
      <c r="A2000" s="1">
        <v>1071004</v>
      </c>
      <c r="B2000" s="1" t="s">
        <v>1067</v>
      </c>
      <c r="C2000" s="1" t="s">
        <v>1068</v>
      </c>
      <c r="D2000" s="1" t="s">
        <v>1094</v>
      </c>
      <c r="E2000" s="1" t="s">
        <v>75</v>
      </c>
      <c r="F2000" s="1" t="s">
        <v>61</v>
      </c>
      <c r="G2000" s="1" t="s">
        <v>1096</v>
      </c>
      <c r="H2000" s="1">
        <v>2000</v>
      </c>
      <c r="I2000" s="1" t="s">
        <v>1097</v>
      </c>
      <c r="J2000" s="1">
        <v>4304</v>
      </c>
      <c r="K2000" s="1" t="s">
        <v>35</v>
      </c>
      <c r="L2000" s="1">
        <v>36</v>
      </c>
      <c r="M2000" s="1" t="str">
        <f>IF(L2000&lt;=45,"Joven","Mayor")</f>
        <v>Joven</v>
      </c>
      <c r="N2000" s="1">
        <v>42</v>
      </c>
      <c r="O2000" s="1" t="s">
        <v>36</v>
      </c>
      <c r="P2000" s="1">
        <v>1.151</v>
      </c>
      <c r="Q2000" s="1">
        <v>93.11</v>
      </c>
      <c r="R2000" s="1">
        <v>1.8830925000000001</v>
      </c>
      <c r="S2000" s="1">
        <v>3.5203912000000002</v>
      </c>
      <c r="T2000" s="1">
        <v>-1.9274741</v>
      </c>
      <c r="U2000" s="1">
        <v>6.0039999999999996</v>
      </c>
      <c r="V2000" s="1">
        <v>85</v>
      </c>
      <c r="W2000" s="1">
        <v>147</v>
      </c>
      <c r="X2000" s="1">
        <v>1.7294117647058824</v>
      </c>
      <c r="Y2000" s="1">
        <v>87</v>
      </c>
      <c r="Z2000" s="1">
        <v>147</v>
      </c>
      <c r="AA2000" s="1">
        <v>1.6896551724137931</v>
      </c>
      <c r="AB2000" s="1">
        <v>88.161614913047515</v>
      </c>
      <c r="AC2000" s="1">
        <v>146.883193369998</v>
      </c>
      <c r="AD2000" s="1">
        <v>1.6660674094373917</v>
      </c>
      <c r="AE2000" t="s">
        <v>4817</v>
      </c>
      <c r="AF2000" t="str">
        <f>IF(X2000&lt;$AF$1,"Bajo","Alto")</f>
        <v>Bajo</v>
      </c>
      <c r="AG2000" t="str">
        <f>LEFT(AE2000,1)</f>
        <v>C</v>
      </c>
      <c r="AH2000" t="str">
        <f>K2000</f>
        <v>M</v>
      </c>
      <c r="AI2000" t="str">
        <f>LEFT(AF2000,1)</f>
        <v>B</v>
      </c>
      <c r="AJ2000" t="str">
        <f>LEFT(M2000,1)</f>
        <v>J</v>
      </c>
      <c r="AK2000" t="str">
        <f>_xlfn.CONCAT(AG2000,AH2000,AI2000,AJ2000)</f>
        <v>CMBJ</v>
      </c>
    </row>
    <row r="2001" spans="1:37" ht="15.75" hidden="1" customHeight="1" x14ac:dyDescent="0.2">
      <c r="A2001" s="1">
        <v>1077001</v>
      </c>
      <c r="B2001" s="1" t="s">
        <v>1067</v>
      </c>
      <c r="C2001" s="1" t="s">
        <v>1068</v>
      </c>
      <c r="D2001" s="1" t="s">
        <v>1484</v>
      </c>
      <c r="E2001" s="1" t="s">
        <v>720</v>
      </c>
      <c r="F2001" s="1" t="s">
        <v>32</v>
      </c>
      <c r="G2001" s="1" t="s">
        <v>1485</v>
      </c>
      <c r="H2001" s="1">
        <v>407</v>
      </c>
      <c r="I2001" s="1" t="s">
        <v>39</v>
      </c>
      <c r="J2001" s="1">
        <v>11</v>
      </c>
      <c r="K2001" s="1" t="s">
        <v>35</v>
      </c>
      <c r="L2001" s="1">
        <v>45</v>
      </c>
      <c r="M2001" s="1" t="str">
        <f>IF(L2001&lt;=45,"Joven","Mayor")</f>
        <v>Joven</v>
      </c>
      <c r="N2001" s="1">
        <v>50</v>
      </c>
      <c r="O2001" s="1" t="s">
        <v>36</v>
      </c>
      <c r="P2001" s="1">
        <v>0.36099999999999999</v>
      </c>
      <c r="Q2001" s="1">
        <v>56.993000000000002</v>
      </c>
      <c r="R2001" s="1">
        <v>14.6324215</v>
      </c>
      <c r="S2001" s="1">
        <v>5.3871836999999996</v>
      </c>
      <c r="T2001" s="1">
        <v>-2.7245279999999998</v>
      </c>
      <c r="U2001" s="1">
        <v>11.84</v>
      </c>
      <c r="V2001" s="1">
        <v>104</v>
      </c>
      <c r="W2001" s="1">
        <v>179</v>
      </c>
      <c r="X2001" s="1">
        <v>1.7211538461538463</v>
      </c>
      <c r="Y2001" s="1">
        <v>111</v>
      </c>
      <c r="Z2001" s="1">
        <v>179</v>
      </c>
      <c r="AA2001" s="1">
        <v>1.6126126126126126</v>
      </c>
      <c r="AB2001" s="1">
        <v>108.5928923902604</v>
      </c>
      <c r="AC2001" s="1">
        <v>178.7976615192724</v>
      </c>
      <c r="AD2001" s="1">
        <v>1.6464950659635307</v>
      </c>
      <c r="AE2001" t="s">
        <v>4816</v>
      </c>
      <c r="AF2001" t="str">
        <f>IF(X2001&lt;$AF$1,"Bajo","Alto")</f>
        <v>Bajo</v>
      </c>
      <c r="AG2001" t="str">
        <f>LEFT(AE2001,1)</f>
        <v>D</v>
      </c>
      <c r="AH2001" t="str">
        <f>K2001</f>
        <v>M</v>
      </c>
      <c r="AI2001" t="str">
        <f>LEFT(AF2001,1)</f>
        <v>B</v>
      </c>
      <c r="AJ2001" t="str">
        <f>LEFT(M2001,1)</f>
        <v>J</v>
      </c>
      <c r="AK2001" t="str">
        <f>_xlfn.CONCAT(AG2001,AH2001,AI2001,AJ2001)</f>
        <v>DMBJ</v>
      </c>
    </row>
    <row r="2002" spans="1:37" ht="15.75" hidden="1" customHeight="1" x14ac:dyDescent="0.2">
      <c r="A2002" s="1">
        <v>10115104</v>
      </c>
      <c r="B2002" s="1" t="s">
        <v>29</v>
      </c>
      <c r="C2002" s="1" t="s">
        <v>30</v>
      </c>
      <c r="D2002" s="1" t="s">
        <v>214</v>
      </c>
      <c r="E2002" s="1" t="s">
        <v>215</v>
      </c>
      <c r="F2002" s="1" t="s">
        <v>61</v>
      </c>
      <c r="G2002" s="1" t="s">
        <v>217</v>
      </c>
      <c r="H2002" s="1">
        <v>59756</v>
      </c>
      <c r="I2002" s="1" t="s">
        <v>65</v>
      </c>
      <c r="J2002" s="1">
        <v>2</v>
      </c>
      <c r="K2002" s="1" t="s">
        <v>35</v>
      </c>
      <c r="L2002" s="1">
        <v>47</v>
      </c>
      <c r="M2002" s="1" t="str">
        <f>IF(L2002&lt;=45,"Joven","Mayor")</f>
        <v>Mayor</v>
      </c>
      <c r="N2002" s="1">
        <v>42</v>
      </c>
      <c r="O2002" s="1" t="s">
        <v>36</v>
      </c>
      <c r="P2002" s="1">
        <v>0.30499999999999999</v>
      </c>
      <c r="Q2002" s="1">
        <v>90.849000000000004</v>
      </c>
      <c r="R2002" s="1">
        <v>-3.4457781000000001</v>
      </c>
      <c r="S2002" s="1">
        <v>7.1664032999999998</v>
      </c>
      <c r="T2002" s="1">
        <v>-1.2116649E-3</v>
      </c>
      <c r="U2002" s="1">
        <v>2.6739999999999999</v>
      </c>
      <c r="V2002" s="1">
        <v>94</v>
      </c>
      <c r="W2002" s="1">
        <v>171</v>
      </c>
      <c r="X2002" s="1">
        <v>1.8191489361702127</v>
      </c>
      <c r="Y2002" s="1">
        <v>96</v>
      </c>
      <c r="Z2002" s="1">
        <v>171</v>
      </c>
      <c r="AA2002" s="1">
        <v>1.78125</v>
      </c>
      <c r="AB2002" s="1">
        <v>95.999111781772172</v>
      </c>
      <c r="AC2002" s="1">
        <v>171.0001479945563</v>
      </c>
      <c r="AD2002" s="1">
        <v>1.7812680223883588</v>
      </c>
      <c r="AE2002" t="s">
        <v>4817</v>
      </c>
      <c r="AF2002" t="str">
        <f>IF(X2002&lt;$AF$1,"Bajo","Alto")</f>
        <v>Alto</v>
      </c>
      <c r="AG2002" t="str">
        <f>LEFT(AE2002,1)</f>
        <v>C</v>
      </c>
      <c r="AH2002" t="str">
        <f>K2002</f>
        <v>M</v>
      </c>
      <c r="AI2002" t="str">
        <f>LEFT(AF2002,1)</f>
        <v>A</v>
      </c>
      <c r="AJ2002" t="str">
        <f>LEFT(M2002,1)</f>
        <v>M</v>
      </c>
      <c r="AK2002" t="str">
        <f>_xlfn.CONCAT(AG2002,AH2002,AI2002,AJ2002)</f>
        <v>CMAM</v>
      </c>
    </row>
    <row r="2003" spans="1:37" ht="15.75" hidden="1" customHeight="1" x14ac:dyDescent="0.2">
      <c r="A2003" s="1">
        <v>10113304</v>
      </c>
      <c r="B2003" s="1" t="s">
        <v>29</v>
      </c>
      <c r="C2003" s="1" t="s">
        <v>30</v>
      </c>
      <c r="D2003" s="1" t="s">
        <v>168</v>
      </c>
      <c r="E2003" s="1" t="s">
        <v>169</v>
      </c>
      <c r="F2003" s="1" t="s">
        <v>61</v>
      </c>
      <c r="G2003" s="1" t="s">
        <v>171</v>
      </c>
      <c r="H2003" s="1">
        <v>2015</v>
      </c>
      <c r="I2003" s="1" t="s">
        <v>172</v>
      </c>
      <c r="J2003" s="1">
        <v>2732</v>
      </c>
      <c r="K2003" s="1" t="s">
        <v>49</v>
      </c>
      <c r="L2003" s="1">
        <v>39</v>
      </c>
      <c r="M2003" s="1" t="str">
        <f>IF(L2003&lt;=45,"Joven","Mayor")</f>
        <v>Joven</v>
      </c>
      <c r="N2003" s="1">
        <v>27</v>
      </c>
      <c r="O2003" s="1" t="s">
        <v>50</v>
      </c>
      <c r="P2003" s="1">
        <v>0.38300000000000001</v>
      </c>
      <c r="Q2003" s="1">
        <v>81.777000000000001</v>
      </c>
      <c r="R2003" s="1">
        <v>9.4218969999999995</v>
      </c>
      <c r="S2003" s="1">
        <v>4.7663529999999996</v>
      </c>
      <c r="T2003" s="1">
        <v>-5.9705795999999998</v>
      </c>
      <c r="U2003" s="1">
        <v>4.7389999999999999</v>
      </c>
      <c r="V2003" s="1">
        <v>91</v>
      </c>
      <c r="W2003" s="1">
        <v>158</v>
      </c>
      <c r="X2003" s="1">
        <v>1.7362637362637363</v>
      </c>
      <c r="Y2003" s="1">
        <v>101</v>
      </c>
      <c r="Z2003" s="1">
        <v>158</v>
      </c>
      <c r="AA2003" s="1">
        <v>1.5643564356435644</v>
      </c>
      <c r="AB2003" s="1">
        <v>96.915514715139125</v>
      </c>
      <c r="AC2003" s="1">
        <v>157.97506141354231</v>
      </c>
      <c r="AD2003" s="1">
        <v>1.6300286066464558</v>
      </c>
      <c r="AE2003" t="s">
        <v>4817</v>
      </c>
      <c r="AF2003" t="str">
        <f>IF(X2003&lt;$AF$1,"Bajo","Alto")</f>
        <v>Bajo</v>
      </c>
      <c r="AG2003" t="str">
        <f>LEFT(AE2003,1)</f>
        <v>C</v>
      </c>
      <c r="AH2003" t="str">
        <f>K2003</f>
        <v>F</v>
      </c>
      <c r="AI2003" t="str">
        <f>LEFT(AF2003,1)</f>
        <v>B</v>
      </c>
      <c r="AJ2003" t="str">
        <f>LEFT(M2003,1)</f>
        <v>J</v>
      </c>
      <c r="AK2003" t="str">
        <f>_xlfn.CONCAT(AG2003,AH2003,AI2003,AJ2003)</f>
        <v>CFBJ</v>
      </c>
    </row>
    <row r="2004" spans="1:37" ht="15.75" hidden="1" customHeight="1" x14ac:dyDescent="0.2">
      <c r="A2004" s="1">
        <v>2312702</v>
      </c>
      <c r="B2004" s="1" t="s">
        <v>319</v>
      </c>
      <c r="C2004" s="1" t="s">
        <v>1989</v>
      </c>
      <c r="D2004" s="1" t="s">
        <v>2964</v>
      </c>
      <c r="E2004" s="1" t="s">
        <v>153</v>
      </c>
      <c r="F2004" s="1" t="s">
        <v>37</v>
      </c>
      <c r="G2004" s="1" t="s">
        <v>2965</v>
      </c>
      <c r="H2004" s="1">
        <v>2860</v>
      </c>
      <c r="I2004" s="1" t="s">
        <v>73</v>
      </c>
      <c r="J2004" s="1">
        <v>5</v>
      </c>
      <c r="K2004" s="1" t="s">
        <v>35</v>
      </c>
      <c r="L2004" s="1">
        <v>33</v>
      </c>
      <c r="M2004" s="1" t="str">
        <f>IF(L2004&lt;=45,"Joven","Mayor")</f>
        <v>Joven</v>
      </c>
      <c r="N2004" s="1">
        <v>43</v>
      </c>
      <c r="O2004" s="1" t="s">
        <v>36</v>
      </c>
      <c r="P2004" s="1">
        <v>0.40200000000000002</v>
      </c>
      <c r="Q2004" s="1">
        <v>90.438000000000002</v>
      </c>
      <c r="R2004" s="1">
        <v>-3.9090462000000001</v>
      </c>
      <c r="S2004" s="1">
        <v>-6.9730195999999998</v>
      </c>
      <c r="T2004" s="1">
        <v>6.3410324999999998</v>
      </c>
      <c r="U2004" s="1">
        <v>2.1459999999999999</v>
      </c>
      <c r="V2004" s="1">
        <v>112</v>
      </c>
      <c r="W2004" s="1">
        <v>203</v>
      </c>
      <c r="X2004" s="1">
        <v>1.8125</v>
      </c>
      <c r="Y2004" s="1">
        <v>127</v>
      </c>
      <c r="Z2004" s="1">
        <v>203</v>
      </c>
      <c r="AA2004" s="1">
        <v>1.5984251968503937</v>
      </c>
      <c r="AB2004" s="1">
        <v>120.9216151994726</v>
      </c>
      <c r="AC2004" s="1">
        <v>203.08342248568309</v>
      </c>
      <c r="AD2004" s="1">
        <v>1.6794633626972</v>
      </c>
      <c r="AE2004" t="s">
        <v>4815</v>
      </c>
      <c r="AF2004" t="str">
        <f>IF(X2004&lt;$AF$1,"Bajo","Alto")</f>
        <v>Alto</v>
      </c>
      <c r="AG2004" t="str">
        <f>LEFT(AE2004,1)</f>
        <v>I</v>
      </c>
      <c r="AH2004" t="str">
        <f>K2004</f>
        <v>M</v>
      </c>
      <c r="AI2004" t="str">
        <f>LEFT(AF2004,1)</f>
        <v>A</v>
      </c>
      <c r="AJ2004" t="str">
        <f>LEFT(M2004,1)</f>
        <v>J</v>
      </c>
      <c r="AK2004" t="str">
        <f>_xlfn.CONCAT(AG2004,AH2004,AI2004,AJ2004)</f>
        <v>IMAJ</v>
      </c>
    </row>
    <row r="2005" spans="1:37" ht="15.75" hidden="1" customHeight="1" x14ac:dyDescent="0.2">
      <c r="A2005" s="1">
        <v>2911503</v>
      </c>
      <c r="B2005" s="1" t="s">
        <v>3890</v>
      </c>
      <c r="C2005" s="1" t="s">
        <v>1695</v>
      </c>
      <c r="D2005" s="1" t="s">
        <v>1779</v>
      </c>
      <c r="E2005" s="1" t="s">
        <v>112</v>
      </c>
      <c r="F2005" s="1" t="s">
        <v>63</v>
      </c>
      <c r="G2005" s="1" t="s">
        <v>3944</v>
      </c>
      <c r="H2005" s="1">
        <v>194</v>
      </c>
      <c r="I2005" s="1" t="s">
        <v>3945</v>
      </c>
      <c r="J2005" s="1">
        <v>1485</v>
      </c>
      <c r="K2005" s="1" t="s">
        <v>49</v>
      </c>
      <c r="L2005" s="1">
        <v>62</v>
      </c>
      <c r="M2005" s="1" t="str">
        <f>IF(L2005&lt;=45,"Joven","Mayor")</f>
        <v>Mayor</v>
      </c>
      <c r="N2005" s="1">
        <v>65</v>
      </c>
      <c r="O2005" s="1" t="s">
        <v>50</v>
      </c>
      <c r="P2005" s="1">
        <v>0.35399999999999998</v>
      </c>
      <c r="Q2005" s="1">
        <v>92.319000000000003</v>
      </c>
      <c r="R2005" s="1">
        <v>-2.3767223</v>
      </c>
      <c r="S2005" s="1">
        <v>5.7429800000000002</v>
      </c>
      <c r="T2005" s="1">
        <v>-0.25863104999999997</v>
      </c>
      <c r="U2005" s="1">
        <v>44.954999999999998</v>
      </c>
      <c r="V2005" s="1">
        <v>108</v>
      </c>
      <c r="W2005" s="1">
        <v>183</v>
      </c>
      <c r="X2005" s="1">
        <v>1.6944444444444444</v>
      </c>
      <c r="Y2005" s="1">
        <v>112</v>
      </c>
      <c r="Z2005" s="1">
        <v>183</v>
      </c>
      <c r="AA2005" s="1">
        <v>1.6339285714285714</v>
      </c>
      <c r="AB2005" s="1">
        <v>111.786703395549</v>
      </c>
      <c r="AC2005" s="1">
        <v>183.00264955953071</v>
      </c>
      <c r="AD2005" s="1">
        <v>1.6370699197738154</v>
      </c>
      <c r="AE2005" t="s">
        <v>4817</v>
      </c>
      <c r="AF2005" t="str">
        <f>IF(X2005&lt;$AF$1,"Bajo","Alto")</f>
        <v>Bajo</v>
      </c>
      <c r="AG2005" t="str">
        <f>LEFT(AE2005,1)</f>
        <v>C</v>
      </c>
      <c r="AH2005" t="str">
        <f>K2005</f>
        <v>F</v>
      </c>
      <c r="AI2005" t="str">
        <f>LEFT(AF2005,1)</f>
        <v>B</v>
      </c>
      <c r="AJ2005" t="str">
        <f>LEFT(M2005,1)</f>
        <v>M</v>
      </c>
      <c r="AK2005" t="str">
        <f>_xlfn.CONCAT(AG2005,AH2005,AI2005,AJ2005)</f>
        <v>CFBM</v>
      </c>
    </row>
    <row r="2006" spans="1:37" ht="15.75" hidden="1" customHeight="1" x14ac:dyDescent="0.2">
      <c r="A2006" s="1">
        <v>193404</v>
      </c>
      <c r="B2006" s="1" t="s">
        <v>2656</v>
      </c>
      <c r="C2006" s="1" t="s">
        <v>323</v>
      </c>
      <c r="D2006" s="1" t="s">
        <v>2702</v>
      </c>
      <c r="E2006" s="1" t="s">
        <v>634</v>
      </c>
      <c r="F2006" s="1" t="s">
        <v>61</v>
      </c>
      <c r="G2006" s="1" t="s">
        <v>2705</v>
      </c>
      <c r="H2006" s="1">
        <v>9179</v>
      </c>
      <c r="I2006" s="1" t="s">
        <v>48</v>
      </c>
      <c r="J2006" s="1">
        <v>4</v>
      </c>
      <c r="K2006" s="1" t="s">
        <v>35</v>
      </c>
      <c r="L2006" s="1">
        <v>39</v>
      </c>
      <c r="M2006" s="1" t="str">
        <f>IF(L2006&lt;=45,"Joven","Mayor")</f>
        <v>Joven</v>
      </c>
      <c r="N2006" s="1">
        <v>47</v>
      </c>
      <c r="O2006" s="1" t="s">
        <v>36</v>
      </c>
      <c r="P2006" s="1">
        <v>0.13600000000000001</v>
      </c>
      <c r="Q2006" s="1">
        <v>92.805999999999997</v>
      </c>
      <c r="R2006" s="1">
        <v>-1.2462686999999999</v>
      </c>
      <c r="S2006" s="1">
        <v>6.7243139999999997</v>
      </c>
      <c r="T2006" s="1">
        <v>1.9060382</v>
      </c>
      <c r="U2006" s="1">
        <v>28.766999999999999</v>
      </c>
      <c r="V2006" s="1">
        <v>95</v>
      </c>
      <c r="W2006" s="1">
        <v>173</v>
      </c>
      <c r="X2006" s="1">
        <v>1.8210526315789475</v>
      </c>
      <c r="Y2006" s="1">
        <v>97</v>
      </c>
      <c r="Z2006" s="1">
        <v>173</v>
      </c>
      <c r="AA2006" s="1">
        <v>1.7835051546391754</v>
      </c>
      <c r="AB2006" s="1">
        <v>96.510681863579521</v>
      </c>
      <c r="AC2006" s="1">
        <v>173.13710546435189</v>
      </c>
      <c r="AD2006" s="1">
        <v>1.7939683164718068</v>
      </c>
      <c r="AE2006" t="s">
        <v>4817</v>
      </c>
      <c r="AF2006" t="str">
        <f>IF(X2006&lt;$AF$1,"Bajo","Alto")</f>
        <v>Alto</v>
      </c>
      <c r="AG2006" t="str">
        <f>LEFT(AE2006,1)</f>
        <v>C</v>
      </c>
      <c r="AH2006" t="str">
        <f>K2006</f>
        <v>M</v>
      </c>
      <c r="AI2006" t="str">
        <f>LEFT(AF2006,1)</f>
        <v>A</v>
      </c>
      <c r="AJ2006" t="str">
        <f>LEFT(M2006,1)</f>
        <v>J</v>
      </c>
      <c r="AK2006" t="str">
        <f>_xlfn.CONCAT(AG2006,AH2006,AI2006,AJ2006)</f>
        <v>CMAJ</v>
      </c>
    </row>
    <row r="2007" spans="1:37" ht="15.75" hidden="1" customHeight="1" x14ac:dyDescent="0.2">
      <c r="A2007" s="1">
        <v>640402</v>
      </c>
      <c r="B2007" s="1" t="s">
        <v>4718</v>
      </c>
      <c r="C2007" s="1" t="s">
        <v>710</v>
      </c>
      <c r="D2007" s="1" t="s">
        <v>4732</v>
      </c>
      <c r="E2007" s="1" t="s">
        <v>61</v>
      </c>
      <c r="F2007" s="1" t="s">
        <v>37</v>
      </c>
      <c r="G2007" s="1" t="s">
        <v>4733</v>
      </c>
      <c r="H2007" s="1">
        <v>1075</v>
      </c>
      <c r="I2007" s="1" t="s">
        <v>4734</v>
      </c>
      <c r="J2007" s="1">
        <v>2609</v>
      </c>
      <c r="K2007" s="1" t="s">
        <v>49</v>
      </c>
      <c r="L2007" s="1">
        <v>41</v>
      </c>
      <c r="M2007" s="1" t="str">
        <f>IF(L2007&lt;=45,"Joven","Mayor")</f>
        <v>Joven</v>
      </c>
      <c r="N2007" s="1">
        <v>30</v>
      </c>
      <c r="O2007" s="1" t="s">
        <v>50</v>
      </c>
      <c r="P2007" s="1">
        <v>3.5000000000000003E-2</v>
      </c>
      <c r="Q2007" s="1">
        <v>60.820999999999998</v>
      </c>
      <c r="R2007" s="1">
        <v>14.452120000000001</v>
      </c>
      <c r="S2007" s="1">
        <v>2.5345985999999998</v>
      </c>
      <c r="T2007" s="1">
        <v>-8.2235220000000009</v>
      </c>
      <c r="U2007" s="1">
        <v>13.433</v>
      </c>
      <c r="V2007" s="1">
        <v>76</v>
      </c>
      <c r="W2007" s="1">
        <v>139</v>
      </c>
      <c r="X2007" s="1">
        <v>1.8289473684210527</v>
      </c>
      <c r="Y2007" s="1">
        <v>78</v>
      </c>
      <c r="Z2007" s="1">
        <v>139</v>
      </c>
      <c r="AA2007" s="1">
        <v>1.7820512820512822</v>
      </c>
      <c r="AB2007" s="1">
        <v>80.510841727933894</v>
      </c>
      <c r="AC2007" s="1">
        <v>137.57074544640139</v>
      </c>
      <c r="AD2007" s="1">
        <v>1.7087232289942647</v>
      </c>
      <c r="AE2007" t="s">
        <v>4817</v>
      </c>
      <c r="AF2007" t="str">
        <f>IF(X2007&lt;$AF$1,"Bajo","Alto")</f>
        <v>Alto</v>
      </c>
      <c r="AG2007" t="str">
        <f>LEFT(AE2007,1)</f>
        <v>C</v>
      </c>
      <c r="AH2007" t="str">
        <f>K2007</f>
        <v>F</v>
      </c>
      <c r="AI2007" t="str">
        <f>LEFT(AF2007,1)</f>
        <v>A</v>
      </c>
      <c r="AJ2007" t="str">
        <f>LEFT(M2007,1)</f>
        <v>J</v>
      </c>
      <c r="AK2007" t="str">
        <f>_xlfn.CONCAT(AG2007,AH2007,AI2007,AJ2007)</f>
        <v>CFAJ</v>
      </c>
    </row>
    <row r="2008" spans="1:37" ht="15.75" hidden="1" customHeight="1" x14ac:dyDescent="0.2">
      <c r="A2008" s="1">
        <v>524102</v>
      </c>
      <c r="B2008" s="1" t="s">
        <v>4529</v>
      </c>
      <c r="C2008" s="1" t="s">
        <v>685</v>
      </c>
      <c r="D2008" s="1" t="s">
        <v>4604</v>
      </c>
      <c r="E2008" s="1" t="s">
        <v>988</v>
      </c>
      <c r="F2008" s="1" t="s">
        <v>37</v>
      </c>
      <c r="G2008" s="1" t="s">
        <v>4605</v>
      </c>
      <c r="H2008" s="1">
        <v>336</v>
      </c>
      <c r="I2008" s="1" t="s">
        <v>87</v>
      </c>
      <c r="J2008" s="1">
        <v>14</v>
      </c>
      <c r="K2008" s="1" t="s">
        <v>49</v>
      </c>
      <c r="L2008" s="1">
        <v>37</v>
      </c>
      <c r="M2008" s="1" t="str">
        <f>IF(L2008&lt;=45,"Joven","Mayor")</f>
        <v>Joven</v>
      </c>
      <c r="N2008" s="1">
        <v>33</v>
      </c>
      <c r="O2008" s="1" t="s">
        <v>50</v>
      </c>
      <c r="P2008" s="1">
        <v>0.38800000000000001</v>
      </c>
      <c r="Q2008" s="1">
        <v>77.605999999999995</v>
      </c>
      <c r="R2008" s="1">
        <v>-10.121733000000001</v>
      </c>
      <c r="S2008" s="1">
        <v>7.4106082999999998</v>
      </c>
      <c r="T2008" s="1">
        <v>12.509394</v>
      </c>
      <c r="U2008" s="1">
        <v>6.6360000000000001</v>
      </c>
      <c r="V2008" s="1">
        <v>87</v>
      </c>
      <c r="W2008" s="1">
        <v>149</v>
      </c>
      <c r="X2008" s="1">
        <v>1.7126436781609196</v>
      </c>
      <c r="Y2008" s="1">
        <v>102</v>
      </c>
      <c r="Z2008" s="1">
        <v>149</v>
      </c>
      <c r="AA2008" s="1">
        <v>1.4607843137254901</v>
      </c>
      <c r="AB2008" s="1">
        <v>93.730380369521981</v>
      </c>
      <c r="AC2008" s="1">
        <v>148.49521113061161</v>
      </c>
      <c r="AD2008" s="1">
        <v>1.5842804706988829</v>
      </c>
      <c r="AE2008" t="s">
        <v>4816</v>
      </c>
      <c r="AF2008" t="str">
        <f>IF(X2008&lt;$AF$1,"Bajo","Alto")</f>
        <v>Bajo</v>
      </c>
      <c r="AG2008" t="str">
        <f>LEFT(AE2008,1)</f>
        <v>D</v>
      </c>
      <c r="AH2008" t="str">
        <f>K2008</f>
        <v>F</v>
      </c>
      <c r="AI2008" t="str">
        <f>LEFT(AF2008,1)</f>
        <v>B</v>
      </c>
      <c r="AJ2008" t="str">
        <f>LEFT(M2008,1)</f>
        <v>J</v>
      </c>
      <c r="AK2008" t="str">
        <f>_xlfn.CONCAT(AG2008,AH2008,AI2008,AJ2008)</f>
        <v>DFBJ</v>
      </c>
    </row>
    <row r="2009" spans="1:37" ht="15.75" hidden="1" customHeight="1" x14ac:dyDescent="0.2">
      <c r="A2009" s="1">
        <v>277602</v>
      </c>
      <c r="B2009" s="1" t="s">
        <v>3409</v>
      </c>
      <c r="C2009" s="1" t="s">
        <v>973</v>
      </c>
      <c r="D2009" s="1" t="s">
        <v>3726</v>
      </c>
      <c r="E2009" s="1" t="s">
        <v>727</v>
      </c>
      <c r="F2009" s="1" t="s">
        <v>37</v>
      </c>
      <c r="G2009" s="1" t="s">
        <v>3729</v>
      </c>
      <c r="H2009" s="1">
        <v>758</v>
      </c>
      <c r="I2009" s="1" t="s">
        <v>3730</v>
      </c>
      <c r="J2009" s="1">
        <v>4072</v>
      </c>
      <c r="K2009" s="1" t="s">
        <v>49</v>
      </c>
      <c r="L2009" s="1">
        <v>30</v>
      </c>
      <c r="M2009" s="1" t="str">
        <f>IF(L2009&lt;=45,"Joven","Mayor")</f>
        <v>Joven</v>
      </c>
      <c r="N2009" s="1">
        <v>26</v>
      </c>
      <c r="O2009" s="1" t="s">
        <v>50</v>
      </c>
      <c r="P2009" s="1">
        <v>0.36</v>
      </c>
      <c r="Q2009" s="1">
        <v>91.748999999999995</v>
      </c>
      <c r="R2009" s="1">
        <v>2.405945</v>
      </c>
      <c r="S2009" s="1">
        <v>7.1597933999999999</v>
      </c>
      <c r="T2009" s="1">
        <v>-1.1667337</v>
      </c>
      <c r="U2009" s="1">
        <v>63.537999999999997</v>
      </c>
      <c r="V2009" s="1">
        <v>91</v>
      </c>
      <c r="W2009" s="1">
        <v>158</v>
      </c>
      <c r="X2009" s="1">
        <v>1.7362637362637363</v>
      </c>
      <c r="Y2009" s="1">
        <v>96</v>
      </c>
      <c r="Z2009" s="1">
        <v>158</v>
      </c>
      <c r="AA2009" s="1">
        <v>1.6458333333333333</v>
      </c>
      <c r="AB2009" s="1">
        <v>95.185981176252199</v>
      </c>
      <c r="AC2009" s="1">
        <v>158.08941415719119</v>
      </c>
      <c r="AD2009" s="1">
        <v>1.6608476605863118</v>
      </c>
      <c r="AE2009" t="s">
        <v>4817</v>
      </c>
      <c r="AF2009" t="str">
        <f>IF(X2009&lt;$AF$1,"Bajo","Alto")</f>
        <v>Bajo</v>
      </c>
      <c r="AG2009" t="str">
        <f>LEFT(AE2009,1)</f>
        <v>C</v>
      </c>
      <c r="AH2009" t="str">
        <f>K2009</f>
        <v>F</v>
      </c>
      <c r="AI2009" t="str">
        <f>LEFT(AF2009,1)</f>
        <v>B</v>
      </c>
      <c r="AJ2009" t="str">
        <f>LEFT(M2009,1)</f>
        <v>J</v>
      </c>
      <c r="AK2009" t="str">
        <f>_xlfn.CONCAT(AG2009,AH2009,AI2009,AJ2009)</f>
        <v>CFBJ</v>
      </c>
    </row>
    <row r="2010" spans="1:37" ht="15.75" hidden="1" customHeight="1" x14ac:dyDescent="0.2">
      <c r="A2010" s="1">
        <v>520801</v>
      </c>
      <c r="B2010" s="1" t="s">
        <v>4529</v>
      </c>
      <c r="C2010" s="1" t="s">
        <v>685</v>
      </c>
      <c r="D2010" s="1" t="s">
        <v>4546</v>
      </c>
      <c r="E2010" s="1" t="s">
        <v>46</v>
      </c>
      <c r="F2010" s="1" t="s">
        <v>32</v>
      </c>
      <c r="G2010" s="1" t="s">
        <v>4547</v>
      </c>
      <c r="H2010" s="1">
        <v>787</v>
      </c>
      <c r="I2010" s="1" t="s">
        <v>100</v>
      </c>
      <c r="J2010" s="1">
        <v>1</v>
      </c>
      <c r="K2010" s="1" t="s">
        <v>35</v>
      </c>
      <c r="L2010" s="1">
        <v>36</v>
      </c>
      <c r="M2010" s="1" t="str">
        <f>IF(L2010&lt;=45,"Joven","Mayor")</f>
        <v>Joven</v>
      </c>
      <c r="N2010" s="1">
        <v>45</v>
      </c>
      <c r="O2010" s="1" t="s">
        <v>36</v>
      </c>
      <c r="P2010" s="1">
        <v>0.36699999999999999</v>
      </c>
      <c r="Q2010" s="1">
        <v>75.091999999999999</v>
      </c>
      <c r="R2010" s="1">
        <v>11.438390999999999</v>
      </c>
      <c r="S2010" s="1">
        <v>4.4144940000000004</v>
      </c>
      <c r="T2010" s="1">
        <v>-10.226463000000001</v>
      </c>
      <c r="U2010" s="1">
        <v>3.4460000000000002</v>
      </c>
      <c r="V2010" s="1">
        <v>95</v>
      </c>
      <c r="W2010" s="1">
        <v>173</v>
      </c>
      <c r="X2010" s="1">
        <v>1.8210526315789475</v>
      </c>
      <c r="Y2010" s="1">
        <v>105</v>
      </c>
      <c r="Z2010" s="1">
        <v>173</v>
      </c>
      <c r="AA2010" s="1">
        <v>1.6476190476190475</v>
      </c>
      <c r="AB2010" s="1">
        <v>103.25546364243721</v>
      </c>
      <c r="AC2010" s="1">
        <v>173.80245820162369</v>
      </c>
      <c r="AD2010" s="1">
        <v>1.6832277157118125</v>
      </c>
      <c r="AE2010" t="s">
        <v>4817</v>
      </c>
      <c r="AF2010" t="str">
        <f>IF(X2010&lt;$AF$1,"Bajo","Alto")</f>
        <v>Alto</v>
      </c>
      <c r="AG2010" t="str">
        <f>LEFT(AE2010,1)</f>
        <v>C</v>
      </c>
      <c r="AH2010" t="str">
        <f>K2010</f>
        <v>M</v>
      </c>
      <c r="AI2010" t="str">
        <f>LEFT(AF2010,1)</f>
        <v>A</v>
      </c>
      <c r="AJ2010" t="str">
        <f>LEFT(M2010,1)</f>
        <v>J</v>
      </c>
      <c r="AK2010" t="str">
        <f>_xlfn.CONCAT(AG2010,AH2010,AI2010,AJ2010)</f>
        <v>CMAJ</v>
      </c>
    </row>
    <row r="2011" spans="1:37" ht="15.75" hidden="1" customHeight="1" x14ac:dyDescent="0.2">
      <c r="A2011" s="1">
        <v>10115404</v>
      </c>
      <c r="B2011" s="1" t="s">
        <v>29</v>
      </c>
      <c r="C2011" s="1" t="s">
        <v>30</v>
      </c>
      <c r="D2011" s="1" t="s">
        <v>220</v>
      </c>
      <c r="E2011" s="1" t="s">
        <v>221</v>
      </c>
      <c r="F2011" s="1" t="s">
        <v>61</v>
      </c>
      <c r="G2011" s="1" t="s">
        <v>224</v>
      </c>
      <c r="H2011" s="1">
        <v>1071</v>
      </c>
      <c r="I2011" s="1" t="s">
        <v>65</v>
      </c>
      <c r="J2011" s="1">
        <v>2</v>
      </c>
      <c r="K2011" s="1" t="s">
        <v>35</v>
      </c>
      <c r="L2011" s="1">
        <v>46</v>
      </c>
      <c r="M2011" s="1" t="str">
        <f>IF(L2011&lt;=45,"Joven","Mayor")</f>
        <v>Mayor</v>
      </c>
      <c r="N2011" s="1">
        <v>48</v>
      </c>
      <c r="O2011" s="1" t="s">
        <v>36</v>
      </c>
      <c r="P2011" s="1">
        <v>0.36</v>
      </c>
      <c r="Q2011" s="1">
        <v>89.882999999999996</v>
      </c>
      <c r="R2011" s="1">
        <v>3.7446644</v>
      </c>
      <c r="S2011" s="1">
        <v>8.4273399999999992</v>
      </c>
      <c r="T2011" s="1">
        <v>-2.7172641999999998</v>
      </c>
      <c r="U2011" s="1">
        <v>2.3889999999999998</v>
      </c>
      <c r="V2011" s="1">
        <v>99</v>
      </c>
      <c r="W2011" s="1">
        <v>180</v>
      </c>
      <c r="X2011" s="1">
        <v>1.8181818181818181</v>
      </c>
      <c r="Y2011" s="1">
        <v>103</v>
      </c>
      <c r="Z2011" s="1">
        <v>180</v>
      </c>
      <c r="AA2011" s="1">
        <v>1.7475728155339805</v>
      </c>
      <c r="AB2011" s="1">
        <v>101.3538743503382</v>
      </c>
      <c r="AC2011" s="1">
        <v>180.12946643286199</v>
      </c>
      <c r="AD2011" s="1">
        <v>1.7772331604239353</v>
      </c>
      <c r="AE2011" t="s">
        <v>4817</v>
      </c>
      <c r="AF2011" t="str">
        <f>IF(X2011&lt;$AF$1,"Bajo","Alto")</f>
        <v>Alto</v>
      </c>
      <c r="AG2011" t="str">
        <f>LEFT(AE2011,1)</f>
        <v>C</v>
      </c>
      <c r="AH2011" t="str">
        <f>K2011</f>
        <v>M</v>
      </c>
      <c r="AI2011" t="str">
        <f>LEFT(AF2011,1)</f>
        <v>A</v>
      </c>
      <c r="AJ2011" t="str">
        <f>LEFT(M2011,1)</f>
        <v>M</v>
      </c>
      <c r="AK2011" t="str">
        <f>_xlfn.CONCAT(AG2011,AH2011,AI2011,AJ2011)</f>
        <v>CMAM</v>
      </c>
    </row>
    <row r="2012" spans="1:37" ht="15.75" hidden="1" customHeight="1" x14ac:dyDescent="0.2">
      <c r="A2012" s="1">
        <v>10728301</v>
      </c>
      <c r="B2012" s="1" t="s">
        <v>1067</v>
      </c>
      <c r="C2012" s="1" t="s">
        <v>1068</v>
      </c>
      <c r="D2012" s="1" t="s">
        <v>1347</v>
      </c>
      <c r="E2012" s="1" t="s">
        <v>569</v>
      </c>
      <c r="F2012" s="1" t="s">
        <v>32</v>
      </c>
      <c r="G2012" s="1" t="s">
        <v>1348</v>
      </c>
      <c r="H2012" s="1">
        <v>174</v>
      </c>
      <c r="I2012" s="1" t="s">
        <v>39</v>
      </c>
      <c r="J2012" s="1">
        <v>11</v>
      </c>
      <c r="K2012" s="1" t="s">
        <v>35</v>
      </c>
      <c r="L2012" s="1">
        <v>62</v>
      </c>
      <c r="M2012" s="1" t="str">
        <f>IF(L2012&lt;=45,"Joven","Mayor")</f>
        <v>Mayor</v>
      </c>
      <c r="N2012" s="1">
        <v>60</v>
      </c>
      <c r="O2012" s="1" t="s">
        <v>36</v>
      </c>
      <c r="P2012" s="1">
        <v>0.19600000000000001</v>
      </c>
      <c r="Q2012" s="1">
        <v>88.164000000000001</v>
      </c>
      <c r="R2012" s="1">
        <v>6.6542149999999998</v>
      </c>
      <c r="S2012" s="1">
        <v>4.1951010000000002</v>
      </c>
      <c r="T2012" s="1">
        <v>-3.6315286000000002</v>
      </c>
      <c r="U2012" s="1">
        <v>1.512</v>
      </c>
      <c r="V2012" s="1">
        <v>98</v>
      </c>
      <c r="W2012" s="1">
        <v>169</v>
      </c>
      <c r="X2012" s="1">
        <v>1.7244897959183674</v>
      </c>
      <c r="Y2012" s="1">
        <v>98</v>
      </c>
      <c r="Z2012" s="1">
        <v>169</v>
      </c>
      <c r="AA2012" s="1">
        <v>1.7244897959183674</v>
      </c>
      <c r="AB2012" s="1">
        <v>100.65350505017889</v>
      </c>
      <c r="AC2012" s="1">
        <v>168.72399194257829</v>
      </c>
      <c r="AD2012" s="1">
        <v>1.6762853102677762</v>
      </c>
      <c r="AE2012" t="s">
        <v>4816</v>
      </c>
      <c r="AF2012" t="str">
        <f>IF(X2012&lt;$AF$1,"Bajo","Alto")</f>
        <v>Bajo</v>
      </c>
      <c r="AG2012" t="str">
        <f>LEFT(AE2012,1)</f>
        <v>D</v>
      </c>
      <c r="AH2012" t="str">
        <f>K2012</f>
        <v>M</v>
      </c>
      <c r="AI2012" t="str">
        <f>LEFT(AF2012,1)</f>
        <v>B</v>
      </c>
      <c r="AJ2012" t="str">
        <f>LEFT(M2012,1)</f>
        <v>M</v>
      </c>
      <c r="AK2012" t="str">
        <f>_xlfn.CONCAT(AG2012,AH2012,AI2012,AJ2012)</f>
        <v>DMBM</v>
      </c>
    </row>
    <row r="2013" spans="1:37" ht="15.75" hidden="1" customHeight="1" x14ac:dyDescent="0.2">
      <c r="A2013" s="1">
        <v>10115405</v>
      </c>
      <c r="B2013" s="1" t="s">
        <v>29</v>
      </c>
      <c r="C2013" s="1" t="s">
        <v>30</v>
      </c>
      <c r="D2013" s="1" t="s">
        <v>220</v>
      </c>
      <c r="E2013" s="1" t="s">
        <v>221</v>
      </c>
      <c r="F2013" s="1" t="s">
        <v>40</v>
      </c>
      <c r="G2013" s="1" t="s">
        <v>225</v>
      </c>
      <c r="H2013" s="1">
        <v>1633</v>
      </c>
      <c r="I2013" s="1" t="s">
        <v>108</v>
      </c>
      <c r="J2013" s="1">
        <v>3</v>
      </c>
      <c r="K2013" s="1" t="s">
        <v>49</v>
      </c>
      <c r="L2013" s="1">
        <v>38</v>
      </c>
      <c r="M2013" s="1" t="str">
        <f>IF(L2013&lt;=45,"Joven","Mayor")</f>
        <v>Joven</v>
      </c>
      <c r="N2013" s="1">
        <v>37</v>
      </c>
      <c r="O2013" s="1" t="s">
        <v>50</v>
      </c>
      <c r="P2013" s="1">
        <v>1.17</v>
      </c>
      <c r="Q2013" s="1">
        <v>80.034999999999997</v>
      </c>
      <c r="R2013" s="1">
        <v>-10.114324999999999</v>
      </c>
      <c r="S2013" s="1">
        <v>3.41771</v>
      </c>
      <c r="T2013" s="1">
        <v>4.9343950000000003</v>
      </c>
      <c r="U2013" s="1">
        <v>66.236999999999995</v>
      </c>
      <c r="V2013" s="1">
        <v>61</v>
      </c>
      <c r="W2013" s="1">
        <v>106</v>
      </c>
      <c r="X2013" s="1">
        <v>1.7377049180327868</v>
      </c>
      <c r="Y2013" s="1">
        <v>65</v>
      </c>
      <c r="Z2013" s="1">
        <v>106</v>
      </c>
      <c r="AA2013" s="1">
        <v>1.6307692307692307</v>
      </c>
      <c r="AB2013" s="1">
        <v>63.010314776965743</v>
      </c>
      <c r="AC2013" s="1">
        <v>105.52113206027251</v>
      </c>
      <c r="AD2013" s="1">
        <v>1.6746644169891873</v>
      </c>
      <c r="AE2013" t="s">
        <v>4817</v>
      </c>
      <c r="AF2013" t="str">
        <f>IF(X2013&lt;$AF$1,"Bajo","Alto")</f>
        <v>Bajo</v>
      </c>
      <c r="AG2013" t="str">
        <f>LEFT(AE2013,1)</f>
        <v>C</v>
      </c>
      <c r="AH2013" t="str">
        <f>K2013</f>
        <v>F</v>
      </c>
      <c r="AI2013" t="str">
        <f>LEFT(AF2013,1)</f>
        <v>B</v>
      </c>
      <c r="AJ2013" t="str">
        <f>LEFT(M2013,1)</f>
        <v>J</v>
      </c>
      <c r="AK2013" t="str">
        <f>_xlfn.CONCAT(AG2013,AH2013,AI2013,AJ2013)</f>
        <v>CFBJ</v>
      </c>
    </row>
    <row r="2014" spans="1:37" ht="15.75" hidden="1" customHeight="1" x14ac:dyDescent="0.2">
      <c r="A2014" s="1">
        <v>249402</v>
      </c>
      <c r="B2014" s="1" t="s">
        <v>1548</v>
      </c>
      <c r="C2014" s="1" t="s">
        <v>1993</v>
      </c>
      <c r="D2014" s="1" t="s">
        <v>509</v>
      </c>
      <c r="E2014" s="1" t="s">
        <v>775</v>
      </c>
      <c r="F2014" s="1" t="s">
        <v>37</v>
      </c>
      <c r="G2014" s="1" t="s">
        <v>3168</v>
      </c>
      <c r="H2014" s="1">
        <v>1968</v>
      </c>
      <c r="I2014" s="1" t="s">
        <v>65</v>
      </c>
      <c r="J2014" s="1">
        <v>2</v>
      </c>
      <c r="K2014" s="1" t="s">
        <v>49</v>
      </c>
      <c r="L2014" s="1">
        <v>55</v>
      </c>
      <c r="M2014" s="1" t="str">
        <f>IF(L2014&lt;=45,"Joven","Mayor")</f>
        <v>Mayor</v>
      </c>
      <c r="N2014" s="1">
        <v>48</v>
      </c>
      <c r="O2014" s="1" t="s">
        <v>50</v>
      </c>
      <c r="P2014" s="1">
        <v>0.33400000000000002</v>
      </c>
      <c r="Q2014" s="1">
        <v>93.087999999999994</v>
      </c>
      <c r="R2014" s="1">
        <v>-1.0034571999999999</v>
      </c>
      <c r="S2014" s="1">
        <v>6.1829953</v>
      </c>
      <c r="T2014" s="1">
        <v>-0.80586093999999997</v>
      </c>
      <c r="U2014" s="1">
        <v>87.400999999999996</v>
      </c>
      <c r="V2014" s="1">
        <v>95</v>
      </c>
      <c r="W2014" s="1">
        <v>161</v>
      </c>
      <c r="X2014" s="1">
        <v>1.6947368421052631</v>
      </c>
      <c r="Y2014" s="1">
        <v>95</v>
      </c>
      <c r="Z2014" s="1">
        <v>161</v>
      </c>
      <c r="AA2014" s="1">
        <v>1.6947368421052631</v>
      </c>
      <c r="AB2014" s="1">
        <v>95.707891214884967</v>
      </c>
      <c r="AC2014" s="1">
        <v>161.01220450434539</v>
      </c>
      <c r="AD2014" s="1">
        <v>1.6823294553929526</v>
      </c>
      <c r="AE2014" t="s">
        <v>4817</v>
      </c>
      <c r="AF2014" t="str">
        <f>IF(X2014&lt;$AF$1,"Bajo","Alto")</f>
        <v>Bajo</v>
      </c>
      <c r="AG2014" t="str">
        <f>LEFT(AE2014,1)</f>
        <v>C</v>
      </c>
      <c r="AH2014" t="str">
        <f>K2014</f>
        <v>F</v>
      </c>
      <c r="AI2014" t="str">
        <f>LEFT(AF2014,1)</f>
        <v>B</v>
      </c>
      <c r="AJ2014" t="str">
        <f>LEFT(M2014,1)</f>
        <v>M</v>
      </c>
      <c r="AK2014" t="str">
        <f>_xlfn.CONCAT(AG2014,AH2014,AI2014,AJ2014)</f>
        <v>CFBM</v>
      </c>
    </row>
    <row r="2015" spans="1:37" ht="15.75" hidden="1" customHeight="1" x14ac:dyDescent="0.2">
      <c r="A2015" s="1">
        <v>10712702</v>
      </c>
      <c r="B2015" s="1" t="s">
        <v>1067</v>
      </c>
      <c r="C2015" s="1" t="s">
        <v>1068</v>
      </c>
      <c r="D2015" s="1" t="s">
        <v>1119</v>
      </c>
      <c r="E2015" s="1" t="s">
        <v>153</v>
      </c>
      <c r="F2015" s="1" t="s">
        <v>37</v>
      </c>
      <c r="G2015" s="1" t="s">
        <v>1120</v>
      </c>
      <c r="H2015" s="1">
        <v>702</v>
      </c>
      <c r="I2015" s="1" t="s">
        <v>1121</v>
      </c>
      <c r="J2015" s="1">
        <v>2865</v>
      </c>
      <c r="K2015" s="1" t="s">
        <v>35</v>
      </c>
      <c r="L2015" s="1">
        <v>41</v>
      </c>
      <c r="M2015" s="1" t="str">
        <f>IF(L2015&lt;=45,"Joven","Mayor")</f>
        <v>Joven</v>
      </c>
      <c r="N2015" s="1">
        <v>45</v>
      </c>
      <c r="O2015" s="1" t="s">
        <v>36</v>
      </c>
      <c r="P2015" s="1">
        <v>0.217</v>
      </c>
      <c r="Q2015" s="1">
        <v>90.906000000000006</v>
      </c>
      <c r="R2015" s="1">
        <v>-4.3217587000000002</v>
      </c>
      <c r="S2015" s="1">
        <v>4.9712806</v>
      </c>
      <c r="T2015" s="1">
        <v>7.3177285000000003</v>
      </c>
      <c r="U2015" s="1">
        <v>21.541</v>
      </c>
      <c r="V2015" s="1">
        <v>78</v>
      </c>
      <c r="W2015" s="1">
        <v>142</v>
      </c>
      <c r="X2015" s="1">
        <v>1.8205128205128205</v>
      </c>
      <c r="Y2015" s="1">
        <v>84</v>
      </c>
      <c r="Z2015" s="1">
        <v>142</v>
      </c>
      <c r="AA2015" s="1">
        <v>1.6904761904761905</v>
      </c>
      <c r="AB2015" s="1">
        <v>82.586928260199329</v>
      </c>
      <c r="AC2015" s="1">
        <v>141.9897648104006</v>
      </c>
      <c r="AD2015" s="1">
        <v>1.719276498128687</v>
      </c>
      <c r="AE2015" t="s">
        <v>4817</v>
      </c>
      <c r="AF2015" t="str">
        <f>IF(X2015&lt;$AF$1,"Bajo","Alto")</f>
        <v>Alto</v>
      </c>
      <c r="AG2015" t="str">
        <f>LEFT(AE2015,1)</f>
        <v>C</v>
      </c>
      <c r="AH2015" t="str">
        <f>K2015</f>
        <v>M</v>
      </c>
      <c r="AI2015" t="str">
        <f>LEFT(AF2015,1)</f>
        <v>A</v>
      </c>
      <c r="AJ2015" t="str">
        <f>LEFT(M2015,1)</f>
        <v>J</v>
      </c>
      <c r="AK2015" t="str">
        <f>_xlfn.CONCAT(AG2015,AH2015,AI2015,AJ2015)</f>
        <v>CMAJ</v>
      </c>
    </row>
    <row r="2016" spans="1:37" ht="15.75" hidden="1" customHeight="1" x14ac:dyDescent="0.2">
      <c r="A2016" s="1">
        <v>155512</v>
      </c>
      <c r="B2016" s="1" t="s">
        <v>2077</v>
      </c>
      <c r="C2016" s="1" t="s">
        <v>57</v>
      </c>
      <c r="D2016" s="1" t="s">
        <v>2476</v>
      </c>
      <c r="E2016" s="1" t="s">
        <v>690</v>
      </c>
      <c r="F2016" s="1" t="s">
        <v>54</v>
      </c>
      <c r="G2016" s="1" t="s">
        <v>2484</v>
      </c>
      <c r="H2016" s="1">
        <v>1533</v>
      </c>
      <c r="I2016" s="1" t="s">
        <v>2485</v>
      </c>
      <c r="J2016" s="1">
        <v>2571</v>
      </c>
      <c r="K2016" s="1" t="s">
        <v>49</v>
      </c>
      <c r="L2016" s="1">
        <v>51</v>
      </c>
      <c r="M2016" s="1" t="str">
        <f>IF(L2016&lt;=45,"Joven","Mayor")</f>
        <v>Mayor</v>
      </c>
      <c r="N2016" s="1">
        <v>45</v>
      </c>
      <c r="O2016" s="1" t="s">
        <v>50</v>
      </c>
      <c r="P2016" s="1">
        <v>0.35799999999999998</v>
      </c>
      <c r="Q2016" s="1">
        <v>89.632999999999996</v>
      </c>
      <c r="R2016" s="1">
        <v>5.5286840000000002</v>
      </c>
      <c r="S2016" s="1">
        <v>4.4592036999999998</v>
      </c>
      <c r="T2016" s="1">
        <v>-1.9131146000000002E-2</v>
      </c>
      <c r="U2016" s="1">
        <v>55.941000000000003</v>
      </c>
      <c r="V2016" s="1">
        <v>102</v>
      </c>
      <c r="W2016" s="1">
        <v>173</v>
      </c>
      <c r="X2016" s="1">
        <v>1.696078431372549</v>
      </c>
      <c r="Y2016" s="1">
        <v>103</v>
      </c>
      <c r="Z2016" s="1">
        <v>173</v>
      </c>
      <c r="AA2016" s="1">
        <v>1.6796116504854368</v>
      </c>
      <c r="AB2016" s="1">
        <v>102.983633085677</v>
      </c>
      <c r="AC2016" s="1">
        <v>172.99865475017299</v>
      </c>
      <c r="AD2016" s="1">
        <v>1.679865523934732</v>
      </c>
      <c r="AE2016" t="s">
        <v>4817</v>
      </c>
      <c r="AF2016" t="str">
        <f>IF(X2016&lt;$AF$1,"Bajo","Alto")</f>
        <v>Bajo</v>
      </c>
      <c r="AG2016" t="str">
        <f>LEFT(AE2016,1)</f>
        <v>C</v>
      </c>
      <c r="AH2016" t="str">
        <f>K2016</f>
        <v>F</v>
      </c>
      <c r="AI2016" t="str">
        <f>LEFT(AF2016,1)</f>
        <v>B</v>
      </c>
      <c r="AJ2016" t="str">
        <f>LEFT(M2016,1)</f>
        <v>M</v>
      </c>
      <c r="AK2016" t="str">
        <f>_xlfn.CONCAT(AG2016,AH2016,AI2016,AJ2016)</f>
        <v>CFBM</v>
      </c>
    </row>
    <row r="2017" spans="1:37" ht="15.75" hidden="1" customHeight="1" x14ac:dyDescent="0.2">
      <c r="A2017" s="1">
        <v>1511804</v>
      </c>
      <c r="B2017" s="1" t="s">
        <v>2077</v>
      </c>
      <c r="C2017" s="1" t="s">
        <v>57</v>
      </c>
      <c r="D2017" s="1" t="s">
        <v>2126</v>
      </c>
      <c r="E2017" s="1" t="s">
        <v>129</v>
      </c>
      <c r="F2017" s="1" t="s">
        <v>61</v>
      </c>
      <c r="G2017" s="1" t="s">
        <v>2127</v>
      </c>
      <c r="H2017" s="1">
        <v>498</v>
      </c>
      <c r="I2017" s="1" t="s">
        <v>65</v>
      </c>
      <c r="J2017" s="1">
        <v>2</v>
      </c>
      <c r="K2017" s="1" t="s">
        <v>49</v>
      </c>
      <c r="L2017" s="1">
        <v>46</v>
      </c>
      <c r="M2017" s="1" t="str">
        <f>IF(L2017&lt;=45,"Joven","Mayor")</f>
        <v>Mayor</v>
      </c>
      <c r="N2017" s="1">
        <v>48</v>
      </c>
      <c r="O2017" s="1" t="s">
        <v>50</v>
      </c>
      <c r="P2017" s="1">
        <v>0.14399999999999999</v>
      </c>
      <c r="Q2017" s="1">
        <v>78.629000000000005</v>
      </c>
      <c r="R2017" s="1">
        <v>9.2859189999999998</v>
      </c>
      <c r="S2017" s="1">
        <v>9.3324250000000006</v>
      </c>
      <c r="T2017" s="1">
        <v>-10.789282</v>
      </c>
      <c r="U2017" s="1">
        <v>68.206000000000003</v>
      </c>
      <c r="V2017" s="1">
        <v>80</v>
      </c>
      <c r="W2017" s="1">
        <v>145</v>
      </c>
      <c r="X2017" s="1">
        <v>1.8125</v>
      </c>
      <c r="Y2017" s="1">
        <v>90</v>
      </c>
      <c r="Z2017" s="1">
        <v>145</v>
      </c>
      <c r="AA2017" s="1">
        <v>1.6111111111111112</v>
      </c>
      <c r="AB2017" s="1">
        <v>87.384068209193856</v>
      </c>
      <c r="AC2017" s="1">
        <v>145.80628754357349</v>
      </c>
      <c r="AD2017" s="1">
        <v>1.6685683160747249</v>
      </c>
      <c r="AE2017" t="s">
        <v>4817</v>
      </c>
      <c r="AF2017" t="str">
        <f>IF(X2017&lt;$AF$1,"Bajo","Alto")</f>
        <v>Alto</v>
      </c>
      <c r="AG2017" t="str">
        <f>LEFT(AE2017,1)</f>
        <v>C</v>
      </c>
      <c r="AH2017" t="str">
        <f>K2017</f>
        <v>F</v>
      </c>
      <c r="AI2017" t="str">
        <f>LEFT(AF2017,1)</f>
        <v>A</v>
      </c>
      <c r="AJ2017" t="str">
        <f>LEFT(M2017,1)</f>
        <v>M</v>
      </c>
      <c r="AK2017" t="str">
        <f>_xlfn.CONCAT(AG2017,AH2017,AI2017,AJ2017)</f>
        <v>CFAM</v>
      </c>
    </row>
    <row r="2018" spans="1:37" ht="15.75" customHeight="1" x14ac:dyDescent="0.2">
      <c r="A2018" s="1">
        <v>2718106</v>
      </c>
      <c r="B2018" s="1" t="s">
        <v>3409</v>
      </c>
      <c r="C2018" s="1" t="s">
        <v>973</v>
      </c>
      <c r="D2018" s="1" t="s">
        <v>3574</v>
      </c>
      <c r="E2018" s="1" t="s">
        <v>308</v>
      </c>
      <c r="F2018" s="1" t="s">
        <v>88</v>
      </c>
      <c r="G2018" s="1" t="s">
        <v>3577</v>
      </c>
      <c r="H2018" s="1">
        <v>12450</v>
      </c>
      <c r="I2018" s="1" t="s">
        <v>3578</v>
      </c>
      <c r="J2018" s="1">
        <v>3624</v>
      </c>
      <c r="K2018" s="1" t="s">
        <v>35</v>
      </c>
      <c r="L2018" s="1">
        <v>50</v>
      </c>
      <c r="M2018" s="1" t="str">
        <f>IF(L2018&lt;=45,"Joven","Mayor")</f>
        <v>Mayor</v>
      </c>
      <c r="N2018" s="1">
        <v>54</v>
      </c>
      <c r="O2018" s="1" t="s">
        <v>36</v>
      </c>
      <c r="P2018" s="1">
        <v>4.3999999999999997E-2</v>
      </c>
      <c r="Q2018" s="1">
        <v>87.03</v>
      </c>
      <c r="R2018" s="1">
        <v>7.7899374999999997</v>
      </c>
      <c r="S2018" s="1">
        <v>-2.1829179999999999</v>
      </c>
      <c r="T2018" s="1">
        <v>-11.385522</v>
      </c>
      <c r="U2018" s="1">
        <v>2.4470000000000001</v>
      </c>
      <c r="V2018" s="1">
        <v>76</v>
      </c>
      <c r="W2018" s="1">
        <v>157</v>
      </c>
      <c r="X2018" s="1">
        <v>2.0657894736842106</v>
      </c>
      <c r="Y2018" s="1">
        <v>89</v>
      </c>
      <c r="Z2018" s="1">
        <v>157</v>
      </c>
      <c r="AA2018" s="1">
        <v>1.7640449438202248</v>
      </c>
      <c r="AB2018" s="1">
        <v>84.37488430050621</v>
      </c>
      <c r="AC2018" s="1">
        <v>157.0689650799782</v>
      </c>
      <c r="AD2018" s="1">
        <v>1.861560657322713</v>
      </c>
      <c r="AE2018" t="s">
        <v>4818</v>
      </c>
      <c r="AF2018" t="str">
        <f>IF(X2018&lt;$AF$1,"Bajo","Alto")</f>
        <v>Alto</v>
      </c>
      <c r="AG2018" t="str">
        <f>LEFT(AE2018,1)</f>
        <v>S</v>
      </c>
      <c r="AH2018" t="str">
        <f>K2018</f>
        <v>M</v>
      </c>
      <c r="AI2018" t="str">
        <f>LEFT(AF2018,1)</f>
        <v>A</v>
      </c>
      <c r="AJ2018" t="str">
        <f>LEFT(M2018,1)</f>
        <v>M</v>
      </c>
      <c r="AK2018" t="str">
        <f>_xlfn.CONCAT(AG2018,AH2018,AI2018,AJ2018)</f>
        <v>SMAM</v>
      </c>
    </row>
    <row r="2019" spans="1:37" ht="15.75" hidden="1" customHeight="1" x14ac:dyDescent="0.2">
      <c r="A2019" s="1">
        <v>1093704</v>
      </c>
      <c r="B2019" s="1" t="s">
        <v>719</v>
      </c>
      <c r="C2019" s="1" t="s">
        <v>98</v>
      </c>
      <c r="D2019" s="1" t="s">
        <v>1602</v>
      </c>
      <c r="E2019" s="1" t="s">
        <v>647</v>
      </c>
      <c r="F2019" s="1" t="s">
        <v>61</v>
      </c>
      <c r="G2019" s="1" t="s">
        <v>1606</v>
      </c>
      <c r="H2019" s="1">
        <v>102</v>
      </c>
      <c r="I2019" s="1" t="s">
        <v>48</v>
      </c>
      <c r="J2019" s="1">
        <v>4</v>
      </c>
      <c r="K2019" s="1" t="s">
        <v>35</v>
      </c>
      <c r="L2019" s="1">
        <v>27</v>
      </c>
      <c r="M2019" s="1" t="str">
        <f>IF(L2019&lt;=45,"Joven","Mayor")</f>
        <v>Joven</v>
      </c>
      <c r="N2019" s="1">
        <v>32</v>
      </c>
      <c r="O2019" s="1" t="s">
        <v>36</v>
      </c>
      <c r="P2019" s="1">
        <v>0.47299999999999998</v>
      </c>
      <c r="Q2019" s="1">
        <v>82.56</v>
      </c>
      <c r="R2019" s="1">
        <v>9.1446850000000008</v>
      </c>
      <c r="S2019" s="1">
        <v>4.6511269999999998</v>
      </c>
      <c r="T2019" s="1">
        <v>-4.0450270000000002</v>
      </c>
      <c r="U2019" s="1">
        <v>12.663</v>
      </c>
      <c r="V2019" s="1">
        <v>78</v>
      </c>
      <c r="W2019" s="1">
        <v>142</v>
      </c>
      <c r="X2019" s="1">
        <v>1.8205128205128205</v>
      </c>
      <c r="Y2019" s="1">
        <v>80</v>
      </c>
      <c r="Z2019" s="1">
        <v>142</v>
      </c>
      <c r="AA2019" s="1">
        <v>1.7749999999999999</v>
      </c>
      <c r="AB2019" s="1">
        <v>80.627312261507996</v>
      </c>
      <c r="AC2019" s="1">
        <v>141.85788825120929</v>
      </c>
      <c r="AD2019" s="1">
        <v>1.7594272247486684</v>
      </c>
      <c r="AE2019" t="s">
        <v>4817</v>
      </c>
      <c r="AF2019" t="str">
        <f>IF(X2019&lt;$AF$1,"Bajo","Alto")</f>
        <v>Alto</v>
      </c>
      <c r="AG2019" t="str">
        <f>LEFT(AE2019,1)</f>
        <v>C</v>
      </c>
      <c r="AH2019" t="str">
        <f>K2019</f>
        <v>M</v>
      </c>
      <c r="AI2019" t="str">
        <f>LEFT(AF2019,1)</f>
        <v>A</v>
      </c>
      <c r="AJ2019" t="str">
        <f>LEFT(M2019,1)</f>
        <v>J</v>
      </c>
      <c r="AK2019" t="str">
        <f>_xlfn.CONCAT(AG2019,AH2019,AI2019,AJ2019)</f>
        <v>CMAJ</v>
      </c>
    </row>
    <row r="2020" spans="1:37" ht="15.75" hidden="1" customHeight="1" x14ac:dyDescent="0.2">
      <c r="A2020" s="1">
        <v>10116001</v>
      </c>
      <c r="B2020" s="1" t="s">
        <v>29</v>
      </c>
      <c r="C2020" s="1" t="s">
        <v>30</v>
      </c>
      <c r="D2020" s="1" t="s">
        <v>233</v>
      </c>
      <c r="E2020" s="1" t="s">
        <v>234</v>
      </c>
      <c r="F2020" s="1" t="s">
        <v>32</v>
      </c>
      <c r="G2020" s="1" t="s">
        <v>235</v>
      </c>
      <c r="H2020" s="1">
        <v>2449</v>
      </c>
      <c r="I2020" s="1" t="s">
        <v>100</v>
      </c>
      <c r="J2020" s="1">
        <v>1</v>
      </c>
      <c r="K2020" s="1" t="s">
        <v>35</v>
      </c>
      <c r="L2020" s="1">
        <v>49</v>
      </c>
      <c r="M2020" s="1" t="str">
        <f>IF(L2020&lt;=45,"Joven","Mayor")</f>
        <v>Mayor</v>
      </c>
      <c r="N2020" s="1">
        <v>61</v>
      </c>
      <c r="O2020" s="1" t="s">
        <v>36</v>
      </c>
      <c r="P2020" s="1">
        <v>3.9E-2</v>
      </c>
      <c r="Q2020" s="1">
        <v>91.57</v>
      </c>
      <c r="R2020" s="1">
        <v>3.8724099999999999</v>
      </c>
      <c r="S2020" s="1">
        <v>4.5251945999999998</v>
      </c>
      <c r="T2020" s="1">
        <v>2.4394224000000002</v>
      </c>
      <c r="U2020" s="1">
        <v>1.458</v>
      </c>
      <c r="V2020" s="1">
        <v>106</v>
      </c>
      <c r="W2020" s="1">
        <v>182</v>
      </c>
      <c r="X2020" s="1">
        <v>1.7169811320754718</v>
      </c>
      <c r="Y2020" s="1">
        <v>106</v>
      </c>
      <c r="Z2020" s="1">
        <v>182</v>
      </c>
      <c r="AA2020" s="1">
        <v>1.7169811320754718</v>
      </c>
      <c r="AB2020" s="1">
        <v>108.0320953343914</v>
      </c>
      <c r="AC2020" s="1">
        <v>181.96275742015911</v>
      </c>
      <c r="AD2020" s="1">
        <v>1.6843397960294149</v>
      </c>
      <c r="AE2020" t="s">
        <v>4817</v>
      </c>
      <c r="AF2020" t="str">
        <f>IF(X2020&lt;$AF$1,"Bajo","Alto")</f>
        <v>Bajo</v>
      </c>
      <c r="AG2020" t="str">
        <f>LEFT(AE2020,1)</f>
        <v>C</v>
      </c>
      <c r="AH2020" t="str">
        <f>K2020</f>
        <v>M</v>
      </c>
      <c r="AI2020" t="str">
        <f>LEFT(AF2020,1)</f>
        <v>B</v>
      </c>
      <c r="AJ2020" t="str">
        <f>LEFT(M2020,1)</f>
        <v>M</v>
      </c>
      <c r="AK2020" t="str">
        <f>_xlfn.CONCAT(AG2020,AH2020,AI2020,AJ2020)</f>
        <v>CMBM</v>
      </c>
    </row>
    <row r="2021" spans="1:37" ht="15.75" hidden="1" customHeight="1" x14ac:dyDescent="0.2">
      <c r="A2021" s="1">
        <v>1096106</v>
      </c>
      <c r="B2021" s="1" t="s">
        <v>719</v>
      </c>
      <c r="C2021" s="1" t="s">
        <v>98</v>
      </c>
      <c r="D2021" s="1" t="s">
        <v>1625</v>
      </c>
      <c r="E2021" s="1" t="s">
        <v>701</v>
      </c>
      <c r="F2021" s="1" t="s">
        <v>88</v>
      </c>
      <c r="G2021" s="1" t="s">
        <v>1630</v>
      </c>
      <c r="H2021" s="1">
        <v>129</v>
      </c>
      <c r="I2021" s="1" t="s">
        <v>134</v>
      </c>
      <c r="J2021" s="1">
        <v>8</v>
      </c>
      <c r="K2021" s="1" t="s">
        <v>35</v>
      </c>
      <c r="L2021" s="1">
        <v>48</v>
      </c>
      <c r="M2021" s="1" t="str">
        <f>IF(L2021&lt;=45,"Joven","Mayor")</f>
        <v>Mayor</v>
      </c>
      <c r="N2021" s="1">
        <v>47</v>
      </c>
      <c r="O2021" s="1" t="s">
        <v>36</v>
      </c>
      <c r="P2021" s="1">
        <v>0.23599999999999999</v>
      </c>
      <c r="Q2021" s="1">
        <v>94.061999999999998</v>
      </c>
      <c r="R2021" s="1">
        <v>1.19545385E-2</v>
      </c>
      <c r="S2021" s="1">
        <v>4.7005929999999996</v>
      </c>
      <c r="T2021" s="1">
        <v>0.39650115000000002</v>
      </c>
      <c r="U2021" s="1">
        <v>0.35899999999999999</v>
      </c>
      <c r="V2021" s="1">
        <v>71</v>
      </c>
      <c r="W2021" s="1">
        <v>122</v>
      </c>
      <c r="X2021" s="1">
        <v>1.7183098591549295</v>
      </c>
      <c r="Y2021" s="1">
        <v>74</v>
      </c>
      <c r="Z2021" s="1">
        <v>122</v>
      </c>
      <c r="AA2021" s="1">
        <v>1.6486486486486487</v>
      </c>
      <c r="AB2021" s="1">
        <v>73.73526065978217</v>
      </c>
      <c r="AC2021" s="1">
        <v>121.9901585344051</v>
      </c>
      <c r="AD2021" s="1">
        <v>1.654434492301766</v>
      </c>
      <c r="AE2021" t="s">
        <v>4817</v>
      </c>
      <c r="AF2021" t="str">
        <f>IF(X2021&lt;$AF$1,"Bajo","Alto")</f>
        <v>Bajo</v>
      </c>
      <c r="AG2021" t="str">
        <f>LEFT(AE2021,1)</f>
        <v>C</v>
      </c>
      <c r="AH2021" t="str">
        <f>K2021</f>
        <v>M</v>
      </c>
      <c r="AI2021" t="str">
        <f>LEFT(AF2021,1)</f>
        <v>B</v>
      </c>
      <c r="AJ2021" t="str">
        <f>LEFT(M2021,1)</f>
        <v>M</v>
      </c>
      <c r="AK2021" t="str">
        <f>_xlfn.CONCAT(AG2021,AH2021,AI2021,AJ2021)</f>
        <v>CMBM</v>
      </c>
    </row>
    <row r="2022" spans="1:37" ht="15.75" hidden="1" customHeight="1" x14ac:dyDescent="0.2">
      <c r="A2022" s="1">
        <v>191001</v>
      </c>
      <c r="B2022" s="1" t="s">
        <v>2656</v>
      </c>
      <c r="C2022" s="1" t="s">
        <v>323</v>
      </c>
      <c r="D2022" s="1" t="s">
        <v>2670</v>
      </c>
      <c r="E2022" s="1" t="s">
        <v>75</v>
      </c>
      <c r="F2022" s="1" t="s">
        <v>32</v>
      </c>
      <c r="G2022" s="1" t="s">
        <v>2671</v>
      </c>
      <c r="H2022" s="1">
        <v>10</v>
      </c>
      <c r="I2022" s="1" t="s">
        <v>100</v>
      </c>
      <c r="J2022" s="1">
        <v>1</v>
      </c>
      <c r="K2022" s="1" t="s">
        <v>35</v>
      </c>
      <c r="L2022" s="1">
        <v>53</v>
      </c>
      <c r="M2022" s="1" t="str">
        <f>IF(L2022&lt;=45,"Joven","Mayor")</f>
        <v>Mayor</v>
      </c>
      <c r="N2022" s="1">
        <v>53</v>
      </c>
      <c r="O2022" s="1" t="s">
        <v>36</v>
      </c>
      <c r="P2022" s="1">
        <v>0.36099999999999999</v>
      </c>
      <c r="Q2022" s="1">
        <v>93.275999999999996</v>
      </c>
      <c r="R2022" s="1">
        <v>2.9382730000000001</v>
      </c>
      <c r="S2022" s="1">
        <v>-0.40268403000000003</v>
      </c>
      <c r="T2022" s="1">
        <v>-2.1428615999999998</v>
      </c>
      <c r="U2022" s="1">
        <v>0.497</v>
      </c>
      <c r="V2022" s="1">
        <v>103</v>
      </c>
      <c r="W2022" s="1">
        <v>177</v>
      </c>
      <c r="X2022" s="1">
        <v>1.7184466019417475</v>
      </c>
      <c r="Y2022" s="1">
        <v>106</v>
      </c>
      <c r="Z2022" s="1">
        <v>177</v>
      </c>
      <c r="AA2022" s="1">
        <v>1.6698113207547169</v>
      </c>
      <c r="AB2022" s="1">
        <v>104.6853620782517</v>
      </c>
      <c r="AC2022" s="1">
        <v>176.98839804874211</v>
      </c>
      <c r="AD2022" s="1">
        <v>1.690669970806848</v>
      </c>
      <c r="AE2022" t="s">
        <v>4817</v>
      </c>
      <c r="AF2022" t="str">
        <f>IF(X2022&lt;$AF$1,"Bajo","Alto")</f>
        <v>Bajo</v>
      </c>
      <c r="AG2022" t="str">
        <f>LEFT(AE2022,1)</f>
        <v>C</v>
      </c>
      <c r="AH2022" t="str">
        <f>K2022</f>
        <v>M</v>
      </c>
      <c r="AI2022" t="str">
        <f>LEFT(AF2022,1)</f>
        <v>B</v>
      </c>
      <c r="AJ2022" t="str">
        <f>LEFT(M2022,1)</f>
        <v>M</v>
      </c>
      <c r="AK2022" t="str">
        <f>_xlfn.CONCAT(AG2022,AH2022,AI2022,AJ2022)</f>
        <v>CMBM</v>
      </c>
    </row>
    <row r="2023" spans="1:37" ht="15.75" hidden="1" customHeight="1" x14ac:dyDescent="0.2">
      <c r="A2023" s="1">
        <v>10734002</v>
      </c>
      <c r="B2023" s="1" t="s">
        <v>1067</v>
      </c>
      <c r="C2023" s="1" t="s">
        <v>1068</v>
      </c>
      <c r="D2023" s="1" t="s">
        <v>1432</v>
      </c>
      <c r="E2023" s="1" t="s">
        <v>1433</v>
      </c>
      <c r="F2023" s="1" t="s">
        <v>37</v>
      </c>
      <c r="G2023" s="1" t="s">
        <v>1435</v>
      </c>
      <c r="H2023" s="1">
        <v>1162</v>
      </c>
      <c r="I2023" s="1" t="s">
        <v>1436</v>
      </c>
      <c r="J2023" s="1">
        <v>3661</v>
      </c>
      <c r="K2023" s="1" t="s">
        <v>35</v>
      </c>
      <c r="L2023" s="1">
        <v>49</v>
      </c>
      <c r="M2023" s="1" t="str">
        <f>IF(L2023&lt;=45,"Joven","Mayor")</f>
        <v>Mayor</v>
      </c>
      <c r="N2023" s="1">
        <v>52</v>
      </c>
      <c r="O2023" s="1" t="s">
        <v>36</v>
      </c>
      <c r="P2023" s="1">
        <v>0.33300000000000002</v>
      </c>
      <c r="Q2023" s="1">
        <v>93.287999999999997</v>
      </c>
      <c r="R2023" s="1">
        <v>2.0437403000000001</v>
      </c>
      <c r="S2023" s="1">
        <v>-3.2574198000000001</v>
      </c>
      <c r="T2023" s="1">
        <v>-4.2455816000000004</v>
      </c>
      <c r="U2023" s="1">
        <v>4.492</v>
      </c>
      <c r="V2023" s="1">
        <v>88</v>
      </c>
      <c r="W2023" s="1">
        <v>160</v>
      </c>
      <c r="X2023" s="1">
        <v>1.8181818181818181</v>
      </c>
      <c r="Y2023" s="1">
        <v>92</v>
      </c>
      <c r="Z2023" s="1">
        <v>160</v>
      </c>
      <c r="AA2023" s="1">
        <v>1.7391304347826086</v>
      </c>
      <c r="AB2023" s="1">
        <v>94.856869158090831</v>
      </c>
      <c r="AC2023" s="1">
        <v>159.6349751155185</v>
      </c>
      <c r="AD2023" s="1">
        <v>1.682903689868436</v>
      </c>
      <c r="AE2023" t="s">
        <v>4817</v>
      </c>
      <c r="AF2023" t="str">
        <f>IF(X2023&lt;$AF$1,"Bajo","Alto")</f>
        <v>Alto</v>
      </c>
      <c r="AG2023" t="str">
        <f>LEFT(AE2023,1)</f>
        <v>C</v>
      </c>
      <c r="AH2023" t="str">
        <f>K2023</f>
        <v>M</v>
      </c>
      <c r="AI2023" t="str">
        <f>LEFT(AF2023,1)</f>
        <v>A</v>
      </c>
      <c r="AJ2023" t="str">
        <f>LEFT(M2023,1)</f>
        <v>M</v>
      </c>
      <c r="AK2023" t="str">
        <f>_xlfn.CONCAT(AG2023,AH2023,AI2023,AJ2023)</f>
        <v>CMAM</v>
      </c>
    </row>
    <row r="2024" spans="1:37" ht="15.75" hidden="1" customHeight="1" x14ac:dyDescent="0.2">
      <c r="A2024" s="1">
        <v>285504</v>
      </c>
      <c r="B2024" s="1" t="s">
        <v>1775</v>
      </c>
      <c r="C2024" s="1" t="s">
        <v>561</v>
      </c>
      <c r="D2024" s="1" t="s">
        <v>3877</v>
      </c>
      <c r="E2024" s="1" t="s">
        <v>690</v>
      </c>
      <c r="F2024" s="1" t="s">
        <v>61</v>
      </c>
      <c r="G2024" s="1" t="s">
        <v>3881</v>
      </c>
      <c r="H2024" s="1">
        <v>64</v>
      </c>
      <c r="I2024" s="1" t="s">
        <v>42</v>
      </c>
      <c r="J2024" s="1">
        <v>15</v>
      </c>
      <c r="K2024" s="1" t="s">
        <v>35</v>
      </c>
      <c r="L2024" s="1">
        <v>60</v>
      </c>
      <c r="M2024" s="1" t="str">
        <f>IF(L2024&lt;=45,"Joven","Mayor")</f>
        <v>Mayor</v>
      </c>
      <c r="N2024" s="1">
        <v>56</v>
      </c>
      <c r="O2024" s="1" t="s">
        <v>36</v>
      </c>
      <c r="P2024" s="1">
        <v>0.32800000000000001</v>
      </c>
      <c r="Q2024" s="1">
        <v>94.781000000000006</v>
      </c>
      <c r="R2024" s="1">
        <v>0.20335010000000001</v>
      </c>
      <c r="S2024" s="1">
        <v>0.50128466000000005</v>
      </c>
      <c r="T2024" s="1">
        <v>-4.8489895000000001</v>
      </c>
      <c r="U2024" s="1">
        <v>0.877</v>
      </c>
      <c r="V2024" s="1">
        <v>103</v>
      </c>
      <c r="W2024" s="1">
        <v>177</v>
      </c>
      <c r="X2024" s="1">
        <v>1.7184466019417475</v>
      </c>
      <c r="Y2024" s="1">
        <v>107</v>
      </c>
      <c r="Z2024" s="1">
        <v>177</v>
      </c>
      <c r="AA2024" s="1">
        <v>1.6542056074766356</v>
      </c>
      <c r="AB2024" s="1">
        <v>106.9423795967234</v>
      </c>
      <c r="AC2024" s="1">
        <v>177.04274654952769</v>
      </c>
      <c r="AD2024" s="1">
        <v>1.6554966068377264</v>
      </c>
      <c r="AE2024" t="s">
        <v>4817</v>
      </c>
      <c r="AF2024" t="str">
        <f>IF(X2024&lt;$AF$1,"Bajo","Alto")</f>
        <v>Bajo</v>
      </c>
      <c r="AG2024" t="str">
        <f>LEFT(AE2024,1)</f>
        <v>C</v>
      </c>
      <c r="AH2024" t="str">
        <f>K2024</f>
        <v>M</v>
      </c>
      <c r="AI2024" t="str">
        <f>LEFT(AF2024,1)</f>
        <v>B</v>
      </c>
      <c r="AJ2024" t="str">
        <f>LEFT(M2024,1)</f>
        <v>M</v>
      </c>
      <c r="AK2024" t="str">
        <f>_xlfn.CONCAT(AG2024,AH2024,AI2024,AJ2024)</f>
        <v>CMBM</v>
      </c>
    </row>
    <row r="2025" spans="1:37" ht="15.75" hidden="1" customHeight="1" x14ac:dyDescent="0.2">
      <c r="A2025" s="1">
        <v>298901</v>
      </c>
      <c r="B2025" s="1" t="s">
        <v>3890</v>
      </c>
      <c r="C2025" s="1" t="s">
        <v>1695</v>
      </c>
      <c r="D2025" s="1" t="s">
        <v>4099</v>
      </c>
      <c r="E2025" s="1" t="s">
        <v>4100</v>
      </c>
      <c r="F2025" s="1" t="s">
        <v>32</v>
      </c>
      <c r="G2025" s="1" t="s">
        <v>4101</v>
      </c>
      <c r="H2025" s="1">
        <v>2312</v>
      </c>
      <c r="I2025" s="1" t="s">
        <v>100</v>
      </c>
      <c r="J2025" s="1">
        <v>1</v>
      </c>
      <c r="K2025" s="1" t="s">
        <v>35</v>
      </c>
      <c r="L2025" s="1">
        <v>58</v>
      </c>
      <c r="M2025" s="1" t="str">
        <f>IF(L2025&lt;=45,"Joven","Mayor")</f>
        <v>Mayor</v>
      </c>
      <c r="N2025" s="1">
        <v>58</v>
      </c>
      <c r="O2025" s="1" t="s">
        <v>36</v>
      </c>
      <c r="P2025" s="1">
        <v>9.4E-2</v>
      </c>
      <c r="Q2025" s="1">
        <v>79.932000000000002</v>
      </c>
      <c r="R2025" s="1">
        <v>10.403127</v>
      </c>
      <c r="S2025" s="1">
        <v>3.0805655000000001</v>
      </c>
      <c r="T2025" s="1">
        <v>-7.1446670000000001</v>
      </c>
      <c r="U2025" s="1">
        <v>2.0310000000000001</v>
      </c>
      <c r="V2025" s="1">
        <v>64</v>
      </c>
      <c r="W2025" s="1">
        <v>110</v>
      </c>
      <c r="X2025" s="1">
        <v>1.71875</v>
      </c>
      <c r="Y2025" s="1">
        <v>65</v>
      </c>
      <c r="Z2025" s="1">
        <v>110</v>
      </c>
      <c r="AA2025" s="1">
        <v>1.6923076923076923</v>
      </c>
      <c r="AB2025" s="1">
        <v>67.109934188499437</v>
      </c>
      <c r="AC2025" s="1">
        <v>109.3946307122533</v>
      </c>
      <c r="AD2025" s="1">
        <v>1.6300810309988376</v>
      </c>
      <c r="AE2025" t="s">
        <v>4817</v>
      </c>
      <c r="AF2025" t="str">
        <f>IF(X2025&lt;$AF$1,"Bajo","Alto")</f>
        <v>Bajo</v>
      </c>
      <c r="AG2025" t="str">
        <f>LEFT(AE2025,1)</f>
        <v>C</v>
      </c>
      <c r="AH2025" t="str">
        <f>K2025</f>
        <v>M</v>
      </c>
      <c r="AI2025" t="str">
        <f>LEFT(AF2025,1)</f>
        <v>B</v>
      </c>
      <c r="AJ2025" t="str">
        <f>LEFT(M2025,1)</f>
        <v>M</v>
      </c>
      <c r="AK2025" t="str">
        <f>_xlfn.CONCAT(AG2025,AH2025,AI2025,AJ2025)</f>
        <v>CMBM</v>
      </c>
    </row>
    <row r="2026" spans="1:37" ht="15.75" hidden="1" customHeight="1" x14ac:dyDescent="0.2">
      <c r="A2026" s="1">
        <v>291902</v>
      </c>
      <c r="B2026" s="1" t="s">
        <v>3890</v>
      </c>
      <c r="C2026" s="1" t="s">
        <v>1695</v>
      </c>
      <c r="D2026" s="1" t="s">
        <v>3971</v>
      </c>
      <c r="E2026" s="1" t="s">
        <v>323</v>
      </c>
      <c r="F2026" s="1" t="s">
        <v>37</v>
      </c>
      <c r="G2026" s="1" t="s">
        <v>3972</v>
      </c>
      <c r="H2026" s="1">
        <v>55</v>
      </c>
      <c r="I2026" s="1" t="s">
        <v>48</v>
      </c>
      <c r="J2026" s="1">
        <v>4</v>
      </c>
      <c r="K2026" s="1" t="s">
        <v>35</v>
      </c>
      <c r="L2026" s="1">
        <v>52</v>
      </c>
      <c r="M2026" s="1" t="str">
        <f>IF(L2026&lt;=45,"Joven","Mayor")</f>
        <v>Mayor</v>
      </c>
      <c r="N2026" s="1">
        <v>52</v>
      </c>
      <c r="O2026" s="1" t="s">
        <v>36</v>
      </c>
      <c r="P2026" s="1">
        <v>0.379</v>
      </c>
      <c r="Q2026" s="1">
        <v>85.504000000000005</v>
      </c>
      <c r="R2026" s="1">
        <v>8.1977860000000007</v>
      </c>
      <c r="S2026" s="1">
        <v>-3.4881723</v>
      </c>
      <c r="T2026" s="1">
        <v>-5.2624339999999998</v>
      </c>
      <c r="U2026" s="1">
        <v>13.179</v>
      </c>
      <c r="V2026" s="1">
        <v>77</v>
      </c>
      <c r="W2026" s="1">
        <v>140</v>
      </c>
      <c r="X2026" s="1">
        <v>1.8181818181818181</v>
      </c>
      <c r="Y2026" s="1">
        <v>84</v>
      </c>
      <c r="Z2026" s="1">
        <v>140</v>
      </c>
      <c r="AA2026" s="1">
        <v>1.6666666666666667</v>
      </c>
      <c r="AB2026" s="1">
        <v>80.527541453538106</v>
      </c>
      <c r="AC2026" s="1">
        <v>139.8684951778387</v>
      </c>
      <c r="AD2026" s="1">
        <v>1.7369025882720943</v>
      </c>
      <c r="AE2026" t="s">
        <v>4817</v>
      </c>
      <c r="AF2026" t="str">
        <f>IF(X2026&lt;$AF$1,"Bajo","Alto")</f>
        <v>Alto</v>
      </c>
      <c r="AG2026" t="str">
        <f>LEFT(AE2026,1)</f>
        <v>C</v>
      </c>
      <c r="AH2026" t="str">
        <f>K2026</f>
        <v>M</v>
      </c>
      <c r="AI2026" t="str">
        <f>LEFT(AF2026,1)</f>
        <v>A</v>
      </c>
      <c r="AJ2026" t="str">
        <f>LEFT(M2026,1)</f>
        <v>M</v>
      </c>
      <c r="AK2026" t="str">
        <f>_xlfn.CONCAT(AG2026,AH2026,AI2026,AJ2026)</f>
        <v>CMAM</v>
      </c>
    </row>
    <row r="2027" spans="1:37" ht="15.75" hidden="1" customHeight="1" x14ac:dyDescent="0.2">
      <c r="A2027" s="1">
        <v>159104</v>
      </c>
      <c r="B2027" s="1" t="s">
        <v>2077</v>
      </c>
      <c r="C2027" s="1" t="s">
        <v>57</v>
      </c>
      <c r="D2027" s="1" t="s">
        <v>2533</v>
      </c>
      <c r="E2027" s="1" t="s">
        <v>770</v>
      </c>
      <c r="F2027" s="1" t="s">
        <v>61</v>
      </c>
      <c r="G2027" s="1" t="s">
        <v>2537</v>
      </c>
      <c r="H2027" s="1">
        <v>311</v>
      </c>
      <c r="I2027" s="1" t="s">
        <v>2538</v>
      </c>
      <c r="J2027" s="1">
        <v>3489</v>
      </c>
      <c r="K2027" s="1" t="s">
        <v>35</v>
      </c>
      <c r="L2027" s="1">
        <v>37</v>
      </c>
      <c r="M2027" s="1" t="str">
        <f>IF(L2027&lt;=45,"Joven","Mayor")</f>
        <v>Joven</v>
      </c>
      <c r="N2027" s="1">
        <v>46</v>
      </c>
      <c r="O2027" s="1" t="s">
        <v>36</v>
      </c>
      <c r="P2027" s="1">
        <v>0.56299999999999994</v>
      </c>
      <c r="Q2027" s="1">
        <v>84.399000000000001</v>
      </c>
      <c r="R2027" s="1">
        <v>8.3716889999999999</v>
      </c>
      <c r="S2027" s="1">
        <v>4.7249683999999998</v>
      </c>
      <c r="T2027" s="1">
        <v>-3.6055220000000001</v>
      </c>
      <c r="U2027" s="1">
        <v>41.798000000000002</v>
      </c>
      <c r="V2027" s="1">
        <v>85</v>
      </c>
      <c r="W2027" s="1">
        <v>147</v>
      </c>
      <c r="X2027" s="1">
        <v>1.7294117647058824</v>
      </c>
      <c r="Y2027" s="1">
        <v>89</v>
      </c>
      <c r="Z2027" s="1">
        <v>147</v>
      </c>
      <c r="AA2027" s="1">
        <v>1.651685393258427</v>
      </c>
      <c r="AB2027" s="1">
        <v>90.961987836912613</v>
      </c>
      <c r="AC2027" s="1">
        <v>146.52037869882449</v>
      </c>
      <c r="AD2027" s="1">
        <v>1.610786903222954</v>
      </c>
      <c r="AE2027" t="s">
        <v>4817</v>
      </c>
      <c r="AF2027" t="str">
        <f>IF(X2027&lt;$AF$1,"Bajo","Alto")</f>
        <v>Bajo</v>
      </c>
      <c r="AG2027" t="str">
        <f>LEFT(AE2027,1)</f>
        <v>C</v>
      </c>
      <c r="AH2027" t="str">
        <f>K2027</f>
        <v>M</v>
      </c>
      <c r="AI2027" t="str">
        <f>LEFT(AF2027,1)</f>
        <v>B</v>
      </c>
      <c r="AJ2027" t="str">
        <f>LEFT(M2027,1)</f>
        <v>J</v>
      </c>
      <c r="AK2027" t="str">
        <f>_xlfn.CONCAT(AG2027,AH2027,AI2027,AJ2027)</f>
        <v>CMBJ</v>
      </c>
    </row>
    <row r="2028" spans="1:37" ht="15.75" hidden="1" customHeight="1" x14ac:dyDescent="0.2">
      <c r="A2028" s="1">
        <v>4670004</v>
      </c>
      <c r="B2028" s="1" t="s">
        <v>4382</v>
      </c>
      <c r="C2028" s="1" t="s">
        <v>669</v>
      </c>
      <c r="D2028" s="1" t="s">
        <v>4427</v>
      </c>
      <c r="E2028" s="1" t="s">
        <v>1893</v>
      </c>
      <c r="F2028" s="1" t="s">
        <v>61</v>
      </c>
      <c r="G2028" s="1" t="s">
        <v>4428</v>
      </c>
      <c r="H2028" s="1">
        <v>79</v>
      </c>
      <c r="I2028" s="1" t="s">
        <v>85</v>
      </c>
      <c r="J2028" s="1">
        <v>12</v>
      </c>
      <c r="K2028" s="1" t="s">
        <v>35</v>
      </c>
      <c r="L2028" s="1">
        <v>33</v>
      </c>
      <c r="M2028" s="1" t="str">
        <f>IF(L2028&lt;=45,"Joven","Mayor")</f>
        <v>Joven</v>
      </c>
      <c r="N2028" s="1">
        <v>51</v>
      </c>
      <c r="O2028" s="1" t="s">
        <v>36</v>
      </c>
      <c r="P2028" s="1">
        <v>0.161</v>
      </c>
      <c r="Q2028" s="1">
        <v>84.307000000000002</v>
      </c>
      <c r="R2028" s="1">
        <v>7.8284669999999998</v>
      </c>
      <c r="S2028" s="1">
        <v>7.1800312999999996</v>
      </c>
      <c r="T2028" s="1">
        <v>-5.3844130000000003</v>
      </c>
      <c r="U2028" s="1">
        <v>0.66200000000000003</v>
      </c>
      <c r="V2028" s="1">
        <v>98</v>
      </c>
      <c r="W2028" s="1">
        <v>170</v>
      </c>
      <c r="X2028" s="1">
        <v>1.7346938775510203</v>
      </c>
      <c r="Y2028" s="1">
        <v>98</v>
      </c>
      <c r="Z2028" s="1">
        <v>170</v>
      </c>
      <c r="AA2028" s="1">
        <v>1.7346938775510203</v>
      </c>
      <c r="AB2028" s="1">
        <v>101.7902641541352</v>
      </c>
      <c r="AC2028" s="1">
        <v>169.71906736311709</v>
      </c>
      <c r="AD2028" s="1">
        <v>1.6673408677486206</v>
      </c>
      <c r="AE2028" t="s">
        <v>4815</v>
      </c>
      <c r="AF2028" t="str">
        <f>IF(X2028&lt;$AF$1,"Bajo","Alto")</f>
        <v>Bajo</v>
      </c>
      <c r="AG2028" t="str">
        <f>LEFT(AE2028,1)</f>
        <v>I</v>
      </c>
      <c r="AH2028" t="str">
        <f>K2028</f>
        <v>M</v>
      </c>
      <c r="AI2028" t="str">
        <f>LEFT(AF2028,1)</f>
        <v>B</v>
      </c>
      <c r="AJ2028" t="str">
        <f>LEFT(M2028,1)</f>
        <v>J</v>
      </c>
      <c r="AK2028" t="str">
        <f>_xlfn.CONCAT(AG2028,AH2028,AI2028,AJ2028)</f>
        <v>IMBJ</v>
      </c>
    </row>
    <row r="2029" spans="1:37" ht="15.75" hidden="1" customHeight="1" x14ac:dyDescent="0.2">
      <c r="A2029" s="1">
        <v>192203</v>
      </c>
      <c r="B2029" s="1" t="s">
        <v>2656</v>
      </c>
      <c r="C2029" s="1" t="s">
        <v>323</v>
      </c>
      <c r="D2029" s="1" t="s">
        <v>2684</v>
      </c>
      <c r="E2029" s="1" t="s">
        <v>418</v>
      </c>
      <c r="F2029" s="1" t="s">
        <v>63</v>
      </c>
      <c r="G2029" s="1" t="s">
        <v>2685</v>
      </c>
      <c r="H2029" s="1">
        <v>1146</v>
      </c>
      <c r="I2029" s="1" t="s">
        <v>108</v>
      </c>
      <c r="J2029" s="1">
        <v>3</v>
      </c>
      <c r="K2029" s="1" t="s">
        <v>35</v>
      </c>
      <c r="L2029" s="1">
        <v>34</v>
      </c>
      <c r="M2029" s="1" t="str">
        <f>IF(L2029&lt;=45,"Joven","Mayor")</f>
        <v>Joven</v>
      </c>
      <c r="N2029" s="1">
        <v>37</v>
      </c>
      <c r="O2029" s="1" t="s">
        <v>36</v>
      </c>
      <c r="P2029" s="1">
        <v>0.36</v>
      </c>
      <c r="Q2029" s="1">
        <v>92.114000000000004</v>
      </c>
      <c r="R2029" s="1">
        <v>2.6440636999999998</v>
      </c>
      <c r="S2029" s="1">
        <v>5.7370004999999997</v>
      </c>
      <c r="T2029" s="1">
        <v>-1.7800841000000001</v>
      </c>
      <c r="U2029" s="1">
        <v>38.597999999999999</v>
      </c>
      <c r="V2029" s="1">
        <v>85</v>
      </c>
      <c r="W2029" s="1">
        <v>147</v>
      </c>
      <c r="X2029" s="1">
        <v>1.7294117647058824</v>
      </c>
      <c r="Y2029" s="1">
        <v>85</v>
      </c>
      <c r="Z2029" s="1">
        <v>147</v>
      </c>
      <c r="AA2029" s="1">
        <v>1.7294117647058824</v>
      </c>
      <c r="AB2029" s="1">
        <v>86.077260459986292</v>
      </c>
      <c r="AC2029" s="1">
        <v>146.8669338289001</v>
      </c>
      <c r="AD2029" s="1">
        <v>1.7062222129754279</v>
      </c>
      <c r="AE2029" t="s">
        <v>4817</v>
      </c>
      <c r="AF2029" t="str">
        <f>IF(X2029&lt;$AF$1,"Bajo","Alto")</f>
        <v>Bajo</v>
      </c>
      <c r="AG2029" t="str">
        <f>LEFT(AE2029,1)</f>
        <v>C</v>
      </c>
      <c r="AH2029" t="str">
        <f>K2029</f>
        <v>M</v>
      </c>
      <c r="AI2029" t="str">
        <f>LEFT(AF2029,1)</f>
        <v>B</v>
      </c>
      <c r="AJ2029" t="str">
        <f>LEFT(M2029,1)</f>
        <v>J</v>
      </c>
      <c r="AK2029" t="str">
        <f>_xlfn.CONCAT(AG2029,AH2029,AI2029,AJ2029)</f>
        <v>CMBJ</v>
      </c>
    </row>
    <row r="2030" spans="1:37" ht="15.75" hidden="1" customHeight="1" x14ac:dyDescent="0.2">
      <c r="A2030" s="1">
        <v>262005</v>
      </c>
      <c r="B2030" s="1" t="s">
        <v>3358</v>
      </c>
      <c r="C2030" s="1" t="s">
        <v>968</v>
      </c>
      <c r="D2030" s="1" t="s">
        <v>3372</v>
      </c>
      <c r="E2030" s="1" t="s">
        <v>1983</v>
      </c>
      <c r="F2030" s="1" t="s">
        <v>40</v>
      </c>
      <c r="G2030" s="1" t="s">
        <v>3378</v>
      </c>
      <c r="H2030" s="1">
        <v>4962</v>
      </c>
      <c r="I2030" s="1" t="s">
        <v>151</v>
      </c>
      <c r="J2030" s="1">
        <v>4041</v>
      </c>
      <c r="K2030" s="1" t="s">
        <v>35</v>
      </c>
      <c r="L2030" s="1">
        <v>27</v>
      </c>
      <c r="M2030" s="1" t="str">
        <f>IF(L2030&lt;=45,"Joven","Mayor")</f>
        <v>Joven</v>
      </c>
      <c r="N2030" s="1">
        <v>37</v>
      </c>
      <c r="O2030" s="1" t="s">
        <v>36</v>
      </c>
      <c r="P2030" s="1">
        <v>0.39900000000000002</v>
      </c>
      <c r="Q2030" s="1">
        <v>80.861000000000004</v>
      </c>
      <c r="R2030" s="1">
        <v>9.8220620000000007</v>
      </c>
      <c r="S2030" s="1">
        <v>4.3329896999999997</v>
      </c>
      <c r="T2030" s="1">
        <v>-8.394228</v>
      </c>
      <c r="U2030" s="1">
        <v>10.135999999999999</v>
      </c>
      <c r="V2030" s="1">
        <v>78</v>
      </c>
      <c r="W2030" s="1">
        <v>142</v>
      </c>
      <c r="X2030" s="1">
        <v>1.8205128205128205</v>
      </c>
      <c r="Y2030" s="1">
        <v>85</v>
      </c>
      <c r="Z2030" s="1">
        <v>142</v>
      </c>
      <c r="AA2030" s="1">
        <v>1.6705882352941177</v>
      </c>
      <c r="AB2030" s="1">
        <v>84.025607765644736</v>
      </c>
      <c r="AC2030" s="1">
        <v>142.2305607232347</v>
      </c>
      <c r="AD2030" s="1">
        <v>1.6927049325240111</v>
      </c>
      <c r="AE2030" t="s">
        <v>4817</v>
      </c>
      <c r="AF2030" t="str">
        <f>IF(X2030&lt;$AF$1,"Bajo","Alto")</f>
        <v>Alto</v>
      </c>
      <c r="AG2030" t="str">
        <f>LEFT(AE2030,1)</f>
        <v>C</v>
      </c>
      <c r="AH2030" t="str">
        <f>K2030</f>
        <v>M</v>
      </c>
      <c r="AI2030" t="str">
        <f>LEFT(AF2030,1)</f>
        <v>A</v>
      </c>
      <c r="AJ2030" t="str">
        <f>LEFT(M2030,1)</f>
        <v>J</v>
      </c>
      <c r="AK2030" t="str">
        <f>_xlfn.CONCAT(AG2030,AH2030,AI2030,AJ2030)</f>
        <v>CMAJ</v>
      </c>
    </row>
    <row r="2031" spans="1:37" ht="15.75" hidden="1" customHeight="1" x14ac:dyDescent="0.2">
      <c r="A2031" s="1">
        <v>3110602</v>
      </c>
      <c r="B2031" s="1" t="s">
        <v>4122</v>
      </c>
      <c r="C2031" s="1" t="s">
        <v>628</v>
      </c>
      <c r="D2031" s="1" t="s">
        <v>4148</v>
      </c>
      <c r="E2031" s="1" t="s">
        <v>95</v>
      </c>
      <c r="F2031" s="1" t="s">
        <v>37</v>
      </c>
      <c r="G2031" s="1" t="s">
        <v>4149</v>
      </c>
      <c r="H2031" s="1">
        <v>36389</v>
      </c>
      <c r="I2031" s="1" t="s">
        <v>65</v>
      </c>
      <c r="J2031" s="1">
        <v>2</v>
      </c>
      <c r="K2031" s="1" t="s">
        <v>35</v>
      </c>
      <c r="L2031" s="1">
        <v>27</v>
      </c>
      <c r="M2031" s="1" t="str">
        <f>IF(L2031&lt;=45,"Joven","Mayor")</f>
        <v>Joven</v>
      </c>
      <c r="N2031" s="1">
        <v>29</v>
      </c>
      <c r="O2031" s="1" t="s">
        <v>36</v>
      </c>
      <c r="P2031" s="1">
        <v>0.71299999999999997</v>
      </c>
      <c r="Q2031" s="1">
        <v>93.742999999999995</v>
      </c>
      <c r="R2031" s="1">
        <v>-0.81056326999999995</v>
      </c>
      <c r="S2031" s="1">
        <v>3.9518277999999998</v>
      </c>
      <c r="T2031" s="1">
        <v>6.5185227000000001</v>
      </c>
      <c r="U2031" s="1">
        <v>40.606000000000002</v>
      </c>
      <c r="V2031" s="1">
        <v>128</v>
      </c>
      <c r="W2031" s="1">
        <v>233</v>
      </c>
      <c r="X2031" s="1">
        <v>1.8203125</v>
      </c>
      <c r="Y2031" s="1">
        <v>133</v>
      </c>
      <c r="Z2031" s="1">
        <v>233</v>
      </c>
      <c r="AA2031" s="1">
        <v>1.7518796992481203</v>
      </c>
      <c r="AB2031" s="1">
        <v>134.55159328950501</v>
      </c>
      <c r="AC2031" s="1">
        <v>231.7207520977108</v>
      </c>
      <c r="AD2031" s="1">
        <v>1.7221702577622688</v>
      </c>
      <c r="AE2031" t="s">
        <v>4817</v>
      </c>
      <c r="AF2031" t="str">
        <f>IF(X2031&lt;$AF$1,"Bajo","Alto")</f>
        <v>Alto</v>
      </c>
      <c r="AG2031" t="str">
        <f>LEFT(AE2031,1)</f>
        <v>C</v>
      </c>
      <c r="AH2031" t="str">
        <f>K2031</f>
        <v>M</v>
      </c>
      <c r="AI2031" t="str">
        <f>LEFT(AF2031,1)</f>
        <v>A</v>
      </c>
      <c r="AJ2031" t="str">
        <f>LEFT(M2031,1)</f>
        <v>J</v>
      </c>
      <c r="AK2031" t="str">
        <f>_xlfn.CONCAT(AG2031,AH2031,AI2031,AJ2031)</f>
        <v>CMAJ</v>
      </c>
    </row>
    <row r="2032" spans="1:37" ht="15.75" hidden="1" customHeight="1" x14ac:dyDescent="0.2">
      <c r="A2032" s="1">
        <v>524002</v>
      </c>
      <c r="B2032" s="1" t="s">
        <v>4529</v>
      </c>
      <c r="C2032" s="1" t="s">
        <v>685</v>
      </c>
      <c r="D2032" s="1" t="s">
        <v>2867</v>
      </c>
      <c r="E2032" s="1" t="s">
        <v>657</v>
      </c>
      <c r="F2032" s="1" t="s">
        <v>37</v>
      </c>
      <c r="G2032" s="1" t="s">
        <v>4597</v>
      </c>
      <c r="H2032" s="1">
        <v>790</v>
      </c>
      <c r="I2032" s="1" t="s">
        <v>4598</v>
      </c>
      <c r="J2032" s="1">
        <v>403</v>
      </c>
      <c r="K2032" s="1" t="s">
        <v>49</v>
      </c>
      <c r="L2032" s="1">
        <v>61</v>
      </c>
      <c r="M2032" s="1" t="str">
        <f>IF(L2032&lt;=45,"Joven","Mayor")</f>
        <v>Mayor</v>
      </c>
      <c r="N2032" s="1">
        <v>69</v>
      </c>
      <c r="O2032" s="1" t="s">
        <v>50</v>
      </c>
      <c r="P2032" s="1">
        <v>0.33</v>
      </c>
      <c r="Q2032" s="1">
        <v>92.751999999999995</v>
      </c>
      <c r="R2032" s="1">
        <v>-2.5520489999999998</v>
      </c>
      <c r="S2032" s="1">
        <v>3.9724840000000001</v>
      </c>
      <c r="T2032" s="1">
        <v>-0.26279548000000003</v>
      </c>
      <c r="U2032" s="1">
        <v>1.587</v>
      </c>
      <c r="V2032" s="1">
        <v>95</v>
      </c>
      <c r="W2032" s="1">
        <v>162</v>
      </c>
      <c r="X2032" s="1">
        <v>1.7052631578947368</v>
      </c>
      <c r="Y2032" s="1">
        <v>100</v>
      </c>
      <c r="Z2032" s="1">
        <v>162</v>
      </c>
      <c r="AA2032" s="1">
        <v>1.62</v>
      </c>
      <c r="AB2032" s="1">
        <v>99.815482923447689</v>
      </c>
      <c r="AC2032" s="1">
        <v>162.0258157614785</v>
      </c>
      <c r="AD2032" s="1">
        <v>1.6232533372176567</v>
      </c>
      <c r="AE2032" t="s">
        <v>4817</v>
      </c>
      <c r="AF2032" t="str">
        <f>IF(X2032&lt;$AF$1,"Bajo","Alto")</f>
        <v>Bajo</v>
      </c>
      <c r="AG2032" t="str">
        <f>LEFT(AE2032,1)</f>
        <v>C</v>
      </c>
      <c r="AH2032" t="str">
        <f>K2032</f>
        <v>F</v>
      </c>
      <c r="AI2032" t="str">
        <f>LEFT(AF2032,1)</f>
        <v>B</v>
      </c>
      <c r="AJ2032" t="str">
        <f>LEFT(M2032,1)</f>
        <v>M</v>
      </c>
      <c r="AK2032" t="str">
        <f>_xlfn.CONCAT(AG2032,AH2032,AI2032,AJ2032)</f>
        <v>CFBM</v>
      </c>
    </row>
    <row r="2033" spans="1:37" ht="15.75" hidden="1" customHeight="1" x14ac:dyDescent="0.2">
      <c r="A2033" s="1">
        <v>1059707</v>
      </c>
      <c r="B2033" s="1" t="s">
        <v>694</v>
      </c>
      <c r="C2033" s="1" t="s">
        <v>879</v>
      </c>
      <c r="D2033" s="1" t="s">
        <v>1060</v>
      </c>
      <c r="E2033" s="1" t="s">
        <v>781</v>
      </c>
      <c r="F2033" s="1" t="s">
        <v>43</v>
      </c>
      <c r="G2033" s="1" t="s">
        <v>1066</v>
      </c>
      <c r="H2033" s="1">
        <v>102</v>
      </c>
      <c r="I2033" s="1" t="s">
        <v>93</v>
      </c>
      <c r="J2033" s="1">
        <v>9</v>
      </c>
      <c r="K2033" s="1" t="s">
        <v>35</v>
      </c>
      <c r="L2033" s="1">
        <v>50</v>
      </c>
      <c r="M2033" s="1" t="str">
        <f>IF(L2033&lt;=45,"Joven","Mayor")</f>
        <v>Mayor</v>
      </c>
      <c r="N2033" s="1">
        <v>53</v>
      </c>
      <c r="O2033" s="1" t="s">
        <v>36</v>
      </c>
      <c r="P2033" s="1">
        <v>1.7350000000000001</v>
      </c>
      <c r="Q2033" s="1">
        <v>89.138999999999996</v>
      </c>
      <c r="R2033" s="1">
        <v>4.3865584999999996</v>
      </c>
      <c r="S2033" s="1">
        <v>7.4964494999999998</v>
      </c>
      <c r="T2033" s="1">
        <v>0.21511443999999999</v>
      </c>
      <c r="U2033" s="1">
        <v>2.8439999999999999</v>
      </c>
      <c r="V2033" s="1">
        <v>94</v>
      </c>
      <c r="W2033" s="1">
        <v>170</v>
      </c>
      <c r="X2033" s="1">
        <v>1.8085106382978724</v>
      </c>
      <c r="Y2033" s="1">
        <v>98</v>
      </c>
      <c r="Z2033" s="1">
        <v>170</v>
      </c>
      <c r="AA2033" s="1">
        <v>1.7346938775510203</v>
      </c>
      <c r="AB2033" s="1">
        <v>97.822850318005976</v>
      </c>
      <c r="AC2033" s="1">
        <v>169.99129295414829</v>
      </c>
      <c r="AD2033" s="1">
        <v>1.7377462668643839</v>
      </c>
      <c r="AE2033" t="s">
        <v>4815</v>
      </c>
      <c r="AF2033" t="str">
        <f>IF(X2033&lt;$AF$1,"Bajo","Alto")</f>
        <v>Alto</v>
      </c>
      <c r="AG2033" t="str">
        <f>LEFT(AE2033,1)</f>
        <v>I</v>
      </c>
      <c r="AH2033" t="str">
        <f>K2033</f>
        <v>M</v>
      </c>
      <c r="AI2033" t="str">
        <f>LEFT(AF2033,1)</f>
        <v>A</v>
      </c>
      <c r="AJ2033" t="str">
        <f>LEFT(M2033,1)</f>
        <v>M</v>
      </c>
      <c r="AK2033" t="str">
        <f>_xlfn.CONCAT(AG2033,AH2033,AI2033,AJ2033)</f>
        <v>IMAM</v>
      </c>
    </row>
    <row r="2034" spans="1:37" ht="15.75" hidden="1" customHeight="1" x14ac:dyDescent="0.2">
      <c r="A2034" s="1">
        <v>110401</v>
      </c>
      <c r="B2034" s="1" t="s">
        <v>1648</v>
      </c>
      <c r="C2034" s="1" t="s">
        <v>51</v>
      </c>
      <c r="D2034" s="1" t="s">
        <v>1655</v>
      </c>
      <c r="E2034" s="1" t="s">
        <v>61</v>
      </c>
      <c r="F2034" s="1" t="s">
        <v>32</v>
      </c>
      <c r="G2034" s="1" t="s">
        <v>1656</v>
      </c>
      <c r="H2034" s="1">
        <v>81</v>
      </c>
      <c r="I2034" s="1" t="s">
        <v>87</v>
      </c>
      <c r="J2034" s="1">
        <v>14</v>
      </c>
      <c r="K2034" s="1" t="s">
        <v>35</v>
      </c>
      <c r="L2034" s="1">
        <v>47</v>
      </c>
      <c r="M2034" s="1" t="str">
        <f>IF(L2034&lt;=45,"Joven","Mayor")</f>
        <v>Mayor</v>
      </c>
      <c r="N2034" s="1">
        <v>51</v>
      </c>
      <c r="O2034" s="1" t="s">
        <v>36</v>
      </c>
      <c r="P2034" s="1">
        <v>0.34799999999999998</v>
      </c>
      <c r="Q2034" s="1">
        <v>92.152000000000001</v>
      </c>
      <c r="R2034" s="1">
        <v>-3.7570350000000001</v>
      </c>
      <c r="S2034" s="1">
        <v>2.6014848000000002</v>
      </c>
      <c r="T2034" s="1">
        <v>-3.4328563000000001</v>
      </c>
      <c r="U2034" s="1">
        <v>1.0029999999999999</v>
      </c>
      <c r="V2034" s="1">
        <v>109</v>
      </c>
      <c r="W2034" s="1">
        <v>196</v>
      </c>
      <c r="X2034" s="1">
        <v>1.798165137614679</v>
      </c>
      <c r="Y2034" s="1">
        <v>112</v>
      </c>
      <c r="Z2034" s="1">
        <v>196</v>
      </c>
      <c r="AA2034" s="1">
        <v>1.75</v>
      </c>
      <c r="AB2034" s="1">
        <v>111.9779930091627</v>
      </c>
      <c r="AC2034" s="1">
        <v>196.1872175304334</v>
      </c>
      <c r="AD2034" s="1">
        <v>1.752015840419467</v>
      </c>
      <c r="AE2034" t="s">
        <v>4816</v>
      </c>
      <c r="AF2034" t="str">
        <f>IF(X2034&lt;$AF$1,"Bajo","Alto")</f>
        <v>Alto</v>
      </c>
      <c r="AG2034" t="str">
        <f>LEFT(AE2034,1)</f>
        <v>D</v>
      </c>
      <c r="AH2034" t="str">
        <f>K2034</f>
        <v>M</v>
      </c>
      <c r="AI2034" t="str">
        <f>LEFT(AF2034,1)</f>
        <v>A</v>
      </c>
      <c r="AJ2034" t="str">
        <f>LEFT(M2034,1)</f>
        <v>M</v>
      </c>
      <c r="AK2034" t="str">
        <f>_xlfn.CONCAT(AG2034,AH2034,AI2034,AJ2034)</f>
        <v>DMAM</v>
      </c>
    </row>
    <row r="2035" spans="1:37" ht="15.75" hidden="1" customHeight="1" x14ac:dyDescent="0.2">
      <c r="A2035" s="1">
        <v>315803</v>
      </c>
      <c r="B2035" s="1" t="s">
        <v>4122</v>
      </c>
      <c r="C2035" s="1" t="s">
        <v>628</v>
      </c>
      <c r="D2035" s="1" t="s">
        <v>4236</v>
      </c>
      <c r="E2035" s="1" t="s">
        <v>695</v>
      </c>
      <c r="F2035" s="1" t="s">
        <v>63</v>
      </c>
      <c r="G2035" s="1" t="s">
        <v>4239</v>
      </c>
      <c r="H2035" s="1">
        <v>4759</v>
      </c>
      <c r="I2035" s="1" t="s">
        <v>134</v>
      </c>
      <c r="J2035" s="1">
        <v>8</v>
      </c>
      <c r="K2035" s="1" t="s">
        <v>35</v>
      </c>
      <c r="L2035" s="1">
        <v>35</v>
      </c>
      <c r="M2035" s="1" t="str">
        <f>IF(L2035&lt;=45,"Joven","Mayor")</f>
        <v>Joven</v>
      </c>
      <c r="N2035" s="1">
        <v>41</v>
      </c>
      <c r="O2035" s="1" t="s">
        <v>36</v>
      </c>
      <c r="P2035" s="1">
        <v>0.373</v>
      </c>
      <c r="Q2035" s="1">
        <v>93.296999999999997</v>
      </c>
      <c r="R2035" s="1">
        <v>-2.4537327000000002</v>
      </c>
      <c r="S2035" s="1">
        <v>1.9930551000000001</v>
      </c>
      <c r="T2035" s="1">
        <v>-5.4174027000000002</v>
      </c>
      <c r="U2035" s="1">
        <v>46.923000000000002</v>
      </c>
      <c r="V2035" s="1">
        <v>85</v>
      </c>
      <c r="W2035" s="1">
        <v>147</v>
      </c>
      <c r="X2035" s="1">
        <v>1.7294117647058824</v>
      </c>
      <c r="Y2035" s="1">
        <v>91</v>
      </c>
      <c r="Z2035" s="1">
        <v>147</v>
      </c>
      <c r="AA2035" s="1">
        <v>1.6153846153846154</v>
      </c>
      <c r="AB2035" s="1">
        <v>89.152046832865835</v>
      </c>
      <c r="AC2035" s="1">
        <v>147.09868577111229</v>
      </c>
      <c r="AD2035" s="1">
        <v>1.6499754183645334</v>
      </c>
      <c r="AE2035" t="s">
        <v>4817</v>
      </c>
      <c r="AF2035" t="str">
        <f>IF(X2035&lt;$AF$1,"Bajo","Alto")</f>
        <v>Bajo</v>
      </c>
      <c r="AG2035" t="str">
        <f>LEFT(AE2035,1)</f>
        <v>C</v>
      </c>
      <c r="AH2035" t="str">
        <f>K2035</f>
        <v>M</v>
      </c>
      <c r="AI2035" t="str">
        <f>LEFT(AF2035,1)</f>
        <v>B</v>
      </c>
      <c r="AJ2035" t="str">
        <f>LEFT(M2035,1)</f>
        <v>J</v>
      </c>
      <c r="AK2035" t="str">
        <f>_xlfn.CONCAT(AG2035,AH2035,AI2035,AJ2035)</f>
        <v>CMBJ</v>
      </c>
    </row>
    <row r="2036" spans="1:37" ht="15.75" hidden="1" customHeight="1" x14ac:dyDescent="0.2">
      <c r="A2036" s="1">
        <v>1011601</v>
      </c>
      <c r="B2036" s="1" t="s">
        <v>29</v>
      </c>
      <c r="C2036" s="1" t="s">
        <v>30</v>
      </c>
      <c r="D2036" s="1" t="s">
        <v>243</v>
      </c>
      <c r="E2036" s="1" t="s">
        <v>244</v>
      </c>
      <c r="F2036" s="1" t="s">
        <v>32</v>
      </c>
      <c r="G2036" s="1" t="s">
        <v>245</v>
      </c>
      <c r="H2036" s="1">
        <v>848</v>
      </c>
      <c r="I2036" s="1" t="s">
        <v>100</v>
      </c>
      <c r="J2036" s="1">
        <v>1</v>
      </c>
      <c r="K2036" s="1" t="s">
        <v>35</v>
      </c>
      <c r="L2036" s="1">
        <v>52</v>
      </c>
      <c r="M2036" s="1" t="str">
        <f>IF(L2036&lt;=45,"Joven","Mayor")</f>
        <v>Mayor</v>
      </c>
      <c r="N2036" s="1">
        <v>51</v>
      </c>
      <c r="O2036" s="1" t="s">
        <v>36</v>
      </c>
      <c r="P2036" s="1">
        <v>3.7999999999999999E-2</v>
      </c>
      <c r="Q2036" s="1">
        <v>87.438999999999993</v>
      </c>
      <c r="R2036" s="1">
        <v>-7.8608190000000002</v>
      </c>
      <c r="S2036" s="1">
        <v>0.56734620000000002</v>
      </c>
      <c r="T2036" s="1">
        <v>2.9924241999999999</v>
      </c>
      <c r="U2036" s="1">
        <v>19.556999999999999</v>
      </c>
      <c r="V2036" s="1">
        <v>57</v>
      </c>
      <c r="W2036" s="1">
        <v>98</v>
      </c>
      <c r="X2036" s="1">
        <v>1.7192982456140351</v>
      </c>
      <c r="Y2036" s="1">
        <v>58</v>
      </c>
      <c r="Z2036" s="1">
        <v>98</v>
      </c>
      <c r="AA2036" s="1">
        <v>1.6896551724137931</v>
      </c>
      <c r="AB2036" s="1">
        <v>58.070763538831223</v>
      </c>
      <c r="AC2036" s="1">
        <v>97.814167796025231</v>
      </c>
      <c r="AD2036" s="1">
        <v>1.6843961028791721</v>
      </c>
      <c r="AE2036" t="s">
        <v>4817</v>
      </c>
      <c r="AF2036" t="str">
        <f>IF(X2036&lt;$AF$1,"Bajo","Alto")</f>
        <v>Bajo</v>
      </c>
      <c r="AG2036" t="str">
        <f>LEFT(AE2036,1)</f>
        <v>C</v>
      </c>
      <c r="AH2036" t="str">
        <f>K2036</f>
        <v>M</v>
      </c>
      <c r="AI2036" t="str">
        <f>LEFT(AF2036,1)</f>
        <v>B</v>
      </c>
      <c r="AJ2036" t="str">
        <f>LEFT(M2036,1)</f>
        <v>M</v>
      </c>
      <c r="AK2036" t="str">
        <f>_xlfn.CONCAT(AG2036,AH2036,AI2036,AJ2036)</f>
        <v>CMBM</v>
      </c>
    </row>
    <row r="2037" spans="1:37" ht="15.75" hidden="1" customHeight="1" x14ac:dyDescent="0.2">
      <c r="A2037" s="1">
        <v>1050111</v>
      </c>
      <c r="B2037" s="1" t="s">
        <v>694</v>
      </c>
      <c r="C2037" s="1" t="s">
        <v>879</v>
      </c>
      <c r="D2037" s="1" t="s">
        <v>880</v>
      </c>
      <c r="E2037" s="1" t="s">
        <v>32</v>
      </c>
      <c r="F2037" s="1" t="s">
        <v>51</v>
      </c>
      <c r="G2037" s="1" t="s">
        <v>884</v>
      </c>
      <c r="H2037" s="1">
        <v>1757</v>
      </c>
      <c r="I2037" s="1" t="s">
        <v>885</v>
      </c>
      <c r="J2037" s="1">
        <v>908</v>
      </c>
      <c r="K2037" s="1" t="s">
        <v>49</v>
      </c>
      <c r="L2037" s="1">
        <v>62</v>
      </c>
      <c r="M2037" s="1" t="str">
        <f>IF(L2037&lt;=45,"Joven","Mayor")</f>
        <v>Mayor</v>
      </c>
      <c r="N2037" s="1">
        <v>51</v>
      </c>
      <c r="O2037" s="1" t="s">
        <v>50</v>
      </c>
      <c r="P2037" s="1">
        <v>0.36099999999999999</v>
      </c>
      <c r="Q2037" s="1">
        <v>88.257000000000005</v>
      </c>
      <c r="R2037" s="1">
        <v>7.1338277000000003</v>
      </c>
      <c r="S2037" s="1">
        <v>1.655181</v>
      </c>
      <c r="T2037" s="1">
        <v>2.0387970000000002</v>
      </c>
      <c r="U2037" s="1">
        <v>12.366</v>
      </c>
      <c r="V2037" s="1">
        <v>94</v>
      </c>
      <c r="W2037" s="1">
        <v>170</v>
      </c>
      <c r="X2037" s="1">
        <v>1.8085106382978724</v>
      </c>
      <c r="Y2037" s="1">
        <v>100</v>
      </c>
      <c r="Z2037" s="1">
        <v>170</v>
      </c>
      <c r="AA2037" s="1">
        <v>1.7</v>
      </c>
      <c r="AB2037" s="1">
        <v>98.51364816012233</v>
      </c>
      <c r="AC2037" s="1">
        <v>170.4971798537176</v>
      </c>
      <c r="AD2037" s="1">
        <v>1.7306960308341695</v>
      </c>
      <c r="AE2037" t="s">
        <v>4817</v>
      </c>
      <c r="AF2037" t="str">
        <f>IF(X2037&lt;$AF$1,"Bajo","Alto")</f>
        <v>Alto</v>
      </c>
      <c r="AG2037" t="str">
        <f>LEFT(AE2037,1)</f>
        <v>C</v>
      </c>
      <c r="AH2037" t="str">
        <f>K2037</f>
        <v>F</v>
      </c>
      <c r="AI2037" t="str">
        <f>LEFT(AF2037,1)</f>
        <v>A</v>
      </c>
      <c r="AJ2037" t="str">
        <f>LEFT(M2037,1)</f>
        <v>M</v>
      </c>
      <c r="AK2037" t="str">
        <f>_xlfn.CONCAT(AG2037,AH2037,AI2037,AJ2037)</f>
        <v>CFAM</v>
      </c>
    </row>
    <row r="2038" spans="1:37" ht="15.75" hidden="1" customHeight="1" x14ac:dyDescent="0.2">
      <c r="A2038" s="1">
        <v>10111801</v>
      </c>
      <c r="B2038" s="1" t="s">
        <v>29</v>
      </c>
      <c r="C2038" s="1" t="s">
        <v>30</v>
      </c>
      <c r="D2038" s="1" t="s">
        <v>128</v>
      </c>
      <c r="E2038" s="1" t="s">
        <v>129</v>
      </c>
      <c r="F2038" s="1" t="s">
        <v>32</v>
      </c>
      <c r="G2038" s="1" t="s">
        <v>130</v>
      </c>
      <c r="H2038" s="1">
        <v>308</v>
      </c>
      <c r="I2038" s="1" t="s">
        <v>39</v>
      </c>
      <c r="J2038" s="1">
        <v>11</v>
      </c>
      <c r="K2038" s="1" t="s">
        <v>35</v>
      </c>
      <c r="L2038" s="1">
        <v>64</v>
      </c>
      <c r="M2038" s="1" t="str">
        <f>IF(L2038&lt;=45,"Joven","Mayor")</f>
        <v>Mayor</v>
      </c>
      <c r="N2038" s="1">
        <v>69</v>
      </c>
      <c r="O2038" s="1" t="s">
        <v>36</v>
      </c>
      <c r="P2038" s="1">
        <v>0.35899999999999999</v>
      </c>
      <c r="Q2038" s="1">
        <v>92.406999999999996</v>
      </c>
      <c r="R2038" s="1">
        <v>3.4716040000000001</v>
      </c>
      <c r="S2038" s="1">
        <v>2.5489044000000001</v>
      </c>
      <c r="T2038" s="1">
        <v>0.60094552999999995</v>
      </c>
      <c r="U2038" s="1">
        <v>0.96499999999999997</v>
      </c>
      <c r="V2038" s="1">
        <v>84</v>
      </c>
      <c r="W2038" s="1">
        <v>151</v>
      </c>
      <c r="X2038" s="1">
        <v>1.7976190476190477</v>
      </c>
      <c r="Y2038" s="1">
        <v>85</v>
      </c>
      <c r="Z2038" s="1">
        <v>151</v>
      </c>
      <c r="AA2038" s="1">
        <v>1.776470588235294</v>
      </c>
      <c r="AB2038" s="1">
        <v>84.57579326262703</v>
      </c>
      <c r="AC2038" s="1">
        <v>150.9916944590523</v>
      </c>
      <c r="AD2038" s="1">
        <v>1.7852826279759366</v>
      </c>
      <c r="AE2038" t="s">
        <v>4816</v>
      </c>
      <c r="AF2038" t="str">
        <f>IF(X2038&lt;$AF$1,"Bajo","Alto")</f>
        <v>Alto</v>
      </c>
      <c r="AG2038" t="str">
        <f>LEFT(AE2038,1)</f>
        <v>D</v>
      </c>
      <c r="AH2038" t="str">
        <f>K2038</f>
        <v>M</v>
      </c>
      <c r="AI2038" t="str">
        <f>LEFT(AF2038,1)</f>
        <v>A</v>
      </c>
      <c r="AJ2038" t="str">
        <f>LEFT(M2038,1)</f>
        <v>M</v>
      </c>
      <c r="AK2038" t="str">
        <f>_xlfn.CONCAT(AG2038,AH2038,AI2038,AJ2038)</f>
        <v>DMAM</v>
      </c>
    </row>
    <row r="2039" spans="1:37" ht="15.75" hidden="1" customHeight="1" x14ac:dyDescent="0.2">
      <c r="A2039" s="1">
        <v>1052801</v>
      </c>
      <c r="B2039" s="1" t="s">
        <v>694</v>
      </c>
      <c r="C2039" s="1" t="s">
        <v>879</v>
      </c>
      <c r="D2039" s="1" t="s">
        <v>976</v>
      </c>
      <c r="E2039" s="1" t="s">
        <v>561</v>
      </c>
      <c r="F2039" s="1" t="s">
        <v>32</v>
      </c>
      <c r="G2039" s="1" t="s">
        <v>977</v>
      </c>
      <c r="H2039" s="1">
        <v>32202</v>
      </c>
      <c r="I2039" s="1" t="s">
        <v>100</v>
      </c>
      <c r="J2039" s="1">
        <v>1</v>
      </c>
      <c r="K2039" s="1" t="s">
        <v>35</v>
      </c>
      <c r="L2039" s="1">
        <v>46</v>
      </c>
      <c r="M2039" s="1" t="str">
        <f>IF(L2039&lt;=45,"Joven","Mayor")</f>
        <v>Mayor</v>
      </c>
      <c r="N2039" s="1">
        <v>40</v>
      </c>
      <c r="O2039" s="1" t="s">
        <v>36</v>
      </c>
      <c r="P2039" s="1">
        <v>0.94199999999999995</v>
      </c>
      <c r="Q2039" s="1">
        <v>87.706999999999994</v>
      </c>
      <c r="R2039" s="1">
        <v>5.8190710000000001</v>
      </c>
      <c r="S2039" s="1">
        <v>7.1247129999999999</v>
      </c>
      <c r="T2039" s="1">
        <v>-9.8258790000000005</v>
      </c>
      <c r="U2039" s="1">
        <v>1.905</v>
      </c>
      <c r="V2039" s="1">
        <v>71</v>
      </c>
      <c r="W2039" s="1">
        <v>129</v>
      </c>
      <c r="X2039" s="1">
        <v>1.8169014084507042</v>
      </c>
      <c r="Y2039" s="1">
        <v>73</v>
      </c>
      <c r="Z2039" s="1">
        <v>129</v>
      </c>
      <c r="AA2039" s="1">
        <v>1.7671232876712328</v>
      </c>
      <c r="AB2039" s="1">
        <v>76.955332386964074</v>
      </c>
      <c r="AC2039" s="1">
        <v>128.4729250433852</v>
      </c>
      <c r="AD2039" s="1">
        <v>1.6694479909120372</v>
      </c>
      <c r="AE2039" t="s">
        <v>4817</v>
      </c>
      <c r="AF2039" t="str">
        <f>IF(X2039&lt;$AF$1,"Bajo","Alto")</f>
        <v>Alto</v>
      </c>
      <c r="AG2039" t="str">
        <f>LEFT(AE2039,1)</f>
        <v>C</v>
      </c>
      <c r="AH2039" t="str">
        <f>K2039</f>
        <v>M</v>
      </c>
      <c r="AI2039" t="str">
        <f>LEFT(AF2039,1)</f>
        <v>A</v>
      </c>
      <c r="AJ2039" t="str">
        <f>LEFT(M2039,1)</f>
        <v>M</v>
      </c>
      <c r="AK2039" t="str">
        <f>_xlfn.CONCAT(AG2039,AH2039,AI2039,AJ2039)</f>
        <v>CMAM</v>
      </c>
    </row>
    <row r="2040" spans="1:37" ht="15.75" hidden="1" customHeight="1" x14ac:dyDescent="0.2">
      <c r="A2040" s="1">
        <v>10129204</v>
      </c>
      <c r="B2040" s="1" t="s">
        <v>29</v>
      </c>
      <c r="C2040" s="1" t="s">
        <v>30</v>
      </c>
      <c r="D2040" s="1" t="s">
        <v>593</v>
      </c>
      <c r="E2040" s="1" t="s">
        <v>594</v>
      </c>
      <c r="F2040" s="1" t="s">
        <v>61</v>
      </c>
      <c r="G2040" s="1" t="s">
        <v>599</v>
      </c>
      <c r="H2040" s="1">
        <v>3227</v>
      </c>
      <c r="I2040" s="1" t="s">
        <v>600</v>
      </c>
      <c r="J2040" s="1">
        <v>4280</v>
      </c>
      <c r="K2040" s="1" t="s">
        <v>35</v>
      </c>
      <c r="L2040" s="1">
        <v>32</v>
      </c>
      <c r="M2040" s="1" t="str">
        <f>IF(L2040&lt;=45,"Joven","Mayor")</f>
        <v>Joven</v>
      </c>
      <c r="N2040" s="1">
        <v>25</v>
      </c>
      <c r="O2040" s="1" t="s">
        <v>36</v>
      </c>
      <c r="P2040" s="1">
        <v>0.35799999999999998</v>
      </c>
      <c r="Q2040" s="1">
        <v>91.501999999999995</v>
      </c>
      <c r="R2040" s="1">
        <v>2.9917424000000001</v>
      </c>
      <c r="S2040" s="1">
        <v>6.5841273999999999</v>
      </c>
      <c r="T2040" s="1">
        <v>-0.17803057999999999</v>
      </c>
      <c r="U2040" s="1">
        <v>28.949000000000002</v>
      </c>
      <c r="V2040" s="1">
        <v>72</v>
      </c>
      <c r="W2040" s="1">
        <v>131</v>
      </c>
      <c r="X2040" s="1">
        <v>1.8194444444444444</v>
      </c>
      <c r="Y2040" s="1">
        <v>79</v>
      </c>
      <c r="Z2040" s="1">
        <v>131</v>
      </c>
      <c r="AA2040" s="1">
        <v>1.6582278481012658</v>
      </c>
      <c r="AB2040" s="1">
        <v>79.09594229362051</v>
      </c>
      <c r="AC2040" s="1">
        <v>130.96829546223489</v>
      </c>
      <c r="AD2040" s="1">
        <v>1.6558156039920919</v>
      </c>
      <c r="AE2040" t="s">
        <v>4817</v>
      </c>
      <c r="AF2040" t="str">
        <f>IF(X2040&lt;$AF$1,"Bajo","Alto")</f>
        <v>Alto</v>
      </c>
      <c r="AG2040" t="str">
        <f>LEFT(AE2040,1)</f>
        <v>C</v>
      </c>
      <c r="AH2040" t="str">
        <f>K2040</f>
        <v>M</v>
      </c>
      <c r="AI2040" t="str">
        <f>LEFT(AF2040,1)</f>
        <v>A</v>
      </c>
      <c r="AJ2040" t="str">
        <f>LEFT(M2040,1)</f>
        <v>J</v>
      </c>
      <c r="AK2040" t="str">
        <f>_xlfn.CONCAT(AG2040,AH2040,AI2040,AJ2040)</f>
        <v>CMAJ</v>
      </c>
    </row>
    <row r="2041" spans="1:37" ht="15.75" hidden="1" customHeight="1" x14ac:dyDescent="0.2">
      <c r="A2041" s="1">
        <v>241302</v>
      </c>
      <c r="B2041" s="1" t="s">
        <v>1548</v>
      </c>
      <c r="C2041" s="1" t="s">
        <v>1993</v>
      </c>
      <c r="D2041" s="1" t="s">
        <v>1659</v>
      </c>
      <c r="E2041" s="1" t="s">
        <v>163</v>
      </c>
      <c r="F2041" s="1" t="s">
        <v>37</v>
      </c>
      <c r="G2041" s="1" t="s">
        <v>3130</v>
      </c>
      <c r="H2041" s="1">
        <v>148</v>
      </c>
      <c r="I2041" s="1" t="s">
        <v>39</v>
      </c>
      <c r="J2041" s="1">
        <v>11</v>
      </c>
      <c r="K2041" s="1" t="s">
        <v>49</v>
      </c>
      <c r="L2041" s="1">
        <v>53</v>
      </c>
      <c r="M2041" s="1" t="str">
        <f>IF(L2041&lt;=45,"Joven","Mayor")</f>
        <v>Mayor</v>
      </c>
      <c r="N2041" s="1">
        <v>63</v>
      </c>
      <c r="O2041" s="1" t="s">
        <v>50</v>
      </c>
      <c r="P2041" s="1">
        <v>0.81399999999999995</v>
      </c>
      <c r="Q2041" s="1">
        <v>94.334000000000003</v>
      </c>
      <c r="R2041" s="1">
        <v>0.67138284000000004</v>
      </c>
      <c r="S2041" s="1">
        <v>1.329334</v>
      </c>
      <c r="T2041" s="1">
        <v>0.94284120000000005</v>
      </c>
      <c r="U2041" s="1">
        <v>12.472</v>
      </c>
      <c r="V2041" s="1">
        <v>86</v>
      </c>
      <c r="W2041" s="1">
        <v>153</v>
      </c>
      <c r="X2041" s="1">
        <v>1.7790697674418605</v>
      </c>
      <c r="Y2041" s="1">
        <v>91</v>
      </c>
      <c r="Z2041" s="1">
        <v>153</v>
      </c>
      <c r="AA2041" s="1">
        <v>1.6813186813186813</v>
      </c>
      <c r="AB2041" s="1">
        <v>90.313026790548292</v>
      </c>
      <c r="AC2041" s="1">
        <v>153.06155977282469</v>
      </c>
      <c r="AD2041" s="1">
        <v>1.6947893920973462</v>
      </c>
      <c r="AE2041" t="s">
        <v>4816</v>
      </c>
      <c r="AF2041" t="str">
        <f>IF(X2041&lt;$AF$1,"Bajo","Alto")</f>
        <v>Alto</v>
      </c>
      <c r="AG2041" t="str">
        <f>LEFT(AE2041,1)</f>
        <v>D</v>
      </c>
      <c r="AH2041" t="str">
        <f>K2041</f>
        <v>F</v>
      </c>
      <c r="AI2041" t="str">
        <f>LEFT(AF2041,1)</f>
        <v>A</v>
      </c>
      <c r="AJ2041" t="str">
        <f>LEFT(M2041,1)</f>
        <v>M</v>
      </c>
      <c r="AK2041" t="str">
        <f>_xlfn.CONCAT(AG2041,AH2041,AI2041,AJ2041)</f>
        <v>DFAM</v>
      </c>
    </row>
    <row r="2042" spans="1:37" ht="15.75" hidden="1" customHeight="1" x14ac:dyDescent="0.2">
      <c r="A2042" s="1">
        <v>442406</v>
      </c>
      <c r="B2042" s="1" t="s">
        <v>4314</v>
      </c>
      <c r="C2042" s="1" t="s">
        <v>995</v>
      </c>
      <c r="D2042" s="1" t="s">
        <v>4370</v>
      </c>
      <c r="E2042" s="1" t="s">
        <v>1993</v>
      </c>
      <c r="F2042" s="1" t="s">
        <v>88</v>
      </c>
      <c r="G2042" s="1" t="s">
        <v>4376</v>
      </c>
      <c r="H2042" s="1">
        <v>806</v>
      </c>
      <c r="I2042" s="1" t="s">
        <v>4377</v>
      </c>
      <c r="J2042" s="1">
        <v>3034</v>
      </c>
      <c r="K2042" s="1" t="s">
        <v>49</v>
      </c>
      <c r="L2042" s="1">
        <v>43</v>
      </c>
      <c r="M2042" s="1" t="str">
        <f>IF(L2042&lt;=45,"Joven","Mayor")</f>
        <v>Joven</v>
      </c>
      <c r="N2042" s="1">
        <v>45</v>
      </c>
      <c r="O2042" s="1" t="s">
        <v>50</v>
      </c>
      <c r="P2042" s="1">
        <v>0.36199999999999999</v>
      </c>
      <c r="Q2042" s="1">
        <v>87.825000000000003</v>
      </c>
      <c r="R2042" s="1">
        <v>-7.5203632999999996</v>
      </c>
      <c r="S2042" s="1">
        <v>0.90199642999999996</v>
      </c>
      <c r="T2042" s="1">
        <v>15.348442</v>
      </c>
      <c r="U2042" s="1">
        <v>16.39</v>
      </c>
      <c r="V2042" s="1">
        <v>87</v>
      </c>
      <c r="W2042" s="1">
        <v>159</v>
      </c>
      <c r="X2042" s="1">
        <v>1.8275862068965518</v>
      </c>
      <c r="Y2042" s="1">
        <v>113</v>
      </c>
      <c r="Z2042" s="1">
        <v>159</v>
      </c>
      <c r="AA2042" s="1">
        <v>1.4070796460176991</v>
      </c>
      <c r="AB2042" s="1">
        <v>103.6759700841435</v>
      </c>
      <c r="AC2042" s="1">
        <v>164.44601765490461</v>
      </c>
      <c r="AD2042" s="1">
        <v>1.5861536431387147</v>
      </c>
      <c r="AE2042" t="s">
        <v>4817</v>
      </c>
      <c r="AF2042" t="str">
        <f>IF(X2042&lt;$AF$1,"Bajo","Alto")</f>
        <v>Alto</v>
      </c>
      <c r="AG2042" t="str">
        <f>LEFT(AE2042,1)</f>
        <v>C</v>
      </c>
      <c r="AH2042" t="str">
        <f>K2042</f>
        <v>F</v>
      </c>
      <c r="AI2042" t="str">
        <f>LEFT(AF2042,1)</f>
        <v>A</v>
      </c>
      <c r="AJ2042" t="str">
        <f>LEFT(M2042,1)</f>
        <v>J</v>
      </c>
      <c r="AK2042" t="str">
        <f>_xlfn.CONCAT(AG2042,AH2042,AI2042,AJ2042)</f>
        <v>CFAJ</v>
      </c>
    </row>
    <row r="2043" spans="1:37" ht="15.75" hidden="1" customHeight="1" x14ac:dyDescent="0.2">
      <c r="A2043" s="1">
        <v>232805</v>
      </c>
      <c r="B2043" s="1" t="s">
        <v>319</v>
      </c>
      <c r="C2043" s="1" t="s">
        <v>1989</v>
      </c>
      <c r="D2043" s="1" t="s">
        <v>3010</v>
      </c>
      <c r="E2043" s="1" t="s">
        <v>561</v>
      </c>
      <c r="F2043" s="1" t="s">
        <v>40</v>
      </c>
      <c r="G2043" s="1" t="s">
        <v>3014</v>
      </c>
      <c r="H2043" s="1">
        <v>1482</v>
      </c>
      <c r="I2043" s="1" t="s">
        <v>3015</v>
      </c>
      <c r="J2043" s="1">
        <v>4381</v>
      </c>
      <c r="K2043" s="1" t="s">
        <v>35</v>
      </c>
      <c r="L2043" s="1">
        <v>36</v>
      </c>
      <c r="M2043" s="1" t="str">
        <f>IF(L2043&lt;=45,"Joven","Mayor")</f>
        <v>Joven</v>
      </c>
      <c r="N2043" s="1">
        <v>35</v>
      </c>
      <c r="O2043" s="1" t="s">
        <v>36</v>
      </c>
      <c r="P2043" s="1">
        <v>0.44900000000000001</v>
      </c>
      <c r="Q2043" s="1">
        <v>91.79</v>
      </c>
      <c r="R2043" s="1">
        <v>3.6780686</v>
      </c>
      <c r="S2043" s="1">
        <v>-4.0086009999999996</v>
      </c>
      <c r="T2043" s="1">
        <v>-3.0113020000000001</v>
      </c>
      <c r="U2043" s="1">
        <v>71.953000000000003</v>
      </c>
      <c r="V2043" s="1">
        <v>111</v>
      </c>
      <c r="W2043" s="1">
        <v>192</v>
      </c>
      <c r="X2043" s="1">
        <v>1.7297297297297298</v>
      </c>
      <c r="Y2043" s="1">
        <v>114</v>
      </c>
      <c r="Z2043" s="1">
        <v>192</v>
      </c>
      <c r="AA2043" s="1">
        <v>1.6842105263157894</v>
      </c>
      <c r="AB2043" s="1">
        <v>116.679366720346</v>
      </c>
      <c r="AC2043" s="1">
        <v>191.99754951382241</v>
      </c>
      <c r="AD2043" s="1">
        <v>1.6455141548205094</v>
      </c>
      <c r="AE2043" t="s">
        <v>4817</v>
      </c>
      <c r="AF2043" t="str">
        <f>IF(X2043&lt;$AF$1,"Bajo","Alto")</f>
        <v>Bajo</v>
      </c>
      <c r="AG2043" t="str">
        <f>LEFT(AE2043,1)</f>
        <v>C</v>
      </c>
      <c r="AH2043" t="str">
        <f>K2043</f>
        <v>M</v>
      </c>
      <c r="AI2043" t="str">
        <f>LEFT(AF2043,1)</f>
        <v>B</v>
      </c>
      <c r="AJ2043" t="str">
        <f>LEFT(M2043,1)</f>
        <v>J</v>
      </c>
      <c r="AK2043" t="str">
        <f>_xlfn.CONCAT(AG2043,AH2043,AI2043,AJ2043)</f>
        <v>CMBJ</v>
      </c>
    </row>
    <row r="2044" spans="1:37" ht="15.75" hidden="1" customHeight="1" x14ac:dyDescent="0.2">
      <c r="A2044" s="1">
        <v>214802</v>
      </c>
      <c r="B2044" s="1" t="s">
        <v>2816</v>
      </c>
      <c r="C2044" s="1" t="s">
        <v>2817</v>
      </c>
      <c r="D2044" s="1" t="s">
        <v>2880</v>
      </c>
      <c r="E2044" s="1" t="s">
        <v>2650</v>
      </c>
      <c r="F2044" s="1" t="s">
        <v>37</v>
      </c>
      <c r="G2044" s="1" t="s">
        <v>2881</v>
      </c>
      <c r="H2044" s="1">
        <v>573</v>
      </c>
      <c r="I2044" s="1" t="s">
        <v>65</v>
      </c>
      <c r="J2044" s="1">
        <v>2</v>
      </c>
      <c r="K2044" s="1" t="s">
        <v>35</v>
      </c>
      <c r="L2044" s="1">
        <v>56</v>
      </c>
      <c r="M2044" s="1" t="str">
        <f>IF(L2044&lt;=45,"Joven","Mayor")</f>
        <v>Mayor</v>
      </c>
      <c r="N2044" s="1">
        <v>55</v>
      </c>
      <c r="O2044" s="1" t="s">
        <v>36</v>
      </c>
      <c r="P2044" s="1">
        <v>0.89500000000000002</v>
      </c>
      <c r="Q2044" s="1">
        <v>93.8</v>
      </c>
      <c r="R2044" s="1">
        <v>-0.87128969999999994</v>
      </c>
      <c r="S2044" s="1">
        <v>3.3925288</v>
      </c>
      <c r="T2044" s="1">
        <v>-6.8006806000000003E-2</v>
      </c>
      <c r="U2044" s="1">
        <v>3.3050000000000002</v>
      </c>
      <c r="V2044" s="1">
        <v>114</v>
      </c>
      <c r="W2044" s="1">
        <v>196</v>
      </c>
      <c r="X2044" s="1">
        <v>1.7192982456140351</v>
      </c>
      <c r="Y2044" s="1">
        <v>118</v>
      </c>
      <c r="Z2044" s="1">
        <v>196</v>
      </c>
      <c r="AA2044" s="1">
        <v>1.6610169491525424</v>
      </c>
      <c r="AB2044" s="1">
        <v>118.05332928685679</v>
      </c>
      <c r="AC2044" s="1">
        <v>195.9963011071909</v>
      </c>
      <c r="AD2044" s="1">
        <v>1.6602352707134682</v>
      </c>
      <c r="AE2044" t="s">
        <v>4817</v>
      </c>
      <c r="AF2044" t="str">
        <f>IF(X2044&lt;$AF$1,"Bajo","Alto")</f>
        <v>Bajo</v>
      </c>
      <c r="AG2044" t="str">
        <f>LEFT(AE2044,1)</f>
        <v>C</v>
      </c>
      <c r="AH2044" t="str">
        <f>K2044</f>
        <v>M</v>
      </c>
      <c r="AI2044" t="str">
        <f>LEFT(AF2044,1)</f>
        <v>B</v>
      </c>
      <c r="AJ2044" t="str">
        <f>LEFT(M2044,1)</f>
        <v>M</v>
      </c>
      <c r="AK2044" t="str">
        <f>_xlfn.CONCAT(AG2044,AH2044,AI2044,AJ2044)</f>
        <v>CMBM</v>
      </c>
    </row>
    <row r="2045" spans="1:37" ht="15.75" hidden="1" customHeight="1" x14ac:dyDescent="0.2">
      <c r="A2045" s="1">
        <v>212803</v>
      </c>
      <c r="B2045" s="1" t="s">
        <v>2816</v>
      </c>
      <c r="C2045" s="1" t="s">
        <v>2817</v>
      </c>
      <c r="D2045" s="1" t="s">
        <v>2852</v>
      </c>
      <c r="E2045" s="1" t="s">
        <v>561</v>
      </c>
      <c r="F2045" s="1" t="s">
        <v>63</v>
      </c>
      <c r="G2045" s="1" t="s">
        <v>2854</v>
      </c>
      <c r="H2045" s="1">
        <v>286</v>
      </c>
      <c r="I2045" s="1" t="s">
        <v>85</v>
      </c>
      <c r="J2045" s="1">
        <v>12</v>
      </c>
      <c r="K2045" s="1" t="s">
        <v>49</v>
      </c>
      <c r="L2045" s="1">
        <v>44</v>
      </c>
      <c r="M2045" s="1" t="str">
        <f>IF(L2045&lt;=45,"Joven","Mayor")</f>
        <v>Joven</v>
      </c>
      <c r="N2045" s="1">
        <v>50</v>
      </c>
      <c r="O2045" s="1" t="s">
        <v>50</v>
      </c>
      <c r="P2045" s="1">
        <v>0.16600000000000001</v>
      </c>
      <c r="Q2045" s="1">
        <v>91.772000000000006</v>
      </c>
      <c r="R2045" s="1">
        <v>4.0507710000000001</v>
      </c>
      <c r="S2045" s="1">
        <v>3.2101413999999999</v>
      </c>
      <c r="T2045" s="1">
        <v>-2.0637777000000002</v>
      </c>
      <c r="U2045" s="1">
        <v>39.844999999999999</v>
      </c>
      <c r="V2045" s="1">
        <v>100</v>
      </c>
      <c r="W2045" s="1">
        <v>181</v>
      </c>
      <c r="X2045" s="1">
        <v>1.81</v>
      </c>
      <c r="Y2045" s="1">
        <v>104</v>
      </c>
      <c r="Z2045" s="1">
        <v>181</v>
      </c>
      <c r="AA2045" s="1">
        <v>1.7403846153846154</v>
      </c>
      <c r="AB2045" s="1">
        <v>102.3120047147104</v>
      </c>
      <c r="AC2045" s="1">
        <v>181.17069161131391</v>
      </c>
      <c r="AD2045" s="1">
        <v>1.7707667063752219</v>
      </c>
      <c r="AE2045" t="s">
        <v>4815</v>
      </c>
      <c r="AF2045" t="str">
        <f>IF(X2045&lt;$AF$1,"Bajo","Alto")</f>
        <v>Alto</v>
      </c>
      <c r="AG2045" t="str">
        <f>LEFT(AE2045,1)</f>
        <v>I</v>
      </c>
      <c r="AH2045" t="str">
        <f>K2045</f>
        <v>F</v>
      </c>
      <c r="AI2045" t="str">
        <f>LEFT(AF2045,1)</f>
        <v>A</v>
      </c>
      <c r="AJ2045" t="str">
        <f>LEFT(M2045,1)</f>
        <v>J</v>
      </c>
      <c r="AK2045" t="str">
        <f>_xlfn.CONCAT(AG2045,AH2045,AI2045,AJ2045)</f>
        <v>IFAJ</v>
      </c>
    </row>
    <row r="2046" spans="1:37" ht="15.75" hidden="1" customHeight="1" x14ac:dyDescent="0.2">
      <c r="A2046" s="1">
        <v>153003</v>
      </c>
      <c r="B2046" s="1" t="s">
        <v>2077</v>
      </c>
      <c r="C2046" s="1" t="s">
        <v>57</v>
      </c>
      <c r="D2046" s="1" t="s">
        <v>2380</v>
      </c>
      <c r="E2046" s="1" t="s">
        <v>2381</v>
      </c>
      <c r="F2046" s="1" t="s">
        <v>63</v>
      </c>
      <c r="G2046" s="1" t="s">
        <v>2382</v>
      </c>
      <c r="H2046" s="1">
        <v>1458</v>
      </c>
      <c r="I2046" s="1" t="s">
        <v>2383</v>
      </c>
      <c r="J2046" s="1">
        <v>3213</v>
      </c>
      <c r="K2046" s="1" t="s">
        <v>35</v>
      </c>
      <c r="L2046" s="1">
        <v>53</v>
      </c>
      <c r="M2046" s="1" t="str">
        <f>IF(L2046&lt;=45,"Joven","Mayor")</f>
        <v>Mayor</v>
      </c>
      <c r="N2046" s="1">
        <v>49</v>
      </c>
      <c r="O2046" s="1" t="s">
        <v>36</v>
      </c>
      <c r="P2046" s="1">
        <v>1.1359999999999999</v>
      </c>
      <c r="Q2046" s="1">
        <v>84.638999999999996</v>
      </c>
      <c r="R2046" s="1">
        <v>-8.8055380000000003</v>
      </c>
      <c r="S2046" s="1">
        <v>1.3944479999999999</v>
      </c>
      <c r="T2046" s="1">
        <v>4.3272705</v>
      </c>
      <c r="U2046" s="1">
        <v>2.3679999999999999</v>
      </c>
      <c r="V2046" s="1">
        <v>68</v>
      </c>
      <c r="W2046" s="1">
        <v>117</v>
      </c>
      <c r="X2046" s="1">
        <v>1.7205882352941178</v>
      </c>
      <c r="Y2046" s="1">
        <v>71</v>
      </c>
      <c r="Z2046" s="1">
        <v>117</v>
      </c>
      <c r="AA2046" s="1">
        <v>1.647887323943662</v>
      </c>
      <c r="AB2046" s="1">
        <v>69.994301510030482</v>
      </c>
      <c r="AC2046" s="1">
        <v>116.3646586886957</v>
      </c>
      <c r="AD2046" s="1">
        <v>1.6624876051091122</v>
      </c>
      <c r="AE2046" t="s">
        <v>4817</v>
      </c>
      <c r="AF2046" t="str">
        <f>IF(X2046&lt;$AF$1,"Bajo","Alto")</f>
        <v>Bajo</v>
      </c>
      <c r="AG2046" t="str">
        <f>LEFT(AE2046,1)</f>
        <v>C</v>
      </c>
      <c r="AH2046" t="str">
        <f>K2046</f>
        <v>M</v>
      </c>
      <c r="AI2046" t="str">
        <f>LEFT(AF2046,1)</f>
        <v>B</v>
      </c>
      <c r="AJ2046" t="str">
        <f>LEFT(M2046,1)</f>
        <v>M</v>
      </c>
      <c r="AK2046" t="str">
        <f>_xlfn.CONCAT(AG2046,AH2046,AI2046,AJ2046)</f>
        <v>CMBM</v>
      </c>
    </row>
    <row r="2047" spans="1:37" ht="15.75" hidden="1" customHeight="1" x14ac:dyDescent="0.2">
      <c r="A2047" s="1">
        <v>641901</v>
      </c>
      <c r="B2047" s="1" t="s">
        <v>4718</v>
      </c>
      <c r="C2047" s="1" t="s">
        <v>710</v>
      </c>
      <c r="D2047" s="1" t="s">
        <v>4754</v>
      </c>
      <c r="E2047" s="1" t="s">
        <v>323</v>
      </c>
      <c r="F2047" s="1" t="s">
        <v>32</v>
      </c>
      <c r="G2047" s="1" t="s">
        <v>4755</v>
      </c>
      <c r="H2047" s="1">
        <v>1681</v>
      </c>
      <c r="I2047" s="1" t="s">
        <v>65</v>
      </c>
      <c r="J2047" s="1">
        <v>2</v>
      </c>
      <c r="K2047" s="1" t="s">
        <v>49</v>
      </c>
      <c r="L2047" s="1">
        <v>58</v>
      </c>
      <c r="M2047" s="1" t="str">
        <f>IF(L2047&lt;=45,"Joven","Mayor")</f>
        <v>Mayor</v>
      </c>
      <c r="N2047" s="1">
        <v>55</v>
      </c>
      <c r="O2047" s="1" t="s">
        <v>50</v>
      </c>
      <c r="P2047" s="1">
        <v>0.35899999999999999</v>
      </c>
      <c r="Q2047" s="1">
        <v>87.212999999999994</v>
      </c>
      <c r="R2047" s="1">
        <v>7.7845072999999996</v>
      </c>
      <c r="S2047" s="1">
        <v>-1.2999567000000001</v>
      </c>
      <c r="T2047" s="1">
        <v>-12.539116999999999</v>
      </c>
      <c r="U2047" s="1">
        <v>2.12</v>
      </c>
      <c r="V2047" s="1">
        <v>92</v>
      </c>
      <c r="W2047" s="1">
        <v>157</v>
      </c>
      <c r="X2047" s="1">
        <v>1.7065217391304348</v>
      </c>
      <c r="Y2047" s="1">
        <v>107</v>
      </c>
      <c r="Z2047" s="1">
        <v>157</v>
      </c>
      <c r="AA2047" s="1">
        <v>1.4672897196261683</v>
      </c>
      <c r="AB2047" s="1">
        <v>101.52934652757899</v>
      </c>
      <c r="AC2047" s="1">
        <v>157.59735987465089</v>
      </c>
      <c r="AD2047" s="1">
        <v>1.552234553502635</v>
      </c>
      <c r="AE2047" t="s">
        <v>4817</v>
      </c>
      <c r="AF2047" t="str">
        <f>IF(X2047&lt;$AF$1,"Bajo","Alto")</f>
        <v>Bajo</v>
      </c>
      <c r="AG2047" t="str">
        <f>LEFT(AE2047,1)</f>
        <v>C</v>
      </c>
      <c r="AH2047" t="str">
        <f>K2047</f>
        <v>F</v>
      </c>
      <c r="AI2047" t="str">
        <f>LEFT(AF2047,1)</f>
        <v>B</v>
      </c>
      <c r="AJ2047" t="str">
        <f>LEFT(M2047,1)</f>
        <v>M</v>
      </c>
      <c r="AK2047" t="str">
        <f>_xlfn.CONCAT(AG2047,AH2047,AI2047,AJ2047)</f>
        <v>CFBM</v>
      </c>
    </row>
    <row r="2048" spans="1:37" ht="15.75" hidden="1" customHeight="1" x14ac:dyDescent="0.2">
      <c r="A2048" s="1">
        <v>2810005</v>
      </c>
      <c r="B2048" s="1" t="s">
        <v>1775</v>
      </c>
      <c r="C2048" s="1" t="s">
        <v>561</v>
      </c>
      <c r="D2048" s="1" t="s">
        <v>3775</v>
      </c>
      <c r="E2048" s="1" t="s">
        <v>70</v>
      </c>
      <c r="F2048" s="1" t="s">
        <v>40</v>
      </c>
      <c r="G2048" s="1" t="s">
        <v>3777</v>
      </c>
      <c r="H2048" s="1">
        <v>9553</v>
      </c>
      <c r="I2048" s="1" t="s">
        <v>65</v>
      </c>
      <c r="J2048" s="1">
        <v>2</v>
      </c>
      <c r="K2048" s="1" t="s">
        <v>35</v>
      </c>
      <c r="L2048" s="1">
        <v>18</v>
      </c>
      <c r="M2048" s="1" t="str">
        <f>IF(L2048&lt;=45,"Joven","Mayor")</f>
        <v>Joven</v>
      </c>
      <c r="N2048" s="1">
        <v>30</v>
      </c>
      <c r="O2048" s="1" t="s">
        <v>36</v>
      </c>
      <c r="P2048" s="1">
        <v>0.3</v>
      </c>
      <c r="Q2048" s="1">
        <v>89.786000000000001</v>
      </c>
      <c r="R2048" s="1">
        <v>6.3961800000000002</v>
      </c>
      <c r="S2048" s="1">
        <v>-0.35248297000000001</v>
      </c>
      <c r="T2048" s="1">
        <v>-5.143052</v>
      </c>
      <c r="U2048" s="1">
        <v>2.5609999999999999</v>
      </c>
      <c r="V2048" s="1">
        <v>72</v>
      </c>
      <c r="W2048" s="1">
        <v>131</v>
      </c>
      <c r="X2048" s="1">
        <v>1.8194444444444444</v>
      </c>
      <c r="Y2048" s="1">
        <v>77</v>
      </c>
      <c r="Z2048" s="1">
        <v>131</v>
      </c>
      <c r="AA2048" s="1">
        <v>1.7012987012987013</v>
      </c>
      <c r="AB2048" s="1">
        <v>75.29583506216386</v>
      </c>
      <c r="AC2048" s="1">
        <v>131.2793768417155</v>
      </c>
      <c r="AD2048" s="1">
        <v>1.7435144551266604</v>
      </c>
      <c r="AE2048" t="s">
        <v>4817</v>
      </c>
      <c r="AF2048" t="str">
        <f>IF(X2048&lt;$AF$1,"Bajo","Alto")</f>
        <v>Alto</v>
      </c>
      <c r="AG2048" t="str">
        <f>LEFT(AE2048,1)</f>
        <v>C</v>
      </c>
      <c r="AH2048" t="str">
        <f>K2048</f>
        <v>M</v>
      </c>
      <c r="AI2048" t="str">
        <f>LEFT(AF2048,1)</f>
        <v>A</v>
      </c>
      <c r="AJ2048" t="str">
        <f>LEFT(M2048,1)</f>
        <v>J</v>
      </c>
      <c r="AK2048" t="str">
        <f>_xlfn.CONCAT(AG2048,AH2048,AI2048,AJ2048)</f>
        <v>CMAJ</v>
      </c>
    </row>
    <row r="2049" spans="1:37" ht="15.75" hidden="1" customHeight="1" x14ac:dyDescent="0.2">
      <c r="A2049" s="1">
        <v>1260005</v>
      </c>
      <c r="B2049" s="1" t="s">
        <v>1798</v>
      </c>
      <c r="C2049" s="1" t="s">
        <v>54</v>
      </c>
      <c r="D2049" s="1" t="s">
        <v>1864</v>
      </c>
      <c r="E2049" s="1" t="s">
        <v>1865</v>
      </c>
      <c r="F2049" s="1" t="s">
        <v>40</v>
      </c>
      <c r="G2049" s="1" t="s">
        <v>1869</v>
      </c>
      <c r="H2049" s="1">
        <v>2101</v>
      </c>
      <c r="I2049" s="1" t="s">
        <v>1870</v>
      </c>
      <c r="J2049" s="1">
        <v>2066</v>
      </c>
      <c r="K2049" s="1" t="s">
        <v>35</v>
      </c>
      <c r="L2049" s="1">
        <v>31</v>
      </c>
      <c r="M2049" s="1" t="str">
        <f>IF(L2049&lt;=45,"Joven","Mayor")</f>
        <v>Joven</v>
      </c>
      <c r="N2049" s="1">
        <v>36</v>
      </c>
      <c r="O2049" s="1" t="s">
        <v>36</v>
      </c>
      <c r="P2049" s="1">
        <v>8.7999999999999995E-2</v>
      </c>
      <c r="Q2049" s="1">
        <v>91.448999999999998</v>
      </c>
      <c r="R2049" s="1">
        <v>4.1339829999999997</v>
      </c>
      <c r="S2049" s="1">
        <v>4.0817876000000002</v>
      </c>
      <c r="T2049" s="1">
        <v>-8.1495470000000001</v>
      </c>
      <c r="U2049" s="1">
        <v>2.956</v>
      </c>
      <c r="V2049" s="1">
        <v>100</v>
      </c>
      <c r="W2049" s="1">
        <v>173</v>
      </c>
      <c r="X2049" s="1">
        <v>1.73</v>
      </c>
      <c r="Y2049" s="1">
        <v>106</v>
      </c>
      <c r="Z2049" s="1">
        <v>173</v>
      </c>
      <c r="AA2049" s="1">
        <v>1.6320754716981132</v>
      </c>
      <c r="AB2049" s="1">
        <v>106.5032816513753</v>
      </c>
      <c r="AC2049" s="1">
        <v>172.812279888185</v>
      </c>
      <c r="AD2049" s="1">
        <v>1.6226005171733922</v>
      </c>
      <c r="AE2049" t="s">
        <v>4817</v>
      </c>
      <c r="AF2049" t="str">
        <f>IF(X2049&lt;$AF$1,"Bajo","Alto")</f>
        <v>Bajo</v>
      </c>
      <c r="AG2049" t="str">
        <f>LEFT(AE2049,1)</f>
        <v>C</v>
      </c>
      <c r="AH2049" t="str">
        <f>K2049</f>
        <v>M</v>
      </c>
      <c r="AI2049" t="str">
        <f>LEFT(AF2049,1)</f>
        <v>B</v>
      </c>
      <c r="AJ2049" t="str">
        <f>LEFT(M2049,1)</f>
        <v>J</v>
      </c>
      <c r="AK2049" t="str">
        <f>_xlfn.CONCAT(AG2049,AH2049,AI2049,AJ2049)</f>
        <v>CMBJ</v>
      </c>
    </row>
    <row r="2050" spans="1:37" ht="15.75" hidden="1" customHeight="1" x14ac:dyDescent="0.2">
      <c r="A2050" s="1">
        <v>156403</v>
      </c>
      <c r="B2050" s="1" t="s">
        <v>2077</v>
      </c>
      <c r="C2050" s="1" t="s">
        <v>57</v>
      </c>
      <c r="D2050" s="1" t="s">
        <v>2493</v>
      </c>
      <c r="E2050" s="1" t="s">
        <v>710</v>
      </c>
      <c r="F2050" s="1" t="s">
        <v>63</v>
      </c>
      <c r="G2050" s="1" t="s">
        <v>2496</v>
      </c>
      <c r="H2050" s="1">
        <v>140</v>
      </c>
      <c r="I2050" s="1" t="s">
        <v>294</v>
      </c>
      <c r="J2050" s="1">
        <v>16</v>
      </c>
      <c r="K2050" s="1" t="s">
        <v>35</v>
      </c>
      <c r="L2050" s="1">
        <v>50</v>
      </c>
      <c r="M2050" s="1" t="str">
        <f>IF(L2050&lt;=45,"Joven","Mayor")</f>
        <v>Mayor</v>
      </c>
      <c r="N2050" s="1">
        <v>57</v>
      </c>
      <c r="O2050" s="1" t="s">
        <v>36</v>
      </c>
      <c r="P2050" s="1">
        <v>0.34899999999999998</v>
      </c>
      <c r="Q2050" s="1">
        <v>94.465999999999994</v>
      </c>
      <c r="R2050" s="1">
        <v>-0.80957120000000005</v>
      </c>
      <c r="S2050" s="1">
        <v>0.76023759999999996</v>
      </c>
      <c r="T2050" s="1">
        <v>-4.3550550000000001</v>
      </c>
      <c r="U2050" s="1">
        <v>0.20200000000000001</v>
      </c>
      <c r="V2050" s="1">
        <v>86</v>
      </c>
      <c r="W2050" s="1">
        <v>148</v>
      </c>
      <c r="X2050" s="1">
        <v>1.7209302325581395</v>
      </c>
      <c r="Y2050" s="1">
        <v>90</v>
      </c>
      <c r="Z2050" s="1">
        <v>148</v>
      </c>
      <c r="AA2050" s="1">
        <v>1.6444444444444444</v>
      </c>
      <c r="AB2050" s="1">
        <v>88.865097914818762</v>
      </c>
      <c r="AC2050" s="1">
        <v>148.0282900354396</v>
      </c>
      <c r="AD2050" s="1">
        <v>1.6657641020924936</v>
      </c>
      <c r="AE2050" t="s">
        <v>4817</v>
      </c>
      <c r="AF2050" t="str">
        <f>IF(X2050&lt;$AF$1,"Bajo","Alto")</f>
        <v>Bajo</v>
      </c>
      <c r="AG2050" t="str">
        <f>LEFT(AE2050,1)</f>
        <v>C</v>
      </c>
      <c r="AH2050" t="str">
        <f>K2050</f>
        <v>M</v>
      </c>
      <c r="AI2050" t="str">
        <f>LEFT(AF2050,1)</f>
        <v>B</v>
      </c>
      <c r="AJ2050" t="str">
        <f>LEFT(M2050,1)</f>
        <v>M</v>
      </c>
      <c r="AK2050" t="str">
        <f>_xlfn.CONCAT(AG2050,AH2050,AI2050,AJ2050)</f>
        <v>CMBM</v>
      </c>
    </row>
    <row r="2051" spans="1:37" ht="15.75" hidden="1" customHeight="1" x14ac:dyDescent="0.2">
      <c r="A2051" s="1">
        <v>10511004</v>
      </c>
      <c r="B2051" s="1" t="s">
        <v>694</v>
      </c>
      <c r="C2051" s="1" t="s">
        <v>879</v>
      </c>
      <c r="D2051" s="1" t="s">
        <v>913</v>
      </c>
      <c r="E2051" s="1" t="s">
        <v>914</v>
      </c>
      <c r="F2051" s="1" t="s">
        <v>61</v>
      </c>
      <c r="G2051" s="1" t="s">
        <v>916</v>
      </c>
      <c r="H2051" s="1">
        <v>2900</v>
      </c>
      <c r="I2051" s="1" t="s">
        <v>917</v>
      </c>
      <c r="J2051" s="1">
        <v>894</v>
      </c>
      <c r="K2051" s="1" t="s">
        <v>49</v>
      </c>
      <c r="L2051" s="1">
        <v>41</v>
      </c>
      <c r="M2051" s="1" t="str">
        <f>IF(L2051&lt;=45,"Joven","Mayor")</f>
        <v>Joven</v>
      </c>
      <c r="N2051" s="1">
        <v>51</v>
      </c>
      <c r="O2051" s="1" t="s">
        <v>50</v>
      </c>
      <c r="P2051" s="1">
        <v>0.34399999999999997</v>
      </c>
      <c r="Q2051" s="1">
        <v>92.067999999999998</v>
      </c>
      <c r="R2051" s="1">
        <v>3.6016867000000001</v>
      </c>
      <c r="S2051" s="1">
        <v>3.4136793999999999</v>
      </c>
      <c r="T2051" s="1">
        <v>-3.1747290000000001</v>
      </c>
      <c r="U2051" s="1">
        <v>0.96399999999999997</v>
      </c>
      <c r="V2051" s="1">
        <v>102</v>
      </c>
      <c r="W2051" s="1">
        <v>186</v>
      </c>
      <c r="X2051" s="1">
        <v>1.8235294117647058</v>
      </c>
      <c r="Y2051" s="1">
        <v>109</v>
      </c>
      <c r="Z2051" s="1">
        <v>186</v>
      </c>
      <c r="AA2051" s="1">
        <v>1.7064220183486238</v>
      </c>
      <c r="AB2051" s="1">
        <v>106.451327991063</v>
      </c>
      <c r="AC2051" s="1">
        <v>186.10221141018931</v>
      </c>
      <c r="AD2051" s="1">
        <v>1.7482375741316569</v>
      </c>
      <c r="AE2051" t="s">
        <v>4817</v>
      </c>
      <c r="AF2051" t="str">
        <f>IF(X2051&lt;$AF$1,"Bajo","Alto")</f>
        <v>Alto</v>
      </c>
      <c r="AG2051" t="str">
        <f>LEFT(AE2051,1)</f>
        <v>C</v>
      </c>
      <c r="AH2051" t="str">
        <f>K2051</f>
        <v>F</v>
      </c>
      <c r="AI2051" t="str">
        <f>LEFT(AF2051,1)</f>
        <v>A</v>
      </c>
      <c r="AJ2051" t="str">
        <f>LEFT(M2051,1)</f>
        <v>J</v>
      </c>
      <c r="AK2051" t="str">
        <f>_xlfn.CONCAT(AG2051,AH2051,AI2051,AJ2051)</f>
        <v>CFAJ</v>
      </c>
    </row>
    <row r="2052" spans="1:37" ht="15.75" hidden="1" customHeight="1" x14ac:dyDescent="0.2">
      <c r="A2052" s="1">
        <v>520104</v>
      </c>
      <c r="B2052" s="1" t="s">
        <v>4529</v>
      </c>
      <c r="C2052" s="1" t="s">
        <v>685</v>
      </c>
      <c r="D2052" s="1" t="s">
        <v>4530</v>
      </c>
      <c r="E2052" s="1" t="s">
        <v>32</v>
      </c>
      <c r="F2052" s="1" t="s">
        <v>61</v>
      </c>
      <c r="G2052" s="1" t="s">
        <v>4533</v>
      </c>
      <c r="H2052" s="1">
        <v>12659</v>
      </c>
      <c r="I2052" s="1" t="s">
        <v>65</v>
      </c>
      <c r="J2052" s="1">
        <v>2</v>
      </c>
      <c r="K2052" s="1" t="s">
        <v>35</v>
      </c>
      <c r="L2052" s="1">
        <v>45</v>
      </c>
      <c r="M2052" s="1" t="str">
        <f>IF(L2052&lt;=45,"Joven","Mayor")</f>
        <v>Joven</v>
      </c>
      <c r="N2052" s="1">
        <v>45</v>
      </c>
      <c r="O2052" s="1" t="s">
        <v>36</v>
      </c>
      <c r="P2052" s="1">
        <v>0.35699999999999998</v>
      </c>
      <c r="Q2052" s="1">
        <v>81.733999999999995</v>
      </c>
      <c r="R2052" s="1">
        <v>9.1727539999999994</v>
      </c>
      <c r="S2052" s="1">
        <v>5.9260764000000004</v>
      </c>
      <c r="T2052" s="1">
        <v>-9.7279099999999996</v>
      </c>
      <c r="U2052" s="1">
        <v>37.863</v>
      </c>
      <c r="V2052" s="1">
        <v>72</v>
      </c>
      <c r="W2052" s="1">
        <v>131</v>
      </c>
      <c r="X2052" s="1">
        <v>1.8194444444444444</v>
      </c>
      <c r="Y2052" s="1">
        <v>80</v>
      </c>
      <c r="Z2052" s="1">
        <v>131</v>
      </c>
      <c r="AA2052" s="1">
        <v>1.6375</v>
      </c>
      <c r="AB2052" s="1">
        <v>77.554543125504324</v>
      </c>
      <c r="AC2052" s="1">
        <v>131.3129910530283</v>
      </c>
      <c r="AD2052" s="1">
        <v>1.6931695521760497</v>
      </c>
      <c r="AE2052" t="s">
        <v>4817</v>
      </c>
      <c r="AF2052" t="str">
        <f>IF(X2052&lt;$AF$1,"Bajo","Alto")</f>
        <v>Alto</v>
      </c>
      <c r="AG2052" t="str">
        <f>LEFT(AE2052,1)</f>
        <v>C</v>
      </c>
      <c r="AH2052" t="str">
        <f>K2052</f>
        <v>M</v>
      </c>
      <c r="AI2052" t="str">
        <f>LEFT(AF2052,1)</f>
        <v>A</v>
      </c>
      <c r="AJ2052" t="str">
        <f>LEFT(M2052,1)</f>
        <v>J</v>
      </c>
      <c r="AK2052" t="str">
        <f>_xlfn.CONCAT(AG2052,AH2052,AI2052,AJ2052)</f>
        <v>CMAJ</v>
      </c>
    </row>
    <row r="2053" spans="1:37" ht="15.75" hidden="1" customHeight="1" x14ac:dyDescent="0.2">
      <c r="A2053" s="1">
        <v>294301</v>
      </c>
      <c r="B2053" s="1" t="s">
        <v>3890</v>
      </c>
      <c r="C2053" s="1" t="s">
        <v>1695</v>
      </c>
      <c r="D2053" s="1" t="s">
        <v>4011</v>
      </c>
      <c r="E2053" s="1" t="s">
        <v>665</v>
      </c>
      <c r="F2053" s="1" t="s">
        <v>32</v>
      </c>
      <c r="G2053" s="1" t="s">
        <v>4012</v>
      </c>
      <c r="H2053" s="1">
        <v>135</v>
      </c>
      <c r="I2053" s="1" t="s">
        <v>100</v>
      </c>
      <c r="J2053" s="1">
        <v>1</v>
      </c>
      <c r="K2053" s="1" t="s">
        <v>35</v>
      </c>
      <c r="L2053" s="1">
        <v>43</v>
      </c>
      <c r="M2053" s="1" t="str">
        <f>IF(L2053&lt;=45,"Joven","Mayor")</f>
        <v>Joven</v>
      </c>
      <c r="N2053" s="1">
        <v>45</v>
      </c>
      <c r="O2053" s="1" t="s">
        <v>36</v>
      </c>
      <c r="P2053" s="1">
        <v>0.32</v>
      </c>
      <c r="Q2053" s="1">
        <v>94.710999999999999</v>
      </c>
      <c r="R2053" s="1">
        <v>0.45463102999999999</v>
      </c>
      <c r="S2053" s="1">
        <v>0.25012066999999999</v>
      </c>
      <c r="T2053" s="1">
        <v>-0.31253856000000002</v>
      </c>
      <c r="U2053" s="1">
        <v>1.046</v>
      </c>
      <c r="V2053" s="1">
        <v>100</v>
      </c>
      <c r="W2053" s="1">
        <v>173</v>
      </c>
      <c r="X2053" s="1">
        <v>1.73</v>
      </c>
      <c r="Y2053" s="1">
        <v>100</v>
      </c>
      <c r="Z2053" s="1">
        <v>173</v>
      </c>
      <c r="AA2053" s="1">
        <v>1.73</v>
      </c>
      <c r="AB2053" s="1">
        <v>100.2767070397153</v>
      </c>
      <c r="AC2053" s="1">
        <v>172.99197138720319</v>
      </c>
      <c r="AD2053" s="1">
        <v>1.7251461131316217</v>
      </c>
      <c r="AE2053" t="s">
        <v>4817</v>
      </c>
      <c r="AF2053" t="str">
        <f>IF(X2053&lt;$AF$1,"Bajo","Alto")</f>
        <v>Bajo</v>
      </c>
      <c r="AG2053" t="str">
        <f>LEFT(AE2053,1)</f>
        <v>C</v>
      </c>
      <c r="AH2053" t="str">
        <f>K2053</f>
        <v>M</v>
      </c>
      <c r="AI2053" t="str">
        <f>LEFT(AF2053,1)</f>
        <v>B</v>
      </c>
      <c r="AJ2053" t="str">
        <f>LEFT(M2053,1)</f>
        <v>J</v>
      </c>
      <c r="AK2053" t="str">
        <f>_xlfn.CONCAT(AG2053,AH2053,AI2053,AJ2053)</f>
        <v>CMBJ</v>
      </c>
    </row>
    <row r="2054" spans="1:37" ht="15.75" hidden="1" customHeight="1" x14ac:dyDescent="0.2">
      <c r="A2054" s="1">
        <v>2826003</v>
      </c>
      <c r="B2054" s="1" t="s">
        <v>1775</v>
      </c>
      <c r="C2054" s="1" t="s">
        <v>561</v>
      </c>
      <c r="D2054" s="1" t="s">
        <v>3824</v>
      </c>
      <c r="E2054" s="1" t="s">
        <v>3825</v>
      </c>
      <c r="F2054" s="1" t="s">
        <v>63</v>
      </c>
      <c r="G2054" s="1" t="s">
        <v>3827</v>
      </c>
      <c r="H2054" s="1">
        <v>8336</v>
      </c>
      <c r="I2054" s="1" t="s">
        <v>3828</v>
      </c>
      <c r="J2054" s="1">
        <v>3657</v>
      </c>
      <c r="K2054" s="1" t="s">
        <v>49</v>
      </c>
      <c r="L2054" s="1">
        <v>56</v>
      </c>
      <c r="M2054" s="1" t="str">
        <f>IF(L2054&lt;=45,"Joven","Mayor")</f>
        <v>Mayor</v>
      </c>
      <c r="N2054" s="1">
        <v>41</v>
      </c>
      <c r="O2054" s="1" t="s">
        <v>50</v>
      </c>
      <c r="P2054" s="1">
        <v>0.35699999999999998</v>
      </c>
      <c r="Q2054" s="1">
        <v>93.918999999999997</v>
      </c>
      <c r="R2054" s="1">
        <v>-0.31352615</v>
      </c>
      <c r="S2054" s="1">
        <v>4.5919843</v>
      </c>
      <c r="T2054" s="1">
        <v>0.64750019999999997</v>
      </c>
      <c r="U2054" s="1">
        <v>34.844999999999999</v>
      </c>
      <c r="V2054" s="1">
        <v>82</v>
      </c>
      <c r="W2054" s="1">
        <v>148</v>
      </c>
      <c r="X2054" s="1">
        <v>1.8048780487804879</v>
      </c>
      <c r="Y2054" s="1">
        <v>93</v>
      </c>
      <c r="Z2054" s="1">
        <v>148</v>
      </c>
      <c r="AA2054" s="1">
        <v>1.5913978494623655</v>
      </c>
      <c r="AB2054" s="1">
        <v>93.333084511874404</v>
      </c>
      <c r="AC2054" s="1">
        <v>147.87754165220261</v>
      </c>
      <c r="AD2054" s="1">
        <v>1.5844064559270912</v>
      </c>
      <c r="AE2054" t="s">
        <v>4817</v>
      </c>
      <c r="AF2054" t="str">
        <f>IF(X2054&lt;$AF$1,"Bajo","Alto")</f>
        <v>Alto</v>
      </c>
      <c r="AG2054" t="str">
        <f>LEFT(AE2054,1)</f>
        <v>C</v>
      </c>
      <c r="AH2054" t="str">
        <f>K2054</f>
        <v>F</v>
      </c>
      <c r="AI2054" t="str">
        <f>LEFT(AF2054,1)</f>
        <v>A</v>
      </c>
      <c r="AJ2054" t="str">
        <f>LEFT(M2054,1)</f>
        <v>M</v>
      </c>
      <c r="AK2054" t="str">
        <f>_xlfn.CONCAT(AG2054,AH2054,AI2054,AJ2054)</f>
        <v>CFAM</v>
      </c>
    </row>
    <row r="2055" spans="1:37" ht="15.75" hidden="1" customHeight="1" x14ac:dyDescent="0.2">
      <c r="A2055" s="1">
        <v>10913004</v>
      </c>
      <c r="B2055" s="1" t="s">
        <v>719</v>
      </c>
      <c r="C2055" s="1" t="s">
        <v>98</v>
      </c>
      <c r="D2055" s="1" t="s">
        <v>1579</v>
      </c>
      <c r="E2055" s="1" t="s">
        <v>158</v>
      </c>
      <c r="F2055" s="1" t="s">
        <v>61</v>
      </c>
      <c r="G2055" s="1" t="s">
        <v>1581</v>
      </c>
      <c r="H2055" s="1">
        <v>11495</v>
      </c>
      <c r="I2055" s="1" t="s">
        <v>1582</v>
      </c>
      <c r="J2055" s="1">
        <v>2314</v>
      </c>
      <c r="K2055" s="1" t="s">
        <v>35</v>
      </c>
      <c r="L2055" s="1">
        <v>38</v>
      </c>
      <c r="M2055" s="1" t="str">
        <f>IF(L2055&lt;=45,"Joven","Mayor")</f>
        <v>Joven</v>
      </c>
      <c r="N2055" s="1">
        <v>46</v>
      </c>
      <c r="O2055" s="1" t="s">
        <v>36</v>
      </c>
      <c r="P2055" s="1">
        <v>0.34200000000000003</v>
      </c>
      <c r="Q2055" s="1">
        <v>94.605999999999995</v>
      </c>
      <c r="R2055" s="1">
        <v>-0.39453136999999999</v>
      </c>
      <c r="S2055" s="1">
        <v>-1.0892419</v>
      </c>
      <c r="T2055" s="1">
        <v>8.2934289999999994E-2</v>
      </c>
      <c r="U2055" s="1">
        <v>19.484000000000002</v>
      </c>
      <c r="V2055" s="1">
        <v>83</v>
      </c>
      <c r="W2055" s="1">
        <v>151</v>
      </c>
      <c r="X2055" s="1">
        <v>1.8192771084337349</v>
      </c>
      <c r="Y2055" s="1">
        <v>86</v>
      </c>
      <c r="Z2055" s="1">
        <v>151</v>
      </c>
      <c r="AA2055" s="1">
        <v>1.7558139534883721</v>
      </c>
      <c r="AB2055" s="1">
        <v>85.936220966546443</v>
      </c>
      <c r="AC2055" s="1">
        <v>151.0012892892519</v>
      </c>
      <c r="AD2055" s="1">
        <v>1.7571320636502532</v>
      </c>
      <c r="AE2055" t="s">
        <v>4817</v>
      </c>
      <c r="AF2055" t="str">
        <f>IF(X2055&lt;$AF$1,"Bajo","Alto")</f>
        <v>Alto</v>
      </c>
      <c r="AG2055" t="str">
        <f>LEFT(AE2055,1)</f>
        <v>C</v>
      </c>
      <c r="AH2055" t="str">
        <f>K2055</f>
        <v>M</v>
      </c>
      <c r="AI2055" t="str">
        <f>LEFT(AF2055,1)</f>
        <v>A</v>
      </c>
      <c r="AJ2055" t="str">
        <f>LEFT(M2055,1)</f>
        <v>J</v>
      </c>
      <c r="AK2055" t="str">
        <f>_xlfn.CONCAT(AG2055,AH2055,AI2055,AJ2055)</f>
        <v>CMAJ</v>
      </c>
    </row>
    <row r="2056" spans="1:37" ht="15.75" hidden="1" customHeight="1" x14ac:dyDescent="0.2">
      <c r="A2056" s="1">
        <v>1057005</v>
      </c>
      <c r="B2056" s="1" t="s">
        <v>694</v>
      </c>
      <c r="C2056" s="1" t="s">
        <v>879</v>
      </c>
      <c r="D2056" s="1" t="s">
        <v>1013</v>
      </c>
      <c r="E2056" s="1" t="s">
        <v>720</v>
      </c>
      <c r="F2056" s="1" t="s">
        <v>40</v>
      </c>
      <c r="G2056" s="1" t="s">
        <v>1014</v>
      </c>
      <c r="H2056" s="1">
        <v>5065</v>
      </c>
      <c r="I2056" s="1" t="s">
        <v>108</v>
      </c>
      <c r="J2056" s="1">
        <v>3</v>
      </c>
      <c r="K2056" s="1" t="s">
        <v>35</v>
      </c>
      <c r="L2056" s="1">
        <v>41</v>
      </c>
      <c r="M2056" s="1" t="str">
        <f>IF(L2056&lt;=45,"Joven","Mayor")</f>
        <v>Joven</v>
      </c>
      <c r="N2056" s="1">
        <v>52</v>
      </c>
      <c r="O2056" s="1" t="s">
        <v>36</v>
      </c>
      <c r="P2056" s="1">
        <v>0.42399999999999999</v>
      </c>
      <c r="Q2056" s="1">
        <v>92.707999999999998</v>
      </c>
      <c r="R2056" s="1">
        <v>3.1215537000000002</v>
      </c>
      <c r="S2056" s="1">
        <v>2.3984404000000001</v>
      </c>
      <c r="T2056" s="1">
        <v>-4.2822820000000004</v>
      </c>
      <c r="U2056" s="1">
        <v>23.716000000000001</v>
      </c>
      <c r="V2056" s="1">
        <v>89</v>
      </c>
      <c r="W2056" s="1">
        <v>154</v>
      </c>
      <c r="X2056" s="1">
        <v>1.7303370786516854</v>
      </c>
      <c r="Y2056" s="1">
        <v>94</v>
      </c>
      <c r="Z2056" s="1">
        <v>154</v>
      </c>
      <c r="AA2056" s="1">
        <v>1.6382978723404256</v>
      </c>
      <c r="AB2056" s="1">
        <v>92.335713315681232</v>
      </c>
      <c r="AC2056" s="1">
        <v>154.24210710595341</v>
      </c>
      <c r="AD2056" s="1">
        <v>1.6704490772559908</v>
      </c>
      <c r="AE2056" t="s">
        <v>4817</v>
      </c>
      <c r="AF2056" t="str">
        <f>IF(X2056&lt;$AF$1,"Bajo","Alto")</f>
        <v>Bajo</v>
      </c>
      <c r="AG2056" t="str">
        <f>LEFT(AE2056,1)</f>
        <v>C</v>
      </c>
      <c r="AH2056" t="str">
        <f>K2056</f>
        <v>M</v>
      </c>
      <c r="AI2056" t="str">
        <f>LEFT(AF2056,1)</f>
        <v>B</v>
      </c>
      <c r="AJ2056" t="str">
        <f>LEFT(M2056,1)</f>
        <v>J</v>
      </c>
      <c r="AK2056" t="str">
        <f>_xlfn.CONCAT(AG2056,AH2056,AI2056,AJ2056)</f>
        <v>CMBJ</v>
      </c>
    </row>
    <row r="2057" spans="1:37" ht="15.75" hidden="1" customHeight="1" x14ac:dyDescent="0.2">
      <c r="A2057" s="1">
        <v>284102</v>
      </c>
      <c r="B2057" s="1" t="s">
        <v>1775</v>
      </c>
      <c r="C2057" s="1" t="s">
        <v>561</v>
      </c>
      <c r="D2057" s="1" t="s">
        <v>3854</v>
      </c>
      <c r="E2057" s="1" t="s">
        <v>988</v>
      </c>
      <c r="F2057" s="1" t="s">
        <v>37</v>
      </c>
      <c r="G2057" s="1" t="s">
        <v>3856</v>
      </c>
      <c r="H2057" s="1">
        <v>17</v>
      </c>
      <c r="I2057" s="1" t="s">
        <v>294</v>
      </c>
      <c r="J2057" s="1">
        <v>16</v>
      </c>
      <c r="K2057" s="1" t="s">
        <v>35</v>
      </c>
      <c r="L2057" s="1">
        <v>47</v>
      </c>
      <c r="M2057" s="1" t="str">
        <f>IF(L2057&lt;=45,"Joven","Mayor")</f>
        <v>Mayor</v>
      </c>
      <c r="N2057" s="1">
        <v>49</v>
      </c>
      <c r="O2057" s="1" t="s">
        <v>36</v>
      </c>
      <c r="P2057" s="1">
        <v>0.93300000000000005</v>
      </c>
      <c r="Q2057" s="1">
        <v>93.304000000000002</v>
      </c>
      <c r="R2057" s="1">
        <v>-1.8566357</v>
      </c>
      <c r="S2057" s="1">
        <v>-3.0425545999999999</v>
      </c>
      <c r="T2057" s="1">
        <v>-1.2062135</v>
      </c>
      <c r="U2057" s="1">
        <v>5.0090000000000003</v>
      </c>
      <c r="V2057" s="1">
        <v>71</v>
      </c>
      <c r="W2057" s="1">
        <v>129</v>
      </c>
      <c r="X2057" s="1">
        <v>1.8169014084507042</v>
      </c>
      <c r="Y2057" s="1">
        <v>73</v>
      </c>
      <c r="Z2057" s="1">
        <v>129</v>
      </c>
      <c r="AA2057" s="1">
        <v>1.7671232876712328</v>
      </c>
      <c r="AB2057" s="1">
        <v>72.247044202249072</v>
      </c>
      <c r="AC2057" s="1">
        <v>128.97141443508281</v>
      </c>
      <c r="AD2057" s="1">
        <v>1.7851445115739129</v>
      </c>
      <c r="AE2057" t="s">
        <v>4817</v>
      </c>
      <c r="AF2057" t="str">
        <f>IF(X2057&lt;$AF$1,"Bajo","Alto")</f>
        <v>Alto</v>
      </c>
      <c r="AG2057" t="str">
        <f>LEFT(AE2057,1)</f>
        <v>C</v>
      </c>
      <c r="AH2057" t="str">
        <f>K2057</f>
        <v>M</v>
      </c>
      <c r="AI2057" t="str">
        <f>LEFT(AF2057,1)</f>
        <v>A</v>
      </c>
      <c r="AJ2057" t="str">
        <f>LEFT(M2057,1)</f>
        <v>M</v>
      </c>
      <c r="AK2057" t="str">
        <f>_xlfn.CONCAT(AG2057,AH2057,AI2057,AJ2057)</f>
        <v>CMAM</v>
      </c>
    </row>
    <row r="2058" spans="1:37" ht="15.75" hidden="1" customHeight="1" x14ac:dyDescent="0.2">
      <c r="A2058" s="1">
        <v>2716604</v>
      </c>
      <c r="B2058" s="1" t="s">
        <v>3409</v>
      </c>
      <c r="C2058" s="1" t="s">
        <v>973</v>
      </c>
      <c r="D2058" s="1" t="s">
        <v>3538</v>
      </c>
      <c r="E2058" s="1" t="s">
        <v>265</v>
      </c>
      <c r="F2058" s="1" t="s">
        <v>61</v>
      </c>
      <c r="G2058" s="1" t="s">
        <v>3539</v>
      </c>
      <c r="H2058" s="1">
        <v>173</v>
      </c>
      <c r="I2058" s="1" t="s">
        <v>42</v>
      </c>
      <c r="J2058" s="1">
        <v>15</v>
      </c>
      <c r="K2058" s="1" t="s">
        <v>35</v>
      </c>
      <c r="L2058" s="1">
        <v>53</v>
      </c>
      <c r="M2058" s="1" t="str">
        <f>IF(L2058&lt;=45,"Joven","Mayor")</f>
        <v>Mayor</v>
      </c>
      <c r="N2058" s="1">
        <v>58</v>
      </c>
      <c r="O2058" s="1" t="s">
        <v>36</v>
      </c>
      <c r="P2058" s="1">
        <v>2.5089999999999999</v>
      </c>
      <c r="Q2058" s="1">
        <v>92.186999999999998</v>
      </c>
      <c r="R2058" s="1">
        <v>-2.9047900000000002</v>
      </c>
      <c r="S2058" s="1">
        <v>2.7238313999999999</v>
      </c>
      <c r="T2058" s="1">
        <v>-0.18030620999999999</v>
      </c>
      <c r="U2058" s="1">
        <v>0.80200000000000005</v>
      </c>
      <c r="V2058" s="1">
        <v>97</v>
      </c>
      <c r="W2058" s="1">
        <v>167</v>
      </c>
      <c r="X2058" s="1">
        <v>1.7216494845360826</v>
      </c>
      <c r="Y2058" s="1">
        <v>98</v>
      </c>
      <c r="Z2058" s="1">
        <v>167</v>
      </c>
      <c r="AA2058" s="1">
        <v>1.7040816326530612</v>
      </c>
      <c r="AB2058" s="1">
        <v>98.131685879931638</v>
      </c>
      <c r="AC2058" s="1">
        <v>167.00546694609059</v>
      </c>
      <c r="AD2058" s="1">
        <v>1.7018505842285132</v>
      </c>
      <c r="AE2058" t="s">
        <v>4817</v>
      </c>
      <c r="AF2058" t="str">
        <f>IF(X2058&lt;$AF$1,"Bajo","Alto")</f>
        <v>Bajo</v>
      </c>
      <c r="AG2058" t="str">
        <f>LEFT(AE2058,1)</f>
        <v>C</v>
      </c>
      <c r="AH2058" t="str">
        <f>K2058</f>
        <v>M</v>
      </c>
      <c r="AI2058" t="str">
        <f>LEFT(AF2058,1)</f>
        <v>B</v>
      </c>
      <c r="AJ2058" t="str">
        <f>LEFT(M2058,1)</f>
        <v>M</v>
      </c>
      <c r="AK2058" t="str">
        <f>_xlfn.CONCAT(AG2058,AH2058,AI2058,AJ2058)</f>
        <v>CMBM</v>
      </c>
    </row>
    <row r="2059" spans="1:37" ht="15.75" hidden="1" customHeight="1" x14ac:dyDescent="0.2">
      <c r="A2059" s="1">
        <v>1230006</v>
      </c>
      <c r="B2059" s="1" t="s">
        <v>1798</v>
      </c>
      <c r="C2059" s="1" t="s">
        <v>54</v>
      </c>
      <c r="D2059" s="1" t="s">
        <v>1827</v>
      </c>
      <c r="E2059" s="1" t="s">
        <v>613</v>
      </c>
      <c r="F2059" s="1" t="s">
        <v>88</v>
      </c>
      <c r="G2059" s="1" t="s">
        <v>1830</v>
      </c>
      <c r="H2059" s="1">
        <v>535</v>
      </c>
      <c r="I2059" s="1" t="s">
        <v>108</v>
      </c>
      <c r="J2059" s="1">
        <v>3</v>
      </c>
      <c r="K2059" s="1" t="s">
        <v>35</v>
      </c>
      <c r="L2059" s="1">
        <v>41</v>
      </c>
      <c r="M2059" s="1" t="str">
        <f>IF(L2059&lt;=45,"Joven","Mayor")</f>
        <v>Joven</v>
      </c>
      <c r="N2059" s="1">
        <v>45</v>
      </c>
      <c r="O2059" s="1" t="s">
        <v>36</v>
      </c>
      <c r="P2059" s="1">
        <v>1.179</v>
      </c>
      <c r="Q2059" s="1">
        <v>92.861000000000004</v>
      </c>
      <c r="R2059" s="1">
        <v>2.5081777999999999</v>
      </c>
      <c r="S2059" s="1">
        <v>2.7870898</v>
      </c>
      <c r="T2059" s="1">
        <v>-5.6923594</v>
      </c>
      <c r="U2059" s="1">
        <v>52.18</v>
      </c>
      <c r="V2059" s="1">
        <v>83</v>
      </c>
      <c r="W2059" s="1">
        <v>151</v>
      </c>
      <c r="X2059" s="1">
        <v>1.8192771084337349</v>
      </c>
      <c r="Y2059" s="1">
        <v>86</v>
      </c>
      <c r="Z2059" s="1">
        <v>151</v>
      </c>
      <c r="AA2059" s="1">
        <v>1.7558139534883721</v>
      </c>
      <c r="AB2059" s="1">
        <v>86.459006007358312</v>
      </c>
      <c r="AC2059" s="1">
        <v>150.65213788848951</v>
      </c>
      <c r="AD2059" s="1">
        <v>1.7424690017332363</v>
      </c>
      <c r="AE2059" t="s">
        <v>4817</v>
      </c>
      <c r="AF2059" t="str">
        <f>IF(X2059&lt;$AF$1,"Bajo","Alto")</f>
        <v>Alto</v>
      </c>
      <c r="AG2059" t="str">
        <f>LEFT(AE2059,1)</f>
        <v>C</v>
      </c>
      <c r="AH2059" t="str">
        <f>K2059</f>
        <v>M</v>
      </c>
      <c r="AI2059" t="str">
        <f>LEFT(AF2059,1)</f>
        <v>A</v>
      </c>
      <c r="AJ2059" t="str">
        <f>LEFT(M2059,1)</f>
        <v>J</v>
      </c>
      <c r="AK2059" t="str">
        <f>_xlfn.CONCAT(AG2059,AH2059,AI2059,AJ2059)</f>
        <v>CMAJ</v>
      </c>
    </row>
    <row r="2060" spans="1:37" ht="15.75" hidden="1" customHeight="1" x14ac:dyDescent="0.2">
      <c r="A2060" s="1">
        <v>1070107</v>
      </c>
      <c r="B2060" s="1" t="s">
        <v>1067</v>
      </c>
      <c r="C2060" s="1" t="s">
        <v>1068</v>
      </c>
      <c r="D2060" s="1" t="s">
        <v>1069</v>
      </c>
      <c r="E2060" s="1" t="s">
        <v>32</v>
      </c>
      <c r="F2060" s="1" t="s">
        <v>43</v>
      </c>
      <c r="G2060" s="1" t="s">
        <v>1074</v>
      </c>
      <c r="H2060" s="1">
        <v>6965</v>
      </c>
      <c r="I2060" s="1" t="s">
        <v>1075</v>
      </c>
      <c r="J2060" s="1">
        <v>3211</v>
      </c>
      <c r="K2060" s="1" t="s">
        <v>35</v>
      </c>
      <c r="L2060" s="1">
        <v>52</v>
      </c>
      <c r="M2060" s="1" t="str">
        <f>IF(L2060&lt;=45,"Joven","Mayor")</f>
        <v>Mayor</v>
      </c>
      <c r="N2060" s="1">
        <v>69</v>
      </c>
      <c r="O2060" s="1" t="s">
        <v>36</v>
      </c>
      <c r="P2060" s="1">
        <v>0.254</v>
      </c>
      <c r="Q2060" s="1">
        <v>89.742000000000004</v>
      </c>
      <c r="R2060" s="1">
        <v>-5.7592572999999998</v>
      </c>
      <c r="S2060" s="1">
        <v>3.4564802999999999</v>
      </c>
      <c r="T2060" s="1">
        <v>9.2311010000000007</v>
      </c>
      <c r="U2060" s="1">
        <v>13.4</v>
      </c>
      <c r="V2060" s="1">
        <v>60</v>
      </c>
      <c r="W2060" s="1">
        <v>109</v>
      </c>
      <c r="X2060" s="1">
        <v>1.8166666666666667</v>
      </c>
      <c r="Y2060" s="1">
        <v>67</v>
      </c>
      <c r="Z2060" s="1">
        <v>109</v>
      </c>
      <c r="AA2060" s="1">
        <v>1.6268656716417911</v>
      </c>
      <c r="AB2060" s="1">
        <v>64.837554897665768</v>
      </c>
      <c r="AC2060" s="1">
        <v>109.35296434011801</v>
      </c>
      <c r="AD2060" s="1">
        <v>1.6865682938339004</v>
      </c>
      <c r="AE2060" t="s">
        <v>4817</v>
      </c>
      <c r="AF2060" t="str">
        <f>IF(X2060&lt;$AF$1,"Bajo","Alto")</f>
        <v>Alto</v>
      </c>
      <c r="AG2060" t="str">
        <f>LEFT(AE2060,1)</f>
        <v>C</v>
      </c>
      <c r="AH2060" t="str">
        <f>K2060</f>
        <v>M</v>
      </c>
      <c r="AI2060" t="str">
        <f>LEFT(AF2060,1)</f>
        <v>A</v>
      </c>
      <c r="AJ2060" t="str">
        <f>LEFT(M2060,1)</f>
        <v>M</v>
      </c>
      <c r="AK2060" t="str">
        <f>_xlfn.CONCAT(AG2060,AH2060,AI2060,AJ2060)</f>
        <v>CMAM</v>
      </c>
    </row>
    <row r="2061" spans="1:37" ht="15.75" hidden="1" customHeight="1" x14ac:dyDescent="0.2">
      <c r="A2061" s="1">
        <v>481103</v>
      </c>
      <c r="B2061" s="1" t="s">
        <v>4465</v>
      </c>
      <c r="C2061" s="1" t="s">
        <v>2650</v>
      </c>
      <c r="D2061" s="1" t="s">
        <v>4501</v>
      </c>
      <c r="E2061" s="1" t="s">
        <v>51</v>
      </c>
      <c r="F2061" s="1" t="s">
        <v>63</v>
      </c>
      <c r="G2061" s="1" t="s">
        <v>4504</v>
      </c>
      <c r="H2061" s="1">
        <v>14947</v>
      </c>
      <c r="I2061" s="1" t="s">
        <v>1035</v>
      </c>
      <c r="J2061" s="1">
        <v>3466</v>
      </c>
      <c r="K2061" s="1" t="s">
        <v>35</v>
      </c>
      <c r="L2061" s="1">
        <v>49</v>
      </c>
      <c r="M2061" s="1" t="str">
        <f>IF(L2061&lt;=45,"Joven","Mayor")</f>
        <v>Mayor</v>
      </c>
      <c r="N2061" s="1">
        <v>38</v>
      </c>
      <c r="O2061" s="1" t="s">
        <v>36</v>
      </c>
      <c r="P2061" s="1">
        <v>0.35399999999999998</v>
      </c>
      <c r="Q2061" s="1">
        <v>90.335999999999999</v>
      </c>
      <c r="R2061" s="1">
        <v>4.3194319999999999</v>
      </c>
      <c r="S2061" s="1">
        <v>6.2634496999999998</v>
      </c>
      <c r="T2061" s="1">
        <v>-4.8206085999999999</v>
      </c>
      <c r="U2061" s="1">
        <v>4.9059999999999997</v>
      </c>
      <c r="V2061" s="1">
        <v>108</v>
      </c>
      <c r="W2061" s="1">
        <v>186</v>
      </c>
      <c r="X2061" s="1">
        <v>1.7222222222222223</v>
      </c>
      <c r="Y2061" s="1">
        <v>108</v>
      </c>
      <c r="Z2061" s="1">
        <v>186</v>
      </c>
      <c r="AA2061" s="1">
        <v>1.7222222222222223</v>
      </c>
      <c r="AB2061" s="1">
        <v>111.9038207453366</v>
      </c>
      <c r="AC2061" s="1">
        <v>185.34206161959631</v>
      </c>
      <c r="AD2061" s="1">
        <v>1.656262139979882</v>
      </c>
      <c r="AE2061" t="s">
        <v>4817</v>
      </c>
      <c r="AF2061" t="str">
        <f>IF(X2061&lt;$AF$1,"Bajo","Alto")</f>
        <v>Bajo</v>
      </c>
      <c r="AG2061" t="str">
        <f>LEFT(AE2061,1)</f>
        <v>C</v>
      </c>
      <c r="AH2061" t="str">
        <f>K2061</f>
        <v>M</v>
      </c>
      <c r="AI2061" t="str">
        <f>LEFT(AF2061,1)</f>
        <v>B</v>
      </c>
      <c r="AJ2061" t="str">
        <f>LEFT(M2061,1)</f>
        <v>M</v>
      </c>
      <c r="AK2061" t="str">
        <f>_xlfn.CONCAT(AG2061,AH2061,AI2061,AJ2061)</f>
        <v>CMBM</v>
      </c>
    </row>
    <row r="2062" spans="1:37" ht="15.75" hidden="1" customHeight="1" x14ac:dyDescent="0.2">
      <c r="A2062" s="1">
        <v>10123806</v>
      </c>
      <c r="B2062" s="1" t="s">
        <v>29</v>
      </c>
      <c r="C2062" s="1" t="s">
        <v>30</v>
      </c>
      <c r="D2062" s="1" t="s">
        <v>477</v>
      </c>
      <c r="E2062" s="1" t="s">
        <v>478</v>
      </c>
      <c r="F2062" s="1" t="s">
        <v>88</v>
      </c>
      <c r="G2062" s="1" t="s">
        <v>483</v>
      </c>
      <c r="H2062" s="1">
        <v>3271</v>
      </c>
      <c r="I2062" s="1" t="s">
        <v>65</v>
      </c>
      <c r="J2062" s="1">
        <v>2</v>
      </c>
      <c r="K2062" s="1" t="s">
        <v>35</v>
      </c>
      <c r="L2062" s="1">
        <v>47</v>
      </c>
      <c r="M2062" s="1" t="str">
        <f>IF(L2062&lt;=45,"Joven","Mayor")</f>
        <v>Mayor</v>
      </c>
      <c r="N2062" s="1">
        <v>52</v>
      </c>
      <c r="O2062" s="1" t="s">
        <v>36</v>
      </c>
      <c r="P2062" s="1">
        <v>0.41299999999999998</v>
      </c>
      <c r="Q2062" s="1">
        <v>83.037999999999997</v>
      </c>
      <c r="R2062" s="1">
        <v>8.7198370000000001</v>
      </c>
      <c r="S2062" s="1">
        <v>5.7249765000000004</v>
      </c>
      <c r="T2062" s="1">
        <v>-7.6667985999999999</v>
      </c>
      <c r="U2062" s="1">
        <v>3.67</v>
      </c>
      <c r="V2062" s="1">
        <v>101</v>
      </c>
      <c r="W2062" s="1">
        <v>174</v>
      </c>
      <c r="X2062" s="1">
        <v>1.7227722772277227</v>
      </c>
      <c r="Y2062" s="1">
        <v>108</v>
      </c>
      <c r="Z2062" s="1">
        <v>174</v>
      </c>
      <c r="AA2062" s="1">
        <v>1.6111111111111112</v>
      </c>
      <c r="AB2062" s="1">
        <v>107.8350191794743</v>
      </c>
      <c r="AC2062" s="1">
        <v>174.3123242151978</v>
      </c>
      <c r="AD2062" s="1">
        <v>1.6164723254241051</v>
      </c>
      <c r="AE2062" t="s">
        <v>4817</v>
      </c>
      <c r="AF2062" t="str">
        <f>IF(X2062&lt;$AF$1,"Bajo","Alto")</f>
        <v>Bajo</v>
      </c>
      <c r="AG2062" t="str">
        <f>LEFT(AE2062,1)</f>
        <v>C</v>
      </c>
      <c r="AH2062" t="str">
        <f>K2062</f>
        <v>M</v>
      </c>
      <c r="AI2062" t="str">
        <f>LEFT(AF2062,1)</f>
        <v>B</v>
      </c>
      <c r="AJ2062" t="str">
        <f>LEFT(M2062,1)</f>
        <v>M</v>
      </c>
      <c r="AK2062" t="str">
        <f>_xlfn.CONCAT(AG2062,AH2062,AI2062,AJ2062)</f>
        <v>CMBM</v>
      </c>
    </row>
    <row r="2063" spans="1:37" ht="15.75" hidden="1" customHeight="1" x14ac:dyDescent="0.2">
      <c r="A2063" s="1">
        <v>10114804</v>
      </c>
      <c r="B2063" s="1" t="s">
        <v>29</v>
      </c>
      <c r="C2063" s="1" t="s">
        <v>30</v>
      </c>
      <c r="D2063" s="1" t="s">
        <v>200</v>
      </c>
      <c r="E2063" s="1" t="s">
        <v>201</v>
      </c>
      <c r="F2063" s="1" t="s">
        <v>61</v>
      </c>
      <c r="G2063" s="1" t="s">
        <v>203</v>
      </c>
      <c r="H2063" s="1">
        <v>251</v>
      </c>
      <c r="I2063" s="1" t="s">
        <v>48</v>
      </c>
      <c r="J2063" s="1">
        <v>4</v>
      </c>
      <c r="K2063" s="1" t="s">
        <v>35</v>
      </c>
      <c r="L2063" s="1">
        <v>35</v>
      </c>
      <c r="M2063" s="1" t="str">
        <f>IF(L2063&lt;=45,"Joven","Mayor")</f>
        <v>Joven</v>
      </c>
      <c r="N2063" s="1">
        <v>24</v>
      </c>
      <c r="O2063" s="1" t="s">
        <v>36</v>
      </c>
      <c r="P2063" s="1">
        <v>0.35499999999999998</v>
      </c>
      <c r="Q2063" s="1">
        <v>82.14</v>
      </c>
      <c r="R2063" s="1">
        <v>-9.5453969999999995</v>
      </c>
      <c r="S2063" s="1">
        <v>3.5573408999999998</v>
      </c>
      <c r="T2063" s="1">
        <v>7.7799654</v>
      </c>
      <c r="U2063" s="1">
        <v>78.004999999999995</v>
      </c>
      <c r="V2063" s="1">
        <v>93</v>
      </c>
      <c r="W2063" s="1">
        <v>161</v>
      </c>
      <c r="X2063" s="1">
        <v>1.7311827956989247</v>
      </c>
      <c r="Y2063" s="1">
        <v>94</v>
      </c>
      <c r="Z2063" s="1">
        <v>161</v>
      </c>
      <c r="AA2063" s="1">
        <v>1.7127659574468086</v>
      </c>
      <c r="AB2063" s="1">
        <v>98.100198607124639</v>
      </c>
      <c r="AC2063" s="1">
        <v>159.5180329202976</v>
      </c>
      <c r="AD2063" s="1">
        <v>1.6260724767657342</v>
      </c>
      <c r="AE2063" t="s">
        <v>4817</v>
      </c>
      <c r="AF2063" t="str">
        <f>IF(X2063&lt;$AF$1,"Bajo","Alto")</f>
        <v>Bajo</v>
      </c>
      <c r="AG2063" t="str">
        <f>LEFT(AE2063,1)</f>
        <v>C</v>
      </c>
      <c r="AH2063" t="str">
        <f>K2063</f>
        <v>M</v>
      </c>
      <c r="AI2063" t="str">
        <f>LEFT(AF2063,1)</f>
        <v>B</v>
      </c>
      <c r="AJ2063" t="str">
        <f>LEFT(M2063,1)</f>
        <v>J</v>
      </c>
      <c r="AK2063" t="str">
        <f>_xlfn.CONCAT(AG2063,AH2063,AI2063,AJ2063)</f>
        <v>CMBJ</v>
      </c>
    </row>
    <row r="2064" spans="1:37" ht="15.75" hidden="1" customHeight="1" x14ac:dyDescent="0.2">
      <c r="A2064" s="1">
        <v>10119204</v>
      </c>
      <c r="B2064" s="1" t="s">
        <v>29</v>
      </c>
      <c r="C2064" s="1" t="s">
        <v>30</v>
      </c>
      <c r="D2064" s="1" t="s">
        <v>335</v>
      </c>
      <c r="E2064" s="1" t="s">
        <v>336</v>
      </c>
      <c r="F2064" s="1" t="s">
        <v>61</v>
      </c>
      <c r="G2064" s="1" t="s">
        <v>338</v>
      </c>
      <c r="H2064" s="1">
        <v>11299</v>
      </c>
      <c r="I2064" s="1" t="s">
        <v>134</v>
      </c>
      <c r="J2064" s="1">
        <v>8</v>
      </c>
      <c r="K2064" s="1" t="s">
        <v>35</v>
      </c>
      <c r="L2064" s="1">
        <v>43</v>
      </c>
      <c r="M2064" s="1" t="str">
        <f>IF(L2064&lt;=45,"Joven","Mayor")</f>
        <v>Joven</v>
      </c>
      <c r="N2064" s="1">
        <v>31</v>
      </c>
      <c r="O2064" s="1" t="s">
        <v>36</v>
      </c>
      <c r="P2064" s="1">
        <v>0.36099999999999999</v>
      </c>
      <c r="Q2064" s="1">
        <v>92.611000000000004</v>
      </c>
      <c r="R2064" s="1">
        <v>1.3836545</v>
      </c>
      <c r="S2064" s="1">
        <v>6.8471200000000003</v>
      </c>
      <c r="T2064" s="1">
        <v>1.9448828</v>
      </c>
      <c r="U2064" s="1">
        <v>2.9729999999999999</v>
      </c>
      <c r="V2064" s="1">
        <v>105</v>
      </c>
      <c r="W2064" s="1">
        <v>191</v>
      </c>
      <c r="X2064" s="1">
        <v>1.819047619047619</v>
      </c>
      <c r="Y2064" s="1">
        <v>113</v>
      </c>
      <c r="Z2064" s="1">
        <v>191</v>
      </c>
      <c r="AA2064" s="1">
        <v>1.6902654867256637</v>
      </c>
      <c r="AB2064" s="1">
        <v>111.4755670176132</v>
      </c>
      <c r="AC2064" s="1">
        <v>191.12753861602499</v>
      </c>
      <c r="AD2064" s="1">
        <v>1.7145240318519908</v>
      </c>
      <c r="AE2064" t="s">
        <v>4817</v>
      </c>
      <c r="AF2064" t="str">
        <f>IF(X2064&lt;$AF$1,"Bajo","Alto")</f>
        <v>Alto</v>
      </c>
      <c r="AG2064" t="str">
        <f>LEFT(AE2064,1)</f>
        <v>C</v>
      </c>
      <c r="AH2064" t="str">
        <f>K2064</f>
        <v>M</v>
      </c>
      <c r="AI2064" t="str">
        <f>LEFT(AF2064,1)</f>
        <v>A</v>
      </c>
      <c r="AJ2064" t="str">
        <f>LEFT(M2064,1)</f>
        <v>J</v>
      </c>
      <c r="AK2064" t="str">
        <f>_xlfn.CONCAT(AG2064,AH2064,AI2064,AJ2064)</f>
        <v>CMAJ</v>
      </c>
    </row>
    <row r="2065" spans="1:37" ht="15.75" hidden="1" customHeight="1" x14ac:dyDescent="0.2">
      <c r="A2065" s="1">
        <v>173702</v>
      </c>
      <c r="B2065" s="1" t="s">
        <v>2551</v>
      </c>
      <c r="C2065" s="1" t="s">
        <v>2552</v>
      </c>
      <c r="D2065" s="1" t="s">
        <v>2632</v>
      </c>
      <c r="E2065" s="1" t="s">
        <v>647</v>
      </c>
      <c r="F2065" s="1" t="s">
        <v>37</v>
      </c>
      <c r="G2065" s="1" t="s">
        <v>2634</v>
      </c>
      <c r="H2065" s="1">
        <v>14</v>
      </c>
      <c r="I2065" s="1" t="s">
        <v>39</v>
      </c>
      <c r="J2065" s="1">
        <v>11</v>
      </c>
      <c r="K2065" s="1" t="s">
        <v>35</v>
      </c>
      <c r="L2065" s="1">
        <v>54</v>
      </c>
      <c r="M2065" s="1" t="str">
        <f>IF(L2065&lt;=45,"Joven","Mayor")</f>
        <v>Mayor</v>
      </c>
      <c r="N2065" s="1">
        <v>60</v>
      </c>
      <c r="O2065" s="1" t="s">
        <v>36</v>
      </c>
      <c r="P2065" s="1">
        <v>0.39900000000000002</v>
      </c>
      <c r="Q2065" s="1">
        <v>88.918999999999997</v>
      </c>
      <c r="R2065" s="1">
        <v>-5.2400035999999997</v>
      </c>
      <c r="S2065" s="1">
        <v>6.8394895</v>
      </c>
      <c r="T2065" s="1">
        <v>4.4413109999999998</v>
      </c>
      <c r="U2065" s="1">
        <v>3.5739999999999998</v>
      </c>
      <c r="V2065" s="1">
        <v>91</v>
      </c>
      <c r="W2065" s="1">
        <v>157</v>
      </c>
      <c r="X2065" s="1">
        <v>1.7252747252747254</v>
      </c>
      <c r="Y2065" s="1">
        <v>104</v>
      </c>
      <c r="Z2065" s="1">
        <v>157</v>
      </c>
      <c r="AA2065" s="1">
        <v>1.5096153846153846</v>
      </c>
      <c r="AB2065" s="1">
        <v>101.3645695934069</v>
      </c>
      <c r="AC2065" s="1">
        <v>157.99987691729351</v>
      </c>
      <c r="AD2065" s="1">
        <v>1.5587288295216157</v>
      </c>
      <c r="AE2065" t="s">
        <v>4816</v>
      </c>
      <c r="AF2065" t="str">
        <f>IF(X2065&lt;$AF$1,"Bajo","Alto")</f>
        <v>Bajo</v>
      </c>
      <c r="AG2065" t="str">
        <f>LEFT(AE2065,1)</f>
        <v>D</v>
      </c>
      <c r="AH2065" t="str">
        <f>K2065</f>
        <v>M</v>
      </c>
      <c r="AI2065" t="str">
        <f>LEFT(AF2065,1)</f>
        <v>B</v>
      </c>
      <c r="AJ2065" t="str">
        <f>LEFT(M2065,1)</f>
        <v>M</v>
      </c>
      <c r="AK2065" t="str">
        <f>_xlfn.CONCAT(AG2065,AH2065,AI2065,AJ2065)</f>
        <v>DMBM</v>
      </c>
    </row>
    <row r="2066" spans="1:37" ht="15.75" hidden="1" customHeight="1" x14ac:dyDescent="0.2">
      <c r="A2066" s="1">
        <v>524901</v>
      </c>
      <c r="B2066" s="1" t="s">
        <v>4529</v>
      </c>
      <c r="C2066" s="1" t="s">
        <v>685</v>
      </c>
      <c r="D2066" s="1" t="s">
        <v>4341</v>
      </c>
      <c r="E2066" s="1" t="s">
        <v>673</v>
      </c>
      <c r="F2066" s="1" t="s">
        <v>32</v>
      </c>
      <c r="G2066" s="1" t="s">
        <v>4641</v>
      </c>
      <c r="H2066" s="1">
        <v>3520</v>
      </c>
      <c r="I2066" s="1" t="s">
        <v>100</v>
      </c>
      <c r="J2066" s="1">
        <v>1</v>
      </c>
      <c r="K2066" s="1" t="s">
        <v>49</v>
      </c>
      <c r="L2066" s="1">
        <v>34</v>
      </c>
      <c r="M2066" s="1" t="str">
        <f>IF(L2066&lt;=45,"Joven","Mayor")</f>
        <v>Joven</v>
      </c>
      <c r="N2066" s="1">
        <v>37</v>
      </c>
      <c r="O2066" s="1" t="s">
        <v>50</v>
      </c>
      <c r="P2066" s="1">
        <v>0.73299999999999998</v>
      </c>
      <c r="Q2066" s="1">
        <v>91.340999999999994</v>
      </c>
      <c r="R2066" s="1">
        <v>-3.063682</v>
      </c>
      <c r="S2066" s="1">
        <v>6.5295534000000002</v>
      </c>
      <c r="T2066" s="1">
        <v>-0.26204319999999998</v>
      </c>
      <c r="U2066" s="1">
        <v>3.2410000000000001</v>
      </c>
      <c r="V2066" s="1">
        <v>103</v>
      </c>
      <c r="W2066" s="1">
        <v>179</v>
      </c>
      <c r="X2066" s="1">
        <v>1.7378640776699028</v>
      </c>
      <c r="Y2066" s="1">
        <v>104</v>
      </c>
      <c r="Z2066" s="1">
        <v>179</v>
      </c>
      <c r="AA2066" s="1">
        <v>1.7211538461538463</v>
      </c>
      <c r="AB2066" s="1">
        <v>103.8022517859015</v>
      </c>
      <c r="AC2066" s="1">
        <v>178.98898092554691</v>
      </c>
      <c r="AD2066" s="1">
        <v>1.7243265713996516</v>
      </c>
      <c r="AE2066" t="s">
        <v>4817</v>
      </c>
      <c r="AF2066" t="str">
        <f>IF(X2066&lt;$AF$1,"Bajo","Alto")</f>
        <v>Bajo</v>
      </c>
      <c r="AG2066" t="str">
        <f>LEFT(AE2066,1)</f>
        <v>C</v>
      </c>
      <c r="AH2066" t="str">
        <f>K2066</f>
        <v>F</v>
      </c>
      <c r="AI2066" t="str">
        <f>LEFT(AF2066,1)</f>
        <v>B</v>
      </c>
      <c r="AJ2066" t="str">
        <f>LEFT(M2066,1)</f>
        <v>J</v>
      </c>
      <c r="AK2066" t="str">
        <f>_xlfn.CONCAT(AG2066,AH2066,AI2066,AJ2066)</f>
        <v>CFBJ</v>
      </c>
    </row>
    <row r="2067" spans="1:37" ht="15.75" hidden="1" customHeight="1" x14ac:dyDescent="0.2">
      <c r="A2067" s="1">
        <v>2716607</v>
      </c>
      <c r="B2067" s="1" t="s">
        <v>3409</v>
      </c>
      <c r="C2067" s="1" t="s">
        <v>973</v>
      </c>
      <c r="D2067" s="1" t="s">
        <v>3538</v>
      </c>
      <c r="E2067" s="1" t="s">
        <v>265</v>
      </c>
      <c r="F2067" s="1" t="s">
        <v>43</v>
      </c>
      <c r="G2067" s="1" t="s">
        <v>3542</v>
      </c>
      <c r="H2067" s="1">
        <v>3394</v>
      </c>
      <c r="I2067" s="1" t="s">
        <v>1620</v>
      </c>
      <c r="J2067" s="1">
        <v>4114</v>
      </c>
      <c r="K2067" s="1" t="s">
        <v>35</v>
      </c>
      <c r="L2067" s="1">
        <v>57</v>
      </c>
      <c r="M2067" s="1" t="str">
        <f>IF(L2067&lt;=45,"Joven","Mayor")</f>
        <v>Mayor</v>
      </c>
      <c r="N2067" s="1">
        <v>75</v>
      </c>
      <c r="O2067" s="1" t="s">
        <v>36</v>
      </c>
      <c r="P2067" s="1">
        <v>0.35599999999999998</v>
      </c>
      <c r="Q2067" s="1">
        <v>93.384</v>
      </c>
      <c r="R2067" s="1">
        <v>1.7763435000000001</v>
      </c>
      <c r="S2067" s="1">
        <v>3.5324922000000001</v>
      </c>
      <c r="T2067" s="1">
        <v>2.4038010000000001</v>
      </c>
      <c r="U2067" s="1">
        <v>0.48</v>
      </c>
      <c r="V2067" s="1">
        <v>83</v>
      </c>
      <c r="W2067" s="1">
        <v>143</v>
      </c>
      <c r="X2067" s="1">
        <v>1.7228915662650603</v>
      </c>
      <c r="Y2067" s="1">
        <v>84</v>
      </c>
      <c r="Z2067" s="1">
        <v>143</v>
      </c>
      <c r="AA2067" s="1">
        <v>1.7023809523809523</v>
      </c>
      <c r="AB2067" s="1">
        <v>84.352989943239891</v>
      </c>
      <c r="AC2067" s="1">
        <v>142.83222519612809</v>
      </c>
      <c r="AD2067" s="1">
        <v>1.6932680784906162</v>
      </c>
      <c r="AE2067" t="s">
        <v>4817</v>
      </c>
      <c r="AF2067" t="str">
        <f>IF(X2067&lt;$AF$1,"Bajo","Alto")</f>
        <v>Bajo</v>
      </c>
      <c r="AG2067" t="str">
        <f>LEFT(AE2067,1)</f>
        <v>C</v>
      </c>
      <c r="AH2067" t="str">
        <f>K2067</f>
        <v>M</v>
      </c>
      <c r="AI2067" t="str">
        <f>LEFT(AF2067,1)</f>
        <v>B</v>
      </c>
      <c r="AJ2067" t="str">
        <f>LEFT(M2067,1)</f>
        <v>M</v>
      </c>
      <c r="AK2067" t="str">
        <f>_xlfn.CONCAT(AG2067,AH2067,AI2067,AJ2067)</f>
        <v>CMBM</v>
      </c>
    </row>
    <row r="2068" spans="1:37" ht="15.75" hidden="1" customHeight="1" x14ac:dyDescent="0.2">
      <c r="A2068" s="1">
        <v>1017005</v>
      </c>
      <c r="B2068" s="1" t="s">
        <v>29</v>
      </c>
      <c r="C2068" s="1" t="s">
        <v>30</v>
      </c>
      <c r="D2068" s="1" t="s">
        <v>719</v>
      </c>
      <c r="E2068" s="1" t="s">
        <v>720</v>
      </c>
      <c r="F2068" s="1" t="s">
        <v>40</v>
      </c>
      <c r="G2068" s="1" t="s">
        <v>724</v>
      </c>
      <c r="H2068" s="1">
        <v>4025</v>
      </c>
      <c r="I2068" s="1" t="s">
        <v>48</v>
      </c>
      <c r="J2068" s="1">
        <v>4</v>
      </c>
      <c r="K2068" s="1" t="s">
        <v>35</v>
      </c>
      <c r="L2068" s="1">
        <v>33</v>
      </c>
      <c r="M2068" s="1" t="str">
        <f>IF(L2068&lt;=45,"Joven","Mayor")</f>
        <v>Joven</v>
      </c>
      <c r="N2068" s="1">
        <v>36</v>
      </c>
      <c r="O2068" s="1" t="s">
        <v>36</v>
      </c>
      <c r="P2068" s="1">
        <v>0.32500000000000001</v>
      </c>
      <c r="Q2068" s="1">
        <v>89.968000000000004</v>
      </c>
      <c r="R2068" s="1">
        <v>3.9586315000000001</v>
      </c>
      <c r="S2068" s="1">
        <v>7.8648730000000002</v>
      </c>
      <c r="T2068" s="1">
        <v>-2.6108205</v>
      </c>
      <c r="U2068" s="1">
        <v>11.664</v>
      </c>
      <c r="V2068" s="1">
        <v>108</v>
      </c>
      <c r="W2068" s="1">
        <v>187</v>
      </c>
      <c r="X2068" s="1">
        <v>1.7314814814814814</v>
      </c>
      <c r="Y2068" s="1">
        <v>110</v>
      </c>
      <c r="Z2068" s="1">
        <v>187</v>
      </c>
      <c r="AA2068" s="1">
        <v>1.7</v>
      </c>
      <c r="AB2068" s="1">
        <v>111.89009078805771</v>
      </c>
      <c r="AC2068" s="1">
        <v>186.62368461444569</v>
      </c>
      <c r="AD2068" s="1">
        <v>1.6679196817164839</v>
      </c>
      <c r="AE2068" t="s">
        <v>4817</v>
      </c>
      <c r="AF2068" t="str">
        <f>IF(X2068&lt;$AF$1,"Bajo","Alto")</f>
        <v>Bajo</v>
      </c>
      <c r="AG2068" t="str">
        <f>LEFT(AE2068,1)</f>
        <v>C</v>
      </c>
      <c r="AH2068" t="str">
        <f>K2068</f>
        <v>M</v>
      </c>
      <c r="AI2068" t="str">
        <f>LEFT(AF2068,1)</f>
        <v>B</v>
      </c>
      <c r="AJ2068" t="str">
        <f>LEFT(M2068,1)</f>
        <v>J</v>
      </c>
      <c r="AK2068" t="str">
        <f>_xlfn.CONCAT(AG2068,AH2068,AI2068,AJ2068)</f>
        <v>CMBJ</v>
      </c>
    </row>
    <row r="2069" spans="1:37" ht="15.75" hidden="1" customHeight="1" x14ac:dyDescent="0.2">
      <c r="A2069" s="1">
        <v>1078203</v>
      </c>
      <c r="B2069" s="1" t="s">
        <v>1067</v>
      </c>
      <c r="C2069" s="1" t="s">
        <v>1068</v>
      </c>
      <c r="D2069" s="1" t="s">
        <v>1502</v>
      </c>
      <c r="E2069" s="1" t="s">
        <v>752</v>
      </c>
      <c r="F2069" s="1" t="s">
        <v>63</v>
      </c>
      <c r="G2069" s="1" t="s">
        <v>1504</v>
      </c>
      <c r="H2069" s="1">
        <v>854</v>
      </c>
      <c r="I2069" s="1" t="s">
        <v>1505</v>
      </c>
      <c r="J2069" s="1">
        <v>2612</v>
      </c>
      <c r="K2069" s="1" t="s">
        <v>35</v>
      </c>
      <c r="L2069" s="1">
        <v>51</v>
      </c>
      <c r="M2069" s="1" t="str">
        <f>IF(L2069&lt;=45,"Joven","Mayor")</f>
        <v>Mayor</v>
      </c>
      <c r="N2069" s="1">
        <v>60</v>
      </c>
      <c r="O2069" s="1" t="s">
        <v>36</v>
      </c>
      <c r="P2069" s="1">
        <v>4.1000000000000002E-2</v>
      </c>
      <c r="Q2069" s="1">
        <v>93.03</v>
      </c>
      <c r="R2069" s="1">
        <v>2.7608674</v>
      </c>
      <c r="S2069" s="1">
        <v>2.616987</v>
      </c>
      <c r="T2069" s="1">
        <v>0.62202239999999998</v>
      </c>
      <c r="U2069" s="1">
        <v>1.014</v>
      </c>
      <c r="V2069" s="1">
        <v>87</v>
      </c>
      <c r="W2069" s="1">
        <v>150</v>
      </c>
      <c r="X2069" s="1">
        <v>1.7241379310344827</v>
      </c>
      <c r="Y2069" s="1">
        <v>89</v>
      </c>
      <c r="Z2069" s="1">
        <v>150</v>
      </c>
      <c r="AA2069" s="1">
        <v>1.6853932584269662</v>
      </c>
      <c r="AB2069" s="1">
        <v>88.571366377059576</v>
      </c>
      <c r="AC2069" s="1">
        <v>149.9803044540954</v>
      </c>
      <c r="AD2069" s="1">
        <v>1.6933272070751417</v>
      </c>
      <c r="AE2069" t="s">
        <v>4817</v>
      </c>
      <c r="AF2069" t="str">
        <f>IF(X2069&lt;$AF$1,"Bajo","Alto")</f>
        <v>Bajo</v>
      </c>
      <c r="AG2069" t="str">
        <f>LEFT(AE2069,1)</f>
        <v>C</v>
      </c>
      <c r="AH2069" t="str">
        <f>K2069</f>
        <v>M</v>
      </c>
      <c r="AI2069" t="str">
        <f>LEFT(AF2069,1)</f>
        <v>B</v>
      </c>
      <c r="AJ2069" t="str">
        <f>LEFT(M2069,1)</f>
        <v>M</v>
      </c>
      <c r="AK2069" t="str">
        <f>_xlfn.CONCAT(AG2069,AH2069,AI2069,AJ2069)</f>
        <v>CMBM</v>
      </c>
    </row>
    <row r="2070" spans="1:37" ht="15.75" hidden="1" customHeight="1" x14ac:dyDescent="0.2">
      <c r="A2070" s="1">
        <v>1051007</v>
      </c>
      <c r="B2070" s="1" t="s">
        <v>694</v>
      </c>
      <c r="C2070" s="1" t="s">
        <v>879</v>
      </c>
      <c r="D2070" s="1" t="s">
        <v>903</v>
      </c>
      <c r="E2070" s="1" t="s">
        <v>75</v>
      </c>
      <c r="F2070" s="1" t="s">
        <v>43</v>
      </c>
      <c r="G2070" s="1" t="s">
        <v>909</v>
      </c>
      <c r="H2070" s="1">
        <v>49</v>
      </c>
      <c r="I2070" s="1" t="s">
        <v>93</v>
      </c>
      <c r="J2070" s="1">
        <v>9</v>
      </c>
      <c r="K2070" s="1" t="s">
        <v>35</v>
      </c>
      <c r="L2070" s="1">
        <v>41</v>
      </c>
      <c r="M2070" s="1" t="str">
        <f>IF(L2070&lt;=45,"Joven","Mayor")</f>
        <v>Joven</v>
      </c>
      <c r="N2070" s="1">
        <v>48</v>
      </c>
      <c r="O2070" s="1" t="s">
        <v>36</v>
      </c>
      <c r="P2070" s="1">
        <v>3.3420000000000001</v>
      </c>
      <c r="Q2070" s="1">
        <v>82.808000000000007</v>
      </c>
      <c r="R2070" s="1">
        <v>8.4222219999999997</v>
      </c>
      <c r="S2070" s="1">
        <v>4.6791460000000002</v>
      </c>
      <c r="T2070" s="1">
        <v>-4.7670097</v>
      </c>
      <c r="U2070" s="1">
        <v>1.5489999999999999</v>
      </c>
      <c r="V2070" s="1">
        <v>95</v>
      </c>
      <c r="W2070" s="1">
        <v>165</v>
      </c>
      <c r="X2070" s="1">
        <v>1.736842105263158</v>
      </c>
      <c r="Y2070" s="1">
        <v>96</v>
      </c>
      <c r="Z2070" s="1">
        <v>165</v>
      </c>
      <c r="AA2070" s="1">
        <v>1.71875</v>
      </c>
      <c r="AB2070" s="1">
        <v>98.244857671919135</v>
      </c>
      <c r="AC2070" s="1">
        <v>164.51234841356651</v>
      </c>
      <c r="AD2070" s="1">
        <v>1.6745135807814224</v>
      </c>
      <c r="AE2070" t="s">
        <v>4815</v>
      </c>
      <c r="AF2070" t="str">
        <f>IF(X2070&lt;$AF$1,"Bajo","Alto")</f>
        <v>Bajo</v>
      </c>
      <c r="AG2070" t="str">
        <f>LEFT(AE2070,1)</f>
        <v>I</v>
      </c>
      <c r="AH2070" t="str">
        <f>K2070</f>
        <v>M</v>
      </c>
      <c r="AI2070" t="str">
        <f>LEFT(AF2070,1)</f>
        <v>B</v>
      </c>
      <c r="AJ2070" t="str">
        <f>LEFT(M2070,1)</f>
        <v>J</v>
      </c>
      <c r="AK2070" t="str">
        <f>_xlfn.CONCAT(AG2070,AH2070,AI2070,AJ2070)</f>
        <v>IMBJ</v>
      </c>
    </row>
    <row r="2071" spans="1:37" ht="15.75" hidden="1" customHeight="1" x14ac:dyDescent="0.2">
      <c r="A2071" s="1">
        <v>1013105</v>
      </c>
      <c r="B2071" s="1" t="s">
        <v>29</v>
      </c>
      <c r="C2071" s="1" t="s">
        <v>30</v>
      </c>
      <c r="D2071" s="1" t="s">
        <v>627</v>
      </c>
      <c r="E2071" s="1" t="s">
        <v>628</v>
      </c>
      <c r="F2071" s="1" t="s">
        <v>40</v>
      </c>
      <c r="G2071" s="1" t="s">
        <v>631</v>
      </c>
      <c r="H2071" s="1">
        <v>1512</v>
      </c>
      <c r="I2071" s="1" t="s">
        <v>48</v>
      </c>
      <c r="J2071" s="1">
        <v>4</v>
      </c>
      <c r="K2071" s="1" t="s">
        <v>35</v>
      </c>
      <c r="L2071" s="1">
        <v>45</v>
      </c>
      <c r="M2071" s="1" t="str">
        <f>IF(L2071&lt;=45,"Joven","Mayor")</f>
        <v>Joven</v>
      </c>
      <c r="N2071" s="1">
        <v>47</v>
      </c>
      <c r="O2071" s="1" t="s">
        <v>36</v>
      </c>
      <c r="P2071" s="1">
        <v>0.34799999999999998</v>
      </c>
      <c r="Q2071" s="1">
        <v>90.811000000000007</v>
      </c>
      <c r="R2071" s="1">
        <v>2.9846149999999998</v>
      </c>
      <c r="S2071" s="1">
        <v>8.1213280000000001</v>
      </c>
      <c r="T2071" s="1">
        <v>-4.2905769999999999</v>
      </c>
      <c r="U2071" s="1">
        <v>7.0490000000000004</v>
      </c>
      <c r="V2071" s="1">
        <v>88</v>
      </c>
      <c r="W2071" s="1">
        <v>160</v>
      </c>
      <c r="X2071" s="1">
        <v>1.8181818181818181</v>
      </c>
      <c r="Y2071" s="1">
        <v>96</v>
      </c>
      <c r="Z2071" s="1">
        <v>160</v>
      </c>
      <c r="AA2071" s="1">
        <v>1.6666666666666667</v>
      </c>
      <c r="AB2071" s="1">
        <v>93.262069346546468</v>
      </c>
      <c r="AC2071" s="1">
        <v>160.37455418514401</v>
      </c>
      <c r="AD2071" s="1">
        <v>1.7196117918981468</v>
      </c>
      <c r="AE2071" t="s">
        <v>4817</v>
      </c>
      <c r="AF2071" t="str">
        <f>IF(X2071&lt;$AF$1,"Bajo","Alto")</f>
        <v>Alto</v>
      </c>
      <c r="AG2071" t="str">
        <f>LEFT(AE2071,1)</f>
        <v>C</v>
      </c>
      <c r="AH2071" t="str">
        <f>K2071</f>
        <v>M</v>
      </c>
      <c r="AI2071" t="str">
        <f>LEFT(AF2071,1)</f>
        <v>A</v>
      </c>
      <c r="AJ2071" t="str">
        <f>LEFT(M2071,1)</f>
        <v>J</v>
      </c>
      <c r="AK2071" t="str">
        <f>_xlfn.CONCAT(AG2071,AH2071,AI2071,AJ2071)</f>
        <v>CMAJ</v>
      </c>
    </row>
    <row r="2072" spans="1:37" ht="15.75" hidden="1" customHeight="1" x14ac:dyDescent="0.2">
      <c r="A2072" s="1">
        <v>1013701</v>
      </c>
      <c r="B2072" s="1" t="s">
        <v>29</v>
      </c>
      <c r="C2072" s="1" t="s">
        <v>30</v>
      </c>
      <c r="D2072" s="1" t="s">
        <v>646</v>
      </c>
      <c r="E2072" s="1" t="s">
        <v>647</v>
      </c>
      <c r="F2072" s="1" t="s">
        <v>32</v>
      </c>
      <c r="G2072" s="1" t="s">
        <v>648</v>
      </c>
      <c r="H2072" s="1">
        <v>418</v>
      </c>
      <c r="I2072" s="1" t="s">
        <v>45</v>
      </c>
      <c r="J2072" s="1">
        <v>17</v>
      </c>
      <c r="K2072" s="1" t="s">
        <v>35</v>
      </c>
      <c r="L2072" s="1">
        <v>41</v>
      </c>
      <c r="M2072" s="1" t="str">
        <f>IF(L2072&lt;=45,"Joven","Mayor")</f>
        <v>Joven</v>
      </c>
      <c r="N2072" s="1">
        <v>50</v>
      </c>
      <c r="O2072" s="1" t="s">
        <v>36</v>
      </c>
      <c r="P2072" s="1">
        <v>0.41799999999999998</v>
      </c>
      <c r="Q2072" s="1">
        <v>90.543999999999997</v>
      </c>
      <c r="R2072" s="1">
        <v>4.3553800000000003</v>
      </c>
      <c r="S2072" s="1">
        <v>5.6308740000000004</v>
      </c>
      <c r="T2072" s="1">
        <v>-5.2071769999999997</v>
      </c>
      <c r="U2072" s="1">
        <v>10.423</v>
      </c>
      <c r="V2072" s="1">
        <v>66</v>
      </c>
      <c r="W2072" s="1">
        <v>120</v>
      </c>
      <c r="X2072" s="1">
        <v>1.8181818181818181</v>
      </c>
      <c r="Y2072" s="1">
        <v>69</v>
      </c>
      <c r="Z2072" s="1">
        <v>120</v>
      </c>
      <c r="AA2072" s="1">
        <v>1.7391304347826086</v>
      </c>
      <c r="AB2072" s="1">
        <v>68.994884249853158</v>
      </c>
      <c r="AC2072" s="1">
        <v>120.0493085125386</v>
      </c>
      <c r="AD2072" s="1">
        <v>1.7399740548560179</v>
      </c>
      <c r="AE2072" t="s">
        <v>4817</v>
      </c>
      <c r="AF2072" t="str">
        <f>IF(X2072&lt;$AF$1,"Bajo","Alto")</f>
        <v>Alto</v>
      </c>
      <c r="AG2072" t="str">
        <f>LEFT(AE2072,1)</f>
        <v>C</v>
      </c>
      <c r="AH2072" t="str">
        <f>K2072</f>
        <v>M</v>
      </c>
      <c r="AI2072" t="str">
        <f>LEFT(AF2072,1)</f>
        <v>A</v>
      </c>
      <c r="AJ2072" t="str">
        <f>LEFT(M2072,1)</f>
        <v>J</v>
      </c>
      <c r="AK2072" t="str">
        <f>_xlfn.CONCAT(AG2072,AH2072,AI2072,AJ2072)</f>
        <v>CMAJ</v>
      </c>
    </row>
    <row r="2073" spans="1:37" ht="15.75" hidden="1" customHeight="1" x14ac:dyDescent="0.2">
      <c r="A2073" s="1">
        <v>442403</v>
      </c>
      <c r="B2073" s="1" t="s">
        <v>4314</v>
      </c>
      <c r="C2073" s="1" t="s">
        <v>995</v>
      </c>
      <c r="D2073" s="1" t="s">
        <v>4370</v>
      </c>
      <c r="E2073" s="1" t="s">
        <v>1993</v>
      </c>
      <c r="F2073" s="1" t="s">
        <v>63</v>
      </c>
      <c r="G2073" s="1" t="s">
        <v>4373</v>
      </c>
      <c r="H2073" s="1">
        <v>22</v>
      </c>
      <c r="I2073" s="1" t="s">
        <v>48</v>
      </c>
      <c r="J2073" s="1">
        <v>4</v>
      </c>
      <c r="K2073" s="1" t="s">
        <v>35</v>
      </c>
      <c r="L2073" s="1">
        <v>41</v>
      </c>
      <c r="M2073" s="1" t="str">
        <f>IF(L2073&lt;=45,"Joven","Mayor")</f>
        <v>Joven</v>
      </c>
      <c r="N2073" s="1">
        <v>49</v>
      </c>
      <c r="O2073" s="1" t="s">
        <v>36</v>
      </c>
      <c r="P2073" s="1">
        <v>0.34</v>
      </c>
      <c r="Q2073" s="1">
        <v>92.268000000000001</v>
      </c>
      <c r="R2073" s="1">
        <v>4.1860869999999997</v>
      </c>
      <c r="S2073" s="1">
        <v>0.44158540000000002</v>
      </c>
      <c r="T2073" s="1">
        <v>-3.405097</v>
      </c>
      <c r="U2073" s="1">
        <v>1.1519999999999999</v>
      </c>
      <c r="V2073" s="1">
        <v>108</v>
      </c>
      <c r="W2073" s="1">
        <v>187</v>
      </c>
      <c r="X2073" s="1">
        <v>1.7314814814814814</v>
      </c>
      <c r="Y2073" s="1">
        <v>111</v>
      </c>
      <c r="Z2073" s="1">
        <v>187</v>
      </c>
      <c r="AA2073" s="1">
        <v>1.6846846846846846</v>
      </c>
      <c r="AB2073" s="1">
        <v>113.1204467118725</v>
      </c>
      <c r="AC2073" s="1">
        <v>186.55107014466691</v>
      </c>
      <c r="AD2073" s="1">
        <v>1.6491366111718821</v>
      </c>
      <c r="AE2073" t="s">
        <v>4817</v>
      </c>
      <c r="AF2073" t="str">
        <f>IF(X2073&lt;$AF$1,"Bajo","Alto")</f>
        <v>Bajo</v>
      </c>
      <c r="AG2073" t="str">
        <f>LEFT(AE2073,1)</f>
        <v>C</v>
      </c>
      <c r="AH2073" t="str">
        <f>K2073</f>
        <v>M</v>
      </c>
      <c r="AI2073" t="str">
        <f>LEFT(AF2073,1)</f>
        <v>B</v>
      </c>
      <c r="AJ2073" t="str">
        <f>LEFT(M2073,1)</f>
        <v>J</v>
      </c>
      <c r="AK2073" t="str">
        <f>_xlfn.CONCAT(AG2073,AH2073,AI2073,AJ2073)</f>
        <v>CMBJ</v>
      </c>
    </row>
    <row r="2074" spans="1:37" ht="15.75" hidden="1" customHeight="1" x14ac:dyDescent="0.2">
      <c r="A2074" s="1">
        <v>523502</v>
      </c>
      <c r="B2074" s="1" t="s">
        <v>4529</v>
      </c>
      <c r="C2074" s="1" t="s">
        <v>685</v>
      </c>
      <c r="D2074" s="1" t="s">
        <v>175</v>
      </c>
      <c r="E2074" s="1" t="s">
        <v>640</v>
      </c>
      <c r="F2074" s="1" t="s">
        <v>37</v>
      </c>
      <c r="G2074" s="1" t="s">
        <v>4585</v>
      </c>
      <c r="H2074" s="1">
        <v>35</v>
      </c>
      <c r="I2074" s="1" t="s">
        <v>85</v>
      </c>
      <c r="J2074" s="1">
        <v>12</v>
      </c>
      <c r="K2074" s="1" t="s">
        <v>35</v>
      </c>
      <c r="L2074" s="1">
        <v>40</v>
      </c>
      <c r="M2074" s="1" t="str">
        <f>IF(L2074&lt;=45,"Joven","Mayor")</f>
        <v>Joven</v>
      </c>
      <c r="N2074" s="1">
        <v>40</v>
      </c>
      <c r="O2074" s="1" t="s">
        <v>36</v>
      </c>
      <c r="P2074" s="1">
        <v>0.41699999999999998</v>
      </c>
      <c r="Q2074" s="1">
        <v>94.251999999999995</v>
      </c>
      <c r="R2074" s="1">
        <v>-0.4873519</v>
      </c>
      <c r="S2074" s="1">
        <v>2.7187294999999998</v>
      </c>
      <c r="T2074" s="1">
        <v>-1.7633337</v>
      </c>
      <c r="U2074" s="1">
        <v>0.54300000000000004</v>
      </c>
      <c r="V2074" s="1">
        <v>111</v>
      </c>
      <c r="W2074" s="1">
        <v>193</v>
      </c>
      <c r="X2074" s="1">
        <v>1.7387387387387387</v>
      </c>
      <c r="Y2074" s="1">
        <v>112</v>
      </c>
      <c r="Z2074" s="1">
        <v>193</v>
      </c>
      <c r="AA2074" s="1">
        <v>1.7232142857142858</v>
      </c>
      <c r="AB2074" s="1">
        <v>113.4547480968442</v>
      </c>
      <c r="AC2074" s="1">
        <v>192.90860618954679</v>
      </c>
      <c r="AD2074" s="1">
        <v>1.7003132035063118</v>
      </c>
      <c r="AE2074" t="s">
        <v>4815</v>
      </c>
      <c r="AF2074" t="str">
        <f>IF(X2074&lt;$AF$1,"Bajo","Alto")</f>
        <v>Bajo</v>
      </c>
      <c r="AG2074" t="str">
        <f>LEFT(AE2074,1)</f>
        <v>I</v>
      </c>
      <c r="AH2074" t="str">
        <f>K2074</f>
        <v>M</v>
      </c>
      <c r="AI2074" t="str">
        <f>LEFT(AF2074,1)</f>
        <v>B</v>
      </c>
      <c r="AJ2074" t="str">
        <f>LEFT(M2074,1)</f>
        <v>J</v>
      </c>
      <c r="AK2074" t="str">
        <f>_xlfn.CONCAT(AG2074,AH2074,AI2074,AJ2074)</f>
        <v>IMBJ</v>
      </c>
    </row>
    <row r="2075" spans="1:37" ht="15.75" hidden="1" customHeight="1" x14ac:dyDescent="0.2">
      <c r="A2075" s="1">
        <v>136004</v>
      </c>
      <c r="B2075" s="1" t="s">
        <v>956</v>
      </c>
      <c r="C2075" s="1" t="s">
        <v>163</v>
      </c>
      <c r="D2075" s="1" t="s">
        <v>2070</v>
      </c>
      <c r="E2075" s="1" t="s">
        <v>1458</v>
      </c>
      <c r="F2075" s="1" t="s">
        <v>61</v>
      </c>
      <c r="G2075" s="1" t="s">
        <v>2073</v>
      </c>
      <c r="H2075" s="1">
        <v>3254</v>
      </c>
      <c r="I2075" s="1" t="s">
        <v>108</v>
      </c>
      <c r="J2075" s="1">
        <v>3</v>
      </c>
      <c r="K2075" s="1" t="s">
        <v>35</v>
      </c>
      <c r="L2075" s="1">
        <v>42</v>
      </c>
      <c r="M2075" s="1" t="str">
        <f>IF(L2075&lt;=45,"Joven","Mayor")</f>
        <v>Joven</v>
      </c>
      <c r="N2075" s="1">
        <v>48</v>
      </c>
      <c r="O2075" s="1" t="s">
        <v>36</v>
      </c>
      <c r="P2075" s="1">
        <v>0.23200000000000001</v>
      </c>
      <c r="Q2075" s="1">
        <v>90.515000000000001</v>
      </c>
      <c r="R2075" s="1">
        <v>4.7191562999999999</v>
      </c>
      <c r="S2075" s="1">
        <v>4.8452270000000004</v>
      </c>
      <c r="T2075" s="1">
        <v>-5.5584210000000001</v>
      </c>
      <c r="U2075" s="1">
        <v>0.51500000000000001</v>
      </c>
      <c r="V2075" s="1">
        <v>82</v>
      </c>
      <c r="W2075" s="1">
        <v>142</v>
      </c>
      <c r="X2075" s="1">
        <v>1.7317073170731707</v>
      </c>
      <c r="Y2075" s="1">
        <v>86</v>
      </c>
      <c r="Z2075" s="1">
        <v>142</v>
      </c>
      <c r="AA2075" s="1">
        <v>1.6511627906976745</v>
      </c>
      <c r="AB2075" s="1">
        <v>85.682579316133342</v>
      </c>
      <c r="AC2075" s="1">
        <v>142.10719448829829</v>
      </c>
      <c r="AD2075" s="1">
        <v>1.6585307727954992</v>
      </c>
      <c r="AE2075" t="s">
        <v>4817</v>
      </c>
      <c r="AF2075" t="str">
        <f>IF(X2075&lt;$AF$1,"Bajo","Alto")</f>
        <v>Bajo</v>
      </c>
      <c r="AG2075" t="str">
        <f>LEFT(AE2075,1)</f>
        <v>C</v>
      </c>
      <c r="AH2075" t="str">
        <f>K2075</f>
        <v>M</v>
      </c>
      <c r="AI2075" t="str">
        <f>LEFT(AF2075,1)</f>
        <v>B</v>
      </c>
      <c r="AJ2075" t="str">
        <f>LEFT(M2075,1)</f>
        <v>J</v>
      </c>
      <c r="AK2075" t="str">
        <f>_xlfn.CONCAT(AG2075,AH2075,AI2075,AJ2075)</f>
        <v>CMBJ</v>
      </c>
    </row>
    <row r="2076" spans="1:37" ht="15.75" hidden="1" customHeight="1" x14ac:dyDescent="0.2">
      <c r="A2076" s="1">
        <v>155507</v>
      </c>
      <c r="B2076" s="1" t="s">
        <v>2077</v>
      </c>
      <c r="C2076" s="1" t="s">
        <v>57</v>
      </c>
      <c r="D2076" s="1" t="s">
        <v>2476</v>
      </c>
      <c r="E2076" s="1" t="s">
        <v>690</v>
      </c>
      <c r="F2076" s="1" t="s">
        <v>43</v>
      </c>
      <c r="G2076" s="1" t="s">
        <v>2479</v>
      </c>
      <c r="H2076" s="1">
        <v>5394</v>
      </c>
      <c r="I2076" s="1" t="s">
        <v>48</v>
      </c>
      <c r="J2076" s="1">
        <v>4</v>
      </c>
      <c r="K2076" s="1" t="s">
        <v>35</v>
      </c>
      <c r="L2076" s="1">
        <v>39</v>
      </c>
      <c r="M2076" s="1" t="str">
        <f>IF(L2076&lt;=45,"Joven","Mayor")</f>
        <v>Joven</v>
      </c>
      <c r="N2076" s="1">
        <v>46</v>
      </c>
      <c r="O2076" s="1" t="s">
        <v>36</v>
      </c>
      <c r="P2076" s="1">
        <v>0.38500000000000001</v>
      </c>
      <c r="Q2076" s="1">
        <v>91.507999999999996</v>
      </c>
      <c r="R2076" s="1">
        <v>4.8641515000000002</v>
      </c>
      <c r="S2076" s="1">
        <v>0.83517589999999997</v>
      </c>
      <c r="T2076" s="1">
        <v>-5.3356953000000003</v>
      </c>
      <c r="U2076" s="1">
        <v>6.8849999999999998</v>
      </c>
      <c r="V2076" s="1">
        <v>90</v>
      </c>
      <c r="W2076" s="1">
        <v>156</v>
      </c>
      <c r="X2076" s="1">
        <v>1.7333333333333334</v>
      </c>
      <c r="Y2076" s="1">
        <v>93</v>
      </c>
      <c r="Z2076" s="1">
        <v>156</v>
      </c>
      <c r="AA2076" s="1">
        <v>1.6774193548387097</v>
      </c>
      <c r="AB2076" s="1">
        <v>94.166580640100392</v>
      </c>
      <c r="AC2076" s="1">
        <v>155.9749817980028</v>
      </c>
      <c r="AD2076" s="1">
        <v>1.6563730013106326</v>
      </c>
      <c r="AE2076" t="s">
        <v>4817</v>
      </c>
      <c r="AF2076" t="str">
        <f>IF(X2076&lt;$AF$1,"Bajo","Alto")</f>
        <v>Bajo</v>
      </c>
      <c r="AG2076" t="str">
        <f>LEFT(AE2076,1)</f>
        <v>C</v>
      </c>
      <c r="AH2076" t="str">
        <f>K2076</f>
        <v>M</v>
      </c>
      <c r="AI2076" t="str">
        <f>LEFT(AF2076,1)</f>
        <v>B</v>
      </c>
      <c r="AJ2076" t="str">
        <f>LEFT(M2076,1)</f>
        <v>J</v>
      </c>
      <c r="AK2076" t="str">
        <f>_xlfn.CONCAT(AG2076,AH2076,AI2076,AJ2076)</f>
        <v>CMBJ</v>
      </c>
    </row>
    <row r="2077" spans="1:37" ht="15.75" hidden="1" customHeight="1" x14ac:dyDescent="0.2">
      <c r="A2077" s="1">
        <v>112205</v>
      </c>
      <c r="B2077" s="1" t="s">
        <v>1648</v>
      </c>
      <c r="C2077" s="1" t="s">
        <v>51</v>
      </c>
      <c r="D2077" s="1" t="s">
        <v>1681</v>
      </c>
      <c r="E2077" s="1" t="s">
        <v>418</v>
      </c>
      <c r="F2077" s="1" t="s">
        <v>40</v>
      </c>
      <c r="G2077" s="1" t="s">
        <v>1684</v>
      </c>
      <c r="H2077" s="1">
        <v>42</v>
      </c>
      <c r="I2077" s="1" t="s">
        <v>134</v>
      </c>
      <c r="J2077" s="1">
        <v>8</v>
      </c>
      <c r="K2077" s="1" t="s">
        <v>35</v>
      </c>
      <c r="L2077" s="1">
        <v>40</v>
      </c>
      <c r="M2077" s="1" t="str">
        <f>IF(L2077&lt;=45,"Joven","Mayor")</f>
        <v>Joven</v>
      </c>
      <c r="N2077" s="1">
        <v>55</v>
      </c>
      <c r="O2077" s="1" t="s">
        <v>36</v>
      </c>
      <c r="P2077" s="1">
        <v>0.30399999999999999</v>
      </c>
      <c r="Q2077" s="1">
        <v>91.745000000000005</v>
      </c>
      <c r="R2077" s="1">
        <v>3.6881886000000002</v>
      </c>
      <c r="S2077" s="1">
        <v>4.2610510000000001</v>
      </c>
      <c r="T2077" s="1">
        <v>-0.55624735000000003</v>
      </c>
      <c r="U2077" s="1">
        <v>70.748999999999995</v>
      </c>
      <c r="V2077" s="1">
        <v>77</v>
      </c>
      <c r="W2077" s="1">
        <v>140</v>
      </c>
      <c r="X2077" s="1">
        <v>1.8181818181818181</v>
      </c>
      <c r="Y2077" s="1">
        <v>78</v>
      </c>
      <c r="Z2077" s="1">
        <v>140</v>
      </c>
      <c r="AA2077" s="1">
        <v>1.7948717948717949</v>
      </c>
      <c r="AB2077" s="1">
        <v>77.617704587142725</v>
      </c>
      <c r="AC2077" s="1">
        <v>139.9934024107479</v>
      </c>
      <c r="AD2077" s="1">
        <v>1.8036271898967962</v>
      </c>
      <c r="AE2077" t="s">
        <v>4817</v>
      </c>
      <c r="AF2077" t="str">
        <f>IF(X2077&lt;$AF$1,"Bajo","Alto")</f>
        <v>Alto</v>
      </c>
      <c r="AG2077" t="str">
        <f>LEFT(AE2077,1)</f>
        <v>C</v>
      </c>
      <c r="AH2077" t="str">
        <f>K2077</f>
        <v>M</v>
      </c>
      <c r="AI2077" t="str">
        <f>LEFT(AF2077,1)</f>
        <v>A</v>
      </c>
      <c r="AJ2077" t="str">
        <f>LEFT(M2077,1)</f>
        <v>J</v>
      </c>
      <c r="AK2077" t="str">
        <f>_xlfn.CONCAT(AG2077,AH2077,AI2077,AJ2077)</f>
        <v>CMAJ</v>
      </c>
    </row>
    <row r="2078" spans="1:37" ht="15.75" hidden="1" customHeight="1" x14ac:dyDescent="0.2">
      <c r="A2078" s="1">
        <v>276703</v>
      </c>
      <c r="B2078" s="1" t="s">
        <v>3409</v>
      </c>
      <c r="C2078" s="1" t="s">
        <v>973</v>
      </c>
      <c r="D2078" s="1" t="s">
        <v>1977</v>
      </c>
      <c r="E2078" s="1" t="s">
        <v>715</v>
      </c>
      <c r="F2078" s="1" t="s">
        <v>63</v>
      </c>
      <c r="G2078" s="1" t="s">
        <v>3706</v>
      </c>
      <c r="H2078" s="1">
        <v>1226</v>
      </c>
      <c r="I2078" s="1" t="s">
        <v>108</v>
      </c>
      <c r="J2078" s="1">
        <v>3</v>
      </c>
      <c r="K2078" s="1" t="s">
        <v>35</v>
      </c>
      <c r="L2078" s="1">
        <v>29</v>
      </c>
      <c r="M2078" s="1" t="str">
        <f>IF(L2078&lt;=45,"Joven","Mayor")</f>
        <v>Joven</v>
      </c>
      <c r="N2078" s="1">
        <v>23</v>
      </c>
      <c r="O2078" s="1" t="s">
        <v>36</v>
      </c>
      <c r="P2078" s="1">
        <v>0.51200000000000001</v>
      </c>
      <c r="Q2078" s="1">
        <v>91.513999999999996</v>
      </c>
      <c r="R2078" s="1">
        <v>1.1613704</v>
      </c>
      <c r="S2078" s="1">
        <v>9.5199630000000006</v>
      </c>
      <c r="T2078" s="1">
        <v>-5.7561106999999998</v>
      </c>
      <c r="U2078" s="1">
        <v>15.196999999999999</v>
      </c>
      <c r="V2078" s="1">
        <v>88</v>
      </c>
      <c r="W2078" s="1">
        <v>160</v>
      </c>
      <c r="X2078" s="1">
        <v>1.8181818181818181</v>
      </c>
      <c r="Y2078" s="1">
        <v>91</v>
      </c>
      <c r="Z2078" s="1">
        <v>160</v>
      </c>
      <c r="AA2078" s="1">
        <v>1.7582417582417582</v>
      </c>
      <c r="AB2078" s="1">
        <v>92.069526738642935</v>
      </c>
      <c r="AC2078" s="1">
        <v>159.69472325756581</v>
      </c>
      <c r="AD2078" s="1">
        <v>1.734501402520402</v>
      </c>
      <c r="AE2078" t="s">
        <v>4817</v>
      </c>
      <c r="AF2078" t="str">
        <f>IF(X2078&lt;$AF$1,"Bajo","Alto")</f>
        <v>Alto</v>
      </c>
      <c r="AG2078" t="str">
        <f>LEFT(AE2078,1)</f>
        <v>C</v>
      </c>
      <c r="AH2078" t="str">
        <f>K2078</f>
        <v>M</v>
      </c>
      <c r="AI2078" t="str">
        <f>LEFT(AF2078,1)</f>
        <v>A</v>
      </c>
      <c r="AJ2078" t="str">
        <f>LEFT(M2078,1)</f>
        <v>J</v>
      </c>
      <c r="AK2078" t="str">
        <f>_xlfn.CONCAT(AG2078,AH2078,AI2078,AJ2078)</f>
        <v>CMAJ</v>
      </c>
    </row>
    <row r="2079" spans="1:37" ht="15.75" hidden="1" customHeight="1" x14ac:dyDescent="0.2">
      <c r="A2079" s="1">
        <v>1034303</v>
      </c>
      <c r="B2079" s="1" t="s">
        <v>783</v>
      </c>
      <c r="C2079" s="1" t="s">
        <v>81</v>
      </c>
      <c r="D2079" s="1" t="s">
        <v>844</v>
      </c>
      <c r="E2079" s="1" t="s">
        <v>665</v>
      </c>
      <c r="F2079" s="1" t="s">
        <v>63</v>
      </c>
      <c r="G2079" s="1" t="s">
        <v>847</v>
      </c>
      <c r="H2079" s="1">
        <v>1556</v>
      </c>
      <c r="I2079" s="1" t="s">
        <v>42</v>
      </c>
      <c r="J2079" s="1">
        <v>15</v>
      </c>
      <c r="K2079" s="1" t="s">
        <v>35</v>
      </c>
      <c r="L2079" s="1">
        <v>56</v>
      </c>
      <c r="M2079" s="1" t="str">
        <f>IF(L2079&lt;=45,"Joven","Mayor")</f>
        <v>Mayor</v>
      </c>
      <c r="N2079" s="1">
        <v>47</v>
      </c>
      <c r="O2079" s="1" t="s">
        <v>36</v>
      </c>
      <c r="P2079" s="1">
        <v>6.8000000000000005E-2</v>
      </c>
      <c r="Q2079" s="1">
        <v>88.293999999999997</v>
      </c>
      <c r="R2079" s="1">
        <v>5.3630110000000002</v>
      </c>
      <c r="S2079" s="1">
        <v>7.8901709999999996</v>
      </c>
      <c r="T2079" s="1">
        <v>-5.7072896999999996</v>
      </c>
      <c r="U2079" s="1">
        <v>1.5880000000000001</v>
      </c>
      <c r="V2079" s="1">
        <v>76</v>
      </c>
      <c r="W2079" s="1">
        <v>138</v>
      </c>
      <c r="X2079" s="1">
        <v>1.8157894736842106</v>
      </c>
      <c r="Y2079" s="1">
        <v>77</v>
      </c>
      <c r="Z2079" s="1">
        <v>138</v>
      </c>
      <c r="AA2079" s="1">
        <v>1.7922077922077921</v>
      </c>
      <c r="AB2079" s="1">
        <v>79.601116305371988</v>
      </c>
      <c r="AC2079" s="1">
        <v>137.41537007209399</v>
      </c>
      <c r="AD2079" s="1">
        <v>1.7262995351086594</v>
      </c>
      <c r="AE2079" t="s">
        <v>4817</v>
      </c>
      <c r="AF2079" t="str">
        <f>IF(X2079&lt;$AF$1,"Bajo","Alto")</f>
        <v>Alto</v>
      </c>
      <c r="AG2079" t="str">
        <f>LEFT(AE2079,1)</f>
        <v>C</v>
      </c>
      <c r="AH2079" t="str">
        <f>K2079</f>
        <v>M</v>
      </c>
      <c r="AI2079" t="str">
        <f>LEFT(AF2079,1)</f>
        <v>A</v>
      </c>
      <c r="AJ2079" t="str">
        <f>LEFT(M2079,1)</f>
        <v>M</v>
      </c>
      <c r="AK2079" t="str">
        <f>_xlfn.CONCAT(AG2079,AH2079,AI2079,AJ2079)</f>
        <v>CMAM</v>
      </c>
    </row>
    <row r="2080" spans="1:37" ht="15.75" hidden="1" customHeight="1" x14ac:dyDescent="0.2">
      <c r="A2080" s="1">
        <v>4654007</v>
      </c>
      <c r="B2080" s="1" t="s">
        <v>4382</v>
      </c>
      <c r="C2080" s="1" t="s">
        <v>669</v>
      </c>
      <c r="D2080" s="1" t="s">
        <v>4407</v>
      </c>
      <c r="E2080" s="1" t="s">
        <v>4408</v>
      </c>
      <c r="F2080" s="1" t="s">
        <v>43</v>
      </c>
      <c r="G2080" s="1" t="s">
        <v>4411</v>
      </c>
      <c r="H2080" s="1">
        <v>1495</v>
      </c>
      <c r="I2080" s="1" t="s">
        <v>108</v>
      </c>
      <c r="J2080" s="1">
        <v>3</v>
      </c>
      <c r="K2080" s="1" t="s">
        <v>35</v>
      </c>
      <c r="L2080" s="1">
        <v>35</v>
      </c>
      <c r="M2080" s="1" t="str">
        <f>IF(L2080&lt;=45,"Joven","Mayor")</f>
        <v>Joven</v>
      </c>
      <c r="N2080" s="1">
        <v>32</v>
      </c>
      <c r="O2080" s="1" t="s">
        <v>36</v>
      </c>
      <c r="P2080" s="1">
        <v>0.35199999999999998</v>
      </c>
      <c r="Q2080" s="1">
        <v>94.572999999999993</v>
      </c>
      <c r="R2080" s="1">
        <v>-0.46892919999999999</v>
      </c>
      <c r="S2080" s="1">
        <v>-1.0728127000000001</v>
      </c>
      <c r="T2080" s="1">
        <v>-4.6060996000000003</v>
      </c>
      <c r="U2080" s="1">
        <v>5.8760000000000003</v>
      </c>
      <c r="V2080" s="1">
        <v>66</v>
      </c>
      <c r="W2080" s="1">
        <v>120</v>
      </c>
      <c r="X2080" s="1">
        <v>1.8181818181818181</v>
      </c>
      <c r="Y2080" s="1">
        <v>74</v>
      </c>
      <c r="Z2080" s="1">
        <v>120</v>
      </c>
      <c r="AA2080" s="1">
        <v>1.6216216216216217</v>
      </c>
      <c r="AB2080" s="1">
        <v>71.673073773073384</v>
      </c>
      <c r="AC2080" s="1">
        <v>120.57610066665301</v>
      </c>
      <c r="AD2080" s="1">
        <v>1.6823068178771459</v>
      </c>
      <c r="AE2080" t="s">
        <v>4817</v>
      </c>
      <c r="AF2080" t="str">
        <f>IF(X2080&lt;$AF$1,"Bajo","Alto")</f>
        <v>Alto</v>
      </c>
      <c r="AG2080" t="str">
        <f>LEFT(AE2080,1)</f>
        <v>C</v>
      </c>
      <c r="AH2080" t="str">
        <f>K2080</f>
        <v>M</v>
      </c>
      <c r="AI2080" t="str">
        <f>LEFT(AF2080,1)</f>
        <v>A</v>
      </c>
      <c r="AJ2080" t="str">
        <f>LEFT(M2080,1)</f>
        <v>J</v>
      </c>
      <c r="AK2080" t="str">
        <f>_xlfn.CONCAT(AG2080,AH2080,AI2080,AJ2080)</f>
        <v>CMAJ</v>
      </c>
    </row>
    <row r="2081" spans="1:37" ht="15.75" hidden="1" customHeight="1" x14ac:dyDescent="0.2">
      <c r="A2081" s="1">
        <v>1031004</v>
      </c>
      <c r="B2081" s="1" t="s">
        <v>783</v>
      </c>
      <c r="C2081" s="1" t="s">
        <v>81</v>
      </c>
      <c r="D2081" s="1" t="s">
        <v>798</v>
      </c>
      <c r="E2081" s="1" t="s">
        <v>75</v>
      </c>
      <c r="F2081" s="1" t="s">
        <v>61</v>
      </c>
      <c r="G2081" s="1" t="s">
        <v>802</v>
      </c>
      <c r="H2081" s="1">
        <v>3815</v>
      </c>
      <c r="I2081" s="1" t="s">
        <v>108</v>
      </c>
      <c r="J2081" s="1">
        <v>3</v>
      </c>
      <c r="K2081" s="1" t="s">
        <v>35</v>
      </c>
      <c r="L2081" s="1">
        <v>38</v>
      </c>
      <c r="M2081" s="1" t="str">
        <f>IF(L2081&lt;=45,"Joven","Mayor")</f>
        <v>Joven</v>
      </c>
      <c r="N2081" s="1">
        <v>46</v>
      </c>
      <c r="O2081" s="1" t="s">
        <v>36</v>
      </c>
      <c r="P2081" s="1">
        <v>0.90400000000000003</v>
      </c>
      <c r="Q2081" s="1">
        <v>86.486999999999995</v>
      </c>
      <c r="R2081" s="1">
        <v>-5.4058460000000004</v>
      </c>
      <c r="S2081" s="1">
        <v>9.890409</v>
      </c>
      <c r="T2081" s="1">
        <v>7.2368755</v>
      </c>
      <c r="U2081" s="1">
        <v>1.7090000000000001</v>
      </c>
      <c r="V2081" s="1">
        <v>104</v>
      </c>
      <c r="W2081" s="1">
        <v>189</v>
      </c>
      <c r="X2081" s="1">
        <v>1.8173076923076923</v>
      </c>
      <c r="Y2081" s="1">
        <v>112</v>
      </c>
      <c r="Z2081" s="1">
        <v>189</v>
      </c>
      <c r="AA2081" s="1">
        <v>1.6875</v>
      </c>
      <c r="AB2081" s="1">
        <v>110.0999637088901</v>
      </c>
      <c r="AC2081" s="1">
        <v>188.75411147088741</v>
      </c>
      <c r="AD2081" s="1">
        <v>1.7143884985281455</v>
      </c>
      <c r="AE2081" t="s">
        <v>4817</v>
      </c>
      <c r="AF2081" t="str">
        <f>IF(X2081&lt;$AF$1,"Bajo","Alto")</f>
        <v>Alto</v>
      </c>
      <c r="AG2081" t="str">
        <f>LEFT(AE2081,1)</f>
        <v>C</v>
      </c>
      <c r="AH2081" t="str">
        <f>K2081</f>
        <v>M</v>
      </c>
      <c r="AI2081" t="str">
        <f>LEFT(AF2081,1)</f>
        <v>A</v>
      </c>
      <c r="AJ2081" t="str">
        <f>LEFT(M2081,1)</f>
        <v>J</v>
      </c>
      <c r="AK2081" t="str">
        <f>_xlfn.CONCAT(AG2081,AH2081,AI2081,AJ2081)</f>
        <v>CMAJ</v>
      </c>
    </row>
    <row r="2082" spans="1:37" ht="15.75" hidden="1" customHeight="1" x14ac:dyDescent="0.2">
      <c r="A2082" s="1">
        <v>1076002</v>
      </c>
      <c r="B2082" s="1" t="s">
        <v>1067</v>
      </c>
      <c r="C2082" s="1" t="s">
        <v>1068</v>
      </c>
      <c r="D2082" s="1" t="s">
        <v>1457</v>
      </c>
      <c r="E2082" s="1" t="s">
        <v>1458</v>
      </c>
      <c r="F2082" s="1" t="s">
        <v>37</v>
      </c>
      <c r="G2082" s="1" t="s">
        <v>1459</v>
      </c>
      <c r="H2082" s="1">
        <v>632</v>
      </c>
      <c r="I2082" s="1" t="s">
        <v>34</v>
      </c>
      <c r="J2082" s="1">
        <v>10</v>
      </c>
      <c r="K2082" s="1" t="s">
        <v>35</v>
      </c>
      <c r="L2082" s="1">
        <v>58</v>
      </c>
      <c r="M2082" s="1" t="str">
        <f>IF(L2082&lt;=45,"Joven","Mayor")</f>
        <v>Mayor</v>
      </c>
      <c r="N2082" s="1">
        <v>61</v>
      </c>
      <c r="O2082" s="1" t="s">
        <v>36</v>
      </c>
      <c r="P2082" s="1">
        <v>0.35799999999999998</v>
      </c>
      <c r="Q2082" s="1">
        <v>53.930999999999997</v>
      </c>
      <c r="R2082" s="1">
        <v>15.250017</v>
      </c>
      <c r="S2082" s="1">
        <v>4.0421313999999997</v>
      </c>
      <c r="T2082" s="1">
        <v>-8.5108490000000003</v>
      </c>
      <c r="U2082" s="1">
        <v>20.672000000000001</v>
      </c>
      <c r="V2082" s="1">
        <v>82</v>
      </c>
      <c r="W2082" s="1">
        <v>148</v>
      </c>
      <c r="X2082" s="1">
        <v>1.8048780487804879</v>
      </c>
      <c r="Y2082" s="1">
        <v>95</v>
      </c>
      <c r="Z2082" s="1">
        <v>148</v>
      </c>
      <c r="AA2082" s="1">
        <v>1.5578947368421052</v>
      </c>
      <c r="AB2082" s="1">
        <v>89.069956071573415</v>
      </c>
      <c r="AC2082" s="1">
        <v>148.44215646684779</v>
      </c>
      <c r="AD2082" s="1">
        <v>1.6665794282817992</v>
      </c>
      <c r="AE2082" t="s">
        <v>4815</v>
      </c>
      <c r="AF2082" t="str">
        <f>IF(X2082&lt;$AF$1,"Bajo","Alto")</f>
        <v>Alto</v>
      </c>
      <c r="AG2082" t="str">
        <f>LEFT(AE2082,1)</f>
        <v>I</v>
      </c>
      <c r="AH2082" t="str">
        <f>K2082</f>
        <v>M</v>
      </c>
      <c r="AI2082" t="str">
        <f>LEFT(AF2082,1)</f>
        <v>A</v>
      </c>
      <c r="AJ2082" t="str">
        <f>LEFT(M2082,1)</f>
        <v>M</v>
      </c>
      <c r="AK2082" t="str">
        <f>_xlfn.CONCAT(AG2082,AH2082,AI2082,AJ2082)</f>
        <v>IMAM</v>
      </c>
    </row>
    <row r="2083" spans="1:37" ht="15.75" hidden="1" customHeight="1" x14ac:dyDescent="0.2">
      <c r="A2083" s="1">
        <v>2820009</v>
      </c>
      <c r="B2083" s="1" t="s">
        <v>1775</v>
      </c>
      <c r="C2083" s="1" t="s">
        <v>561</v>
      </c>
      <c r="D2083" s="1" t="s">
        <v>3800</v>
      </c>
      <c r="E2083" s="1" t="s">
        <v>1814</v>
      </c>
      <c r="F2083" s="1" t="s">
        <v>189</v>
      </c>
      <c r="G2083" s="1" t="s">
        <v>3808</v>
      </c>
      <c r="H2083" s="1">
        <v>8116</v>
      </c>
      <c r="I2083" s="1" t="s">
        <v>134</v>
      </c>
      <c r="J2083" s="1">
        <v>8</v>
      </c>
      <c r="K2083" s="1" t="s">
        <v>35</v>
      </c>
      <c r="L2083" s="1">
        <v>54</v>
      </c>
      <c r="M2083" s="1" t="str">
        <f>IF(L2083&lt;=45,"Joven","Mayor")</f>
        <v>Mayor</v>
      </c>
      <c r="N2083" s="1">
        <v>52</v>
      </c>
      <c r="O2083" s="1" t="s">
        <v>36</v>
      </c>
      <c r="P2083" s="1">
        <v>0.35799999999999998</v>
      </c>
      <c r="Q2083" s="1">
        <v>93.481999999999999</v>
      </c>
      <c r="R2083" s="1">
        <v>2.4890601999999999</v>
      </c>
      <c r="S2083" s="1">
        <v>-0.96586645000000004</v>
      </c>
      <c r="T2083" s="1">
        <v>0.18950497999999999</v>
      </c>
      <c r="U2083" s="1">
        <v>39.481000000000002</v>
      </c>
      <c r="V2083" s="1">
        <v>92</v>
      </c>
      <c r="W2083" s="1">
        <v>167</v>
      </c>
      <c r="X2083" s="1">
        <v>1.8152173913043479</v>
      </c>
      <c r="Y2083" s="1">
        <v>94</v>
      </c>
      <c r="Z2083" s="1">
        <v>167</v>
      </c>
      <c r="AA2083" s="1">
        <v>1.7765957446808511</v>
      </c>
      <c r="AB2083" s="1">
        <v>94.141707477966065</v>
      </c>
      <c r="AC2083" s="1">
        <v>166.99577907588221</v>
      </c>
      <c r="AD2083" s="1">
        <v>1.7738766753828816</v>
      </c>
      <c r="AE2083" t="s">
        <v>4817</v>
      </c>
      <c r="AF2083" t="str">
        <f>IF(X2083&lt;$AF$1,"Bajo","Alto")</f>
        <v>Alto</v>
      </c>
      <c r="AG2083" t="str">
        <f>LEFT(AE2083,1)</f>
        <v>C</v>
      </c>
      <c r="AH2083" t="str">
        <f>K2083</f>
        <v>M</v>
      </c>
      <c r="AI2083" t="str">
        <f>LEFT(AF2083,1)</f>
        <v>A</v>
      </c>
      <c r="AJ2083" t="str">
        <f>LEFT(M2083,1)</f>
        <v>M</v>
      </c>
      <c r="AK2083" t="str">
        <f>_xlfn.CONCAT(AG2083,AH2083,AI2083,AJ2083)</f>
        <v>CMAM</v>
      </c>
    </row>
    <row r="2084" spans="1:37" ht="15.75" hidden="1" customHeight="1" x14ac:dyDescent="0.2">
      <c r="A2084" s="1">
        <v>255501</v>
      </c>
      <c r="B2084" s="1" t="s">
        <v>3169</v>
      </c>
      <c r="C2084" s="1" t="s">
        <v>821</v>
      </c>
      <c r="D2084" s="1" t="s">
        <v>3277</v>
      </c>
      <c r="E2084" s="1" t="s">
        <v>690</v>
      </c>
      <c r="F2084" s="1" t="s">
        <v>32</v>
      </c>
      <c r="G2084" s="1" t="s">
        <v>3278</v>
      </c>
      <c r="H2084" s="1">
        <v>47</v>
      </c>
      <c r="I2084" s="1" t="s">
        <v>39</v>
      </c>
      <c r="J2084" s="1">
        <v>11</v>
      </c>
      <c r="K2084" s="1" t="s">
        <v>35</v>
      </c>
      <c r="L2084" s="1">
        <v>60</v>
      </c>
      <c r="M2084" s="1" t="str">
        <f>IF(L2084&lt;=45,"Joven","Mayor")</f>
        <v>Mayor</v>
      </c>
      <c r="N2084" s="1">
        <v>61</v>
      </c>
      <c r="O2084" s="1" t="s">
        <v>36</v>
      </c>
      <c r="P2084" s="1">
        <v>0.34699999999999998</v>
      </c>
      <c r="Q2084" s="1">
        <v>94.587000000000003</v>
      </c>
      <c r="R2084" s="1">
        <v>0.47874674</v>
      </c>
      <c r="S2084" s="1">
        <v>0.96467460000000005</v>
      </c>
      <c r="T2084" s="1">
        <v>-5.4395704</v>
      </c>
      <c r="U2084" s="1">
        <v>0.19800000000000001</v>
      </c>
      <c r="V2084" s="1">
        <v>108</v>
      </c>
      <c r="W2084" s="1">
        <v>194</v>
      </c>
      <c r="X2084" s="1">
        <v>1.7962962962962963</v>
      </c>
      <c r="Y2084" s="1">
        <v>115</v>
      </c>
      <c r="Z2084" s="1">
        <v>194</v>
      </c>
      <c r="AA2084" s="1">
        <v>1.6869565217391305</v>
      </c>
      <c r="AB2084" s="1">
        <v>112.7274194165514</v>
      </c>
      <c r="AC2084" s="1">
        <v>193.50554960137609</v>
      </c>
      <c r="AD2084" s="1">
        <v>1.7165792546561596</v>
      </c>
      <c r="AE2084" t="s">
        <v>4816</v>
      </c>
      <c r="AF2084" t="str">
        <f>IF(X2084&lt;$AF$1,"Bajo","Alto")</f>
        <v>Alto</v>
      </c>
      <c r="AG2084" t="str">
        <f>LEFT(AE2084,1)</f>
        <v>D</v>
      </c>
      <c r="AH2084" t="str">
        <f>K2084</f>
        <v>M</v>
      </c>
      <c r="AI2084" t="str">
        <f>LEFT(AF2084,1)</f>
        <v>A</v>
      </c>
      <c r="AJ2084" t="str">
        <f>LEFT(M2084,1)</f>
        <v>M</v>
      </c>
      <c r="AK2084" t="str">
        <f>_xlfn.CONCAT(AG2084,AH2084,AI2084,AJ2084)</f>
        <v>DMAM</v>
      </c>
    </row>
    <row r="2085" spans="1:37" ht="15.75" hidden="1" customHeight="1" x14ac:dyDescent="0.2">
      <c r="A2085" s="1">
        <v>1230004</v>
      </c>
      <c r="B2085" s="1" t="s">
        <v>1798</v>
      </c>
      <c r="C2085" s="1" t="s">
        <v>54</v>
      </c>
      <c r="D2085" s="1" t="s">
        <v>1827</v>
      </c>
      <c r="E2085" s="1" t="s">
        <v>613</v>
      </c>
      <c r="F2085" s="1" t="s">
        <v>61</v>
      </c>
      <c r="G2085" s="1" t="s">
        <v>1828</v>
      </c>
      <c r="H2085" s="1">
        <v>3</v>
      </c>
      <c r="I2085" s="1" t="s">
        <v>294</v>
      </c>
      <c r="J2085" s="1">
        <v>16</v>
      </c>
      <c r="K2085" s="1" t="s">
        <v>35</v>
      </c>
      <c r="L2085" s="1">
        <v>57</v>
      </c>
      <c r="M2085" s="1" t="str">
        <f>IF(L2085&lt;=45,"Joven","Mayor")</f>
        <v>Mayor</v>
      </c>
      <c r="N2085" s="1">
        <v>72</v>
      </c>
      <c r="O2085" s="1" t="s">
        <v>36</v>
      </c>
      <c r="P2085" s="1">
        <v>0.54100000000000004</v>
      </c>
      <c r="Q2085" s="1">
        <v>85.418999999999997</v>
      </c>
      <c r="R2085" s="1">
        <v>7.2007823000000002</v>
      </c>
      <c r="S2085" s="1">
        <v>7.2054150000000003</v>
      </c>
      <c r="T2085" s="1">
        <v>-2.7771067999999999</v>
      </c>
      <c r="U2085" s="1">
        <v>2.0409999999999999</v>
      </c>
      <c r="V2085" s="1">
        <v>98</v>
      </c>
      <c r="W2085" s="1">
        <v>169</v>
      </c>
      <c r="X2085" s="1">
        <v>1.7244897959183674</v>
      </c>
      <c r="Y2085" s="1">
        <v>99</v>
      </c>
      <c r="Z2085" s="1">
        <v>169</v>
      </c>
      <c r="AA2085" s="1">
        <v>1.707070707070707</v>
      </c>
      <c r="AB2085" s="1">
        <v>100.2105391569016</v>
      </c>
      <c r="AC2085" s="1">
        <v>168.70462100004619</v>
      </c>
      <c r="AD2085" s="1">
        <v>1.6835017795473792</v>
      </c>
      <c r="AE2085" t="s">
        <v>4817</v>
      </c>
      <c r="AF2085" t="str">
        <f>IF(X2085&lt;$AF$1,"Bajo","Alto")</f>
        <v>Bajo</v>
      </c>
      <c r="AG2085" t="str">
        <f>LEFT(AE2085,1)</f>
        <v>C</v>
      </c>
      <c r="AH2085" t="str">
        <f>K2085</f>
        <v>M</v>
      </c>
      <c r="AI2085" t="str">
        <f>LEFT(AF2085,1)</f>
        <v>B</v>
      </c>
      <c r="AJ2085" t="str">
        <f>LEFT(M2085,1)</f>
        <v>M</v>
      </c>
      <c r="AK2085" t="str">
        <f>_xlfn.CONCAT(AG2085,AH2085,AI2085,AJ2085)</f>
        <v>CMBM</v>
      </c>
    </row>
    <row r="2086" spans="1:37" ht="15.75" hidden="1" customHeight="1" x14ac:dyDescent="0.2">
      <c r="A2086" s="1">
        <v>277405</v>
      </c>
      <c r="B2086" s="1" t="s">
        <v>3409</v>
      </c>
      <c r="C2086" s="1" t="s">
        <v>973</v>
      </c>
      <c r="D2086" s="1" t="s">
        <v>3718</v>
      </c>
      <c r="E2086" s="1" t="s">
        <v>2786</v>
      </c>
      <c r="F2086" s="1" t="s">
        <v>40</v>
      </c>
      <c r="G2086" s="1" t="s">
        <v>3721</v>
      </c>
      <c r="H2086" s="1">
        <v>19</v>
      </c>
      <c r="I2086" s="1" t="s">
        <v>93</v>
      </c>
      <c r="J2086" s="1">
        <v>9</v>
      </c>
      <c r="K2086" s="1" t="s">
        <v>35</v>
      </c>
      <c r="L2086" s="1">
        <v>53</v>
      </c>
      <c r="M2086" s="1" t="str">
        <f>IF(L2086&lt;=45,"Joven","Mayor")</f>
        <v>Mayor</v>
      </c>
      <c r="N2086" s="1">
        <v>61</v>
      </c>
      <c r="O2086" s="1" t="s">
        <v>36</v>
      </c>
      <c r="P2086" s="1">
        <v>0.58099999999999996</v>
      </c>
      <c r="Q2086" s="1">
        <v>93.370999999999995</v>
      </c>
      <c r="R2086" s="1">
        <v>-2.2262762</v>
      </c>
      <c r="S2086" s="1">
        <v>2.1023033</v>
      </c>
      <c r="T2086" s="1">
        <v>3.3793106000000002</v>
      </c>
      <c r="U2086" s="1">
        <v>0.111</v>
      </c>
      <c r="V2086" s="1">
        <v>89</v>
      </c>
      <c r="W2086" s="1">
        <v>151</v>
      </c>
      <c r="X2086" s="1">
        <v>1.696629213483146</v>
      </c>
      <c r="Y2086" s="1">
        <v>97</v>
      </c>
      <c r="Z2086" s="1">
        <v>151</v>
      </c>
      <c r="AA2086" s="1">
        <v>1.5567010309278351</v>
      </c>
      <c r="AB2086" s="1">
        <v>94.945065262419575</v>
      </c>
      <c r="AC2086" s="1">
        <v>151.2679510823082</v>
      </c>
      <c r="AD2086" s="1">
        <v>1.5932155153531915</v>
      </c>
      <c r="AE2086" t="s">
        <v>4815</v>
      </c>
      <c r="AF2086" t="str">
        <f>IF(X2086&lt;$AF$1,"Bajo","Alto")</f>
        <v>Bajo</v>
      </c>
      <c r="AG2086" t="str">
        <f>LEFT(AE2086,1)</f>
        <v>I</v>
      </c>
      <c r="AH2086" t="str">
        <f>K2086</f>
        <v>M</v>
      </c>
      <c r="AI2086" t="str">
        <f>LEFT(AF2086,1)</f>
        <v>B</v>
      </c>
      <c r="AJ2086" t="str">
        <f>LEFT(M2086,1)</f>
        <v>M</v>
      </c>
      <c r="AK2086" t="str">
        <f>_xlfn.CONCAT(AG2086,AH2086,AI2086,AJ2086)</f>
        <v>IMBM</v>
      </c>
    </row>
    <row r="2087" spans="1:37" ht="15.75" hidden="1" customHeight="1" x14ac:dyDescent="0.2">
      <c r="A2087" s="1">
        <v>199406</v>
      </c>
      <c r="B2087" s="1" t="s">
        <v>2656</v>
      </c>
      <c r="C2087" s="1" t="s">
        <v>323</v>
      </c>
      <c r="D2087" s="1" t="s">
        <v>2813</v>
      </c>
      <c r="E2087" s="1" t="s">
        <v>775</v>
      </c>
      <c r="F2087" s="1" t="s">
        <v>88</v>
      </c>
      <c r="G2087" s="1" t="s">
        <v>2815</v>
      </c>
      <c r="H2087" s="1">
        <v>970</v>
      </c>
      <c r="I2087" s="1" t="s">
        <v>91</v>
      </c>
      <c r="J2087" s="1">
        <v>6</v>
      </c>
      <c r="K2087" s="1" t="s">
        <v>35</v>
      </c>
      <c r="L2087" s="1">
        <v>53</v>
      </c>
      <c r="M2087" s="1" t="str">
        <f>IF(L2087&lt;=45,"Joven","Mayor")</f>
        <v>Mayor</v>
      </c>
      <c r="N2087" s="1">
        <v>49</v>
      </c>
      <c r="O2087" s="1" t="s">
        <v>36</v>
      </c>
      <c r="P2087" s="1">
        <v>8.5000000000000006E-2</v>
      </c>
      <c r="Q2087" s="1">
        <v>90.747</v>
      </c>
      <c r="R2087" s="1">
        <v>5.5333699999999997</v>
      </c>
      <c r="S2087" s="1">
        <v>1.2811958000000001</v>
      </c>
      <c r="T2087" s="1">
        <v>-4.3754429999999997</v>
      </c>
      <c r="U2087" s="1">
        <v>1.881</v>
      </c>
      <c r="V2087" s="1">
        <v>118</v>
      </c>
      <c r="W2087" s="1">
        <v>214</v>
      </c>
      <c r="X2087" s="1">
        <v>1.8135593220338984</v>
      </c>
      <c r="Y2087" s="1">
        <v>122</v>
      </c>
      <c r="Z2087" s="1">
        <v>214</v>
      </c>
      <c r="AA2087" s="1">
        <v>1.7540983606557377</v>
      </c>
      <c r="AB2087" s="1">
        <v>122.23359503731329</v>
      </c>
      <c r="AC2087" s="1">
        <v>213.30001440299611</v>
      </c>
      <c r="AD2087" s="1">
        <v>1.7450195614215853</v>
      </c>
      <c r="AE2087" t="s">
        <v>4817</v>
      </c>
      <c r="AF2087" t="str">
        <f>IF(X2087&lt;$AF$1,"Bajo","Alto")</f>
        <v>Alto</v>
      </c>
      <c r="AG2087" t="str">
        <f>LEFT(AE2087,1)</f>
        <v>C</v>
      </c>
      <c r="AH2087" t="str">
        <f>K2087</f>
        <v>M</v>
      </c>
      <c r="AI2087" t="str">
        <f>LEFT(AF2087,1)</f>
        <v>A</v>
      </c>
      <c r="AJ2087" t="str">
        <f>LEFT(M2087,1)</f>
        <v>M</v>
      </c>
      <c r="AK2087" t="str">
        <f>_xlfn.CONCAT(AG2087,AH2087,AI2087,AJ2087)</f>
        <v>CMAM</v>
      </c>
    </row>
    <row r="2088" spans="1:37" ht="15.75" hidden="1" customHeight="1" x14ac:dyDescent="0.2">
      <c r="A2088" s="1">
        <v>2820008</v>
      </c>
      <c r="B2088" s="1" t="s">
        <v>1775</v>
      </c>
      <c r="C2088" s="1" t="s">
        <v>561</v>
      </c>
      <c r="D2088" s="1" t="s">
        <v>3800</v>
      </c>
      <c r="E2088" s="1" t="s">
        <v>1814</v>
      </c>
      <c r="F2088" s="1" t="s">
        <v>46</v>
      </c>
      <c r="G2088" s="1" t="s">
        <v>3807</v>
      </c>
      <c r="H2088" s="1">
        <v>379</v>
      </c>
      <c r="I2088" s="1" t="s">
        <v>48</v>
      </c>
      <c r="J2088" s="1">
        <v>4</v>
      </c>
      <c r="K2088" s="1" t="s">
        <v>35</v>
      </c>
      <c r="L2088" s="1">
        <v>42</v>
      </c>
      <c r="M2088" s="1" t="str">
        <f>IF(L2088&lt;=45,"Joven","Mayor")</f>
        <v>Joven</v>
      </c>
      <c r="N2088" s="1">
        <v>29</v>
      </c>
      <c r="O2088" s="1" t="s">
        <v>36</v>
      </c>
      <c r="P2088" s="1">
        <v>0.25600000000000001</v>
      </c>
      <c r="Q2088" s="1">
        <v>93.501999999999995</v>
      </c>
      <c r="R2088" s="1">
        <v>2.0612604999999999</v>
      </c>
      <c r="S2088" s="1">
        <v>2.3666434000000001</v>
      </c>
      <c r="T2088" s="1">
        <v>-3.4705750000000002</v>
      </c>
      <c r="U2088" s="1">
        <v>0.68400000000000005</v>
      </c>
      <c r="V2088" s="1">
        <v>105</v>
      </c>
      <c r="W2088" s="1">
        <v>182</v>
      </c>
      <c r="X2088" s="1">
        <v>1.7333333333333334</v>
      </c>
      <c r="Y2088" s="1">
        <v>108</v>
      </c>
      <c r="Z2088" s="1">
        <v>182</v>
      </c>
      <c r="AA2088" s="1">
        <v>1.6851851851851851</v>
      </c>
      <c r="AB2088" s="1">
        <v>107.83422831622489</v>
      </c>
      <c r="AC2088" s="1">
        <v>181.66621547112351</v>
      </c>
      <c r="AD2088" s="1">
        <v>1.6846804424508479</v>
      </c>
      <c r="AE2088" t="s">
        <v>4817</v>
      </c>
      <c r="AF2088" t="str">
        <f>IF(X2088&lt;$AF$1,"Bajo","Alto")</f>
        <v>Bajo</v>
      </c>
      <c r="AG2088" t="str">
        <f>LEFT(AE2088,1)</f>
        <v>C</v>
      </c>
      <c r="AH2088" t="str">
        <f>K2088</f>
        <v>M</v>
      </c>
      <c r="AI2088" t="str">
        <f>LEFT(AF2088,1)</f>
        <v>B</v>
      </c>
      <c r="AJ2088" t="str">
        <f>LEFT(M2088,1)</f>
        <v>J</v>
      </c>
      <c r="AK2088" t="str">
        <f>_xlfn.CONCAT(AG2088,AH2088,AI2088,AJ2088)</f>
        <v>CMBJ</v>
      </c>
    </row>
    <row r="2089" spans="1:37" ht="15.75" hidden="1" customHeight="1" x14ac:dyDescent="0.2">
      <c r="A2089" s="1">
        <v>1054303</v>
      </c>
      <c r="B2089" s="1" t="s">
        <v>694</v>
      </c>
      <c r="C2089" s="1" t="s">
        <v>879</v>
      </c>
      <c r="D2089" s="1" t="s">
        <v>990</v>
      </c>
      <c r="E2089" s="1" t="s">
        <v>665</v>
      </c>
      <c r="F2089" s="1" t="s">
        <v>63</v>
      </c>
      <c r="G2089" s="1" t="s">
        <v>992</v>
      </c>
      <c r="H2089" s="1">
        <v>9921</v>
      </c>
      <c r="I2089" s="1" t="s">
        <v>65</v>
      </c>
      <c r="J2089" s="1">
        <v>2</v>
      </c>
      <c r="K2089" s="1" t="s">
        <v>35</v>
      </c>
      <c r="L2089" s="1">
        <v>31</v>
      </c>
      <c r="M2089" s="1" t="str">
        <f>IF(L2089&lt;=45,"Joven","Mayor")</f>
        <v>Joven</v>
      </c>
      <c r="N2089" s="1">
        <v>25</v>
      </c>
      <c r="O2089" s="1" t="s">
        <v>36</v>
      </c>
      <c r="P2089" s="1">
        <v>0.26100000000000001</v>
      </c>
      <c r="Q2089" s="1">
        <v>65.481999999999999</v>
      </c>
      <c r="R2089" s="1">
        <v>13.886265</v>
      </c>
      <c r="S2089" s="1">
        <v>-0.43375373</v>
      </c>
      <c r="T2089" s="1">
        <v>-8.9945959999999996</v>
      </c>
      <c r="U2089" s="1">
        <v>26.178000000000001</v>
      </c>
      <c r="V2089" s="1">
        <v>93</v>
      </c>
      <c r="W2089" s="1">
        <v>169</v>
      </c>
      <c r="X2089" s="1">
        <v>1.8172043010752688</v>
      </c>
      <c r="Y2089" s="1">
        <v>101</v>
      </c>
      <c r="Z2089" s="1">
        <v>169</v>
      </c>
      <c r="AA2089" s="1">
        <v>1.6732673267326732</v>
      </c>
      <c r="AB2089" s="1">
        <v>99.986135451154041</v>
      </c>
      <c r="AC2089" s="1">
        <v>168.17255279604299</v>
      </c>
      <c r="AD2089" s="1">
        <v>1.6819587239492808</v>
      </c>
      <c r="AE2089" t="s">
        <v>4817</v>
      </c>
      <c r="AF2089" t="str">
        <f>IF(X2089&lt;$AF$1,"Bajo","Alto")</f>
        <v>Alto</v>
      </c>
      <c r="AG2089" t="str">
        <f>LEFT(AE2089,1)</f>
        <v>C</v>
      </c>
      <c r="AH2089" t="str">
        <f>K2089</f>
        <v>M</v>
      </c>
      <c r="AI2089" t="str">
        <f>LEFT(AF2089,1)</f>
        <v>A</v>
      </c>
      <c r="AJ2089" t="str">
        <f>LEFT(M2089,1)</f>
        <v>J</v>
      </c>
      <c r="AK2089" t="str">
        <f>_xlfn.CONCAT(AG2089,AH2089,AI2089,AJ2089)</f>
        <v>CMAJ</v>
      </c>
    </row>
    <row r="2090" spans="1:37" ht="15.75" hidden="1" customHeight="1" x14ac:dyDescent="0.2">
      <c r="A2090" s="1">
        <v>211605</v>
      </c>
      <c r="B2090" s="1" t="s">
        <v>2816</v>
      </c>
      <c r="C2090" s="1" t="s">
        <v>2817</v>
      </c>
      <c r="D2090" s="1" t="s">
        <v>2841</v>
      </c>
      <c r="E2090" s="1" t="s">
        <v>244</v>
      </c>
      <c r="F2090" s="1" t="s">
        <v>40</v>
      </c>
      <c r="G2090" s="1" t="s">
        <v>2844</v>
      </c>
      <c r="H2090" s="1">
        <v>1553</v>
      </c>
      <c r="I2090" s="1" t="s">
        <v>108</v>
      </c>
      <c r="J2090" s="1">
        <v>3</v>
      </c>
      <c r="K2090" s="1" t="s">
        <v>35</v>
      </c>
      <c r="L2090" s="1">
        <v>56</v>
      </c>
      <c r="M2090" s="1" t="str">
        <f>IF(L2090&lt;=45,"Joven","Mayor")</f>
        <v>Mayor</v>
      </c>
      <c r="N2090" s="1">
        <v>66</v>
      </c>
      <c r="O2090" s="1" t="s">
        <v>36</v>
      </c>
      <c r="P2090" s="1">
        <v>0.53300000000000003</v>
      </c>
      <c r="Q2090" s="1">
        <v>86.394000000000005</v>
      </c>
      <c r="R2090" s="1">
        <v>7.8038800000000004</v>
      </c>
      <c r="S2090" s="1">
        <v>3.1639263999999998</v>
      </c>
      <c r="T2090" s="1">
        <v>-10.045306</v>
      </c>
      <c r="U2090" s="1">
        <v>1.0920000000000001</v>
      </c>
      <c r="V2090" s="1">
        <v>59</v>
      </c>
      <c r="W2090" s="1">
        <v>107</v>
      </c>
      <c r="X2090" s="1">
        <v>1.8135593220338984</v>
      </c>
      <c r="Y2090" s="1">
        <v>64</v>
      </c>
      <c r="Z2090" s="1">
        <v>107</v>
      </c>
      <c r="AA2090" s="1">
        <v>1.671875</v>
      </c>
      <c r="AB2090" s="1">
        <v>63.677197122095549</v>
      </c>
      <c r="AC2090" s="1">
        <v>107.1039729119511</v>
      </c>
      <c r="AD2090" s="1">
        <v>1.6819831549210378</v>
      </c>
      <c r="AE2090" t="s">
        <v>4817</v>
      </c>
      <c r="AF2090" t="str">
        <f>IF(X2090&lt;$AF$1,"Bajo","Alto")</f>
        <v>Alto</v>
      </c>
      <c r="AG2090" t="str">
        <f>LEFT(AE2090,1)</f>
        <v>C</v>
      </c>
      <c r="AH2090" t="str">
        <f>K2090</f>
        <v>M</v>
      </c>
      <c r="AI2090" t="str">
        <f>LEFT(AF2090,1)</f>
        <v>A</v>
      </c>
      <c r="AJ2090" t="str">
        <f>LEFT(M2090,1)</f>
        <v>M</v>
      </c>
      <c r="AK2090" t="str">
        <f>_xlfn.CONCAT(AG2090,AH2090,AI2090,AJ2090)</f>
        <v>CMAM</v>
      </c>
    </row>
    <row r="2091" spans="1:37" ht="15.75" hidden="1" customHeight="1" x14ac:dyDescent="0.2">
      <c r="A2091" s="1">
        <v>1013902</v>
      </c>
      <c r="B2091" s="1" t="s">
        <v>29</v>
      </c>
      <c r="C2091" s="1" t="s">
        <v>30</v>
      </c>
      <c r="D2091" s="1" t="s">
        <v>653</v>
      </c>
      <c r="E2091" s="1" t="s">
        <v>654</v>
      </c>
      <c r="F2091" s="1" t="s">
        <v>37</v>
      </c>
      <c r="G2091" s="1" t="s">
        <v>655</v>
      </c>
      <c r="H2091" s="1">
        <v>123</v>
      </c>
      <c r="I2091" s="1" t="s">
        <v>85</v>
      </c>
      <c r="J2091" s="1">
        <v>12</v>
      </c>
      <c r="K2091" s="1" t="s">
        <v>35</v>
      </c>
      <c r="L2091" s="1">
        <v>46</v>
      </c>
      <c r="M2091" s="1" t="str">
        <f>IF(L2091&lt;=45,"Joven","Mayor")</f>
        <v>Mayor</v>
      </c>
      <c r="N2091" s="1">
        <v>35</v>
      </c>
      <c r="O2091" s="1" t="s">
        <v>36</v>
      </c>
      <c r="P2091" s="1">
        <v>0.45700000000000002</v>
      </c>
      <c r="Q2091" s="1">
        <v>94.477999999999994</v>
      </c>
      <c r="R2091" s="1">
        <v>-0.55251530000000004</v>
      </c>
      <c r="S2091" s="1">
        <v>1.2820563</v>
      </c>
      <c r="T2091" s="1">
        <v>-2.2634664</v>
      </c>
      <c r="U2091" s="1">
        <v>2.5289999999999999</v>
      </c>
      <c r="V2091" s="1">
        <v>109</v>
      </c>
      <c r="W2091" s="1">
        <v>185</v>
      </c>
      <c r="X2091" s="1">
        <v>1.6972477064220184</v>
      </c>
      <c r="Y2091" s="1">
        <v>110</v>
      </c>
      <c r="Z2091" s="1">
        <v>185</v>
      </c>
      <c r="AA2091" s="1">
        <v>1.6818181818181819</v>
      </c>
      <c r="AB2091" s="1">
        <v>110.6922161524883</v>
      </c>
      <c r="AC2091" s="1">
        <v>185.01363820439201</v>
      </c>
      <c r="AD2091" s="1">
        <v>1.6714241040175706</v>
      </c>
      <c r="AE2091" t="s">
        <v>4815</v>
      </c>
      <c r="AF2091" t="str">
        <f>IF(X2091&lt;$AF$1,"Bajo","Alto")</f>
        <v>Bajo</v>
      </c>
      <c r="AG2091" t="str">
        <f>LEFT(AE2091,1)</f>
        <v>I</v>
      </c>
      <c r="AH2091" t="str">
        <f>K2091</f>
        <v>M</v>
      </c>
      <c r="AI2091" t="str">
        <f>LEFT(AF2091,1)</f>
        <v>B</v>
      </c>
      <c r="AJ2091" t="str">
        <f>LEFT(M2091,1)</f>
        <v>M</v>
      </c>
      <c r="AK2091" t="str">
        <f>_xlfn.CONCAT(AG2091,AH2091,AI2091,AJ2091)</f>
        <v>IMBM</v>
      </c>
    </row>
    <row r="2092" spans="1:37" ht="15.75" hidden="1" customHeight="1" x14ac:dyDescent="0.2">
      <c r="A2092" s="1">
        <v>257002</v>
      </c>
      <c r="B2092" s="1" t="s">
        <v>3169</v>
      </c>
      <c r="C2092" s="1" t="s">
        <v>821</v>
      </c>
      <c r="D2092" s="1" t="s">
        <v>3307</v>
      </c>
      <c r="E2092" s="1" t="s">
        <v>720</v>
      </c>
      <c r="F2092" s="1" t="s">
        <v>37</v>
      </c>
      <c r="G2092" s="1" t="s">
        <v>3309</v>
      </c>
      <c r="H2092" s="1">
        <v>388</v>
      </c>
      <c r="I2092" s="1" t="s">
        <v>134</v>
      </c>
      <c r="J2092" s="1">
        <v>8</v>
      </c>
      <c r="K2092" s="1" t="s">
        <v>35</v>
      </c>
      <c r="L2092" s="1">
        <v>52</v>
      </c>
      <c r="M2092" s="1" t="str">
        <f>IF(L2092&lt;=45,"Joven","Mayor")</f>
        <v>Mayor</v>
      </c>
      <c r="N2092" s="1">
        <v>54</v>
      </c>
      <c r="O2092" s="1" t="s">
        <v>36</v>
      </c>
      <c r="P2092" s="1">
        <v>0.43</v>
      </c>
      <c r="Q2092" s="1">
        <v>93.793000000000006</v>
      </c>
      <c r="R2092" s="1">
        <v>1.4825360999999999</v>
      </c>
      <c r="S2092" s="1">
        <v>2.4243123999999998</v>
      </c>
      <c r="T2092" s="1">
        <v>-3.6558837999999998</v>
      </c>
      <c r="U2092" s="1">
        <v>1.0649999999999999</v>
      </c>
      <c r="V2092" s="1">
        <v>109</v>
      </c>
      <c r="W2092" s="1">
        <v>188</v>
      </c>
      <c r="X2092" s="1">
        <v>1.724770642201835</v>
      </c>
      <c r="Y2092" s="1">
        <v>109</v>
      </c>
      <c r="Z2092" s="1">
        <v>188</v>
      </c>
      <c r="AA2092" s="1">
        <v>1.724770642201835</v>
      </c>
      <c r="AB2092" s="1">
        <v>111.6475626068343</v>
      </c>
      <c r="AC2092" s="1">
        <v>187.61742199041689</v>
      </c>
      <c r="AD2092" s="1">
        <v>1.6804435100039723</v>
      </c>
      <c r="AE2092" t="s">
        <v>4817</v>
      </c>
      <c r="AF2092" t="str">
        <f>IF(X2092&lt;$AF$1,"Bajo","Alto")</f>
        <v>Bajo</v>
      </c>
      <c r="AG2092" t="str">
        <f>LEFT(AE2092,1)</f>
        <v>C</v>
      </c>
      <c r="AH2092" t="str">
        <f>K2092</f>
        <v>M</v>
      </c>
      <c r="AI2092" t="str">
        <f>LEFT(AF2092,1)</f>
        <v>B</v>
      </c>
      <c r="AJ2092" t="str">
        <f>LEFT(M2092,1)</f>
        <v>M</v>
      </c>
      <c r="AK2092" t="str">
        <f>_xlfn.CONCAT(AG2092,AH2092,AI2092,AJ2092)</f>
        <v>CMBM</v>
      </c>
    </row>
    <row r="2093" spans="1:37" ht="15.75" hidden="1" customHeight="1" x14ac:dyDescent="0.2">
      <c r="A2093" s="1">
        <v>1525903</v>
      </c>
      <c r="B2093" s="1" t="s">
        <v>2077</v>
      </c>
      <c r="C2093" s="1" t="s">
        <v>57</v>
      </c>
      <c r="D2093" s="1" t="s">
        <v>2314</v>
      </c>
      <c r="E2093" s="1" t="s">
        <v>517</v>
      </c>
      <c r="F2093" s="1" t="s">
        <v>63</v>
      </c>
      <c r="G2093" s="1" t="s">
        <v>2316</v>
      </c>
      <c r="H2093" s="1">
        <v>932</v>
      </c>
      <c r="I2093" s="1" t="s">
        <v>2317</v>
      </c>
      <c r="J2093" s="1">
        <v>2038</v>
      </c>
      <c r="K2093" s="1" t="s">
        <v>35</v>
      </c>
      <c r="L2093" s="1">
        <v>28</v>
      </c>
      <c r="M2093" s="1" t="str">
        <f>IF(L2093&lt;=45,"Joven","Mayor")</f>
        <v>Joven</v>
      </c>
      <c r="N2093" s="1">
        <v>39</v>
      </c>
      <c r="O2093" s="1" t="s">
        <v>36</v>
      </c>
      <c r="P2093" s="1">
        <v>0.42699999999999999</v>
      </c>
      <c r="Q2093" s="1">
        <v>93.028000000000006</v>
      </c>
      <c r="R2093" s="1">
        <v>1.7832121000000001</v>
      </c>
      <c r="S2093" s="1">
        <v>4.7587023000000004</v>
      </c>
      <c r="T2093" s="1">
        <v>-0.93641280000000005</v>
      </c>
      <c r="U2093" s="1">
        <v>0.88700000000000001</v>
      </c>
      <c r="V2093" s="1">
        <v>93</v>
      </c>
      <c r="W2093" s="1">
        <v>169</v>
      </c>
      <c r="X2093" s="1">
        <v>1.8172043010752688</v>
      </c>
      <c r="Y2093" s="1">
        <v>94</v>
      </c>
      <c r="Z2093" s="1">
        <v>169</v>
      </c>
      <c r="AA2093" s="1">
        <v>1.7978723404255319</v>
      </c>
      <c r="AB2093" s="1">
        <v>93.641290040080776</v>
      </c>
      <c r="AC2093" s="1">
        <v>168.9774297452941</v>
      </c>
      <c r="AD2093" s="1">
        <v>1.8045183879137889</v>
      </c>
      <c r="AE2093" t="s">
        <v>4817</v>
      </c>
      <c r="AF2093" t="str">
        <f>IF(X2093&lt;$AF$1,"Bajo","Alto")</f>
        <v>Alto</v>
      </c>
      <c r="AG2093" t="str">
        <f>LEFT(AE2093,1)</f>
        <v>C</v>
      </c>
      <c r="AH2093" t="str">
        <f>K2093</f>
        <v>M</v>
      </c>
      <c r="AI2093" t="str">
        <f>LEFT(AF2093,1)</f>
        <v>A</v>
      </c>
      <c r="AJ2093" t="str">
        <f>LEFT(M2093,1)</f>
        <v>J</v>
      </c>
      <c r="AK2093" t="str">
        <f>_xlfn.CONCAT(AG2093,AH2093,AI2093,AJ2093)</f>
        <v>CMAJ</v>
      </c>
    </row>
    <row r="2094" spans="1:37" ht="15.75" hidden="1" customHeight="1" x14ac:dyDescent="0.2">
      <c r="A2094" s="1">
        <v>520505</v>
      </c>
      <c r="B2094" s="1" t="s">
        <v>4529</v>
      </c>
      <c r="C2094" s="1" t="s">
        <v>685</v>
      </c>
      <c r="D2094" s="1" t="s">
        <v>4539</v>
      </c>
      <c r="E2094" s="1" t="s">
        <v>40</v>
      </c>
      <c r="F2094" s="1" t="s">
        <v>40</v>
      </c>
      <c r="G2094" s="1" t="s">
        <v>4541</v>
      </c>
      <c r="H2094" s="1">
        <v>13541</v>
      </c>
      <c r="I2094" s="1" t="s">
        <v>134</v>
      </c>
      <c r="J2094" s="1">
        <v>8</v>
      </c>
      <c r="K2094" s="1" t="s">
        <v>35</v>
      </c>
      <c r="L2094" s="1">
        <v>53</v>
      </c>
      <c r="M2094" s="1" t="str">
        <f>IF(L2094&lt;=45,"Joven","Mayor")</f>
        <v>Mayor</v>
      </c>
      <c r="N2094" s="1">
        <v>54</v>
      </c>
      <c r="O2094" s="1" t="s">
        <v>36</v>
      </c>
      <c r="P2094" s="1">
        <v>0.35899999999999999</v>
      </c>
      <c r="Q2094" s="1">
        <v>92.105999999999995</v>
      </c>
      <c r="R2094" s="1">
        <v>3.2878625000000001</v>
      </c>
      <c r="S2094" s="1">
        <v>4.1804494999999999</v>
      </c>
      <c r="T2094" s="1">
        <v>-7.8817940000000002</v>
      </c>
      <c r="U2094" s="1">
        <v>1.6060000000000001</v>
      </c>
      <c r="V2094" s="1">
        <v>109</v>
      </c>
      <c r="W2094" s="1">
        <v>188</v>
      </c>
      <c r="X2094" s="1">
        <v>1.724770642201835</v>
      </c>
      <c r="Y2094" s="1">
        <v>115</v>
      </c>
      <c r="Z2094" s="1">
        <v>188</v>
      </c>
      <c r="AA2094" s="1">
        <v>1.6347826086956523</v>
      </c>
      <c r="AB2094" s="1">
        <v>115.6495552762651</v>
      </c>
      <c r="AC2094" s="1">
        <v>188.41805713453641</v>
      </c>
      <c r="AD2094" s="1">
        <v>1.6292155787753875</v>
      </c>
      <c r="AE2094" t="s">
        <v>4817</v>
      </c>
      <c r="AF2094" t="str">
        <f>IF(X2094&lt;$AF$1,"Bajo","Alto")</f>
        <v>Bajo</v>
      </c>
      <c r="AG2094" t="str">
        <f>LEFT(AE2094,1)</f>
        <v>C</v>
      </c>
      <c r="AH2094" t="str">
        <f>K2094</f>
        <v>M</v>
      </c>
      <c r="AI2094" t="str">
        <f>LEFT(AF2094,1)</f>
        <v>B</v>
      </c>
      <c r="AJ2094" t="str">
        <f>LEFT(M2094,1)</f>
        <v>M</v>
      </c>
      <c r="AK2094" t="str">
        <f>_xlfn.CONCAT(AG2094,AH2094,AI2094,AJ2094)</f>
        <v>CMBM</v>
      </c>
    </row>
    <row r="2095" spans="1:37" ht="15.75" hidden="1" customHeight="1" x14ac:dyDescent="0.2">
      <c r="A2095" s="1">
        <v>254004</v>
      </c>
      <c r="B2095" s="1" t="s">
        <v>3169</v>
      </c>
      <c r="C2095" s="1" t="s">
        <v>821</v>
      </c>
      <c r="D2095" s="1" t="s">
        <v>3248</v>
      </c>
      <c r="E2095" s="1" t="s">
        <v>657</v>
      </c>
      <c r="F2095" s="1" t="s">
        <v>61</v>
      </c>
      <c r="G2095" s="1" t="s">
        <v>3250</v>
      </c>
      <c r="H2095" s="1">
        <v>2045</v>
      </c>
      <c r="I2095" s="1" t="s">
        <v>3251</v>
      </c>
      <c r="J2095" s="1">
        <v>2708</v>
      </c>
      <c r="K2095" s="1" t="s">
        <v>35</v>
      </c>
      <c r="L2095" s="1">
        <v>40</v>
      </c>
      <c r="M2095" s="1" t="str">
        <f>IF(L2095&lt;=45,"Joven","Mayor")</f>
        <v>Joven</v>
      </c>
      <c r="N2095" s="1">
        <v>39</v>
      </c>
      <c r="O2095" s="1" t="s">
        <v>36</v>
      </c>
      <c r="P2095" s="1">
        <v>0.36399999999999999</v>
      </c>
      <c r="Q2095" s="1">
        <v>89.448999999999998</v>
      </c>
      <c r="R2095" s="1">
        <v>5.3740709999999998</v>
      </c>
      <c r="S2095" s="1">
        <v>5.3841367</v>
      </c>
      <c r="T2095" s="1">
        <v>-5.5833620000000002</v>
      </c>
      <c r="U2095" s="1">
        <v>1.024</v>
      </c>
      <c r="V2095" s="1">
        <v>93</v>
      </c>
      <c r="W2095" s="1">
        <v>169</v>
      </c>
      <c r="X2095" s="1">
        <v>1.8172043010752688</v>
      </c>
      <c r="Y2095" s="1">
        <v>96</v>
      </c>
      <c r="Z2095" s="1">
        <v>169</v>
      </c>
      <c r="AA2095" s="1">
        <v>1.7604166666666667</v>
      </c>
      <c r="AB2095" s="1">
        <v>97.22888652308643</v>
      </c>
      <c r="AC2095" s="1">
        <v>168.68468190842211</v>
      </c>
      <c r="AD2095" s="1">
        <v>1.734923518520074</v>
      </c>
      <c r="AE2095" t="s">
        <v>4817</v>
      </c>
      <c r="AF2095" t="str">
        <f>IF(X2095&lt;$AF$1,"Bajo","Alto")</f>
        <v>Alto</v>
      </c>
      <c r="AG2095" t="str">
        <f>LEFT(AE2095,1)</f>
        <v>C</v>
      </c>
      <c r="AH2095" t="str">
        <f>K2095</f>
        <v>M</v>
      </c>
      <c r="AI2095" t="str">
        <f>LEFT(AF2095,1)</f>
        <v>A</v>
      </c>
      <c r="AJ2095" t="str">
        <f>LEFT(M2095,1)</f>
        <v>J</v>
      </c>
      <c r="AK2095" t="str">
        <f>_xlfn.CONCAT(AG2095,AH2095,AI2095,AJ2095)</f>
        <v>CMAJ</v>
      </c>
    </row>
    <row r="2096" spans="1:37" ht="15.75" hidden="1" customHeight="1" x14ac:dyDescent="0.2">
      <c r="A2096" s="1">
        <v>1074002</v>
      </c>
      <c r="B2096" s="1" t="s">
        <v>1067</v>
      </c>
      <c r="C2096" s="1" t="s">
        <v>1068</v>
      </c>
      <c r="D2096" s="1" t="s">
        <v>1445</v>
      </c>
      <c r="E2096" s="1" t="s">
        <v>657</v>
      </c>
      <c r="F2096" s="1" t="s">
        <v>37</v>
      </c>
      <c r="G2096" s="1" t="s">
        <v>1446</v>
      </c>
      <c r="H2096" s="1">
        <v>888</v>
      </c>
      <c r="I2096" s="1" t="s">
        <v>65</v>
      </c>
      <c r="J2096" s="1">
        <v>2</v>
      </c>
      <c r="K2096" s="1" t="s">
        <v>35</v>
      </c>
      <c r="L2096" s="1">
        <v>45</v>
      </c>
      <c r="M2096" s="1" t="str">
        <f>IF(L2096&lt;=45,"Joven","Mayor")</f>
        <v>Joven</v>
      </c>
      <c r="N2096" s="1">
        <v>52</v>
      </c>
      <c r="O2096" s="1" t="s">
        <v>36</v>
      </c>
      <c r="P2096" s="1">
        <v>0.185</v>
      </c>
      <c r="Q2096" s="1">
        <v>94.152000000000001</v>
      </c>
      <c r="R2096" s="1">
        <v>1.5756878999999999</v>
      </c>
      <c r="S2096" s="1">
        <v>-0.51338947000000001</v>
      </c>
      <c r="T2096" s="1">
        <v>-1.0814883</v>
      </c>
      <c r="U2096" s="1">
        <v>0.92300000000000004</v>
      </c>
      <c r="V2096" s="1">
        <v>81</v>
      </c>
      <c r="W2096" s="1">
        <v>147</v>
      </c>
      <c r="X2096" s="1">
        <v>1.8148148148148149</v>
      </c>
      <c r="Y2096" s="1">
        <v>89</v>
      </c>
      <c r="Z2096" s="1">
        <v>147</v>
      </c>
      <c r="AA2096" s="1">
        <v>1.651685393258427</v>
      </c>
      <c r="AB2096" s="1">
        <v>88.266918145754744</v>
      </c>
      <c r="AC2096" s="1">
        <v>147.10593465469719</v>
      </c>
      <c r="AD2096" s="1">
        <v>1.6666032727208382</v>
      </c>
      <c r="AE2096" t="s">
        <v>4817</v>
      </c>
      <c r="AF2096" t="str">
        <f>IF(X2096&lt;$AF$1,"Bajo","Alto")</f>
        <v>Alto</v>
      </c>
      <c r="AG2096" t="str">
        <f>LEFT(AE2096,1)</f>
        <v>C</v>
      </c>
      <c r="AH2096" t="str">
        <f>K2096</f>
        <v>M</v>
      </c>
      <c r="AI2096" t="str">
        <f>LEFT(AF2096,1)</f>
        <v>A</v>
      </c>
      <c r="AJ2096" t="str">
        <f>LEFT(M2096,1)</f>
        <v>J</v>
      </c>
      <c r="AK2096" t="str">
        <f>_xlfn.CONCAT(AG2096,AH2096,AI2096,AJ2096)</f>
        <v>CMAJ</v>
      </c>
    </row>
    <row r="2097" spans="1:37" ht="15.75" hidden="1" customHeight="1" x14ac:dyDescent="0.2">
      <c r="A2097" s="1">
        <v>1078805</v>
      </c>
      <c r="B2097" s="1" t="s">
        <v>1067</v>
      </c>
      <c r="C2097" s="1" t="s">
        <v>1068</v>
      </c>
      <c r="D2097" s="1" t="s">
        <v>1511</v>
      </c>
      <c r="E2097" s="1" t="s">
        <v>763</v>
      </c>
      <c r="F2097" s="1" t="s">
        <v>40</v>
      </c>
      <c r="G2097" s="1" t="s">
        <v>1515</v>
      </c>
      <c r="H2097" s="1">
        <v>1610</v>
      </c>
      <c r="I2097" s="1" t="s">
        <v>1516</v>
      </c>
      <c r="J2097" s="1">
        <v>2015</v>
      </c>
      <c r="K2097" s="1" t="s">
        <v>35</v>
      </c>
      <c r="L2097" s="1">
        <v>47</v>
      </c>
      <c r="M2097" s="1" t="str">
        <f>IF(L2097&lt;=45,"Joven","Mayor")</f>
        <v>Mayor</v>
      </c>
      <c r="N2097" s="1">
        <v>61</v>
      </c>
      <c r="O2097" s="1" t="s">
        <v>36</v>
      </c>
      <c r="P2097" s="1">
        <v>2.5169999999999999</v>
      </c>
      <c r="Q2097" s="1">
        <v>81.41</v>
      </c>
      <c r="R2097" s="1">
        <v>-9.6737920000000006</v>
      </c>
      <c r="S2097" s="1">
        <v>1.7983648000000001</v>
      </c>
      <c r="T2097" s="1">
        <v>6.9670399999999999</v>
      </c>
      <c r="U2097" s="1">
        <v>1.304</v>
      </c>
      <c r="V2097" s="1">
        <v>75</v>
      </c>
      <c r="W2097" s="1">
        <v>136</v>
      </c>
      <c r="X2097" s="1">
        <v>1.8133333333333332</v>
      </c>
      <c r="Y2097" s="1">
        <v>81</v>
      </c>
      <c r="Z2097" s="1">
        <v>136</v>
      </c>
      <c r="AA2097" s="1">
        <v>1.6790123456790123</v>
      </c>
      <c r="AB2097" s="1">
        <v>78.934246026525216</v>
      </c>
      <c r="AC2097" s="1">
        <v>135.72357889207751</v>
      </c>
      <c r="AD2097" s="1">
        <v>1.7194511346376666</v>
      </c>
      <c r="AE2097" t="s">
        <v>4817</v>
      </c>
      <c r="AF2097" t="str">
        <f>IF(X2097&lt;$AF$1,"Bajo","Alto")</f>
        <v>Alto</v>
      </c>
      <c r="AG2097" t="str">
        <f>LEFT(AE2097,1)</f>
        <v>C</v>
      </c>
      <c r="AH2097" t="str">
        <f>K2097</f>
        <v>M</v>
      </c>
      <c r="AI2097" t="str">
        <f>LEFT(AF2097,1)</f>
        <v>A</v>
      </c>
      <c r="AJ2097" t="str">
        <f>LEFT(M2097,1)</f>
        <v>M</v>
      </c>
      <c r="AK2097" t="str">
        <f>_xlfn.CONCAT(AG2097,AH2097,AI2097,AJ2097)</f>
        <v>CMAM</v>
      </c>
    </row>
    <row r="2098" spans="1:37" ht="15.75" hidden="1" customHeight="1" x14ac:dyDescent="0.2">
      <c r="A2098" s="1">
        <v>276105</v>
      </c>
      <c r="B2098" s="1" t="s">
        <v>3409</v>
      </c>
      <c r="C2098" s="1" t="s">
        <v>973</v>
      </c>
      <c r="D2098" s="1" t="s">
        <v>3699</v>
      </c>
      <c r="E2098" s="1" t="s">
        <v>701</v>
      </c>
      <c r="F2098" s="1" t="s">
        <v>40</v>
      </c>
      <c r="G2098" s="1" t="s">
        <v>3702</v>
      </c>
      <c r="H2098" s="1">
        <v>350</v>
      </c>
      <c r="I2098" s="1" t="s">
        <v>93</v>
      </c>
      <c r="J2098" s="1">
        <v>9</v>
      </c>
      <c r="K2098" s="1" t="s">
        <v>35</v>
      </c>
      <c r="L2098" s="1">
        <v>65</v>
      </c>
      <c r="M2098" s="1" t="str">
        <f>IF(L2098&lt;=45,"Joven","Mayor")</f>
        <v>Mayor</v>
      </c>
      <c r="N2098" s="1">
        <v>69</v>
      </c>
      <c r="O2098" s="1" t="s">
        <v>36</v>
      </c>
      <c r="P2098" s="1">
        <v>0.28699999999999998</v>
      </c>
      <c r="Q2098" s="1">
        <v>91.462999999999994</v>
      </c>
      <c r="R2098" s="1">
        <v>-4.6873100000000001</v>
      </c>
      <c r="S2098" s="1">
        <v>-1.9063519</v>
      </c>
      <c r="T2098" s="1">
        <v>0.73410355999999999</v>
      </c>
      <c r="U2098" s="1">
        <v>1.635</v>
      </c>
      <c r="V2098" s="1">
        <v>119</v>
      </c>
      <c r="W2098" s="1">
        <v>202</v>
      </c>
      <c r="X2098" s="1">
        <v>1.6974789915966386</v>
      </c>
      <c r="Y2098" s="1">
        <v>126</v>
      </c>
      <c r="Z2098" s="1">
        <v>202</v>
      </c>
      <c r="AA2098" s="1">
        <v>1.6031746031746033</v>
      </c>
      <c r="AB2098" s="1">
        <v>126.5149571311626</v>
      </c>
      <c r="AC2098" s="1">
        <v>201.70155216876489</v>
      </c>
      <c r="AD2098" s="1">
        <v>1.5942901672855458</v>
      </c>
      <c r="AE2098" t="s">
        <v>4815</v>
      </c>
      <c r="AF2098" t="str">
        <f>IF(X2098&lt;$AF$1,"Bajo","Alto")</f>
        <v>Bajo</v>
      </c>
      <c r="AG2098" t="str">
        <f>LEFT(AE2098,1)</f>
        <v>I</v>
      </c>
      <c r="AH2098" t="str">
        <f>K2098</f>
        <v>M</v>
      </c>
      <c r="AI2098" t="str">
        <f>LEFT(AF2098,1)</f>
        <v>B</v>
      </c>
      <c r="AJ2098" t="str">
        <f>LEFT(M2098,1)</f>
        <v>M</v>
      </c>
      <c r="AK2098" t="str">
        <f>_xlfn.CONCAT(AG2098,AH2098,AI2098,AJ2098)</f>
        <v>IMBM</v>
      </c>
    </row>
    <row r="2099" spans="1:37" ht="15.75" hidden="1" customHeight="1" x14ac:dyDescent="0.2">
      <c r="A2099" s="1">
        <v>2713602</v>
      </c>
      <c r="B2099" s="1" t="s">
        <v>3409</v>
      </c>
      <c r="C2099" s="1" t="s">
        <v>973</v>
      </c>
      <c r="D2099" s="1" t="s">
        <v>3495</v>
      </c>
      <c r="E2099" s="1" t="s">
        <v>1130</v>
      </c>
      <c r="F2099" s="1" t="s">
        <v>37</v>
      </c>
      <c r="G2099" s="1" t="s">
        <v>3497</v>
      </c>
      <c r="H2099" s="1">
        <v>947</v>
      </c>
      <c r="I2099" s="1" t="s">
        <v>3498</v>
      </c>
      <c r="J2099" s="1">
        <v>3853</v>
      </c>
      <c r="K2099" s="1" t="s">
        <v>49</v>
      </c>
      <c r="L2099" s="1">
        <v>45</v>
      </c>
      <c r="M2099" s="1" t="str">
        <f>IF(L2099&lt;=45,"Joven","Mayor")</f>
        <v>Joven</v>
      </c>
      <c r="N2099" s="1">
        <v>30</v>
      </c>
      <c r="O2099" s="1" t="s">
        <v>50</v>
      </c>
      <c r="P2099" s="1">
        <v>0.10199999999999999</v>
      </c>
      <c r="Q2099" s="1">
        <v>92.587000000000003</v>
      </c>
      <c r="R2099" s="1">
        <v>1.1033487</v>
      </c>
      <c r="S2099" s="1">
        <v>7.5578380000000003</v>
      </c>
      <c r="T2099" s="1">
        <v>6.2429303999999997</v>
      </c>
      <c r="U2099" s="1">
        <v>4.9080000000000004</v>
      </c>
      <c r="V2099" s="1">
        <v>89</v>
      </c>
      <c r="W2099" s="1">
        <v>162</v>
      </c>
      <c r="X2099" s="1">
        <v>1.8202247191011236</v>
      </c>
      <c r="Y2099" s="1">
        <v>100</v>
      </c>
      <c r="Z2099" s="1">
        <v>162</v>
      </c>
      <c r="AA2099" s="1">
        <v>1.62</v>
      </c>
      <c r="AB2099" s="1">
        <v>95.92716132264195</v>
      </c>
      <c r="AC2099" s="1">
        <v>162.8879534200878</v>
      </c>
      <c r="AD2099" s="1">
        <v>1.6980378776374874</v>
      </c>
      <c r="AE2099" t="s">
        <v>4817</v>
      </c>
      <c r="AF2099" t="str">
        <f>IF(X2099&lt;$AF$1,"Bajo","Alto")</f>
        <v>Alto</v>
      </c>
      <c r="AG2099" t="str">
        <f>LEFT(AE2099,1)</f>
        <v>C</v>
      </c>
      <c r="AH2099" t="str">
        <f>K2099</f>
        <v>F</v>
      </c>
      <c r="AI2099" t="str">
        <f>LEFT(AF2099,1)</f>
        <v>A</v>
      </c>
      <c r="AJ2099" t="str">
        <f>LEFT(M2099,1)</f>
        <v>J</v>
      </c>
      <c r="AK2099" t="str">
        <f>_xlfn.CONCAT(AG2099,AH2099,AI2099,AJ2099)</f>
        <v>CFAJ</v>
      </c>
    </row>
    <row r="2100" spans="1:37" ht="15.75" hidden="1" customHeight="1" x14ac:dyDescent="0.2">
      <c r="A2100" s="1">
        <v>525802</v>
      </c>
      <c r="B2100" s="1" t="s">
        <v>4529</v>
      </c>
      <c r="C2100" s="1" t="s">
        <v>685</v>
      </c>
      <c r="D2100" s="1" t="s">
        <v>4655</v>
      </c>
      <c r="E2100" s="1" t="s">
        <v>695</v>
      </c>
      <c r="F2100" s="1" t="s">
        <v>37</v>
      </c>
      <c r="G2100" s="1" t="s">
        <v>4656</v>
      </c>
      <c r="H2100" s="1">
        <v>1061</v>
      </c>
      <c r="I2100" s="1" t="s">
        <v>4657</v>
      </c>
      <c r="J2100" s="1">
        <v>2896</v>
      </c>
      <c r="K2100" s="1" t="s">
        <v>35</v>
      </c>
      <c r="L2100" s="1">
        <v>35</v>
      </c>
      <c r="M2100" s="1" t="str">
        <f>IF(L2100&lt;=45,"Joven","Mayor")</f>
        <v>Joven</v>
      </c>
      <c r="N2100" s="1">
        <v>47</v>
      </c>
      <c r="O2100" s="1" t="s">
        <v>36</v>
      </c>
      <c r="P2100" s="1">
        <v>0.35499999999999998</v>
      </c>
      <c r="Q2100" s="1">
        <v>93.623999999999995</v>
      </c>
      <c r="R2100" s="1">
        <v>0.37412190000000001</v>
      </c>
      <c r="S2100" s="1">
        <v>5.5568036999999997</v>
      </c>
      <c r="T2100" s="1">
        <v>-3.9035682999999999</v>
      </c>
      <c r="U2100" s="1">
        <v>16.544</v>
      </c>
      <c r="V2100" s="1">
        <v>90</v>
      </c>
      <c r="W2100" s="1">
        <v>156</v>
      </c>
      <c r="X2100" s="1">
        <v>1.7333333333333334</v>
      </c>
      <c r="Y2100" s="1">
        <v>93</v>
      </c>
      <c r="Z2100" s="1">
        <v>156</v>
      </c>
      <c r="AA2100" s="1">
        <v>1.6774193548387097</v>
      </c>
      <c r="AB2100" s="1">
        <v>95.371185959540298</v>
      </c>
      <c r="AC2100" s="1">
        <v>155.22962184736841</v>
      </c>
      <c r="AD2100" s="1">
        <v>1.6276364846005176</v>
      </c>
      <c r="AE2100" t="s">
        <v>4817</v>
      </c>
      <c r="AF2100" t="str">
        <f>IF(X2100&lt;$AF$1,"Bajo","Alto")</f>
        <v>Bajo</v>
      </c>
      <c r="AG2100" t="str">
        <f>LEFT(AE2100,1)</f>
        <v>C</v>
      </c>
      <c r="AH2100" t="str">
        <f>K2100</f>
        <v>M</v>
      </c>
      <c r="AI2100" t="str">
        <f>LEFT(AF2100,1)</f>
        <v>B</v>
      </c>
      <c r="AJ2100" t="str">
        <f>LEFT(M2100,1)</f>
        <v>J</v>
      </c>
      <c r="AK2100" t="str">
        <f>_xlfn.CONCAT(AG2100,AH2100,AI2100,AJ2100)</f>
        <v>CMBJ</v>
      </c>
    </row>
    <row r="2101" spans="1:37" ht="15.75" hidden="1" customHeight="1" x14ac:dyDescent="0.2">
      <c r="A2101" s="1">
        <v>400108</v>
      </c>
      <c r="B2101" s="1" t="s">
        <v>4287</v>
      </c>
      <c r="C2101" s="1" t="s">
        <v>657</v>
      </c>
      <c r="D2101" s="1" t="s">
        <v>4287</v>
      </c>
      <c r="E2101" s="1" t="s">
        <v>32</v>
      </c>
      <c r="F2101" s="1" t="s">
        <v>46</v>
      </c>
      <c r="G2101" s="1" t="s">
        <v>4290</v>
      </c>
      <c r="H2101" s="1">
        <v>8547</v>
      </c>
      <c r="I2101" s="1" t="s">
        <v>4291</v>
      </c>
      <c r="J2101" s="1">
        <v>2653</v>
      </c>
      <c r="K2101" s="1" t="s">
        <v>35</v>
      </c>
      <c r="L2101" s="1">
        <v>38</v>
      </c>
      <c r="M2101" s="1" t="str">
        <f>IF(L2101&lt;=45,"Joven","Mayor")</f>
        <v>Joven</v>
      </c>
      <c r="N2101" s="1">
        <v>28</v>
      </c>
      <c r="O2101" s="1" t="s">
        <v>36</v>
      </c>
      <c r="P2101" s="1">
        <v>0.40500000000000003</v>
      </c>
      <c r="Q2101" s="1">
        <v>83.283000000000001</v>
      </c>
      <c r="R2101" s="1">
        <v>-9.6436069999999994</v>
      </c>
      <c r="S2101" s="1">
        <v>-0.31496819999999998</v>
      </c>
      <c r="T2101" s="1">
        <v>1.4702451000000001</v>
      </c>
      <c r="U2101" s="1">
        <v>70.828000000000003</v>
      </c>
      <c r="V2101" s="1">
        <v>108</v>
      </c>
      <c r="W2101" s="1">
        <v>196</v>
      </c>
      <c r="X2101" s="1">
        <v>1.8148148148148149</v>
      </c>
      <c r="Y2101" s="1">
        <v>113</v>
      </c>
      <c r="Z2101" s="1">
        <v>196</v>
      </c>
      <c r="AA2101" s="1">
        <v>1.7345132743362832</v>
      </c>
      <c r="AB2101" s="1">
        <v>113.78384829574379</v>
      </c>
      <c r="AC2101" s="1">
        <v>195.2940287001602</v>
      </c>
      <c r="AD2101" s="1">
        <v>1.7163598491813832</v>
      </c>
      <c r="AE2101" t="s">
        <v>4817</v>
      </c>
      <c r="AF2101" t="str">
        <f>IF(X2101&lt;$AF$1,"Bajo","Alto")</f>
        <v>Alto</v>
      </c>
      <c r="AG2101" t="str">
        <f>LEFT(AE2101,1)</f>
        <v>C</v>
      </c>
      <c r="AH2101" t="str">
        <f>K2101</f>
        <v>M</v>
      </c>
      <c r="AI2101" t="str">
        <f>LEFT(AF2101,1)</f>
        <v>A</v>
      </c>
      <c r="AJ2101" t="str">
        <f>LEFT(M2101,1)</f>
        <v>J</v>
      </c>
      <c r="AK2101" t="str">
        <f>_xlfn.CONCAT(AG2101,AH2101,AI2101,AJ2101)</f>
        <v>CMAJ</v>
      </c>
    </row>
    <row r="2102" spans="1:37" ht="15.75" hidden="1" customHeight="1" x14ac:dyDescent="0.2">
      <c r="A2102" s="1">
        <v>10119602</v>
      </c>
      <c r="B2102" s="1" t="s">
        <v>29</v>
      </c>
      <c r="C2102" s="1" t="s">
        <v>30</v>
      </c>
      <c r="D2102" s="1" t="s">
        <v>345</v>
      </c>
      <c r="E2102" s="1" t="s">
        <v>346</v>
      </c>
      <c r="F2102" s="1" t="s">
        <v>37</v>
      </c>
      <c r="G2102" s="1" t="s">
        <v>348</v>
      </c>
      <c r="H2102" s="1">
        <v>406</v>
      </c>
      <c r="I2102" s="1" t="s">
        <v>42</v>
      </c>
      <c r="J2102" s="1">
        <v>15</v>
      </c>
      <c r="K2102" s="1" t="s">
        <v>49</v>
      </c>
      <c r="L2102" s="1">
        <v>30</v>
      </c>
      <c r="M2102" s="1" t="str">
        <f>IF(L2102&lt;=45,"Joven","Mayor")</f>
        <v>Joven</v>
      </c>
      <c r="N2102" s="1">
        <v>33</v>
      </c>
      <c r="O2102" s="1" t="s">
        <v>50</v>
      </c>
      <c r="P2102" s="1">
        <v>8.2000000000000003E-2</v>
      </c>
      <c r="Q2102" s="1">
        <v>44.356999999999999</v>
      </c>
      <c r="R2102" s="1">
        <v>16.669270000000001</v>
      </c>
      <c r="S2102" s="1">
        <v>-2.8659829999999999</v>
      </c>
      <c r="T2102" s="1">
        <v>-6.1510014999999996</v>
      </c>
      <c r="U2102" s="1">
        <v>72.570999999999998</v>
      </c>
      <c r="V2102" s="1">
        <v>119</v>
      </c>
      <c r="W2102" s="1">
        <v>207</v>
      </c>
      <c r="X2102" s="1">
        <v>1.7394957983193278</v>
      </c>
      <c r="Y2102" s="1">
        <v>122</v>
      </c>
      <c r="Z2102" s="1">
        <v>207</v>
      </c>
      <c r="AA2102" s="1">
        <v>1.6967213114754098</v>
      </c>
      <c r="AB2102" s="1">
        <v>122.9223249515107</v>
      </c>
      <c r="AC2102" s="1">
        <v>205.48684529453891</v>
      </c>
      <c r="AD2102" s="1">
        <v>1.6716804321395444</v>
      </c>
      <c r="AE2102" t="s">
        <v>4817</v>
      </c>
      <c r="AF2102" t="str">
        <f>IF(X2102&lt;$AF$1,"Bajo","Alto")</f>
        <v>Bajo</v>
      </c>
      <c r="AG2102" t="str">
        <f>LEFT(AE2102,1)</f>
        <v>C</v>
      </c>
      <c r="AH2102" t="str">
        <f>K2102</f>
        <v>F</v>
      </c>
      <c r="AI2102" t="str">
        <f>LEFT(AF2102,1)</f>
        <v>B</v>
      </c>
      <c r="AJ2102" t="str">
        <f>LEFT(M2102,1)</f>
        <v>J</v>
      </c>
      <c r="AK2102" t="str">
        <f>_xlfn.CONCAT(AG2102,AH2102,AI2102,AJ2102)</f>
        <v>CFBJ</v>
      </c>
    </row>
    <row r="2103" spans="1:37" ht="15.75" hidden="1" customHeight="1" x14ac:dyDescent="0.2">
      <c r="A2103" s="1">
        <v>10123502</v>
      </c>
      <c r="B2103" s="1" t="s">
        <v>29</v>
      </c>
      <c r="C2103" s="1" t="s">
        <v>30</v>
      </c>
      <c r="D2103" s="1" t="s">
        <v>464</v>
      </c>
      <c r="E2103" s="1" t="s">
        <v>465</v>
      </c>
      <c r="F2103" s="1" t="s">
        <v>37</v>
      </c>
      <c r="G2103" s="1" t="s">
        <v>467</v>
      </c>
      <c r="H2103" s="1">
        <v>779</v>
      </c>
      <c r="I2103" s="1" t="s">
        <v>45</v>
      </c>
      <c r="J2103" s="1">
        <v>17</v>
      </c>
      <c r="K2103" s="1" t="s">
        <v>35</v>
      </c>
      <c r="L2103" s="1">
        <v>45</v>
      </c>
      <c r="M2103" s="1" t="str">
        <f>IF(L2103&lt;=45,"Joven","Mayor")</f>
        <v>Joven</v>
      </c>
      <c r="N2103" s="1">
        <v>48</v>
      </c>
      <c r="O2103" s="1" t="s">
        <v>36</v>
      </c>
      <c r="P2103" s="1">
        <v>0.33900000000000002</v>
      </c>
      <c r="Q2103" s="1">
        <v>23.573</v>
      </c>
      <c r="R2103" s="1">
        <v>19.246980000000001</v>
      </c>
      <c r="S2103" s="1">
        <v>-4.0509142999999996</v>
      </c>
      <c r="T2103" s="1">
        <v>-3.2280369000000002</v>
      </c>
      <c r="U2103" s="1">
        <v>12.397</v>
      </c>
      <c r="V2103" s="1">
        <v>154</v>
      </c>
      <c r="W2103" s="1">
        <v>267</v>
      </c>
      <c r="X2103" s="1">
        <v>1.7337662337662338</v>
      </c>
      <c r="Y2103" s="1">
        <v>161</v>
      </c>
      <c r="Z2103" s="1">
        <v>267</v>
      </c>
      <c r="AA2103" s="1">
        <v>1.6583850931677018</v>
      </c>
      <c r="AB2103" s="1">
        <v>157.2468771247982</v>
      </c>
      <c r="AC2103" s="1">
        <v>265.95694809922128</v>
      </c>
      <c r="AD2103" s="1">
        <v>1.6913337356019216</v>
      </c>
      <c r="AE2103" t="s">
        <v>4817</v>
      </c>
      <c r="AF2103" t="str">
        <f>IF(X2103&lt;$AF$1,"Bajo","Alto")</f>
        <v>Bajo</v>
      </c>
      <c r="AG2103" t="str">
        <f>LEFT(AE2103,1)</f>
        <v>C</v>
      </c>
      <c r="AH2103" t="str">
        <f>K2103</f>
        <v>M</v>
      </c>
      <c r="AI2103" t="str">
        <f>LEFT(AF2103,1)</f>
        <v>B</v>
      </c>
      <c r="AJ2103" t="str">
        <f>LEFT(M2103,1)</f>
        <v>J</v>
      </c>
      <c r="AK2103" t="str">
        <f>_xlfn.CONCAT(AG2103,AH2103,AI2103,AJ2103)</f>
        <v>CMBJ</v>
      </c>
    </row>
    <row r="2104" spans="1:37" ht="15.75" hidden="1" customHeight="1" x14ac:dyDescent="0.2">
      <c r="A2104" s="1">
        <v>1035502</v>
      </c>
      <c r="B2104" s="1" t="s">
        <v>783</v>
      </c>
      <c r="C2104" s="1" t="s">
        <v>81</v>
      </c>
      <c r="D2104" s="1" t="s">
        <v>869</v>
      </c>
      <c r="E2104" s="1" t="s">
        <v>690</v>
      </c>
      <c r="F2104" s="1" t="s">
        <v>37</v>
      </c>
      <c r="G2104" s="1" t="s">
        <v>870</v>
      </c>
      <c r="H2104" s="1">
        <v>4452</v>
      </c>
      <c r="I2104" s="1" t="s">
        <v>134</v>
      </c>
      <c r="J2104" s="1">
        <v>8</v>
      </c>
      <c r="K2104" s="1" t="s">
        <v>35</v>
      </c>
      <c r="L2104" s="1">
        <v>47</v>
      </c>
      <c r="M2104" s="1" t="str">
        <f>IF(L2104&lt;=45,"Joven","Mayor")</f>
        <v>Mayor</v>
      </c>
      <c r="N2104" s="1">
        <v>49</v>
      </c>
      <c r="O2104" s="1" t="s">
        <v>36</v>
      </c>
      <c r="P2104" s="1">
        <v>7.2999999999999995E-2</v>
      </c>
      <c r="Q2104" s="1">
        <v>25.561</v>
      </c>
      <c r="R2104" s="1">
        <v>19.164648</v>
      </c>
      <c r="S2104" s="1">
        <v>1.4293689999999999</v>
      </c>
      <c r="T2104" s="1">
        <v>-5.2151959999999997</v>
      </c>
      <c r="U2104" s="1">
        <v>1.7869999999999999</v>
      </c>
      <c r="V2104" s="1">
        <v>120</v>
      </c>
      <c r="W2104" s="1">
        <v>207</v>
      </c>
      <c r="X2104" s="1">
        <v>1.7250000000000001</v>
      </c>
      <c r="Y2104" s="1">
        <v>127</v>
      </c>
      <c r="Z2104" s="1">
        <v>207</v>
      </c>
      <c r="AA2104" s="1">
        <v>1.6299212598425197</v>
      </c>
      <c r="AB2104" s="1">
        <v>124.2298678158982</v>
      </c>
      <c r="AC2104" s="1">
        <v>206.32488089258459</v>
      </c>
      <c r="AD2104" s="1">
        <v>1.6608315256227002</v>
      </c>
      <c r="AE2104" t="s">
        <v>4817</v>
      </c>
      <c r="AF2104" t="str">
        <f>IF(X2104&lt;$AF$1,"Bajo","Alto")</f>
        <v>Bajo</v>
      </c>
      <c r="AG2104" t="str">
        <f>LEFT(AE2104,1)</f>
        <v>C</v>
      </c>
      <c r="AH2104" t="str">
        <f>K2104</f>
        <v>M</v>
      </c>
      <c r="AI2104" t="str">
        <f>LEFT(AF2104,1)</f>
        <v>B</v>
      </c>
      <c r="AJ2104" t="str">
        <f>LEFT(M2104,1)</f>
        <v>M</v>
      </c>
      <c r="AK2104" t="str">
        <f>_xlfn.CONCAT(AG2104,AH2104,AI2104,AJ2104)</f>
        <v>CMBM</v>
      </c>
    </row>
    <row r="2105" spans="1:37" ht="15.75" hidden="1" customHeight="1" x14ac:dyDescent="0.2">
      <c r="A2105" s="1">
        <v>196405</v>
      </c>
      <c r="B2105" s="1" t="s">
        <v>2656</v>
      </c>
      <c r="C2105" s="1" t="s">
        <v>323</v>
      </c>
      <c r="D2105" s="1" t="s">
        <v>2765</v>
      </c>
      <c r="E2105" s="1" t="s">
        <v>710</v>
      </c>
      <c r="F2105" s="1" t="s">
        <v>40</v>
      </c>
      <c r="G2105" s="1" t="s">
        <v>2771</v>
      </c>
      <c r="H2105" s="1">
        <v>4435</v>
      </c>
      <c r="I2105" s="1" t="s">
        <v>2772</v>
      </c>
      <c r="J2105" s="1">
        <v>2892</v>
      </c>
      <c r="K2105" s="1" t="s">
        <v>35</v>
      </c>
      <c r="L2105" s="1">
        <v>42</v>
      </c>
      <c r="M2105" s="1" t="str">
        <f>IF(L2105&lt;=45,"Joven","Mayor")</f>
        <v>Joven</v>
      </c>
      <c r="N2105" s="1">
        <v>46</v>
      </c>
      <c r="O2105" s="1" t="s">
        <v>36</v>
      </c>
      <c r="P2105" s="1">
        <v>0.38900000000000001</v>
      </c>
      <c r="Q2105" s="1">
        <v>93.555999999999997</v>
      </c>
      <c r="R2105" s="1">
        <v>1.2547322999999999</v>
      </c>
      <c r="S2105" s="1">
        <v>4.0427379999999999</v>
      </c>
      <c r="T2105" s="1">
        <v>-7.335699</v>
      </c>
      <c r="U2105" s="1">
        <v>0.82899999999999996</v>
      </c>
      <c r="V2105" s="1">
        <v>97</v>
      </c>
      <c r="W2105" s="1">
        <v>176</v>
      </c>
      <c r="X2105" s="1">
        <v>1.8144329896907216</v>
      </c>
      <c r="Y2105" s="1">
        <v>106</v>
      </c>
      <c r="Z2105" s="1">
        <v>176</v>
      </c>
      <c r="AA2105" s="1">
        <v>1.6603773584905661</v>
      </c>
      <c r="AB2105" s="1">
        <v>103.6116535369863</v>
      </c>
      <c r="AC2105" s="1">
        <v>177.24078874797939</v>
      </c>
      <c r="AD2105" s="1">
        <v>1.710626002940004</v>
      </c>
      <c r="AE2105" t="s">
        <v>4817</v>
      </c>
      <c r="AF2105" t="str">
        <f>IF(X2105&lt;$AF$1,"Bajo","Alto")</f>
        <v>Alto</v>
      </c>
      <c r="AG2105" t="str">
        <f>LEFT(AE2105,1)</f>
        <v>C</v>
      </c>
      <c r="AH2105" t="str">
        <f>K2105</f>
        <v>M</v>
      </c>
      <c r="AI2105" t="str">
        <f>LEFT(AF2105,1)</f>
        <v>A</v>
      </c>
      <c r="AJ2105" t="str">
        <f>LEFT(M2105,1)</f>
        <v>J</v>
      </c>
      <c r="AK2105" t="str">
        <f>_xlfn.CONCAT(AG2105,AH2105,AI2105,AJ2105)</f>
        <v>CMAJ</v>
      </c>
    </row>
    <row r="2106" spans="1:37" ht="15.75" hidden="1" customHeight="1" x14ac:dyDescent="0.2">
      <c r="A2106" s="1">
        <v>10130007</v>
      </c>
      <c r="B2106" s="1" t="s">
        <v>29</v>
      </c>
      <c r="C2106" s="1" t="s">
        <v>30</v>
      </c>
      <c r="D2106" s="1" t="s">
        <v>612</v>
      </c>
      <c r="E2106" s="1" t="s">
        <v>613</v>
      </c>
      <c r="F2106" s="1" t="s">
        <v>43</v>
      </c>
      <c r="G2106" s="1" t="s">
        <v>619</v>
      </c>
      <c r="H2106" s="1">
        <v>4277</v>
      </c>
      <c r="I2106" s="1" t="s">
        <v>620</v>
      </c>
      <c r="J2106" s="1">
        <v>1989</v>
      </c>
      <c r="K2106" s="1" t="s">
        <v>35</v>
      </c>
      <c r="L2106" s="1">
        <v>33</v>
      </c>
      <c r="M2106" s="1" t="str">
        <f>IF(L2106&lt;=45,"Joven","Mayor")</f>
        <v>Joven</v>
      </c>
      <c r="N2106" s="1">
        <v>40</v>
      </c>
      <c r="O2106" s="1" t="s">
        <v>36</v>
      </c>
      <c r="P2106" s="1">
        <v>1.0649999999999999</v>
      </c>
      <c r="Q2106" s="1">
        <v>86.251000000000005</v>
      </c>
      <c r="R2106" s="1">
        <v>6.8448250000000002</v>
      </c>
      <c r="S2106" s="1">
        <v>6.5694800000000004</v>
      </c>
      <c r="T2106" s="1">
        <v>-14.322751</v>
      </c>
      <c r="U2106" s="1">
        <v>26.623999999999999</v>
      </c>
      <c r="V2106" s="1">
        <v>102</v>
      </c>
      <c r="W2106" s="1">
        <v>185</v>
      </c>
      <c r="X2106" s="1">
        <v>1.8137254901960784</v>
      </c>
      <c r="Y2106" s="1">
        <v>110</v>
      </c>
      <c r="Z2106" s="1">
        <v>185</v>
      </c>
      <c r="AA2106" s="1">
        <v>1.6818181818181819</v>
      </c>
      <c r="AB2106" s="1">
        <v>113.4252352439548</v>
      </c>
      <c r="AC2106" s="1">
        <v>183.70265954400159</v>
      </c>
      <c r="AD2106" s="1">
        <v>1.6195924932304018</v>
      </c>
      <c r="AE2106" t="s">
        <v>4817</v>
      </c>
      <c r="AF2106" t="str">
        <f>IF(X2106&lt;$AF$1,"Bajo","Alto")</f>
        <v>Alto</v>
      </c>
      <c r="AG2106" t="str">
        <f>LEFT(AE2106,1)</f>
        <v>C</v>
      </c>
      <c r="AH2106" t="str">
        <f>K2106</f>
        <v>M</v>
      </c>
      <c r="AI2106" t="str">
        <f>LEFT(AF2106,1)</f>
        <v>A</v>
      </c>
      <c r="AJ2106" t="str">
        <f>LEFT(M2106,1)</f>
        <v>J</v>
      </c>
      <c r="AK2106" t="str">
        <f>_xlfn.CONCAT(AG2106,AH2106,AI2106,AJ2106)</f>
        <v>CMAJ</v>
      </c>
    </row>
    <row r="2107" spans="1:37" ht="15.75" hidden="1" customHeight="1" x14ac:dyDescent="0.2">
      <c r="A2107" s="1">
        <v>267001</v>
      </c>
      <c r="B2107" s="1" t="s">
        <v>3358</v>
      </c>
      <c r="C2107" s="1" t="s">
        <v>968</v>
      </c>
      <c r="D2107" s="1" t="s">
        <v>3402</v>
      </c>
      <c r="E2107" s="1" t="s">
        <v>720</v>
      </c>
      <c r="F2107" s="1" t="s">
        <v>32</v>
      </c>
      <c r="G2107" s="1" t="s">
        <v>3403</v>
      </c>
      <c r="H2107" s="1">
        <v>1694</v>
      </c>
      <c r="I2107" s="1" t="s">
        <v>3404</v>
      </c>
      <c r="J2107" s="1">
        <v>3183</v>
      </c>
      <c r="K2107" s="1" t="s">
        <v>35</v>
      </c>
      <c r="L2107" s="1">
        <v>28</v>
      </c>
      <c r="M2107" s="1" t="str">
        <f>IF(L2107&lt;=45,"Joven","Mayor")</f>
        <v>Joven</v>
      </c>
      <c r="N2107" s="1">
        <v>32</v>
      </c>
      <c r="O2107" s="1" t="s">
        <v>36</v>
      </c>
      <c r="P2107" s="1">
        <v>0.36299999999999999</v>
      </c>
      <c r="Q2107" s="1">
        <v>89.998999999999995</v>
      </c>
      <c r="R2107" s="1">
        <v>5.7241035</v>
      </c>
      <c r="S2107" s="1">
        <v>-2.7135929999999999</v>
      </c>
      <c r="T2107" s="1">
        <v>-2.8865675999999998</v>
      </c>
      <c r="U2107" s="1">
        <v>47.749000000000002</v>
      </c>
      <c r="V2107" s="1">
        <v>80</v>
      </c>
      <c r="W2107" s="1">
        <v>145</v>
      </c>
      <c r="X2107" s="1">
        <v>1.8125</v>
      </c>
      <c r="Y2107" s="1">
        <v>81</v>
      </c>
      <c r="Z2107" s="1">
        <v>145</v>
      </c>
      <c r="AA2107" s="1">
        <v>1.7901234567901234</v>
      </c>
      <c r="AB2107" s="1">
        <v>82.86121962221182</v>
      </c>
      <c r="AC2107" s="1">
        <v>144.81602265545371</v>
      </c>
      <c r="AD2107" s="1">
        <v>1.7476935931635051</v>
      </c>
      <c r="AE2107" t="s">
        <v>4817</v>
      </c>
      <c r="AF2107" t="str">
        <f>IF(X2107&lt;$AF$1,"Bajo","Alto")</f>
        <v>Alto</v>
      </c>
      <c r="AG2107" t="str">
        <f>LEFT(AE2107,1)</f>
        <v>C</v>
      </c>
      <c r="AH2107" t="str">
        <f>K2107</f>
        <v>M</v>
      </c>
      <c r="AI2107" t="str">
        <f>LEFT(AF2107,1)</f>
        <v>A</v>
      </c>
      <c r="AJ2107" t="str">
        <f>LEFT(M2107,1)</f>
        <v>J</v>
      </c>
      <c r="AK2107" t="str">
        <f>_xlfn.CONCAT(AG2107,AH2107,AI2107,AJ2107)</f>
        <v>CMAJ</v>
      </c>
    </row>
    <row r="2108" spans="1:37" ht="15.75" hidden="1" customHeight="1" x14ac:dyDescent="0.2">
      <c r="A2108" s="1">
        <v>524806</v>
      </c>
      <c r="B2108" s="1" t="s">
        <v>4529</v>
      </c>
      <c r="C2108" s="1" t="s">
        <v>685</v>
      </c>
      <c r="D2108" s="1" t="s">
        <v>4634</v>
      </c>
      <c r="E2108" s="1" t="s">
        <v>2650</v>
      </c>
      <c r="F2108" s="1" t="s">
        <v>88</v>
      </c>
      <c r="G2108" s="1" t="s">
        <v>4638</v>
      </c>
      <c r="H2108" s="1">
        <v>913</v>
      </c>
      <c r="I2108" s="1" t="s">
        <v>91</v>
      </c>
      <c r="J2108" s="1">
        <v>6</v>
      </c>
      <c r="K2108" s="1" t="s">
        <v>35</v>
      </c>
      <c r="L2108" s="1">
        <v>26</v>
      </c>
      <c r="M2108" s="1" t="str">
        <f>IF(L2108&lt;=45,"Joven","Mayor")</f>
        <v>Joven</v>
      </c>
      <c r="N2108" s="1">
        <v>37</v>
      </c>
      <c r="O2108" s="1" t="s">
        <v>36</v>
      </c>
      <c r="P2108" s="1">
        <v>0.36099999999999999</v>
      </c>
      <c r="Q2108" s="1">
        <v>93.265000000000001</v>
      </c>
      <c r="R2108" s="1">
        <v>2.3244916999999998</v>
      </c>
      <c r="S2108" s="1">
        <v>2.5467590000000002</v>
      </c>
      <c r="T2108" s="1">
        <v>-4.4647465000000004</v>
      </c>
      <c r="U2108" s="1">
        <v>4.2329999999999997</v>
      </c>
      <c r="V2108" s="1">
        <v>64</v>
      </c>
      <c r="W2108" s="1">
        <v>116</v>
      </c>
      <c r="X2108" s="1">
        <v>1.8125</v>
      </c>
      <c r="Y2108" s="1">
        <v>66</v>
      </c>
      <c r="Z2108" s="1">
        <v>116</v>
      </c>
      <c r="AA2108" s="1">
        <v>1.7575757575757576</v>
      </c>
      <c r="AB2108" s="1">
        <v>66.219003213900578</v>
      </c>
      <c r="AC2108" s="1">
        <v>115.9593714827074</v>
      </c>
      <c r="AD2108" s="1">
        <v>1.7511494564201686</v>
      </c>
      <c r="AE2108" t="s">
        <v>4817</v>
      </c>
      <c r="AF2108" t="str">
        <f>IF(X2108&lt;$AF$1,"Bajo","Alto")</f>
        <v>Alto</v>
      </c>
      <c r="AG2108" t="str">
        <f>LEFT(AE2108,1)</f>
        <v>C</v>
      </c>
      <c r="AH2108" t="str">
        <f>K2108</f>
        <v>M</v>
      </c>
      <c r="AI2108" t="str">
        <f>LEFT(AF2108,1)</f>
        <v>A</v>
      </c>
      <c r="AJ2108" t="str">
        <f>LEFT(M2108,1)</f>
        <v>J</v>
      </c>
      <c r="AK2108" t="str">
        <f>_xlfn.CONCAT(AG2108,AH2108,AI2108,AJ2108)</f>
        <v>CMAJ</v>
      </c>
    </row>
    <row r="2109" spans="1:37" ht="15.75" hidden="1" customHeight="1" x14ac:dyDescent="0.2">
      <c r="A2109" s="1">
        <v>2312104</v>
      </c>
      <c r="B2109" s="1" t="s">
        <v>319</v>
      </c>
      <c r="C2109" s="1" t="s">
        <v>1989</v>
      </c>
      <c r="D2109" s="1" t="s">
        <v>2952</v>
      </c>
      <c r="E2109" s="1" t="s">
        <v>136</v>
      </c>
      <c r="F2109" s="1" t="s">
        <v>61</v>
      </c>
      <c r="G2109" s="1" t="s">
        <v>2956</v>
      </c>
      <c r="H2109" s="1">
        <v>4328</v>
      </c>
      <c r="I2109" s="1" t="s">
        <v>91</v>
      </c>
      <c r="J2109" s="1">
        <v>6</v>
      </c>
      <c r="K2109" s="1" t="s">
        <v>35</v>
      </c>
      <c r="L2109" s="1">
        <v>53</v>
      </c>
      <c r="M2109" s="1" t="str">
        <f>IF(L2109&lt;=45,"Joven","Mayor")</f>
        <v>Mayor</v>
      </c>
      <c r="N2109" s="1">
        <v>52</v>
      </c>
      <c r="O2109" s="1" t="s">
        <v>36</v>
      </c>
      <c r="P2109" s="1">
        <v>1.23</v>
      </c>
      <c r="Q2109" s="1">
        <v>90.915999999999997</v>
      </c>
      <c r="R2109" s="1">
        <v>4.4395389999999999</v>
      </c>
      <c r="S2109" s="1">
        <v>-3.6149174999999998</v>
      </c>
      <c r="T2109" s="1">
        <v>-1.7142683000000001</v>
      </c>
      <c r="U2109" s="1">
        <v>54.82</v>
      </c>
      <c r="V2109" s="1">
        <v>102</v>
      </c>
      <c r="W2109" s="1">
        <v>176</v>
      </c>
      <c r="X2109" s="1">
        <v>1.7254901960784315</v>
      </c>
      <c r="Y2109" s="1">
        <v>102</v>
      </c>
      <c r="Z2109" s="1">
        <v>176</v>
      </c>
      <c r="AA2109" s="1">
        <v>1.7254901960784315</v>
      </c>
      <c r="AB2109" s="1">
        <v>103.2706161645656</v>
      </c>
      <c r="AC2109" s="1">
        <v>175.92122968215199</v>
      </c>
      <c r="AD2109" s="1">
        <v>1.7034974343700529</v>
      </c>
      <c r="AE2109" t="s">
        <v>4817</v>
      </c>
      <c r="AF2109" t="str">
        <f>IF(X2109&lt;$AF$1,"Bajo","Alto")</f>
        <v>Bajo</v>
      </c>
      <c r="AG2109" t="str">
        <f>LEFT(AE2109,1)</f>
        <v>C</v>
      </c>
      <c r="AH2109" t="str">
        <f>K2109</f>
        <v>M</v>
      </c>
      <c r="AI2109" t="str">
        <f>LEFT(AF2109,1)</f>
        <v>B</v>
      </c>
      <c r="AJ2109" t="str">
        <f>LEFT(M2109,1)</f>
        <v>M</v>
      </c>
      <c r="AK2109" t="str">
        <f>_xlfn.CONCAT(AG2109,AH2109,AI2109,AJ2109)</f>
        <v>CMBM</v>
      </c>
    </row>
    <row r="2110" spans="1:37" ht="15.75" hidden="1" customHeight="1" x14ac:dyDescent="0.2">
      <c r="A2110" s="1">
        <v>215210</v>
      </c>
      <c r="B2110" s="1" t="s">
        <v>2816</v>
      </c>
      <c r="C2110" s="1" t="s">
        <v>2817</v>
      </c>
      <c r="D2110" s="1" t="s">
        <v>2885</v>
      </c>
      <c r="E2110" s="1" t="s">
        <v>685</v>
      </c>
      <c r="F2110" s="1" t="s">
        <v>75</v>
      </c>
      <c r="G2110" s="1" t="s">
        <v>2888</v>
      </c>
      <c r="H2110" s="1">
        <v>12984</v>
      </c>
      <c r="I2110" s="1" t="s">
        <v>2889</v>
      </c>
      <c r="J2110" s="1">
        <v>4583</v>
      </c>
      <c r="K2110" s="1" t="s">
        <v>35</v>
      </c>
      <c r="L2110" s="1">
        <v>43</v>
      </c>
      <c r="M2110" s="1" t="str">
        <f>IF(L2110&lt;=45,"Joven","Mayor")</f>
        <v>Joven</v>
      </c>
      <c r="N2110" s="1">
        <v>43</v>
      </c>
      <c r="O2110" s="1" t="s">
        <v>36</v>
      </c>
      <c r="P2110" s="1">
        <v>0.36299999999999999</v>
      </c>
      <c r="Q2110" s="1">
        <v>90.150999999999996</v>
      </c>
      <c r="R2110" s="1">
        <v>5.0781054000000001</v>
      </c>
      <c r="S2110" s="1">
        <v>4.5815535000000001</v>
      </c>
      <c r="T2110" s="1">
        <v>-3.4700655999999999</v>
      </c>
      <c r="U2110" s="1">
        <v>6.6319999999999997</v>
      </c>
      <c r="V2110" s="1">
        <v>101</v>
      </c>
      <c r="W2110" s="1">
        <v>183</v>
      </c>
      <c r="X2110" s="1">
        <v>1.8118811881188119</v>
      </c>
      <c r="Y2110" s="1">
        <v>104</v>
      </c>
      <c r="Z2110" s="1">
        <v>183</v>
      </c>
      <c r="AA2110" s="1">
        <v>1.7596153846153846</v>
      </c>
      <c r="AB2110" s="1">
        <v>103.8411748746682</v>
      </c>
      <c r="AC2110" s="1">
        <v>183.14869638984459</v>
      </c>
      <c r="AD2110" s="1">
        <v>1.7637386769833558</v>
      </c>
      <c r="AE2110" t="s">
        <v>4817</v>
      </c>
      <c r="AF2110" t="str">
        <f>IF(X2110&lt;$AF$1,"Bajo","Alto")</f>
        <v>Alto</v>
      </c>
      <c r="AG2110" t="str">
        <f>LEFT(AE2110,1)</f>
        <v>C</v>
      </c>
      <c r="AH2110" t="str">
        <f>K2110</f>
        <v>M</v>
      </c>
      <c r="AI2110" t="str">
        <f>LEFT(AF2110,1)</f>
        <v>A</v>
      </c>
      <c r="AJ2110" t="str">
        <f>LEFT(M2110,1)</f>
        <v>J</v>
      </c>
      <c r="AK2110" t="str">
        <f>_xlfn.CONCAT(AG2110,AH2110,AI2110,AJ2110)</f>
        <v>CMAJ</v>
      </c>
    </row>
    <row r="2111" spans="1:37" ht="15.75" hidden="1" customHeight="1" x14ac:dyDescent="0.2">
      <c r="A2111" s="1">
        <v>10511805</v>
      </c>
      <c r="B2111" s="1" t="s">
        <v>694</v>
      </c>
      <c r="C2111" s="1" t="s">
        <v>879</v>
      </c>
      <c r="D2111" s="1" t="s">
        <v>921</v>
      </c>
      <c r="E2111" s="1" t="s">
        <v>129</v>
      </c>
      <c r="F2111" s="1" t="s">
        <v>40</v>
      </c>
      <c r="G2111" s="1" t="s">
        <v>924</v>
      </c>
      <c r="H2111" s="1">
        <v>111</v>
      </c>
      <c r="I2111" s="1" t="s">
        <v>93</v>
      </c>
      <c r="J2111" s="1">
        <v>9</v>
      </c>
      <c r="K2111" s="1" t="s">
        <v>35</v>
      </c>
      <c r="L2111" s="1">
        <v>58</v>
      </c>
      <c r="M2111" s="1" t="str">
        <f>IF(L2111&lt;=45,"Joven","Mayor")</f>
        <v>Mayor</v>
      </c>
      <c r="N2111" s="1">
        <v>57</v>
      </c>
      <c r="O2111" s="1" t="s">
        <v>36</v>
      </c>
      <c r="P2111" s="1">
        <v>0.35399999999999998</v>
      </c>
      <c r="Q2111" s="1">
        <v>94.81</v>
      </c>
      <c r="R2111" s="1">
        <v>-2.1972717999999999E-2</v>
      </c>
      <c r="S2111" s="1">
        <v>0.77692883999999995</v>
      </c>
      <c r="T2111" s="1">
        <v>-0.13793662000000001</v>
      </c>
      <c r="U2111" s="1">
        <v>52.182000000000002</v>
      </c>
      <c r="V2111" s="1">
        <v>97</v>
      </c>
      <c r="W2111" s="1">
        <v>165</v>
      </c>
      <c r="X2111" s="1">
        <v>1.7010309278350515</v>
      </c>
      <c r="Y2111" s="1">
        <v>99</v>
      </c>
      <c r="Z2111" s="1">
        <v>165</v>
      </c>
      <c r="AA2111" s="1">
        <v>1.6666666666666667</v>
      </c>
      <c r="AB2111" s="1">
        <v>98.89860038189795</v>
      </c>
      <c r="AC2111" s="1">
        <v>165.01637396714341</v>
      </c>
      <c r="AD2111" s="1">
        <v>1.6685410443619122</v>
      </c>
      <c r="AE2111" t="s">
        <v>4815</v>
      </c>
      <c r="AF2111" t="str">
        <f>IF(X2111&lt;$AF$1,"Bajo","Alto")</f>
        <v>Bajo</v>
      </c>
      <c r="AG2111" t="str">
        <f>LEFT(AE2111,1)</f>
        <v>I</v>
      </c>
      <c r="AH2111" t="str">
        <f>K2111</f>
        <v>M</v>
      </c>
      <c r="AI2111" t="str">
        <f>LEFT(AF2111,1)</f>
        <v>B</v>
      </c>
      <c r="AJ2111" t="str">
        <f>LEFT(M2111,1)</f>
        <v>M</v>
      </c>
      <c r="AK2111" t="str">
        <f>_xlfn.CONCAT(AG2111,AH2111,AI2111,AJ2111)</f>
        <v>IMBM</v>
      </c>
    </row>
    <row r="2112" spans="1:37" ht="15.75" hidden="1" customHeight="1" x14ac:dyDescent="0.2">
      <c r="A2112" s="1">
        <v>2313905</v>
      </c>
      <c r="B2112" s="1" t="s">
        <v>319</v>
      </c>
      <c r="C2112" s="1" t="s">
        <v>1989</v>
      </c>
      <c r="D2112" s="1" t="s">
        <v>2987</v>
      </c>
      <c r="E2112" s="1" t="s">
        <v>176</v>
      </c>
      <c r="F2112" s="1" t="s">
        <v>40</v>
      </c>
      <c r="G2112" s="1" t="s">
        <v>2991</v>
      </c>
      <c r="H2112" s="1">
        <v>18345</v>
      </c>
      <c r="I2112" s="1" t="s">
        <v>65</v>
      </c>
      <c r="J2112" s="1">
        <v>2</v>
      </c>
      <c r="K2112" s="1" t="s">
        <v>49</v>
      </c>
      <c r="L2112" s="1">
        <v>34</v>
      </c>
      <c r="M2112" s="1" t="str">
        <f>IF(L2112&lt;=45,"Joven","Mayor")</f>
        <v>Joven</v>
      </c>
      <c r="N2112" s="1">
        <v>27</v>
      </c>
      <c r="O2112" s="1" t="s">
        <v>50</v>
      </c>
      <c r="P2112" s="1">
        <v>0.19800000000000001</v>
      </c>
      <c r="Q2112" s="1">
        <v>70.510999999999996</v>
      </c>
      <c r="R2112" s="1">
        <v>12.186896000000001</v>
      </c>
      <c r="S2112" s="1">
        <v>6.0965284999999998</v>
      </c>
      <c r="T2112" s="1">
        <v>-5.3985859999999999</v>
      </c>
      <c r="U2112" s="1">
        <v>26.515000000000001</v>
      </c>
      <c r="V2112" s="1">
        <v>96</v>
      </c>
      <c r="W2112" s="1">
        <v>167</v>
      </c>
      <c r="X2112" s="1">
        <v>1.7395833333333333</v>
      </c>
      <c r="Y2112" s="1">
        <v>103</v>
      </c>
      <c r="Z2112" s="1">
        <v>167</v>
      </c>
      <c r="AA2112" s="1">
        <v>1.6213592233009708</v>
      </c>
      <c r="AB2112" s="1">
        <v>99.713856262153968</v>
      </c>
      <c r="AC2112" s="1">
        <v>166.63557087017219</v>
      </c>
      <c r="AD2112" s="1">
        <v>1.6711375641924513</v>
      </c>
      <c r="AE2112" t="s">
        <v>4817</v>
      </c>
      <c r="AF2112" t="str">
        <f>IF(X2112&lt;$AF$1,"Bajo","Alto")</f>
        <v>Bajo</v>
      </c>
      <c r="AG2112" t="str">
        <f>LEFT(AE2112,1)</f>
        <v>C</v>
      </c>
      <c r="AH2112" t="str">
        <f>K2112</f>
        <v>F</v>
      </c>
      <c r="AI2112" t="str">
        <f>LEFT(AF2112,1)</f>
        <v>B</v>
      </c>
      <c r="AJ2112" t="str">
        <f>LEFT(M2112,1)</f>
        <v>J</v>
      </c>
      <c r="AK2112" t="str">
        <f>_xlfn.CONCAT(AG2112,AH2112,AI2112,AJ2112)</f>
        <v>CFBJ</v>
      </c>
    </row>
    <row r="2113" spans="1:37" ht="15.75" hidden="1" customHeight="1" x14ac:dyDescent="0.2">
      <c r="A2113" s="1">
        <v>237303</v>
      </c>
      <c r="B2113" s="1" t="s">
        <v>319</v>
      </c>
      <c r="C2113" s="1" t="s">
        <v>1989</v>
      </c>
      <c r="D2113" s="1" t="s">
        <v>3065</v>
      </c>
      <c r="E2113" s="1" t="s">
        <v>1021</v>
      </c>
      <c r="F2113" s="1" t="s">
        <v>63</v>
      </c>
      <c r="G2113" s="1" t="s">
        <v>3068</v>
      </c>
      <c r="H2113" s="1">
        <v>2966</v>
      </c>
      <c r="I2113" s="1" t="s">
        <v>3069</v>
      </c>
      <c r="J2113" s="1">
        <v>2910</v>
      </c>
      <c r="K2113" s="1" t="s">
        <v>35</v>
      </c>
      <c r="L2113" s="1">
        <v>45</v>
      </c>
      <c r="M2113" s="1" t="str">
        <f>IF(L2113&lt;=45,"Joven","Mayor")</f>
        <v>Joven</v>
      </c>
      <c r="N2113" s="1">
        <v>40</v>
      </c>
      <c r="O2113" s="1" t="s">
        <v>36</v>
      </c>
      <c r="P2113" s="1">
        <v>0.36099999999999999</v>
      </c>
      <c r="Q2113" s="1">
        <v>76.201999999999998</v>
      </c>
      <c r="R2113" s="1">
        <v>11.4495945</v>
      </c>
      <c r="S2113" s="1">
        <v>-2.6477373000000002</v>
      </c>
      <c r="T2113" s="1">
        <v>-8.1730750000000008</v>
      </c>
      <c r="U2113" s="1">
        <v>32.536000000000001</v>
      </c>
      <c r="V2113" s="1">
        <v>109</v>
      </c>
      <c r="W2113" s="1">
        <v>189</v>
      </c>
      <c r="X2113" s="1">
        <v>1.7339449541284404</v>
      </c>
      <c r="Y2113" s="1">
        <v>122</v>
      </c>
      <c r="Z2113" s="1">
        <v>189</v>
      </c>
      <c r="AA2113" s="1">
        <v>1.5491803278688525</v>
      </c>
      <c r="AB2113" s="1">
        <v>116.4227305984064</v>
      </c>
      <c r="AC2113" s="1">
        <v>189.21281171209009</v>
      </c>
      <c r="AD2113" s="1">
        <v>1.6252222460300207</v>
      </c>
      <c r="AE2113" t="s">
        <v>4817</v>
      </c>
      <c r="AF2113" t="str">
        <f>IF(X2113&lt;$AF$1,"Bajo","Alto")</f>
        <v>Bajo</v>
      </c>
      <c r="AG2113" t="str">
        <f>LEFT(AE2113,1)</f>
        <v>C</v>
      </c>
      <c r="AH2113" t="str">
        <f>K2113</f>
        <v>M</v>
      </c>
      <c r="AI2113" t="str">
        <f>LEFT(AF2113,1)</f>
        <v>B</v>
      </c>
      <c r="AJ2113" t="str">
        <f>LEFT(M2113,1)</f>
        <v>J</v>
      </c>
      <c r="AK2113" t="str">
        <f>_xlfn.CONCAT(AG2113,AH2113,AI2113,AJ2113)</f>
        <v>CMBJ</v>
      </c>
    </row>
    <row r="2114" spans="1:37" ht="15.75" hidden="1" customHeight="1" x14ac:dyDescent="0.2">
      <c r="A2114" s="1">
        <v>1241006</v>
      </c>
      <c r="B2114" s="1" t="s">
        <v>1798</v>
      </c>
      <c r="C2114" s="1" t="s">
        <v>54</v>
      </c>
      <c r="D2114" s="1" t="s">
        <v>1837</v>
      </c>
      <c r="E2114" s="1" t="s">
        <v>1838</v>
      </c>
      <c r="F2114" s="1" t="s">
        <v>88</v>
      </c>
      <c r="G2114" s="1" t="s">
        <v>1842</v>
      </c>
      <c r="H2114" s="1">
        <v>3276</v>
      </c>
      <c r="I2114" s="1" t="s">
        <v>134</v>
      </c>
      <c r="J2114" s="1">
        <v>8</v>
      </c>
      <c r="K2114" s="1" t="s">
        <v>35</v>
      </c>
      <c r="L2114" s="1">
        <v>46</v>
      </c>
      <c r="M2114" s="1" t="str">
        <f>IF(L2114&lt;=45,"Joven","Mayor")</f>
        <v>Mayor</v>
      </c>
      <c r="N2114" s="1">
        <v>49</v>
      </c>
      <c r="O2114" s="1" t="s">
        <v>36</v>
      </c>
      <c r="P2114" s="1">
        <v>0.251</v>
      </c>
      <c r="Q2114" s="1">
        <v>89.031000000000006</v>
      </c>
      <c r="R2114" s="1">
        <v>5.3352409999999999</v>
      </c>
      <c r="S2114" s="1">
        <v>6.4809799999999997</v>
      </c>
      <c r="T2114" s="1">
        <v>-1.1923523</v>
      </c>
      <c r="U2114" s="1">
        <v>13.999000000000001</v>
      </c>
      <c r="V2114" s="1">
        <v>96</v>
      </c>
      <c r="W2114" s="1">
        <v>174</v>
      </c>
      <c r="X2114" s="1">
        <v>1.8125</v>
      </c>
      <c r="Y2114" s="1">
        <v>98</v>
      </c>
      <c r="Z2114" s="1">
        <v>174</v>
      </c>
      <c r="AA2114" s="1">
        <v>1.7755102040816326</v>
      </c>
      <c r="AB2114" s="1">
        <v>97.12561222286422</v>
      </c>
      <c r="AC2114" s="1">
        <v>174.00394170744579</v>
      </c>
      <c r="AD2114" s="1">
        <v>1.7915350825092018</v>
      </c>
      <c r="AE2114" t="s">
        <v>4817</v>
      </c>
      <c r="AF2114" t="str">
        <f>IF(X2114&lt;$AF$1,"Bajo","Alto")</f>
        <v>Alto</v>
      </c>
      <c r="AG2114" t="str">
        <f>LEFT(AE2114,1)</f>
        <v>C</v>
      </c>
      <c r="AH2114" t="str">
        <f>K2114</f>
        <v>M</v>
      </c>
      <c r="AI2114" t="str">
        <f>LEFT(AF2114,1)</f>
        <v>A</v>
      </c>
      <c r="AJ2114" t="str">
        <f>LEFT(M2114,1)</f>
        <v>M</v>
      </c>
      <c r="AK2114" t="str">
        <f>_xlfn.CONCAT(AG2114,AH2114,AI2114,AJ2114)</f>
        <v>CMAM</v>
      </c>
    </row>
    <row r="2115" spans="1:37" ht="15.75" hidden="1" customHeight="1" x14ac:dyDescent="0.2">
      <c r="A2115" s="1">
        <v>442404</v>
      </c>
      <c r="B2115" s="1" t="s">
        <v>4314</v>
      </c>
      <c r="C2115" s="1" t="s">
        <v>995</v>
      </c>
      <c r="D2115" s="1" t="s">
        <v>4370</v>
      </c>
      <c r="E2115" s="1" t="s">
        <v>1993</v>
      </c>
      <c r="F2115" s="1" t="s">
        <v>61</v>
      </c>
      <c r="G2115" s="1" t="s">
        <v>4374</v>
      </c>
      <c r="H2115" s="1">
        <v>1207</v>
      </c>
      <c r="I2115" s="1" t="s">
        <v>134</v>
      </c>
      <c r="J2115" s="1">
        <v>8</v>
      </c>
      <c r="K2115" s="1" t="s">
        <v>35</v>
      </c>
      <c r="L2115" s="1">
        <v>49</v>
      </c>
      <c r="M2115" s="1" t="str">
        <f>IF(L2115&lt;=45,"Joven","Mayor")</f>
        <v>Mayor</v>
      </c>
      <c r="N2115" s="1">
        <v>50</v>
      </c>
      <c r="O2115" s="1" t="s">
        <v>36</v>
      </c>
      <c r="P2115" s="1">
        <v>3.1789999999999998</v>
      </c>
      <c r="Q2115" s="1">
        <v>11.351000000000001</v>
      </c>
      <c r="R2115" s="1">
        <v>-21.280709999999999</v>
      </c>
      <c r="S2115" s="1">
        <v>-1.6182553</v>
      </c>
      <c r="T2115" s="1">
        <v>6.6763459999999997</v>
      </c>
      <c r="U2115" s="1">
        <v>0.94699999999999995</v>
      </c>
      <c r="V2115" s="1">
        <v>113</v>
      </c>
      <c r="W2115" s="1">
        <v>195</v>
      </c>
      <c r="X2115" s="1">
        <v>1.7256637168141593</v>
      </c>
      <c r="Y2115" s="1">
        <v>120</v>
      </c>
      <c r="Z2115" s="1">
        <v>195</v>
      </c>
      <c r="AA2115" s="1">
        <v>1.625</v>
      </c>
      <c r="AB2115" s="1">
        <v>117.0004055964973</v>
      </c>
      <c r="AC2115" s="1">
        <v>193.32887047817351</v>
      </c>
      <c r="AD2115" s="1">
        <v>1.6523777801669544</v>
      </c>
      <c r="AE2115" t="s">
        <v>4817</v>
      </c>
      <c r="AF2115" t="str">
        <f>IF(X2115&lt;$AF$1,"Bajo","Alto")</f>
        <v>Bajo</v>
      </c>
      <c r="AG2115" t="str">
        <f>LEFT(AE2115,1)</f>
        <v>C</v>
      </c>
      <c r="AH2115" t="str">
        <f>K2115</f>
        <v>M</v>
      </c>
      <c r="AI2115" t="str">
        <f>LEFT(AF2115,1)</f>
        <v>B</v>
      </c>
      <c r="AJ2115" t="str">
        <f>LEFT(M2115,1)</f>
        <v>M</v>
      </c>
      <c r="AK2115" t="str">
        <f>_xlfn.CONCAT(AG2115,AH2115,AI2115,AJ2115)</f>
        <v>CMBM</v>
      </c>
    </row>
    <row r="2116" spans="1:37" ht="15.75" hidden="1" customHeight="1" x14ac:dyDescent="0.2">
      <c r="A2116" s="1">
        <v>1516002</v>
      </c>
      <c r="B2116" s="1" t="s">
        <v>2077</v>
      </c>
      <c r="C2116" s="1" t="s">
        <v>57</v>
      </c>
      <c r="D2116" s="1" t="s">
        <v>2183</v>
      </c>
      <c r="E2116" s="1" t="s">
        <v>234</v>
      </c>
      <c r="F2116" s="1" t="s">
        <v>37</v>
      </c>
      <c r="G2116" s="1" t="s">
        <v>2184</v>
      </c>
      <c r="H2116" s="1">
        <v>2615</v>
      </c>
      <c r="I2116" s="1" t="s">
        <v>87</v>
      </c>
      <c r="J2116" s="1">
        <v>14</v>
      </c>
      <c r="K2116" s="1" t="s">
        <v>35</v>
      </c>
      <c r="L2116" s="1">
        <v>36</v>
      </c>
      <c r="M2116" s="1" t="str">
        <f>IF(L2116&lt;=45,"Joven","Mayor")</f>
        <v>Joven</v>
      </c>
      <c r="N2116" s="1">
        <v>49</v>
      </c>
      <c r="O2116" s="1" t="s">
        <v>36</v>
      </c>
      <c r="P2116" s="1">
        <v>0.36799999999999999</v>
      </c>
      <c r="Q2116" s="1">
        <v>93.638999999999996</v>
      </c>
      <c r="R2116" s="1">
        <v>1.8518041000000001</v>
      </c>
      <c r="S2116" s="1">
        <v>2.1991858</v>
      </c>
      <c r="T2116" s="1">
        <v>-1.2565845</v>
      </c>
      <c r="U2116" s="1">
        <v>0.48899999999999999</v>
      </c>
      <c r="V2116" s="1">
        <v>106</v>
      </c>
      <c r="W2116" s="1">
        <v>192</v>
      </c>
      <c r="X2116" s="1">
        <v>1.8113207547169812</v>
      </c>
      <c r="Y2116" s="1">
        <v>108</v>
      </c>
      <c r="Z2116" s="1">
        <v>192</v>
      </c>
      <c r="AA2116" s="1">
        <v>1.7777777777777777</v>
      </c>
      <c r="AB2116" s="1">
        <v>109.2240248449621</v>
      </c>
      <c r="AC2116" s="1">
        <v>191.82224791667389</v>
      </c>
      <c r="AD2116" s="1">
        <v>1.7562276082478716</v>
      </c>
      <c r="AE2116" t="s">
        <v>4816</v>
      </c>
      <c r="AF2116" t="str">
        <f>IF(X2116&lt;$AF$1,"Bajo","Alto")</f>
        <v>Alto</v>
      </c>
      <c r="AG2116" t="str">
        <f>LEFT(AE2116,1)</f>
        <v>D</v>
      </c>
      <c r="AH2116" t="str">
        <f>K2116</f>
        <v>M</v>
      </c>
      <c r="AI2116" t="str">
        <f>LEFT(AF2116,1)</f>
        <v>A</v>
      </c>
      <c r="AJ2116" t="str">
        <f>LEFT(M2116,1)</f>
        <v>J</v>
      </c>
      <c r="AK2116" t="str">
        <f>_xlfn.CONCAT(AG2116,AH2116,AI2116,AJ2116)</f>
        <v>DMAJ</v>
      </c>
    </row>
    <row r="2117" spans="1:37" ht="15.75" hidden="1" customHeight="1" x14ac:dyDescent="0.2">
      <c r="A2117" s="1">
        <v>1011002</v>
      </c>
      <c r="B2117" s="1" t="s">
        <v>29</v>
      </c>
      <c r="C2117" s="1" t="s">
        <v>30</v>
      </c>
      <c r="D2117" s="1" t="s">
        <v>74</v>
      </c>
      <c r="E2117" s="1" t="s">
        <v>75</v>
      </c>
      <c r="F2117" s="1" t="s">
        <v>37</v>
      </c>
      <c r="G2117" s="1" t="s">
        <v>77</v>
      </c>
      <c r="H2117" s="1">
        <v>841</v>
      </c>
      <c r="I2117" s="1" t="s">
        <v>65</v>
      </c>
      <c r="J2117" s="1">
        <v>2</v>
      </c>
      <c r="K2117" s="1" t="s">
        <v>49</v>
      </c>
      <c r="L2117" s="1">
        <v>41</v>
      </c>
      <c r="M2117" s="1" t="str">
        <f>IF(L2117&lt;=45,"Joven","Mayor")</f>
        <v>Joven</v>
      </c>
      <c r="N2117" s="1">
        <v>49</v>
      </c>
      <c r="O2117" s="1" t="s">
        <v>50</v>
      </c>
      <c r="P2117" s="1">
        <v>0.35799999999999998</v>
      </c>
      <c r="Q2117" s="1">
        <v>90.563000000000002</v>
      </c>
      <c r="R2117" s="1">
        <v>4.3208776000000002</v>
      </c>
      <c r="S2117" s="1">
        <v>5.7249207000000002</v>
      </c>
      <c r="T2117" s="1">
        <v>-8.2716560000000001</v>
      </c>
      <c r="U2117" s="1">
        <v>15.917999999999999</v>
      </c>
      <c r="V2117" s="1">
        <v>99</v>
      </c>
      <c r="W2117" s="1">
        <v>180</v>
      </c>
      <c r="X2117" s="1">
        <v>1.8181818181818181</v>
      </c>
      <c r="Y2117" s="1">
        <v>115</v>
      </c>
      <c r="Z2117" s="1">
        <v>180</v>
      </c>
      <c r="AA2117" s="1">
        <v>1.5652173913043479</v>
      </c>
      <c r="AB2117" s="1">
        <v>109.34379751808321</v>
      </c>
      <c r="AC2117" s="1">
        <v>182.15574120493829</v>
      </c>
      <c r="AD2117" s="1">
        <v>1.6658991670269501</v>
      </c>
      <c r="AE2117" t="s">
        <v>4817</v>
      </c>
      <c r="AF2117" t="str">
        <f>IF(X2117&lt;$AF$1,"Bajo","Alto")</f>
        <v>Alto</v>
      </c>
      <c r="AG2117" t="str">
        <f>LEFT(AE2117,1)</f>
        <v>C</v>
      </c>
      <c r="AH2117" t="str">
        <f>K2117</f>
        <v>F</v>
      </c>
      <c r="AI2117" t="str">
        <f>LEFT(AF2117,1)</f>
        <v>A</v>
      </c>
      <c r="AJ2117" t="str">
        <f>LEFT(M2117,1)</f>
        <v>J</v>
      </c>
      <c r="AK2117" t="str">
        <f>_xlfn.CONCAT(AG2117,AH2117,AI2117,AJ2117)</f>
        <v>CFAJ</v>
      </c>
    </row>
    <row r="2118" spans="1:37" ht="15.75" hidden="1" customHeight="1" x14ac:dyDescent="0.2">
      <c r="A2118" s="1">
        <v>1050706</v>
      </c>
      <c r="B2118" s="1" t="s">
        <v>694</v>
      </c>
      <c r="C2118" s="1" t="s">
        <v>879</v>
      </c>
      <c r="D2118" s="1" t="s">
        <v>895</v>
      </c>
      <c r="E2118" s="1" t="s">
        <v>43</v>
      </c>
      <c r="F2118" s="1" t="s">
        <v>88</v>
      </c>
      <c r="G2118" s="1" t="s">
        <v>899</v>
      </c>
      <c r="H2118" s="1">
        <v>2303</v>
      </c>
      <c r="I2118" s="1" t="s">
        <v>900</v>
      </c>
      <c r="J2118" s="1">
        <v>3633</v>
      </c>
      <c r="K2118" s="1" t="s">
        <v>35</v>
      </c>
      <c r="L2118" s="1">
        <v>65</v>
      </c>
      <c r="M2118" s="1" t="str">
        <f>IF(L2118&lt;=45,"Joven","Mayor")</f>
        <v>Mayor</v>
      </c>
      <c r="N2118" s="1">
        <v>67</v>
      </c>
      <c r="O2118" s="1" t="s">
        <v>36</v>
      </c>
      <c r="P2118" s="1">
        <v>0.36199999999999999</v>
      </c>
      <c r="Q2118" s="1">
        <v>90.608000000000004</v>
      </c>
      <c r="R2118" s="1">
        <v>-3.0305474000000001</v>
      </c>
      <c r="S2118" s="1">
        <v>8.4227039999999995</v>
      </c>
      <c r="T2118" s="1">
        <v>1.5824428000000001E-2</v>
      </c>
      <c r="U2118" s="1">
        <v>15.411</v>
      </c>
      <c r="V2118" s="1">
        <v>73</v>
      </c>
      <c r="W2118" s="1">
        <v>126</v>
      </c>
      <c r="X2118" s="1">
        <v>1.726027397260274</v>
      </c>
      <c r="Y2118" s="1">
        <v>73</v>
      </c>
      <c r="Z2118" s="1">
        <v>126</v>
      </c>
      <c r="AA2118" s="1">
        <v>1.726027397260274</v>
      </c>
      <c r="AB2118" s="1">
        <v>73.00855905516687</v>
      </c>
      <c r="AC2118" s="1">
        <v>125.9994428176246</v>
      </c>
      <c r="AD2118" s="1">
        <v>1.7258174171389502</v>
      </c>
      <c r="AE2118" t="s">
        <v>4817</v>
      </c>
      <c r="AF2118" t="str">
        <f>IF(X2118&lt;$AF$1,"Bajo","Alto")</f>
        <v>Bajo</v>
      </c>
      <c r="AG2118" t="str">
        <f>LEFT(AE2118,1)</f>
        <v>C</v>
      </c>
      <c r="AH2118" t="str">
        <f>K2118</f>
        <v>M</v>
      </c>
      <c r="AI2118" t="str">
        <f>LEFT(AF2118,1)</f>
        <v>B</v>
      </c>
      <c r="AJ2118" t="str">
        <f>LEFT(M2118,1)</f>
        <v>M</v>
      </c>
      <c r="AK2118" t="str">
        <f>_xlfn.CONCAT(AG2118,AH2118,AI2118,AJ2118)</f>
        <v>CMBM</v>
      </c>
    </row>
    <row r="2119" spans="1:37" ht="15.75" hidden="1" customHeight="1" x14ac:dyDescent="0.2">
      <c r="A2119" s="1">
        <v>10120506</v>
      </c>
      <c r="B2119" s="1" t="s">
        <v>29</v>
      </c>
      <c r="C2119" s="1" t="s">
        <v>30</v>
      </c>
      <c r="D2119" s="1" t="s">
        <v>363</v>
      </c>
      <c r="E2119" s="1" t="s">
        <v>364</v>
      </c>
      <c r="F2119" s="1" t="s">
        <v>88</v>
      </c>
      <c r="G2119" s="1" t="s">
        <v>368</v>
      </c>
      <c r="H2119" s="1">
        <v>1138</v>
      </c>
      <c r="I2119" s="1" t="s">
        <v>108</v>
      </c>
      <c r="J2119" s="1">
        <v>3</v>
      </c>
      <c r="K2119" s="1" t="s">
        <v>35</v>
      </c>
      <c r="L2119" s="1">
        <v>31</v>
      </c>
      <c r="M2119" s="1" t="str">
        <f>IF(L2119&lt;=45,"Joven","Mayor")</f>
        <v>Joven</v>
      </c>
      <c r="N2119" s="1">
        <v>40</v>
      </c>
      <c r="O2119" s="1" t="s">
        <v>36</v>
      </c>
      <c r="P2119" s="1">
        <v>0.41</v>
      </c>
      <c r="Q2119" s="1">
        <v>89.507999999999996</v>
      </c>
      <c r="R2119" s="1">
        <v>5.5466274999999996</v>
      </c>
      <c r="S2119" s="1">
        <v>4.6655680000000004</v>
      </c>
      <c r="T2119" s="1">
        <v>-2.2797432</v>
      </c>
      <c r="U2119" s="1">
        <v>1.361</v>
      </c>
      <c r="V2119" s="1">
        <v>94</v>
      </c>
      <c r="W2119" s="1">
        <v>163</v>
      </c>
      <c r="X2119" s="1">
        <v>1.7340425531914894</v>
      </c>
      <c r="Y2119" s="1">
        <v>94</v>
      </c>
      <c r="Z2119" s="1">
        <v>163</v>
      </c>
      <c r="AA2119" s="1">
        <v>1.7340425531914894</v>
      </c>
      <c r="AB2119" s="1">
        <v>95.675856178323784</v>
      </c>
      <c r="AC2119" s="1">
        <v>162.83121042463699</v>
      </c>
      <c r="AD2119" s="1">
        <v>1.7019049207267805</v>
      </c>
      <c r="AE2119" t="s">
        <v>4817</v>
      </c>
      <c r="AF2119" t="str">
        <f>IF(X2119&lt;$AF$1,"Bajo","Alto")</f>
        <v>Bajo</v>
      </c>
      <c r="AG2119" t="str">
        <f>LEFT(AE2119,1)</f>
        <v>C</v>
      </c>
      <c r="AH2119" t="str">
        <f>K2119</f>
        <v>M</v>
      </c>
      <c r="AI2119" t="str">
        <f>LEFT(AF2119,1)</f>
        <v>B</v>
      </c>
      <c r="AJ2119" t="str">
        <f>LEFT(M2119,1)</f>
        <v>J</v>
      </c>
      <c r="AK2119" t="str">
        <f>_xlfn.CONCAT(AG2119,AH2119,AI2119,AJ2119)</f>
        <v>CMBJ</v>
      </c>
    </row>
    <row r="2120" spans="1:37" ht="15.75" hidden="1" customHeight="1" x14ac:dyDescent="0.2">
      <c r="A2120" s="1">
        <v>155502</v>
      </c>
      <c r="B2120" s="1" t="s">
        <v>2077</v>
      </c>
      <c r="C2120" s="1" t="s">
        <v>57</v>
      </c>
      <c r="D2120" s="1" t="s">
        <v>2476</v>
      </c>
      <c r="E2120" s="1" t="s">
        <v>690</v>
      </c>
      <c r="F2120" s="1" t="s">
        <v>37</v>
      </c>
      <c r="G2120" s="1" t="s">
        <v>2477</v>
      </c>
      <c r="H2120" s="1">
        <v>1888</v>
      </c>
      <c r="I2120" s="1" t="s">
        <v>39</v>
      </c>
      <c r="J2120" s="1">
        <v>11</v>
      </c>
      <c r="K2120" s="1" t="s">
        <v>35</v>
      </c>
      <c r="L2120" s="1">
        <v>31</v>
      </c>
      <c r="M2120" s="1" t="str">
        <f>IF(L2120&lt;=45,"Joven","Mayor")</f>
        <v>Joven</v>
      </c>
      <c r="N2120" s="1">
        <v>40</v>
      </c>
      <c r="O2120" s="1" t="s">
        <v>36</v>
      </c>
      <c r="P2120" s="1">
        <v>0.35</v>
      </c>
      <c r="Q2120" s="1">
        <v>92.894999999999996</v>
      </c>
      <c r="R2120" s="1">
        <v>-0.44877672000000002</v>
      </c>
      <c r="S2120" s="1">
        <v>7.5926530000000003</v>
      </c>
      <c r="T2120" s="1">
        <v>2.4308179999999999</v>
      </c>
      <c r="U2120" s="1">
        <v>3.3159999999999998</v>
      </c>
      <c r="V2120" s="1">
        <v>122</v>
      </c>
      <c r="W2120" s="1">
        <v>210</v>
      </c>
      <c r="X2120" s="1">
        <v>1.721311475409836</v>
      </c>
      <c r="Y2120" s="1">
        <v>124</v>
      </c>
      <c r="Z2120" s="1">
        <v>210</v>
      </c>
      <c r="AA2120" s="1">
        <v>1.6935483870967742</v>
      </c>
      <c r="AB2120" s="1">
        <v>123.841220089739</v>
      </c>
      <c r="AC2120" s="1">
        <v>209.3444903874765</v>
      </c>
      <c r="AD2120" s="1">
        <v>1.6904265820037894</v>
      </c>
      <c r="AE2120" t="s">
        <v>4816</v>
      </c>
      <c r="AF2120" t="str">
        <f>IF(X2120&lt;$AF$1,"Bajo","Alto")</f>
        <v>Bajo</v>
      </c>
      <c r="AG2120" t="str">
        <f>LEFT(AE2120,1)</f>
        <v>D</v>
      </c>
      <c r="AH2120" t="str">
        <f>K2120</f>
        <v>M</v>
      </c>
      <c r="AI2120" t="str">
        <f>LEFT(AF2120,1)</f>
        <v>B</v>
      </c>
      <c r="AJ2120" t="str">
        <f>LEFT(M2120,1)</f>
        <v>J</v>
      </c>
      <c r="AK2120" t="str">
        <f>_xlfn.CONCAT(AG2120,AH2120,AI2120,AJ2120)</f>
        <v>DMBJ</v>
      </c>
    </row>
    <row r="2121" spans="1:37" ht="15.75" hidden="1" customHeight="1" x14ac:dyDescent="0.2">
      <c r="A2121" s="1">
        <v>286007</v>
      </c>
      <c r="B2121" s="1" t="s">
        <v>1775</v>
      </c>
      <c r="C2121" s="1" t="s">
        <v>561</v>
      </c>
      <c r="D2121" s="1" t="s">
        <v>3882</v>
      </c>
      <c r="E2121" s="1" t="s">
        <v>1458</v>
      </c>
      <c r="F2121" s="1" t="s">
        <v>43</v>
      </c>
      <c r="G2121" s="1" t="s">
        <v>3884</v>
      </c>
      <c r="H2121" s="1">
        <v>2399</v>
      </c>
      <c r="I2121" s="1" t="s">
        <v>65</v>
      </c>
      <c r="J2121" s="1">
        <v>2</v>
      </c>
      <c r="K2121" s="1" t="s">
        <v>49</v>
      </c>
      <c r="L2121" s="1">
        <v>51</v>
      </c>
      <c r="M2121" s="1" t="str">
        <f>IF(L2121&lt;=45,"Joven","Mayor")</f>
        <v>Mayor</v>
      </c>
      <c r="N2121" s="1">
        <v>44</v>
      </c>
      <c r="O2121" s="1" t="s">
        <v>50</v>
      </c>
      <c r="P2121" s="1">
        <v>0.317</v>
      </c>
      <c r="Q2121" s="1">
        <v>68.540999999999997</v>
      </c>
      <c r="R2121" s="1">
        <v>13.002822999999999</v>
      </c>
      <c r="S2121" s="1">
        <v>3.3837682999999998</v>
      </c>
      <c r="T2121" s="1">
        <v>-1.7549402000000001</v>
      </c>
      <c r="U2121" s="1">
        <v>7.2480000000000002</v>
      </c>
      <c r="V2121" s="1">
        <v>92</v>
      </c>
      <c r="W2121" s="1">
        <v>166</v>
      </c>
      <c r="X2121" s="1">
        <v>1.8043478260869565</v>
      </c>
      <c r="Y2121" s="1">
        <v>97</v>
      </c>
      <c r="Z2121" s="1">
        <v>166</v>
      </c>
      <c r="AA2121" s="1">
        <v>1.7113402061855669</v>
      </c>
      <c r="AB2121" s="1">
        <v>98.118240972830108</v>
      </c>
      <c r="AC2121" s="1">
        <v>165.64651610434839</v>
      </c>
      <c r="AD2121" s="1">
        <v>1.6882336501549953</v>
      </c>
      <c r="AE2121" t="s">
        <v>4817</v>
      </c>
      <c r="AF2121" t="str">
        <f>IF(X2121&lt;$AF$1,"Bajo","Alto")</f>
        <v>Alto</v>
      </c>
      <c r="AG2121" t="str">
        <f>LEFT(AE2121,1)</f>
        <v>C</v>
      </c>
      <c r="AH2121" t="str">
        <f>K2121</f>
        <v>F</v>
      </c>
      <c r="AI2121" t="str">
        <f>LEFT(AF2121,1)</f>
        <v>A</v>
      </c>
      <c r="AJ2121" t="str">
        <f>LEFT(M2121,1)</f>
        <v>M</v>
      </c>
      <c r="AK2121" t="str">
        <f>_xlfn.CONCAT(AG2121,AH2121,AI2121,AJ2121)</f>
        <v>CFAM</v>
      </c>
    </row>
    <row r="2122" spans="1:37" ht="15.75" hidden="1" customHeight="1" x14ac:dyDescent="0.2">
      <c r="A2122" s="1">
        <v>192504</v>
      </c>
      <c r="B2122" s="1" t="s">
        <v>2656</v>
      </c>
      <c r="C2122" s="1" t="s">
        <v>323</v>
      </c>
      <c r="D2122" s="1" t="s">
        <v>2688</v>
      </c>
      <c r="E2122" s="1" t="s">
        <v>821</v>
      </c>
      <c r="F2122" s="1" t="s">
        <v>61</v>
      </c>
      <c r="G2122" s="1" t="s">
        <v>2692</v>
      </c>
      <c r="H2122" s="1">
        <v>857</v>
      </c>
      <c r="I2122" s="1" t="s">
        <v>2693</v>
      </c>
      <c r="J2122" s="1">
        <v>949</v>
      </c>
      <c r="K2122" s="1" t="s">
        <v>49</v>
      </c>
      <c r="L2122" s="1">
        <v>40</v>
      </c>
      <c r="M2122" s="1" t="str">
        <f>IF(L2122&lt;=45,"Joven","Mayor")</f>
        <v>Joven</v>
      </c>
      <c r="N2122" s="1">
        <v>48</v>
      </c>
      <c r="O2122" s="1" t="s">
        <v>50</v>
      </c>
      <c r="P2122" s="1">
        <v>0.253</v>
      </c>
      <c r="Q2122" s="1">
        <v>77.284000000000006</v>
      </c>
      <c r="R2122" s="1">
        <v>11.396652</v>
      </c>
      <c r="S2122" s="1">
        <v>1.1421288000000001</v>
      </c>
      <c r="T2122" s="1">
        <v>-12.493643</v>
      </c>
      <c r="U2122" s="1">
        <v>1.4570000000000001</v>
      </c>
      <c r="V2122" s="1">
        <v>77</v>
      </c>
      <c r="W2122" s="1">
        <v>140</v>
      </c>
      <c r="X2122" s="1">
        <v>1.8181818181818181</v>
      </c>
      <c r="Y2122" s="1">
        <v>87</v>
      </c>
      <c r="Z2122" s="1">
        <v>140</v>
      </c>
      <c r="AA2122" s="1">
        <v>1.6091954022988506</v>
      </c>
      <c r="AB2122" s="1">
        <v>85.560543187165422</v>
      </c>
      <c r="AC2122" s="1">
        <v>139.7134402175852</v>
      </c>
      <c r="AD2122" s="1">
        <v>1.632919042039731</v>
      </c>
      <c r="AE2122" t="s">
        <v>4817</v>
      </c>
      <c r="AF2122" t="str">
        <f>IF(X2122&lt;$AF$1,"Bajo","Alto")</f>
        <v>Alto</v>
      </c>
      <c r="AG2122" t="str">
        <f>LEFT(AE2122,1)</f>
        <v>C</v>
      </c>
      <c r="AH2122" t="str">
        <f>K2122</f>
        <v>F</v>
      </c>
      <c r="AI2122" t="str">
        <f>LEFT(AF2122,1)</f>
        <v>A</v>
      </c>
      <c r="AJ2122" t="str">
        <f>LEFT(M2122,1)</f>
        <v>J</v>
      </c>
      <c r="AK2122" t="str">
        <f>_xlfn.CONCAT(AG2122,AH2122,AI2122,AJ2122)</f>
        <v>CFAJ</v>
      </c>
    </row>
    <row r="2123" spans="1:37" ht="15.75" hidden="1" customHeight="1" x14ac:dyDescent="0.2">
      <c r="A2123" s="1">
        <v>1073401</v>
      </c>
      <c r="B2123" s="1" t="s">
        <v>1067</v>
      </c>
      <c r="C2123" s="1" t="s">
        <v>1068</v>
      </c>
      <c r="D2123" s="1" t="s">
        <v>1437</v>
      </c>
      <c r="E2123" s="1" t="s">
        <v>634</v>
      </c>
      <c r="F2123" s="1" t="s">
        <v>32</v>
      </c>
      <c r="G2123" s="1" t="s">
        <v>1438</v>
      </c>
      <c r="H2123" s="1">
        <v>359</v>
      </c>
      <c r="I2123" s="1" t="s">
        <v>65</v>
      </c>
      <c r="J2123" s="1">
        <v>2</v>
      </c>
      <c r="K2123" s="1" t="s">
        <v>35</v>
      </c>
      <c r="L2123" s="1">
        <v>52</v>
      </c>
      <c r="M2123" s="1" t="str">
        <f>IF(L2123&lt;=45,"Joven","Mayor")</f>
        <v>Mayor</v>
      </c>
      <c r="N2123" s="1">
        <v>51</v>
      </c>
      <c r="O2123" s="1" t="s">
        <v>36</v>
      </c>
      <c r="P2123" s="1">
        <v>0.35799999999999998</v>
      </c>
      <c r="Q2123" s="1">
        <v>94.010999999999996</v>
      </c>
      <c r="R2123" s="1">
        <v>1.0760177</v>
      </c>
      <c r="S2123" s="1">
        <v>-2.5272671999999998</v>
      </c>
      <c r="T2123" s="1">
        <v>-7.8498033999999999</v>
      </c>
      <c r="U2123" s="1">
        <v>2.3260000000000001</v>
      </c>
      <c r="V2123" s="1">
        <v>84</v>
      </c>
      <c r="W2123" s="1">
        <v>145</v>
      </c>
      <c r="X2123" s="1">
        <v>1.7261904761904763</v>
      </c>
      <c r="Y2123" s="1">
        <v>90</v>
      </c>
      <c r="Z2123" s="1">
        <v>145</v>
      </c>
      <c r="AA2123" s="1">
        <v>1.6111111111111112</v>
      </c>
      <c r="AB2123" s="1">
        <v>89.08567642635694</v>
      </c>
      <c r="AC2123" s="1">
        <v>144.87046757553659</v>
      </c>
      <c r="AD2123" s="1">
        <v>1.6261925978111014</v>
      </c>
      <c r="AE2123" t="s">
        <v>4817</v>
      </c>
      <c r="AF2123" t="str">
        <f>IF(X2123&lt;$AF$1,"Bajo","Alto")</f>
        <v>Bajo</v>
      </c>
      <c r="AG2123" t="str">
        <f>LEFT(AE2123,1)</f>
        <v>C</v>
      </c>
      <c r="AH2123" t="str">
        <f>K2123</f>
        <v>M</v>
      </c>
      <c r="AI2123" t="str">
        <f>LEFT(AF2123,1)</f>
        <v>B</v>
      </c>
      <c r="AJ2123" t="str">
        <f>LEFT(M2123,1)</f>
        <v>M</v>
      </c>
      <c r="AK2123" t="str">
        <f>_xlfn.CONCAT(AG2123,AH2123,AI2123,AJ2123)</f>
        <v>CMBM</v>
      </c>
    </row>
    <row r="2124" spans="1:37" ht="15.75" hidden="1" customHeight="1" x14ac:dyDescent="0.2">
      <c r="A2124" s="1">
        <v>1090702</v>
      </c>
      <c r="B2124" s="1" t="s">
        <v>719</v>
      </c>
      <c r="C2124" s="1" t="s">
        <v>98</v>
      </c>
      <c r="D2124" s="1" t="s">
        <v>1543</v>
      </c>
      <c r="E2124" s="1" t="s">
        <v>43</v>
      </c>
      <c r="F2124" s="1" t="s">
        <v>37</v>
      </c>
      <c r="G2124" s="1" t="s">
        <v>1544</v>
      </c>
      <c r="H2124" s="1">
        <v>464</v>
      </c>
      <c r="I2124" s="1" t="s">
        <v>65</v>
      </c>
      <c r="J2124" s="1">
        <v>2</v>
      </c>
      <c r="K2124" s="1" t="s">
        <v>35</v>
      </c>
      <c r="L2124" s="1">
        <v>62</v>
      </c>
      <c r="M2124" s="1" t="str">
        <f>IF(L2124&lt;=45,"Joven","Mayor")</f>
        <v>Mayor</v>
      </c>
      <c r="N2124" s="1">
        <v>25</v>
      </c>
      <c r="O2124" s="1" t="s">
        <v>36</v>
      </c>
      <c r="P2124" s="1">
        <v>0.35099999999999998</v>
      </c>
      <c r="Q2124" s="1">
        <v>90.956000000000003</v>
      </c>
      <c r="R2124" s="1">
        <v>-5.4664489999999999</v>
      </c>
      <c r="S2124" s="1">
        <v>0.377251</v>
      </c>
      <c r="T2124" s="1">
        <v>0.49835479999999999</v>
      </c>
      <c r="U2124" s="1">
        <v>3.4940000000000002</v>
      </c>
      <c r="V2124" s="1">
        <v>95</v>
      </c>
      <c r="W2124" s="1">
        <v>164</v>
      </c>
      <c r="X2124" s="1">
        <v>1.7263157894736842</v>
      </c>
      <c r="Y2124" s="1">
        <v>98</v>
      </c>
      <c r="Z2124" s="1">
        <v>164</v>
      </c>
      <c r="AA2124" s="1">
        <v>1.6734693877551021</v>
      </c>
      <c r="AB2124" s="1">
        <v>98.309414583776288</v>
      </c>
      <c r="AC2124" s="1">
        <v>163.94160947464749</v>
      </c>
      <c r="AD2124" s="1">
        <v>1.667608439829956</v>
      </c>
      <c r="AE2124" t="s">
        <v>4817</v>
      </c>
      <c r="AF2124" t="str">
        <f>IF(X2124&lt;$AF$1,"Bajo","Alto")</f>
        <v>Bajo</v>
      </c>
      <c r="AG2124" t="str">
        <f>LEFT(AE2124,1)</f>
        <v>C</v>
      </c>
      <c r="AH2124" t="str">
        <f>K2124</f>
        <v>M</v>
      </c>
      <c r="AI2124" t="str">
        <f>LEFT(AF2124,1)</f>
        <v>B</v>
      </c>
      <c r="AJ2124" t="str">
        <f>LEFT(M2124,1)</f>
        <v>M</v>
      </c>
      <c r="AK2124" t="str">
        <f>_xlfn.CONCAT(AG2124,AH2124,AI2124,AJ2124)</f>
        <v>CMBM</v>
      </c>
    </row>
    <row r="2125" spans="1:37" ht="15.75" hidden="1" customHeight="1" x14ac:dyDescent="0.2">
      <c r="A2125" s="1">
        <v>720105</v>
      </c>
      <c r="B2125" s="1" t="s">
        <v>4798</v>
      </c>
      <c r="C2125" s="1" t="s">
        <v>1016</v>
      </c>
      <c r="D2125" s="1" t="s">
        <v>4799</v>
      </c>
      <c r="E2125" s="1" t="s">
        <v>32</v>
      </c>
      <c r="F2125" s="1" t="s">
        <v>40</v>
      </c>
      <c r="G2125" s="1" t="s">
        <v>4802</v>
      </c>
      <c r="H2125" s="1">
        <v>4303</v>
      </c>
      <c r="I2125" s="1" t="s">
        <v>4803</v>
      </c>
      <c r="J2125" s="1">
        <v>2661</v>
      </c>
      <c r="K2125" s="1" t="s">
        <v>35</v>
      </c>
      <c r="L2125" s="1">
        <v>45</v>
      </c>
      <c r="M2125" s="1" t="str">
        <f>IF(L2125&lt;=45,"Joven","Mayor")</f>
        <v>Joven</v>
      </c>
      <c r="N2125" s="1">
        <v>49</v>
      </c>
      <c r="O2125" s="1" t="s">
        <v>36</v>
      </c>
      <c r="P2125" s="1">
        <v>0.35899999999999999</v>
      </c>
      <c r="Q2125" s="1">
        <v>93.617000000000004</v>
      </c>
      <c r="R2125" s="1">
        <v>1.7150955000000001</v>
      </c>
      <c r="S2125" s="1">
        <v>2.6934141999999999</v>
      </c>
      <c r="T2125" s="1">
        <v>-3.6127253000000001</v>
      </c>
      <c r="U2125" s="1">
        <v>5.085</v>
      </c>
      <c r="V2125" s="1">
        <v>94</v>
      </c>
      <c r="W2125" s="1">
        <v>163</v>
      </c>
      <c r="X2125" s="1">
        <v>1.7340425531914894</v>
      </c>
      <c r="Y2125" s="1">
        <v>96</v>
      </c>
      <c r="Z2125" s="1">
        <v>163</v>
      </c>
      <c r="AA2125" s="1">
        <v>1.6979166666666667</v>
      </c>
      <c r="AB2125" s="1">
        <v>96.522722923565198</v>
      </c>
      <c r="AC2125" s="1">
        <v>162.9281282892816</v>
      </c>
      <c r="AD2125" s="1">
        <v>1.6879769172933692</v>
      </c>
      <c r="AE2125" t="s">
        <v>4817</v>
      </c>
      <c r="AF2125" t="str">
        <f>IF(X2125&lt;$AF$1,"Bajo","Alto")</f>
        <v>Bajo</v>
      </c>
      <c r="AG2125" t="str">
        <f>LEFT(AE2125,1)</f>
        <v>C</v>
      </c>
      <c r="AH2125" t="str">
        <f>K2125</f>
        <v>M</v>
      </c>
      <c r="AI2125" t="str">
        <f>LEFT(AF2125,1)</f>
        <v>B</v>
      </c>
      <c r="AJ2125" t="str">
        <f>LEFT(M2125,1)</f>
        <v>J</v>
      </c>
      <c r="AK2125" t="str">
        <f>_xlfn.CONCAT(AG2125,AH2125,AI2125,AJ2125)</f>
        <v>CMBJ</v>
      </c>
    </row>
    <row r="2126" spans="1:37" ht="15.75" hidden="1" customHeight="1" x14ac:dyDescent="0.2">
      <c r="A2126" s="1">
        <v>4683001</v>
      </c>
      <c r="B2126" s="1" t="s">
        <v>4382</v>
      </c>
      <c r="C2126" s="1" t="s">
        <v>669</v>
      </c>
      <c r="D2126" s="1" t="s">
        <v>4440</v>
      </c>
      <c r="E2126" s="1" t="s">
        <v>4441</v>
      </c>
      <c r="F2126" s="1" t="s">
        <v>32</v>
      </c>
      <c r="G2126" s="1" t="s">
        <v>4442</v>
      </c>
      <c r="H2126" s="1">
        <v>82</v>
      </c>
      <c r="I2126" s="1" t="s">
        <v>87</v>
      </c>
      <c r="J2126" s="1">
        <v>14</v>
      </c>
      <c r="K2126" s="1" t="s">
        <v>49</v>
      </c>
      <c r="L2126" s="1">
        <v>37</v>
      </c>
      <c r="M2126" s="1" t="str">
        <f>IF(L2126&lt;=45,"Joven","Mayor")</f>
        <v>Joven</v>
      </c>
      <c r="N2126" s="1">
        <v>43</v>
      </c>
      <c r="O2126" s="1" t="s">
        <v>50</v>
      </c>
      <c r="P2126" s="1">
        <v>0.496</v>
      </c>
      <c r="Q2126" s="1">
        <v>92.477000000000004</v>
      </c>
      <c r="R2126" s="1">
        <v>-1.5482545000000001</v>
      </c>
      <c r="S2126" s="1">
        <v>6.8109729999999997</v>
      </c>
      <c r="T2126" s="1">
        <v>-1.4452119000000001</v>
      </c>
      <c r="U2126" s="1">
        <v>0.313</v>
      </c>
      <c r="V2126" s="1">
        <v>76</v>
      </c>
      <c r="W2126" s="1">
        <v>140</v>
      </c>
      <c r="X2126" s="1">
        <v>1.8421052631578947</v>
      </c>
      <c r="Y2126" s="1">
        <v>79</v>
      </c>
      <c r="Z2126" s="1">
        <v>140</v>
      </c>
      <c r="AA2126" s="1">
        <v>1.7721518987341771</v>
      </c>
      <c r="AB2126" s="1">
        <v>78.193018062000192</v>
      </c>
      <c r="AC2126" s="1">
        <v>140.03112898127571</v>
      </c>
      <c r="AD2126" s="1">
        <v>1.7908392904113681</v>
      </c>
      <c r="AE2126" t="s">
        <v>4816</v>
      </c>
      <c r="AF2126" t="str">
        <f>IF(X2126&lt;$AF$1,"Bajo","Alto")</f>
        <v>Alto</v>
      </c>
      <c r="AG2126" t="str">
        <f>LEFT(AE2126,1)</f>
        <v>D</v>
      </c>
      <c r="AH2126" t="str">
        <f>K2126</f>
        <v>F</v>
      </c>
      <c r="AI2126" t="str">
        <f>LEFT(AF2126,1)</f>
        <v>A</v>
      </c>
      <c r="AJ2126" t="str">
        <f>LEFT(M2126,1)</f>
        <v>J</v>
      </c>
      <c r="AK2126" t="str">
        <f>_xlfn.CONCAT(AG2126,AH2126,AI2126,AJ2126)</f>
        <v>DFAJ</v>
      </c>
    </row>
    <row r="2127" spans="1:37" ht="15.75" hidden="1" customHeight="1" x14ac:dyDescent="0.2">
      <c r="A2127" s="1">
        <v>10717801</v>
      </c>
      <c r="B2127" s="1" t="s">
        <v>1067</v>
      </c>
      <c r="C2127" s="1" t="s">
        <v>1068</v>
      </c>
      <c r="D2127" s="1" t="s">
        <v>1190</v>
      </c>
      <c r="E2127" s="1" t="s">
        <v>300</v>
      </c>
      <c r="F2127" s="1" t="s">
        <v>32</v>
      </c>
      <c r="G2127" s="1" t="s">
        <v>1191</v>
      </c>
      <c r="H2127" s="1">
        <v>52</v>
      </c>
      <c r="I2127" s="1" t="s">
        <v>294</v>
      </c>
      <c r="J2127" s="1">
        <v>16</v>
      </c>
      <c r="K2127" s="1" t="s">
        <v>35</v>
      </c>
      <c r="L2127" s="1">
        <v>51</v>
      </c>
      <c r="M2127" s="1" t="str">
        <f>IF(L2127&lt;=45,"Joven","Mayor")</f>
        <v>Mayor</v>
      </c>
      <c r="N2127" s="1">
        <v>61</v>
      </c>
      <c r="O2127" s="1" t="s">
        <v>36</v>
      </c>
      <c r="P2127" s="1">
        <v>0.36499999999999999</v>
      </c>
      <c r="Q2127" s="1">
        <v>90.456000000000003</v>
      </c>
      <c r="R2127" s="1">
        <v>5.6199893999999997</v>
      </c>
      <c r="S2127" s="1">
        <v>-1.6198417000000001</v>
      </c>
      <c r="T2127" s="1">
        <v>-4.8215127000000004</v>
      </c>
      <c r="U2127" s="1">
        <v>40.356000000000002</v>
      </c>
      <c r="V2127" s="1">
        <v>106</v>
      </c>
      <c r="W2127" s="1">
        <v>183</v>
      </c>
      <c r="X2127" s="1">
        <v>1.7264150943396226</v>
      </c>
      <c r="Y2127" s="1">
        <v>107</v>
      </c>
      <c r="Z2127" s="1">
        <v>183</v>
      </c>
      <c r="AA2127" s="1">
        <v>1.7102803738317758</v>
      </c>
      <c r="AB2127" s="1">
        <v>109.7434527092128</v>
      </c>
      <c r="AC2127" s="1">
        <v>182.688638790944</v>
      </c>
      <c r="AD2127" s="1">
        <v>1.664688273249558</v>
      </c>
      <c r="AE2127" t="s">
        <v>4817</v>
      </c>
      <c r="AF2127" t="str">
        <f>IF(X2127&lt;$AF$1,"Bajo","Alto")</f>
        <v>Bajo</v>
      </c>
      <c r="AG2127" t="str">
        <f>LEFT(AE2127,1)</f>
        <v>C</v>
      </c>
      <c r="AH2127" t="str">
        <f>K2127</f>
        <v>M</v>
      </c>
      <c r="AI2127" t="str">
        <f>LEFT(AF2127,1)</f>
        <v>B</v>
      </c>
      <c r="AJ2127" t="str">
        <f>LEFT(M2127,1)</f>
        <v>M</v>
      </c>
      <c r="AK2127" t="str">
        <f>_xlfn.CONCAT(AG2127,AH2127,AI2127,AJ2127)</f>
        <v>CMBM</v>
      </c>
    </row>
    <row r="2128" spans="1:37" ht="15.75" hidden="1" customHeight="1" x14ac:dyDescent="0.2">
      <c r="A2128" s="1">
        <v>295806</v>
      </c>
      <c r="B2128" s="1" t="s">
        <v>3890</v>
      </c>
      <c r="C2128" s="1" t="s">
        <v>1695</v>
      </c>
      <c r="D2128" s="1" t="s">
        <v>4035</v>
      </c>
      <c r="E2128" s="1" t="s">
        <v>695</v>
      </c>
      <c r="F2128" s="1" t="s">
        <v>88</v>
      </c>
      <c r="G2128" s="1" t="s">
        <v>4041</v>
      </c>
      <c r="H2128" s="1">
        <v>304</v>
      </c>
      <c r="I2128" s="1" t="s">
        <v>48</v>
      </c>
      <c r="J2128" s="1">
        <v>4</v>
      </c>
      <c r="K2128" s="1" t="s">
        <v>35</v>
      </c>
      <c r="L2128" s="1">
        <v>47</v>
      </c>
      <c r="M2128" s="1" t="str">
        <f>IF(L2128&lt;=45,"Joven","Mayor")</f>
        <v>Mayor</v>
      </c>
      <c r="N2128" s="1">
        <v>43</v>
      </c>
      <c r="O2128" s="1" t="s">
        <v>36</v>
      </c>
      <c r="P2128" s="1">
        <v>0.36399999999999999</v>
      </c>
      <c r="Q2128" s="1">
        <v>92.105000000000004</v>
      </c>
      <c r="R2128" s="1">
        <v>3.3151397999999999</v>
      </c>
      <c r="S2128" s="1">
        <v>4.1027839999999998</v>
      </c>
      <c r="T2128" s="1">
        <v>-2.5948980000000001</v>
      </c>
      <c r="U2128" s="1">
        <v>1.4590000000000001</v>
      </c>
      <c r="V2128" s="1">
        <v>101</v>
      </c>
      <c r="W2128" s="1">
        <v>183</v>
      </c>
      <c r="X2128" s="1">
        <v>1.8118811881188119</v>
      </c>
      <c r="Y2128" s="1">
        <v>105</v>
      </c>
      <c r="Z2128" s="1">
        <v>183</v>
      </c>
      <c r="AA2128" s="1">
        <v>1.7428571428571429</v>
      </c>
      <c r="AB2128" s="1">
        <v>103.5223290399701</v>
      </c>
      <c r="AC2128" s="1">
        <v>182.9934488932395</v>
      </c>
      <c r="AD2128" s="1">
        <v>1.7676712897618976</v>
      </c>
      <c r="AE2128" t="s">
        <v>4817</v>
      </c>
      <c r="AF2128" t="str">
        <f>IF(X2128&lt;$AF$1,"Bajo","Alto")</f>
        <v>Alto</v>
      </c>
      <c r="AG2128" t="str">
        <f>LEFT(AE2128,1)</f>
        <v>C</v>
      </c>
      <c r="AH2128" t="str">
        <f>K2128</f>
        <v>M</v>
      </c>
      <c r="AI2128" t="str">
        <f>LEFT(AF2128,1)</f>
        <v>A</v>
      </c>
      <c r="AJ2128" t="str">
        <f>LEFT(M2128,1)</f>
        <v>M</v>
      </c>
      <c r="AK2128" t="str">
        <f>_xlfn.CONCAT(AG2128,AH2128,AI2128,AJ2128)</f>
        <v>CMAM</v>
      </c>
    </row>
    <row r="2129" spans="1:37" ht="15.75" hidden="1" customHeight="1" x14ac:dyDescent="0.2">
      <c r="A2129" s="1">
        <v>10723201</v>
      </c>
      <c r="B2129" s="1" t="s">
        <v>1067</v>
      </c>
      <c r="C2129" s="1" t="s">
        <v>1068</v>
      </c>
      <c r="D2129" s="1" t="s">
        <v>1250</v>
      </c>
      <c r="E2129" s="1" t="s">
        <v>461</v>
      </c>
      <c r="F2129" s="1" t="s">
        <v>32</v>
      </c>
      <c r="G2129" s="1" t="s">
        <v>1251</v>
      </c>
      <c r="H2129" s="1">
        <v>0</v>
      </c>
      <c r="I2129" s="1" t="s">
        <v>42</v>
      </c>
      <c r="J2129" s="1">
        <v>15</v>
      </c>
      <c r="K2129" s="1" t="s">
        <v>35</v>
      </c>
      <c r="L2129" s="1">
        <v>37</v>
      </c>
      <c r="M2129" s="1" t="str">
        <f>IF(L2129&lt;=45,"Joven","Mayor")</f>
        <v>Joven</v>
      </c>
      <c r="N2129" s="1">
        <v>44</v>
      </c>
      <c r="O2129" s="1" t="s">
        <v>36</v>
      </c>
      <c r="P2129" s="1">
        <v>0.14199999999999999</v>
      </c>
      <c r="Q2129" s="1">
        <v>85.756</v>
      </c>
      <c r="R2129" s="1">
        <v>-8.0983999999999998</v>
      </c>
      <c r="S2129" s="1">
        <v>3.6449710999999998</v>
      </c>
      <c r="T2129" s="1">
        <v>0.97159649999999997</v>
      </c>
      <c r="U2129" s="1">
        <v>5.0970000000000004</v>
      </c>
      <c r="V2129" s="1">
        <v>83</v>
      </c>
      <c r="W2129" s="1">
        <v>144</v>
      </c>
      <c r="X2129" s="1">
        <v>1.7349397590361446</v>
      </c>
      <c r="Y2129" s="1">
        <v>85</v>
      </c>
      <c r="Z2129" s="1">
        <v>144</v>
      </c>
      <c r="AA2129" s="1">
        <v>1.6941176470588235</v>
      </c>
      <c r="AB2129" s="1">
        <v>85.564308382639183</v>
      </c>
      <c r="AC2129" s="1">
        <v>143.84364230286289</v>
      </c>
      <c r="AD2129" s="1">
        <v>1.6811173376123316</v>
      </c>
      <c r="AE2129" t="s">
        <v>4817</v>
      </c>
      <c r="AF2129" t="str">
        <f>IF(X2129&lt;$AF$1,"Bajo","Alto")</f>
        <v>Bajo</v>
      </c>
      <c r="AG2129" t="str">
        <f>LEFT(AE2129,1)</f>
        <v>C</v>
      </c>
      <c r="AH2129" t="str">
        <f>K2129</f>
        <v>M</v>
      </c>
      <c r="AI2129" t="str">
        <f>LEFT(AF2129,1)</f>
        <v>B</v>
      </c>
      <c r="AJ2129" t="str">
        <f>LEFT(M2129,1)</f>
        <v>J</v>
      </c>
      <c r="AK2129" t="str">
        <f>_xlfn.CONCAT(AG2129,AH2129,AI2129,AJ2129)</f>
        <v>CMBJ</v>
      </c>
    </row>
    <row r="2130" spans="1:37" ht="15.75" hidden="1" customHeight="1" x14ac:dyDescent="0.2">
      <c r="A2130" s="1">
        <v>298504</v>
      </c>
      <c r="B2130" s="1" t="s">
        <v>3890</v>
      </c>
      <c r="C2130" s="1" t="s">
        <v>1695</v>
      </c>
      <c r="D2130" s="1" t="s">
        <v>4086</v>
      </c>
      <c r="E2130" s="1" t="s">
        <v>755</v>
      </c>
      <c r="F2130" s="1" t="s">
        <v>61</v>
      </c>
      <c r="G2130" s="1" t="s">
        <v>4089</v>
      </c>
      <c r="H2130" s="1">
        <v>20</v>
      </c>
      <c r="I2130" s="1" t="s">
        <v>294</v>
      </c>
      <c r="J2130" s="1">
        <v>16</v>
      </c>
      <c r="K2130" s="1" t="s">
        <v>35</v>
      </c>
      <c r="L2130" s="1">
        <v>65</v>
      </c>
      <c r="M2130" s="1" t="str">
        <f>IF(L2130&lt;=45,"Joven","Mayor")</f>
        <v>Mayor</v>
      </c>
      <c r="N2130" s="1">
        <v>61</v>
      </c>
      <c r="O2130" s="1" t="s">
        <v>36</v>
      </c>
      <c r="P2130" s="1">
        <v>1.147</v>
      </c>
      <c r="Q2130" s="1">
        <v>93.745999999999995</v>
      </c>
      <c r="R2130" s="1">
        <v>1.0745518000000001</v>
      </c>
      <c r="S2130" s="1">
        <v>2.8809429999999998</v>
      </c>
      <c r="T2130" s="1">
        <v>-4.1523933</v>
      </c>
      <c r="U2130" s="1">
        <v>1.044</v>
      </c>
      <c r="V2130" s="1">
        <v>95</v>
      </c>
      <c r="W2130" s="1">
        <v>172</v>
      </c>
      <c r="X2130" s="1">
        <v>1.8105263157894738</v>
      </c>
      <c r="Y2130" s="1">
        <v>99</v>
      </c>
      <c r="Z2130" s="1">
        <v>172</v>
      </c>
      <c r="AA2130" s="1">
        <v>1.7373737373737375</v>
      </c>
      <c r="AB2130" s="1">
        <v>97.647004066662021</v>
      </c>
      <c r="AC2130" s="1">
        <v>171.83813564890721</v>
      </c>
      <c r="AD2130" s="1">
        <v>1.7597891229883111</v>
      </c>
      <c r="AE2130" t="s">
        <v>4817</v>
      </c>
      <c r="AF2130" t="str">
        <f>IF(X2130&lt;$AF$1,"Bajo","Alto")</f>
        <v>Alto</v>
      </c>
      <c r="AG2130" t="str">
        <f>LEFT(AE2130,1)</f>
        <v>C</v>
      </c>
      <c r="AH2130" t="str">
        <f>K2130</f>
        <v>M</v>
      </c>
      <c r="AI2130" t="str">
        <f>LEFT(AF2130,1)</f>
        <v>A</v>
      </c>
      <c r="AJ2130" t="str">
        <f>LEFT(M2130,1)</f>
        <v>M</v>
      </c>
      <c r="AK2130" t="str">
        <f>_xlfn.CONCAT(AG2130,AH2130,AI2130,AJ2130)</f>
        <v>CMAM</v>
      </c>
    </row>
    <row r="2131" spans="1:37" ht="15.75" hidden="1" customHeight="1" x14ac:dyDescent="0.2">
      <c r="A2131" s="1">
        <v>720102</v>
      </c>
      <c r="B2131" s="1" t="s">
        <v>4798</v>
      </c>
      <c r="C2131" s="1" t="s">
        <v>1016</v>
      </c>
      <c r="D2131" s="1" t="s">
        <v>4799</v>
      </c>
      <c r="E2131" s="1" t="s">
        <v>32</v>
      </c>
      <c r="F2131" s="1" t="s">
        <v>37</v>
      </c>
      <c r="G2131" s="1" t="s">
        <v>4801</v>
      </c>
      <c r="H2131" s="1">
        <v>283</v>
      </c>
      <c r="I2131" s="1" t="s">
        <v>85</v>
      </c>
      <c r="J2131" s="1">
        <v>12</v>
      </c>
      <c r="K2131" s="1" t="s">
        <v>35</v>
      </c>
      <c r="L2131" s="1">
        <v>73</v>
      </c>
      <c r="M2131" s="1" t="str">
        <f>IF(L2131&lt;=45,"Joven","Mayor")</f>
        <v>Mayor</v>
      </c>
      <c r="N2131" s="1">
        <v>69</v>
      </c>
      <c r="O2131" s="1" t="s">
        <v>36</v>
      </c>
      <c r="P2131" s="1">
        <v>1.2090000000000001</v>
      </c>
      <c r="Q2131" s="1">
        <v>93.277000000000001</v>
      </c>
      <c r="R2131" s="1">
        <v>0.11946427</v>
      </c>
      <c r="S2131" s="1">
        <v>-6.3832240000000002</v>
      </c>
      <c r="T2131" s="1">
        <v>-2.6060753000000001</v>
      </c>
      <c r="U2131" s="1">
        <v>0.189</v>
      </c>
      <c r="V2131" s="1">
        <v>104</v>
      </c>
      <c r="W2131" s="1">
        <v>177</v>
      </c>
      <c r="X2131" s="1">
        <v>1.7019230769230769</v>
      </c>
      <c r="Y2131" s="1">
        <v>105</v>
      </c>
      <c r="Z2131" s="1">
        <v>177</v>
      </c>
      <c r="AA2131" s="1">
        <v>1.6857142857142857</v>
      </c>
      <c r="AB2131" s="1">
        <v>106.1204151549296</v>
      </c>
      <c r="AC2131" s="1">
        <v>176.907876311092</v>
      </c>
      <c r="AD2131" s="1">
        <v>1.667048475571989</v>
      </c>
      <c r="AE2131" t="s">
        <v>4815</v>
      </c>
      <c r="AF2131" t="str">
        <f>IF(X2131&lt;$AF$1,"Bajo","Alto")</f>
        <v>Bajo</v>
      </c>
      <c r="AG2131" t="str">
        <f>LEFT(AE2131,1)</f>
        <v>I</v>
      </c>
      <c r="AH2131" t="str">
        <f>K2131</f>
        <v>M</v>
      </c>
      <c r="AI2131" t="str">
        <f>LEFT(AF2131,1)</f>
        <v>B</v>
      </c>
      <c r="AJ2131" t="str">
        <f>LEFT(M2131,1)</f>
        <v>M</v>
      </c>
      <c r="AK2131" t="str">
        <f>_xlfn.CONCAT(AG2131,AH2131,AI2131,AJ2131)</f>
        <v>IMBM</v>
      </c>
    </row>
    <row r="2132" spans="1:37" ht="15.75" hidden="1" customHeight="1" x14ac:dyDescent="0.2">
      <c r="A2132" s="1">
        <v>117006</v>
      </c>
      <c r="B2132" s="1" t="s">
        <v>1648</v>
      </c>
      <c r="C2132" s="1" t="s">
        <v>51</v>
      </c>
      <c r="D2132" s="1" t="s">
        <v>1755</v>
      </c>
      <c r="E2132" s="1" t="s">
        <v>720</v>
      </c>
      <c r="F2132" s="1" t="s">
        <v>88</v>
      </c>
      <c r="G2132" s="1" t="s">
        <v>1761</v>
      </c>
      <c r="H2132" s="1">
        <v>423</v>
      </c>
      <c r="I2132" s="1" t="s">
        <v>1762</v>
      </c>
      <c r="J2132" s="1">
        <v>1829</v>
      </c>
      <c r="K2132" s="1" t="s">
        <v>35</v>
      </c>
      <c r="L2132" s="1">
        <v>40</v>
      </c>
      <c r="M2132" s="1" t="str">
        <f>IF(L2132&lt;=45,"Joven","Mayor")</f>
        <v>Joven</v>
      </c>
      <c r="N2132" s="1">
        <v>46</v>
      </c>
      <c r="O2132" s="1" t="s">
        <v>36</v>
      </c>
      <c r="P2132" s="1">
        <v>0.221</v>
      </c>
      <c r="Q2132" s="1">
        <v>92.933999999999997</v>
      </c>
      <c r="R2132" s="1">
        <v>1.4021139</v>
      </c>
      <c r="S2132" s="1">
        <v>6.0104312999999996</v>
      </c>
      <c r="T2132" s="1">
        <v>-1.8678317</v>
      </c>
      <c r="U2132" s="1">
        <v>2.7080000000000002</v>
      </c>
      <c r="V2132" s="1">
        <v>111</v>
      </c>
      <c r="W2132" s="1">
        <v>201</v>
      </c>
      <c r="X2132" s="1">
        <v>1.8108108108108107</v>
      </c>
      <c r="Y2132" s="1">
        <v>112</v>
      </c>
      <c r="Z2132" s="1">
        <v>201</v>
      </c>
      <c r="AA2132" s="1">
        <v>1.7946428571428572</v>
      </c>
      <c r="AB2132" s="1">
        <v>113.70056950534131</v>
      </c>
      <c r="AC2132" s="1">
        <v>200.92579734286349</v>
      </c>
      <c r="AD2132" s="1">
        <v>1.7671485571004515</v>
      </c>
      <c r="AE2132" t="s">
        <v>4817</v>
      </c>
      <c r="AF2132" t="str">
        <f>IF(X2132&lt;$AF$1,"Bajo","Alto")</f>
        <v>Alto</v>
      </c>
      <c r="AG2132" t="str">
        <f>LEFT(AE2132,1)</f>
        <v>C</v>
      </c>
      <c r="AH2132" t="str">
        <f>K2132</f>
        <v>M</v>
      </c>
      <c r="AI2132" t="str">
        <f>LEFT(AF2132,1)</f>
        <v>A</v>
      </c>
      <c r="AJ2132" t="str">
        <f>LEFT(M2132,1)</f>
        <v>J</v>
      </c>
      <c r="AK2132" t="str">
        <f>_xlfn.CONCAT(AG2132,AH2132,AI2132,AJ2132)</f>
        <v>CMAJ</v>
      </c>
    </row>
    <row r="2133" spans="1:37" ht="15.75" hidden="1" customHeight="1" x14ac:dyDescent="0.2">
      <c r="A2133" s="1">
        <v>600105</v>
      </c>
      <c r="B2133" s="1" t="s">
        <v>4700</v>
      </c>
      <c r="C2133" s="1" t="s">
        <v>1458</v>
      </c>
      <c r="D2133" s="1" t="s">
        <v>4701</v>
      </c>
      <c r="E2133" s="1" t="s">
        <v>32</v>
      </c>
      <c r="F2133" s="1" t="s">
        <v>40</v>
      </c>
      <c r="G2133" s="1" t="s">
        <v>4705</v>
      </c>
      <c r="H2133" s="1">
        <v>538</v>
      </c>
      <c r="I2133" s="1" t="s">
        <v>65</v>
      </c>
      <c r="J2133" s="1">
        <v>2</v>
      </c>
      <c r="K2133" s="1" t="s">
        <v>35</v>
      </c>
      <c r="L2133" s="1">
        <v>41</v>
      </c>
      <c r="M2133" s="1" t="str">
        <f>IF(L2133&lt;=45,"Joven","Mayor")</f>
        <v>Joven</v>
      </c>
      <c r="N2133" s="1">
        <v>47</v>
      </c>
      <c r="O2133" s="1" t="s">
        <v>36</v>
      </c>
      <c r="P2133" s="1">
        <v>0.21199999999999999</v>
      </c>
      <c r="Q2133" s="1">
        <v>59.173000000000002</v>
      </c>
      <c r="R2133" s="1">
        <v>-13.571092999999999</v>
      </c>
      <c r="S2133" s="1">
        <v>-9.4368870000000005</v>
      </c>
      <c r="T2133" s="1">
        <v>4.3598485</v>
      </c>
      <c r="U2133" s="1">
        <v>2.528</v>
      </c>
      <c r="V2133" s="1">
        <v>102</v>
      </c>
      <c r="W2133" s="1">
        <v>177</v>
      </c>
      <c r="X2133" s="1">
        <v>1.7352941176470589</v>
      </c>
      <c r="Y2133" s="1">
        <v>114</v>
      </c>
      <c r="Z2133" s="1">
        <v>177</v>
      </c>
      <c r="AA2133" s="1">
        <v>1.5526315789473684</v>
      </c>
      <c r="AB2133" s="1">
        <v>110.6293028548714</v>
      </c>
      <c r="AC2133" s="1">
        <v>176.63985043135239</v>
      </c>
      <c r="AD2133" s="1">
        <v>1.5966823063422595</v>
      </c>
      <c r="AE2133" t="s">
        <v>4817</v>
      </c>
      <c r="AF2133" t="str">
        <f>IF(X2133&lt;$AF$1,"Bajo","Alto")</f>
        <v>Bajo</v>
      </c>
      <c r="AG2133" t="str">
        <f>LEFT(AE2133,1)</f>
        <v>C</v>
      </c>
      <c r="AH2133" t="str">
        <f>K2133</f>
        <v>M</v>
      </c>
      <c r="AI2133" t="str">
        <f>LEFT(AF2133,1)</f>
        <v>B</v>
      </c>
      <c r="AJ2133" t="str">
        <f>LEFT(M2133,1)</f>
        <v>J</v>
      </c>
      <c r="AK2133" t="str">
        <f>_xlfn.CONCAT(AG2133,AH2133,AI2133,AJ2133)</f>
        <v>CMBJ</v>
      </c>
    </row>
    <row r="2134" spans="1:37" ht="15.75" hidden="1" customHeight="1" x14ac:dyDescent="0.2">
      <c r="A2134" s="1">
        <v>117301</v>
      </c>
      <c r="B2134" s="1" t="s">
        <v>1648</v>
      </c>
      <c r="C2134" s="1" t="s">
        <v>51</v>
      </c>
      <c r="D2134" s="1" t="s">
        <v>1763</v>
      </c>
      <c r="E2134" s="1" t="s">
        <v>1021</v>
      </c>
      <c r="F2134" s="1" t="s">
        <v>32</v>
      </c>
      <c r="G2134" s="1" t="s">
        <v>1764</v>
      </c>
      <c r="H2134" s="1">
        <v>2629</v>
      </c>
      <c r="I2134" s="1" t="s">
        <v>100</v>
      </c>
      <c r="J2134" s="1">
        <v>1</v>
      </c>
      <c r="K2134" s="1" t="s">
        <v>35</v>
      </c>
      <c r="L2134" s="1">
        <v>42</v>
      </c>
      <c r="M2134" s="1" t="str">
        <f>IF(L2134&lt;=45,"Joven","Mayor")</f>
        <v>Joven</v>
      </c>
      <c r="N2134" s="1">
        <v>46</v>
      </c>
      <c r="O2134" s="1" t="s">
        <v>36</v>
      </c>
      <c r="P2134" s="1">
        <v>0.35699999999999998</v>
      </c>
      <c r="Q2134" s="1">
        <v>92.742000000000004</v>
      </c>
      <c r="R2134" s="1">
        <v>3.6847880000000002</v>
      </c>
      <c r="S2134" s="1">
        <v>0.20195502000000001</v>
      </c>
      <c r="T2134" s="1">
        <v>-1.3633112999999999</v>
      </c>
      <c r="U2134" s="1">
        <v>1.2410000000000001</v>
      </c>
      <c r="V2134" s="1">
        <v>106</v>
      </c>
      <c r="W2134" s="1">
        <v>184</v>
      </c>
      <c r="X2134" s="1">
        <v>1.7358490566037736</v>
      </c>
      <c r="Y2134" s="1">
        <v>107</v>
      </c>
      <c r="Z2134" s="1">
        <v>184</v>
      </c>
      <c r="AA2134" s="1">
        <v>1.719626168224299</v>
      </c>
      <c r="AB2134" s="1">
        <v>107.2071798848431</v>
      </c>
      <c r="AC2134" s="1">
        <v>184.04308316614649</v>
      </c>
      <c r="AD2134" s="1">
        <v>1.7167048267087792</v>
      </c>
      <c r="AE2134" t="s">
        <v>4817</v>
      </c>
      <c r="AF2134" t="str">
        <f>IF(X2134&lt;$AF$1,"Bajo","Alto")</f>
        <v>Bajo</v>
      </c>
      <c r="AG2134" t="str">
        <f>LEFT(AE2134,1)</f>
        <v>C</v>
      </c>
      <c r="AH2134" t="str">
        <f>K2134</f>
        <v>M</v>
      </c>
      <c r="AI2134" t="str">
        <f>LEFT(AF2134,1)</f>
        <v>B</v>
      </c>
      <c r="AJ2134" t="str">
        <f>LEFT(M2134,1)</f>
        <v>J</v>
      </c>
      <c r="AK2134" t="str">
        <f>_xlfn.CONCAT(AG2134,AH2134,AI2134,AJ2134)</f>
        <v>CMBJ</v>
      </c>
    </row>
    <row r="2135" spans="1:37" ht="15.75" hidden="1" customHeight="1" x14ac:dyDescent="0.2">
      <c r="A2135" s="1">
        <v>256903</v>
      </c>
      <c r="B2135" s="1" t="s">
        <v>3169</v>
      </c>
      <c r="C2135" s="1" t="s">
        <v>821</v>
      </c>
      <c r="D2135" s="1" t="s">
        <v>3304</v>
      </c>
      <c r="E2135" s="1" t="s">
        <v>3305</v>
      </c>
      <c r="F2135" s="1" t="s">
        <v>63</v>
      </c>
      <c r="G2135" s="1" t="s">
        <v>3306</v>
      </c>
      <c r="H2135" s="1">
        <v>2487</v>
      </c>
      <c r="I2135" s="1" t="s">
        <v>65</v>
      </c>
      <c r="J2135" s="1">
        <v>2</v>
      </c>
      <c r="K2135" s="1" t="s">
        <v>35</v>
      </c>
      <c r="L2135" s="1">
        <v>46</v>
      </c>
      <c r="M2135" s="1" t="str">
        <f>IF(L2135&lt;=45,"Joven","Mayor")</f>
        <v>Mayor</v>
      </c>
      <c r="N2135" s="1">
        <v>60</v>
      </c>
      <c r="O2135" s="1" t="s">
        <v>36</v>
      </c>
      <c r="P2135" s="1">
        <v>0.38700000000000001</v>
      </c>
      <c r="Q2135" s="1">
        <v>64.424000000000007</v>
      </c>
      <c r="R2135" s="1">
        <v>13.919407</v>
      </c>
      <c r="S2135" s="1">
        <v>-1.7279241999999999</v>
      </c>
      <c r="T2135" s="1">
        <v>-14.057079999999999</v>
      </c>
      <c r="U2135" s="1">
        <v>0.75800000000000001</v>
      </c>
      <c r="V2135" s="1">
        <v>106</v>
      </c>
      <c r="W2135" s="1">
        <v>183</v>
      </c>
      <c r="X2135" s="1">
        <v>1.7264150943396226</v>
      </c>
      <c r="Y2135" s="1">
        <v>115</v>
      </c>
      <c r="Z2135" s="1">
        <v>183</v>
      </c>
      <c r="AA2135" s="1">
        <v>1.5913043478260869</v>
      </c>
      <c r="AB2135" s="1">
        <v>115.69883490210511</v>
      </c>
      <c r="AC2135" s="1">
        <v>181.4061394950659</v>
      </c>
      <c r="AD2135" s="1">
        <v>1.5679167352770402</v>
      </c>
      <c r="AE2135" t="s">
        <v>4817</v>
      </c>
      <c r="AF2135" t="str">
        <f>IF(X2135&lt;$AF$1,"Bajo","Alto")</f>
        <v>Bajo</v>
      </c>
      <c r="AG2135" t="str">
        <f>LEFT(AE2135,1)</f>
        <v>C</v>
      </c>
      <c r="AH2135" t="str">
        <f>K2135</f>
        <v>M</v>
      </c>
      <c r="AI2135" t="str">
        <f>LEFT(AF2135,1)</f>
        <v>B</v>
      </c>
      <c r="AJ2135" t="str">
        <f>LEFT(M2135,1)</f>
        <v>M</v>
      </c>
      <c r="AK2135" t="str">
        <f>_xlfn.CONCAT(AG2135,AH2135,AI2135,AJ2135)</f>
        <v>CMBM</v>
      </c>
    </row>
    <row r="2136" spans="1:37" ht="15.75" hidden="1" customHeight="1" x14ac:dyDescent="0.2">
      <c r="A2136" s="1">
        <v>194604</v>
      </c>
      <c r="B2136" s="1" t="s">
        <v>2656</v>
      </c>
      <c r="C2136" s="1" t="s">
        <v>323</v>
      </c>
      <c r="D2136" s="1" t="s">
        <v>2730</v>
      </c>
      <c r="E2136" s="1" t="s">
        <v>669</v>
      </c>
      <c r="F2136" s="1" t="s">
        <v>61</v>
      </c>
      <c r="G2136" s="1" t="s">
        <v>2733</v>
      </c>
      <c r="H2136" s="1">
        <v>1818</v>
      </c>
      <c r="I2136" s="1" t="s">
        <v>108</v>
      </c>
      <c r="J2136" s="1">
        <v>3</v>
      </c>
      <c r="K2136" s="1" t="s">
        <v>35</v>
      </c>
      <c r="L2136" s="1">
        <v>54</v>
      </c>
      <c r="M2136" s="1" t="str">
        <f>IF(L2136&lt;=45,"Joven","Mayor")</f>
        <v>Mayor</v>
      </c>
      <c r="N2136" s="1">
        <v>50</v>
      </c>
      <c r="O2136" s="1" t="s">
        <v>36</v>
      </c>
      <c r="P2136" s="1">
        <v>1.1890000000000001</v>
      </c>
      <c r="Q2136" s="1">
        <v>87.576999999999998</v>
      </c>
      <c r="R2136" s="1">
        <v>3.7808856999999998</v>
      </c>
      <c r="S2136" s="1">
        <v>11.231564000000001</v>
      </c>
      <c r="T2136" s="1">
        <v>1.2084258999999999</v>
      </c>
      <c r="U2136" s="1">
        <v>67.792000000000002</v>
      </c>
      <c r="V2136" s="1">
        <v>100</v>
      </c>
      <c r="W2136" s="1">
        <v>181</v>
      </c>
      <c r="X2136" s="1">
        <v>1.81</v>
      </c>
      <c r="Y2136" s="1">
        <v>101</v>
      </c>
      <c r="Z2136" s="1">
        <v>181</v>
      </c>
      <c r="AA2136" s="1">
        <v>1.7920792079207921</v>
      </c>
      <c r="AB2136" s="1">
        <v>100.9689633015582</v>
      </c>
      <c r="AC2136" s="1">
        <v>181.02301265222511</v>
      </c>
      <c r="AD2136" s="1">
        <v>1.7928579905448179</v>
      </c>
      <c r="AE2136" t="s">
        <v>4817</v>
      </c>
      <c r="AF2136" t="str">
        <f>IF(X2136&lt;$AF$1,"Bajo","Alto")</f>
        <v>Alto</v>
      </c>
      <c r="AG2136" t="str">
        <f>LEFT(AE2136,1)</f>
        <v>C</v>
      </c>
      <c r="AH2136" t="str">
        <f>K2136</f>
        <v>M</v>
      </c>
      <c r="AI2136" t="str">
        <f>LEFT(AF2136,1)</f>
        <v>A</v>
      </c>
      <c r="AJ2136" t="str">
        <f>LEFT(M2136,1)</f>
        <v>M</v>
      </c>
      <c r="AK2136" t="str">
        <f>_xlfn.CONCAT(AG2136,AH2136,AI2136,AJ2136)</f>
        <v>CMAM</v>
      </c>
    </row>
    <row r="2137" spans="1:37" ht="15.75" hidden="1" customHeight="1" x14ac:dyDescent="0.2">
      <c r="A2137" s="1">
        <v>1050703</v>
      </c>
      <c r="B2137" s="1" t="s">
        <v>694</v>
      </c>
      <c r="C2137" s="1" t="s">
        <v>879</v>
      </c>
      <c r="D2137" s="1" t="s">
        <v>895</v>
      </c>
      <c r="E2137" s="1" t="s">
        <v>43</v>
      </c>
      <c r="F2137" s="1" t="s">
        <v>63</v>
      </c>
      <c r="G2137" s="1" t="s">
        <v>897</v>
      </c>
      <c r="H2137" s="1">
        <v>2437</v>
      </c>
      <c r="I2137" s="1" t="s">
        <v>108</v>
      </c>
      <c r="J2137" s="1">
        <v>3</v>
      </c>
      <c r="K2137" s="1" t="s">
        <v>35</v>
      </c>
      <c r="L2137" s="1">
        <v>50</v>
      </c>
      <c r="M2137" s="1" t="str">
        <f>IF(L2137&lt;=45,"Joven","Mayor")</f>
        <v>Mayor</v>
      </c>
      <c r="N2137" s="1">
        <v>33</v>
      </c>
      <c r="O2137" s="1" t="s">
        <v>36</v>
      </c>
      <c r="P2137" s="1">
        <v>0.36099999999999999</v>
      </c>
      <c r="Q2137" s="1">
        <v>92.421000000000006</v>
      </c>
      <c r="R2137" s="1">
        <v>3.6660826000000002</v>
      </c>
      <c r="S2137" s="1">
        <v>1.8161788000000001</v>
      </c>
      <c r="T2137" s="1">
        <v>-2.8547940000000001</v>
      </c>
      <c r="U2137" s="1">
        <v>4.7619999999999996</v>
      </c>
      <c r="V2137" s="1">
        <v>121</v>
      </c>
      <c r="W2137" s="1">
        <v>209</v>
      </c>
      <c r="X2137" s="1">
        <v>1.7272727272727273</v>
      </c>
      <c r="Y2137" s="1">
        <v>127</v>
      </c>
      <c r="Z2137" s="1">
        <v>209</v>
      </c>
      <c r="AA2137" s="1">
        <v>1.6456692913385826</v>
      </c>
      <c r="AB2137" s="1">
        <v>129.33263547035199</v>
      </c>
      <c r="AC2137" s="1">
        <v>208.3919888506648</v>
      </c>
      <c r="AD2137" s="1">
        <v>1.6112869585684446</v>
      </c>
      <c r="AE2137" t="s">
        <v>4817</v>
      </c>
      <c r="AF2137" t="str">
        <f>IF(X2137&lt;$AF$1,"Bajo","Alto")</f>
        <v>Bajo</v>
      </c>
      <c r="AG2137" t="str">
        <f>LEFT(AE2137,1)</f>
        <v>C</v>
      </c>
      <c r="AH2137" t="str">
        <f>K2137</f>
        <v>M</v>
      </c>
      <c r="AI2137" t="str">
        <f>LEFT(AF2137,1)</f>
        <v>B</v>
      </c>
      <c r="AJ2137" t="str">
        <f>LEFT(M2137,1)</f>
        <v>M</v>
      </c>
      <c r="AK2137" t="str">
        <f>_xlfn.CONCAT(AG2137,AH2137,AI2137,AJ2137)</f>
        <v>CMBM</v>
      </c>
    </row>
    <row r="2138" spans="1:37" ht="15.75" hidden="1" customHeight="1" x14ac:dyDescent="0.2">
      <c r="A2138" s="1">
        <v>10110308</v>
      </c>
      <c r="B2138" s="1" t="s">
        <v>29</v>
      </c>
      <c r="C2138" s="1" t="s">
        <v>30</v>
      </c>
      <c r="D2138" s="1" t="s">
        <v>80</v>
      </c>
      <c r="E2138" s="1" t="s">
        <v>81</v>
      </c>
      <c r="F2138" s="1" t="s">
        <v>46</v>
      </c>
      <c r="G2138" s="1" t="s">
        <v>92</v>
      </c>
      <c r="H2138" s="1">
        <v>572</v>
      </c>
      <c r="I2138" s="1" t="s">
        <v>93</v>
      </c>
      <c r="J2138" s="1">
        <v>9</v>
      </c>
      <c r="K2138" s="1" t="s">
        <v>35</v>
      </c>
      <c r="L2138" s="1">
        <v>50</v>
      </c>
      <c r="M2138" s="1" t="str">
        <f>IF(L2138&lt;=45,"Joven","Mayor")</f>
        <v>Mayor</v>
      </c>
      <c r="N2138" s="1">
        <v>45</v>
      </c>
      <c r="O2138" s="1" t="s">
        <v>36</v>
      </c>
      <c r="P2138" s="1">
        <v>7.2439999999999998</v>
      </c>
      <c r="Q2138" s="1">
        <v>85.18</v>
      </c>
      <c r="R2138" s="1">
        <v>5.2414379999999996</v>
      </c>
      <c r="S2138" s="1">
        <v>7.6919354999999996</v>
      </c>
      <c r="T2138" s="1">
        <v>-0.97348290000000004</v>
      </c>
      <c r="U2138" s="1">
        <v>3.028</v>
      </c>
      <c r="V2138" s="1">
        <v>118</v>
      </c>
      <c r="W2138" s="1">
        <v>201</v>
      </c>
      <c r="X2138" s="1">
        <v>1.7033898305084745</v>
      </c>
      <c r="Y2138" s="1">
        <v>119</v>
      </c>
      <c r="Z2138" s="1">
        <v>201</v>
      </c>
      <c r="AA2138" s="1">
        <v>1.6890756302521008</v>
      </c>
      <c r="AB2138" s="1">
        <v>119.8492970459552</v>
      </c>
      <c r="AC2138" s="1">
        <v>200.98797837681289</v>
      </c>
      <c r="AD2138" s="1">
        <v>1.6770059010003684</v>
      </c>
      <c r="AE2138" t="s">
        <v>4815</v>
      </c>
      <c r="AF2138" t="str">
        <f>IF(X2138&lt;$AF$1,"Bajo","Alto")</f>
        <v>Bajo</v>
      </c>
      <c r="AG2138" t="str">
        <f>LEFT(AE2138,1)</f>
        <v>I</v>
      </c>
      <c r="AH2138" t="str">
        <f>K2138</f>
        <v>M</v>
      </c>
      <c r="AI2138" t="str">
        <f>LEFT(AF2138,1)</f>
        <v>B</v>
      </c>
      <c r="AJ2138" t="str">
        <f>LEFT(M2138,1)</f>
        <v>M</v>
      </c>
      <c r="AK2138" t="str">
        <f>_xlfn.CONCAT(AG2138,AH2138,AI2138,AJ2138)</f>
        <v>IMBM</v>
      </c>
    </row>
    <row r="2139" spans="1:37" ht="15.75" hidden="1" customHeight="1" x14ac:dyDescent="0.2">
      <c r="A2139" s="1">
        <v>1076401</v>
      </c>
      <c r="B2139" s="1" t="s">
        <v>1067</v>
      </c>
      <c r="C2139" s="1" t="s">
        <v>1068</v>
      </c>
      <c r="D2139" s="1" t="s">
        <v>1463</v>
      </c>
      <c r="E2139" s="1" t="s">
        <v>710</v>
      </c>
      <c r="F2139" s="1" t="s">
        <v>32</v>
      </c>
      <c r="G2139" s="1" t="s">
        <v>1464</v>
      </c>
      <c r="H2139" s="1">
        <v>547</v>
      </c>
      <c r="I2139" s="1" t="s">
        <v>39</v>
      </c>
      <c r="J2139" s="1">
        <v>11</v>
      </c>
      <c r="K2139" s="1" t="s">
        <v>35</v>
      </c>
      <c r="L2139" s="1">
        <v>61</v>
      </c>
      <c r="M2139" s="1" t="str">
        <f>IF(L2139&lt;=45,"Joven","Mayor")</f>
        <v>Mayor</v>
      </c>
      <c r="N2139" s="1">
        <v>62</v>
      </c>
      <c r="O2139" s="1" t="s">
        <v>36</v>
      </c>
      <c r="P2139" s="1">
        <v>0.35499999999999998</v>
      </c>
      <c r="Q2139" s="1">
        <v>76.501999999999995</v>
      </c>
      <c r="R2139" s="1">
        <v>11.554206000000001</v>
      </c>
      <c r="S2139" s="1">
        <v>1.3318757999999999</v>
      </c>
      <c r="T2139" s="1">
        <v>-11.664844499999999</v>
      </c>
      <c r="U2139" s="1">
        <v>18.527999999999999</v>
      </c>
      <c r="V2139" s="1">
        <v>66</v>
      </c>
      <c r="W2139" s="1">
        <v>114</v>
      </c>
      <c r="X2139" s="1">
        <v>1.7272727272727273</v>
      </c>
      <c r="Y2139" s="1">
        <v>74</v>
      </c>
      <c r="Z2139" s="1">
        <v>114</v>
      </c>
      <c r="AA2139" s="1">
        <v>1.5405405405405406</v>
      </c>
      <c r="AB2139" s="1">
        <v>71.511243954792008</v>
      </c>
      <c r="AC2139" s="1">
        <v>112.8586825273737</v>
      </c>
      <c r="AD2139" s="1">
        <v>1.5781949283209327</v>
      </c>
      <c r="AE2139" t="s">
        <v>4816</v>
      </c>
      <c r="AF2139" t="str">
        <f>IF(X2139&lt;$AF$1,"Bajo","Alto")</f>
        <v>Bajo</v>
      </c>
      <c r="AG2139" t="str">
        <f>LEFT(AE2139,1)</f>
        <v>D</v>
      </c>
      <c r="AH2139" t="str">
        <f>K2139</f>
        <v>M</v>
      </c>
      <c r="AI2139" t="str">
        <f>LEFT(AF2139,1)</f>
        <v>B</v>
      </c>
      <c r="AJ2139" t="str">
        <f>LEFT(M2139,1)</f>
        <v>M</v>
      </c>
      <c r="AK2139" t="str">
        <f>_xlfn.CONCAT(AG2139,AH2139,AI2139,AJ2139)</f>
        <v>DMBM</v>
      </c>
    </row>
    <row r="2140" spans="1:37" ht="15.75" hidden="1" customHeight="1" x14ac:dyDescent="0.2">
      <c r="A2140" s="1">
        <v>1019401</v>
      </c>
      <c r="B2140" s="1" t="s">
        <v>29</v>
      </c>
      <c r="C2140" s="1" t="s">
        <v>30</v>
      </c>
      <c r="D2140" s="1" t="s">
        <v>774</v>
      </c>
      <c r="E2140" s="1" t="s">
        <v>775</v>
      </c>
      <c r="F2140" s="1" t="s">
        <v>32</v>
      </c>
      <c r="G2140" s="1" t="s">
        <v>776</v>
      </c>
      <c r="H2140" s="1">
        <v>2876</v>
      </c>
      <c r="I2140" s="1" t="s">
        <v>65</v>
      </c>
      <c r="J2140" s="1">
        <v>2</v>
      </c>
      <c r="K2140" s="1" t="s">
        <v>35</v>
      </c>
      <c r="L2140" s="1">
        <v>37</v>
      </c>
      <c r="M2140" s="1" t="str">
        <f>IF(L2140&lt;=45,"Joven","Mayor")</f>
        <v>Joven</v>
      </c>
      <c r="N2140" s="1">
        <v>45</v>
      </c>
      <c r="O2140" s="1" t="s">
        <v>36</v>
      </c>
      <c r="P2140" s="1">
        <v>0.85499999999999998</v>
      </c>
      <c r="Q2140" s="1">
        <v>83.96</v>
      </c>
      <c r="R2140" s="1">
        <v>-8.9819259999999996</v>
      </c>
      <c r="S2140" s="1">
        <v>2.3492221999999998</v>
      </c>
      <c r="T2140" s="1">
        <v>0.64331660000000002</v>
      </c>
      <c r="U2140" s="1">
        <v>21.538</v>
      </c>
      <c r="V2140" s="1">
        <v>91</v>
      </c>
      <c r="W2140" s="1">
        <v>158</v>
      </c>
      <c r="X2140" s="1">
        <v>1.7362637362637363</v>
      </c>
      <c r="Y2140" s="1">
        <v>92</v>
      </c>
      <c r="Z2140" s="1">
        <v>158</v>
      </c>
      <c r="AA2140" s="1">
        <v>1.7173913043478262</v>
      </c>
      <c r="AB2140" s="1">
        <v>92.420855702893277</v>
      </c>
      <c r="AC2140" s="1">
        <v>157.92267420532431</v>
      </c>
      <c r="AD2140" s="1">
        <v>1.708734170488539</v>
      </c>
      <c r="AE2140" t="s">
        <v>4817</v>
      </c>
      <c r="AF2140" t="str">
        <f>IF(X2140&lt;$AF$1,"Bajo","Alto")</f>
        <v>Bajo</v>
      </c>
      <c r="AG2140" t="str">
        <f>LEFT(AE2140,1)</f>
        <v>C</v>
      </c>
      <c r="AH2140" t="str">
        <f>K2140</f>
        <v>M</v>
      </c>
      <c r="AI2140" t="str">
        <f>LEFT(AF2140,1)</f>
        <v>B</v>
      </c>
      <c r="AJ2140" t="str">
        <f>LEFT(M2140,1)</f>
        <v>J</v>
      </c>
      <c r="AK2140" t="str">
        <f>_xlfn.CONCAT(AG2140,AH2140,AI2140,AJ2140)</f>
        <v>CMBJ</v>
      </c>
    </row>
    <row r="2141" spans="1:37" ht="15.75" hidden="1" customHeight="1" x14ac:dyDescent="0.2">
      <c r="A2141" s="1">
        <v>10716601</v>
      </c>
      <c r="B2141" s="1" t="s">
        <v>1067</v>
      </c>
      <c r="C2141" s="1" t="s">
        <v>1068</v>
      </c>
      <c r="D2141" s="1" t="s">
        <v>1170</v>
      </c>
      <c r="E2141" s="1" t="s">
        <v>265</v>
      </c>
      <c r="F2141" s="1" t="s">
        <v>32</v>
      </c>
      <c r="G2141" s="1" t="s">
        <v>1171</v>
      </c>
      <c r="H2141" s="1">
        <v>569</v>
      </c>
      <c r="I2141" s="1" t="s">
        <v>85</v>
      </c>
      <c r="J2141" s="1">
        <v>12</v>
      </c>
      <c r="K2141" s="1" t="s">
        <v>35</v>
      </c>
      <c r="L2141" s="1">
        <v>42</v>
      </c>
      <c r="M2141" s="1" t="str">
        <f>IF(L2141&lt;=45,"Joven","Mayor")</f>
        <v>Joven</v>
      </c>
      <c r="N2141" s="1">
        <v>44</v>
      </c>
      <c r="O2141" s="1" t="s">
        <v>36</v>
      </c>
      <c r="P2141" s="1">
        <v>0.35599999999999998</v>
      </c>
      <c r="Q2141" s="1">
        <v>36.234000000000002</v>
      </c>
      <c r="R2141" s="1">
        <v>17.282219000000001</v>
      </c>
      <c r="S2141" s="1">
        <v>6.6726020000000004</v>
      </c>
      <c r="T2141" s="1">
        <v>-8.4156750000000002</v>
      </c>
      <c r="U2141" s="1">
        <v>3.976</v>
      </c>
      <c r="V2141" s="1">
        <v>95</v>
      </c>
      <c r="W2141" s="1">
        <v>172</v>
      </c>
      <c r="X2141" s="1">
        <v>1.8105263157894738</v>
      </c>
      <c r="Y2141" s="1">
        <v>107</v>
      </c>
      <c r="Z2141" s="1">
        <v>172</v>
      </c>
      <c r="AA2141" s="1">
        <v>1.6074766355140186</v>
      </c>
      <c r="AB2141" s="1">
        <v>102.3192305056382</v>
      </c>
      <c r="AC2141" s="1">
        <v>172.34326587361369</v>
      </c>
      <c r="AD2141" s="1">
        <v>1.6843682758552105</v>
      </c>
      <c r="AE2141" t="s">
        <v>4815</v>
      </c>
      <c r="AF2141" t="str">
        <f>IF(X2141&lt;$AF$1,"Bajo","Alto")</f>
        <v>Alto</v>
      </c>
      <c r="AG2141" t="str">
        <f>LEFT(AE2141,1)</f>
        <v>I</v>
      </c>
      <c r="AH2141" t="str">
        <f>K2141</f>
        <v>M</v>
      </c>
      <c r="AI2141" t="str">
        <f>LEFT(AF2141,1)</f>
        <v>A</v>
      </c>
      <c r="AJ2141" t="str">
        <f>LEFT(M2141,1)</f>
        <v>J</v>
      </c>
      <c r="AK2141" t="str">
        <f>_xlfn.CONCAT(AG2141,AH2141,AI2141,AJ2141)</f>
        <v>IMAJ</v>
      </c>
    </row>
    <row r="2142" spans="1:37" ht="15.75" hidden="1" customHeight="1" x14ac:dyDescent="0.2">
      <c r="A2142" s="1">
        <v>2910310</v>
      </c>
      <c r="B2142" s="1" t="s">
        <v>3890</v>
      </c>
      <c r="C2142" s="1" t="s">
        <v>1695</v>
      </c>
      <c r="D2142" s="1" t="s">
        <v>3922</v>
      </c>
      <c r="E2142" s="1" t="s">
        <v>81</v>
      </c>
      <c r="F2142" s="1" t="s">
        <v>75</v>
      </c>
      <c r="G2142" s="1" t="s">
        <v>3929</v>
      </c>
      <c r="H2142" s="1">
        <v>1620</v>
      </c>
      <c r="I2142" s="1" t="s">
        <v>3930</v>
      </c>
      <c r="J2142" s="1">
        <v>3092</v>
      </c>
      <c r="K2142" s="1" t="s">
        <v>49</v>
      </c>
      <c r="L2142" s="1">
        <v>49</v>
      </c>
      <c r="M2142" s="1" t="str">
        <f>IF(L2142&lt;=45,"Joven","Mayor")</f>
        <v>Mayor</v>
      </c>
      <c r="N2142" s="1">
        <v>51</v>
      </c>
      <c r="O2142" s="1" t="s">
        <v>50</v>
      </c>
      <c r="P2142" s="1">
        <v>1.087</v>
      </c>
      <c r="Q2142" s="1">
        <v>91.531999999999996</v>
      </c>
      <c r="R2142" s="1">
        <v>-3.8101451000000002</v>
      </c>
      <c r="S2142" s="1">
        <v>3.8047200000000001</v>
      </c>
      <c r="T2142" s="1">
        <v>10.88397</v>
      </c>
      <c r="U2142" s="1">
        <v>34.662999999999997</v>
      </c>
      <c r="V2142" s="1">
        <v>76</v>
      </c>
      <c r="W2142" s="1">
        <v>137</v>
      </c>
      <c r="X2142" s="1">
        <v>1.8026315789473684</v>
      </c>
      <c r="Y2142" s="1">
        <v>90</v>
      </c>
      <c r="Z2142" s="1">
        <v>137</v>
      </c>
      <c r="AA2142" s="1">
        <v>1.5222222222222221</v>
      </c>
      <c r="AB2142" s="1">
        <v>84.226986531116381</v>
      </c>
      <c r="AC2142" s="1">
        <v>138.68964183012761</v>
      </c>
      <c r="AD2142" s="1">
        <v>1.646617640521792</v>
      </c>
      <c r="AE2142" t="s">
        <v>4817</v>
      </c>
      <c r="AF2142" t="str">
        <f>IF(X2142&lt;$AF$1,"Bajo","Alto")</f>
        <v>Alto</v>
      </c>
      <c r="AG2142" t="str">
        <f>LEFT(AE2142,1)</f>
        <v>C</v>
      </c>
      <c r="AH2142" t="str">
        <f>K2142</f>
        <v>F</v>
      </c>
      <c r="AI2142" t="str">
        <f>LEFT(AF2142,1)</f>
        <v>A</v>
      </c>
      <c r="AJ2142" t="str">
        <f>LEFT(M2142,1)</f>
        <v>M</v>
      </c>
      <c r="AK2142" t="str">
        <f>_xlfn.CONCAT(AG2142,AH2142,AI2142,AJ2142)</f>
        <v>CFAM</v>
      </c>
    </row>
    <row r="2143" spans="1:37" ht="15.75" hidden="1" customHeight="1" x14ac:dyDescent="0.2">
      <c r="A2143" s="1">
        <v>299103</v>
      </c>
      <c r="B2143" s="1" t="s">
        <v>3890</v>
      </c>
      <c r="C2143" s="1" t="s">
        <v>1695</v>
      </c>
      <c r="D2143" s="1" t="s">
        <v>4108</v>
      </c>
      <c r="E2143" s="1" t="s">
        <v>770</v>
      </c>
      <c r="F2143" s="1" t="s">
        <v>63</v>
      </c>
      <c r="G2143" s="1" t="s">
        <v>4112</v>
      </c>
      <c r="H2143" s="1">
        <v>929</v>
      </c>
      <c r="I2143" s="1" t="s">
        <v>4113</v>
      </c>
      <c r="J2143" s="1">
        <v>2563</v>
      </c>
      <c r="K2143" s="1" t="s">
        <v>35</v>
      </c>
      <c r="L2143" s="1">
        <v>41</v>
      </c>
      <c r="M2143" s="1" t="str">
        <f>IF(L2143&lt;=45,"Joven","Mayor")</f>
        <v>Joven</v>
      </c>
      <c r="N2143" s="1">
        <v>45</v>
      </c>
      <c r="O2143" s="1" t="s">
        <v>36</v>
      </c>
      <c r="P2143" s="1">
        <v>0.36</v>
      </c>
      <c r="Q2143" s="1">
        <v>93.986999999999995</v>
      </c>
      <c r="R2143" s="1">
        <v>-1.7585603000000001</v>
      </c>
      <c r="S2143" s="1">
        <v>0.64512670000000005</v>
      </c>
      <c r="T2143" s="1">
        <v>-2.4755560000000001</v>
      </c>
      <c r="U2143" s="1">
        <v>1.9750000000000001</v>
      </c>
      <c r="V2143" s="1">
        <v>95</v>
      </c>
      <c r="W2143" s="1">
        <v>172</v>
      </c>
      <c r="X2143" s="1">
        <v>1.8105263157894738</v>
      </c>
      <c r="Y2143" s="1">
        <v>101</v>
      </c>
      <c r="Z2143" s="1">
        <v>172</v>
      </c>
      <c r="AA2143" s="1">
        <v>1.7029702970297029</v>
      </c>
      <c r="AB2143" s="1">
        <v>99.005241640561053</v>
      </c>
      <c r="AC2143" s="1">
        <v>172.40099036270109</v>
      </c>
      <c r="AD2143" s="1">
        <v>1.7413319487528107</v>
      </c>
      <c r="AE2143" t="s">
        <v>4817</v>
      </c>
      <c r="AF2143" t="str">
        <f>IF(X2143&lt;$AF$1,"Bajo","Alto")</f>
        <v>Alto</v>
      </c>
      <c r="AG2143" t="str">
        <f>LEFT(AE2143,1)</f>
        <v>C</v>
      </c>
      <c r="AH2143" t="str">
        <f>K2143</f>
        <v>M</v>
      </c>
      <c r="AI2143" t="str">
        <f>LEFT(AF2143,1)</f>
        <v>A</v>
      </c>
      <c r="AJ2143" t="str">
        <f>LEFT(M2143,1)</f>
        <v>J</v>
      </c>
      <c r="AK2143" t="str">
        <f>_xlfn.CONCAT(AG2143,AH2143,AI2143,AJ2143)</f>
        <v>CMAJ</v>
      </c>
    </row>
    <row r="2144" spans="1:37" ht="15.75" hidden="1" customHeight="1" x14ac:dyDescent="0.2">
      <c r="A2144" s="1">
        <v>1516301</v>
      </c>
      <c r="B2144" s="1" t="s">
        <v>2077</v>
      </c>
      <c r="C2144" s="1" t="s">
        <v>57</v>
      </c>
      <c r="D2144" s="1" t="s">
        <v>2187</v>
      </c>
      <c r="E2144" s="1" t="s">
        <v>251</v>
      </c>
      <c r="F2144" s="1" t="s">
        <v>32</v>
      </c>
      <c r="G2144" s="1" t="s">
        <v>2188</v>
      </c>
      <c r="H2144" s="1">
        <v>1702</v>
      </c>
      <c r="I2144" s="1" t="s">
        <v>65</v>
      </c>
      <c r="J2144" s="1">
        <v>2</v>
      </c>
      <c r="K2144" s="1" t="s">
        <v>35</v>
      </c>
      <c r="L2144" s="1">
        <v>51</v>
      </c>
      <c r="M2144" s="1" t="str">
        <f>IF(L2144&lt;=45,"Joven","Mayor")</f>
        <v>Mayor</v>
      </c>
      <c r="N2144" s="1">
        <v>49</v>
      </c>
      <c r="O2144" s="1" t="s">
        <v>36</v>
      </c>
      <c r="P2144" s="1">
        <v>0.64800000000000002</v>
      </c>
      <c r="Q2144" s="1">
        <v>58.643000000000001</v>
      </c>
      <c r="R2144" s="1">
        <v>-14.346712999999999</v>
      </c>
      <c r="S2144" s="1">
        <v>5.3873230000000003</v>
      </c>
      <c r="T2144" s="1">
        <v>2.1144242000000002</v>
      </c>
      <c r="U2144" s="1">
        <v>7.2140000000000004</v>
      </c>
      <c r="V2144" s="1">
        <v>66</v>
      </c>
      <c r="W2144" s="1">
        <v>114</v>
      </c>
      <c r="X2144" s="1">
        <v>1.7272727272727273</v>
      </c>
      <c r="Y2144" s="1">
        <v>70</v>
      </c>
      <c r="Z2144" s="1">
        <v>114</v>
      </c>
      <c r="AA2144" s="1">
        <v>1.6285714285714286</v>
      </c>
      <c r="AB2144" s="1">
        <v>70.653350071287605</v>
      </c>
      <c r="AC2144" s="1">
        <v>113.5165334547264</v>
      </c>
      <c r="AD2144" s="1">
        <v>1.6066688039589181</v>
      </c>
      <c r="AE2144" t="s">
        <v>4817</v>
      </c>
      <c r="AF2144" t="str">
        <f>IF(X2144&lt;$AF$1,"Bajo","Alto")</f>
        <v>Bajo</v>
      </c>
      <c r="AG2144" t="str">
        <f>LEFT(AE2144,1)</f>
        <v>C</v>
      </c>
      <c r="AH2144" t="str">
        <f>K2144</f>
        <v>M</v>
      </c>
      <c r="AI2144" t="str">
        <f>LEFT(AF2144,1)</f>
        <v>B</v>
      </c>
      <c r="AJ2144" t="str">
        <f>LEFT(M2144,1)</f>
        <v>M</v>
      </c>
      <c r="AK2144" t="str">
        <f>_xlfn.CONCAT(AG2144,AH2144,AI2144,AJ2144)</f>
        <v>CMBM</v>
      </c>
    </row>
    <row r="2145" spans="1:37" ht="15.75" hidden="1" customHeight="1" x14ac:dyDescent="0.2">
      <c r="A2145" s="1">
        <v>2830002</v>
      </c>
      <c r="B2145" s="1" t="s">
        <v>1775</v>
      </c>
      <c r="C2145" s="1" t="s">
        <v>561</v>
      </c>
      <c r="D2145" s="1" t="s">
        <v>3836</v>
      </c>
      <c r="E2145" s="1" t="s">
        <v>613</v>
      </c>
      <c r="F2145" s="1" t="s">
        <v>37</v>
      </c>
      <c r="G2145" s="1" t="s">
        <v>3837</v>
      </c>
      <c r="H2145" s="1">
        <v>257</v>
      </c>
      <c r="I2145" s="1" t="s">
        <v>34</v>
      </c>
      <c r="J2145" s="1">
        <v>10</v>
      </c>
      <c r="K2145" s="1" t="s">
        <v>35</v>
      </c>
      <c r="L2145" s="1">
        <v>51</v>
      </c>
      <c r="M2145" s="1" t="str">
        <f>IF(L2145&lt;=45,"Joven","Mayor")</f>
        <v>Mayor</v>
      </c>
      <c r="N2145" s="1">
        <v>50</v>
      </c>
      <c r="O2145" s="1" t="s">
        <v>36</v>
      </c>
      <c r="P2145" s="1">
        <v>0.41399999999999998</v>
      </c>
      <c r="Q2145" s="1">
        <v>94.486999999999995</v>
      </c>
      <c r="R2145" s="1">
        <v>0.94757605</v>
      </c>
      <c r="S2145" s="1">
        <v>8.6628996E-2</v>
      </c>
      <c r="T2145" s="1">
        <v>-3.3931634000000002</v>
      </c>
      <c r="U2145" s="1">
        <v>2.645</v>
      </c>
      <c r="V2145" s="1">
        <v>102</v>
      </c>
      <c r="W2145" s="1">
        <v>184</v>
      </c>
      <c r="X2145" s="1">
        <v>1.803921568627451</v>
      </c>
      <c r="Y2145" s="1">
        <v>106</v>
      </c>
      <c r="Z2145" s="1">
        <v>184</v>
      </c>
      <c r="AA2145" s="1">
        <v>1.7358490566037736</v>
      </c>
      <c r="AB2145" s="1">
        <v>104.5437975790544</v>
      </c>
      <c r="AC2145" s="1">
        <v>183.85499089360971</v>
      </c>
      <c r="AD2145" s="1">
        <v>1.7586408295009699</v>
      </c>
      <c r="AE2145" t="s">
        <v>4815</v>
      </c>
      <c r="AF2145" t="str">
        <f>IF(X2145&lt;$AF$1,"Bajo","Alto")</f>
        <v>Alto</v>
      </c>
      <c r="AG2145" t="str">
        <f>LEFT(AE2145,1)</f>
        <v>I</v>
      </c>
      <c r="AH2145" t="str">
        <f>K2145</f>
        <v>M</v>
      </c>
      <c r="AI2145" t="str">
        <f>LEFT(AF2145,1)</f>
        <v>A</v>
      </c>
      <c r="AJ2145" t="str">
        <f>LEFT(M2145,1)</f>
        <v>M</v>
      </c>
      <c r="AK2145" t="str">
        <f>_xlfn.CONCAT(AG2145,AH2145,AI2145,AJ2145)</f>
        <v>IMAM</v>
      </c>
    </row>
    <row r="2146" spans="1:37" ht="15.75" hidden="1" customHeight="1" x14ac:dyDescent="0.2">
      <c r="A2146" s="1">
        <v>1095204</v>
      </c>
      <c r="B2146" s="1" t="s">
        <v>719</v>
      </c>
      <c r="C2146" s="1" t="s">
        <v>98</v>
      </c>
      <c r="D2146" s="1" t="s">
        <v>1615</v>
      </c>
      <c r="E2146" s="1" t="s">
        <v>685</v>
      </c>
      <c r="F2146" s="1" t="s">
        <v>61</v>
      </c>
      <c r="G2146" s="1" t="s">
        <v>1618</v>
      </c>
      <c r="H2146" s="1">
        <v>17</v>
      </c>
      <c r="I2146" s="1" t="s">
        <v>93</v>
      </c>
      <c r="J2146" s="1">
        <v>9</v>
      </c>
      <c r="K2146" s="1" t="s">
        <v>35</v>
      </c>
      <c r="L2146" s="1">
        <v>58</v>
      </c>
      <c r="M2146" s="1" t="str">
        <f>IF(L2146&lt;=45,"Joven","Mayor")</f>
        <v>Mayor</v>
      </c>
      <c r="N2146" s="1">
        <v>54</v>
      </c>
      <c r="O2146" s="1" t="s">
        <v>36</v>
      </c>
      <c r="P2146" s="1">
        <v>0.28599999999999998</v>
      </c>
      <c r="Q2146" s="1">
        <v>93.149000000000001</v>
      </c>
      <c r="R2146" s="1">
        <v>-2.9113595000000001</v>
      </c>
      <c r="S2146" s="1">
        <v>1.2755308999999999</v>
      </c>
      <c r="T2146" s="1">
        <v>-2.1372374999999999</v>
      </c>
      <c r="U2146" s="1">
        <v>40.347999999999999</v>
      </c>
      <c r="V2146" s="1">
        <v>89</v>
      </c>
      <c r="W2146" s="1">
        <v>152</v>
      </c>
      <c r="X2146" s="1">
        <v>1.7078651685393258</v>
      </c>
      <c r="Y2146" s="1">
        <v>92</v>
      </c>
      <c r="Z2146" s="1">
        <v>152</v>
      </c>
      <c r="AA2146" s="1">
        <v>1.6521739130434783</v>
      </c>
      <c r="AB2146" s="1">
        <v>90.742619991662423</v>
      </c>
      <c r="AC2146" s="1">
        <v>152.00614338260169</v>
      </c>
      <c r="AD2146" s="1">
        <v>1.6751350511652436</v>
      </c>
      <c r="AE2146" t="s">
        <v>4815</v>
      </c>
      <c r="AF2146" t="str">
        <f>IF(X2146&lt;$AF$1,"Bajo","Alto")</f>
        <v>Bajo</v>
      </c>
      <c r="AG2146" t="str">
        <f>LEFT(AE2146,1)</f>
        <v>I</v>
      </c>
      <c r="AH2146" t="str">
        <f>K2146</f>
        <v>M</v>
      </c>
      <c r="AI2146" t="str">
        <f>LEFT(AF2146,1)</f>
        <v>B</v>
      </c>
      <c r="AJ2146" t="str">
        <f>LEFT(M2146,1)</f>
        <v>M</v>
      </c>
      <c r="AK2146" t="str">
        <f>_xlfn.CONCAT(AG2146,AH2146,AI2146,AJ2146)</f>
        <v>IMBM</v>
      </c>
    </row>
    <row r="2147" spans="1:37" ht="15.75" hidden="1" customHeight="1" x14ac:dyDescent="0.2">
      <c r="A2147" s="1">
        <v>293404</v>
      </c>
      <c r="B2147" s="1" t="s">
        <v>3890</v>
      </c>
      <c r="C2147" s="1" t="s">
        <v>1695</v>
      </c>
      <c r="D2147" s="1" t="s">
        <v>3995</v>
      </c>
      <c r="E2147" s="1" t="s">
        <v>634</v>
      </c>
      <c r="F2147" s="1" t="s">
        <v>61</v>
      </c>
      <c r="G2147" s="1" t="s">
        <v>3998</v>
      </c>
      <c r="H2147" s="1">
        <v>2076</v>
      </c>
      <c r="I2147" s="1" t="s">
        <v>3999</v>
      </c>
      <c r="J2147" s="1">
        <v>3614</v>
      </c>
      <c r="K2147" s="1" t="s">
        <v>35</v>
      </c>
      <c r="L2147" s="1">
        <v>56</v>
      </c>
      <c r="M2147" s="1" t="str">
        <f>IF(L2147&lt;=45,"Joven","Mayor")</f>
        <v>Mayor</v>
      </c>
      <c r="N2147" s="1">
        <v>52</v>
      </c>
      <c r="O2147" s="1" t="s">
        <v>36</v>
      </c>
      <c r="P2147" s="1">
        <v>0.875</v>
      </c>
      <c r="Q2147" s="1">
        <v>83.03</v>
      </c>
      <c r="R2147" s="1">
        <v>-8.8556670000000004</v>
      </c>
      <c r="S2147" s="1">
        <v>4.7703585999999998</v>
      </c>
      <c r="T2147" s="1">
        <v>5.783442</v>
      </c>
      <c r="U2147" s="1">
        <v>0.63800000000000001</v>
      </c>
      <c r="V2147" s="1">
        <v>84</v>
      </c>
      <c r="W2147" s="1">
        <v>152</v>
      </c>
      <c r="X2147" s="1">
        <v>1.8095238095238095</v>
      </c>
      <c r="Y2147" s="1">
        <v>88</v>
      </c>
      <c r="Z2147" s="1">
        <v>152</v>
      </c>
      <c r="AA2147" s="1">
        <v>1.7272727272727273</v>
      </c>
      <c r="AB2147" s="1">
        <v>88.107024358553872</v>
      </c>
      <c r="AC2147" s="1">
        <v>151.62937562257</v>
      </c>
      <c r="AD2147" s="1">
        <v>1.7209680695322342</v>
      </c>
      <c r="AE2147" t="s">
        <v>4817</v>
      </c>
      <c r="AF2147" t="str">
        <f>IF(X2147&lt;$AF$1,"Bajo","Alto")</f>
        <v>Alto</v>
      </c>
      <c r="AG2147" t="str">
        <f>LEFT(AE2147,1)</f>
        <v>C</v>
      </c>
      <c r="AH2147" t="str">
        <f>K2147</f>
        <v>M</v>
      </c>
      <c r="AI2147" t="str">
        <f>LEFT(AF2147,1)</f>
        <v>A</v>
      </c>
      <c r="AJ2147" t="str">
        <f>LEFT(M2147,1)</f>
        <v>M</v>
      </c>
      <c r="AK2147" t="str">
        <f>_xlfn.CONCAT(AG2147,AH2147,AI2147,AJ2147)</f>
        <v>CMAM</v>
      </c>
    </row>
    <row r="2148" spans="1:37" ht="15.75" hidden="1" customHeight="1" x14ac:dyDescent="0.2">
      <c r="A2148" s="1">
        <v>239802</v>
      </c>
      <c r="B2148" s="1" t="s">
        <v>319</v>
      </c>
      <c r="C2148" s="1" t="s">
        <v>1989</v>
      </c>
      <c r="D2148" s="1" t="s">
        <v>3114</v>
      </c>
      <c r="E2148" s="1" t="s">
        <v>1796</v>
      </c>
      <c r="F2148" s="1" t="s">
        <v>37</v>
      </c>
      <c r="G2148" s="1" t="s">
        <v>3116</v>
      </c>
      <c r="H2148" s="1">
        <v>2746</v>
      </c>
      <c r="I2148" s="1" t="s">
        <v>65</v>
      </c>
      <c r="J2148" s="1">
        <v>2</v>
      </c>
      <c r="K2148" s="1" t="s">
        <v>35</v>
      </c>
      <c r="L2148" s="1">
        <v>33</v>
      </c>
      <c r="M2148" s="1" t="str">
        <f>IF(L2148&lt;=45,"Joven","Mayor")</f>
        <v>Joven</v>
      </c>
      <c r="N2148" s="1">
        <v>42</v>
      </c>
      <c r="O2148" s="1" t="s">
        <v>36</v>
      </c>
      <c r="P2148" s="1">
        <v>0.36</v>
      </c>
      <c r="Q2148" s="1">
        <v>79.33</v>
      </c>
      <c r="R2148" s="1">
        <v>9.2128739999999993</v>
      </c>
      <c r="S2148" s="1">
        <v>8.7217179999999992</v>
      </c>
      <c r="T2148" s="1">
        <v>-0.45066956000000002</v>
      </c>
      <c r="U2148" s="1">
        <v>30.898</v>
      </c>
      <c r="V2148" s="1">
        <v>116</v>
      </c>
      <c r="W2148" s="1">
        <v>210</v>
      </c>
      <c r="X2148" s="1">
        <v>1.8103448275862069</v>
      </c>
      <c r="Y2148" s="1">
        <v>117</v>
      </c>
      <c r="Z2148" s="1">
        <v>210</v>
      </c>
      <c r="AA2148" s="1">
        <v>1.7948717948717949</v>
      </c>
      <c r="AB2148" s="1">
        <v>116.58737019726409</v>
      </c>
      <c r="AC2148" s="1">
        <v>209.97777264397061</v>
      </c>
      <c r="AD2148" s="1">
        <v>1.8010336135783092</v>
      </c>
      <c r="AE2148" t="s">
        <v>4817</v>
      </c>
      <c r="AF2148" t="str">
        <f>IF(X2148&lt;$AF$1,"Bajo","Alto")</f>
        <v>Alto</v>
      </c>
      <c r="AG2148" t="str">
        <f>LEFT(AE2148,1)</f>
        <v>C</v>
      </c>
      <c r="AH2148" t="str">
        <f>K2148</f>
        <v>M</v>
      </c>
      <c r="AI2148" t="str">
        <f>LEFT(AF2148,1)</f>
        <v>A</v>
      </c>
      <c r="AJ2148" t="str">
        <f>LEFT(M2148,1)</f>
        <v>J</v>
      </c>
      <c r="AK2148" t="str">
        <f>_xlfn.CONCAT(AG2148,AH2148,AI2148,AJ2148)</f>
        <v>CMAJ</v>
      </c>
    </row>
    <row r="2149" spans="1:37" ht="15.75" hidden="1" customHeight="1" x14ac:dyDescent="0.2">
      <c r="A2149" s="1">
        <v>10731101</v>
      </c>
      <c r="B2149" s="1" t="s">
        <v>1067</v>
      </c>
      <c r="C2149" s="1" t="s">
        <v>1068</v>
      </c>
      <c r="D2149" s="1" t="s">
        <v>1389</v>
      </c>
      <c r="E2149" s="1" t="s">
        <v>1390</v>
      </c>
      <c r="F2149" s="1" t="s">
        <v>32</v>
      </c>
      <c r="G2149" s="1" t="s">
        <v>1391</v>
      </c>
      <c r="H2149" s="1">
        <v>1339</v>
      </c>
      <c r="I2149" s="1" t="s">
        <v>100</v>
      </c>
      <c r="J2149" s="1">
        <v>1</v>
      </c>
      <c r="K2149" s="1" t="s">
        <v>35</v>
      </c>
      <c r="L2149" s="1">
        <v>45</v>
      </c>
      <c r="M2149" s="1" t="str">
        <f>IF(L2149&lt;=45,"Joven","Mayor")</f>
        <v>Joven</v>
      </c>
      <c r="N2149" s="1">
        <v>56</v>
      </c>
      <c r="O2149" s="1" t="s">
        <v>36</v>
      </c>
      <c r="P2149" s="1">
        <v>0.38800000000000001</v>
      </c>
      <c r="Q2149" s="1">
        <v>93.546999999999997</v>
      </c>
      <c r="R2149" s="1">
        <v>-2.3139734000000001</v>
      </c>
      <c r="S2149" s="1">
        <v>1.1914018</v>
      </c>
      <c r="T2149" s="1">
        <v>1.0355998</v>
      </c>
      <c r="U2149" s="1">
        <v>0.75600000000000001</v>
      </c>
      <c r="V2149" s="1">
        <v>95</v>
      </c>
      <c r="W2149" s="1">
        <v>165</v>
      </c>
      <c r="X2149" s="1">
        <v>1.736842105263158</v>
      </c>
      <c r="Y2149" s="1">
        <v>95</v>
      </c>
      <c r="Z2149" s="1">
        <v>165</v>
      </c>
      <c r="AA2149" s="1">
        <v>1.736842105263158</v>
      </c>
      <c r="AB2149" s="1">
        <v>95.743575516068631</v>
      </c>
      <c r="AC2149" s="1">
        <v>164.97304863435471</v>
      </c>
      <c r="AD2149" s="1">
        <v>1.723071733483228</v>
      </c>
      <c r="AE2149" t="s">
        <v>4817</v>
      </c>
      <c r="AF2149" t="str">
        <f>IF(X2149&lt;$AF$1,"Bajo","Alto")</f>
        <v>Bajo</v>
      </c>
      <c r="AG2149" t="str">
        <f>LEFT(AE2149,1)</f>
        <v>C</v>
      </c>
      <c r="AH2149" t="str">
        <f>K2149</f>
        <v>M</v>
      </c>
      <c r="AI2149" t="str">
        <f>LEFT(AF2149,1)</f>
        <v>B</v>
      </c>
      <c r="AJ2149" t="str">
        <f>LEFT(M2149,1)</f>
        <v>J</v>
      </c>
      <c r="AK2149" t="str">
        <f>_xlfn.CONCAT(AG2149,AH2149,AI2149,AJ2149)</f>
        <v>CMBJ</v>
      </c>
    </row>
    <row r="2150" spans="1:37" ht="15.75" hidden="1" customHeight="1" x14ac:dyDescent="0.2">
      <c r="A2150" s="1">
        <v>10116004</v>
      </c>
      <c r="B2150" s="1" t="s">
        <v>29</v>
      </c>
      <c r="C2150" s="1" t="s">
        <v>30</v>
      </c>
      <c r="D2150" s="1" t="s">
        <v>233</v>
      </c>
      <c r="E2150" s="1" t="s">
        <v>234</v>
      </c>
      <c r="F2150" s="1" t="s">
        <v>61</v>
      </c>
      <c r="G2150" s="1" t="s">
        <v>237</v>
      </c>
      <c r="H2150" s="1">
        <v>850</v>
      </c>
      <c r="I2150" s="1" t="s">
        <v>238</v>
      </c>
      <c r="J2150" s="1">
        <v>503</v>
      </c>
      <c r="K2150" s="1" t="s">
        <v>35</v>
      </c>
      <c r="L2150" s="1">
        <v>42</v>
      </c>
      <c r="M2150" s="1" t="str">
        <f>IF(L2150&lt;=45,"Joven","Mayor")</f>
        <v>Joven</v>
      </c>
      <c r="N2150" s="1">
        <v>53</v>
      </c>
      <c r="O2150" s="1" t="s">
        <v>36</v>
      </c>
      <c r="P2150" s="1">
        <v>7.5999999999999998E-2</v>
      </c>
      <c r="Q2150" s="1">
        <v>93.078000000000003</v>
      </c>
      <c r="R2150" s="1">
        <v>2.9133300000000002</v>
      </c>
      <c r="S2150" s="1">
        <v>1.8750175</v>
      </c>
      <c r="T2150" s="1">
        <v>-2.9582039999999998</v>
      </c>
      <c r="U2150" s="1">
        <v>0.53700000000000003</v>
      </c>
      <c r="V2150" s="1">
        <v>100</v>
      </c>
      <c r="W2150" s="1">
        <v>181</v>
      </c>
      <c r="X2150" s="1">
        <v>1.81</v>
      </c>
      <c r="Y2150" s="1">
        <v>105</v>
      </c>
      <c r="Z2150" s="1">
        <v>181</v>
      </c>
      <c r="AA2150" s="1">
        <v>1.7238095238095239</v>
      </c>
      <c r="AB2150" s="1">
        <v>106.92438050311149</v>
      </c>
      <c r="AC2150" s="1">
        <v>180.44916311506589</v>
      </c>
      <c r="AD2150" s="1">
        <v>1.6876334683072101</v>
      </c>
      <c r="AE2150" t="s">
        <v>4817</v>
      </c>
      <c r="AF2150" t="str">
        <f>IF(X2150&lt;$AF$1,"Bajo","Alto")</f>
        <v>Alto</v>
      </c>
      <c r="AG2150" t="str">
        <f>LEFT(AE2150,1)</f>
        <v>C</v>
      </c>
      <c r="AH2150" t="str">
        <f>K2150</f>
        <v>M</v>
      </c>
      <c r="AI2150" t="str">
        <f>LEFT(AF2150,1)</f>
        <v>A</v>
      </c>
      <c r="AJ2150" t="str">
        <f>LEFT(M2150,1)</f>
        <v>J</v>
      </c>
      <c r="AK2150" t="str">
        <f>_xlfn.CONCAT(AG2150,AH2150,AI2150,AJ2150)</f>
        <v>CMAJ</v>
      </c>
    </row>
    <row r="2151" spans="1:37" ht="15.75" hidden="1" customHeight="1" x14ac:dyDescent="0.2">
      <c r="A2151" s="1">
        <v>1051502</v>
      </c>
      <c r="B2151" s="1" t="s">
        <v>694</v>
      </c>
      <c r="C2151" s="1" t="s">
        <v>879</v>
      </c>
      <c r="D2151" s="1" t="s">
        <v>953</v>
      </c>
      <c r="E2151" s="1" t="s">
        <v>57</v>
      </c>
      <c r="F2151" s="1" t="s">
        <v>37</v>
      </c>
      <c r="G2151" s="1" t="s">
        <v>954</v>
      </c>
      <c r="H2151" s="1">
        <v>3216</v>
      </c>
      <c r="I2151" s="1" t="s">
        <v>65</v>
      </c>
      <c r="J2151" s="1">
        <v>2</v>
      </c>
      <c r="K2151" s="1" t="s">
        <v>35</v>
      </c>
      <c r="L2151" s="1">
        <v>57</v>
      </c>
      <c r="M2151" s="1" t="str">
        <f>IF(L2151&lt;=45,"Joven","Mayor")</f>
        <v>Mayor</v>
      </c>
      <c r="N2151" s="1">
        <v>59</v>
      </c>
      <c r="O2151" s="1" t="s">
        <v>36</v>
      </c>
      <c r="P2151" s="1">
        <v>1.4999999999999999E-2</v>
      </c>
      <c r="Q2151" s="1">
        <v>91.92</v>
      </c>
      <c r="R2151" s="1">
        <v>2.2979088000000001</v>
      </c>
      <c r="S2151" s="1">
        <v>7.2033870000000002</v>
      </c>
      <c r="T2151" s="1">
        <v>-2.3385189</v>
      </c>
      <c r="U2151" s="1">
        <v>0.88400000000000001</v>
      </c>
      <c r="V2151" s="1">
        <v>110</v>
      </c>
      <c r="W2151" s="1">
        <v>199</v>
      </c>
      <c r="X2151" s="1">
        <v>1.8090909090909091</v>
      </c>
      <c r="Y2151" s="1">
        <v>116</v>
      </c>
      <c r="Z2151" s="1">
        <v>199</v>
      </c>
      <c r="AA2151" s="1">
        <v>1.7155172413793103</v>
      </c>
      <c r="AB2151" s="1">
        <v>113.9040213272522</v>
      </c>
      <c r="AC2151" s="1">
        <v>199.07909184131771</v>
      </c>
      <c r="AD2151" s="1">
        <v>1.7477793103489567</v>
      </c>
      <c r="AE2151" t="s">
        <v>4817</v>
      </c>
      <c r="AF2151" t="str">
        <f>IF(X2151&lt;$AF$1,"Bajo","Alto")</f>
        <v>Alto</v>
      </c>
      <c r="AG2151" t="str">
        <f>LEFT(AE2151,1)</f>
        <v>C</v>
      </c>
      <c r="AH2151" t="str">
        <f>K2151</f>
        <v>M</v>
      </c>
      <c r="AI2151" t="str">
        <f>LEFT(AF2151,1)</f>
        <v>A</v>
      </c>
      <c r="AJ2151" t="str">
        <f>LEFT(M2151,1)</f>
        <v>M</v>
      </c>
      <c r="AK2151" t="str">
        <f>_xlfn.CONCAT(AG2151,AH2151,AI2151,AJ2151)</f>
        <v>CMAM</v>
      </c>
    </row>
    <row r="2152" spans="1:37" ht="15.75" hidden="1" customHeight="1" x14ac:dyDescent="0.2">
      <c r="A2152" s="1">
        <v>2710601</v>
      </c>
      <c r="B2152" s="1" t="s">
        <v>3409</v>
      </c>
      <c r="C2152" s="1" t="s">
        <v>973</v>
      </c>
      <c r="D2152" s="1" t="s">
        <v>3435</v>
      </c>
      <c r="E2152" s="1" t="s">
        <v>95</v>
      </c>
      <c r="F2152" s="1" t="s">
        <v>32</v>
      </c>
      <c r="G2152" s="1" t="s">
        <v>3436</v>
      </c>
      <c r="H2152" s="1">
        <v>353</v>
      </c>
      <c r="I2152" s="1" t="s">
        <v>34</v>
      </c>
      <c r="J2152" s="1">
        <v>10</v>
      </c>
      <c r="K2152" s="1" t="s">
        <v>35</v>
      </c>
      <c r="L2152" s="1">
        <v>42</v>
      </c>
      <c r="M2152" s="1" t="str">
        <f>IF(L2152&lt;=45,"Joven","Mayor")</f>
        <v>Joven</v>
      </c>
      <c r="N2152" s="1">
        <v>46</v>
      </c>
      <c r="O2152" s="1" t="s">
        <v>36</v>
      </c>
      <c r="P2152" s="1">
        <v>0.29699999999999999</v>
      </c>
      <c r="Q2152" s="1">
        <v>88.361999999999995</v>
      </c>
      <c r="R2152" s="1">
        <v>5.5822697000000003</v>
      </c>
      <c r="S2152" s="1">
        <v>7.0653696000000004</v>
      </c>
      <c r="T2152" s="1">
        <v>-2.6353971999999999</v>
      </c>
      <c r="U2152" s="1">
        <v>0.999</v>
      </c>
      <c r="V2152" s="1">
        <v>105</v>
      </c>
      <c r="W2152" s="1">
        <v>190</v>
      </c>
      <c r="X2152" s="1">
        <v>1.8095238095238095</v>
      </c>
      <c r="Y2152" s="1">
        <v>106</v>
      </c>
      <c r="Z2152" s="1">
        <v>190</v>
      </c>
      <c r="AA2152" s="1">
        <v>1.7924528301886793</v>
      </c>
      <c r="AB2152" s="1">
        <v>107.18795422727381</v>
      </c>
      <c r="AC2152" s="1">
        <v>189.845027401685</v>
      </c>
      <c r="AD2152" s="1">
        <v>1.7711414381428621</v>
      </c>
      <c r="AE2152" t="s">
        <v>4815</v>
      </c>
      <c r="AF2152" t="str">
        <f>IF(X2152&lt;$AF$1,"Bajo","Alto")</f>
        <v>Alto</v>
      </c>
      <c r="AG2152" t="str">
        <f>LEFT(AE2152,1)</f>
        <v>I</v>
      </c>
      <c r="AH2152" t="str">
        <f>K2152</f>
        <v>M</v>
      </c>
      <c r="AI2152" t="str">
        <f>LEFT(AF2152,1)</f>
        <v>A</v>
      </c>
      <c r="AJ2152" t="str">
        <f>LEFT(M2152,1)</f>
        <v>J</v>
      </c>
      <c r="AK2152" t="str">
        <f>_xlfn.CONCAT(AG2152,AH2152,AI2152,AJ2152)</f>
        <v>IMAJ</v>
      </c>
    </row>
    <row r="2153" spans="1:37" ht="15.75" hidden="1" customHeight="1" x14ac:dyDescent="0.2">
      <c r="A2153" s="1">
        <v>151301</v>
      </c>
      <c r="B2153" s="1" t="s">
        <v>2077</v>
      </c>
      <c r="C2153" s="1" t="s">
        <v>57</v>
      </c>
      <c r="D2153" s="1" t="s">
        <v>2141</v>
      </c>
      <c r="E2153" s="1" t="s">
        <v>163</v>
      </c>
      <c r="F2153" s="1" t="s">
        <v>32</v>
      </c>
      <c r="G2153" s="1" t="s">
        <v>2142</v>
      </c>
      <c r="H2153" s="1">
        <v>232</v>
      </c>
      <c r="I2153" s="1" t="s">
        <v>39</v>
      </c>
      <c r="J2153" s="1">
        <v>11</v>
      </c>
      <c r="K2153" s="1" t="s">
        <v>35</v>
      </c>
      <c r="L2153" s="1">
        <v>37</v>
      </c>
      <c r="M2153" s="1" t="str">
        <f>IF(L2153&lt;=45,"Joven","Mayor")</f>
        <v>Joven</v>
      </c>
      <c r="N2153" s="1">
        <v>43</v>
      </c>
      <c r="O2153" s="1" t="s">
        <v>36</v>
      </c>
      <c r="P2153" s="1">
        <v>0.86799999999999999</v>
      </c>
      <c r="Q2153" s="1">
        <v>90.057000000000002</v>
      </c>
      <c r="R2153" s="1">
        <v>5.1853204000000002</v>
      </c>
      <c r="S2153" s="1">
        <v>3.9992182000000001</v>
      </c>
      <c r="T2153" s="1">
        <v>-3.3423889</v>
      </c>
      <c r="U2153" s="1">
        <v>1.4910000000000001</v>
      </c>
      <c r="V2153" s="1">
        <v>89</v>
      </c>
      <c r="W2153" s="1">
        <v>161</v>
      </c>
      <c r="X2153" s="1">
        <v>1.8089887640449438</v>
      </c>
      <c r="Y2153" s="1">
        <v>89</v>
      </c>
      <c r="Z2153" s="1">
        <v>161</v>
      </c>
      <c r="AA2153" s="1">
        <v>1.8089887640449438</v>
      </c>
      <c r="AB2153" s="1">
        <v>91.355619328375269</v>
      </c>
      <c r="AC2153" s="1">
        <v>160.842737143596</v>
      </c>
      <c r="AD2153" s="1">
        <v>1.760622261948126</v>
      </c>
      <c r="AE2153" t="s">
        <v>4816</v>
      </c>
      <c r="AF2153" t="str">
        <f>IF(X2153&lt;$AF$1,"Bajo","Alto")</f>
        <v>Alto</v>
      </c>
      <c r="AG2153" t="str">
        <f>LEFT(AE2153,1)</f>
        <v>D</v>
      </c>
      <c r="AH2153" t="str">
        <f>K2153</f>
        <v>M</v>
      </c>
      <c r="AI2153" t="str">
        <f>LEFT(AF2153,1)</f>
        <v>A</v>
      </c>
      <c r="AJ2153" t="str">
        <f>LEFT(M2153,1)</f>
        <v>J</v>
      </c>
      <c r="AK2153" t="str">
        <f>_xlfn.CONCAT(AG2153,AH2153,AI2153,AJ2153)</f>
        <v>DMAJ</v>
      </c>
    </row>
    <row r="2154" spans="1:37" ht="15.75" hidden="1" customHeight="1" x14ac:dyDescent="0.2">
      <c r="A2154" s="1">
        <v>174307</v>
      </c>
      <c r="B2154" s="1" t="s">
        <v>2551</v>
      </c>
      <c r="C2154" s="1" t="s">
        <v>2552</v>
      </c>
      <c r="D2154" s="1" t="s">
        <v>2645</v>
      </c>
      <c r="E2154" s="1" t="s">
        <v>665</v>
      </c>
      <c r="F2154" s="1" t="s">
        <v>43</v>
      </c>
      <c r="G2154" s="1" t="s">
        <v>2647</v>
      </c>
      <c r="H2154" s="1">
        <v>2018</v>
      </c>
      <c r="I2154" s="1" t="s">
        <v>2648</v>
      </c>
      <c r="J2154" s="1">
        <v>971</v>
      </c>
      <c r="K2154" s="1" t="s">
        <v>35</v>
      </c>
      <c r="L2154" s="1">
        <v>72</v>
      </c>
      <c r="M2154" s="1" t="str">
        <f>IF(L2154&lt;=45,"Joven","Mayor")</f>
        <v>Mayor</v>
      </c>
      <c r="N2154" s="1">
        <v>63</v>
      </c>
      <c r="O2154" s="1" t="s">
        <v>36</v>
      </c>
      <c r="P2154" s="1">
        <v>0.997</v>
      </c>
      <c r="Q2154" s="1">
        <v>92.471999999999994</v>
      </c>
      <c r="R2154" s="1">
        <v>-3.4964445</v>
      </c>
      <c r="S2154" s="1">
        <v>1.4097672999999999</v>
      </c>
      <c r="T2154" s="1">
        <v>-1.3118972</v>
      </c>
      <c r="U2154" s="1">
        <v>7.7320000000000002</v>
      </c>
      <c r="V2154" s="1">
        <v>77</v>
      </c>
      <c r="W2154" s="1">
        <v>133</v>
      </c>
      <c r="X2154" s="1">
        <v>1.7272727272727273</v>
      </c>
      <c r="Y2154" s="1">
        <v>78</v>
      </c>
      <c r="Z2154" s="1">
        <v>133</v>
      </c>
      <c r="AA2154" s="1">
        <v>1.7051282051282051</v>
      </c>
      <c r="AB2154" s="1">
        <v>77.918508440436199</v>
      </c>
      <c r="AC2154" s="1">
        <v>133.05671732104659</v>
      </c>
      <c r="AD2154" s="1">
        <v>1.7076394297609032</v>
      </c>
      <c r="AE2154" t="s">
        <v>4817</v>
      </c>
      <c r="AF2154" t="str">
        <f>IF(X2154&lt;$AF$1,"Bajo","Alto")</f>
        <v>Bajo</v>
      </c>
      <c r="AG2154" t="str">
        <f>LEFT(AE2154,1)</f>
        <v>C</v>
      </c>
      <c r="AH2154" t="str">
        <f>K2154</f>
        <v>M</v>
      </c>
      <c r="AI2154" t="str">
        <f>LEFT(AF2154,1)</f>
        <v>B</v>
      </c>
      <c r="AJ2154" t="str">
        <f>LEFT(M2154,1)</f>
        <v>M</v>
      </c>
      <c r="AK2154" t="str">
        <f>_xlfn.CONCAT(AG2154,AH2154,AI2154,AJ2154)</f>
        <v>CMBM</v>
      </c>
    </row>
    <row r="2155" spans="1:37" ht="15.75" hidden="1" customHeight="1" x14ac:dyDescent="0.2">
      <c r="A2155" s="1">
        <v>1290002</v>
      </c>
      <c r="B2155" s="1" t="s">
        <v>1798</v>
      </c>
      <c r="C2155" s="1" t="s">
        <v>54</v>
      </c>
      <c r="D2155" s="1" t="s">
        <v>1942</v>
      </c>
      <c r="E2155" s="1" t="s">
        <v>1943</v>
      </c>
      <c r="F2155" s="1" t="s">
        <v>37</v>
      </c>
      <c r="G2155" s="1" t="s">
        <v>1944</v>
      </c>
      <c r="H2155" s="1">
        <v>4</v>
      </c>
      <c r="I2155" s="1" t="s">
        <v>45</v>
      </c>
      <c r="J2155" s="1">
        <v>17</v>
      </c>
      <c r="K2155" s="1" t="s">
        <v>49</v>
      </c>
      <c r="L2155" s="1">
        <v>58</v>
      </c>
      <c r="M2155" s="1" t="str">
        <f>IF(L2155&lt;=45,"Joven","Mayor")</f>
        <v>Mayor</v>
      </c>
      <c r="N2155" s="1">
        <v>65</v>
      </c>
      <c r="O2155" s="1" t="s">
        <v>50</v>
      </c>
      <c r="P2155" s="1">
        <v>6.5000000000000002E-2</v>
      </c>
      <c r="Q2155" s="1">
        <v>76.073999999999998</v>
      </c>
      <c r="R2155" s="1">
        <v>10.692214999999999</v>
      </c>
      <c r="S2155" s="1">
        <v>-7.0681862999999998</v>
      </c>
      <c r="T2155" s="1">
        <v>-6.838171</v>
      </c>
      <c r="U2155" s="1">
        <v>4.9969999999999999</v>
      </c>
      <c r="V2155" s="1">
        <v>83</v>
      </c>
      <c r="W2155" s="1">
        <v>142</v>
      </c>
      <c r="X2155" s="1">
        <v>1.7108433734939759</v>
      </c>
      <c r="Y2155" s="1">
        <v>88</v>
      </c>
      <c r="Z2155" s="1">
        <v>142</v>
      </c>
      <c r="AA2155" s="1">
        <v>1.6136363636363635</v>
      </c>
      <c r="AB2155" s="1">
        <v>86.934059365279381</v>
      </c>
      <c r="AC2155" s="1">
        <v>141.46613149732821</v>
      </c>
      <c r="AD2155" s="1">
        <v>1.6272808670180241</v>
      </c>
      <c r="AE2155" t="s">
        <v>4817</v>
      </c>
      <c r="AF2155" t="str">
        <f>IF(X2155&lt;$AF$1,"Bajo","Alto")</f>
        <v>Bajo</v>
      </c>
      <c r="AG2155" t="str">
        <f>LEFT(AE2155,1)</f>
        <v>C</v>
      </c>
      <c r="AH2155" t="str">
        <f>K2155</f>
        <v>F</v>
      </c>
      <c r="AI2155" t="str">
        <f>LEFT(AF2155,1)</f>
        <v>B</v>
      </c>
      <c r="AJ2155" t="str">
        <f>LEFT(M2155,1)</f>
        <v>M</v>
      </c>
      <c r="AK2155" t="str">
        <f>_xlfn.CONCAT(AG2155,AH2155,AI2155,AJ2155)</f>
        <v>CFBM</v>
      </c>
    </row>
    <row r="2156" spans="1:37" ht="15.75" hidden="1" customHeight="1" x14ac:dyDescent="0.2">
      <c r="A2156" s="1">
        <v>198502</v>
      </c>
      <c r="B2156" s="1" t="s">
        <v>2656</v>
      </c>
      <c r="C2156" s="1" t="s">
        <v>323</v>
      </c>
      <c r="D2156" s="1" t="s">
        <v>2802</v>
      </c>
      <c r="E2156" s="1" t="s">
        <v>755</v>
      </c>
      <c r="F2156" s="1" t="s">
        <v>37</v>
      </c>
      <c r="G2156" s="1" t="s">
        <v>2803</v>
      </c>
      <c r="H2156" s="1">
        <v>4</v>
      </c>
      <c r="I2156" s="1" t="s">
        <v>73</v>
      </c>
      <c r="J2156" s="1">
        <v>5</v>
      </c>
      <c r="K2156" s="1" t="s">
        <v>35</v>
      </c>
      <c r="L2156" s="1">
        <v>50</v>
      </c>
      <c r="M2156" s="1" t="str">
        <f>IF(L2156&lt;=45,"Joven","Mayor")</f>
        <v>Mayor</v>
      </c>
      <c r="N2156" s="1">
        <v>47</v>
      </c>
      <c r="O2156" s="1" t="s">
        <v>36</v>
      </c>
      <c r="P2156" s="1">
        <v>0.22500000000000001</v>
      </c>
      <c r="Q2156" s="1">
        <v>87.388000000000005</v>
      </c>
      <c r="R2156" s="1">
        <v>6.7544594</v>
      </c>
      <c r="S2156" s="1">
        <v>5.4796762000000001</v>
      </c>
      <c r="T2156" s="1">
        <v>-7.9666166</v>
      </c>
      <c r="U2156" s="1">
        <v>45.460999999999999</v>
      </c>
      <c r="V2156" s="1">
        <v>110</v>
      </c>
      <c r="W2156" s="1">
        <v>190</v>
      </c>
      <c r="X2156" s="1">
        <v>1.7272727272727273</v>
      </c>
      <c r="Y2156" s="1">
        <v>119</v>
      </c>
      <c r="Z2156" s="1">
        <v>190</v>
      </c>
      <c r="AA2156" s="1">
        <v>1.596638655462185</v>
      </c>
      <c r="AB2156" s="1">
        <v>117.80853912376919</v>
      </c>
      <c r="AC2156" s="1">
        <v>190.52244173545111</v>
      </c>
      <c r="AD2156" s="1">
        <v>1.6172209854439241</v>
      </c>
      <c r="AE2156" t="s">
        <v>4817</v>
      </c>
      <c r="AF2156" t="str">
        <f>IF(X2156&lt;$AF$1,"Bajo","Alto")</f>
        <v>Bajo</v>
      </c>
      <c r="AG2156" t="str">
        <f>LEFT(AE2156,1)</f>
        <v>C</v>
      </c>
      <c r="AH2156" t="str">
        <f>K2156</f>
        <v>M</v>
      </c>
      <c r="AI2156" t="str">
        <f>LEFT(AF2156,1)</f>
        <v>B</v>
      </c>
      <c r="AJ2156" t="str">
        <f>LEFT(M2156,1)</f>
        <v>M</v>
      </c>
      <c r="AK2156" t="str">
        <f>_xlfn.CONCAT(AG2156,AH2156,AI2156,AJ2156)</f>
        <v>CMBM</v>
      </c>
    </row>
    <row r="2157" spans="1:37" ht="15.75" hidden="1" customHeight="1" x14ac:dyDescent="0.2">
      <c r="A2157" s="1">
        <v>235801</v>
      </c>
      <c r="B2157" s="1" t="s">
        <v>319</v>
      </c>
      <c r="C2157" s="1" t="s">
        <v>1989</v>
      </c>
      <c r="D2157" s="1" t="s">
        <v>3057</v>
      </c>
      <c r="E2157" s="1" t="s">
        <v>695</v>
      </c>
      <c r="F2157" s="1" t="s">
        <v>32</v>
      </c>
      <c r="G2157" s="1" t="s">
        <v>3058</v>
      </c>
      <c r="H2157" s="1">
        <v>1794</v>
      </c>
      <c r="I2157" s="1" t="s">
        <v>65</v>
      </c>
      <c r="J2157" s="1">
        <v>2</v>
      </c>
      <c r="K2157" s="1" t="s">
        <v>35</v>
      </c>
      <c r="L2157" s="1">
        <v>44</v>
      </c>
      <c r="M2157" s="1" t="str">
        <f>IF(L2157&lt;=45,"Joven","Mayor")</f>
        <v>Joven</v>
      </c>
      <c r="N2157" s="1">
        <v>48</v>
      </c>
      <c r="O2157" s="1" t="s">
        <v>36</v>
      </c>
      <c r="P2157" s="1">
        <v>0.35599999999999998</v>
      </c>
      <c r="Q2157" s="1">
        <v>30.702999999999999</v>
      </c>
      <c r="R2157" s="1">
        <v>18.292781999999999</v>
      </c>
      <c r="S2157" s="1">
        <v>3.8362463</v>
      </c>
      <c r="T2157" s="1">
        <v>-6.1277885000000003</v>
      </c>
      <c r="U2157" s="1">
        <v>25.009</v>
      </c>
      <c r="V2157" s="1">
        <v>95</v>
      </c>
      <c r="W2157" s="1">
        <v>165</v>
      </c>
      <c r="X2157" s="1">
        <v>1.736842105263158</v>
      </c>
      <c r="Y2157" s="1">
        <v>99</v>
      </c>
      <c r="Z2157" s="1">
        <v>165</v>
      </c>
      <c r="AA2157" s="1">
        <v>1.6666666666666667</v>
      </c>
      <c r="AB2157" s="1">
        <v>99.367527880219086</v>
      </c>
      <c r="AC2157" s="1">
        <v>164.37747663000161</v>
      </c>
      <c r="AD2157" s="1">
        <v>1.6542373563740831</v>
      </c>
      <c r="AE2157" t="s">
        <v>4817</v>
      </c>
      <c r="AF2157" t="str">
        <f>IF(X2157&lt;$AF$1,"Bajo","Alto")</f>
        <v>Bajo</v>
      </c>
      <c r="AG2157" t="str">
        <f>LEFT(AE2157,1)</f>
        <v>C</v>
      </c>
      <c r="AH2157" t="str">
        <f>K2157</f>
        <v>M</v>
      </c>
      <c r="AI2157" t="str">
        <f>LEFT(AF2157,1)</f>
        <v>B</v>
      </c>
      <c r="AJ2157" t="str">
        <f>LEFT(M2157,1)</f>
        <v>J</v>
      </c>
      <c r="AK2157" t="str">
        <f>_xlfn.CONCAT(AG2157,AH2157,AI2157,AJ2157)</f>
        <v>CMBJ</v>
      </c>
    </row>
    <row r="2158" spans="1:37" ht="15.75" hidden="1" customHeight="1" x14ac:dyDescent="0.2">
      <c r="A2158" s="1">
        <v>10128902</v>
      </c>
      <c r="B2158" s="1" t="s">
        <v>29</v>
      </c>
      <c r="C2158" s="1" t="s">
        <v>30</v>
      </c>
      <c r="D2158" s="1" t="s">
        <v>579</v>
      </c>
      <c r="E2158" s="1" t="s">
        <v>580</v>
      </c>
      <c r="F2158" s="1" t="s">
        <v>37</v>
      </c>
      <c r="G2158" s="1" t="s">
        <v>581</v>
      </c>
      <c r="H2158" s="1">
        <v>2329</v>
      </c>
      <c r="I2158" s="1" t="s">
        <v>65</v>
      </c>
      <c r="J2158" s="1">
        <v>2</v>
      </c>
      <c r="K2158" s="1" t="s">
        <v>35</v>
      </c>
      <c r="L2158" s="1">
        <v>51</v>
      </c>
      <c r="M2158" s="1" t="str">
        <f>IF(L2158&lt;=45,"Joven","Mayor")</f>
        <v>Mayor</v>
      </c>
      <c r="N2158" s="1">
        <v>46</v>
      </c>
      <c r="O2158" s="1" t="s">
        <v>36</v>
      </c>
      <c r="P2158" s="1">
        <v>1.1399999999999999</v>
      </c>
      <c r="Q2158" s="1">
        <v>91.114999999999995</v>
      </c>
      <c r="R2158" s="1">
        <v>4.2783594000000003</v>
      </c>
      <c r="S2158" s="1">
        <v>3.6138615999999999</v>
      </c>
      <c r="T2158" s="1">
        <v>-6.7984786000000001</v>
      </c>
      <c r="U2158" s="1">
        <v>7.4630000000000001</v>
      </c>
      <c r="V2158" s="1">
        <v>89</v>
      </c>
      <c r="W2158" s="1">
        <v>161</v>
      </c>
      <c r="X2158" s="1">
        <v>1.8089887640449438</v>
      </c>
      <c r="Y2158" s="1">
        <v>91</v>
      </c>
      <c r="Z2158" s="1">
        <v>161</v>
      </c>
      <c r="AA2158" s="1">
        <v>1.7692307692307692</v>
      </c>
      <c r="AB2158" s="1">
        <v>93.701202081921792</v>
      </c>
      <c r="AC2158" s="1">
        <v>160.45984094611501</v>
      </c>
      <c r="AD2158" s="1">
        <v>1.7124629927994623</v>
      </c>
      <c r="AE2158" t="s">
        <v>4817</v>
      </c>
      <c r="AF2158" t="str">
        <f>IF(X2158&lt;$AF$1,"Bajo","Alto")</f>
        <v>Alto</v>
      </c>
      <c r="AG2158" t="str">
        <f>LEFT(AE2158,1)</f>
        <v>C</v>
      </c>
      <c r="AH2158" t="str">
        <f>K2158</f>
        <v>M</v>
      </c>
      <c r="AI2158" t="str">
        <f>LEFT(AF2158,1)</f>
        <v>A</v>
      </c>
      <c r="AJ2158" t="str">
        <f>LEFT(M2158,1)</f>
        <v>M</v>
      </c>
      <c r="AK2158" t="str">
        <f>_xlfn.CONCAT(AG2158,AH2158,AI2158,AJ2158)</f>
        <v>CMAM</v>
      </c>
    </row>
    <row r="2159" spans="1:37" ht="15.75" hidden="1" customHeight="1" x14ac:dyDescent="0.2">
      <c r="A2159" s="1">
        <v>10512404</v>
      </c>
      <c r="B2159" s="1" t="s">
        <v>694</v>
      </c>
      <c r="C2159" s="1" t="s">
        <v>879</v>
      </c>
      <c r="D2159" s="1" t="s">
        <v>929</v>
      </c>
      <c r="E2159" s="1" t="s">
        <v>145</v>
      </c>
      <c r="F2159" s="1" t="s">
        <v>61</v>
      </c>
      <c r="G2159" s="1" t="s">
        <v>930</v>
      </c>
      <c r="H2159" s="1">
        <v>5227</v>
      </c>
      <c r="I2159" s="1" t="s">
        <v>65</v>
      </c>
      <c r="J2159" s="1">
        <v>2</v>
      </c>
      <c r="K2159" s="1" t="s">
        <v>35</v>
      </c>
      <c r="L2159" s="1">
        <v>57</v>
      </c>
      <c r="M2159" s="1" t="str">
        <f>IF(L2159&lt;=45,"Joven","Mayor")</f>
        <v>Mayor</v>
      </c>
      <c r="N2159" s="1">
        <v>47</v>
      </c>
      <c r="O2159" s="1" t="s">
        <v>36</v>
      </c>
      <c r="P2159" s="1">
        <v>0.83299999999999996</v>
      </c>
      <c r="Q2159" s="1">
        <v>88.57</v>
      </c>
      <c r="R2159" s="1">
        <v>4.4917053999999998</v>
      </c>
      <c r="S2159" s="1">
        <v>-8.8478359999999991</v>
      </c>
      <c r="T2159" s="1">
        <v>-4.6285806000000003</v>
      </c>
      <c r="U2159" s="1">
        <v>2.6309999999999998</v>
      </c>
      <c r="V2159" s="1">
        <v>103</v>
      </c>
      <c r="W2159" s="1">
        <v>178</v>
      </c>
      <c r="X2159" s="1">
        <v>1.7281553398058251</v>
      </c>
      <c r="Y2159" s="1">
        <v>104</v>
      </c>
      <c r="Z2159" s="1">
        <v>178</v>
      </c>
      <c r="AA2159" s="1">
        <v>1.7115384615384615</v>
      </c>
      <c r="AB2159" s="1">
        <v>106.214721022091</v>
      </c>
      <c r="AC2159" s="1">
        <v>177.50019348553911</v>
      </c>
      <c r="AD2159" s="1">
        <v>1.6711449390204758</v>
      </c>
      <c r="AE2159" t="s">
        <v>4817</v>
      </c>
      <c r="AF2159" t="str">
        <f>IF(X2159&lt;$AF$1,"Bajo","Alto")</f>
        <v>Bajo</v>
      </c>
      <c r="AG2159" t="str">
        <f>LEFT(AE2159,1)</f>
        <v>C</v>
      </c>
      <c r="AH2159" t="str">
        <f>K2159</f>
        <v>M</v>
      </c>
      <c r="AI2159" t="str">
        <f>LEFT(AF2159,1)</f>
        <v>B</v>
      </c>
      <c r="AJ2159" t="str">
        <f>LEFT(M2159,1)</f>
        <v>M</v>
      </c>
      <c r="AK2159" t="str">
        <f>_xlfn.CONCAT(AG2159,AH2159,AI2159,AJ2159)</f>
        <v>CMBM</v>
      </c>
    </row>
    <row r="2160" spans="1:37" ht="15.75" hidden="1" customHeight="1" x14ac:dyDescent="0.2">
      <c r="A2160" s="1">
        <v>2810001</v>
      </c>
      <c r="B2160" s="1" t="s">
        <v>1775</v>
      </c>
      <c r="C2160" s="1" t="s">
        <v>561</v>
      </c>
      <c r="D2160" s="1" t="s">
        <v>3775</v>
      </c>
      <c r="E2160" s="1" t="s">
        <v>70</v>
      </c>
      <c r="F2160" s="1" t="s">
        <v>32</v>
      </c>
      <c r="G2160" s="1" t="s">
        <v>3776</v>
      </c>
      <c r="H2160" s="1">
        <v>256</v>
      </c>
      <c r="I2160" s="1" t="s">
        <v>34</v>
      </c>
      <c r="J2160" s="1">
        <v>10</v>
      </c>
      <c r="K2160" s="1" t="s">
        <v>35</v>
      </c>
      <c r="L2160" s="1">
        <v>62</v>
      </c>
      <c r="M2160" s="1" t="str">
        <f>IF(L2160&lt;=45,"Joven","Mayor")</f>
        <v>Mayor</v>
      </c>
      <c r="N2160" s="1">
        <v>64</v>
      </c>
      <c r="O2160" s="1" t="s">
        <v>36</v>
      </c>
      <c r="P2160" s="1">
        <v>0.39900000000000002</v>
      </c>
      <c r="Q2160" s="1">
        <v>91.950999999999993</v>
      </c>
      <c r="R2160" s="1">
        <v>2.0925273999999998</v>
      </c>
      <c r="S2160" s="1">
        <v>7.2304919999999999</v>
      </c>
      <c r="T2160" s="1">
        <v>-4.723115</v>
      </c>
      <c r="U2160" s="1">
        <v>26.225999999999999</v>
      </c>
      <c r="V2160" s="1">
        <v>73</v>
      </c>
      <c r="W2160" s="1">
        <v>125</v>
      </c>
      <c r="X2160" s="1">
        <v>1.7123287671232876</v>
      </c>
      <c r="Y2160" s="1">
        <v>76</v>
      </c>
      <c r="Z2160" s="1">
        <v>125</v>
      </c>
      <c r="AA2160" s="1">
        <v>1.6447368421052631</v>
      </c>
      <c r="AB2160" s="1">
        <v>78.129799694399026</v>
      </c>
      <c r="AC2160" s="1">
        <v>124.4931905501489</v>
      </c>
      <c r="AD2160" s="1">
        <v>1.5934149458605815</v>
      </c>
      <c r="AE2160" t="s">
        <v>4815</v>
      </c>
      <c r="AF2160" t="str">
        <f>IF(X2160&lt;$AF$1,"Bajo","Alto")</f>
        <v>Bajo</v>
      </c>
      <c r="AG2160" t="str">
        <f>LEFT(AE2160,1)</f>
        <v>I</v>
      </c>
      <c r="AH2160" t="str">
        <f>K2160</f>
        <v>M</v>
      </c>
      <c r="AI2160" t="str">
        <f>LEFT(AF2160,1)</f>
        <v>B</v>
      </c>
      <c r="AJ2160" t="str">
        <f>LEFT(M2160,1)</f>
        <v>M</v>
      </c>
      <c r="AK2160" t="str">
        <f>_xlfn.CONCAT(AG2160,AH2160,AI2160,AJ2160)</f>
        <v>IMBM</v>
      </c>
    </row>
    <row r="2161" spans="1:37" ht="15.75" hidden="1" customHeight="1" x14ac:dyDescent="0.2">
      <c r="A2161" s="1">
        <v>1010401</v>
      </c>
      <c r="B2161" s="1" t="s">
        <v>29</v>
      </c>
      <c r="C2161" s="1" t="s">
        <v>30</v>
      </c>
      <c r="D2161" s="1" t="s">
        <v>60</v>
      </c>
      <c r="E2161" s="1" t="s">
        <v>61</v>
      </c>
      <c r="F2161" s="1" t="s">
        <v>32</v>
      </c>
      <c r="G2161" s="1" t="s">
        <v>62</v>
      </c>
      <c r="H2161" s="1">
        <v>2908</v>
      </c>
      <c r="I2161" s="1" t="s">
        <v>39</v>
      </c>
      <c r="J2161" s="1">
        <v>11</v>
      </c>
      <c r="K2161" s="1" t="s">
        <v>35</v>
      </c>
      <c r="L2161" s="1">
        <v>33</v>
      </c>
      <c r="M2161" s="1" t="str">
        <f>IF(L2161&lt;=45,"Joven","Mayor")</f>
        <v>Joven</v>
      </c>
      <c r="N2161" s="1">
        <v>46</v>
      </c>
      <c r="O2161" s="1" t="s">
        <v>36</v>
      </c>
      <c r="P2161" s="1">
        <v>0.33400000000000002</v>
      </c>
      <c r="Q2161" s="1">
        <v>91.268000000000001</v>
      </c>
      <c r="R2161" s="1">
        <v>1.4632031999999999</v>
      </c>
      <c r="S2161" s="1">
        <v>9.6706409999999998</v>
      </c>
      <c r="T2161" s="1">
        <v>-3.4865879999999998</v>
      </c>
      <c r="U2161" s="1">
        <v>6.7759999999999998</v>
      </c>
      <c r="V2161" s="1">
        <v>88</v>
      </c>
      <c r="W2161" s="1">
        <v>159</v>
      </c>
      <c r="X2161" s="1">
        <v>1.8068181818181819</v>
      </c>
      <c r="Y2161" s="1">
        <v>91</v>
      </c>
      <c r="Z2161" s="1">
        <v>159</v>
      </c>
      <c r="AA2161" s="1">
        <v>1.7472527472527473</v>
      </c>
      <c r="AB2161" s="1">
        <v>90.6346023972892</v>
      </c>
      <c r="AC2161" s="1">
        <v>159.00977523860871</v>
      </c>
      <c r="AD2161" s="1">
        <v>1.7544047310055233</v>
      </c>
      <c r="AE2161" t="s">
        <v>4816</v>
      </c>
      <c r="AF2161" t="str">
        <f>IF(X2161&lt;$AF$1,"Bajo","Alto")</f>
        <v>Alto</v>
      </c>
      <c r="AG2161" t="str">
        <f>LEFT(AE2161,1)</f>
        <v>D</v>
      </c>
      <c r="AH2161" t="str">
        <f>K2161</f>
        <v>M</v>
      </c>
      <c r="AI2161" t="str">
        <f>LEFT(AF2161,1)</f>
        <v>A</v>
      </c>
      <c r="AJ2161" t="str">
        <f>LEFT(M2161,1)</f>
        <v>J</v>
      </c>
      <c r="AK2161" t="str">
        <f>_xlfn.CONCAT(AG2161,AH2161,AI2161,AJ2161)</f>
        <v>DMAJ</v>
      </c>
    </row>
    <row r="2162" spans="1:37" ht="15.75" hidden="1" customHeight="1" x14ac:dyDescent="0.2">
      <c r="A2162" s="1">
        <v>3110305</v>
      </c>
      <c r="B2162" s="1" t="s">
        <v>4122</v>
      </c>
      <c r="C2162" s="1" t="s">
        <v>628</v>
      </c>
      <c r="D2162" s="1" t="s">
        <v>4140</v>
      </c>
      <c r="E2162" s="1" t="s">
        <v>81</v>
      </c>
      <c r="F2162" s="1" t="s">
        <v>40</v>
      </c>
      <c r="G2162" s="1" t="s">
        <v>4146</v>
      </c>
      <c r="H2162" s="1">
        <v>2149</v>
      </c>
      <c r="I2162" s="1" t="s">
        <v>4147</v>
      </c>
      <c r="J2162" s="1">
        <v>3994</v>
      </c>
      <c r="K2162" s="1" t="s">
        <v>35</v>
      </c>
      <c r="L2162" s="1">
        <v>57</v>
      </c>
      <c r="M2162" s="1" t="str">
        <f>IF(L2162&lt;=45,"Joven","Mayor")</f>
        <v>Mayor</v>
      </c>
      <c r="N2162" s="1">
        <v>66</v>
      </c>
      <c r="O2162" s="1" t="s">
        <v>36</v>
      </c>
      <c r="P2162" s="1">
        <v>0.35299999999999998</v>
      </c>
      <c r="Q2162" s="1">
        <v>91.108000000000004</v>
      </c>
      <c r="R2162" s="1">
        <v>4.8707500000000001</v>
      </c>
      <c r="S2162" s="1">
        <v>-2.4174419999999999</v>
      </c>
      <c r="T2162" s="1">
        <v>-3.8465113999999998</v>
      </c>
      <c r="U2162" s="1">
        <v>46.186</v>
      </c>
      <c r="V2162" s="1">
        <v>107</v>
      </c>
      <c r="W2162" s="1">
        <v>185</v>
      </c>
      <c r="X2162" s="1">
        <v>1.7289719626168225</v>
      </c>
      <c r="Y2162" s="1">
        <v>109</v>
      </c>
      <c r="Z2162" s="1">
        <v>185</v>
      </c>
      <c r="AA2162" s="1">
        <v>1.6972477064220184</v>
      </c>
      <c r="AB2162" s="1">
        <v>109.9789911688317</v>
      </c>
      <c r="AC2162" s="1">
        <v>184.51617401043359</v>
      </c>
      <c r="AD2162" s="1">
        <v>1.6777401942810866</v>
      </c>
      <c r="AE2162" t="s">
        <v>4817</v>
      </c>
      <c r="AF2162" t="str">
        <f>IF(X2162&lt;$AF$1,"Bajo","Alto")</f>
        <v>Bajo</v>
      </c>
      <c r="AG2162" t="str">
        <f>LEFT(AE2162,1)</f>
        <v>C</v>
      </c>
      <c r="AH2162" t="str">
        <f>K2162</f>
        <v>M</v>
      </c>
      <c r="AI2162" t="str">
        <f>LEFT(AF2162,1)</f>
        <v>B</v>
      </c>
      <c r="AJ2162" t="str">
        <f>LEFT(M2162,1)</f>
        <v>M</v>
      </c>
      <c r="AK2162" t="str">
        <f>_xlfn.CONCAT(AG2162,AH2162,AI2162,AJ2162)</f>
        <v>CMBM</v>
      </c>
    </row>
    <row r="2163" spans="1:37" ht="15.75" hidden="1" customHeight="1" x14ac:dyDescent="0.2">
      <c r="A2163" s="1">
        <v>151303</v>
      </c>
      <c r="B2163" s="1" t="s">
        <v>2077</v>
      </c>
      <c r="C2163" s="1" t="s">
        <v>57</v>
      </c>
      <c r="D2163" s="1" t="s">
        <v>2141</v>
      </c>
      <c r="E2163" s="1" t="s">
        <v>163</v>
      </c>
      <c r="F2163" s="1" t="s">
        <v>63</v>
      </c>
      <c r="G2163" s="1" t="s">
        <v>2143</v>
      </c>
      <c r="H2163" s="1">
        <v>500</v>
      </c>
      <c r="I2163" s="1" t="s">
        <v>134</v>
      </c>
      <c r="J2163" s="1">
        <v>8</v>
      </c>
      <c r="K2163" s="1" t="s">
        <v>35</v>
      </c>
      <c r="L2163" s="1">
        <v>53</v>
      </c>
      <c r="M2163" s="1" t="str">
        <f>IF(L2163&lt;=45,"Joven","Mayor")</f>
        <v>Mayor</v>
      </c>
      <c r="N2163" s="1">
        <v>58</v>
      </c>
      <c r="O2163" s="1" t="s">
        <v>36</v>
      </c>
      <c r="P2163" s="1">
        <v>0.35399999999999998</v>
      </c>
      <c r="Q2163" s="1">
        <v>92.028000000000006</v>
      </c>
      <c r="R2163" s="1">
        <v>-2.9257680000000001</v>
      </c>
      <c r="S2163" s="1">
        <v>5.3414140000000003</v>
      </c>
      <c r="T2163" s="1">
        <v>5.1593236999999998</v>
      </c>
      <c r="U2163" s="1">
        <v>16.872</v>
      </c>
      <c r="V2163" s="1">
        <v>96</v>
      </c>
      <c r="W2163" s="1">
        <v>166</v>
      </c>
      <c r="X2163" s="1">
        <v>1.7291666666666667</v>
      </c>
      <c r="Y2163" s="1">
        <v>104</v>
      </c>
      <c r="Z2163" s="1">
        <v>166</v>
      </c>
      <c r="AA2163" s="1">
        <v>1.5961538461538463</v>
      </c>
      <c r="AB2163" s="1">
        <v>100.6111001078266</v>
      </c>
      <c r="AC2163" s="1">
        <v>166.85618373799019</v>
      </c>
      <c r="AD2163" s="1">
        <v>1.6584271870516039</v>
      </c>
      <c r="AE2163" t="s">
        <v>4817</v>
      </c>
      <c r="AF2163" t="str">
        <f>IF(X2163&lt;$AF$1,"Bajo","Alto")</f>
        <v>Bajo</v>
      </c>
      <c r="AG2163" t="str">
        <f>LEFT(AE2163,1)</f>
        <v>C</v>
      </c>
      <c r="AH2163" t="str">
        <f>K2163</f>
        <v>M</v>
      </c>
      <c r="AI2163" t="str">
        <f>LEFT(AF2163,1)</f>
        <v>B</v>
      </c>
      <c r="AJ2163" t="str">
        <f>LEFT(M2163,1)</f>
        <v>M</v>
      </c>
      <c r="AK2163" t="str">
        <f>_xlfn.CONCAT(AG2163,AH2163,AI2163,AJ2163)</f>
        <v>CMBM</v>
      </c>
    </row>
    <row r="2164" spans="1:37" ht="15.75" hidden="1" customHeight="1" x14ac:dyDescent="0.2">
      <c r="A2164" s="1">
        <v>10728602</v>
      </c>
      <c r="B2164" s="1" t="s">
        <v>1067</v>
      </c>
      <c r="C2164" s="1" t="s">
        <v>1068</v>
      </c>
      <c r="D2164" s="1" t="s">
        <v>1351</v>
      </c>
      <c r="E2164" s="1" t="s">
        <v>576</v>
      </c>
      <c r="F2164" s="1" t="s">
        <v>37</v>
      </c>
      <c r="G2164" s="1" t="s">
        <v>1352</v>
      </c>
      <c r="H2164" s="1">
        <v>1129</v>
      </c>
      <c r="I2164" s="1" t="s">
        <v>65</v>
      </c>
      <c r="J2164" s="1">
        <v>2</v>
      </c>
      <c r="K2164" s="1" t="s">
        <v>35</v>
      </c>
      <c r="L2164" s="1">
        <v>35</v>
      </c>
      <c r="M2164" s="1" t="str">
        <f>IF(L2164&lt;=45,"Joven","Mayor")</f>
        <v>Joven</v>
      </c>
      <c r="N2164" s="1">
        <v>30</v>
      </c>
      <c r="O2164" s="1" t="s">
        <v>36</v>
      </c>
      <c r="P2164" s="1">
        <v>0.31</v>
      </c>
      <c r="Q2164" s="1">
        <v>91.947000000000003</v>
      </c>
      <c r="R2164" s="1">
        <v>-2.9285611999999999</v>
      </c>
      <c r="S2164" s="1">
        <v>5.6030800000000003</v>
      </c>
      <c r="T2164" s="1">
        <v>1.3887444</v>
      </c>
      <c r="U2164" s="1">
        <v>0.93799999999999994</v>
      </c>
      <c r="V2164" s="1">
        <v>84</v>
      </c>
      <c r="W2164" s="1">
        <v>152</v>
      </c>
      <c r="X2164" s="1">
        <v>1.8095238095238095</v>
      </c>
      <c r="Y2164" s="1">
        <v>92</v>
      </c>
      <c r="Z2164" s="1">
        <v>152</v>
      </c>
      <c r="AA2164" s="1">
        <v>1.6521739130434783</v>
      </c>
      <c r="AB2164" s="1">
        <v>91.173195813123129</v>
      </c>
      <c r="AC2164" s="1">
        <v>152.19771094961021</v>
      </c>
      <c r="AD2164" s="1">
        <v>1.6693251738325425</v>
      </c>
      <c r="AE2164" t="s">
        <v>4817</v>
      </c>
      <c r="AF2164" t="str">
        <f>IF(X2164&lt;$AF$1,"Bajo","Alto")</f>
        <v>Alto</v>
      </c>
      <c r="AG2164" t="str">
        <f>LEFT(AE2164,1)</f>
        <v>C</v>
      </c>
      <c r="AH2164" t="str">
        <f>K2164</f>
        <v>M</v>
      </c>
      <c r="AI2164" t="str">
        <f>LEFT(AF2164,1)</f>
        <v>A</v>
      </c>
      <c r="AJ2164" t="str">
        <f>LEFT(M2164,1)</f>
        <v>J</v>
      </c>
      <c r="AK2164" t="str">
        <f>_xlfn.CONCAT(AG2164,AH2164,AI2164,AJ2164)</f>
        <v>CMAJ</v>
      </c>
    </row>
    <row r="2165" spans="1:37" ht="15.75" hidden="1" customHeight="1" x14ac:dyDescent="0.2">
      <c r="A2165" s="1">
        <v>10112403</v>
      </c>
      <c r="B2165" s="1" t="s">
        <v>29</v>
      </c>
      <c r="C2165" s="1" t="s">
        <v>30</v>
      </c>
      <c r="D2165" s="1" t="s">
        <v>144</v>
      </c>
      <c r="E2165" s="1" t="s">
        <v>145</v>
      </c>
      <c r="F2165" s="1" t="s">
        <v>63</v>
      </c>
      <c r="G2165" s="1" t="s">
        <v>148</v>
      </c>
      <c r="H2165" s="1">
        <v>171</v>
      </c>
      <c r="I2165" s="1" t="s">
        <v>65</v>
      </c>
      <c r="J2165" s="1">
        <v>2</v>
      </c>
      <c r="K2165" s="1" t="s">
        <v>35</v>
      </c>
      <c r="L2165" s="1">
        <v>37</v>
      </c>
      <c r="M2165" s="1" t="str">
        <f>IF(L2165&lt;=45,"Joven","Mayor")</f>
        <v>Joven</v>
      </c>
      <c r="N2165" s="1">
        <v>22</v>
      </c>
      <c r="O2165" s="1" t="s">
        <v>36</v>
      </c>
      <c r="P2165" s="1">
        <v>0.40699999999999997</v>
      </c>
      <c r="Q2165" s="1">
        <v>93.457999999999998</v>
      </c>
      <c r="R2165" s="1">
        <v>-1.6582801</v>
      </c>
      <c r="S2165" s="1">
        <v>3.4712260000000001</v>
      </c>
      <c r="T2165" s="1">
        <v>-0.27449849999999998</v>
      </c>
      <c r="U2165" s="1">
        <v>45.052</v>
      </c>
      <c r="V2165" s="1">
        <v>107</v>
      </c>
      <c r="W2165" s="1">
        <v>186</v>
      </c>
      <c r="X2165" s="1">
        <v>1.7383177570093458</v>
      </c>
      <c r="Y2165" s="1">
        <v>108</v>
      </c>
      <c r="Z2165" s="1">
        <v>186</v>
      </c>
      <c r="AA2165" s="1">
        <v>1.7222222222222223</v>
      </c>
      <c r="AB2165" s="1">
        <v>107.76879810809331</v>
      </c>
      <c r="AC2165" s="1">
        <v>186.00744716710821</v>
      </c>
      <c r="AD2165" s="1">
        <v>1.7259860964631031</v>
      </c>
      <c r="AE2165" t="s">
        <v>4817</v>
      </c>
      <c r="AF2165" t="str">
        <f>IF(X2165&lt;$AF$1,"Bajo","Alto")</f>
        <v>Bajo</v>
      </c>
      <c r="AG2165" t="str">
        <f>LEFT(AE2165,1)</f>
        <v>C</v>
      </c>
      <c r="AH2165" t="str">
        <f>K2165</f>
        <v>M</v>
      </c>
      <c r="AI2165" t="str">
        <f>LEFT(AF2165,1)</f>
        <v>B</v>
      </c>
      <c r="AJ2165" t="str">
        <f>LEFT(M2165,1)</f>
        <v>J</v>
      </c>
      <c r="AK2165" t="str">
        <f>_xlfn.CONCAT(AG2165,AH2165,AI2165,AJ2165)</f>
        <v>CMBJ</v>
      </c>
    </row>
    <row r="2166" spans="1:37" ht="15.75" hidden="1" customHeight="1" x14ac:dyDescent="0.2">
      <c r="A2166" s="1">
        <v>230101</v>
      </c>
      <c r="B2166" s="1" t="s">
        <v>319</v>
      </c>
      <c r="C2166" s="1" t="s">
        <v>1989</v>
      </c>
      <c r="D2166" s="1" t="s">
        <v>2916</v>
      </c>
      <c r="E2166" s="1" t="s">
        <v>32</v>
      </c>
      <c r="F2166" s="1" t="s">
        <v>32</v>
      </c>
      <c r="G2166" s="1" t="s">
        <v>2917</v>
      </c>
      <c r="H2166" s="1">
        <v>5282</v>
      </c>
      <c r="I2166" s="1" t="s">
        <v>100</v>
      </c>
      <c r="J2166" s="1">
        <v>1</v>
      </c>
      <c r="K2166" s="1" t="s">
        <v>35</v>
      </c>
      <c r="L2166" s="1">
        <v>66</v>
      </c>
      <c r="M2166" s="1" t="str">
        <f>IF(L2166&lt;=45,"Joven","Mayor")</f>
        <v>Mayor</v>
      </c>
      <c r="N2166" s="1">
        <v>62</v>
      </c>
      <c r="O2166" s="1" t="s">
        <v>36</v>
      </c>
      <c r="P2166" s="1">
        <v>0.36499999999999999</v>
      </c>
      <c r="Q2166" s="1">
        <v>93.653000000000006</v>
      </c>
      <c r="R2166" s="1">
        <v>-2.3813846000000001</v>
      </c>
      <c r="S2166" s="1">
        <v>0.39049129999999999</v>
      </c>
      <c r="T2166" s="1">
        <v>3.0884866999999998</v>
      </c>
      <c r="U2166" s="1">
        <v>0.72699999999999998</v>
      </c>
      <c r="V2166" s="1">
        <v>94</v>
      </c>
      <c r="W2166" s="1">
        <v>170</v>
      </c>
      <c r="X2166" s="1">
        <v>1.8085106382978724</v>
      </c>
      <c r="Y2166" s="1">
        <v>106</v>
      </c>
      <c r="Z2166" s="1">
        <v>170</v>
      </c>
      <c r="AA2166" s="1">
        <v>1.6037735849056605</v>
      </c>
      <c r="AB2166" s="1">
        <v>103.63703220652719</v>
      </c>
      <c r="AC2166" s="1">
        <v>170.07634686129859</v>
      </c>
      <c r="AD2166" s="1">
        <v>1.6410769706563149</v>
      </c>
      <c r="AE2166" t="s">
        <v>4817</v>
      </c>
      <c r="AF2166" t="str">
        <f>IF(X2166&lt;$AF$1,"Bajo","Alto")</f>
        <v>Alto</v>
      </c>
      <c r="AG2166" t="str">
        <f>LEFT(AE2166,1)</f>
        <v>C</v>
      </c>
      <c r="AH2166" t="str">
        <f>K2166</f>
        <v>M</v>
      </c>
      <c r="AI2166" t="str">
        <f>LEFT(AF2166,1)</f>
        <v>A</v>
      </c>
      <c r="AJ2166" t="str">
        <f>LEFT(M2166,1)</f>
        <v>M</v>
      </c>
      <c r="AK2166" t="str">
        <f>_xlfn.CONCAT(AG2166,AH2166,AI2166,AJ2166)</f>
        <v>CMAM</v>
      </c>
    </row>
    <row r="2167" spans="1:37" ht="15.75" hidden="1" customHeight="1" x14ac:dyDescent="0.2">
      <c r="A2167" s="1">
        <v>250111</v>
      </c>
      <c r="B2167" s="1" t="s">
        <v>3169</v>
      </c>
      <c r="C2167" s="1" t="s">
        <v>821</v>
      </c>
      <c r="D2167" s="1" t="s">
        <v>3170</v>
      </c>
      <c r="E2167" s="1" t="s">
        <v>32</v>
      </c>
      <c r="F2167" s="1" t="s">
        <v>51</v>
      </c>
      <c r="G2167" s="1" t="s">
        <v>3181</v>
      </c>
      <c r="H2167" s="1">
        <v>90616</v>
      </c>
      <c r="I2167" s="1" t="s">
        <v>3182</v>
      </c>
      <c r="J2167" s="1">
        <v>2759</v>
      </c>
      <c r="K2167" s="1" t="s">
        <v>35</v>
      </c>
      <c r="L2167" s="1">
        <v>43</v>
      </c>
      <c r="M2167" s="1" t="str">
        <f>IF(L2167&lt;=45,"Joven","Mayor")</f>
        <v>Joven</v>
      </c>
      <c r="N2167" s="1">
        <v>47</v>
      </c>
      <c r="O2167" s="1" t="s">
        <v>36</v>
      </c>
      <c r="P2167" s="1">
        <v>0.33500000000000002</v>
      </c>
      <c r="Q2167" s="1">
        <v>92.305999999999997</v>
      </c>
      <c r="R2167" s="1">
        <v>2.0628536</v>
      </c>
      <c r="S2167" s="1">
        <v>6.4328504000000004</v>
      </c>
      <c r="T2167" s="1">
        <v>-4.3516130000000004</v>
      </c>
      <c r="U2167" s="1">
        <v>14.055999999999999</v>
      </c>
      <c r="V2167" s="1">
        <v>84</v>
      </c>
      <c r="W2167" s="1">
        <v>152</v>
      </c>
      <c r="X2167" s="1">
        <v>1.8095238095238095</v>
      </c>
      <c r="Y2167" s="1">
        <v>86</v>
      </c>
      <c r="Z2167" s="1">
        <v>152</v>
      </c>
      <c r="AA2167" s="1">
        <v>1.7674418604651163</v>
      </c>
      <c r="AB2167" s="1">
        <v>87.096430700203882</v>
      </c>
      <c r="AC2167" s="1">
        <v>152.01707426480971</v>
      </c>
      <c r="AD2167" s="1">
        <v>1.7453881065237942</v>
      </c>
      <c r="AE2167" t="s">
        <v>4817</v>
      </c>
      <c r="AF2167" t="str">
        <f>IF(X2167&lt;$AF$1,"Bajo","Alto")</f>
        <v>Alto</v>
      </c>
      <c r="AG2167" t="str">
        <f>LEFT(AE2167,1)</f>
        <v>C</v>
      </c>
      <c r="AH2167" t="str">
        <f>K2167</f>
        <v>M</v>
      </c>
      <c r="AI2167" t="str">
        <f>LEFT(AF2167,1)</f>
        <v>A</v>
      </c>
      <c r="AJ2167" t="str">
        <f>LEFT(M2167,1)</f>
        <v>J</v>
      </c>
      <c r="AK2167" t="str">
        <f>_xlfn.CONCAT(AG2167,AH2167,AI2167,AJ2167)</f>
        <v>CMAJ</v>
      </c>
    </row>
    <row r="2168" spans="1:37" ht="15.75" hidden="1" customHeight="1" x14ac:dyDescent="0.2">
      <c r="A2168" s="1">
        <v>2313901</v>
      </c>
      <c r="B2168" s="1" t="s">
        <v>319</v>
      </c>
      <c r="C2168" s="1" t="s">
        <v>1989</v>
      </c>
      <c r="D2168" s="1" t="s">
        <v>2987</v>
      </c>
      <c r="E2168" s="1" t="s">
        <v>176</v>
      </c>
      <c r="F2168" s="1" t="s">
        <v>32</v>
      </c>
      <c r="G2168" s="1" t="s">
        <v>2988</v>
      </c>
      <c r="H2168" s="1">
        <v>2085</v>
      </c>
      <c r="I2168" s="1" t="s">
        <v>100</v>
      </c>
      <c r="J2168" s="1">
        <v>1</v>
      </c>
      <c r="K2168" s="1" t="s">
        <v>35</v>
      </c>
      <c r="L2168" s="1">
        <v>51</v>
      </c>
      <c r="M2168" s="1" t="str">
        <f>IF(L2168&lt;=45,"Joven","Mayor")</f>
        <v>Mayor</v>
      </c>
      <c r="N2168" s="1">
        <v>49</v>
      </c>
      <c r="O2168" s="1" t="s">
        <v>36</v>
      </c>
      <c r="P2168" s="1">
        <v>0.53400000000000003</v>
      </c>
      <c r="Q2168" s="1">
        <v>92.915000000000006</v>
      </c>
      <c r="R2168" s="1">
        <v>-1.9620222</v>
      </c>
      <c r="S2168" s="1">
        <v>4.6473050000000002</v>
      </c>
      <c r="T2168" s="1">
        <v>-4.0709175999999996</v>
      </c>
      <c r="U2168" s="1">
        <v>73.206000000000003</v>
      </c>
      <c r="V2168" s="1">
        <v>94</v>
      </c>
      <c r="W2168" s="1">
        <v>170</v>
      </c>
      <c r="X2168" s="1">
        <v>1.8085106382978724</v>
      </c>
      <c r="Y2168" s="1">
        <v>98</v>
      </c>
      <c r="Z2168" s="1">
        <v>170</v>
      </c>
      <c r="AA2168" s="1">
        <v>1.7346938775510203</v>
      </c>
      <c r="AB2168" s="1">
        <v>96.957434638575251</v>
      </c>
      <c r="AC2168" s="1">
        <v>169.64207186362</v>
      </c>
      <c r="AD2168" s="1">
        <v>1.749655119238547</v>
      </c>
      <c r="AE2168" t="s">
        <v>4817</v>
      </c>
      <c r="AF2168" t="str">
        <f>IF(X2168&lt;$AF$1,"Bajo","Alto")</f>
        <v>Alto</v>
      </c>
      <c r="AG2168" t="str">
        <f>LEFT(AE2168,1)</f>
        <v>C</v>
      </c>
      <c r="AH2168" t="str">
        <f>K2168</f>
        <v>M</v>
      </c>
      <c r="AI2168" t="str">
        <f>LEFT(AF2168,1)</f>
        <v>A</v>
      </c>
      <c r="AJ2168" t="str">
        <f>LEFT(M2168,1)</f>
        <v>M</v>
      </c>
      <c r="AK2168" t="str">
        <f>_xlfn.CONCAT(AG2168,AH2168,AI2168,AJ2168)</f>
        <v>CMAM</v>
      </c>
    </row>
    <row r="2169" spans="1:37" ht="15.75" hidden="1" customHeight="1" x14ac:dyDescent="0.2">
      <c r="A2169" s="1">
        <v>310704</v>
      </c>
      <c r="B2169" s="1" t="s">
        <v>4122</v>
      </c>
      <c r="C2169" s="1" t="s">
        <v>628</v>
      </c>
      <c r="D2169" s="1" t="s">
        <v>4130</v>
      </c>
      <c r="E2169" s="1" t="s">
        <v>43</v>
      </c>
      <c r="F2169" s="1" t="s">
        <v>61</v>
      </c>
      <c r="G2169" s="1" t="s">
        <v>4133</v>
      </c>
      <c r="H2169" s="1">
        <v>5861</v>
      </c>
      <c r="I2169" s="1" t="s">
        <v>48</v>
      </c>
      <c r="J2169" s="1">
        <v>4</v>
      </c>
      <c r="K2169" s="1" t="s">
        <v>49</v>
      </c>
      <c r="L2169" s="1">
        <v>49</v>
      </c>
      <c r="M2169" s="1" t="str">
        <f>IF(L2169&lt;=45,"Joven","Mayor")</f>
        <v>Mayor</v>
      </c>
      <c r="N2169" s="1">
        <v>46</v>
      </c>
      <c r="O2169" s="1" t="s">
        <v>50</v>
      </c>
      <c r="P2169" s="1">
        <v>3.4000000000000002E-2</v>
      </c>
      <c r="Q2169" s="1">
        <v>42.915999999999997</v>
      </c>
      <c r="R2169" s="1">
        <v>16.376528</v>
      </c>
      <c r="S2169" s="1">
        <v>-7.1152477000000003</v>
      </c>
      <c r="T2169" s="1">
        <v>-14.702316</v>
      </c>
      <c r="U2169" s="1">
        <v>55.905999999999999</v>
      </c>
      <c r="V2169" s="1">
        <v>91</v>
      </c>
      <c r="W2169" s="1">
        <v>164</v>
      </c>
      <c r="X2169" s="1">
        <v>1.8021978021978022</v>
      </c>
      <c r="Y2169" s="1">
        <v>117</v>
      </c>
      <c r="Z2169" s="1">
        <v>164</v>
      </c>
      <c r="AA2169" s="1">
        <v>1.4017094017094016</v>
      </c>
      <c r="AB2169" s="1">
        <v>106.0628096643165</v>
      </c>
      <c r="AC2169" s="1">
        <v>168.2745167567341</v>
      </c>
      <c r="AD2169" s="1">
        <v>1.5865553372507719</v>
      </c>
      <c r="AE2169" t="s">
        <v>4817</v>
      </c>
      <c r="AF2169" t="str">
        <f>IF(X2169&lt;$AF$1,"Bajo","Alto")</f>
        <v>Alto</v>
      </c>
      <c r="AG2169" t="str">
        <f>LEFT(AE2169,1)</f>
        <v>C</v>
      </c>
      <c r="AH2169" t="str">
        <f>K2169</f>
        <v>F</v>
      </c>
      <c r="AI2169" t="str">
        <f>LEFT(AF2169,1)</f>
        <v>A</v>
      </c>
      <c r="AJ2169" t="str">
        <f>LEFT(M2169,1)</f>
        <v>M</v>
      </c>
      <c r="AK2169" t="str">
        <f>_xlfn.CONCAT(AG2169,AH2169,AI2169,AJ2169)</f>
        <v>CFAM</v>
      </c>
    </row>
    <row r="2170" spans="1:37" ht="15.75" hidden="1" customHeight="1" x14ac:dyDescent="0.2">
      <c r="A2170" s="1">
        <v>402506</v>
      </c>
      <c r="B2170" s="1" t="s">
        <v>4287</v>
      </c>
      <c r="C2170" s="1" t="s">
        <v>657</v>
      </c>
      <c r="D2170" s="1" t="s">
        <v>4307</v>
      </c>
      <c r="E2170" s="1" t="s">
        <v>821</v>
      </c>
      <c r="F2170" s="1" t="s">
        <v>88</v>
      </c>
      <c r="G2170" s="1" t="s">
        <v>4311</v>
      </c>
      <c r="H2170" s="1">
        <v>726</v>
      </c>
      <c r="I2170" s="1" t="s">
        <v>108</v>
      </c>
      <c r="J2170" s="1">
        <v>3</v>
      </c>
      <c r="K2170" s="1" t="s">
        <v>35</v>
      </c>
      <c r="L2170" s="1">
        <v>39</v>
      </c>
      <c r="M2170" s="1" t="str">
        <f>IF(L2170&lt;=45,"Joven","Mayor")</f>
        <v>Joven</v>
      </c>
      <c r="N2170" s="1">
        <v>44</v>
      </c>
      <c r="O2170" s="1" t="s">
        <v>36</v>
      </c>
      <c r="P2170" s="1">
        <v>0.34699999999999998</v>
      </c>
      <c r="Q2170" s="1">
        <v>92.677000000000007</v>
      </c>
      <c r="R2170" s="1">
        <v>-1.4316085999999999</v>
      </c>
      <c r="S2170" s="1">
        <v>6.5932927000000001</v>
      </c>
      <c r="T2170" s="1">
        <v>0.22534522000000001</v>
      </c>
      <c r="U2170" s="1">
        <v>57.164000000000001</v>
      </c>
      <c r="V2170" s="1">
        <v>84</v>
      </c>
      <c r="W2170" s="1">
        <v>152</v>
      </c>
      <c r="X2170" s="1">
        <v>1.8095238095238095</v>
      </c>
      <c r="Y2170" s="1">
        <v>84</v>
      </c>
      <c r="Z2170" s="1">
        <v>152</v>
      </c>
      <c r="AA2170" s="1">
        <v>1.8095238095238095</v>
      </c>
      <c r="AB2170" s="1">
        <v>84.164536566922152</v>
      </c>
      <c r="AC2170" s="1">
        <v>151.99882438676099</v>
      </c>
      <c r="AD2170" s="1">
        <v>1.8059723321342289</v>
      </c>
      <c r="AE2170" t="s">
        <v>4817</v>
      </c>
      <c r="AF2170" t="str">
        <f>IF(X2170&lt;$AF$1,"Bajo","Alto")</f>
        <v>Alto</v>
      </c>
      <c r="AG2170" t="str">
        <f>LEFT(AE2170,1)</f>
        <v>C</v>
      </c>
      <c r="AH2170" t="str">
        <f>K2170</f>
        <v>M</v>
      </c>
      <c r="AI2170" t="str">
        <f>LEFT(AF2170,1)</f>
        <v>A</v>
      </c>
      <c r="AJ2170" t="str">
        <f>LEFT(M2170,1)</f>
        <v>J</v>
      </c>
      <c r="AK2170" t="str">
        <f>_xlfn.CONCAT(AG2170,AH2170,AI2170,AJ2170)</f>
        <v>CMAJ</v>
      </c>
    </row>
    <row r="2171" spans="1:37" ht="15.75" hidden="1" customHeight="1" x14ac:dyDescent="0.2">
      <c r="A2171" s="1">
        <v>522704</v>
      </c>
      <c r="B2171" s="1" t="s">
        <v>4529</v>
      </c>
      <c r="C2171" s="1" t="s">
        <v>685</v>
      </c>
      <c r="D2171" s="1" t="s">
        <v>4570</v>
      </c>
      <c r="E2171" s="1" t="s">
        <v>973</v>
      </c>
      <c r="F2171" s="1" t="s">
        <v>61</v>
      </c>
      <c r="G2171" s="1" t="s">
        <v>4573</v>
      </c>
      <c r="H2171" s="1">
        <v>2</v>
      </c>
      <c r="I2171" s="1" t="s">
        <v>65</v>
      </c>
      <c r="J2171" s="1">
        <v>2</v>
      </c>
      <c r="K2171" s="1" t="s">
        <v>35</v>
      </c>
      <c r="L2171" s="1">
        <v>52</v>
      </c>
      <c r="M2171" s="1" t="str">
        <f>IF(L2171&lt;=45,"Joven","Mayor")</f>
        <v>Mayor</v>
      </c>
      <c r="N2171" s="1">
        <v>61</v>
      </c>
      <c r="O2171" s="1" t="s">
        <v>36</v>
      </c>
      <c r="P2171" s="1">
        <v>4.8000000000000001E-2</v>
      </c>
      <c r="Q2171" s="1">
        <v>90.448999999999998</v>
      </c>
      <c r="R2171" s="1">
        <v>4.3950360000000002</v>
      </c>
      <c r="S2171" s="1">
        <v>-6.0569563000000004</v>
      </c>
      <c r="T2171" s="1">
        <v>-1.4241413999999999</v>
      </c>
      <c r="U2171" s="1">
        <v>1.1970000000000001</v>
      </c>
      <c r="V2171" s="1">
        <v>109</v>
      </c>
      <c r="W2171" s="1">
        <v>197</v>
      </c>
      <c r="X2171" s="1">
        <v>1.8073394495412844</v>
      </c>
      <c r="Y2171" s="1">
        <v>112</v>
      </c>
      <c r="Z2171" s="1">
        <v>197</v>
      </c>
      <c r="AA2171" s="1">
        <v>1.7589285714285714</v>
      </c>
      <c r="AB2171" s="1">
        <v>113.1086602083785</v>
      </c>
      <c r="AC2171" s="1">
        <v>196.8397344153918</v>
      </c>
      <c r="AD2171" s="1">
        <v>1.7402711167540728</v>
      </c>
      <c r="AE2171" t="s">
        <v>4817</v>
      </c>
      <c r="AF2171" t="str">
        <f>IF(X2171&lt;$AF$1,"Bajo","Alto")</f>
        <v>Alto</v>
      </c>
      <c r="AG2171" t="str">
        <f>LEFT(AE2171,1)</f>
        <v>C</v>
      </c>
      <c r="AH2171" t="str">
        <f>K2171</f>
        <v>M</v>
      </c>
      <c r="AI2171" t="str">
        <f>LEFT(AF2171,1)</f>
        <v>A</v>
      </c>
      <c r="AJ2171" t="str">
        <f>LEFT(M2171,1)</f>
        <v>M</v>
      </c>
      <c r="AK2171" t="str">
        <f>_xlfn.CONCAT(AG2171,AH2171,AI2171,AJ2171)</f>
        <v>CMAM</v>
      </c>
    </row>
    <row r="2172" spans="1:37" ht="15.75" hidden="1" customHeight="1" x14ac:dyDescent="0.2">
      <c r="A2172" s="1">
        <v>130702</v>
      </c>
      <c r="B2172" s="1" t="s">
        <v>956</v>
      </c>
      <c r="C2172" s="1" t="s">
        <v>163</v>
      </c>
      <c r="D2172" s="1" t="s">
        <v>1386</v>
      </c>
      <c r="E2172" s="1" t="s">
        <v>43</v>
      </c>
      <c r="F2172" s="1" t="s">
        <v>37</v>
      </c>
      <c r="G2172" s="1" t="s">
        <v>1960</v>
      </c>
      <c r="H2172" s="1">
        <v>225</v>
      </c>
      <c r="I2172" s="1" t="s">
        <v>39</v>
      </c>
      <c r="J2172" s="1">
        <v>11</v>
      </c>
      <c r="K2172" s="1" t="s">
        <v>49</v>
      </c>
      <c r="L2172" s="1">
        <v>45</v>
      </c>
      <c r="M2172" s="1" t="str">
        <f>IF(L2172&lt;=45,"Joven","Mayor")</f>
        <v>Joven</v>
      </c>
      <c r="N2172" s="1">
        <v>44</v>
      </c>
      <c r="O2172" s="1" t="s">
        <v>50</v>
      </c>
      <c r="P2172" s="1">
        <v>0.36799999999999999</v>
      </c>
      <c r="Q2172" s="1">
        <v>82.963999999999999</v>
      </c>
      <c r="R2172" s="1">
        <v>9.410679</v>
      </c>
      <c r="S2172" s="1">
        <v>2.6516272999999999</v>
      </c>
      <c r="T2172" s="1">
        <v>-7.4796304999999998</v>
      </c>
      <c r="U2172" s="1">
        <v>80.307000000000002</v>
      </c>
      <c r="V2172" s="1">
        <v>80</v>
      </c>
      <c r="W2172" s="1">
        <v>146</v>
      </c>
      <c r="X2172" s="1">
        <v>1.825</v>
      </c>
      <c r="Y2172" s="1">
        <v>86</v>
      </c>
      <c r="Z2172" s="1">
        <v>146</v>
      </c>
      <c r="AA2172" s="1">
        <v>1.6976744186046511</v>
      </c>
      <c r="AB2172" s="1">
        <v>84.916765773805082</v>
      </c>
      <c r="AC2172" s="1">
        <v>145.79910528156009</v>
      </c>
      <c r="AD2172" s="1">
        <v>1.7169648885348368</v>
      </c>
      <c r="AE2172" t="s">
        <v>4816</v>
      </c>
      <c r="AF2172" t="str">
        <f>IF(X2172&lt;$AF$1,"Bajo","Alto")</f>
        <v>Alto</v>
      </c>
      <c r="AG2172" t="str">
        <f>LEFT(AE2172,1)</f>
        <v>D</v>
      </c>
      <c r="AH2172" t="str">
        <f>K2172</f>
        <v>F</v>
      </c>
      <c r="AI2172" t="str">
        <f>LEFT(AF2172,1)</f>
        <v>A</v>
      </c>
      <c r="AJ2172" t="str">
        <f>LEFT(M2172,1)</f>
        <v>J</v>
      </c>
      <c r="AK2172" t="str">
        <f>_xlfn.CONCAT(AG2172,AH2172,AI2172,AJ2172)</f>
        <v>DFAJ</v>
      </c>
    </row>
    <row r="2173" spans="1:37" ht="15.75" hidden="1" customHeight="1" x14ac:dyDescent="0.2">
      <c r="A2173" s="1">
        <v>481102</v>
      </c>
      <c r="B2173" s="1" t="s">
        <v>4465</v>
      </c>
      <c r="C2173" s="1" t="s">
        <v>2650</v>
      </c>
      <c r="D2173" s="1" t="s">
        <v>4501</v>
      </c>
      <c r="E2173" s="1" t="s">
        <v>51</v>
      </c>
      <c r="F2173" s="1" t="s">
        <v>37</v>
      </c>
      <c r="G2173" s="1" t="s">
        <v>4502</v>
      </c>
      <c r="H2173" s="1">
        <v>11067</v>
      </c>
      <c r="I2173" s="1" t="s">
        <v>4503</v>
      </c>
      <c r="J2173" s="1">
        <v>3013</v>
      </c>
      <c r="K2173" s="1" t="s">
        <v>35</v>
      </c>
      <c r="L2173" s="1">
        <v>60</v>
      </c>
      <c r="M2173" s="1" t="str">
        <f>IF(L2173&lt;=45,"Joven","Mayor")</f>
        <v>Mayor</v>
      </c>
      <c r="N2173" s="1">
        <v>65</v>
      </c>
      <c r="O2173" s="1" t="s">
        <v>36</v>
      </c>
      <c r="P2173" s="1">
        <v>0.36</v>
      </c>
      <c r="Q2173" s="1">
        <v>79.605999999999995</v>
      </c>
      <c r="R2173" s="1">
        <v>10.5501585</v>
      </c>
      <c r="S2173" s="1">
        <v>2.4828899999999998</v>
      </c>
      <c r="T2173" s="1">
        <v>-3.6538179999999998</v>
      </c>
      <c r="U2173" s="1">
        <v>1.75</v>
      </c>
      <c r="V2173" s="1">
        <v>83</v>
      </c>
      <c r="W2173" s="1">
        <v>150</v>
      </c>
      <c r="X2173" s="1">
        <v>1.8072289156626506</v>
      </c>
      <c r="Y2173" s="1">
        <v>83</v>
      </c>
      <c r="Z2173" s="1">
        <v>150</v>
      </c>
      <c r="AA2173" s="1">
        <v>1.8072289156626506</v>
      </c>
      <c r="AB2173" s="1">
        <v>84.998036585382124</v>
      </c>
      <c r="AC2173" s="1">
        <v>149.4401845841694</v>
      </c>
      <c r="AD2173" s="1">
        <v>1.7581604303771645</v>
      </c>
      <c r="AE2173" t="s">
        <v>4817</v>
      </c>
      <c r="AF2173" t="str">
        <f>IF(X2173&lt;$AF$1,"Bajo","Alto")</f>
        <v>Alto</v>
      </c>
      <c r="AG2173" t="str">
        <f>LEFT(AE2173,1)</f>
        <v>C</v>
      </c>
      <c r="AH2173" t="str">
        <f>K2173</f>
        <v>M</v>
      </c>
      <c r="AI2173" t="str">
        <f>LEFT(AF2173,1)</f>
        <v>A</v>
      </c>
      <c r="AJ2173" t="str">
        <f>LEFT(M2173,1)</f>
        <v>M</v>
      </c>
      <c r="AK2173" t="str">
        <f>_xlfn.CONCAT(AG2173,AH2173,AI2173,AJ2173)</f>
        <v>CMAM</v>
      </c>
    </row>
    <row r="2174" spans="1:37" ht="15.75" hidden="1" customHeight="1" x14ac:dyDescent="0.2">
      <c r="A2174" s="1">
        <v>1528006</v>
      </c>
      <c r="B2174" s="1" t="s">
        <v>2077</v>
      </c>
      <c r="C2174" s="1" t="s">
        <v>57</v>
      </c>
      <c r="D2174" s="1" t="s">
        <v>2343</v>
      </c>
      <c r="E2174" s="1" t="s">
        <v>556</v>
      </c>
      <c r="F2174" s="1" t="s">
        <v>88</v>
      </c>
      <c r="G2174" s="1" t="s">
        <v>2347</v>
      </c>
      <c r="H2174" s="1">
        <v>352</v>
      </c>
      <c r="I2174" s="1" t="s">
        <v>2348</v>
      </c>
      <c r="J2174" s="1">
        <v>170</v>
      </c>
      <c r="K2174" s="1" t="s">
        <v>35</v>
      </c>
      <c r="L2174" s="1">
        <v>45</v>
      </c>
      <c r="M2174" s="1" t="str">
        <f>IF(L2174&lt;=45,"Joven","Mayor")</f>
        <v>Joven</v>
      </c>
      <c r="N2174" s="1">
        <v>50</v>
      </c>
      <c r="O2174" s="1" t="s">
        <v>36</v>
      </c>
      <c r="P2174" s="1">
        <v>0.32500000000000001</v>
      </c>
      <c r="Q2174" s="1">
        <v>91.697000000000003</v>
      </c>
      <c r="R2174" s="1">
        <v>-3.0615427</v>
      </c>
      <c r="S2174" s="1">
        <v>5.9643264</v>
      </c>
      <c r="T2174" s="1">
        <v>-0.45480927999999998</v>
      </c>
      <c r="U2174" s="1">
        <v>18.544</v>
      </c>
      <c r="V2174" s="1">
        <v>94</v>
      </c>
      <c r="W2174" s="1">
        <v>170</v>
      </c>
      <c r="X2174" s="1">
        <v>1.8085106382978724</v>
      </c>
      <c r="Y2174" s="1">
        <v>95</v>
      </c>
      <c r="Z2174" s="1">
        <v>170</v>
      </c>
      <c r="AA2174" s="1">
        <v>1.7894736842105263</v>
      </c>
      <c r="AB2174" s="1">
        <v>94.647742228022253</v>
      </c>
      <c r="AC2174" s="1">
        <v>169.9867062940998</v>
      </c>
      <c r="AD2174" s="1">
        <v>1.7959932513189103</v>
      </c>
      <c r="AE2174" t="s">
        <v>4817</v>
      </c>
      <c r="AF2174" t="str">
        <f>IF(X2174&lt;$AF$1,"Bajo","Alto")</f>
        <v>Alto</v>
      </c>
      <c r="AG2174" t="str">
        <f>LEFT(AE2174,1)</f>
        <v>C</v>
      </c>
      <c r="AH2174" t="str">
        <f>K2174</f>
        <v>M</v>
      </c>
      <c r="AI2174" t="str">
        <f>LEFT(AF2174,1)</f>
        <v>A</v>
      </c>
      <c r="AJ2174" t="str">
        <f>LEFT(M2174,1)</f>
        <v>J</v>
      </c>
      <c r="AK2174" t="str">
        <f>_xlfn.CONCAT(AG2174,AH2174,AI2174,AJ2174)</f>
        <v>CMAJ</v>
      </c>
    </row>
    <row r="2175" spans="1:37" ht="15.75" hidden="1" customHeight="1" x14ac:dyDescent="0.2">
      <c r="A2175" s="1">
        <v>10717301</v>
      </c>
      <c r="B2175" s="1" t="s">
        <v>1067</v>
      </c>
      <c r="C2175" s="1" t="s">
        <v>1068</v>
      </c>
      <c r="D2175" s="1" t="s">
        <v>1181</v>
      </c>
      <c r="E2175" s="1" t="s">
        <v>1182</v>
      </c>
      <c r="F2175" s="1" t="s">
        <v>32</v>
      </c>
      <c r="G2175" s="1" t="s">
        <v>1183</v>
      </c>
      <c r="H2175" s="1">
        <v>144</v>
      </c>
      <c r="I2175" s="1" t="s">
        <v>42</v>
      </c>
      <c r="J2175" s="1">
        <v>15</v>
      </c>
      <c r="K2175" s="1" t="s">
        <v>35</v>
      </c>
      <c r="L2175" s="1">
        <v>36</v>
      </c>
      <c r="M2175" s="1" t="str">
        <f>IF(L2175&lt;=45,"Joven","Mayor")</f>
        <v>Joven</v>
      </c>
      <c r="N2175" s="1">
        <v>49</v>
      </c>
      <c r="O2175" s="1" t="s">
        <v>36</v>
      </c>
      <c r="P2175" s="1">
        <v>9.2999999999999999E-2</v>
      </c>
      <c r="Q2175" s="1">
        <v>92.45</v>
      </c>
      <c r="R2175" s="1">
        <v>3.3919130000000002</v>
      </c>
      <c r="S2175" s="1">
        <v>2.9343854999999999</v>
      </c>
      <c r="T2175" s="1">
        <v>-3.1129158000000001</v>
      </c>
      <c r="U2175" s="1">
        <v>15.984999999999999</v>
      </c>
      <c r="V2175" s="1">
        <v>88</v>
      </c>
      <c r="W2175" s="1">
        <v>153</v>
      </c>
      <c r="X2175" s="1">
        <v>1.7386363636363635</v>
      </c>
      <c r="Y2175" s="1">
        <v>90</v>
      </c>
      <c r="Z2175" s="1">
        <v>153</v>
      </c>
      <c r="AA2175" s="1">
        <v>1.7</v>
      </c>
      <c r="AB2175" s="1">
        <v>90.313827705365838</v>
      </c>
      <c r="AC2175" s="1">
        <v>152.8285454181819</v>
      </c>
      <c r="AD2175" s="1">
        <v>1.6921943106736674</v>
      </c>
      <c r="AE2175" t="s">
        <v>4817</v>
      </c>
      <c r="AF2175" t="str">
        <f>IF(X2175&lt;$AF$1,"Bajo","Alto")</f>
        <v>Bajo</v>
      </c>
      <c r="AG2175" t="str">
        <f>LEFT(AE2175,1)</f>
        <v>C</v>
      </c>
      <c r="AH2175" t="str">
        <f>K2175</f>
        <v>M</v>
      </c>
      <c r="AI2175" t="str">
        <f>LEFT(AF2175,1)</f>
        <v>B</v>
      </c>
      <c r="AJ2175" t="str">
        <f>LEFT(M2175,1)</f>
        <v>J</v>
      </c>
      <c r="AK2175" t="str">
        <f>_xlfn.CONCAT(AG2175,AH2175,AI2175,AJ2175)</f>
        <v>CMBJ</v>
      </c>
    </row>
    <row r="2176" spans="1:37" ht="15.75" hidden="1" customHeight="1" x14ac:dyDescent="0.2">
      <c r="A2176" s="1">
        <v>231004</v>
      </c>
      <c r="B2176" s="1" t="s">
        <v>319</v>
      </c>
      <c r="C2176" s="1" t="s">
        <v>1989</v>
      </c>
      <c r="D2176" s="1" t="s">
        <v>2921</v>
      </c>
      <c r="E2176" s="1" t="s">
        <v>75</v>
      </c>
      <c r="F2176" s="1" t="s">
        <v>61</v>
      </c>
      <c r="G2176" s="1" t="s">
        <v>2924</v>
      </c>
      <c r="H2176" s="1">
        <v>53</v>
      </c>
      <c r="I2176" s="1" t="s">
        <v>93</v>
      </c>
      <c r="J2176" s="1">
        <v>9</v>
      </c>
      <c r="K2176" s="1" t="s">
        <v>35</v>
      </c>
      <c r="L2176" s="1">
        <v>61</v>
      </c>
      <c r="M2176" s="1" t="str">
        <f>IF(L2176&lt;=45,"Joven","Mayor")</f>
        <v>Mayor</v>
      </c>
      <c r="N2176" s="1">
        <v>61</v>
      </c>
      <c r="O2176" s="1" t="s">
        <v>36</v>
      </c>
      <c r="P2176" s="1">
        <v>1.143</v>
      </c>
      <c r="Q2176" s="1">
        <v>92.915999999999997</v>
      </c>
      <c r="R2176" s="1">
        <v>-2.7818350000000001</v>
      </c>
      <c r="S2176" s="1">
        <v>1.7351633</v>
      </c>
      <c r="T2176" s="1">
        <v>6.2338370000000003</v>
      </c>
      <c r="U2176" s="1">
        <v>3.7250000000000001</v>
      </c>
      <c r="V2176" s="1">
        <v>91</v>
      </c>
      <c r="W2176" s="1">
        <v>164</v>
      </c>
      <c r="X2176" s="1">
        <v>1.8021978021978022</v>
      </c>
      <c r="Y2176" s="1">
        <v>102</v>
      </c>
      <c r="Z2176" s="1">
        <v>164</v>
      </c>
      <c r="AA2176" s="1">
        <v>1.607843137254902</v>
      </c>
      <c r="AB2176" s="1">
        <v>96.727657659513852</v>
      </c>
      <c r="AC2176" s="1">
        <v>163.46461539750129</v>
      </c>
      <c r="AD2176" s="1">
        <v>1.6899470053632937</v>
      </c>
      <c r="AE2176" t="s">
        <v>4815</v>
      </c>
      <c r="AF2176" t="str">
        <f>IF(X2176&lt;$AF$1,"Bajo","Alto")</f>
        <v>Alto</v>
      </c>
      <c r="AG2176" t="str">
        <f>LEFT(AE2176,1)</f>
        <v>I</v>
      </c>
      <c r="AH2176" t="str">
        <f>K2176</f>
        <v>M</v>
      </c>
      <c r="AI2176" t="str">
        <f>LEFT(AF2176,1)</f>
        <v>A</v>
      </c>
      <c r="AJ2176" t="str">
        <f>LEFT(M2176,1)</f>
        <v>M</v>
      </c>
      <c r="AK2176" t="str">
        <f>_xlfn.CONCAT(AG2176,AH2176,AI2176,AJ2176)</f>
        <v>IMAM</v>
      </c>
    </row>
    <row r="2177" spans="1:37" ht="15.75" hidden="1" customHeight="1" x14ac:dyDescent="0.2">
      <c r="A2177" s="1">
        <v>2722302</v>
      </c>
      <c r="B2177" s="1" t="s">
        <v>3409</v>
      </c>
      <c r="C2177" s="1" t="s">
        <v>973</v>
      </c>
      <c r="D2177" s="1" t="s">
        <v>3654</v>
      </c>
      <c r="E2177" s="1" t="s">
        <v>423</v>
      </c>
      <c r="F2177" s="1" t="s">
        <v>37</v>
      </c>
      <c r="G2177" s="1" t="s">
        <v>3656</v>
      </c>
      <c r="H2177" s="1">
        <v>215</v>
      </c>
      <c r="I2177" s="1" t="s">
        <v>91</v>
      </c>
      <c r="J2177" s="1">
        <v>6</v>
      </c>
      <c r="K2177" s="1" t="s">
        <v>35</v>
      </c>
      <c r="L2177" s="1">
        <v>61</v>
      </c>
      <c r="M2177" s="1" t="str">
        <f>IF(L2177&lt;=45,"Joven","Mayor")</f>
        <v>Mayor</v>
      </c>
      <c r="N2177" s="1">
        <v>60</v>
      </c>
      <c r="O2177" s="1" t="s">
        <v>36</v>
      </c>
      <c r="P2177" s="1">
        <v>0.35099999999999998</v>
      </c>
      <c r="Q2177" s="1">
        <v>91.742999999999995</v>
      </c>
      <c r="R2177" s="1">
        <v>4.2936860000000001</v>
      </c>
      <c r="S2177" s="1">
        <v>2.2665803000000002</v>
      </c>
      <c r="T2177" s="1">
        <v>-3.8645659999999999</v>
      </c>
      <c r="U2177" s="1">
        <v>6.875</v>
      </c>
      <c r="V2177" s="1">
        <v>96</v>
      </c>
      <c r="W2177" s="1">
        <v>166</v>
      </c>
      <c r="X2177" s="1">
        <v>1.7291666666666667</v>
      </c>
      <c r="Y2177" s="1">
        <v>105</v>
      </c>
      <c r="Z2177" s="1">
        <v>166</v>
      </c>
      <c r="AA2177" s="1">
        <v>1.5809523809523809</v>
      </c>
      <c r="AB2177" s="1">
        <v>102.1327133739303</v>
      </c>
      <c r="AC2177" s="1">
        <v>166.22912556382559</v>
      </c>
      <c r="AD2177" s="1">
        <v>1.6275796468387582</v>
      </c>
      <c r="AE2177" t="s">
        <v>4817</v>
      </c>
      <c r="AF2177" t="str">
        <f>IF(X2177&lt;$AF$1,"Bajo","Alto")</f>
        <v>Bajo</v>
      </c>
      <c r="AG2177" t="str">
        <f>LEFT(AE2177,1)</f>
        <v>C</v>
      </c>
      <c r="AH2177" t="str">
        <f>K2177</f>
        <v>M</v>
      </c>
      <c r="AI2177" t="str">
        <f>LEFT(AF2177,1)</f>
        <v>B</v>
      </c>
      <c r="AJ2177" t="str">
        <f>LEFT(M2177,1)</f>
        <v>M</v>
      </c>
      <c r="AK2177" t="str">
        <f>_xlfn.CONCAT(AG2177,AH2177,AI2177,AJ2177)</f>
        <v>CMBM</v>
      </c>
    </row>
    <row r="2178" spans="1:37" ht="15.75" hidden="1" customHeight="1" x14ac:dyDescent="0.2">
      <c r="A2178" s="1">
        <v>1282503</v>
      </c>
      <c r="B2178" s="1" t="s">
        <v>1798</v>
      </c>
      <c r="C2178" s="1" t="s">
        <v>54</v>
      </c>
      <c r="D2178" s="1" t="s">
        <v>1925</v>
      </c>
      <c r="E2178" s="1" t="s">
        <v>1926</v>
      </c>
      <c r="F2178" s="1" t="s">
        <v>63</v>
      </c>
      <c r="G2178" s="1" t="s">
        <v>1929</v>
      </c>
      <c r="H2178" s="1">
        <v>4480</v>
      </c>
      <c r="I2178" s="1" t="s">
        <v>108</v>
      </c>
      <c r="J2178" s="1">
        <v>3</v>
      </c>
      <c r="K2178" s="1" t="s">
        <v>35</v>
      </c>
      <c r="L2178" s="1">
        <v>42</v>
      </c>
      <c r="M2178" s="1" t="str">
        <f>IF(L2178&lt;=45,"Joven","Mayor")</f>
        <v>Joven</v>
      </c>
      <c r="N2178" s="1">
        <v>46</v>
      </c>
      <c r="O2178" s="1" t="s">
        <v>36</v>
      </c>
      <c r="P2178" s="1">
        <v>1.331</v>
      </c>
      <c r="Q2178" s="1">
        <v>86.805000000000007</v>
      </c>
      <c r="R2178" s="1">
        <v>7.1166945000000004</v>
      </c>
      <c r="S2178" s="1">
        <v>4.3608823000000001</v>
      </c>
      <c r="T2178" s="1">
        <v>-2.9153256000000001</v>
      </c>
      <c r="U2178" s="1">
        <v>7.9189999999999996</v>
      </c>
      <c r="V2178" s="1">
        <v>99</v>
      </c>
      <c r="W2178" s="1">
        <v>179</v>
      </c>
      <c r="X2178" s="1">
        <v>1.8080808080808082</v>
      </c>
      <c r="Y2178" s="1">
        <v>101</v>
      </c>
      <c r="Z2178" s="1">
        <v>179</v>
      </c>
      <c r="AA2178" s="1">
        <v>1.7722772277227723</v>
      </c>
      <c r="AB2178" s="1">
        <v>101.0588564354011</v>
      </c>
      <c r="AC2178" s="1">
        <v>178.97177649727379</v>
      </c>
      <c r="AD2178" s="1">
        <v>1.7709657798441074</v>
      </c>
      <c r="AE2178" t="s">
        <v>4817</v>
      </c>
      <c r="AF2178" t="str">
        <f>IF(X2178&lt;$AF$1,"Bajo","Alto")</f>
        <v>Alto</v>
      </c>
      <c r="AG2178" t="str">
        <f>LEFT(AE2178,1)</f>
        <v>C</v>
      </c>
      <c r="AH2178" t="str">
        <f>K2178</f>
        <v>M</v>
      </c>
      <c r="AI2178" t="str">
        <f>LEFT(AF2178,1)</f>
        <v>A</v>
      </c>
      <c r="AJ2178" t="str">
        <f>LEFT(M2178,1)</f>
        <v>J</v>
      </c>
      <c r="AK2178" t="str">
        <f>_xlfn.CONCAT(AG2178,AH2178,AI2178,AJ2178)</f>
        <v>CMAJ</v>
      </c>
    </row>
    <row r="2179" spans="1:37" ht="15.75" hidden="1" customHeight="1" x14ac:dyDescent="0.2">
      <c r="A2179" s="1">
        <v>2910002</v>
      </c>
      <c r="B2179" s="1" t="s">
        <v>3890</v>
      </c>
      <c r="C2179" s="1" t="s">
        <v>1695</v>
      </c>
      <c r="D2179" s="1" t="s">
        <v>3914</v>
      </c>
      <c r="E2179" s="1" t="s">
        <v>70</v>
      </c>
      <c r="F2179" s="1" t="s">
        <v>37</v>
      </c>
      <c r="G2179" s="1" t="s">
        <v>3915</v>
      </c>
      <c r="H2179" s="1">
        <v>1199</v>
      </c>
      <c r="I2179" s="1" t="s">
        <v>65</v>
      </c>
      <c r="J2179" s="1">
        <v>2</v>
      </c>
      <c r="K2179" s="1" t="s">
        <v>35</v>
      </c>
      <c r="L2179" s="1">
        <v>56</v>
      </c>
      <c r="M2179" s="1" t="str">
        <f>IF(L2179&lt;=45,"Joven","Mayor")</f>
        <v>Mayor</v>
      </c>
      <c r="N2179" s="1">
        <v>56</v>
      </c>
      <c r="O2179" s="1" t="s">
        <v>36</v>
      </c>
      <c r="P2179" s="1">
        <v>0.36199999999999999</v>
      </c>
      <c r="Q2179" s="1">
        <v>88.055000000000007</v>
      </c>
      <c r="R2179" s="1">
        <v>7.2048525999999997</v>
      </c>
      <c r="S2179" s="1">
        <v>1.9032986999999999</v>
      </c>
      <c r="T2179" s="1">
        <v>-11.38425</v>
      </c>
      <c r="U2179" s="1">
        <v>2.593</v>
      </c>
      <c r="V2179" s="1">
        <v>96</v>
      </c>
      <c r="W2179" s="1">
        <v>166</v>
      </c>
      <c r="X2179" s="1">
        <v>1.7291666666666667</v>
      </c>
      <c r="Y2179" s="1">
        <v>106</v>
      </c>
      <c r="Z2179" s="1">
        <v>166</v>
      </c>
      <c r="AA2179" s="1">
        <v>1.5660377358490567</v>
      </c>
      <c r="AB2179" s="1">
        <v>104.1780264693043</v>
      </c>
      <c r="AC2179" s="1">
        <v>165.89223413510169</v>
      </c>
      <c r="AD2179" s="1">
        <v>1.5923917908349057</v>
      </c>
      <c r="AE2179" t="s">
        <v>4817</v>
      </c>
      <c r="AF2179" t="str">
        <f>IF(X2179&lt;$AF$1,"Bajo","Alto")</f>
        <v>Bajo</v>
      </c>
      <c r="AG2179" t="str">
        <f>LEFT(AE2179,1)</f>
        <v>C</v>
      </c>
      <c r="AH2179" t="str">
        <f>K2179</f>
        <v>M</v>
      </c>
      <c r="AI2179" t="str">
        <f>LEFT(AF2179,1)</f>
        <v>B</v>
      </c>
      <c r="AJ2179" t="str">
        <f>LEFT(M2179,1)</f>
        <v>M</v>
      </c>
      <c r="AK2179" t="str">
        <f>_xlfn.CONCAT(AG2179,AH2179,AI2179,AJ2179)</f>
        <v>CMBM</v>
      </c>
    </row>
    <row r="2180" spans="1:37" ht="15.75" hidden="1" customHeight="1" x14ac:dyDescent="0.2">
      <c r="A2180" s="1">
        <v>10725305</v>
      </c>
      <c r="B2180" s="1" t="s">
        <v>1067</v>
      </c>
      <c r="C2180" s="1" t="s">
        <v>1068</v>
      </c>
      <c r="D2180" s="1" t="s">
        <v>1292</v>
      </c>
      <c r="E2180" s="1" t="s">
        <v>506</v>
      </c>
      <c r="F2180" s="1" t="s">
        <v>40</v>
      </c>
      <c r="G2180" s="1" t="s">
        <v>1296</v>
      </c>
      <c r="H2180" s="1">
        <v>1214</v>
      </c>
      <c r="I2180" s="1" t="s">
        <v>1297</v>
      </c>
      <c r="J2180" s="1">
        <v>2871</v>
      </c>
      <c r="K2180" s="1" t="s">
        <v>35</v>
      </c>
      <c r="L2180" s="1">
        <v>32</v>
      </c>
      <c r="M2180" s="1" t="str">
        <f>IF(L2180&lt;=45,"Joven","Mayor")</f>
        <v>Joven</v>
      </c>
      <c r="N2180" s="1">
        <v>45</v>
      </c>
      <c r="O2180" s="1" t="s">
        <v>36</v>
      </c>
      <c r="P2180" s="1">
        <v>0.45100000000000001</v>
      </c>
      <c r="Q2180" s="1">
        <v>90.191999999999993</v>
      </c>
      <c r="R2180" s="1">
        <v>4.9375124000000001</v>
      </c>
      <c r="S2180" s="1">
        <v>4.8285127000000001</v>
      </c>
      <c r="T2180" s="1">
        <v>-2.5619106</v>
      </c>
      <c r="U2180" s="1">
        <v>30.684000000000001</v>
      </c>
      <c r="V2180" s="1">
        <v>88</v>
      </c>
      <c r="W2180" s="1">
        <v>153</v>
      </c>
      <c r="X2180" s="1">
        <v>1.7386363636363635</v>
      </c>
      <c r="Y2180" s="1">
        <v>89</v>
      </c>
      <c r="Z2180" s="1">
        <v>153</v>
      </c>
      <c r="AA2180" s="1">
        <v>1.7191011235955056</v>
      </c>
      <c r="AB2180" s="1">
        <v>90.699000089891342</v>
      </c>
      <c r="AC2180" s="1">
        <v>152.7129807409315</v>
      </c>
      <c r="AD2180" s="1">
        <v>1.6837338955179042</v>
      </c>
      <c r="AE2180" t="s">
        <v>4817</v>
      </c>
      <c r="AF2180" t="str">
        <f>IF(X2180&lt;$AF$1,"Bajo","Alto")</f>
        <v>Bajo</v>
      </c>
      <c r="AG2180" t="str">
        <f>LEFT(AE2180,1)</f>
        <v>C</v>
      </c>
      <c r="AH2180" t="str">
        <f>K2180</f>
        <v>M</v>
      </c>
      <c r="AI2180" t="str">
        <f>LEFT(AF2180,1)</f>
        <v>B</v>
      </c>
      <c r="AJ2180" t="str">
        <f>LEFT(M2180,1)</f>
        <v>J</v>
      </c>
      <c r="AK2180" t="str">
        <f>_xlfn.CONCAT(AG2180,AH2180,AI2180,AJ2180)</f>
        <v>CMBJ</v>
      </c>
    </row>
    <row r="2181" spans="1:37" ht="15.75" hidden="1" customHeight="1" x14ac:dyDescent="0.2">
      <c r="A2181" s="1">
        <v>525003</v>
      </c>
      <c r="B2181" s="1" t="s">
        <v>4529</v>
      </c>
      <c r="C2181" s="1" t="s">
        <v>685</v>
      </c>
      <c r="D2181" s="1" t="s">
        <v>4268</v>
      </c>
      <c r="E2181" s="1" t="s">
        <v>1001</v>
      </c>
      <c r="F2181" s="1" t="s">
        <v>63</v>
      </c>
      <c r="G2181" s="1" t="s">
        <v>4647</v>
      </c>
      <c r="H2181" s="1">
        <v>445</v>
      </c>
      <c r="I2181" s="1" t="s">
        <v>91</v>
      </c>
      <c r="J2181" s="1">
        <v>6</v>
      </c>
      <c r="K2181" s="1" t="s">
        <v>35</v>
      </c>
      <c r="L2181" s="1">
        <v>43</v>
      </c>
      <c r="M2181" s="1" t="str">
        <f>IF(L2181&lt;=45,"Joven","Mayor")</f>
        <v>Joven</v>
      </c>
      <c r="N2181" s="1">
        <v>34</v>
      </c>
      <c r="O2181" s="1" t="s">
        <v>36</v>
      </c>
      <c r="P2181" s="1">
        <v>0.62</v>
      </c>
      <c r="Q2181" s="1">
        <v>88.96</v>
      </c>
      <c r="R2181" s="1">
        <v>5.9148699999999996</v>
      </c>
      <c r="S2181" s="1">
        <v>4.5697760000000001</v>
      </c>
      <c r="T2181" s="1">
        <v>-2.777555</v>
      </c>
      <c r="U2181" s="1">
        <v>18.904</v>
      </c>
      <c r="V2181" s="1">
        <v>92</v>
      </c>
      <c r="W2181" s="1">
        <v>160</v>
      </c>
      <c r="X2181" s="1">
        <v>1.7391304347826086</v>
      </c>
      <c r="Y2181" s="1">
        <v>94</v>
      </c>
      <c r="Z2181" s="1">
        <v>160</v>
      </c>
      <c r="AA2181" s="1">
        <v>1.7021276595744681</v>
      </c>
      <c r="AB2181" s="1">
        <v>94.024091892387787</v>
      </c>
      <c r="AC2181" s="1">
        <v>160.05432400416291</v>
      </c>
      <c r="AD2181" s="1">
        <v>1.7022692884643638</v>
      </c>
      <c r="AE2181" t="s">
        <v>4817</v>
      </c>
      <c r="AF2181" t="str">
        <f>IF(X2181&lt;$AF$1,"Bajo","Alto")</f>
        <v>Bajo</v>
      </c>
      <c r="AG2181" t="str">
        <f>LEFT(AE2181,1)</f>
        <v>C</v>
      </c>
      <c r="AH2181" t="str">
        <f>K2181</f>
        <v>M</v>
      </c>
      <c r="AI2181" t="str">
        <f>LEFT(AF2181,1)</f>
        <v>B</v>
      </c>
      <c r="AJ2181" t="str">
        <f>LEFT(M2181,1)</f>
        <v>J</v>
      </c>
      <c r="AK2181" t="str">
        <f>_xlfn.CONCAT(AG2181,AH2181,AI2181,AJ2181)</f>
        <v>CMBJ</v>
      </c>
    </row>
    <row r="2182" spans="1:37" ht="15.75" hidden="1" customHeight="1" x14ac:dyDescent="0.2">
      <c r="A2182" s="1">
        <v>193102</v>
      </c>
      <c r="B2182" s="1" t="s">
        <v>2656</v>
      </c>
      <c r="C2182" s="1" t="s">
        <v>323</v>
      </c>
      <c r="D2182" s="1" t="s">
        <v>2700</v>
      </c>
      <c r="E2182" s="1" t="s">
        <v>628</v>
      </c>
      <c r="F2182" s="1" t="s">
        <v>37</v>
      </c>
      <c r="G2182" s="1" t="s">
        <v>2701</v>
      </c>
      <c r="H2182" s="1">
        <v>743</v>
      </c>
      <c r="I2182" s="1" t="s">
        <v>65</v>
      </c>
      <c r="J2182" s="1">
        <v>2</v>
      </c>
      <c r="K2182" s="1" t="s">
        <v>35</v>
      </c>
      <c r="L2182" s="1">
        <v>57</v>
      </c>
      <c r="M2182" s="1" t="str">
        <f>IF(L2182&lt;=45,"Joven","Mayor")</f>
        <v>Mayor</v>
      </c>
      <c r="N2182" s="1">
        <v>63</v>
      </c>
      <c r="O2182" s="1" t="s">
        <v>36</v>
      </c>
      <c r="P2182" s="1">
        <v>1.1279999999999999</v>
      </c>
      <c r="Q2182" s="1">
        <v>93.593000000000004</v>
      </c>
      <c r="R2182" s="1">
        <v>-0.23482275</v>
      </c>
      <c r="S2182" s="1">
        <v>-5.2372565</v>
      </c>
      <c r="T2182" s="1">
        <v>-6.2024016</v>
      </c>
      <c r="U2182" s="1">
        <v>1.6379999999999999</v>
      </c>
      <c r="V2182" s="1">
        <v>100</v>
      </c>
      <c r="W2182" s="1">
        <v>173</v>
      </c>
      <c r="X2182" s="1">
        <v>1.73</v>
      </c>
      <c r="Y2182" s="1">
        <v>107</v>
      </c>
      <c r="Z2182" s="1">
        <v>173</v>
      </c>
      <c r="AA2182" s="1">
        <v>1.6168224299065421</v>
      </c>
      <c r="AB2182" s="1">
        <v>105.1408180140415</v>
      </c>
      <c r="AC2182" s="1">
        <v>172.85166167564969</v>
      </c>
      <c r="AD2182" s="1">
        <v>1.644001491909312</v>
      </c>
      <c r="AE2182" t="s">
        <v>4817</v>
      </c>
      <c r="AF2182" t="str">
        <f>IF(X2182&lt;$AF$1,"Bajo","Alto")</f>
        <v>Bajo</v>
      </c>
      <c r="AG2182" t="str">
        <f>LEFT(AE2182,1)</f>
        <v>C</v>
      </c>
      <c r="AH2182" t="str">
        <f>K2182</f>
        <v>M</v>
      </c>
      <c r="AI2182" t="str">
        <f>LEFT(AF2182,1)</f>
        <v>B</v>
      </c>
      <c r="AJ2182" t="str">
        <f>LEFT(M2182,1)</f>
        <v>M</v>
      </c>
      <c r="AK2182" t="str">
        <f>_xlfn.CONCAT(AG2182,AH2182,AI2182,AJ2182)</f>
        <v>CMBM</v>
      </c>
    </row>
    <row r="2183" spans="1:37" ht="15.75" hidden="1" customHeight="1" x14ac:dyDescent="0.2">
      <c r="A2183" s="1">
        <v>1034905</v>
      </c>
      <c r="B2183" s="1" t="s">
        <v>783</v>
      </c>
      <c r="C2183" s="1" t="s">
        <v>81</v>
      </c>
      <c r="D2183" s="1" t="s">
        <v>862</v>
      </c>
      <c r="E2183" s="1" t="s">
        <v>673</v>
      </c>
      <c r="F2183" s="1" t="s">
        <v>40</v>
      </c>
      <c r="G2183" s="1" t="s">
        <v>864</v>
      </c>
      <c r="H2183" s="1">
        <v>898</v>
      </c>
      <c r="I2183" s="1" t="s">
        <v>108</v>
      </c>
      <c r="J2183" s="1">
        <v>3</v>
      </c>
      <c r="K2183" s="1" t="s">
        <v>35</v>
      </c>
      <c r="L2183" s="1">
        <v>36</v>
      </c>
      <c r="M2183" s="1" t="str">
        <f>IF(L2183&lt;=45,"Joven","Mayor")</f>
        <v>Joven</v>
      </c>
      <c r="N2183" s="1">
        <v>41</v>
      </c>
      <c r="O2183" s="1" t="s">
        <v>36</v>
      </c>
      <c r="P2183" s="1">
        <v>0.34200000000000003</v>
      </c>
      <c r="Q2183" s="1">
        <v>86.721999999999994</v>
      </c>
      <c r="R2183" s="1">
        <v>8.2321310000000008</v>
      </c>
      <c r="S2183" s="1">
        <v>8.8182860000000002E-2</v>
      </c>
      <c r="T2183" s="1">
        <v>-5.0865593000000002</v>
      </c>
      <c r="U2183" s="1">
        <v>35.747999999999998</v>
      </c>
      <c r="V2183" s="1">
        <v>104</v>
      </c>
      <c r="W2183" s="1">
        <v>188</v>
      </c>
      <c r="X2183" s="1">
        <v>1.8076923076923077</v>
      </c>
      <c r="Y2183" s="1">
        <v>105</v>
      </c>
      <c r="Z2183" s="1">
        <v>188</v>
      </c>
      <c r="AA2183" s="1">
        <v>1.7904761904761906</v>
      </c>
      <c r="AB2183" s="1">
        <v>108.1121292590831</v>
      </c>
      <c r="AC2183" s="1">
        <v>187.52561746645921</v>
      </c>
      <c r="AD2183" s="1">
        <v>1.7345474439511526</v>
      </c>
      <c r="AE2183" t="s">
        <v>4817</v>
      </c>
      <c r="AF2183" t="str">
        <f>IF(X2183&lt;$AF$1,"Bajo","Alto")</f>
        <v>Alto</v>
      </c>
      <c r="AG2183" t="str">
        <f>LEFT(AE2183,1)</f>
        <v>C</v>
      </c>
      <c r="AH2183" t="str">
        <f>K2183</f>
        <v>M</v>
      </c>
      <c r="AI2183" t="str">
        <f>LEFT(AF2183,1)</f>
        <v>A</v>
      </c>
      <c r="AJ2183" t="str">
        <f>LEFT(M2183,1)</f>
        <v>J</v>
      </c>
      <c r="AK2183" t="str">
        <f>_xlfn.CONCAT(AG2183,AH2183,AI2183,AJ2183)</f>
        <v>CMAJ</v>
      </c>
    </row>
    <row r="2184" spans="1:37" ht="15.75" hidden="1" customHeight="1" x14ac:dyDescent="0.2">
      <c r="A2184" s="1">
        <v>10123503</v>
      </c>
      <c r="B2184" s="1" t="s">
        <v>29</v>
      </c>
      <c r="C2184" s="1" t="s">
        <v>30</v>
      </c>
      <c r="D2184" s="1" t="s">
        <v>464</v>
      </c>
      <c r="E2184" s="1" t="s">
        <v>465</v>
      </c>
      <c r="F2184" s="1" t="s">
        <v>63</v>
      </c>
      <c r="G2184" s="1" t="s">
        <v>468</v>
      </c>
      <c r="H2184" s="1">
        <v>2807</v>
      </c>
      <c r="I2184" s="1" t="s">
        <v>65</v>
      </c>
      <c r="J2184" s="1">
        <v>2</v>
      </c>
      <c r="K2184" s="1" t="s">
        <v>35</v>
      </c>
      <c r="L2184" s="1">
        <v>52</v>
      </c>
      <c r="M2184" s="1" t="str">
        <f>IF(L2184&lt;=45,"Joven","Mayor")</f>
        <v>Mayor</v>
      </c>
      <c r="N2184" s="1">
        <v>53</v>
      </c>
      <c r="O2184" s="1" t="s">
        <v>36</v>
      </c>
      <c r="P2184" s="1">
        <v>6.9000000000000006E-2</v>
      </c>
      <c r="Q2184" s="1">
        <v>91.998999999999995</v>
      </c>
      <c r="R2184" s="1">
        <v>4.0254820000000002</v>
      </c>
      <c r="S2184" s="1">
        <v>2.5803479999999999</v>
      </c>
      <c r="T2184" s="1">
        <v>-1.1316272000000001</v>
      </c>
      <c r="U2184" s="1">
        <v>10.199</v>
      </c>
      <c r="V2184" s="1">
        <v>89</v>
      </c>
      <c r="W2184" s="1">
        <v>154</v>
      </c>
      <c r="X2184" s="1">
        <v>1.7303370786516854</v>
      </c>
      <c r="Y2184" s="1">
        <v>90</v>
      </c>
      <c r="Z2184" s="1">
        <v>154</v>
      </c>
      <c r="AA2184" s="1">
        <v>1.711111111111111</v>
      </c>
      <c r="AB2184" s="1">
        <v>90.792169451315658</v>
      </c>
      <c r="AC2184" s="1">
        <v>154.00946294946701</v>
      </c>
      <c r="AD2184" s="1">
        <v>1.6962857466694807</v>
      </c>
      <c r="AE2184" t="s">
        <v>4817</v>
      </c>
      <c r="AF2184" t="str">
        <f>IF(X2184&lt;$AF$1,"Bajo","Alto")</f>
        <v>Bajo</v>
      </c>
      <c r="AG2184" t="str">
        <f>LEFT(AE2184,1)</f>
        <v>C</v>
      </c>
      <c r="AH2184" t="str">
        <f>K2184</f>
        <v>M</v>
      </c>
      <c r="AI2184" t="str">
        <f>LEFT(AF2184,1)</f>
        <v>B</v>
      </c>
      <c r="AJ2184" t="str">
        <f>LEFT(M2184,1)</f>
        <v>M</v>
      </c>
      <c r="AK2184" t="str">
        <f>_xlfn.CONCAT(AG2184,AH2184,AI2184,AJ2184)</f>
        <v>CMBM</v>
      </c>
    </row>
    <row r="2185" spans="1:37" ht="15.75" hidden="1" customHeight="1" x14ac:dyDescent="0.2">
      <c r="A2185" s="1">
        <v>318808</v>
      </c>
      <c r="B2185" s="1" t="s">
        <v>4122</v>
      </c>
      <c r="C2185" s="1" t="s">
        <v>628</v>
      </c>
      <c r="D2185" s="1" t="s">
        <v>4271</v>
      </c>
      <c r="E2185" s="1" t="s">
        <v>763</v>
      </c>
      <c r="F2185" s="1" t="s">
        <v>46</v>
      </c>
      <c r="G2185" s="1" t="s">
        <v>4273</v>
      </c>
      <c r="H2185" s="1">
        <v>2906</v>
      </c>
      <c r="I2185" s="1" t="s">
        <v>4274</v>
      </c>
      <c r="J2185" s="1">
        <v>3926</v>
      </c>
      <c r="K2185" s="1" t="s">
        <v>35</v>
      </c>
      <c r="L2185" s="1">
        <v>44</v>
      </c>
      <c r="M2185" s="1" t="str">
        <f>IF(L2185&lt;=45,"Joven","Mayor")</f>
        <v>Joven</v>
      </c>
      <c r="N2185" s="1">
        <v>59</v>
      </c>
      <c r="O2185" s="1" t="s">
        <v>36</v>
      </c>
      <c r="P2185" s="1">
        <v>0.47399999999999998</v>
      </c>
      <c r="Q2185" s="1">
        <v>90.994</v>
      </c>
      <c r="R2185" s="1">
        <v>3.7175782000000002</v>
      </c>
      <c r="S2185" s="1">
        <v>6.0953502999999998</v>
      </c>
      <c r="T2185" s="1">
        <v>-4.533887</v>
      </c>
      <c r="U2185" s="1">
        <v>12.747999999999999</v>
      </c>
      <c r="V2185" s="1">
        <v>96</v>
      </c>
      <c r="W2185" s="1">
        <v>167</v>
      </c>
      <c r="X2185" s="1">
        <v>1.7395833333333333</v>
      </c>
      <c r="Y2185" s="1">
        <v>99</v>
      </c>
      <c r="Z2185" s="1">
        <v>167</v>
      </c>
      <c r="AA2185" s="1">
        <v>1.6868686868686869</v>
      </c>
      <c r="AB2185" s="1">
        <v>102.40549362802859</v>
      </c>
      <c r="AC2185" s="1">
        <v>166.55646487510469</v>
      </c>
      <c r="AD2185" s="1">
        <v>1.6264407208474003</v>
      </c>
      <c r="AE2185" t="s">
        <v>4817</v>
      </c>
      <c r="AF2185" t="str">
        <f>IF(X2185&lt;$AF$1,"Bajo","Alto")</f>
        <v>Bajo</v>
      </c>
      <c r="AG2185" t="str">
        <f>LEFT(AE2185,1)</f>
        <v>C</v>
      </c>
      <c r="AH2185" t="str">
        <f>K2185</f>
        <v>M</v>
      </c>
      <c r="AI2185" t="str">
        <f>LEFT(AF2185,1)</f>
        <v>B</v>
      </c>
      <c r="AJ2185" t="str">
        <f>LEFT(M2185,1)</f>
        <v>J</v>
      </c>
      <c r="AK2185" t="str">
        <f>_xlfn.CONCAT(AG2185,AH2185,AI2185,AJ2185)</f>
        <v>CMBJ</v>
      </c>
    </row>
    <row r="2186" spans="1:37" ht="15.75" hidden="1" customHeight="1" x14ac:dyDescent="0.2">
      <c r="A2186" s="1">
        <v>10710004</v>
      </c>
      <c r="B2186" s="1" t="s">
        <v>1067</v>
      </c>
      <c r="C2186" s="1" t="s">
        <v>1068</v>
      </c>
      <c r="D2186" s="1" t="s">
        <v>1088</v>
      </c>
      <c r="E2186" s="1" t="s">
        <v>70</v>
      </c>
      <c r="F2186" s="1" t="s">
        <v>61</v>
      </c>
      <c r="G2186" s="1" t="s">
        <v>1092</v>
      </c>
      <c r="H2186" s="1">
        <v>3266</v>
      </c>
      <c r="I2186" s="1" t="s">
        <v>1093</v>
      </c>
      <c r="J2186" s="1">
        <v>2006</v>
      </c>
      <c r="K2186" s="1" t="s">
        <v>35</v>
      </c>
      <c r="L2186" s="1">
        <v>35</v>
      </c>
      <c r="M2186" s="1" t="str">
        <f>IF(L2186&lt;=45,"Joven","Mayor")</f>
        <v>Joven</v>
      </c>
      <c r="N2186" s="1">
        <v>33</v>
      </c>
      <c r="O2186" s="1" t="s">
        <v>36</v>
      </c>
      <c r="P2186" s="1">
        <v>0.65100000000000002</v>
      </c>
      <c r="Q2186" s="1">
        <v>80.805000000000007</v>
      </c>
      <c r="R2186" s="1">
        <v>-10.153847000000001</v>
      </c>
      <c r="S2186" s="1">
        <v>2.3169664999999999</v>
      </c>
      <c r="T2186" s="1">
        <v>1.6629837999999999</v>
      </c>
      <c r="U2186" s="1">
        <v>14.646000000000001</v>
      </c>
      <c r="V2186" s="1">
        <v>73</v>
      </c>
      <c r="W2186" s="1">
        <v>127</v>
      </c>
      <c r="X2186" s="1">
        <v>1.7397260273972603</v>
      </c>
      <c r="Y2186" s="1">
        <v>74</v>
      </c>
      <c r="Z2186" s="1">
        <v>127</v>
      </c>
      <c r="AA2186" s="1">
        <v>1.7162162162162162</v>
      </c>
      <c r="AB2186" s="1">
        <v>74.839446528955932</v>
      </c>
      <c r="AC2186" s="1">
        <v>126.74336655211209</v>
      </c>
      <c r="AD2186" s="1">
        <v>1.6935369304618542</v>
      </c>
      <c r="AE2186" t="s">
        <v>4817</v>
      </c>
      <c r="AF2186" t="str">
        <f>IF(X2186&lt;$AF$1,"Bajo","Alto")</f>
        <v>Bajo</v>
      </c>
      <c r="AG2186" t="str">
        <f>LEFT(AE2186,1)</f>
        <v>C</v>
      </c>
      <c r="AH2186" t="str">
        <f>K2186</f>
        <v>M</v>
      </c>
      <c r="AI2186" t="str">
        <f>LEFT(AF2186,1)</f>
        <v>B</v>
      </c>
      <c r="AJ2186" t="str">
        <f>LEFT(M2186,1)</f>
        <v>J</v>
      </c>
      <c r="AK2186" t="str">
        <f>_xlfn.CONCAT(AG2186,AH2186,AI2186,AJ2186)</f>
        <v>CMBJ</v>
      </c>
    </row>
    <row r="2187" spans="1:37" ht="15.75" hidden="1" customHeight="1" x14ac:dyDescent="0.2">
      <c r="A2187" s="1">
        <v>1260802</v>
      </c>
      <c r="B2187" s="1" t="s">
        <v>1798</v>
      </c>
      <c r="C2187" s="1" t="s">
        <v>54</v>
      </c>
      <c r="D2187" s="1" t="s">
        <v>1871</v>
      </c>
      <c r="E2187" s="1" t="s">
        <v>1872</v>
      </c>
      <c r="F2187" s="1" t="s">
        <v>37</v>
      </c>
      <c r="G2187" s="1" t="s">
        <v>1874</v>
      </c>
      <c r="H2187" s="1">
        <v>1030</v>
      </c>
      <c r="I2187" s="1" t="s">
        <v>48</v>
      </c>
      <c r="J2187" s="1">
        <v>4</v>
      </c>
      <c r="K2187" s="1" t="s">
        <v>35</v>
      </c>
      <c r="L2187" s="1">
        <v>43</v>
      </c>
      <c r="M2187" s="1" t="str">
        <f>IF(L2187&lt;=45,"Joven","Mayor")</f>
        <v>Joven</v>
      </c>
      <c r="N2187" s="1">
        <v>41</v>
      </c>
      <c r="O2187" s="1" t="s">
        <v>36</v>
      </c>
      <c r="P2187" s="1">
        <v>0.16600000000000001</v>
      </c>
      <c r="Q2187" s="1">
        <v>75.703000000000003</v>
      </c>
      <c r="R2187" s="1">
        <v>10.943490000000001</v>
      </c>
      <c r="S2187" s="1">
        <v>6.3230146999999999</v>
      </c>
      <c r="T2187" s="1">
        <v>-8.7184679999999997</v>
      </c>
      <c r="U2187" s="1">
        <v>61.64</v>
      </c>
      <c r="V2187" s="1">
        <v>100</v>
      </c>
      <c r="W2187" s="1">
        <v>174</v>
      </c>
      <c r="X2187" s="1">
        <v>1.74</v>
      </c>
      <c r="Y2187" s="1">
        <v>108</v>
      </c>
      <c r="Z2187" s="1">
        <v>174</v>
      </c>
      <c r="AA2187" s="1">
        <v>1.6111111111111112</v>
      </c>
      <c r="AB2187" s="1">
        <v>107.1813767032002</v>
      </c>
      <c r="AC2187" s="1">
        <v>173.35365879112399</v>
      </c>
      <c r="AD2187" s="1">
        <v>1.6173860060704746</v>
      </c>
      <c r="AE2187" t="s">
        <v>4817</v>
      </c>
      <c r="AF2187" t="str">
        <f>IF(X2187&lt;$AF$1,"Bajo","Alto")</f>
        <v>Bajo</v>
      </c>
      <c r="AG2187" t="str">
        <f>LEFT(AE2187,1)</f>
        <v>C</v>
      </c>
      <c r="AH2187" t="str">
        <f>K2187</f>
        <v>M</v>
      </c>
      <c r="AI2187" t="str">
        <f>LEFT(AF2187,1)</f>
        <v>B</v>
      </c>
      <c r="AJ2187" t="str">
        <f>LEFT(M2187,1)</f>
        <v>J</v>
      </c>
      <c r="AK2187" t="str">
        <f>_xlfn.CONCAT(AG2187,AH2187,AI2187,AJ2187)</f>
        <v>CMBJ</v>
      </c>
    </row>
    <row r="2188" spans="1:37" ht="15.75" hidden="1" customHeight="1" x14ac:dyDescent="0.2">
      <c r="A2188" s="1">
        <v>278801</v>
      </c>
      <c r="B2188" s="1" t="s">
        <v>3409</v>
      </c>
      <c r="C2188" s="1" t="s">
        <v>973</v>
      </c>
      <c r="D2188" s="1" t="s">
        <v>3754</v>
      </c>
      <c r="E2188" s="1" t="s">
        <v>763</v>
      </c>
      <c r="F2188" s="1" t="s">
        <v>32</v>
      </c>
      <c r="G2188" s="1" t="s">
        <v>3755</v>
      </c>
      <c r="H2188" s="1">
        <v>78</v>
      </c>
      <c r="I2188" s="1" t="s">
        <v>87</v>
      </c>
      <c r="J2188" s="1">
        <v>14</v>
      </c>
      <c r="K2188" s="1" t="s">
        <v>35</v>
      </c>
      <c r="L2188" s="1">
        <v>39</v>
      </c>
      <c r="M2188" s="1" t="str">
        <f>IF(L2188&lt;=45,"Joven","Mayor")</f>
        <v>Joven</v>
      </c>
      <c r="N2188" s="1">
        <v>43</v>
      </c>
      <c r="O2188" s="1" t="s">
        <v>36</v>
      </c>
      <c r="P2188" s="1">
        <v>0.18</v>
      </c>
      <c r="Q2188" s="1">
        <v>70.290000000000006</v>
      </c>
      <c r="R2188" s="1">
        <v>-12.041081</v>
      </c>
      <c r="S2188" s="1">
        <v>7.0601744999999996</v>
      </c>
      <c r="T2188" s="1">
        <v>4.7414227000000002</v>
      </c>
      <c r="U2188" s="1">
        <v>29.594999999999999</v>
      </c>
      <c r="V2188" s="1">
        <v>88</v>
      </c>
      <c r="W2188" s="1">
        <v>159</v>
      </c>
      <c r="X2188" s="1">
        <v>1.8068181818181819</v>
      </c>
      <c r="Y2188" s="1">
        <v>93</v>
      </c>
      <c r="Z2188" s="1">
        <v>159</v>
      </c>
      <c r="AA2188" s="1">
        <v>1.7096774193548387</v>
      </c>
      <c r="AB2188" s="1">
        <v>90.757237823396963</v>
      </c>
      <c r="AC2188" s="1">
        <v>157.87727104511811</v>
      </c>
      <c r="AD2188" s="1">
        <v>1.7395557074172854</v>
      </c>
      <c r="AE2188" t="s">
        <v>4816</v>
      </c>
      <c r="AF2188" t="str">
        <f>IF(X2188&lt;$AF$1,"Bajo","Alto")</f>
        <v>Alto</v>
      </c>
      <c r="AG2188" t="str">
        <f>LEFT(AE2188,1)</f>
        <v>D</v>
      </c>
      <c r="AH2188" t="str">
        <f>K2188</f>
        <v>M</v>
      </c>
      <c r="AI2188" t="str">
        <f>LEFT(AF2188,1)</f>
        <v>A</v>
      </c>
      <c r="AJ2188" t="str">
        <f>LEFT(M2188,1)</f>
        <v>J</v>
      </c>
      <c r="AK2188" t="str">
        <f>_xlfn.CONCAT(AG2188,AH2188,AI2188,AJ2188)</f>
        <v>DMAJ</v>
      </c>
    </row>
    <row r="2189" spans="1:37" ht="15.75" hidden="1" customHeight="1" x14ac:dyDescent="0.2">
      <c r="A2189" s="1">
        <v>1014002</v>
      </c>
      <c r="B2189" s="1" t="s">
        <v>29</v>
      </c>
      <c r="C2189" s="1" t="s">
        <v>30</v>
      </c>
      <c r="D2189" s="1" t="s">
        <v>656</v>
      </c>
      <c r="E2189" s="1" t="s">
        <v>657</v>
      </c>
      <c r="F2189" s="1" t="s">
        <v>37</v>
      </c>
      <c r="G2189" s="1" t="s">
        <v>659</v>
      </c>
      <c r="H2189" s="1">
        <v>679</v>
      </c>
      <c r="I2189" s="1" t="s">
        <v>65</v>
      </c>
      <c r="J2189" s="1">
        <v>2</v>
      </c>
      <c r="K2189" s="1" t="s">
        <v>35</v>
      </c>
      <c r="L2189" s="1">
        <v>67</v>
      </c>
      <c r="M2189" s="1" t="str">
        <f>IF(L2189&lt;=45,"Joven","Mayor")</f>
        <v>Mayor</v>
      </c>
      <c r="N2189" s="1">
        <v>59</v>
      </c>
      <c r="O2189" s="1" t="s">
        <v>36</v>
      </c>
      <c r="P2189" s="1">
        <v>5.0999999999999997E-2</v>
      </c>
      <c r="Q2189" s="1">
        <v>91.471000000000004</v>
      </c>
      <c r="R2189" s="1">
        <v>-3.9182377000000002</v>
      </c>
      <c r="S2189" s="1">
        <v>4.6761226999999996</v>
      </c>
      <c r="T2189" s="1">
        <v>5.1053452000000004</v>
      </c>
      <c r="U2189" s="1">
        <v>1.248</v>
      </c>
      <c r="V2189" s="1">
        <v>114</v>
      </c>
      <c r="W2189" s="1">
        <v>206</v>
      </c>
      <c r="X2189" s="1">
        <v>1.8070175438596492</v>
      </c>
      <c r="Y2189" s="1">
        <v>124</v>
      </c>
      <c r="Z2189" s="1">
        <v>206</v>
      </c>
      <c r="AA2189" s="1">
        <v>1.6612903225806452</v>
      </c>
      <c r="AB2189" s="1">
        <v>119.68161283821151</v>
      </c>
      <c r="AC2189" s="1">
        <v>206.78452014244249</v>
      </c>
      <c r="AD2189" s="1">
        <v>1.7277885486217401</v>
      </c>
      <c r="AE2189" t="s">
        <v>4817</v>
      </c>
      <c r="AF2189" t="str">
        <f>IF(X2189&lt;$AF$1,"Bajo","Alto")</f>
        <v>Alto</v>
      </c>
      <c r="AG2189" t="str">
        <f>LEFT(AE2189,1)</f>
        <v>C</v>
      </c>
      <c r="AH2189" t="str">
        <f>K2189</f>
        <v>M</v>
      </c>
      <c r="AI2189" t="str">
        <f>LEFT(AF2189,1)</f>
        <v>A</v>
      </c>
      <c r="AJ2189" t="str">
        <f>LEFT(M2189,1)</f>
        <v>M</v>
      </c>
      <c r="AK2189" t="str">
        <f>_xlfn.CONCAT(AG2189,AH2189,AI2189,AJ2189)</f>
        <v>CMAM</v>
      </c>
    </row>
    <row r="2190" spans="1:37" ht="15.75" hidden="1" customHeight="1" x14ac:dyDescent="0.2">
      <c r="A2190" s="1">
        <v>257606</v>
      </c>
      <c r="B2190" s="1" t="s">
        <v>3169</v>
      </c>
      <c r="C2190" s="1" t="s">
        <v>821</v>
      </c>
      <c r="D2190" s="1" t="s">
        <v>3315</v>
      </c>
      <c r="E2190" s="1" t="s">
        <v>727</v>
      </c>
      <c r="F2190" s="1" t="s">
        <v>88</v>
      </c>
      <c r="G2190" s="1" t="s">
        <v>3319</v>
      </c>
      <c r="H2190" s="1">
        <v>2215</v>
      </c>
      <c r="I2190" s="1" t="s">
        <v>3320</v>
      </c>
      <c r="J2190" s="1">
        <v>501</v>
      </c>
      <c r="K2190" s="1" t="s">
        <v>49</v>
      </c>
      <c r="L2190" s="1">
        <v>34</v>
      </c>
      <c r="M2190" s="1" t="str">
        <f>IF(L2190&lt;=45,"Joven","Mayor")</f>
        <v>Joven</v>
      </c>
      <c r="N2190" s="1">
        <v>43</v>
      </c>
      <c r="O2190" s="1" t="s">
        <v>50</v>
      </c>
      <c r="P2190" s="1">
        <v>0.38200000000000001</v>
      </c>
      <c r="Q2190" s="1">
        <v>76.179000000000002</v>
      </c>
      <c r="R2190" s="1">
        <v>11.072806</v>
      </c>
      <c r="S2190" s="1">
        <v>4.9098926000000001</v>
      </c>
      <c r="T2190" s="1">
        <v>-4.0878673000000001</v>
      </c>
      <c r="U2190" s="1">
        <v>18.327000000000002</v>
      </c>
      <c r="V2190" s="1">
        <v>104</v>
      </c>
      <c r="W2190" s="1">
        <v>181</v>
      </c>
      <c r="X2190" s="1">
        <v>1.7403846153846154</v>
      </c>
      <c r="Y2190" s="1">
        <v>108</v>
      </c>
      <c r="Z2190" s="1">
        <v>181</v>
      </c>
      <c r="AA2190" s="1">
        <v>1.6759259259259258</v>
      </c>
      <c r="AB2190" s="1">
        <v>107.0858664247355</v>
      </c>
      <c r="AC2190" s="1">
        <v>180.39694554126751</v>
      </c>
      <c r="AD2190" s="1">
        <v>1.6846008867851685</v>
      </c>
      <c r="AE2190" t="s">
        <v>4817</v>
      </c>
      <c r="AF2190" t="str">
        <f>IF(X2190&lt;$AF$1,"Bajo","Alto")</f>
        <v>Bajo</v>
      </c>
      <c r="AG2190" t="str">
        <f>LEFT(AE2190,1)</f>
        <v>C</v>
      </c>
      <c r="AH2190" t="str">
        <f>K2190</f>
        <v>F</v>
      </c>
      <c r="AI2190" t="str">
        <f>LEFT(AF2190,1)</f>
        <v>B</v>
      </c>
      <c r="AJ2190" t="str">
        <f>LEFT(M2190,1)</f>
        <v>J</v>
      </c>
      <c r="AK2190" t="str">
        <f>_xlfn.CONCAT(AG2190,AH2190,AI2190,AJ2190)</f>
        <v>CFBJ</v>
      </c>
    </row>
    <row r="2191" spans="1:37" ht="15.75" hidden="1" customHeight="1" x14ac:dyDescent="0.2">
      <c r="A2191" s="1">
        <v>10713002</v>
      </c>
      <c r="B2191" s="1" t="s">
        <v>1067</v>
      </c>
      <c r="C2191" s="1" t="s">
        <v>1068</v>
      </c>
      <c r="D2191" s="1" t="s">
        <v>1124</v>
      </c>
      <c r="E2191" s="1" t="s">
        <v>158</v>
      </c>
      <c r="F2191" s="1" t="s">
        <v>37</v>
      </c>
      <c r="G2191" s="1" t="s">
        <v>1126</v>
      </c>
      <c r="H2191" s="1">
        <v>1056</v>
      </c>
      <c r="I2191" s="1" t="s">
        <v>48</v>
      </c>
      <c r="J2191" s="1">
        <v>4</v>
      </c>
      <c r="K2191" s="1" t="s">
        <v>35</v>
      </c>
      <c r="L2191" s="1">
        <v>48</v>
      </c>
      <c r="M2191" s="1" t="str">
        <f>IF(L2191&lt;=45,"Joven","Mayor")</f>
        <v>Mayor</v>
      </c>
      <c r="N2191" s="1">
        <v>46</v>
      </c>
      <c r="O2191" s="1" t="s">
        <v>36</v>
      </c>
      <c r="P2191" s="1">
        <v>0.35299999999999998</v>
      </c>
      <c r="Q2191" s="1">
        <v>92.367999999999995</v>
      </c>
      <c r="R2191" s="1">
        <v>4.1461779999999999</v>
      </c>
      <c r="S2191" s="1">
        <v>-9.2729199999999998E-2</v>
      </c>
      <c r="T2191" s="1">
        <v>0.63789260000000003</v>
      </c>
      <c r="U2191" s="1">
        <v>0.42799999999999999</v>
      </c>
      <c r="V2191" s="1">
        <v>89</v>
      </c>
      <c r="W2191" s="1">
        <v>154</v>
      </c>
      <c r="X2191" s="1">
        <v>1.7303370786516854</v>
      </c>
      <c r="Y2191" s="1">
        <v>96</v>
      </c>
      <c r="Z2191" s="1">
        <v>154</v>
      </c>
      <c r="AA2191" s="1">
        <v>1.6041666666666667</v>
      </c>
      <c r="AB2191" s="1">
        <v>95.570992762189007</v>
      </c>
      <c r="AC2191" s="1">
        <v>154.05725445224149</v>
      </c>
      <c r="AD2191" s="1">
        <v>1.611966664776465</v>
      </c>
      <c r="AE2191" t="s">
        <v>4817</v>
      </c>
      <c r="AF2191" t="str">
        <f>IF(X2191&lt;$AF$1,"Bajo","Alto")</f>
        <v>Bajo</v>
      </c>
      <c r="AG2191" t="str">
        <f>LEFT(AE2191,1)</f>
        <v>C</v>
      </c>
      <c r="AH2191" t="str">
        <f>K2191</f>
        <v>M</v>
      </c>
      <c r="AI2191" t="str">
        <f>LEFT(AF2191,1)</f>
        <v>B</v>
      </c>
      <c r="AJ2191" t="str">
        <f>LEFT(M2191,1)</f>
        <v>M</v>
      </c>
      <c r="AK2191" t="str">
        <f>_xlfn.CONCAT(AG2191,AH2191,AI2191,AJ2191)</f>
        <v>CMBM</v>
      </c>
    </row>
    <row r="2192" spans="1:37" ht="15.75" hidden="1" customHeight="1" x14ac:dyDescent="0.2">
      <c r="A2192" s="1">
        <v>1533703</v>
      </c>
      <c r="B2192" s="1" t="s">
        <v>2077</v>
      </c>
      <c r="C2192" s="1" t="s">
        <v>57</v>
      </c>
      <c r="D2192" s="1" t="s">
        <v>2433</v>
      </c>
      <c r="E2192" s="1" t="s">
        <v>1428</v>
      </c>
      <c r="F2192" s="1" t="s">
        <v>63</v>
      </c>
      <c r="G2192" s="1" t="s">
        <v>2435</v>
      </c>
      <c r="H2192" s="1">
        <v>192</v>
      </c>
      <c r="I2192" s="1" t="s">
        <v>65</v>
      </c>
      <c r="J2192" s="1">
        <v>2</v>
      </c>
      <c r="K2192" s="1" t="s">
        <v>35</v>
      </c>
      <c r="L2192" s="1">
        <v>34</v>
      </c>
      <c r="M2192" s="1" t="str">
        <f>IF(L2192&lt;=45,"Joven","Mayor")</f>
        <v>Joven</v>
      </c>
      <c r="N2192" s="1">
        <v>46</v>
      </c>
      <c r="O2192" s="1" t="s">
        <v>36</v>
      </c>
      <c r="P2192" s="1">
        <v>0.36199999999999999</v>
      </c>
      <c r="Q2192" s="1">
        <v>88.509</v>
      </c>
      <c r="R2192" s="1">
        <v>6.8933606000000003</v>
      </c>
      <c r="S2192" s="1">
        <v>-2.0906603000000001</v>
      </c>
      <c r="T2192" s="1">
        <v>-1.0533739</v>
      </c>
      <c r="U2192" s="1">
        <v>22.971</v>
      </c>
      <c r="V2192" s="1">
        <v>100</v>
      </c>
      <c r="W2192" s="1">
        <v>174</v>
      </c>
      <c r="X2192" s="1">
        <v>1.74</v>
      </c>
      <c r="Y2192" s="1">
        <v>100</v>
      </c>
      <c r="Z2192" s="1">
        <v>174</v>
      </c>
      <c r="AA2192" s="1">
        <v>1.74</v>
      </c>
      <c r="AB2192" s="1">
        <v>100.81037167506609</v>
      </c>
      <c r="AC2192" s="1">
        <v>173.91544319412469</v>
      </c>
      <c r="AD2192" s="1">
        <v>1.7251741096113826</v>
      </c>
      <c r="AE2192" t="s">
        <v>4817</v>
      </c>
      <c r="AF2192" t="str">
        <f>IF(X2192&lt;$AF$1,"Bajo","Alto")</f>
        <v>Bajo</v>
      </c>
      <c r="AG2192" t="str">
        <f>LEFT(AE2192,1)</f>
        <v>C</v>
      </c>
      <c r="AH2192" t="str">
        <f>K2192</f>
        <v>M</v>
      </c>
      <c r="AI2192" t="str">
        <f>LEFT(AF2192,1)</f>
        <v>B</v>
      </c>
      <c r="AJ2192" t="str">
        <f>LEFT(M2192,1)</f>
        <v>J</v>
      </c>
      <c r="AK2192" t="str">
        <f>_xlfn.CONCAT(AG2192,AH2192,AI2192,AJ2192)</f>
        <v>CMBJ</v>
      </c>
    </row>
    <row r="2193" spans="1:37" ht="15.75" hidden="1" customHeight="1" x14ac:dyDescent="0.2">
      <c r="A2193" s="1">
        <v>1526502</v>
      </c>
      <c r="B2193" s="1" t="s">
        <v>2077</v>
      </c>
      <c r="C2193" s="1" t="s">
        <v>57</v>
      </c>
      <c r="D2193" s="1" t="s">
        <v>2321</v>
      </c>
      <c r="E2193" s="1" t="s">
        <v>528</v>
      </c>
      <c r="F2193" s="1" t="s">
        <v>37</v>
      </c>
      <c r="G2193" s="1" t="s">
        <v>2323</v>
      </c>
      <c r="H2193" s="1">
        <v>963</v>
      </c>
      <c r="I2193" s="1" t="s">
        <v>65</v>
      </c>
      <c r="J2193" s="1">
        <v>2</v>
      </c>
      <c r="K2193" s="1" t="s">
        <v>35</v>
      </c>
      <c r="L2193" s="1">
        <v>34</v>
      </c>
      <c r="M2193" s="1" t="str">
        <f>IF(L2193&lt;=45,"Joven","Mayor")</f>
        <v>Joven</v>
      </c>
      <c r="N2193" s="1">
        <v>42</v>
      </c>
      <c r="O2193" s="1" t="s">
        <v>36</v>
      </c>
      <c r="P2193" s="1">
        <v>0.36099999999999999</v>
      </c>
      <c r="Q2193" s="1">
        <v>84.798000000000002</v>
      </c>
      <c r="R2193" s="1">
        <v>8.6162740000000007</v>
      </c>
      <c r="S2193" s="1">
        <v>3.0011093999999998</v>
      </c>
      <c r="T2193" s="1">
        <v>-11.683709</v>
      </c>
      <c r="U2193" s="1">
        <v>8.0739999999999998</v>
      </c>
      <c r="V2193" s="1">
        <v>83</v>
      </c>
      <c r="W2193" s="1">
        <v>150</v>
      </c>
      <c r="X2193" s="1">
        <v>1.8072289156626506</v>
      </c>
      <c r="Y2193" s="1">
        <v>96</v>
      </c>
      <c r="Z2193" s="1">
        <v>150</v>
      </c>
      <c r="AA2193" s="1">
        <v>1.5625</v>
      </c>
      <c r="AB2193" s="1">
        <v>90.79819224915218</v>
      </c>
      <c r="AC2193" s="1">
        <v>150.13220629183979</v>
      </c>
      <c r="AD2193" s="1">
        <v>1.6534713144935067</v>
      </c>
      <c r="AE2193" t="s">
        <v>4817</v>
      </c>
      <c r="AF2193" t="str">
        <f>IF(X2193&lt;$AF$1,"Bajo","Alto")</f>
        <v>Alto</v>
      </c>
      <c r="AG2193" t="str">
        <f>LEFT(AE2193,1)</f>
        <v>C</v>
      </c>
      <c r="AH2193" t="str">
        <f>K2193</f>
        <v>M</v>
      </c>
      <c r="AI2193" t="str">
        <f>LEFT(AF2193,1)</f>
        <v>A</v>
      </c>
      <c r="AJ2193" t="str">
        <f>LEFT(M2193,1)</f>
        <v>J</v>
      </c>
      <c r="AK2193" t="str">
        <f>_xlfn.CONCAT(AG2193,AH2193,AI2193,AJ2193)</f>
        <v>CMAJ</v>
      </c>
    </row>
    <row r="2194" spans="1:37" ht="15.75" hidden="1" customHeight="1" x14ac:dyDescent="0.2">
      <c r="A2194" s="1">
        <v>441206</v>
      </c>
      <c r="B2194" s="1" t="s">
        <v>4314</v>
      </c>
      <c r="C2194" s="1" t="s">
        <v>995</v>
      </c>
      <c r="D2194" s="1" t="s">
        <v>4346</v>
      </c>
      <c r="E2194" s="1" t="s">
        <v>54</v>
      </c>
      <c r="F2194" s="1" t="s">
        <v>88</v>
      </c>
      <c r="G2194" s="1" t="s">
        <v>4351</v>
      </c>
      <c r="H2194" s="1">
        <v>352</v>
      </c>
      <c r="I2194" s="1" t="s">
        <v>48</v>
      </c>
      <c r="J2194" s="1">
        <v>4</v>
      </c>
      <c r="K2194" s="1" t="s">
        <v>35</v>
      </c>
      <c r="L2194" s="1">
        <v>34</v>
      </c>
      <c r="M2194" s="1" t="str">
        <f>IF(L2194&lt;=45,"Joven","Mayor")</f>
        <v>Joven</v>
      </c>
      <c r="N2194" s="1">
        <v>47</v>
      </c>
      <c r="O2194" s="1" t="s">
        <v>36</v>
      </c>
      <c r="P2194" s="1">
        <v>0.436</v>
      </c>
      <c r="Q2194" s="1">
        <v>92.385999999999996</v>
      </c>
      <c r="R2194" s="1">
        <v>0.60639953999999996</v>
      </c>
      <c r="S2194" s="1">
        <v>8.5316589999999994</v>
      </c>
      <c r="T2194" s="1">
        <v>-6.6051454999999999</v>
      </c>
      <c r="U2194" s="1">
        <v>2.7879999999999998</v>
      </c>
      <c r="V2194" s="1">
        <v>100</v>
      </c>
      <c r="W2194" s="1">
        <v>174</v>
      </c>
      <c r="X2194" s="1">
        <v>1.74</v>
      </c>
      <c r="Y2194" s="1">
        <v>104</v>
      </c>
      <c r="Z2194" s="1">
        <v>174</v>
      </c>
      <c r="AA2194" s="1">
        <v>1.6730769230769231</v>
      </c>
      <c r="AB2194" s="1">
        <v>105.5476674380197</v>
      </c>
      <c r="AC2194" s="1">
        <v>174.45543353410079</v>
      </c>
      <c r="AD2194" s="1">
        <v>1.6528592035114893</v>
      </c>
      <c r="AE2194" t="s">
        <v>4817</v>
      </c>
      <c r="AF2194" t="str">
        <f>IF(X2194&lt;$AF$1,"Bajo","Alto")</f>
        <v>Bajo</v>
      </c>
      <c r="AG2194" t="str">
        <f>LEFT(AE2194,1)</f>
        <v>C</v>
      </c>
      <c r="AH2194" t="str">
        <f>K2194</f>
        <v>M</v>
      </c>
      <c r="AI2194" t="str">
        <f>LEFT(AF2194,1)</f>
        <v>B</v>
      </c>
      <c r="AJ2194" t="str">
        <f>LEFT(M2194,1)</f>
        <v>J</v>
      </c>
      <c r="AK2194" t="str">
        <f>_xlfn.CONCAT(AG2194,AH2194,AI2194,AJ2194)</f>
        <v>CMBJ</v>
      </c>
    </row>
    <row r="2195" spans="1:37" ht="15.75" hidden="1" customHeight="1" x14ac:dyDescent="0.2">
      <c r="A2195" s="1">
        <v>157905</v>
      </c>
      <c r="B2195" s="1" t="s">
        <v>2077</v>
      </c>
      <c r="C2195" s="1" t="s">
        <v>57</v>
      </c>
      <c r="D2195" s="1" t="s">
        <v>2521</v>
      </c>
      <c r="E2195" s="1" t="s">
        <v>739</v>
      </c>
      <c r="F2195" s="1" t="s">
        <v>40</v>
      </c>
      <c r="G2195" s="1" t="s">
        <v>2525</v>
      </c>
      <c r="H2195" s="1">
        <v>2270</v>
      </c>
      <c r="I2195" s="1" t="s">
        <v>2526</v>
      </c>
      <c r="J2195" s="1">
        <v>2984</v>
      </c>
      <c r="K2195" s="1" t="s">
        <v>35</v>
      </c>
      <c r="L2195" s="1">
        <v>33</v>
      </c>
      <c r="M2195" s="1" t="str">
        <f>IF(L2195&lt;=45,"Joven","Mayor")</f>
        <v>Joven</v>
      </c>
      <c r="N2195" s="1">
        <v>37</v>
      </c>
      <c r="O2195" s="1" t="s">
        <v>36</v>
      </c>
      <c r="P2195" s="1">
        <v>0.32400000000000001</v>
      </c>
      <c r="Q2195" s="1">
        <v>90.453999999999994</v>
      </c>
      <c r="R2195" s="1">
        <v>3.039107</v>
      </c>
      <c r="S2195" s="1">
        <v>8.7180490000000006</v>
      </c>
      <c r="T2195" s="1">
        <v>9.1189160000000005E-2</v>
      </c>
      <c r="U2195" s="1">
        <v>30.167999999999999</v>
      </c>
      <c r="V2195" s="1">
        <v>92</v>
      </c>
      <c r="W2195" s="1">
        <v>160</v>
      </c>
      <c r="X2195" s="1">
        <v>1.7391304347826086</v>
      </c>
      <c r="Y2195" s="1">
        <v>96</v>
      </c>
      <c r="Z2195" s="1">
        <v>160</v>
      </c>
      <c r="AA2195" s="1">
        <v>1.6666666666666667</v>
      </c>
      <c r="AB2195" s="1">
        <v>95.933033297039628</v>
      </c>
      <c r="AC2195" s="1">
        <v>160.00298045807901</v>
      </c>
      <c r="AD2195" s="1">
        <v>1.6678611627202296</v>
      </c>
      <c r="AE2195" t="s">
        <v>4815</v>
      </c>
      <c r="AF2195" t="str">
        <f>IF(X2195&lt;$AF$1,"Bajo","Alto")</f>
        <v>Bajo</v>
      </c>
      <c r="AG2195" t="str">
        <f>LEFT(AE2195,1)</f>
        <v>I</v>
      </c>
      <c r="AH2195" t="str">
        <f>K2195</f>
        <v>M</v>
      </c>
      <c r="AI2195" t="str">
        <f>LEFT(AF2195,1)</f>
        <v>B</v>
      </c>
      <c r="AJ2195" t="str">
        <f>LEFT(M2195,1)</f>
        <v>J</v>
      </c>
      <c r="AK2195" t="str">
        <f>_xlfn.CONCAT(AG2195,AH2195,AI2195,AJ2195)</f>
        <v>IMBJ</v>
      </c>
    </row>
    <row r="2196" spans="1:37" ht="15.75" hidden="1" customHeight="1" x14ac:dyDescent="0.2">
      <c r="A2196" s="1">
        <v>1275001</v>
      </c>
      <c r="B2196" s="1" t="s">
        <v>1798</v>
      </c>
      <c r="C2196" s="1" t="s">
        <v>54</v>
      </c>
      <c r="D2196" s="1" t="s">
        <v>1906</v>
      </c>
      <c r="E2196" s="1" t="s">
        <v>1907</v>
      </c>
      <c r="F2196" s="1" t="s">
        <v>32</v>
      </c>
      <c r="G2196" s="1" t="s">
        <v>1908</v>
      </c>
      <c r="H2196" s="1">
        <v>983</v>
      </c>
      <c r="I2196" s="1" t="s">
        <v>85</v>
      </c>
      <c r="J2196" s="1">
        <v>12</v>
      </c>
      <c r="K2196" s="1" t="s">
        <v>35</v>
      </c>
      <c r="L2196" s="1">
        <v>48</v>
      </c>
      <c r="M2196" s="1" t="str">
        <f>IF(L2196&lt;=45,"Joven","Mayor")</f>
        <v>Mayor</v>
      </c>
      <c r="N2196" s="1">
        <v>42</v>
      </c>
      <c r="O2196" s="1" t="s">
        <v>36</v>
      </c>
      <c r="P2196" s="1">
        <v>0.36</v>
      </c>
      <c r="Q2196" s="1">
        <v>91.914000000000001</v>
      </c>
      <c r="R2196" s="1">
        <v>4.6081095000000003</v>
      </c>
      <c r="S2196" s="1">
        <v>0.19104636</v>
      </c>
      <c r="T2196" s="1">
        <v>-0.90813999999999995</v>
      </c>
      <c r="U2196" s="1">
        <v>13.869</v>
      </c>
      <c r="V2196" s="1">
        <v>155</v>
      </c>
      <c r="W2196" s="1">
        <v>279</v>
      </c>
      <c r="X2196" s="1">
        <v>1.8</v>
      </c>
      <c r="Y2196" s="1">
        <v>163</v>
      </c>
      <c r="Z2196" s="1">
        <v>279</v>
      </c>
      <c r="AA2196" s="1">
        <v>1.7116564417177915</v>
      </c>
      <c r="AB2196" s="1">
        <v>164.04143346107341</v>
      </c>
      <c r="AC2196" s="1">
        <v>278.69551576843787</v>
      </c>
      <c r="AD2196" s="1">
        <v>1.6989336772320487</v>
      </c>
      <c r="AE2196" t="s">
        <v>4815</v>
      </c>
      <c r="AF2196" t="str">
        <f>IF(X2196&lt;$AF$1,"Bajo","Alto")</f>
        <v>Alto</v>
      </c>
      <c r="AG2196" t="str">
        <f>LEFT(AE2196,1)</f>
        <v>I</v>
      </c>
      <c r="AH2196" t="str">
        <f>K2196</f>
        <v>M</v>
      </c>
      <c r="AI2196" t="str">
        <f>LEFT(AF2196,1)</f>
        <v>A</v>
      </c>
      <c r="AJ2196" t="str">
        <f>LEFT(M2196,1)</f>
        <v>M</v>
      </c>
      <c r="AK2196" t="str">
        <f>_xlfn.CONCAT(AG2196,AH2196,AI2196,AJ2196)</f>
        <v>IMAM</v>
      </c>
    </row>
    <row r="2197" spans="1:37" ht="15.75" hidden="1" customHeight="1" x14ac:dyDescent="0.2">
      <c r="A2197" s="1">
        <v>10120501</v>
      </c>
      <c r="B2197" s="1" t="s">
        <v>29</v>
      </c>
      <c r="C2197" s="1" t="s">
        <v>30</v>
      </c>
      <c r="D2197" s="1" t="s">
        <v>363</v>
      </c>
      <c r="E2197" s="1" t="s">
        <v>364</v>
      </c>
      <c r="F2197" s="1" t="s">
        <v>32</v>
      </c>
      <c r="G2197" s="1" t="s">
        <v>365</v>
      </c>
      <c r="H2197" s="1">
        <v>406</v>
      </c>
      <c r="I2197" s="1" t="s">
        <v>100</v>
      </c>
      <c r="J2197" s="1">
        <v>1</v>
      </c>
      <c r="K2197" s="1" t="s">
        <v>35</v>
      </c>
      <c r="L2197" s="1">
        <v>36</v>
      </c>
      <c r="M2197" s="1" t="str">
        <f>IF(L2197&lt;=45,"Joven","Mayor")</f>
        <v>Joven</v>
      </c>
      <c r="N2197" s="1">
        <v>45</v>
      </c>
      <c r="O2197" s="1" t="s">
        <v>36</v>
      </c>
      <c r="P2197" s="1">
        <v>0.47799999999999998</v>
      </c>
      <c r="Q2197" s="1">
        <v>90.355000000000004</v>
      </c>
      <c r="R2197" s="1">
        <v>4.7398049999999996</v>
      </c>
      <c r="S2197" s="1">
        <v>-4.9792037000000002</v>
      </c>
      <c r="T2197" s="1">
        <v>-1.3702992000000001</v>
      </c>
      <c r="U2197" s="1">
        <v>10.497999999999999</v>
      </c>
      <c r="V2197" s="1">
        <v>77</v>
      </c>
      <c r="W2197" s="1">
        <v>134</v>
      </c>
      <c r="X2197" s="1">
        <v>1.7402597402597402</v>
      </c>
      <c r="Y2197" s="1">
        <v>80</v>
      </c>
      <c r="Z2197" s="1">
        <v>134</v>
      </c>
      <c r="AA2197" s="1">
        <v>1.675</v>
      </c>
      <c r="AB2197" s="1">
        <v>79.092305386239786</v>
      </c>
      <c r="AC2197" s="1">
        <v>134.0095066576732</v>
      </c>
      <c r="AD2197" s="1">
        <v>1.6943431602258963</v>
      </c>
      <c r="AE2197" t="s">
        <v>4817</v>
      </c>
      <c r="AF2197" t="str">
        <f>IF(X2197&lt;$AF$1,"Bajo","Alto")</f>
        <v>Bajo</v>
      </c>
      <c r="AG2197" t="str">
        <f>LEFT(AE2197,1)</f>
        <v>C</v>
      </c>
      <c r="AH2197" t="str">
        <f>K2197</f>
        <v>M</v>
      </c>
      <c r="AI2197" t="str">
        <f>LEFT(AF2197,1)</f>
        <v>B</v>
      </c>
      <c r="AJ2197" t="str">
        <f>LEFT(M2197,1)</f>
        <v>J</v>
      </c>
      <c r="AK2197" t="str">
        <f>_xlfn.CONCAT(AG2197,AH2197,AI2197,AJ2197)</f>
        <v>CMBJ</v>
      </c>
    </row>
    <row r="2198" spans="1:37" ht="15.75" hidden="1" customHeight="1" x14ac:dyDescent="0.2">
      <c r="A2198" s="1">
        <v>1051308</v>
      </c>
      <c r="B2198" s="1" t="s">
        <v>694</v>
      </c>
      <c r="C2198" s="1" t="s">
        <v>879</v>
      </c>
      <c r="D2198" s="1" t="s">
        <v>935</v>
      </c>
      <c r="E2198" s="1" t="s">
        <v>163</v>
      </c>
      <c r="F2198" s="1" t="s">
        <v>46</v>
      </c>
      <c r="G2198" s="1" t="s">
        <v>944</v>
      </c>
      <c r="H2198" s="1">
        <v>5065</v>
      </c>
      <c r="I2198" s="1" t="s">
        <v>945</v>
      </c>
      <c r="J2198" s="1">
        <v>4082</v>
      </c>
      <c r="K2198" s="1" t="s">
        <v>35</v>
      </c>
      <c r="L2198" s="1">
        <v>33</v>
      </c>
      <c r="M2198" s="1" t="str">
        <f>IF(L2198&lt;=45,"Joven","Mayor")</f>
        <v>Joven</v>
      </c>
      <c r="N2198" s="1">
        <v>28</v>
      </c>
      <c r="O2198" s="1" t="s">
        <v>36</v>
      </c>
      <c r="P2198" s="1">
        <v>0.36099999999999999</v>
      </c>
      <c r="Q2198" s="1">
        <v>70.968999999999994</v>
      </c>
      <c r="R2198" s="1">
        <v>12.811147</v>
      </c>
      <c r="S2198" s="1">
        <v>1.0593606</v>
      </c>
      <c r="T2198" s="1">
        <v>-4.4564959999999996</v>
      </c>
      <c r="U2198" s="1">
        <v>10.585000000000001</v>
      </c>
      <c r="V2198" s="1">
        <v>88</v>
      </c>
      <c r="W2198" s="1">
        <v>159</v>
      </c>
      <c r="X2198" s="1">
        <v>1.8068181818181819</v>
      </c>
      <c r="Y2198" s="1">
        <v>89</v>
      </c>
      <c r="Z2198" s="1">
        <v>159</v>
      </c>
      <c r="AA2198" s="1">
        <v>1.7865168539325842</v>
      </c>
      <c r="AB2198" s="1">
        <v>92.305216913245204</v>
      </c>
      <c r="AC2198" s="1">
        <v>158.20847398303161</v>
      </c>
      <c r="AD2198" s="1">
        <v>1.7139710979903424</v>
      </c>
      <c r="AE2198" t="s">
        <v>4817</v>
      </c>
      <c r="AF2198" t="str">
        <f>IF(X2198&lt;$AF$1,"Bajo","Alto")</f>
        <v>Alto</v>
      </c>
      <c r="AG2198" t="str">
        <f>LEFT(AE2198,1)</f>
        <v>C</v>
      </c>
      <c r="AH2198" t="str">
        <f>K2198</f>
        <v>M</v>
      </c>
      <c r="AI2198" t="str">
        <f>LEFT(AF2198,1)</f>
        <v>A</v>
      </c>
      <c r="AJ2198" t="str">
        <f>LEFT(M2198,1)</f>
        <v>J</v>
      </c>
      <c r="AK2198" t="str">
        <f>_xlfn.CONCAT(AG2198,AH2198,AI2198,AJ2198)</f>
        <v>CMAJ</v>
      </c>
    </row>
    <row r="2199" spans="1:37" ht="15.75" hidden="1" customHeight="1" x14ac:dyDescent="0.2">
      <c r="A2199" s="1">
        <v>133704</v>
      </c>
      <c r="B2199" s="1" t="s">
        <v>956</v>
      </c>
      <c r="C2199" s="1" t="s">
        <v>163</v>
      </c>
      <c r="D2199" s="1" t="s">
        <v>2032</v>
      </c>
      <c r="E2199" s="1" t="s">
        <v>647</v>
      </c>
      <c r="F2199" s="1" t="s">
        <v>61</v>
      </c>
      <c r="G2199" s="1" t="s">
        <v>2034</v>
      </c>
      <c r="H2199" s="1">
        <v>250</v>
      </c>
      <c r="I2199" s="1" t="s">
        <v>91</v>
      </c>
      <c r="J2199" s="1">
        <v>6</v>
      </c>
      <c r="K2199" s="1" t="s">
        <v>35</v>
      </c>
      <c r="L2199" s="1">
        <v>29</v>
      </c>
      <c r="M2199" s="1" t="str">
        <f>IF(L2199&lt;=45,"Joven","Mayor")</f>
        <v>Joven</v>
      </c>
      <c r="N2199" s="1">
        <v>26</v>
      </c>
      <c r="O2199" s="1" t="s">
        <v>36</v>
      </c>
      <c r="P2199" s="1">
        <v>0.41599999999999998</v>
      </c>
      <c r="Q2199" s="1">
        <v>91.938999999999993</v>
      </c>
      <c r="R2199" s="1">
        <v>-2.0661372999999998</v>
      </c>
      <c r="S2199" s="1">
        <v>7.2942543000000004</v>
      </c>
      <c r="T2199" s="1">
        <v>0.81027996999999996</v>
      </c>
      <c r="U2199" s="1">
        <v>6.0620000000000003</v>
      </c>
      <c r="V2199" s="1">
        <v>88</v>
      </c>
      <c r="W2199" s="1">
        <v>159</v>
      </c>
      <c r="X2199" s="1">
        <v>1.8068181818181819</v>
      </c>
      <c r="Y2199" s="1">
        <v>91</v>
      </c>
      <c r="Z2199" s="1">
        <v>159</v>
      </c>
      <c r="AA2199" s="1">
        <v>1.7472527472527473</v>
      </c>
      <c r="AB2199" s="1">
        <v>90.36867065184947</v>
      </c>
      <c r="AC2199" s="1">
        <v>158.9841004500158</v>
      </c>
      <c r="AD2199" s="1">
        <v>1.7592833811013027</v>
      </c>
      <c r="AE2199" t="s">
        <v>4817</v>
      </c>
      <c r="AF2199" t="str">
        <f>IF(X2199&lt;$AF$1,"Bajo","Alto")</f>
        <v>Alto</v>
      </c>
      <c r="AG2199" t="str">
        <f>LEFT(AE2199,1)</f>
        <v>C</v>
      </c>
      <c r="AH2199" t="str">
        <f>K2199</f>
        <v>M</v>
      </c>
      <c r="AI2199" t="str">
        <f>LEFT(AF2199,1)</f>
        <v>A</v>
      </c>
      <c r="AJ2199" t="str">
        <f>LEFT(M2199,1)</f>
        <v>J</v>
      </c>
      <c r="AK2199" t="str">
        <f>_xlfn.CONCAT(AG2199,AH2199,AI2199,AJ2199)</f>
        <v>CMAJ</v>
      </c>
    </row>
    <row r="2200" spans="1:37" ht="15.75" hidden="1" customHeight="1" x14ac:dyDescent="0.2">
      <c r="A2200" s="1">
        <v>1521803</v>
      </c>
      <c r="B2200" s="1" t="s">
        <v>2077</v>
      </c>
      <c r="C2200" s="1" t="s">
        <v>57</v>
      </c>
      <c r="D2200" s="1" t="s">
        <v>2253</v>
      </c>
      <c r="E2200" s="1" t="s">
        <v>410</v>
      </c>
      <c r="F2200" s="1" t="s">
        <v>63</v>
      </c>
      <c r="G2200" s="1" t="s">
        <v>2255</v>
      </c>
      <c r="H2200" s="1">
        <v>38</v>
      </c>
      <c r="I2200" s="1" t="s">
        <v>85</v>
      </c>
      <c r="J2200" s="1">
        <v>12</v>
      </c>
      <c r="K2200" s="1" t="s">
        <v>35</v>
      </c>
      <c r="L2200" s="1">
        <v>60</v>
      </c>
      <c r="M2200" s="1" t="str">
        <f>IF(L2200&lt;=45,"Joven","Mayor")</f>
        <v>Mayor</v>
      </c>
      <c r="N2200" s="1">
        <v>63</v>
      </c>
      <c r="O2200" s="1" t="s">
        <v>36</v>
      </c>
      <c r="P2200" s="1">
        <v>0.36199999999999999</v>
      </c>
      <c r="Q2200" s="1">
        <v>88.712999999999994</v>
      </c>
      <c r="R2200" s="1">
        <v>6.70479</v>
      </c>
      <c r="S2200" s="1">
        <v>-2.3725412000000001</v>
      </c>
      <c r="T2200" s="1">
        <v>-1.440207</v>
      </c>
      <c r="U2200" s="1">
        <v>6.2770000000000001</v>
      </c>
      <c r="V2200" s="1">
        <v>73</v>
      </c>
      <c r="W2200" s="1">
        <v>131</v>
      </c>
      <c r="X2200" s="1">
        <v>1.7945205479452055</v>
      </c>
      <c r="Y2200" s="1">
        <v>73</v>
      </c>
      <c r="Z2200" s="1">
        <v>131</v>
      </c>
      <c r="AA2200" s="1">
        <v>1.7945205479452055</v>
      </c>
      <c r="AB2200" s="1">
        <v>73.831485232023851</v>
      </c>
      <c r="AC2200" s="1">
        <v>130.95861690166251</v>
      </c>
      <c r="AD2200" s="1">
        <v>1.7737502704992341</v>
      </c>
      <c r="AE2200" t="s">
        <v>4815</v>
      </c>
      <c r="AF2200" t="str">
        <f>IF(X2200&lt;$AF$1,"Bajo","Alto")</f>
        <v>Alto</v>
      </c>
      <c r="AG2200" t="str">
        <f>LEFT(AE2200,1)</f>
        <v>I</v>
      </c>
      <c r="AH2200" t="str">
        <f>K2200</f>
        <v>M</v>
      </c>
      <c r="AI2200" t="str">
        <f>LEFT(AF2200,1)</f>
        <v>A</v>
      </c>
      <c r="AJ2200" t="str">
        <f>LEFT(M2200,1)</f>
        <v>M</v>
      </c>
      <c r="AK2200" t="str">
        <f>_xlfn.CONCAT(AG2200,AH2200,AI2200,AJ2200)</f>
        <v>IMAM</v>
      </c>
    </row>
    <row r="2201" spans="1:37" ht="15.75" hidden="1" customHeight="1" x14ac:dyDescent="0.2">
      <c r="A2201" s="1">
        <v>1050705</v>
      </c>
      <c r="B2201" s="1" t="s">
        <v>694</v>
      </c>
      <c r="C2201" s="1" t="s">
        <v>879</v>
      </c>
      <c r="D2201" s="1" t="s">
        <v>895</v>
      </c>
      <c r="E2201" s="1" t="s">
        <v>43</v>
      </c>
      <c r="F2201" s="1" t="s">
        <v>40</v>
      </c>
      <c r="G2201" s="1" t="s">
        <v>898</v>
      </c>
      <c r="H2201" s="1">
        <v>14907</v>
      </c>
      <c r="I2201" s="1" t="s">
        <v>134</v>
      </c>
      <c r="J2201" s="1">
        <v>8</v>
      </c>
      <c r="K2201" s="1" t="s">
        <v>35</v>
      </c>
      <c r="L2201" s="1">
        <v>44</v>
      </c>
      <c r="M2201" s="1" t="str">
        <f>IF(L2201&lt;=45,"Joven","Mayor")</f>
        <v>Joven</v>
      </c>
      <c r="N2201" s="1">
        <v>28</v>
      </c>
      <c r="O2201" s="1" t="s">
        <v>36</v>
      </c>
      <c r="P2201" s="1">
        <v>0.50900000000000001</v>
      </c>
      <c r="Q2201" s="1">
        <v>25.971</v>
      </c>
      <c r="R2201" s="1">
        <v>19.071804</v>
      </c>
      <c r="S2201" s="1">
        <v>1.5099994000000001</v>
      </c>
      <c r="T2201" s="1">
        <v>-3.6285419999999999</v>
      </c>
      <c r="U2201" s="1">
        <v>42.677</v>
      </c>
      <c r="V2201" s="1">
        <v>77</v>
      </c>
      <c r="W2201" s="1">
        <v>134</v>
      </c>
      <c r="X2201" s="1">
        <v>1.7402597402597402</v>
      </c>
      <c r="Y2201" s="1">
        <v>79</v>
      </c>
      <c r="Z2201" s="1">
        <v>134</v>
      </c>
      <c r="AA2201" s="1">
        <v>1.6962025316455696</v>
      </c>
      <c r="AB2201" s="1">
        <v>79.187284236741107</v>
      </c>
      <c r="AC2201" s="1">
        <v>133.60479823994231</v>
      </c>
      <c r="AD2201" s="1">
        <v>1.6872001550212616</v>
      </c>
      <c r="AE2201" t="s">
        <v>4817</v>
      </c>
      <c r="AF2201" t="str">
        <f>IF(X2201&lt;$AF$1,"Bajo","Alto")</f>
        <v>Bajo</v>
      </c>
      <c r="AG2201" t="str">
        <f>LEFT(AE2201,1)</f>
        <v>C</v>
      </c>
      <c r="AH2201" t="str">
        <f>K2201</f>
        <v>M</v>
      </c>
      <c r="AI2201" t="str">
        <f>LEFT(AF2201,1)</f>
        <v>B</v>
      </c>
      <c r="AJ2201" t="str">
        <f>LEFT(M2201,1)</f>
        <v>J</v>
      </c>
      <c r="AK2201" t="str">
        <f>_xlfn.CONCAT(AG2201,AH2201,AI2201,AJ2201)</f>
        <v>CMBJ</v>
      </c>
    </row>
    <row r="2202" spans="1:37" ht="15.75" hidden="1" customHeight="1" x14ac:dyDescent="0.2">
      <c r="A2202" s="1">
        <v>191005</v>
      </c>
      <c r="B2202" s="1" t="s">
        <v>2656</v>
      </c>
      <c r="C2202" s="1" t="s">
        <v>323</v>
      </c>
      <c r="D2202" s="1" t="s">
        <v>2670</v>
      </c>
      <c r="E2202" s="1" t="s">
        <v>75</v>
      </c>
      <c r="F2202" s="1" t="s">
        <v>40</v>
      </c>
      <c r="G2202" s="1" t="s">
        <v>2674</v>
      </c>
      <c r="H2202" s="1">
        <v>115</v>
      </c>
      <c r="I2202" s="1" t="s">
        <v>2675</v>
      </c>
      <c r="J2202" s="1">
        <v>4290</v>
      </c>
      <c r="K2202" s="1" t="s">
        <v>35</v>
      </c>
      <c r="L2202" s="1">
        <v>67</v>
      </c>
      <c r="M2202" s="1" t="str">
        <f>IF(L2202&lt;=45,"Joven","Mayor")</f>
        <v>Mayor</v>
      </c>
      <c r="N2202" s="1">
        <v>78</v>
      </c>
      <c r="O2202" s="1" t="s">
        <v>36</v>
      </c>
      <c r="P2202" s="1">
        <v>0.28899999999999998</v>
      </c>
      <c r="Q2202" s="1">
        <v>92.245999999999995</v>
      </c>
      <c r="R2202" s="1">
        <v>3.8070146999999999</v>
      </c>
      <c r="S2202" s="1">
        <v>2.12452</v>
      </c>
      <c r="T2202" s="1">
        <v>-4.4406509999999999</v>
      </c>
      <c r="U2202" s="1">
        <v>4.2569999999999997</v>
      </c>
      <c r="V2202" s="1">
        <v>89</v>
      </c>
      <c r="W2202" s="1">
        <v>154</v>
      </c>
      <c r="X2202" s="1">
        <v>1.7303370786516854</v>
      </c>
      <c r="Y2202" s="1">
        <v>92</v>
      </c>
      <c r="Z2202" s="1">
        <v>154</v>
      </c>
      <c r="AA2202" s="1">
        <v>1.673913043478261</v>
      </c>
      <c r="AB2202" s="1">
        <v>92.139590301053204</v>
      </c>
      <c r="AC2202" s="1">
        <v>154.0022611886543</v>
      </c>
      <c r="AD2202" s="1">
        <v>1.6714016275248618</v>
      </c>
      <c r="AE2202" t="s">
        <v>4817</v>
      </c>
      <c r="AF2202" t="str">
        <f>IF(X2202&lt;$AF$1,"Bajo","Alto")</f>
        <v>Bajo</v>
      </c>
      <c r="AG2202" t="str">
        <f>LEFT(AE2202,1)</f>
        <v>C</v>
      </c>
      <c r="AH2202" t="str">
        <f>K2202</f>
        <v>M</v>
      </c>
      <c r="AI2202" t="str">
        <f>LEFT(AF2202,1)</f>
        <v>B</v>
      </c>
      <c r="AJ2202" t="str">
        <f>LEFT(M2202,1)</f>
        <v>M</v>
      </c>
      <c r="AK2202" t="str">
        <f>_xlfn.CONCAT(AG2202,AH2202,AI2202,AJ2202)</f>
        <v>CMBM</v>
      </c>
    </row>
    <row r="2203" spans="1:37" ht="15.75" hidden="1" customHeight="1" x14ac:dyDescent="0.2">
      <c r="A2203" s="1">
        <v>285002</v>
      </c>
      <c r="B2203" s="1" t="s">
        <v>1775</v>
      </c>
      <c r="C2203" s="1" t="s">
        <v>561</v>
      </c>
      <c r="D2203" s="1" t="s">
        <v>278</v>
      </c>
      <c r="E2203" s="1" t="s">
        <v>1001</v>
      </c>
      <c r="F2203" s="1" t="s">
        <v>37</v>
      </c>
      <c r="G2203" s="1" t="s">
        <v>3875</v>
      </c>
      <c r="H2203" s="1">
        <v>2045</v>
      </c>
      <c r="I2203" s="1" t="s">
        <v>85</v>
      </c>
      <c r="J2203" s="1">
        <v>12</v>
      </c>
      <c r="K2203" s="1" t="s">
        <v>49</v>
      </c>
      <c r="L2203" s="1">
        <v>50</v>
      </c>
      <c r="M2203" s="1" t="str">
        <f>IF(L2203&lt;=45,"Joven","Mayor")</f>
        <v>Mayor</v>
      </c>
      <c r="N2203" s="1">
        <v>59</v>
      </c>
      <c r="O2203" s="1" t="s">
        <v>50</v>
      </c>
      <c r="P2203" s="1">
        <v>0.35899999999999999</v>
      </c>
      <c r="Q2203" s="1">
        <v>92.504000000000005</v>
      </c>
      <c r="R2203" s="1">
        <v>1.9082422000000001</v>
      </c>
      <c r="S2203" s="1">
        <v>6.1752710000000004</v>
      </c>
      <c r="T2203" s="1">
        <v>-1.2434080000000001</v>
      </c>
      <c r="U2203" s="1">
        <v>14.242000000000001</v>
      </c>
      <c r="V2203" s="1">
        <v>95</v>
      </c>
      <c r="W2203" s="1">
        <v>175</v>
      </c>
      <c r="X2203" s="1">
        <v>1.8421052631578947</v>
      </c>
      <c r="Y2203" s="1">
        <v>98</v>
      </c>
      <c r="Z2203" s="1">
        <v>175</v>
      </c>
      <c r="AA2203" s="1">
        <v>1.7857142857142858</v>
      </c>
      <c r="AB2203" s="1">
        <v>97.043829983405203</v>
      </c>
      <c r="AC2203" s="1">
        <v>174.98049266466299</v>
      </c>
      <c r="AD2203" s="1">
        <v>1.8031078605882023</v>
      </c>
      <c r="AE2203" t="s">
        <v>4815</v>
      </c>
      <c r="AF2203" t="str">
        <f>IF(X2203&lt;$AF$1,"Bajo","Alto")</f>
        <v>Alto</v>
      </c>
      <c r="AG2203" t="str">
        <f>LEFT(AE2203,1)</f>
        <v>I</v>
      </c>
      <c r="AH2203" t="str">
        <f>K2203</f>
        <v>F</v>
      </c>
      <c r="AI2203" t="str">
        <f>LEFT(AF2203,1)</f>
        <v>A</v>
      </c>
      <c r="AJ2203" t="str">
        <f>LEFT(M2203,1)</f>
        <v>M</v>
      </c>
      <c r="AK2203" t="str">
        <f>_xlfn.CONCAT(AG2203,AH2203,AI2203,AJ2203)</f>
        <v>IFAM</v>
      </c>
    </row>
    <row r="2204" spans="1:37" ht="15.75" hidden="1" customHeight="1" x14ac:dyDescent="0.2">
      <c r="A2204" s="1">
        <v>2832001</v>
      </c>
      <c r="B2204" s="1" t="s">
        <v>1775</v>
      </c>
      <c r="C2204" s="1" t="s">
        <v>561</v>
      </c>
      <c r="D2204" s="1" t="s">
        <v>3846</v>
      </c>
      <c r="E2204" s="1" t="s">
        <v>3847</v>
      </c>
      <c r="F2204" s="1" t="s">
        <v>32</v>
      </c>
      <c r="G2204" s="1" t="s">
        <v>3848</v>
      </c>
      <c r="H2204" s="1">
        <v>54</v>
      </c>
      <c r="I2204" s="1" t="s">
        <v>100</v>
      </c>
      <c r="J2204" s="1">
        <v>1</v>
      </c>
      <c r="K2204" s="1" t="s">
        <v>35</v>
      </c>
      <c r="L2204" s="1">
        <v>31</v>
      </c>
      <c r="M2204" s="1" t="str">
        <f>IF(L2204&lt;=45,"Joven","Mayor")</f>
        <v>Joven</v>
      </c>
      <c r="N2204" s="1">
        <v>28</v>
      </c>
      <c r="O2204" s="1" t="s">
        <v>36</v>
      </c>
      <c r="P2204" s="1">
        <v>0.877</v>
      </c>
      <c r="Q2204" s="1">
        <v>93.274000000000001</v>
      </c>
      <c r="R2204" s="1">
        <v>1.9375366999999999</v>
      </c>
      <c r="S2204" s="1">
        <v>3.0134810999999999</v>
      </c>
      <c r="T2204" s="1">
        <v>-2.9268122000000001</v>
      </c>
      <c r="U2204" s="1">
        <v>0.81899999999999995</v>
      </c>
      <c r="V2204" s="1">
        <v>88</v>
      </c>
      <c r="W2204" s="1">
        <v>159</v>
      </c>
      <c r="X2204" s="1">
        <v>1.8068181818181819</v>
      </c>
      <c r="Y2204" s="1">
        <v>88</v>
      </c>
      <c r="Z2204" s="1">
        <v>159</v>
      </c>
      <c r="AA2204" s="1">
        <v>1.8068181818181819</v>
      </c>
      <c r="AB2204" s="1">
        <v>89.825501625550714</v>
      </c>
      <c r="AC2204" s="1">
        <v>158.63941510650869</v>
      </c>
      <c r="AD2204" s="1">
        <v>1.7660843773276962</v>
      </c>
      <c r="AE2204" t="s">
        <v>4817</v>
      </c>
      <c r="AF2204" t="str">
        <f>IF(X2204&lt;$AF$1,"Bajo","Alto")</f>
        <v>Alto</v>
      </c>
      <c r="AG2204" t="str">
        <f>LEFT(AE2204,1)</f>
        <v>C</v>
      </c>
      <c r="AH2204" t="str">
        <f>K2204</f>
        <v>M</v>
      </c>
      <c r="AI2204" t="str">
        <f>LEFT(AF2204,1)</f>
        <v>A</v>
      </c>
      <c r="AJ2204" t="str">
        <f>LEFT(M2204,1)</f>
        <v>J</v>
      </c>
      <c r="AK2204" t="str">
        <f>_xlfn.CONCAT(AG2204,AH2204,AI2204,AJ2204)</f>
        <v>CMAJ</v>
      </c>
    </row>
    <row r="2205" spans="1:37" ht="15.75" hidden="1" customHeight="1" x14ac:dyDescent="0.2">
      <c r="A2205" s="1">
        <v>1215006</v>
      </c>
      <c r="B2205" s="1" t="s">
        <v>1798</v>
      </c>
      <c r="C2205" s="1" t="s">
        <v>54</v>
      </c>
      <c r="D2205" s="1" t="s">
        <v>1799</v>
      </c>
      <c r="E2205" s="1" t="s">
        <v>205</v>
      </c>
      <c r="F2205" s="1" t="s">
        <v>88</v>
      </c>
      <c r="G2205" s="1" t="s">
        <v>1802</v>
      </c>
      <c r="H2205" s="1">
        <v>2207</v>
      </c>
      <c r="I2205" s="1" t="s">
        <v>91</v>
      </c>
      <c r="J2205" s="1">
        <v>6</v>
      </c>
      <c r="K2205" s="1" t="s">
        <v>49</v>
      </c>
      <c r="L2205" s="1">
        <v>60</v>
      </c>
      <c r="M2205" s="1" t="str">
        <f>IF(L2205&lt;=45,"Joven","Mayor")</f>
        <v>Mayor</v>
      </c>
      <c r="N2205" s="1">
        <v>44</v>
      </c>
      <c r="O2205" s="1" t="s">
        <v>50</v>
      </c>
      <c r="P2205" s="1">
        <v>5.5E-2</v>
      </c>
      <c r="Q2205" s="1">
        <v>53.082999999999998</v>
      </c>
      <c r="R2205" s="1">
        <v>15.514936000000001</v>
      </c>
      <c r="S2205" s="1">
        <v>-3.0175930000000002</v>
      </c>
      <c r="T2205" s="1">
        <v>0.93281126000000003</v>
      </c>
      <c r="U2205" s="1">
        <v>18.850000000000001</v>
      </c>
      <c r="V2205" s="1">
        <v>96</v>
      </c>
      <c r="W2205" s="1">
        <v>173</v>
      </c>
      <c r="X2205" s="1">
        <v>1.8020833333333333</v>
      </c>
      <c r="Y2205" s="1">
        <v>104</v>
      </c>
      <c r="Z2205" s="1">
        <v>173</v>
      </c>
      <c r="AA2205" s="1">
        <v>1.6634615384615385</v>
      </c>
      <c r="AB2205" s="1">
        <v>103.53037980458841</v>
      </c>
      <c r="AC2205" s="1">
        <v>173.41663044820601</v>
      </c>
      <c r="AD2205" s="1">
        <v>1.675031336459178</v>
      </c>
      <c r="AE2205" t="s">
        <v>4817</v>
      </c>
      <c r="AF2205" t="str">
        <f>IF(X2205&lt;$AF$1,"Bajo","Alto")</f>
        <v>Alto</v>
      </c>
      <c r="AG2205" t="str">
        <f>LEFT(AE2205,1)</f>
        <v>C</v>
      </c>
      <c r="AH2205" t="str">
        <f>K2205</f>
        <v>F</v>
      </c>
      <c r="AI2205" t="str">
        <f>LEFT(AF2205,1)</f>
        <v>A</v>
      </c>
      <c r="AJ2205" t="str">
        <f>LEFT(M2205,1)</f>
        <v>M</v>
      </c>
      <c r="AK2205" t="str">
        <f>_xlfn.CONCAT(AG2205,AH2205,AI2205,AJ2205)</f>
        <v>CFAM</v>
      </c>
    </row>
    <row r="2206" spans="1:37" ht="15.75" hidden="1" customHeight="1" x14ac:dyDescent="0.2">
      <c r="A2206" s="1">
        <v>132801</v>
      </c>
      <c r="B2206" s="1" t="s">
        <v>956</v>
      </c>
      <c r="C2206" s="1" t="s">
        <v>163</v>
      </c>
      <c r="D2206" s="1" t="s">
        <v>2009</v>
      </c>
      <c r="E2206" s="1" t="s">
        <v>561</v>
      </c>
      <c r="F2206" s="1" t="s">
        <v>32</v>
      </c>
      <c r="G2206" s="1" t="s">
        <v>2010</v>
      </c>
      <c r="H2206" s="1">
        <v>530</v>
      </c>
      <c r="I2206" s="1" t="s">
        <v>34</v>
      </c>
      <c r="J2206" s="1">
        <v>10</v>
      </c>
      <c r="K2206" s="1" t="s">
        <v>49</v>
      </c>
      <c r="L2206" s="1">
        <v>41</v>
      </c>
      <c r="M2206" s="1" t="str">
        <f>IF(L2206&lt;=45,"Joven","Mayor")</f>
        <v>Joven</v>
      </c>
      <c r="N2206" s="1">
        <v>48</v>
      </c>
      <c r="O2206" s="1" t="s">
        <v>50</v>
      </c>
      <c r="P2206" s="1">
        <v>0.36099999999999999</v>
      </c>
      <c r="Q2206" s="1">
        <v>93.405000000000001</v>
      </c>
      <c r="R2206" s="1">
        <v>1.2666227999999999</v>
      </c>
      <c r="S2206" s="1">
        <v>-4.6143039999999997</v>
      </c>
      <c r="T2206" s="1">
        <v>-3.1722592999999999</v>
      </c>
      <c r="U2206" s="1">
        <v>28.236000000000001</v>
      </c>
      <c r="V2206" s="1">
        <v>84</v>
      </c>
      <c r="W2206" s="1">
        <v>150</v>
      </c>
      <c r="X2206" s="1">
        <v>1.7857142857142858</v>
      </c>
      <c r="Y2206" s="1">
        <v>85</v>
      </c>
      <c r="Z2206" s="1">
        <v>150</v>
      </c>
      <c r="AA2206" s="1">
        <v>1.7647058823529411</v>
      </c>
      <c r="AB2206" s="1">
        <v>87.027937682200218</v>
      </c>
      <c r="AC2206" s="1">
        <v>149.82548919594461</v>
      </c>
      <c r="AD2206" s="1">
        <v>1.7215792214111991</v>
      </c>
      <c r="AE2206" t="s">
        <v>4815</v>
      </c>
      <c r="AF2206" t="str">
        <f>IF(X2206&lt;$AF$1,"Bajo","Alto")</f>
        <v>Alto</v>
      </c>
      <c r="AG2206" t="str">
        <f>LEFT(AE2206,1)</f>
        <v>I</v>
      </c>
      <c r="AH2206" t="str">
        <f>K2206</f>
        <v>F</v>
      </c>
      <c r="AI2206" t="str">
        <f>LEFT(AF2206,1)</f>
        <v>A</v>
      </c>
      <c r="AJ2206" t="str">
        <f>LEFT(M2206,1)</f>
        <v>J</v>
      </c>
      <c r="AK2206" t="str">
        <f>_xlfn.CONCAT(AG2206,AH2206,AI2206,AJ2206)</f>
        <v>IFAJ</v>
      </c>
    </row>
    <row r="2207" spans="1:37" ht="15.75" hidden="1" customHeight="1" x14ac:dyDescent="0.2">
      <c r="A2207" s="1">
        <v>442401</v>
      </c>
      <c r="B2207" s="1" t="s">
        <v>4314</v>
      </c>
      <c r="C2207" s="1" t="s">
        <v>995</v>
      </c>
      <c r="D2207" s="1" t="s">
        <v>4370</v>
      </c>
      <c r="E2207" s="1" t="s">
        <v>1993</v>
      </c>
      <c r="F2207" s="1" t="s">
        <v>32</v>
      </c>
      <c r="G2207" s="1" t="s">
        <v>4371</v>
      </c>
      <c r="H2207" s="1">
        <v>451</v>
      </c>
      <c r="I2207" s="1" t="s">
        <v>39</v>
      </c>
      <c r="J2207" s="1">
        <v>11</v>
      </c>
      <c r="K2207" s="1" t="s">
        <v>49</v>
      </c>
      <c r="L2207" s="1">
        <v>51</v>
      </c>
      <c r="M2207" s="1" t="str">
        <f>IF(L2207&lt;=45,"Joven","Mayor")</f>
        <v>Mayor</v>
      </c>
      <c r="N2207" s="1">
        <v>61</v>
      </c>
      <c r="O2207" s="1" t="s">
        <v>50</v>
      </c>
      <c r="P2207" s="1">
        <v>0.35</v>
      </c>
      <c r="Q2207" s="1">
        <v>94.066999999999993</v>
      </c>
      <c r="R2207" s="1">
        <v>-1.7254791</v>
      </c>
      <c r="S2207" s="1">
        <v>-0.28036220000000001</v>
      </c>
      <c r="T2207" s="1">
        <v>-0.15864924</v>
      </c>
      <c r="U2207" s="1">
        <v>8.5540000000000003</v>
      </c>
      <c r="V2207" s="1">
        <v>115</v>
      </c>
      <c r="W2207" s="1">
        <v>199</v>
      </c>
      <c r="X2207" s="1">
        <v>1.7304347826086957</v>
      </c>
      <c r="Y2207" s="1">
        <v>115</v>
      </c>
      <c r="Z2207" s="1">
        <v>199</v>
      </c>
      <c r="AA2207" s="1">
        <v>1.7304347826086957</v>
      </c>
      <c r="AB2207" s="1">
        <v>115.12969970104611</v>
      </c>
      <c r="AC2207" s="1">
        <v>198.9992371247408</v>
      </c>
      <c r="AD2207" s="1">
        <v>1.7284787300016959</v>
      </c>
      <c r="AE2207" t="s">
        <v>4816</v>
      </c>
      <c r="AF2207" t="str">
        <f>IF(X2207&lt;$AF$1,"Bajo","Alto")</f>
        <v>Bajo</v>
      </c>
      <c r="AG2207" t="str">
        <f>LEFT(AE2207,1)</f>
        <v>D</v>
      </c>
      <c r="AH2207" t="str">
        <f>K2207</f>
        <v>F</v>
      </c>
      <c r="AI2207" t="str">
        <f>LEFT(AF2207,1)</f>
        <v>B</v>
      </c>
      <c r="AJ2207" t="str">
        <f>LEFT(M2207,1)</f>
        <v>M</v>
      </c>
      <c r="AK2207" t="str">
        <f>_xlfn.CONCAT(AG2207,AH2207,AI2207,AJ2207)</f>
        <v>DFBM</v>
      </c>
    </row>
    <row r="2208" spans="1:37" ht="15.75" hidden="1" customHeight="1" x14ac:dyDescent="0.2">
      <c r="A2208" s="1">
        <v>1077906</v>
      </c>
      <c r="B2208" s="1" t="s">
        <v>1067</v>
      </c>
      <c r="C2208" s="1" t="s">
        <v>1068</v>
      </c>
      <c r="D2208" s="1" t="s">
        <v>1495</v>
      </c>
      <c r="E2208" s="1" t="s">
        <v>739</v>
      </c>
      <c r="F2208" s="1" t="s">
        <v>88</v>
      </c>
      <c r="G2208" s="1" t="s">
        <v>1499</v>
      </c>
      <c r="H2208" s="1">
        <v>3779</v>
      </c>
      <c r="I2208" s="1" t="s">
        <v>65</v>
      </c>
      <c r="J2208" s="1">
        <v>2</v>
      </c>
      <c r="K2208" s="1" t="s">
        <v>35</v>
      </c>
      <c r="L2208" s="1">
        <v>56</v>
      </c>
      <c r="M2208" s="1" t="str">
        <f>IF(L2208&lt;=45,"Joven","Mayor")</f>
        <v>Mayor</v>
      </c>
      <c r="N2208" s="1">
        <v>60</v>
      </c>
      <c r="O2208" s="1" t="s">
        <v>36</v>
      </c>
      <c r="P2208" s="1">
        <v>0.217</v>
      </c>
      <c r="Q2208" s="1">
        <v>89.286000000000001</v>
      </c>
      <c r="R2208" s="1">
        <v>4.6429450000000001</v>
      </c>
      <c r="S2208" s="1">
        <v>7.7250889999999997</v>
      </c>
      <c r="T2208" s="1">
        <v>-4.8827119999999997</v>
      </c>
      <c r="U2208" s="1">
        <v>1.3839999999999999</v>
      </c>
      <c r="V2208" s="1">
        <v>78</v>
      </c>
      <c r="W2208" s="1">
        <v>135</v>
      </c>
      <c r="X2208" s="1">
        <v>1.7307692307692308</v>
      </c>
      <c r="Y2208" s="1">
        <v>81</v>
      </c>
      <c r="Z2208" s="1">
        <v>135</v>
      </c>
      <c r="AA2208" s="1">
        <v>1.6666666666666667</v>
      </c>
      <c r="AB2208" s="1">
        <v>80.696009995780969</v>
      </c>
      <c r="AC2208" s="1">
        <v>134.93566967376819</v>
      </c>
      <c r="AD2208" s="1">
        <v>1.6721479746126608</v>
      </c>
      <c r="AE2208" t="s">
        <v>4817</v>
      </c>
      <c r="AF2208" t="str">
        <f>IF(X2208&lt;$AF$1,"Bajo","Alto")</f>
        <v>Bajo</v>
      </c>
      <c r="AG2208" t="str">
        <f>LEFT(AE2208,1)</f>
        <v>C</v>
      </c>
      <c r="AH2208" t="str">
        <f>K2208</f>
        <v>M</v>
      </c>
      <c r="AI2208" t="str">
        <f>LEFT(AF2208,1)</f>
        <v>B</v>
      </c>
      <c r="AJ2208" t="str">
        <f>LEFT(M2208,1)</f>
        <v>M</v>
      </c>
      <c r="AK2208" t="str">
        <f>_xlfn.CONCAT(AG2208,AH2208,AI2208,AJ2208)</f>
        <v>CMBM</v>
      </c>
    </row>
    <row r="2209" spans="1:37" ht="15.75" hidden="1" customHeight="1" x14ac:dyDescent="0.2">
      <c r="A2209" s="1">
        <v>2830006</v>
      </c>
      <c r="B2209" s="1" t="s">
        <v>1775</v>
      </c>
      <c r="C2209" s="1" t="s">
        <v>561</v>
      </c>
      <c r="D2209" s="1" t="s">
        <v>3836</v>
      </c>
      <c r="E2209" s="1" t="s">
        <v>613</v>
      </c>
      <c r="F2209" s="1" t="s">
        <v>88</v>
      </c>
      <c r="G2209" s="1" t="s">
        <v>3839</v>
      </c>
      <c r="H2209" s="1">
        <v>4940</v>
      </c>
      <c r="I2209" s="1" t="s">
        <v>65</v>
      </c>
      <c r="J2209" s="1">
        <v>2</v>
      </c>
      <c r="K2209" s="1" t="s">
        <v>35</v>
      </c>
      <c r="L2209" s="1">
        <v>40</v>
      </c>
      <c r="M2209" s="1" t="str">
        <f>IF(L2209&lt;=45,"Joven","Mayor")</f>
        <v>Joven</v>
      </c>
      <c r="N2209" s="1">
        <v>50</v>
      </c>
      <c r="O2209" s="1" t="s">
        <v>36</v>
      </c>
      <c r="P2209" s="1">
        <v>0.33700000000000002</v>
      </c>
      <c r="Q2209" s="1">
        <v>94.468000000000004</v>
      </c>
      <c r="R2209" s="1">
        <v>0.64005959999999995</v>
      </c>
      <c r="S2209" s="1">
        <v>1.2571117000000001</v>
      </c>
      <c r="T2209" s="1">
        <v>-2.0887258000000002</v>
      </c>
      <c r="U2209" s="1">
        <v>2.8940000000000001</v>
      </c>
      <c r="V2209" s="1">
        <v>93</v>
      </c>
      <c r="W2209" s="1">
        <v>168</v>
      </c>
      <c r="X2209" s="1">
        <v>1.8064516129032258</v>
      </c>
      <c r="Y2209" s="1">
        <v>93</v>
      </c>
      <c r="Z2209" s="1">
        <v>168</v>
      </c>
      <c r="AA2209" s="1">
        <v>1.8064516129032258</v>
      </c>
      <c r="AB2209" s="1">
        <v>94.54188039687665</v>
      </c>
      <c r="AC2209" s="1">
        <v>167.81548412412889</v>
      </c>
      <c r="AD2209" s="1">
        <v>1.7750385693584423</v>
      </c>
      <c r="AE2209" t="s">
        <v>4817</v>
      </c>
      <c r="AF2209" t="str">
        <f>IF(X2209&lt;$AF$1,"Bajo","Alto")</f>
        <v>Alto</v>
      </c>
      <c r="AG2209" t="str">
        <f>LEFT(AE2209,1)</f>
        <v>C</v>
      </c>
      <c r="AH2209" t="str">
        <f>K2209</f>
        <v>M</v>
      </c>
      <c r="AI2209" t="str">
        <f>LEFT(AF2209,1)</f>
        <v>A</v>
      </c>
      <c r="AJ2209" t="str">
        <f>LEFT(M2209,1)</f>
        <v>J</v>
      </c>
      <c r="AK2209" t="str">
        <f>_xlfn.CONCAT(AG2209,AH2209,AI2209,AJ2209)</f>
        <v>CMAJ</v>
      </c>
    </row>
    <row r="2210" spans="1:37" ht="15.75" hidden="1" customHeight="1" x14ac:dyDescent="0.2">
      <c r="A2210" s="1">
        <v>1030404</v>
      </c>
      <c r="B2210" s="1" t="s">
        <v>783</v>
      </c>
      <c r="C2210" s="1" t="s">
        <v>81</v>
      </c>
      <c r="D2210" s="1" t="s">
        <v>788</v>
      </c>
      <c r="E2210" s="1" t="s">
        <v>61</v>
      </c>
      <c r="F2210" s="1" t="s">
        <v>61</v>
      </c>
      <c r="G2210" s="1" t="s">
        <v>791</v>
      </c>
      <c r="H2210" s="1">
        <v>5471</v>
      </c>
      <c r="I2210" s="1" t="s">
        <v>65</v>
      </c>
      <c r="J2210" s="1">
        <v>2</v>
      </c>
      <c r="K2210" s="1" t="s">
        <v>49</v>
      </c>
      <c r="L2210" s="1">
        <v>59</v>
      </c>
      <c r="M2210" s="1" t="str">
        <f>IF(L2210&lt;=45,"Joven","Mayor")</f>
        <v>Mayor</v>
      </c>
      <c r="N2210" s="1">
        <v>52</v>
      </c>
      <c r="O2210" s="1" t="s">
        <v>50</v>
      </c>
      <c r="P2210" s="1">
        <v>0.36599999999999999</v>
      </c>
      <c r="Q2210" s="1">
        <v>91.308999999999997</v>
      </c>
      <c r="R2210" s="1">
        <v>2.2206507000000002</v>
      </c>
      <c r="S2210" s="1">
        <v>8.4408750000000001</v>
      </c>
      <c r="T2210" s="1">
        <v>-12.553905500000001</v>
      </c>
      <c r="U2210" s="1">
        <v>8.4939999999999998</v>
      </c>
      <c r="V2210" s="1">
        <v>79</v>
      </c>
      <c r="W2210" s="1">
        <v>142</v>
      </c>
      <c r="X2210" s="1">
        <v>1.7974683544303798</v>
      </c>
      <c r="Y2210" s="1">
        <v>92</v>
      </c>
      <c r="Z2210" s="1">
        <v>142</v>
      </c>
      <c r="AA2210" s="1">
        <v>1.5434782608695652</v>
      </c>
      <c r="AB2210" s="1">
        <v>89.500672028086228</v>
      </c>
      <c r="AC2210" s="1">
        <v>144.25636500894191</v>
      </c>
      <c r="AD2210" s="1">
        <v>1.6117908585498977</v>
      </c>
      <c r="AE2210" t="s">
        <v>4817</v>
      </c>
      <c r="AF2210" t="str">
        <f>IF(X2210&lt;$AF$1,"Bajo","Alto")</f>
        <v>Alto</v>
      </c>
      <c r="AG2210" t="str">
        <f>LEFT(AE2210,1)</f>
        <v>C</v>
      </c>
      <c r="AH2210" t="str">
        <f>K2210</f>
        <v>F</v>
      </c>
      <c r="AI2210" t="str">
        <f>LEFT(AF2210,1)</f>
        <v>A</v>
      </c>
      <c r="AJ2210" t="str">
        <f>LEFT(M2210,1)</f>
        <v>M</v>
      </c>
      <c r="AK2210" t="str">
        <f>_xlfn.CONCAT(AG2210,AH2210,AI2210,AJ2210)</f>
        <v>CFAM</v>
      </c>
    </row>
    <row r="2211" spans="1:37" ht="15.75" hidden="1" customHeight="1" x14ac:dyDescent="0.2">
      <c r="A2211" s="1">
        <v>10727706</v>
      </c>
      <c r="B2211" s="1" t="s">
        <v>1067</v>
      </c>
      <c r="C2211" s="1" t="s">
        <v>1068</v>
      </c>
      <c r="D2211" s="1" t="s">
        <v>1326</v>
      </c>
      <c r="E2211" s="1" t="s">
        <v>550</v>
      </c>
      <c r="F2211" s="1" t="s">
        <v>88</v>
      </c>
      <c r="G2211" s="1" t="s">
        <v>1329</v>
      </c>
      <c r="H2211" s="1">
        <v>12539</v>
      </c>
      <c r="I2211" s="1" t="s">
        <v>1330</v>
      </c>
      <c r="J2211" s="1">
        <v>3207</v>
      </c>
      <c r="K2211" s="1" t="s">
        <v>35</v>
      </c>
      <c r="L2211" s="1">
        <v>37</v>
      </c>
      <c r="M2211" s="1" t="str">
        <f>IF(L2211&lt;=45,"Joven","Mayor")</f>
        <v>Joven</v>
      </c>
      <c r="N2211" s="1">
        <v>45</v>
      </c>
      <c r="O2211" s="1" t="s">
        <v>36</v>
      </c>
      <c r="P2211" s="1">
        <v>0.40100000000000002</v>
      </c>
      <c r="Q2211" s="1">
        <v>93.093999999999994</v>
      </c>
      <c r="R2211" s="1">
        <v>-2.1992601999999999</v>
      </c>
      <c r="S2211" s="1">
        <v>-3.5531701999999998</v>
      </c>
      <c r="T2211" s="1">
        <v>4.4039453999999996</v>
      </c>
      <c r="U2211" s="1">
        <v>60.557000000000002</v>
      </c>
      <c r="V2211" s="1">
        <v>77</v>
      </c>
      <c r="W2211" s="1">
        <v>134</v>
      </c>
      <c r="X2211" s="1">
        <v>1.7402597402597402</v>
      </c>
      <c r="Y2211" s="1">
        <v>84</v>
      </c>
      <c r="Z2211" s="1">
        <v>134</v>
      </c>
      <c r="AA2211" s="1">
        <v>1.5952380952380953</v>
      </c>
      <c r="AB2211" s="1">
        <v>80.987630557990997</v>
      </c>
      <c r="AC2211" s="1">
        <v>134.06508668580051</v>
      </c>
      <c r="AD2211" s="1">
        <v>1.6553773182659484</v>
      </c>
      <c r="AE2211" t="s">
        <v>4817</v>
      </c>
      <c r="AF2211" t="str">
        <f>IF(X2211&lt;$AF$1,"Bajo","Alto")</f>
        <v>Bajo</v>
      </c>
      <c r="AG2211" t="str">
        <f>LEFT(AE2211,1)</f>
        <v>C</v>
      </c>
      <c r="AH2211" t="str">
        <f>K2211</f>
        <v>M</v>
      </c>
      <c r="AI2211" t="str">
        <f>LEFT(AF2211,1)</f>
        <v>B</v>
      </c>
      <c r="AJ2211" t="str">
        <f>LEFT(M2211,1)</f>
        <v>J</v>
      </c>
      <c r="AK2211" t="str">
        <f>_xlfn.CONCAT(AG2211,AH2211,AI2211,AJ2211)</f>
        <v>CMBJ</v>
      </c>
    </row>
    <row r="2212" spans="1:37" ht="15.75" hidden="1" customHeight="1" x14ac:dyDescent="0.2">
      <c r="A2212" s="1">
        <v>2310901</v>
      </c>
      <c r="B2212" s="1" t="s">
        <v>319</v>
      </c>
      <c r="C2212" s="1" t="s">
        <v>1989</v>
      </c>
      <c r="D2212" s="1" t="s">
        <v>2253</v>
      </c>
      <c r="E2212" s="1" t="s">
        <v>98</v>
      </c>
      <c r="F2212" s="1" t="s">
        <v>32</v>
      </c>
      <c r="G2212" s="1" t="s">
        <v>2935</v>
      </c>
      <c r="H2212" s="1">
        <v>2091</v>
      </c>
      <c r="I2212" s="1" t="s">
        <v>85</v>
      </c>
      <c r="J2212" s="1">
        <v>12</v>
      </c>
      <c r="K2212" s="1" t="s">
        <v>35</v>
      </c>
      <c r="L2212" s="1">
        <v>40</v>
      </c>
      <c r="M2212" s="1" t="str">
        <f>IF(L2212&lt;=45,"Joven","Mayor")</f>
        <v>Joven</v>
      </c>
      <c r="N2212" s="1">
        <v>38</v>
      </c>
      <c r="O2212" s="1" t="s">
        <v>36</v>
      </c>
      <c r="P2212" s="1">
        <v>0.36199999999999999</v>
      </c>
      <c r="Q2212" s="1">
        <v>93.293999999999997</v>
      </c>
      <c r="R2212" s="1">
        <v>-2.631227</v>
      </c>
      <c r="S2212" s="1">
        <v>-1.4404125999999999</v>
      </c>
      <c r="T2212" s="1">
        <v>-2.1617774999999999</v>
      </c>
      <c r="U2212" s="1">
        <v>3.5630000000000002</v>
      </c>
      <c r="V2212" s="1">
        <v>67</v>
      </c>
      <c r="W2212" s="1">
        <v>121</v>
      </c>
      <c r="X2212" s="1">
        <v>1.8059701492537314</v>
      </c>
      <c r="Y2212" s="1">
        <v>69</v>
      </c>
      <c r="Z2212" s="1">
        <v>121</v>
      </c>
      <c r="AA2212" s="1">
        <v>1.7536231884057971</v>
      </c>
      <c r="AB2212" s="1">
        <v>68.159394176300793</v>
      </c>
      <c r="AC2212" s="1">
        <v>121.10249056870271</v>
      </c>
      <c r="AD2212" s="1">
        <v>1.7767542102187635</v>
      </c>
      <c r="AE2212" t="s">
        <v>4815</v>
      </c>
      <c r="AF2212" t="str">
        <f>IF(X2212&lt;$AF$1,"Bajo","Alto")</f>
        <v>Alto</v>
      </c>
      <c r="AG2212" t="str">
        <f>LEFT(AE2212,1)</f>
        <v>I</v>
      </c>
      <c r="AH2212" t="str">
        <f>K2212</f>
        <v>M</v>
      </c>
      <c r="AI2212" t="str">
        <f>LEFT(AF2212,1)</f>
        <v>A</v>
      </c>
      <c r="AJ2212" t="str">
        <f>LEFT(M2212,1)</f>
        <v>J</v>
      </c>
      <c r="AK2212" t="str">
        <f>_xlfn.CONCAT(AG2212,AH2212,AI2212,AJ2212)</f>
        <v>IMAJ</v>
      </c>
    </row>
    <row r="2213" spans="1:37" ht="15.75" hidden="1" customHeight="1" x14ac:dyDescent="0.2">
      <c r="A2213" s="1">
        <v>274602</v>
      </c>
      <c r="B2213" s="1" t="s">
        <v>3409</v>
      </c>
      <c r="C2213" s="1" t="s">
        <v>973</v>
      </c>
      <c r="D2213" s="1" t="s">
        <v>780</v>
      </c>
      <c r="E2213" s="1" t="s">
        <v>669</v>
      </c>
      <c r="F2213" s="1" t="s">
        <v>37</v>
      </c>
      <c r="G2213" s="1" t="s">
        <v>3689</v>
      </c>
      <c r="H2213" s="1">
        <v>69</v>
      </c>
      <c r="I2213" s="1" t="s">
        <v>48</v>
      </c>
      <c r="J2213" s="1">
        <v>4</v>
      </c>
      <c r="K2213" s="1" t="s">
        <v>35</v>
      </c>
      <c r="L2213" s="1">
        <v>61</v>
      </c>
      <c r="M2213" s="1" t="str">
        <f>IF(L2213&lt;=45,"Joven","Mayor")</f>
        <v>Mayor</v>
      </c>
      <c r="N2213" s="1">
        <v>69</v>
      </c>
      <c r="O2213" s="1" t="s">
        <v>36</v>
      </c>
      <c r="P2213" s="1">
        <v>0.625</v>
      </c>
      <c r="Q2213" s="1">
        <v>89.634</v>
      </c>
      <c r="R2213" s="1">
        <v>1.0889181999999999</v>
      </c>
      <c r="S2213" s="1">
        <v>-12.382979000000001</v>
      </c>
      <c r="T2213" s="1">
        <v>1.6350016999999999</v>
      </c>
      <c r="U2213" s="1">
        <v>5.1890000000000001</v>
      </c>
      <c r="V2213" s="1">
        <v>98</v>
      </c>
      <c r="W2213" s="1">
        <v>177</v>
      </c>
      <c r="X2213" s="1">
        <v>1.8061224489795917</v>
      </c>
      <c r="Y2213" s="1">
        <v>105</v>
      </c>
      <c r="Z2213" s="1">
        <v>177</v>
      </c>
      <c r="AA2213" s="1">
        <v>1.6857142857142857</v>
      </c>
      <c r="AB2213" s="1">
        <v>103.84449217173101</v>
      </c>
      <c r="AC2213" s="1">
        <v>177.12766425701469</v>
      </c>
      <c r="AD2213" s="1">
        <v>1.7057010974071973</v>
      </c>
      <c r="AE2213" t="s">
        <v>4817</v>
      </c>
      <c r="AF2213" t="str">
        <f>IF(X2213&lt;$AF$1,"Bajo","Alto")</f>
        <v>Alto</v>
      </c>
      <c r="AG2213" t="str">
        <f>LEFT(AE2213,1)</f>
        <v>C</v>
      </c>
      <c r="AH2213" t="str">
        <f>K2213</f>
        <v>M</v>
      </c>
      <c r="AI2213" t="str">
        <f>LEFT(AF2213,1)</f>
        <v>A</v>
      </c>
      <c r="AJ2213" t="str">
        <f>LEFT(M2213,1)</f>
        <v>M</v>
      </c>
      <c r="AK2213" t="str">
        <f>_xlfn.CONCAT(AG2213,AH2213,AI2213,AJ2213)</f>
        <v>CMAM</v>
      </c>
    </row>
    <row r="2214" spans="1:37" ht="15.75" hidden="1" customHeight="1" x14ac:dyDescent="0.2">
      <c r="A2214" s="1">
        <v>260106</v>
      </c>
      <c r="B2214" s="1" t="s">
        <v>3358</v>
      </c>
      <c r="C2214" s="1" t="s">
        <v>968</v>
      </c>
      <c r="D2214" s="1" t="s">
        <v>656</v>
      </c>
      <c r="E2214" s="1" t="s">
        <v>32</v>
      </c>
      <c r="F2214" s="1" t="s">
        <v>88</v>
      </c>
      <c r="G2214" s="1" t="s">
        <v>3359</v>
      </c>
      <c r="H2214" s="1">
        <v>2310</v>
      </c>
      <c r="I2214" s="1" t="s">
        <v>73</v>
      </c>
      <c r="J2214" s="1">
        <v>5</v>
      </c>
      <c r="K2214" s="1" t="s">
        <v>35</v>
      </c>
      <c r="L2214" s="1">
        <v>45</v>
      </c>
      <c r="M2214" s="1" t="str">
        <f>IF(L2214&lt;=45,"Joven","Mayor")</f>
        <v>Joven</v>
      </c>
      <c r="N2214" s="1">
        <v>46</v>
      </c>
      <c r="O2214" s="1" t="s">
        <v>36</v>
      </c>
      <c r="P2214" s="1">
        <v>0.1</v>
      </c>
      <c r="Q2214" s="1">
        <v>92.748999999999995</v>
      </c>
      <c r="R2214" s="1">
        <v>2.5112749999999999</v>
      </c>
      <c r="S2214" s="1">
        <v>4.3088350000000002</v>
      </c>
      <c r="T2214" s="1">
        <v>-1.3244094</v>
      </c>
      <c r="U2214" s="1">
        <v>1.659</v>
      </c>
      <c r="V2214" s="1">
        <v>104</v>
      </c>
      <c r="W2214" s="1">
        <v>181</v>
      </c>
      <c r="X2214" s="1">
        <v>1.7403846153846154</v>
      </c>
      <c r="Y2214" s="1">
        <v>110</v>
      </c>
      <c r="Z2214" s="1">
        <v>181</v>
      </c>
      <c r="AA2214" s="1">
        <v>1.6454545454545455</v>
      </c>
      <c r="AB2214" s="1">
        <v>108.9305177754195</v>
      </c>
      <c r="AC2214" s="1">
        <v>181.04409942147689</v>
      </c>
      <c r="AD2214" s="1">
        <v>1.6620144943654167</v>
      </c>
      <c r="AE2214" t="s">
        <v>4817</v>
      </c>
      <c r="AF2214" t="str">
        <f>IF(X2214&lt;$AF$1,"Bajo","Alto")</f>
        <v>Bajo</v>
      </c>
      <c r="AG2214" t="str">
        <f>LEFT(AE2214,1)</f>
        <v>C</v>
      </c>
      <c r="AH2214" t="str">
        <f>K2214</f>
        <v>M</v>
      </c>
      <c r="AI2214" t="str">
        <f>LEFT(AF2214,1)</f>
        <v>B</v>
      </c>
      <c r="AJ2214" t="str">
        <f>LEFT(M2214,1)</f>
        <v>J</v>
      </c>
      <c r="AK2214" t="str">
        <f>_xlfn.CONCAT(AG2214,AH2214,AI2214,AJ2214)</f>
        <v>CMBJ</v>
      </c>
    </row>
    <row r="2215" spans="1:37" ht="15.75" hidden="1" customHeight="1" x14ac:dyDescent="0.2">
      <c r="A2215" s="1">
        <v>256103</v>
      </c>
      <c r="B2215" s="1" t="s">
        <v>3169</v>
      </c>
      <c r="C2215" s="1" t="s">
        <v>821</v>
      </c>
      <c r="D2215" s="1" t="s">
        <v>3285</v>
      </c>
      <c r="E2215" s="1" t="s">
        <v>701</v>
      </c>
      <c r="F2215" s="1" t="s">
        <v>63</v>
      </c>
      <c r="G2215" s="1" t="s">
        <v>3287</v>
      </c>
      <c r="H2215" s="1">
        <v>671</v>
      </c>
      <c r="I2215" s="1" t="s">
        <v>87</v>
      </c>
      <c r="J2215" s="1">
        <v>14</v>
      </c>
      <c r="K2215" s="1" t="s">
        <v>35</v>
      </c>
      <c r="L2215" s="1">
        <v>47</v>
      </c>
      <c r="M2215" s="1" t="str">
        <f>IF(L2215&lt;=45,"Joven","Mayor")</f>
        <v>Mayor</v>
      </c>
      <c r="N2215" s="1">
        <v>55</v>
      </c>
      <c r="O2215" s="1" t="s">
        <v>36</v>
      </c>
      <c r="P2215" s="1">
        <v>0.41399999999999998</v>
      </c>
      <c r="Q2215" s="1">
        <v>91.191000000000003</v>
      </c>
      <c r="R2215" s="1">
        <v>5.1687975000000002</v>
      </c>
      <c r="S2215" s="1">
        <v>0.74196684000000002</v>
      </c>
      <c r="T2215" s="1">
        <v>-8.468432</v>
      </c>
      <c r="U2215" s="1">
        <v>1.2589999999999999</v>
      </c>
      <c r="V2215" s="1">
        <v>107</v>
      </c>
      <c r="W2215" s="1">
        <v>185</v>
      </c>
      <c r="X2215" s="1">
        <v>1.7289719626168225</v>
      </c>
      <c r="Y2215" s="1">
        <v>117</v>
      </c>
      <c r="Z2215" s="1">
        <v>185</v>
      </c>
      <c r="AA2215" s="1">
        <v>1.5811965811965811</v>
      </c>
      <c r="AB2215" s="1">
        <v>114.81652815043159</v>
      </c>
      <c r="AC2215" s="1">
        <v>185.63373351118841</v>
      </c>
      <c r="AD2215" s="1">
        <v>1.616785810384135</v>
      </c>
      <c r="AE2215" t="s">
        <v>4816</v>
      </c>
      <c r="AF2215" t="str">
        <f>IF(X2215&lt;$AF$1,"Bajo","Alto")</f>
        <v>Bajo</v>
      </c>
      <c r="AG2215" t="str">
        <f>LEFT(AE2215,1)</f>
        <v>D</v>
      </c>
      <c r="AH2215" t="str">
        <f>K2215</f>
        <v>M</v>
      </c>
      <c r="AI2215" t="str">
        <f>LEFT(AF2215,1)</f>
        <v>B</v>
      </c>
      <c r="AJ2215" t="str">
        <f>LEFT(M2215,1)</f>
        <v>M</v>
      </c>
      <c r="AK2215" t="str">
        <f>_xlfn.CONCAT(AG2215,AH2215,AI2215,AJ2215)</f>
        <v>DMBM</v>
      </c>
    </row>
    <row r="2216" spans="1:37" ht="15.75" hidden="1" customHeight="1" x14ac:dyDescent="0.2">
      <c r="A2216" s="1">
        <v>2828001</v>
      </c>
      <c r="B2216" s="1" t="s">
        <v>1775</v>
      </c>
      <c r="C2216" s="1" t="s">
        <v>561</v>
      </c>
      <c r="D2216" s="1" t="s">
        <v>1775</v>
      </c>
      <c r="E2216" s="1" t="s">
        <v>556</v>
      </c>
      <c r="F2216" s="1" t="s">
        <v>32</v>
      </c>
      <c r="G2216" s="1" t="s">
        <v>3831</v>
      </c>
      <c r="H2216" s="1">
        <v>6794</v>
      </c>
      <c r="I2216" s="1" t="s">
        <v>100</v>
      </c>
      <c r="J2216" s="1">
        <v>1</v>
      </c>
      <c r="K2216" s="1" t="s">
        <v>35</v>
      </c>
      <c r="L2216" s="1">
        <v>50</v>
      </c>
      <c r="M2216" s="1" t="str">
        <f>IF(L2216&lt;=45,"Joven","Mayor")</f>
        <v>Mayor</v>
      </c>
      <c r="N2216" s="1">
        <v>59</v>
      </c>
      <c r="O2216" s="1" t="s">
        <v>36</v>
      </c>
      <c r="P2216" s="1">
        <v>1.1519999999999999</v>
      </c>
      <c r="Q2216" s="1">
        <v>88.162999999999997</v>
      </c>
      <c r="R2216" s="1">
        <v>5.2409819999999998</v>
      </c>
      <c r="S2216" s="1">
        <v>-7.6535076999999996</v>
      </c>
      <c r="T2216" s="1">
        <v>-3.12879</v>
      </c>
      <c r="U2216" s="1">
        <v>17.245000000000001</v>
      </c>
      <c r="V2216" s="1">
        <v>77</v>
      </c>
      <c r="W2216" s="1">
        <v>139</v>
      </c>
      <c r="X2216" s="1">
        <v>1.8051948051948052</v>
      </c>
      <c r="Y2216" s="1">
        <v>80</v>
      </c>
      <c r="Z2216" s="1">
        <v>139</v>
      </c>
      <c r="AA2216" s="1">
        <v>1.7375</v>
      </c>
      <c r="AB2216" s="1">
        <v>79.123024142788836</v>
      </c>
      <c r="AC2216" s="1">
        <v>138.95654418503179</v>
      </c>
      <c r="AD2216" s="1">
        <v>1.7562087103023867</v>
      </c>
      <c r="AE2216" t="s">
        <v>4817</v>
      </c>
      <c r="AF2216" t="str">
        <f>IF(X2216&lt;$AF$1,"Bajo","Alto")</f>
        <v>Alto</v>
      </c>
      <c r="AG2216" t="str">
        <f>LEFT(AE2216,1)</f>
        <v>C</v>
      </c>
      <c r="AH2216" t="str">
        <f>K2216</f>
        <v>M</v>
      </c>
      <c r="AI2216" t="str">
        <f>LEFT(AF2216,1)</f>
        <v>A</v>
      </c>
      <c r="AJ2216" t="str">
        <f>LEFT(M2216,1)</f>
        <v>M</v>
      </c>
      <c r="AK2216" t="str">
        <f>_xlfn.CONCAT(AG2216,AH2216,AI2216,AJ2216)</f>
        <v>CMAM</v>
      </c>
    </row>
    <row r="2217" spans="1:37" ht="15.75" hidden="1" customHeight="1" x14ac:dyDescent="0.2">
      <c r="A2217" s="1">
        <v>316104</v>
      </c>
      <c r="B2217" s="1" t="s">
        <v>4122</v>
      </c>
      <c r="C2217" s="1" t="s">
        <v>628</v>
      </c>
      <c r="D2217" s="1" t="s">
        <v>4240</v>
      </c>
      <c r="E2217" s="1" t="s">
        <v>701</v>
      </c>
      <c r="F2217" s="1" t="s">
        <v>61</v>
      </c>
      <c r="G2217" s="1" t="s">
        <v>4243</v>
      </c>
      <c r="H2217" s="1">
        <v>1021</v>
      </c>
      <c r="I2217" s="1" t="s">
        <v>42</v>
      </c>
      <c r="J2217" s="1">
        <v>15</v>
      </c>
      <c r="K2217" s="1" t="s">
        <v>35</v>
      </c>
      <c r="L2217" s="1">
        <v>32</v>
      </c>
      <c r="M2217" s="1" t="str">
        <f>IF(L2217&lt;=45,"Joven","Mayor")</f>
        <v>Joven</v>
      </c>
      <c r="N2217" s="1">
        <v>29</v>
      </c>
      <c r="O2217" s="1" t="s">
        <v>36</v>
      </c>
      <c r="P2217" s="1">
        <v>0.218</v>
      </c>
      <c r="Q2217" s="1">
        <v>93.525000000000006</v>
      </c>
      <c r="R2217" s="1">
        <v>-0.57290180000000002</v>
      </c>
      <c r="S2217" s="1">
        <v>5.6560473</v>
      </c>
      <c r="T2217" s="1">
        <v>-1.6922147999999999</v>
      </c>
      <c r="U2217" s="1">
        <v>5.8319999999999999</v>
      </c>
      <c r="V2217" s="1">
        <v>93</v>
      </c>
      <c r="W2217" s="1">
        <v>168</v>
      </c>
      <c r="X2217" s="1">
        <v>1.8064516129032258</v>
      </c>
      <c r="Y2217" s="1">
        <v>97</v>
      </c>
      <c r="Z2217" s="1">
        <v>168</v>
      </c>
      <c r="AA2217" s="1">
        <v>1.731958762886598</v>
      </c>
      <c r="AB2217" s="1">
        <v>95.835540343487082</v>
      </c>
      <c r="AC2217" s="1">
        <v>168.10391471051619</v>
      </c>
      <c r="AD2217" s="1">
        <v>1.7540874096187054</v>
      </c>
      <c r="AE2217" t="s">
        <v>4817</v>
      </c>
      <c r="AF2217" t="str">
        <f>IF(X2217&lt;$AF$1,"Bajo","Alto")</f>
        <v>Alto</v>
      </c>
      <c r="AG2217" t="str">
        <f>LEFT(AE2217,1)</f>
        <v>C</v>
      </c>
      <c r="AH2217" t="str">
        <f>K2217</f>
        <v>M</v>
      </c>
      <c r="AI2217" t="str">
        <f>LEFT(AF2217,1)</f>
        <v>A</v>
      </c>
      <c r="AJ2217" t="str">
        <f>LEFT(M2217,1)</f>
        <v>J</v>
      </c>
      <c r="AK2217" t="str">
        <f>_xlfn.CONCAT(AG2217,AH2217,AI2217,AJ2217)</f>
        <v>CMAJ</v>
      </c>
    </row>
    <row r="2218" spans="1:37" ht="15.75" hidden="1" customHeight="1" x14ac:dyDescent="0.2">
      <c r="A2218" s="1">
        <v>2910902</v>
      </c>
      <c r="B2218" s="1" t="s">
        <v>3890</v>
      </c>
      <c r="C2218" s="1" t="s">
        <v>1695</v>
      </c>
      <c r="D2218" s="1" t="s">
        <v>460</v>
      </c>
      <c r="E2218" s="1" t="s">
        <v>98</v>
      </c>
      <c r="F2218" s="1" t="s">
        <v>37</v>
      </c>
      <c r="G2218" s="1" t="s">
        <v>3937</v>
      </c>
      <c r="H2218" s="1">
        <v>528</v>
      </c>
      <c r="I2218" s="1" t="s">
        <v>85</v>
      </c>
      <c r="J2218" s="1">
        <v>12</v>
      </c>
      <c r="K2218" s="1" t="s">
        <v>35</v>
      </c>
      <c r="L2218" s="1">
        <v>48</v>
      </c>
      <c r="M2218" s="1" t="str">
        <f>IF(L2218&lt;=45,"Joven","Mayor")</f>
        <v>Mayor</v>
      </c>
      <c r="N2218" s="1">
        <v>53</v>
      </c>
      <c r="O2218" s="1" t="s">
        <v>36</v>
      </c>
      <c r="P2218" s="1">
        <v>0.33600000000000002</v>
      </c>
      <c r="Q2218" s="1">
        <v>92.319000000000003</v>
      </c>
      <c r="R2218" s="1">
        <v>3.3531643999999998</v>
      </c>
      <c r="S2218" s="1">
        <v>3.2819197</v>
      </c>
      <c r="T2218" s="1">
        <v>-1.6809075</v>
      </c>
      <c r="U2218" s="1">
        <v>43.222000000000001</v>
      </c>
      <c r="V2218" s="1">
        <v>109</v>
      </c>
      <c r="W2218" s="1">
        <v>188</v>
      </c>
      <c r="X2218" s="1">
        <v>1.724770642201835</v>
      </c>
      <c r="Y2218" s="1">
        <v>111</v>
      </c>
      <c r="Z2218" s="1">
        <v>188</v>
      </c>
      <c r="AA2218" s="1">
        <v>1.6936936936936937</v>
      </c>
      <c r="AB2218" s="1">
        <v>112.3308942338433</v>
      </c>
      <c r="AC2218" s="1">
        <v>187.8897685986108</v>
      </c>
      <c r="AD2218" s="1">
        <v>1.6726455342505675</v>
      </c>
      <c r="AE2218" t="s">
        <v>4815</v>
      </c>
      <c r="AF2218" t="str">
        <f>IF(X2218&lt;$AF$1,"Bajo","Alto")</f>
        <v>Bajo</v>
      </c>
      <c r="AG2218" t="str">
        <f>LEFT(AE2218,1)</f>
        <v>I</v>
      </c>
      <c r="AH2218" t="str">
        <f>K2218</f>
        <v>M</v>
      </c>
      <c r="AI2218" t="str">
        <f>LEFT(AF2218,1)</f>
        <v>B</v>
      </c>
      <c r="AJ2218" t="str">
        <f>LEFT(M2218,1)</f>
        <v>M</v>
      </c>
      <c r="AK2218" t="str">
        <f>_xlfn.CONCAT(AG2218,AH2218,AI2218,AJ2218)</f>
        <v>IMBM</v>
      </c>
    </row>
    <row r="2219" spans="1:37" ht="15.75" hidden="1" customHeight="1" x14ac:dyDescent="0.2">
      <c r="A2219" s="1">
        <v>10729202</v>
      </c>
      <c r="B2219" s="1" t="s">
        <v>1067</v>
      </c>
      <c r="C2219" s="1" t="s">
        <v>1068</v>
      </c>
      <c r="D2219" s="1" t="s">
        <v>1353</v>
      </c>
      <c r="E2219" s="1" t="s">
        <v>594</v>
      </c>
      <c r="F2219" s="1" t="s">
        <v>37</v>
      </c>
      <c r="G2219" s="1" t="s">
        <v>1355</v>
      </c>
      <c r="H2219" s="1">
        <v>1492</v>
      </c>
      <c r="I2219" s="1" t="s">
        <v>65</v>
      </c>
      <c r="J2219" s="1">
        <v>2</v>
      </c>
      <c r="K2219" s="1" t="s">
        <v>35</v>
      </c>
      <c r="L2219" s="1">
        <v>47</v>
      </c>
      <c r="M2219" s="1" t="str">
        <f>IF(L2219&lt;=45,"Joven","Mayor")</f>
        <v>Mayor</v>
      </c>
      <c r="N2219" s="1">
        <v>38</v>
      </c>
      <c r="O2219" s="1" t="s">
        <v>36</v>
      </c>
      <c r="P2219" s="1">
        <v>1.02</v>
      </c>
      <c r="Q2219" s="1">
        <v>82.141000000000005</v>
      </c>
      <c r="R2219" s="1">
        <v>-9.1355039999999992</v>
      </c>
      <c r="S2219" s="1">
        <v>-4.8868356000000004</v>
      </c>
      <c r="T2219" s="1">
        <v>7.9864597000000002</v>
      </c>
      <c r="U2219" s="1">
        <v>2.5870000000000002</v>
      </c>
      <c r="V2219" s="1">
        <v>67</v>
      </c>
      <c r="W2219" s="1">
        <v>116</v>
      </c>
      <c r="X2219" s="1">
        <v>1.7313432835820894</v>
      </c>
      <c r="Y2219" s="1">
        <v>73</v>
      </c>
      <c r="Z2219" s="1">
        <v>116</v>
      </c>
      <c r="AA2219" s="1">
        <v>1.5890410958904109</v>
      </c>
      <c r="AB2219" s="1">
        <v>70.518334592255997</v>
      </c>
      <c r="AC2219" s="1">
        <v>114.8749079806894</v>
      </c>
      <c r="AD2219" s="1">
        <v>1.6290076707697014</v>
      </c>
      <c r="AE2219" t="s">
        <v>4817</v>
      </c>
      <c r="AF2219" t="str">
        <f>IF(X2219&lt;$AF$1,"Bajo","Alto")</f>
        <v>Bajo</v>
      </c>
      <c r="AG2219" t="str">
        <f>LEFT(AE2219,1)</f>
        <v>C</v>
      </c>
      <c r="AH2219" t="str">
        <f>K2219</f>
        <v>M</v>
      </c>
      <c r="AI2219" t="str">
        <f>LEFT(AF2219,1)</f>
        <v>B</v>
      </c>
      <c r="AJ2219" t="str">
        <f>LEFT(M2219,1)</f>
        <v>M</v>
      </c>
      <c r="AK2219" t="str">
        <f>_xlfn.CONCAT(AG2219,AH2219,AI2219,AJ2219)</f>
        <v>CMBM</v>
      </c>
    </row>
    <row r="2220" spans="1:37" ht="15.75" hidden="1" customHeight="1" x14ac:dyDescent="0.2">
      <c r="A2220" s="1">
        <v>1017004</v>
      </c>
      <c r="B2220" s="1" t="s">
        <v>29</v>
      </c>
      <c r="C2220" s="1" t="s">
        <v>30</v>
      </c>
      <c r="D2220" s="1" t="s">
        <v>719</v>
      </c>
      <c r="E2220" s="1" t="s">
        <v>720</v>
      </c>
      <c r="F2220" s="1" t="s">
        <v>61</v>
      </c>
      <c r="G2220" s="1" t="s">
        <v>723</v>
      </c>
      <c r="H2220" s="1">
        <v>8384</v>
      </c>
      <c r="I2220" s="1" t="s">
        <v>108</v>
      </c>
      <c r="J2220" s="1">
        <v>3</v>
      </c>
      <c r="K2220" s="1" t="s">
        <v>35</v>
      </c>
      <c r="L2220" s="1">
        <v>47</v>
      </c>
      <c r="M2220" s="1" t="str">
        <f>IF(L2220&lt;=45,"Joven","Mayor")</f>
        <v>Mayor</v>
      </c>
      <c r="N2220" s="1">
        <v>49</v>
      </c>
      <c r="O2220" s="1" t="s">
        <v>36</v>
      </c>
      <c r="P2220" s="1">
        <v>0.126</v>
      </c>
      <c r="Q2220" s="1">
        <v>67.948999999999998</v>
      </c>
      <c r="R2220" s="1">
        <v>-12.966968</v>
      </c>
      <c r="S2220" s="1">
        <v>4.5809259999999998</v>
      </c>
      <c r="T2220" s="1">
        <v>2.0721295</v>
      </c>
      <c r="U2220" s="1">
        <v>22.009</v>
      </c>
      <c r="V2220" s="1">
        <v>128</v>
      </c>
      <c r="W2220" s="1">
        <v>231</v>
      </c>
      <c r="X2220" s="1">
        <v>1.8046875</v>
      </c>
      <c r="Y2220" s="1">
        <v>133</v>
      </c>
      <c r="Z2220" s="1">
        <v>231</v>
      </c>
      <c r="AA2220" s="1">
        <v>1.736842105263158</v>
      </c>
      <c r="AB2220" s="1">
        <v>130.23736899664601</v>
      </c>
      <c r="AC2220" s="1">
        <v>230.45121556115151</v>
      </c>
      <c r="AD2220" s="1">
        <v>1.7694707543353883</v>
      </c>
      <c r="AE2220" t="s">
        <v>4817</v>
      </c>
      <c r="AF2220" t="str">
        <f>IF(X2220&lt;$AF$1,"Bajo","Alto")</f>
        <v>Alto</v>
      </c>
      <c r="AG2220" t="str">
        <f>LEFT(AE2220,1)</f>
        <v>C</v>
      </c>
      <c r="AH2220" t="str">
        <f>K2220</f>
        <v>M</v>
      </c>
      <c r="AI2220" t="str">
        <f>LEFT(AF2220,1)</f>
        <v>A</v>
      </c>
      <c r="AJ2220" t="str">
        <f>LEFT(M2220,1)</f>
        <v>M</v>
      </c>
      <c r="AK2220" t="str">
        <f>_xlfn.CONCAT(AG2220,AH2220,AI2220,AJ2220)</f>
        <v>CMAM</v>
      </c>
    </row>
    <row r="2221" spans="1:37" ht="15.75" customHeight="1" x14ac:dyDescent="0.2">
      <c r="A2221" s="1">
        <v>290109</v>
      </c>
      <c r="B2221" s="1" t="s">
        <v>3890</v>
      </c>
      <c r="C2221" s="1" t="s">
        <v>1695</v>
      </c>
      <c r="D2221" s="1" t="s">
        <v>3891</v>
      </c>
      <c r="E2221" s="1" t="s">
        <v>32</v>
      </c>
      <c r="F2221" s="1" t="s">
        <v>189</v>
      </c>
      <c r="G2221" s="1" t="s">
        <v>3902</v>
      </c>
      <c r="H2221" s="1">
        <v>2669</v>
      </c>
      <c r="I2221" s="1" t="s">
        <v>3903</v>
      </c>
      <c r="J2221" s="1">
        <v>4035</v>
      </c>
      <c r="K2221" s="1" t="s">
        <v>35</v>
      </c>
      <c r="L2221" s="1">
        <v>43</v>
      </c>
      <c r="M2221" s="1" t="str">
        <f>IF(L2221&lt;=45,"Joven","Mayor")</f>
        <v>Joven</v>
      </c>
      <c r="N2221" s="1">
        <v>46</v>
      </c>
      <c r="O2221" s="1" t="s">
        <v>36</v>
      </c>
      <c r="P2221" s="1">
        <v>0.307</v>
      </c>
      <c r="Q2221" s="1">
        <v>91.194999999999993</v>
      </c>
      <c r="R2221" s="1">
        <v>3.5855017</v>
      </c>
      <c r="S2221" s="1">
        <v>6.0500106999999996</v>
      </c>
      <c r="T2221" s="1">
        <v>-4.5804549999999997</v>
      </c>
      <c r="U2221" s="1">
        <v>5.5140000000000002</v>
      </c>
      <c r="V2221" s="1">
        <v>90</v>
      </c>
      <c r="W2221" s="1">
        <v>160</v>
      </c>
      <c r="X2221" s="1">
        <v>1.7777777777777777</v>
      </c>
      <c r="Y2221" s="1">
        <v>96</v>
      </c>
      <c r="Z2221" s="1">
        <v>160</v>
      </c>
      <c r="AA2221" s="1">
        <v>1.6666666666666667</v>
      </c>
      <c r="AB2221" s="1">
        <v>93.465924057692064</v>
      </c>
      <c r="AC2221" s="1">
        <v>160.2077185706448</v>
      </c>
      <c r="AD2221" s="1">
        <v>1.7140762281637125</v>
      </c>
      <c r="AE2221" t="s">
        <v>4818</v>
      </c>
      <c r="AF2221" t="str">
        <f>IF(X2221&lt;$AF$1,"Bajo","Alto")</f>
        <v>Alto</v>
      </c>
      <c r="AG2221" t="str">
        <f>LEFT(AE2221,1)</f>
        <v>S</v>
      </c>
      <c r="AH2221" t="str">
        <f>K2221</f>
        <v>M</v>
      </c>
      <c r="AI2221" t="str">
        <f>LEFT(AF2221,1)</f>
        <v>A</v>
      </c>
      <c r="AJ2221" t="str">
        <f>LEFT(M2221,1)</f>
        <v>J</v>
      </c>
      <c r="AK2221" t="str">
        <f>_xlfn.CONCAT(AG2221,AH2221,AI2221,AJ2221)</f>
        <v>SMAJ</v>
      </c>
    </row>
    <row r="2222" spans="1:37" ht="15.75" hidden="1" customHeight="1" x14ac:dyDescent="0.2">
      <c r="A2222" s="1">
        <v>315503</v>
      </c>
      <c r="B2222" s="1" t="s">
        <v>4122</v>
      </c>
      <c r="C2222" s="1" t="s">
        <v>628</v>
      </c>
      <c r="D2222" s="1" t="s">
        <v>4232</v>
      </c>
      <c r="E2222" s="1" t="s">
        <v>690</v>
      </c>
      <c r="F2222" s="1" t="s">
        <v>63</v>
      </c>
      <c r="G2222" s="1" t="s">
        <v>4233</v>
      </c>
      <c r="H2222" s="1">
        <v>878</v>
      </c>
      <c r="I2222" s="1" t="s">
        <v>87</v>
      </c>
      <c r="J2222" s="1">
        <v>14</v>
      </c>
      <c r="K2222" s="1" t="s">
        <v>49</v>
      </c>
      <c r="L2222" s="1">
        <v>40</v>
      </c>
      <c r="M2222" s="1" t="str">
        <f>IF(L2222&lt;=45,"Joven","Mayor")</f>
        <v>Joven</v>
      </c>
      <c r="N2222" s="1">
        <v>41</v>
      </c>
      <c r="O2222" s="1" t="s">
        <v>50</v>
      </c>
      <c r="P2222" s="1">
        <v>0.22800000000000001</v>
      </c>
      <c r="Q2222" s="1">
        <v>91.058000000000007</v>
      </c>
      <c r="R2222" s="1">
        <v>-1.2047805</v>
      </c>
      <c r="S2222" s="1">
        <v>10.426704000000001</v>
      </c>
      <c r="T2222" s="1">
        <v>5.7015570000000002</v>
      </c>
      <c r="U2222" s="1">
        <v>2.081</v>
      </c>
      <c r="V2222" s="1">
        <v>98</v>
      </c>
      <c r="W2222" s="1">
        <v>177</v>
      </c>
      <c r="X2222" s="1">
        <v>1.8061224489795917</v>
      </c>
      <c r="Y2222" s="1">
        <v>103</v>
      </c>
      <c r="Z2222" s="1">
        <v>177</v>
      </c>
      <c r="AA2222" s="1">
        <v>1.7184466019417475</v>
      </c>
      <c r="AB2222" s="1">
        <v>102.78056119531929</v>
      </c>
      <c r="AC2222" s="1">
        <v>177.51521315819761</v>
      </c>
      <c r="AD2222" s="1">
        <v>1.7271282730287505</v>
      </c>
      <c r="AE2222" t="s">
        <v>4816</v>
      </c>
      <c r="AF2222" t="str">
        <f>IF(X2222&lt;$AF$1,"Bajo","Alto")</f>
        <v>Alto</v>
      </c>
      <c r="AG2222" t="str">
        <f>LEFT(AE2222,1)</f>
        <v>D</v>
      </c>
      <c r="AH2222" t="str">
        <f>K2222</f>
        <v>F</v>
      </c>
      <c r="AI2222" t="str">
        <f>LEFT(AF2222,1)</f>
        <v>A</v>
      </c>
      <c r="AJ2222" t="str">
        <f>LEFT(M2222,1)</f>
        <v>J</v>
      </c>
      <c r="AK2222" t="str">
        <f>_xlfn.CONCAT(AG2222,AH2222,AI2222,AJ2222)</f>
        <v>DFAJ</v>
      </c>
    </row>
    <row r="2223" spans="1:37" ht="15.75" hidden="1" customHeight="1" x14ac:dyDescent="0.2">
      <c r="A2223" s="1">
        <v>297902</v>
      </c>
      <c r="B2223" s="1" t="s">
        <v>3890</v>
      </c>
      <c r="C2223" s="1" t="s">
        <v>1695</v>
      </c>
      <c r="D2223" s="1" t="s">
        <v>4072</v>
      </c>
      <c r="E2223" s="1" t="s">
        <v>739</v>
      </c>
      <c r="F2223" s="1" t="s">
        <v>37</v>
      </c>
      <c r="G2223" s="1" t="s">
        <v>4073</v>
      </c>
      <c r="H2223" s="1">
        <v>11406</v>
      </c>
      <c r="I2223" s="1" t="s">
        <v>65</v>
      </c>
      <c r="J2223" s="1">
        <v>2</v>
      </c>
      <c r="K2223" s="1" t="s">
        <v>35</v>
      </c>
      <c r="L2223" s="1">
        <v>51</v>
      </c>
      <c r="M2223" s="1" t="str">
        <f>IF(L2223&lt;=45,"Joven","Mayor")</f>
        <v>Mayor</v>
      </c>
      <c r="N2223" s="1">
        <v>55</v>
      </c>
      <c r="O2223" s="1" t="s">
        <v>36</v>
      </c>
      <c r="P2223" s="1">
        <v>2.9449999999999998</v>
      </c>
      <c r="Q2223" s="1">
        <v>77.167000000000002</v>
      </c>
      <c r="R2223" s="1">
        <v>10.614665</v>
      </c>
      <c r="S2223" s="1">
        <v>-3.4529695999999999</v>
      </c>
      <c r="T2223" s="1">
        <v>-3.5450032</v>
      </c>
      <c r="U2223" s="1">
        <v>24.939</v>
      </c>
      <c r="V2223" s="1">
        <v>108</v>
      </c>
      <c r="W2223" s="1">
        <v>187</v>
      </c>
      <c r="X2223" s="1">
        <v>1.7314814814814814</v>
      </c>
      <c r="Y2223" s="1">
        <v>109</v>
      </c>
      <c r="Z2223" s="1">
        <v>187</v>
      </c>
      <c r="AA2223" s="1">
        <v>1.7155963302752293</v>
      </c>
      <c r="AB2223" s="1">
        <v>111.8830583090155</v>
      </c>
      <c r="AC2223" s="1">
        <v>186.51851790706999</v>
      </c>
      <c r="AD2223" s="1">
        <v>1.6670845499406624</v>
      </c>
      <c r="AE2223" t="s">
        <v>4817</v>
      </c>
      <c r="AF2223" t="str">
        <f>IF(X2223&lt;$AF$1,"Bajo","Alto")</f>
        <v>Bajo</v>
      </c>
      <c r="AG2223" t="str">
        <f>LEFT(AE2223,1)</f>
        <v>C</v>
      </c>
      <c r="AH2223" t="str">
        <f>K2223</f>
        <v>M</v>
      </c>
      <c r="AI2223" t="str">
        <f>LEFT(AF2223,1)</f>
        <v>B</v>
      </c>
      <c r="AJ2223" t="str">
        <f>LEFT(M2223,1)</f>
        <v>M</v>
      </c>
      <c r="AK2223" t="str">
        <f>_xlfn.CONCAT(AG2223,AH2223,AI2223,AJ2223)</f>
        <v>CMBM</v>
      </c>
    </row>
    <row r="2224" spans="1:37" ht="15.75" hidden="1" customHeight="1" x14ac:dyDescent="0.2">
      <c r="A2224" s="1">
        <v>2310301</v>
      </c>
      <c r="B2224" s="1" t="s">
        <v>319</v>
      </c>
      <c r="C2224" s="1" t="s">
        <v>1989</v>
      </c>
      <c r="D2224" s="1" t="s">
        <v>2927</v>
      </c>
      <c r="E2224" s="1" t="s">
        <v>81</v>
      </c>
      <c r="F2224" s="1" t="s">
        <v>32</v>
      </c>
      <c r="G2224" s="1" t="s">
        <v>2928</v>
      </c>
      <c r="H2224" s="1">
        <v>3036</v>
      </c>
      <c r="I2224" s="1" t="s">
        <v>65</v>
      </c>
      <c r="J2224" s="1">
        <v>2</v>
      </c>
      <c r="K2224" s="1" t="s">
        <v>49</v>
      </c>
      <c r="L2224" s="1">
        <v>47</v>
      </c>
      <c r="M2224" s="1" t="str">
        <f>IF(L2224&lt;=45,"Joven","Mayor")</f>
        <v>Mayor</v>
      </c>
      <c r="N2224" s="1">
        <v>39</v>
      </c>
      <c r="O2224" s="1" t="s">
        <v>50</v>
      </c>
      <c r="P2224" s="1">
        <v>0.36</v>
      </c>
      <c r="Q2224" s="1">
        <v>93.938000000000002</v>
      </c>
      <c r="R2224" s="1">
        <v>-1.0334656</v>
      </c>
      <c r="S2224" s="1">
        <v>2.9743385</v>
      </c>
      <c r="T2224" s="1">
        <v>0.53927650000000005</v>
      </c>
      <c r="U2224" s="1">
        <v>75.147999999999996</v>
      </c>
      <c r="V2224" s="1">
        <v>80</v>
      </c>
      <c r="W2224" s="1">
        <v>137</v>
      </c>
      <c r="X2224" s="1">
        <v>1.7124999999999999</v>
      </c>
      <c r="Y2224" s="1">
        <v>82</v>
      </c>
      <c r="Z2224" s="1">
        <v>137</v>
      </c>
      <c r="AA2224" s="1">
        <v>1.6707317073170731</v>
      </c>
      <c r="AB2224" s="1">
        <v>82.335200310451455</v>
      </c>
      <c r="AC2224" s="1">
        <v>137.02216776187521</v>
      </c>
      <c r="AD2224" s="1">
        <v>1.6641991183020406</v>
      </c>
      <c r="AE2224" t="s">
        <v>4817</v>
      </c>
      <c r="AF2224" t="str">
        <f>IF(X2224&lt;$AF$1,"Bajo","Alto")</f>
        <v>Bajo</v>
      </c>
      <c r="AG2224" t="str">
        <f>LEFT(AE2224,1)</f>
        <v>C</v>
      </c>
      <c r="AH2224" t="str">
        <f>K2224</f>
        <v>F</v>
      </c>
      <c r="AI2224" t="str">
        <f>LEFT(AF2224,1)</f>
        <v>B</v>
      </c>
      <c r="AJ2224" t="str">
        <f>LEFT(M2224,1)</f>
        <v>M</v>
      </c>
      <c r="AK2224" t="str">
        <f>_xlfn.CONCAT(AG2224,AH2224,AI2224,AJ2224)</f>
        <v>CFBM</v>
      </c>
    </row>
    <row r="2225" spans="1:37" ht="15.75" hidden="1" customHeight="1" x14ac:dyDescent="0.2">
      <c r="A2225" s="1">
        <v>1272005</v>
      </c>
      <c r="B2225" s="1" t="s">
        <v>1798</v>
      </c>
      <c r="C2225" s="1" t="s">
        <v>54</v>
      </c>
      <c r="D2225" s="1" t="s">
        <v>1899</v>
      </c>
      <c r="E2225" s="1" t="s">
        <v>1900</v>
      </c>
      <c r="F2225" s="1" t="s">
        <v>40</v>
      </c>
      <c r="G2225" s="1" t="s">
        <v>1904</v>
      </c>
      <c r="H2225" s="1">
        <v>232</v>
      </c>
      <c r="I2225" s="1" t="s">
        <v>1905</v>
      </c>
      <c r="J2225" s="1">
        <v>4568</v>
      </c>
      <c r="K2225" s="1" t="s">
        <v>49</v>
      </c>
      <c r="L2225" s="1">
        <v>34</v>
      </c>
      <c r="M2225" s="1" t="str">
        <f>IF(L2225&lt;=45,"Joven","Mayor")</f>
        <v>Joven</v>
      </c>
      <c r="N2225" s="1">
        <v>21</v>
      </c>
      <c r="O2225" s="1" t="s">
        <v>50</v>
      </c>
      <c r="P2225" s="1">
        <v>0.36</v>
      </c>
      <c r="Q2225" s="1">
        <v>93.950999999999993</v>
      </c>
      <c r="R2225" s="1">
        <v>1.2461047999999999</v>
      </c>
      <c r="S2225" s="1">
        <v>2.3779705</v>
      </c>
      <c r="T2225" s="1">
        <v>2.3053512999999999</v>
      </c>
      <c r="U2225" s="1">
        <v>63.323</v>
      </c>
      <c r="V2225" s="1">
        <v>93</v>
      </c>
      <c r="W2225" s="1">
        <v>169</v>
      </c>
      <c r="X2225" s="1">
        <v>1.8172043010752688</v>
      </c>
      <c r="Y2225" s="1">
        <v>103</v>
      </c>
      <c r="Z2225" s="1">
        <v>169</v>
      </c>
      <c r="AA2225" s="1">
        <v>1.6407766990291262</v>
      </c>
      <c r="AB2225" s="1">
        <v>101.30763158431709</v>
      </c>
      <c r="AC2225" s="1">
        <v>169.42637019730859</v>
      </c>
      <c r="AD2225" s="1">
        <v>1.6723949375550953</v>
      </c>
      <c r="AE2225" t="s">
        <v>4817</v>
      </c>
      <c r="AF2225" t="str">
        <f>IF(X2225&lt;$AF$1,"Bajo","Alto")</f>
        <v>Alto</v>
      </c>
      <c r="AG2225" t="str">
        <f>LEFT(AE2225,1)</f>
        <v>C</v>
      </c>
      <c r="AH2225" t="str">
        <f>K2225</f>
        <v>F</v>
      </c>
      <c r="AI2225" t="str">
        <f>LEFT(AF2225,1)</f>
        <v>A</v>
      </c>
      <c r="AJ2225" t="str">
        <f>LEFT(M2225,1)</f>
        <v>J</v>
      </c>
      <c r="AK2225" t="str">
        <f>_xlfn.CONCAT(AG2225,AH2225,AI2225,AJ2225)</f>
        <v>CFAJ</v>
      </c>
    </row>
    <row r="2226" spans="1:37" ht="15.75" hidden="1" customHeight="1" x14ac:dyDescent="0.2">
      <c r="A2226" s="1">
        <v>1057810</v>
      </c>
      <c r="B2226" s="1" t="s">
        <v>694</v>
      </c>
      <c r="C2226" s="1" t="s">
        <v>879</v>
      </c>
      <c r="D2226" s="1" t="s">
        <v>1031</v>
      </c>
      <c r="E2226" s="1" t="s">
        <v>732</v>
      </c>
      <c r="F2226" s="1" t="s">
        <v>75</v>
      </c>
      <c r="G2226" s="1" t="s">
        <v>1033</v>
      </c>
      <c r="H2226" s="1">
        <v>13</v>
      </c>
      <c r="I2226" s="1" t="s">
        <v>108</v>
      </c>
      <c r="J2226" s="1">
        <v>3</v>
      </c>
      <c r="K2226" s="1" t="s">
        <v>35</v>
      </c>
      <c r="L2226" s="1">
        <v>44</v>
      </c>
      <c r="M2226" s="1" t="str">
        <f>IF(L2226&lt;=45,"Joven","Mayor")</f>
        <v>Joven</v>
      </c>
      <c r="N2226" s="1">
        <v>52</v>
      </c>
      <c r="O2226" s="1" t="s">
        <v>36</v>
      </c>
      <c r="P2226" s="1">
        <v>0.96799999999999997</v>
      </c>
      <c r="Q2226" s="1">
        <v>88.731999999999999</v>
      </c>
      <c r="R2226" s="1">
        <v>6.6234593000000004</v>
      </c>
      <c r="S2226" s="1">
        <v>1.9728300000000001</v>
      </c>
      <c r="T2226" s="1">
        <v>-6.6826935000000001</v>
      </c>
      <c r="U2226" s="1">
        <v>4.0640000000000001</v>
      </c>
      <c r="V2226" s="1">
        <v>76</v>
      </c>
      <c r="W2226" s="1">
        <v>137</v>
      </c>
      <c r="X2226" s="1">
        <v>1.8026315789473684</v>
      </c>
      <c r="Y2226" s="1">
        <v>77</v>
      </c>
      <c r="Z2226" s="1">
        <v>137</v>
      </c>
      <c r="AA2226" s="1">
        <v>1.7792207792207793</v>
      </c>
      <c r="AB2226" s="1">
        <v>80.371215286692177</v>
      </c>
      <c r="AC2226" s="1">
        <v>136.7674252356114</v>
      </c>
      <c r="AD2226" s="1">
        <v>1.7016966179713506</v>
      </c>
      <c r="AE2226" t="s">
        <v>4815</v>
      </c>
      <c r="AF2226" t="str">
        <f>IF(X2226&lt;$AF$1,"Bajo","Alto")</f>
        <v>Alto</v>
      </c>
      <c r="AG2226" t="str">
        <f>LEFT(AE2226,1)</f>
        <v>I</v>
      </c>
      <c r="AH2226" t="str">
        <f>K2226</f>
        <v>M</v>
      </c>
      <c r="AI2226" t="str">
        <f>LEFT(AF2226,1)</f>
        <v>A</v>
      </c>
      <c r="AJ2226" t="str">
        <f>LEFT(M2226,1)</f>
        <v>J</v>
      </c>
      <c r="AK2226" t="str">
        <f>_xlfn.CONCAT(AG2226,AH2226,AI2226,AJ2226)</f>
        <v>IMAJ</v>
      </c>
    </row>
    <row r="2227" spans="1:37" ht="15.75" hidden="1" customHeight="1" x14ac:dyDescent="0.2">
      <c r="A2227" s="1">
        <v>480503</v>
      </c>
      <c r="B2227" s="1" t="s">
        <v>4465</v>
      </c>
      <c r="C2227" s="1" t="s">
        <v>2650</v>
      </c>
      <c r="D2227" s="1" t="s">
        <v>4479</v>
      </c>
      <c r="E2227" s="1" t="s">
        <v>40</v>
      </c>
      <c r="F2227" s="1" t="s">
        <v>63</v>
      </c>
      <c r="G2227" s="1" t="s">
        <v>4481</v>
      </c>
      <c r="H2227" s="1">
        <v>2725</v>
      </c>
      <c r="I2227" s="1" t="s">
        <v>91</v>
      </c>
      <c r="J2227" s="1">
        <v>6</v>
      </c>
      <c r="K2227" s="1" t="s">
        <v>35</v>
      </c>
      <c r="L2227" s="1">
        <v>29</v>
      </c>
      <c r="M2227" s="1" t="str">
        <f>IF(L2227&lt;=45,"Joven","Mayor")</f>
        <v>Joven</v>
      </c>
      <c r="N2227" s="1">
        <v>39</v>
      </c>
      <c r="O2227" s="1" t="s">
        <v>36</v>
      </c>
      <c r="P2227" s="1">
        <v>0.16300000000000001</v>
      </c>
      <c r="Q2227" s="1">
        <v>92.616</v>
      </c>
      <c r="R2227" s="1">
        <v>3.4126647000000001</v>
      </c>
      <c r="S2227" s="1">
        <v>2.1198857000000002</v>
      </c>
      <c r="T2227" s="1">
        <v>-4.3146614999999997</v>
      </c>
      <c r="U2227" s="1">
        <v>7.6619999999999999</v>
      </c>
      <c r="V2227" s="1">
        <v>113</v>
      </c>
      <c r="W2227" s="1">
        <v>204</v>
      </c>
      <c r="X2227" s="1">
        <v>1.8053097345132743</v>
      </c>
      <c r="Y2227" s="1">
        <v>117</v>
      </c>
      <c r="Z2227" s="1">
        <v>204</v>
      </c>
      <c r="AA2227" s="1">
        <v>1.7435897435897436</v>
      </c>
      <c r="AB2227" s="1">
        <v>116.8928464831743</v>
      </c>
      <c r="AC2227" s="1">
        <v>203.79801602788709</v>
      </c>
      <c r="AD2227" s="1">
        <v>1.7434601188980545</v>
      </c>
      <c r="AE2227" t="s">
        <v>4817</v>
      </c>
      <c r="AF2227" t="str">
        <f>IF(X2227&lt;$AF$1,"Bajo","Alto")</f>
        <v>Alto</v>
      </c>
      <c r="AG2227" t="str">
        <f>LEFT(AE2227,1)</f>
        <v>C</v>
      </c>
      <c r="AH2227" t="str">
        <f>K2227</f>
        <v>M</v>
      </c>
      <c r="AI2227" t="str">
        <f>LEFT(AF2227,1)</f>
        <v>A</v>
      </c>
      <c r="AJ2227" t="str">
        <f>LEFT(M2227,1)</f>
        <v>J</v>
      </c>
      <c r="AK2227" t="str">
        <f>_xlfn.CONCAT(AG2227,AH2227,AI2227,AJ2227)</f>
        <v>CMAJ</v>
      </c>
    </row>
    <row r="2228" spans="1:37" ht="15.75" hidden="1" customHeight="1" x14ac:dyDescent="0.2">
      <c r="A2228" s="1">
        <v>110105</v>
      </c>
      <c r="B2228" s="1" t="s">
        <v>1648</v>
      </c>
      <c r="C2228" s="1" t="s">
        <v>51</v>
      </c>
      <c r="D2228" s="1" t="s">
        <v>1649</v>
      </c>
      <c r="E2228" s="1" t="s">
        <v>32</v>
      </c>
      <c r="F2228" s="1" t="s">
        <v>40</v>
      </c>
      <c r="G2228" s="1" t="s">
        <v>1650</v>
      </c>
      <c r="H2228" s="1">
        <v>11743</v>
      </c>
      <c r="I2228" s="1" t="s">
        <v>65</v>
      </c>
      <c r="J2228" s="1">
        <v>2</v>
      </c>
      <c r="K2228" s="1" t="s">
        <v>35</v>
      </c>
      <c r="L2228" s="1">
        <v>55</v>
      </c>
      <c r="M2228" s="1" t="str">
        <f>IF(L2228&lt;=45,"Joven","Mayor")</f>
        <v>Mayor</v>
      </c>
      <c r="N2228" s="1">
        <v>54</v>
      </c>
      <c r="O2228" s="1" t="s">
        <v>36</v>
      </c>
      <c r="P2228" s="1">
        <v>0.14899999999999999</v>
      </c>
      <c r="Q2228" s="1">
        <v>89.721999999999994</v>
      </c>
      <c r="R2228" s="1">
        <v>5.5551019999999998</v>
      </c>
      <c r="S2228" s="1">
        <v>4.3404864999999999</v>
      </c>
      <c r="T2228" s="1">
        <v>-4.0732989999999996</v>
      </c>
      <c r="U2228" s="1">
        <v>7.1050000000000004</v>
      </c>
      <c r="V2228" s="1">
        <v>128</v>
      </c>
      <c r="W2228" s="1">
        <v>231</v>
      </c>
      <c r="X2228" s="1">
        <v>1.8046875</v>
      </c>
      <c r="Y2228" s="1">
        <v>129</v>
      </c>
      <c r="Z2228" s="1">
        <v>231</v>
      </c>
      <c r="AA2228" s="1">
        <v>1.7906976744186047</v>
      </c>
      <c r="AB2228" s="1">
        <v>133.4333300054395</v>
      </c>
      <c r="AC2228" s="1">
        <v>230.77165563181731</v>
      </c>
      <c r="AD2228" s="1">
        <v>1.7294903426483454</v>
      </c>
      <c r="AE2228" t="s">
        <v>4817</v>
      </c>
      <c r="AF2228" t="str">
        <f>IF(X2228&lt;$AF$1,"Bajo","Alto")</f>
        <v>Alto</v>
      </c>
      <c r="AG2228" t="str">
        <f>LEFT(AE2228,1)</f>
        <v>C</v>
      </c>
      <c r="AH2228" t="str">
        <f>K2228</f>
        <v>M</v>
      </c>
      <c r="AI2228" t="str">
        <f>LEFT(AF2228,1)</f>
        <v>A</v>
      </c>
      <c r="AJ2228" t="str">
        <f>LEFT(M2228,1)</f>
        <v>M</v>
      </c>
      <c r="AK2228" t="str">
        <f>_xlfn.CONCAT(AG2228,AH2228,AI2228,AJ2228)</f>
        <v>CMAM</v>
      </c>
    </row>
    <row r="2229" spans="1:37" ht="15.75" hidden="1" customHeight="1" x14ac:dyDescent="0.2">
      <c r="A2229" s="1">
        <v>313701</v>
      </c>
      <c r="B2229" s="1" t="s">
        <v>4122</v>
      </c>
      <c r="C2229" s="1" t="s">
        <v>628</v>
      </c>
      <c r="D2229" s="1" t="s">
        <v>4210</v>
      </c>
      <c r="E2229" s="1" t="s">
        <v>647</v>
      </c>
      <c r="F2229" s="1" t="s">
        <v>32</v>
      </c>
      <c r="G2229" s="1" t="s">
        <v>4211</v>
      </c>
      <c r="H2229" s="1">
        <v>91</v>
      </c>
      <c r="I2229" s="1" t="s">
        <v>100</v>
      </c>
      <c r="J2229" s="1">
        <v>1</v>
      </c>
      <c r="K2229" s="1" t="s">
        <v>35</v>
      </c>
      <c r="L2229" s="1">
        <v>62</v>
      </c>
      <c r="M2229" s="1" t="str">
        <f>IF(L2229&lt;=45,"Joven","Mayor")</f>
        <v>Mayor</v>
      </c>
      <c r="N2229" s="1">
        <v>57</v>
      </c>
      <c r="O2229" s="1" t="s">
        <v>36</v>
      </c>
      <c r="P2229" s="1">
        <v>0.33800000000000002</v>
      </c>
      <c r="Q2229" s="1">
        <v>89.55</v>
      </c>
      <c r="R2229" s="1">
        <v>-3.2024689</v>
      </c>
      <c r="S2229" s="1">
        <v>9.9422890000000006</v>
      </c>
      <c r="T2229" s="1">
        <v>2.9527093999999998</v>
      </c>
      <c r="U2229" s="1">
        <v>13.785</v>
      </c>
      <c r="V2229" s="1">
        <v>101</v>
      </c>
      <c r="W2229" s="1">
        <v>175</v>
      </c>
      <c r="X2229" s="1">
        <v>1.7326732673267327</v>
      </c>
      <c r="Y2229" s="1">
        <v>106</v>
      </c>
      <c r="Z2229" s="1">
        <v>175</v>
      </c>
      <c r="AA2229" s="1">
        <v>1.6509433962264151</v>
      </c>
      <c r="AB2229" s="1">
        <v>103.64427069756491</v>
      </c>
      <c r="AC2229" s="1">
        <v>174.97371527931591</v>
      </c>
      <c r="AD2229" s="1">
        <v>1.6882140624047719</v>
      </c>
      <c r="AE2229" t="s">
        <v>4817</v>
      </c>
      <c r="AF2229" t="str">
        <f>IF(X2229&lt;$AF$1,"Bajo","Alto")</f>
        <v>Bajo</v>
      </c>
      <c r="AG2229" t="str">
        <f>LEFT(AE2229,1)</f>
        <v>C</v>
      </c>
      <c r="AH2229" t="str">
        <f>K2229</f>
        <v>M</v>
      </c>
      <c r="AI2229" t="str">
        <f>LEFT(AF2229,1)</f>
        <v>B</v>
      </c>
      <c r="AJ2229" t="str">
        <f>LEFT(M2229,1)</f>
        <v>M</v>
      </c>
      <c r="AK2229" t="str">
        <f>_xlfn.CONCAT(AG2229,AH2229,AI2229,AJ2229)</f>
        <v>CMBM</v>
      </c>
    </row>
    <row r="2230" spans="1:37" ht="15.75" hidden="1" customHeight="1" x14ac:dyDescent="0.2">
      <c r="A2230" s="1">
        <v>270704</v>
      </c>
      <c r="B2230" s="1" t="s">
        <v>3409</v>
      </c>
      <c r="C2230" s="1" t="s">
        <v>973</v>
      </c>
      <c r="D2230" s="1" t="s">
        <v>3420</v>
      </c>
      <c r="E2230" s="1" t="s">
        <v>43</v>
      </c>
      <c r="F2230" s="1" t="s">
        <v>61</v>
      </c>
      <c r="G2230" s="1" t="s">
        <v>3423</v>
      </c>
      <c r="H2230" s="1">
        <v>5</v>
      </c>
      <c r="I2230" s="1" t="s">
        <v>134</v>
      </c>
      <c r="J2230" s="1">
        <v>8</v>
      </c>
      <c r="K2230" s="1" t="s">
        <v>35</v>
      </c>
      <c r="L2230" s="1">
        <v>39</v>
      </c>
      <c r="M2230" s="1" t="str">
        <f>IF(L2230&lt;=45,"Joven","Mayor")</f>
        <v>Joven</v>
      </c>
      <c r="N2230" s="1">
        <v>44</v>
      </c>
      <c r="O2230" s="1" t="s">
        <v>36</v>
      </c>
      <c r="P2230" s="1">
        <v>0.28699999999999998</v>
      </c>
      <c r="Q2230" s="1">
        <v>93.015000000000001</v>
      </c>
      <c r="R2230" s="1">
        <v>2.2318156</v>
      </c>
      <c r="S2230" s="1">
        <v>3.8806335999999999</v>
      </c>
      <c r="T2230" s="1">
        <v>-4.459009</v>
      </c>
      <c r="U2230" s="1">
        <v>2.2810000000000001</v>
      </c>
      <c r="V2230" s="1">
        <v>82</v>
      </c>
      <c r="W2230" s="1">
        <v>148</v>
      </c>
      <c r="X2230" s="1">
        <v>1.8048780487804879</v>
      </c>
      <c r="Y2230" s="1">
        <v>84</v>
      </c>
      <c r="Z2230" s="1">
        <v>148</v>
      </c>
      <c r="AA2230" s="1">
        <v>1.7619047619047619</v>
      </c>
      <c r="AB2230" s="1">
        <v>85.172620796661931</v>
      </c>
      <c r="AC2230" s="1">
        <v>148.01851026235821</v>
      </c>
      <c r="AD2230" s="1">
        <v>1.7378649251117011</v>
      </c>
      <c r="AE2230" t="s">
        <v>4817</v>
      </c>
      <c r="AF2230" t="str">
        <f>IF(X2230&lt;$AF$1,"Bajo","Alto")</f>
        <v>Alto</v>
      </c>
      <c r="AG2230" t="str">
        <f>LEFT(AE2230,1)</f>
        <v>C</v>
      </c>
      <c r="AH2230" t="str">
        <f>K2230</f>
        <v>M</v>
      </c>
      <c r="AI2230" t="str">
        <f>LEFT(AF2230,1)</f>
        <v>A</v>
      </c>
      <c r="AJ2230" t="str">
        <f>LEFT(M2230,1)</f>
        <v>J</v>
      </c>
      <c r="AK2230" t="str">
        <f>_xlfn.CONCAT(AG2230,AH2230,AI2230,AJ2230)</f>
        <v>CMAJ</v>
      </c>
    </row>
    <row r="2231" spans="1:37" ht="15.75" hidden="1" customHeight="1" x14ac:dyDescent="0.2">
      <c r="A2231" s="1">
        <v>480702</v>
      </c>
      <c r="B2231" s="1" t="s">
        <v>4465</v>
      </c>
      <c r="C2231" s="1" t="s">
        <v>2650</v>
      </c>
      <c r="D2231" s="1" t="s">
        <v>4486</v>
      </c>
      <c r="E2231" s="1" t="s">
        <v>43</v>
      </c>
      <c r="F2231" s="1" t="s">
        <v>37</v>
      </c>
      <c r="G2231" s="1" t="s">
        <v>4487</v>
      </c>
      <c r="H2231" s="1">
        <v>1763</v>
      </c>
      <c r="I2231" s="1" t="s">
        <v>65</v>
      </c>
      <c r="J2231" s="1">
        <v>2</v>
      </c>
      <c r="K2231" s="1" t="s">
        <v>35</v>
      </c>
      <c r="L2231" s="1">
        <v>45</v>
      </c>
      <c r="M2231" s="1" t="str">
        <f>IF(L2231&lt;=45,"Joven","Mayor")</f>
        <v>Joven</v>
      </c>
      <c r="N2231" s="1">
        <v>44</v>
      </c>
      <c r="O2231" s="1" t="s">
        <v>36</v>
      </c>
      <c r="P2231" s="1">
        <v>0.36899999999999999</v>
      </c>
      <c r="Q2231" s="1">
        <v>94.114999999999995</v>
      </c>
      <c r="R2231" s="1">
        <v>0.88700246999999999</v>
      </c>
      <c r="S2231" s="1">
        <v>-2.4827813999999999</v>
      </c>
      <c r="T2231" s="1">
        <v>-0.45266195999999997</v>
      </c>
      <c r="U2231" s="1">
        <v>17.181999999999999</v>
      </c>
      <c r="V2231" s="1">
        <v>71</v>
      </c>
      <c r="W2231" s="1">
        <v>128</v>
      </c>
      <c r="X2231" s="1">
        <v>1.8028169014084507</v>
      </c>
      <c r="Y2231" s="1">
        <v>72</v>
      </c>
      <c r="Z2231" s="1">
        <v>128</v>
      </c>
      <c r="AA2231" s="1">
        <v>1.7777777777777777</v>
      </c>
      <c r="AB2231" s="1">
        <v>71.72914078042777</v>
      </c>
      <c r="AC2231" s="1">
        <v>128.00390569363299</v>
      </c>
      <c r="AD2231" s="1">
        <v>1.7845453647000957</v>
      </c>
      <c r="AE2231" t="s">
        <v>4817</v>
      </c>
      <c r="AF2231" t="str">
        <f>IF(X2231&lt;$AF$1,"Bajo","Alto")</f>
        <v>Alto</v>
      </c>
      <c r="AG2231" t="str">
        <f>LEFT(AE2231,1)</f>
        <v>C</v>
      </c>
      <c r="AH2231" t="str">
        <f>K2231</f>
        <v>M</v>
      </c>
      <c r="AI2231" t="str">
        <f>LEFT(AF2231,1)</f>
        <v>A</v>
      </c>
      <c r="AJ2231" t="str">
        <f>LEFT(M2231,1)</f>
        <v>J</v>
      </c>
      <c r="AK2231" t="str">
        <f>_xlfn.CONCAT(AG2231,AH2231,AI2231,AJ2231)</f>
        <v>CMAJ</v>
      </c>
    </row>
    <row r="2232" spans="1:37" ht="15.75" hidden="1" customHeight="1" x14ac:dyDescent="0.2">
      <c r="A2232" s="1">
        <v>132403</v>
      </c>
      <c r="B2232" s="1" t="s">
        <v>956</v>
      </c>
      <c r="C2232" s="1" t="s">
        <v>163</v>
      </c>
      <c r="D2232" s="1" t="s">
        <v>1992</v>
      </c>
      <c r="E2232" s="1" t="s">
        <v>1993</v>
      </c>
      <c r="F2232" s="1" t="s">
        <v>63</v>
      </c>
      <c r="G2232" s="1" t="s">
        <v>1994</v>
      </c>
      <c r="H2232" s="1">
        <v>70</v>
      </c>
      <c r="I2232" s="1" t="s">
        <v>87</v>
      </c>
      <c r="J2232" s="1">
        <v>14</v>
      </c>
      <c r="K2232" s="1" t="s">
        <v>35</v>
      </c>
      <c r="L2232" s="1">
        <v>48</v>
      </c>
      <c r="M2232" s="1" t="str">
        <f>IF(L2232&lt;=45,"Joven","Mayor")</f>
        <v>Mayor</v>
      </c>
      <c r="N2232" s="1">
        <v>47</v>
      </c>
      <c r="O2232" s="1" t="s">
        <v>36</v>
      </c>
      <c r="P2232" s="1">
        <v>1.05</v>
      </c>
      <c r="Q2232" s="1">
        <v>91.972999999999999</v>
      </c>
      <c r="R2232" s="1">
        <v>2.0657736999999998</v>
      </c>
      <c r="S2232" s="1">
        <v>6.7400679999999999</v>
      </c>
      <c r="T2232" s="1">
        <v>-3.2841146000000001</v>
      </c>
      <c r="U2232" s="1">
        <v>2.8210000000000002</v>
      </c>
      <c r="V2232" s="1">
        <v>61</v>
      </c>
      <c r="W2232" s="1">
        <v>109</v>
      </c>
      <c r="X2232" s="1">
        <v>1.7868852459016393</v>
      </c>
      <c r="Y2232" s="1">
        <v>63</v>
      </c>
      <c r="Z2232" s="1">
        <v>109</v>
      </c>
      <c r="AA2232" s="1">
        <v>1.7301587301587302</v>
      </c>
      <c r="AB2232" s="1">
        <v>62.503864513626702</v>
      </c>
      <c r="AC2232" s="1">
        <v>108.9928551395333</v>
      </c>
      <c r="AD2232" s="1">
        <v>1.7437778605796665</v>
      </c>
      <c r="AE2232" t="s">
        <v>4816</v>
      </c>
      <c r="AF2232" t="str">
        <f>IF(X2232&lt;$AF$1,"Bajo","Alto")</f>
        <v>Alto</v>
      </c>
      <c r="AG2232" t="str">
        <f>LEFT(AE2232,1)</f>
        <v>D</v>
      </c>
      <c r="AH2232" t="str">
        <f>K2232</f>
        <v>M</v>
      </c>
      <c r="AI2232" t="str">
        <f>LEFT(AF2232,1)</f>
        <v>A</v>
      </c>
      <c r="AJ2232" t="str">
        <f>LEFT(M2232,1)</f>
        <v>M</v>
      </c>
      <c r="AK2232" t="str">
        <f>_xlfn.CONCAT(AG2232,AH2232,AI2232,AJ2232)</f>
        <v>DMAM</v>
      </c>
    </row>
    <row r="2233" spans="1:37" ht="15.75" hidden="1" customHeight="1" x14ac:dyDescent="0.2">
      <c r="A2233" s="1">
        <v>524402</v>
      </c>
      <c r="B2233" s="1" t="s">
        <v>4529</v>
      </c>
      <c r="C2233" s="1" t="s">
        <v>685</v>
      </c>
      <c r="D2233" s="1" t="s">
        <v>4614</v>
      </c>
      <c r="E2233" s="1" t="s">
        <v>995</v>
      </c>
      <c r="F2233" s="1" t="s">
        <v>37</v>
      </c>
      <c r="G2233" s="1" t="s">
        <v>4616</v>
      </c>
      <c r="H2233" s="1">
        <v>62</v>
      </c>
      <c r="I2233" s="1" t="s">
        <v>48</v>
      </c>
      <c r="J2233" s="1">
        <v>4</v>
      </c>
      <c r="K2233" s="1" t="s">
        <v>49</v>
      </c>
      <c r="L2233" s="1">
        <v>38</v>
      </c>
      <c r="M2233" s="1" t="str">
        <f>IF(L2233&lt;=45,"Joven","Mayor")</f>
        <v>Joven</v>
      </c>
      <c r="N2233" s="1">
        <v>43</v>
      </c>
      <c r="O2233" s="1" t="s">
        <v>50</v>
      </c>
      <c r="P2233" s="1">
        <v>0.36199999999999999</v>
      </c>
      <c r="Q2233" s="1">
        <v>91.394999999999996</v>
      </c>
      <c r="R2233" s="1">
        <v>2.8357424999999998</v>
      </c>
      <c r="S2233" s="1">
        <v>7.1502103999999997</v>
      </c>
      <c r="T2233" s="1">
        <v>-9.6174079999999993</v>
      </c>
      <c r="U2233" s="1">
        <v>42.704000000000001</v>
      </c>
      <c r="V2233" s="1">
        <v>81</v>
      </c>
      <c r="W2233" s="1">
        <v>141</v>
      </c>
      <c r="X2233" s="1">
        <v>1.7407407407407407</v>
      </c>
      <c r="Y2233" s="1">
        <v>89</v>
      </c>
      <c r="Z2233" s="1">
        <v>141</v>
      </c>
      <c r="AA2233" s="1">
        <v>1.5842696629213484</v>
      </c>
      <c r="AB2233" s="1">
        <v>87.045508520415297</v>
      </c>
      <c r="AC2233" s="1">
        <v>141.52431517192139</v>
      </c>
      <c r="AD2233" s="1">
        <v>1.6258657979892077</v>
      </c>
      <c r="AE2233" t="s">
        <v>4817</v>
      </c>
      <c r="AF2233" t="str">
        <f>IF(X2233&lt;$AF$1,"Bajo","Alto")</f>
        <v>Bajo</v>
      </c>
      <c r="AG2233" t="str">
        <f>LEFT(AE2233,1)</f>
        <v>C</v>
      </c>
      <c r="AH2233" t="str">
        <f>K2233</f>
        <v>F</v>
      </c>
      <c r="AI2233" t="str">
        <f>LEFT(AF2233,1)</f>
        <v>B</v>
      </c>
      <c r="AJ2233" t="str">
        <f>LEFT(M2233,1)</f>
        <v>J</v>
      </c>
      <c r="AK2233" t="str">
        <f>_xlfn.CONCAT(AG2233,AH2233,AI2233,AJ2233)</f>
        <v>CFBJ</v>
      </c>
    </row>
    <row r="2234" spans="1:37" ht="15.75" hidden="1" customHeight="1" x14ac:dyDescent="0.2">
      <c r="A2234" s="1">
        <v>274505</v>
      </c>
      <c r="B2234" s="1" t="s">
        <v>3409</v>
      </c>
      <c r="C2234" s="1" t="s">
        <v>973</v>
      </c>
      <c r="D2234" s="1" t="s">
        <v>3681</v>
      </c>
      <c r="E2234" s="1" t="s">
        <v>3682</v>
      </c>
      <c r="F2234" s="1" t="s">
        <v>40</v>
      </c>
      <c r="G2234" s="1" t="s">
        <v>3684</v>
      </c>
      <c r="H2234" s="1">
        <v>127</v>
      </c>
      <c r="I2234" s="1" t="s">
        <v>48</v>
      </c>
      <c r="J2234" s="1">
        <v>4</v>
      </c>
      <c r="K2234" s="1" t="s">
        <v>35</v>
      </c>
      <c r="L2234" s="1">
        <v>40</v>
      </c>
      <c r="M2234" s="1" t="str">
        <f>IF(L2234&lt;=45,"Joven","Mayor")</f>
        <v>Joven</v>
      </c>
      <c r="N2234" s="1">
        <v>45</v>
      </c>
      <c r="O2234" s="1" t="s">
        <v>36</v>
      </c>
      <c r="P2234" s="1">
        <v>0.54300000000000004</v>
      </c>
      <c r="Q2234" s="1">
        <v>92.016999999999996</v>
      </c>
      <c r="R2234" s="1">
        <v>2.2644424000000001</v>
      </c>
      <c r="S2234" s="1">
        <v>6.6359076000000004</v>
      </c>
      <c r="T2234" s="1">
        <v>-2.3249590000000002</v>
      </c>
      <c r="U2234" s="1">
        <v>16.04</v>
      </c>
      <c r="V2234" s="1">
        <v>81</v>
      </c>
      <c r="W2234" s="1">
        <v>141</v>
      </c>
      <c r="X2234" s="1">
        <v>1.7407407407407407</v>
      </c>
      <c r="Y2234" s="1">
        <v>81</v>
      </c>
      <c r="Z2234" s="1">
        <v>141</v>
      </c>
      <c r="AA2234" s="1">
        <v>1.7407407407407407</v>
      </c>
      <c r="AB2234" s="1">
        <v>82.556004456819437</v>
      </c>
      <c r="AC2234" s="1">
        <v>140.96506547948269</v>
      </c>
      <c r="AD2234" s="1">
        <v>1.7075083321554625</v>
      </c>
      <c r="AE2234" t="s">
        <v>4817</v>
      </c>
      <c r="AF2234" t="str">
        <f>IF(X2234&lt;$AF$1,"Bajo","Alto")</f>
        <v>Bajo</v>
      </c>
      <c r="AG2234" t="str">
        <f>LEFT(AE2234,1)</f>
        <v>C</v>
      </c>
      <c r="AH2234" t="str">
        <f>K2234</f>
        <v>M</v>
      </c>
      <c r="AI2234" t="str">
        <f>LEFT(AF2234,1)</f>
        <v>B</v>
      </c>
      <c r="AJ2234" t="str">
        <f>LEFT(M2234,1)</f>
        <v>J</v>
      </c>
      <c r="AK2234" t="str">
        <f>_xlfn.CONCAT(AG2234,AH2234,AI2234,AJ2234)</f>
        <v>CMBJ</v>
      </c>
    </row>
    <row r="2235" spans="1:37" ht="15.75" hidden="1" customHeight="1" x14ac:dyDescent="0.2">
      <c r="A2235" s="1">
        <v>134003</v>
      </c>
      <c r="B2235" s="1" t="s">
        <v>956</v>
      </c>
      <c r="C2235" s="1" t="s">
        <v>163</v>
      </c>
      <c r="D2235" s="1" t="s">
        <v>2039</v>
      </c>
      <c r="E2235" s="1" t="s">
        <v>657</v>
      </c>
      <c r="F2235" s="1" t="s">
        <v>63</v>
      </c>
      <c r="G2235" s="1" t="s">
        <v>2042</v>
      </c>
      <c r="H2235" s="1">
        <v>6218</v>
      </c>
      <c r="I2235" s="1" t="s">
        <v>42</v>
      </c>
      <c r="J2235" s="1">
        <v>15</v>
      </c>
      <c r="K2235" s="1" t="s">
        <v>35</v>
      </c>
      <c r="L2235" s="1">
        <v>39</v>
      </c>
      <c r="M2235" s="1" t="str">
        <f>IF(L2235&lt;=45,"Joven","Mayor")</f>
        <v>Joven</v>
      </c>
      <c r="N2235" s="1">
        <v>42</v>
      </c>
      <c r="O2235" s="1" t="s">
        <v>36</v>
      </c>
      <c r="P2235" s="1">
        <v>0.36099999999999999</v>
      </c>
      <c r="Q2235" s="1">
        <v>92.676000000000002</v>
      </c>
      <c r="R2235" s="1">
        <v>0.77370589999999995</v>
      </c>
      <c r="S2235" s="1">
        <v>7.6613154000000003</v>
      </c>
      <c r="T2235" s="1">
        <v>-1.8040403</v>
      </c>
      <c r="U2235" s="1">
        <v>0.84599999999999997</v>
      </c>
      <c r="V2235" s="1">
        <v>85</v>
      </c>
      <c r="W2235" s="1">
        <v>148</v>
      </c>
      <c r="X2235" s="1">
        <v>1.7411764705882353</v>
      </c>
      <c r="Y2235" s="1">
        <v>87</v>
      </c>
      <c r="Z2235" s="1">
        <v>148</v>
      </c>
      <c r="AA2235" s="1">
        <v>1.7011494252873562</v>
      </c>
      <c r="AB2235" s="1">
        <v>86.280081257896427</v>
      </c>
      <c r="AC2235" s="1">
        <v>147.98960523108241</v>
      </c>
      <c r="AD2235" s="1">
        <v>1.7152232945716921</v>
      </c>
      <c r="AE2235" t="s">
        <v>4817</v>
      </c>
      <c r="AF2235" t="str">
        <f>IF(X2235&lt;$AF$1,"Bajo","Alto")</f>
        <v>Bajo</v>
      </c>
      <c r="AG2235" t="str">
        <f>LEFT(AE2235,1)</f>
        <v>C</v>
      </c>
      <c r="AH2235" t="str">
        <f>K2235</f>
        <v>M</v>
      </c>
      <c r="AI2235" t="str">
        <f>LEFT(AF2235,1)</f>
        <v>B</v>
      </c>
      <c r="AJ2235" t="str">
        <f>LEFT(M2235,1)</f>
        <v>J</v>
      </c>
      <c r="AK2235" t="str">
        <f>_xlfn.CONCAT(AG2235,AH2235,AI2235,AJ2235)</f>
        <v>CMBJ</v>
      </c>
    </row>
    <row r="2236" spans="1:37" ht="15.75" hidden="1" customHeight="1" x14ac:dyDescent="0.2">
      <c r="A2236" s="1">
        <v>1070106</v>
      </c>
      <c r="B2236" s="1" t="s">
        <v>1067</v>
      </c>
      <c r="C2236" s="1" t="s">
        <v>1068</v>
      </c>
      <c r="D2236" s="1" t="s">
        <v>1069</v>
      </c>
      <c r="E2236" s="1" t="s">
        <v>32</v>
      </c>
      <c r="F2236" s="1" t="s">
        <v>88</v>
      </c>
      <c r="G2236" s="1" t="s">
        <v>1072</v>
      </c>
      <c r="H2236" s="1">
        <v>29429</v>
      </c>
      <c r="I2236" s="1" t="s">
        <v>1073</v>
      </c>
      <c r="J2236" s="1">
        <v>2849</v>
      </c>
      <c r="K2236" s="1" t="s">
        <v>35</v>
      </c>
      <c r="L2236" s="1">
        <v>38</v>
      </c>
      <c r="M2236" s="1" t="str">
        <f>IF(L2236&lt;=45,"Joven","Mayor")</f>
        <v>Joven</v>
      </c>
      <c r="N2236" s="1">
        <v>45</v>
      </c>
      <c r="O2236" s="1" t="s">
        <v>36</v>
      </c>
      <c r="P2236" s="1">
        <v>0.35299999999999998</v>
      </c>
      <c r="Q2236" s="1">
        <v>76.625</v>
      </c>
      <c r="R2236" s="1">
        <v>10.892942</v>
      </c>
      <c r="S2236" s="1">
        <v>-5.2608699999999997</v>
      </c>
      <c r="T2236" s="1">
        <v>-7.7467345999999999</v>
      </c>
      <c r="U2236" s="1">
        <v>12.294</v>
      </c>
      <c r="V2236" s="1">
        <v>76</v>
      </c>
      <c r="W2236" s="1">
        <v>137</v>
      </c>
      <c r="X2236" s="1">
        <v>1.8026315789473684</v>
      </c>
      <c r="Y2236" s="1">
        <v>77</v>
      </c>
      <c r="Z2236" s="1">
        <v>137</v>
      </c>
      <c r="AA2236" s="1">
        <v>1.7792207792207793</v>
      </c>
      <c r="AB2236" s="1">
        <v>81.284660722178842</v>
      </c>
      <c r="AC2236" s="1">
        <v>135.88447508295849</v>
      </c>
      <c r="AD2236" s="1">
        <v>1.6717111675891128</v>
      </c>
      <c r="AE2236" t="s">
        <v>4817</v>
      </c>
      <c r="AF2236" t="str">
        <f>IF(X2236&lt;$AF$1,"Bajo","Alto")</f>
        <v>Alto</v>
      </c>
      <c r="AG2236" t="str">
        <f>LEFT(AE2236,1)</f>
        <v>C</v>
      </c>
      <c r="AH2236" t="str">
        <f>K2236</f>
        <v>M</v>
      </c>
      <c r="AI2236" t="str">
        <f>LEFT(AF2236,1)</f>
        <v>A</v>
      </c>
      <c r="AJ2236" t="str">
        <f>LEFT(M2236,1)</f>
        <v>J</v>
      </c>
      <c r="AK2236" t="str">
        <f>_xlfn.CONCAT(AG2236,AH2236,AI2236,AJ2236)</f>
        <v>CMAJ</v>
      </c>
    </row>
    <row r="2237" spans="1:37" ht="15.75" hidden="1" customHeight="1" x14ac:dyDescent="0.2">
      <c r="A2237" s="1">
        <v>1051405</v>
      </c>
      <c r="B2237" s="1" t="s">
        <v>694</v>
      </c>
      <c r="C2237" s="1" t="s">
        <v>879</v>
      </c>
      <c r="D2237" s="1" t="s">
        <v>946</v>
      </c>
      <c r="E2237" s="1" t="s">
        <v>947</v>
      </c>
      <c r="F2237" s="1" t="s">
        <v>40</v>
      </c>
      <c r="G2237" s="1" t="s">
        <v>949</v>
      </c>
      <c r="H2237" s="1">
        <v>9</v>
      </c>
      <c r="I2237" s="1" t="s">
        <v>45</v>
      </c>
      <c r="J2237" s="1">
        <v>17</v>
      </c>
      <c r="K2237" s="1" t="s">
        <v>35</v>
      </c>
      <c r="L2237" s="1">
        <v>37</v>
      </c>
      <c r="M2237" s="1" t="str">
        <f>IF(L2237&lt;=45,"Joven","Mayor")</f>
        <v>Joven</v>
      </c>
      <c r="N2237" s="1">
        <v>51</v>
      </c>
      <c r="O2237" s="1" t="s">
        <v>36</v>
      </c>
      <c r="P2237" s="1">
        <v>8.0000000000000002E-3</v>
      </c>
      <c r="Q2237" s="1">
        <v>93.953999999999994</v>
      </c>
      <c r="R2237" s="1">
        <v>-0.67562949999999999</v>
      </c>
      <c r="S2237" s="1">
        <v>4.0672373999999998</v>
      </c>
      <c r="T2237" s="1">
        <v>2.5821225999999999</v>
      </c>
      <c r="U2237" s="1">
        <v>2.4220000000000002</v>
      </c>
      <c r="V2237" s="1">
        <v>93</v>
      </c>
      <c r="W2237" s="1">
        <v>162</v>
      </c>
      <c r="X2237" s="1">
        <v>1.7419354838709677</v>
      </c>
      <c r="Y2237" s="1">
        <v>95</v>
      </c>
      <c r="Z2237" s="1">
        <v>162</v>
      </c>
      <c r="AA2237" s="1">
        <v>1.7052631578947368</v>
      </c>
      <c r="AB2237" s="1">
        <v>94.932882746460791</v>
      </c>
      <c r="AC2237" s="1">
        <v>162.01572254898699</v>
      </c>
      <c r="AD2237" s="1">
        <v>1.7066343911801953</v>
      </c>
      <c r="AE2237" t="s">
        <v>4817</v>
      </c>
      <c r="AF2237" t="str">
        <f>IF(X2237&lt;$AF$1,"Bajo","Alto")</f>
        <v>Bajo</v>
      </c>
      <c r="AG2237" t="str">
        <f>LEFT(AE2237,1)</f>
        <v>C</v>
      </c>
      <c r="AH2237" t="str">
        <f>K2237</f>
        <v>M</v>
      </c>
      <c r="AI2237" t="str">
        <f>LEFT(AF2237,1)</f>
        <v>B</v>
      </c>
      <c r="AJ2237" t="str">
        <f>LEFT(M2237,1)</f>
        <v>J</v>
      </c>
      <c r="AK2237" t="str">
        <f>_xlfn.CONCAT(AG2237,AH2237,AI2237,AJ2237)</f>
        <v>CMBJ</v>
      </c>
    </row>
    <row r="2238" spans="1:37" ht="15.75" hidden="1" customHeight="1" x14ac:dyDescent="0.2">
      <c r="A2238" s="1">
        <v>130106</v>
      </c>
      <c r="B2238" s="1" t="s">
        <v>956</v>
      </c>
      <c r="C2238" s="1" t="s">
        <v>163</v>
      </c>
      <c r="D2238" s="1" t="s">
        <v>1949</v>
      </c>
      <c r="E2238" s="1" t="s">
        <v>32</v>
      </c>
      <c r="F2238" s="1" t="s">
        <v>88</v>
      </c>
      <c r="G2238" s="1" t="s">
        <v>1952</v>
      </c>
      <c r="H2238" s="1">
        <v>114563</v>
      </c>
      <c r="I2238" s="1" t="s">
        <v>1953</v>
      </c>
      <c r="J2238" s="1">
        <v>3167</v>
      </c>
      <c r="K2238" s="1" t="s">
        <v>35</v>
      </c>
      <c r="L2238" s="1">
        <v>41</v>
      </c>
      <c r="M2238" s="1" t="str">
        <f>IF(L2238&lt;=45,"Joven","Mayor")</f>
        <v>Joven</v>
      </c>
      <c r="N2238" s="1">
        <v>46</v>
      </c>
      <c r="O2238" s="1" t="s">
        <v>36</v>
      </c>
      <c r="P2238" s="1">
        <v>0.30199999999999999</v>
      </c>
      <c r="Q2238" s="1">
        <v>91.486000000000004</v>
      </c>
      <c r="R2238" s="1">
        <v>4.2500200000000001</v>
      </c>
      <c r="S2238" s="1">
        <v>-3.3827297999999999</v>
      </c>
      <c r="T2238" s="1">
        <v>-5.7198687000000001</v>
      </c>
      <c r="U2238" s="1">
        <v>9.2550000000000008</v>
      </c>
      <c r="V2238" s="1">
        <v>97</v>
      </c>
      <c r="W2238" s="1">
        <v>169</v>
      </c>
      <c r="X2238" s="1">
        <v>1.7422680412371134</v>
      </c>
      <c r="Y2238" s="1">
        <v>105</v>
      </c>
      <c r="Z2238" s="1">
        <v>169</v>
      </c>
      <c r="AA2238" s="1">
        <v>1.6095238095238096</v>
      </c>
      <c r="AB2238" s="1">
        <v>101.9986078413326</v>
      </c>
      <c r="AC2238" s="1">
        <v>169.4542030380658</v>
      </c>
      <c r="AD2238" s="1">
        <v>1.6613383910265329</v>
      </c>
      <c r="AE2238" t="s">
        <v>4817</v>
      </c>
      <c r="AF2238" t="str">
        <f>IF(X2238&lt;$AF$1,"Bajo","Alto")</f>
        <v>Bajo</v>
      </c>
      <c r="AG2238" t="str">
        <f>LEFT(AE2238,1)</f>
        <v>C</v>
      </c>
      <c r="AH2238" t="str">
        <f>K2238</f>
        <v>M</v>
      </c>
      <c r="AI2238" t="str">
        <f>LEFT(AF2238,1)</f>
        <v>B</v>
      </c>
      <c r="AJ2238" t="str">
        <f>LEFT(M2238,1)</f>
        <v>J</v>
      </c>
      <c r="AK2238" t="str">
        <f>_xlfn.CONCAT(AG2238,AH2238,AI2238,AJ2238)</f>
        <v>CMBJ</v>
      </c>
    </row>
    <row r="2239" spans="1:37" ht="15.75" hidden="1" customHeight="1" x14ac:dyDescent="0.2">
      <c r="A2239" s="1">
        <v>112206</v>
      </c>
      <c r="B2239" s="1" t="s">
        <v>1648</v>
      </c>
      <c r="C2239" s="1" t="s">
        <v>51</v>
      </c>
      <c r="D2239" s="1" t="s">
        <v>1681</v>
      </c>
      <c r="E2239" s="1" t="s">
        <v>418</v>
      </c>
      <c r="F2239" s="1" t="s">
        <v>88</v>
      </c>
      <c r="G2239" s="1" t="s">
        <v>1685</v>
      </c>
      <c r="H2239" s="1">
        <v>4031</v>
      </c>
      <c r="I2239" s="1" t="s">
        <v>1686</v>
      </c>
      <c r="J2239" s="1">
        <v>4188</v>
      </c>
      <c r="K2239" s="1" t="s">
        <v>49</v>
      </c>
      <c r="L2239" s="1">
        <v>46</v>
      </c>
      <c r="M2239" s="1" t="str">
        <f>IF(L2239&lt;=45,"Joven","Mayor")</f>
        <v>Mayor</v>
      </c>
      <c r="N2239" s="1">
        <v>38</v>
      </c>
      <c r="O2239" s="1" t="s">
        <v>50</v>
      </c>
      <c r="P2239" s="1">
        <v>0.34399999999999997</v>
      </c>
      <c r="Q2239" s="1">
        <v>44.456000000000003</v>
      </c>
      <c r="R2239" s="1">
        <v>16.648766999999999</v>
      </c>
      <c r="S2239" s="1">
        <v>-2.6648326</v>
      </c>
      <c r="T2239" s="1">
        <v>-7.9358386999999997</v>
      </c>
      <c r="U2239" s="1">
        <v>8.3550000000000004</v>
      </c>
      <c r="V2239" s="1">
        <v>93</v>
      </c>
      <c r="W2239" s="1">
        <v>167</v>
      </c>
      <c r="X2239" s="1">
        <v>1.7956989247311828</v>
      </c>
      <c r="Y2239" s="1">
        <v>98</v>
      </c>
      <c r="Z2239" s="1">
        <v>167</v>
      </c>
      <c r="AA2239" s="1">
        <v>1.7040816326530612</v>
      </c>
      <c r="AB2239" s="1">
        <v>97.769994191753995</v>
      </c>
      <c r="AC2239" s="1">
        <v>165.81488293303619</v>
      </c>
      <c r="AD2239" s="1">
        <v>1.6959690373697613</v>
      </c>
      <c r="AE2239" t="s">
        <v>4817</v>
      </c>
      <c r="AF2239" t="str">
        <f>IF(X2239&lt;$AF$1,"Bajo","Alto")</f>
        <v>Alto</v>
      </c>
      <c r="AG2239" t="str">
        <f>LEFT(AE2239,1)</f>
        <v>C</v>
      </c>
      <c r="AH2239" t="str">
        <f>K2239</f>
        <v>F</v>
      </c>
      <c r="AI2239" t="str">
        <f>LEFT(AF2239,1)</f>
        <v>A</v>
      </c>
      <c r="AJ2239" t="str">
        <f>LEFT(M2239,1)</f>
        <v>M</v>
      </c>
      <c r="AK2239" t="str">
        <f>_xlfn.CONCAT(AG2239,AH2239,AI2239,AJ2239)</f>
        <v>CFAM</v>
      </c>
    </row>
    <row r="2240" spans="1:37" ht="15.75" hidden="1" customHeight="1" x14ac:dyDescent="0.2">
      <c r="A2240" s="1">
        <v>1057904</v>
      </c>
      <c r="B2240" s="1" t="s">
        <v>694</v>
      </c>
      <c r="C2240" s="1" t="s">
        <v>879</v>
      </c>
      <c r="D2240" s="1" t="s">
        <v>1036</v>
      </c>
      <c r="E2240" s="1" t="s">
        <v>739</v>
      </c>
      <c r="F2240" s="1" t="s">
        <v>61</v>
      </c>
      <c r="G2240" s="1" t="s">
        <v>1040</v>
      </c>
      <c r="H2240" s="1">
        <v>11160</v>
      </c>
      <c r="I2240" s="1" t="s">
        <v>91</v>
      </c>
      <c r="J2240" s="1">
        <v>6</v>
      </c>
      <c r="K2240" s="1" t="s">
        <v>35</v>
      </c>
      <c r="L2240" s="1">
        <v>48</v>
      </c>
      <c r="M2240" s="1" t="str">
        <f>IF(L2240&lt;=45,"Joven","Mayor")</f>
        <v>Mayor</v>
      </c>
      <c r="N2240" s="1">
        <v>62</v>
      </c>
      <c r="O2240" s="1" t="s">
        <v>36</v>
      </c>
      <c r="P2240" s="1">
        <v>0.13</v>
      </c>
      <c r="Q2240" s="1">
        <v>88.492999999999995</v>
      </c>
      <c r="R2240" s="1">
        <v>4.9280933999999998</v>
      </c>
      <c r="S2240" s="1">
        <v>8.5097950000000004</v>
      </c>
      <c r="T2240" s="1">
        <v>-5.4961123000000001</v>
      </c>
      <c r="U2240" s="1">
        <v>1.647</v>
      </c>
      <c r="V2240" s="1">
        <v>75</v>
      </c>
      <c r="W2240" s="1">
        <v>130</v>
      </c>
      <c r="X2240" s="1">
        <v>1.7333333333333334</v>
      </c>
      <c r="Y2240" s="1">
        <v>76</v>
      </c>
      <c r="Z2240" s="1">
        <v>130</v>
      </c>
      <c r="AA2240" s="1">
        <v>1.7105263157894737</v>
      </c>
      <c r="AB2240" s="1">
        <v>77.91166165507957</v>
      </c>
      <c r="AC2240" s="1">
        <v>129.7854637828145</v>
      </c>
      <c r="AD2240" s="1">
        <v>1.6658027954452304</v>
      </c>
      <c r="AE2240" t="s">
        <v>4817</v>
      </c>
      <c r="AF2240" t="str">
        <f>IF(X2240&lt;$AF$1,"Bajo","Alto")</f>
        <v>Bajo</v>
      </c>
      <c r="AG2240" t="str">
        <f>LEFT(AE2240,1)</f>
        <v>C</v>
      </c>
      <c r="AH2240" t="str">
        <f>K2240</f>
        <v>M</v>
      </c>
      <c r="AI2240" t="str">
        <f>LEFT(AF2240,1)</f>
        <v>B</v>
      </c>
      <c r="AJ2240" t="str">
        <f>LEFT(M2240,1)</f>
        <v>M</v>
      </c>
      <c r="AK2240" t="str">
        <f>_xlfn.CONCAT(AG2240,AH2240,AI2240,AJ2240)</f>
        <v>CMBM</v>
      </c>
    </row>
    <row r="2241" spans="1:37" ht="15.75" hidden="1" customHeight="1" x14ac:dyDescent="0.2">
      <c r="A2241" s="1">
        <v>2830005</v>
      </c>
      <c r="B2241" s="1" t="s">
        <v>1775</v>
      </c>
      <c r="C2241" s="1" t="s">
        <v>561</v>
      </c>
      <c r="D2241" s="1" t="s">
        <v>3836</v>
      </c>
      <c r="E2241" s="1" t="s">
        <v>613</v>
      </c>
      <c r="F2241" s="1" t="s">
        <v>40</v>
      </c>
      <c r="G2241" s="1" t="s">
        <v>3838</v>
      </c>
      <c r="H2241" s="1">
        <v>49</v>
      </c>
      <c r="I2241" s="1" t="s">
        <v>294</v>
      </c>
      <c r="J2241" s="1">
        <v>16</v>
      </c>
      <c r="K2241" s="1" t="s">
        <v>35</v>
      </c>
      <c r="L2241" s="1">
        <v>61</v>
      </c>
      <c r="M2241" s="1" t="str">
        <f>IF(L2241&lt;=45,"Joven","Mayor")</f>
        <v>Mayor</v>
      </c>
      <c r="N2241" s="1">
        <v>59</v>
      </c>
      <c r="O2241" s="1" t="s">
        <v>36</v>
      </c>
      <c r="P2241" s="1">
        <v>0.92800000000000005</v>
      </c>
      <c r="Q2241" s="1">
        <v>94.284000000000006</v>
      </c>
      <c r="R2241" s="1">
        <v>1.0482461000000001</v>
      </c>
      <c r="S2241" s="1">
        <v>0.34411943</v>
      </c>
      <c r="T2241" s="1">
        <v>-3.8365244999999999</v>
      </c>
      <c r="U2241" s="1">
        <v>0.73199999999999998</v>
      </c>
      <c r="V2241" s="1">
        <v>94</v>
      </c>
      <c r="W2241" s="1">
        <v>163</v>
      </c>
      <c r="X2241" s="1">
        <v>1.7340425531914894</v>
      </c>
      <c r="Y2241" s="1">
        <v>98</v>
      </c>
      <c r="Z2241" s="1">
        <v>163</v>
      </c>
      <c r="AA2241" s="1">
        <v>1.6632653061224489</v>
      </c>
      <c r="AB2241" s="1">
        <v>96.465745995107</v>
      </c>
      <c r="AC2241" s="1">
        <v>162.7685398092876</v>
      </c>
      <c r="AD2241" s="1">
        <v>1.6873195571155761</v>
      </c>
      <c r="AE2241" t="s">
        <v>4817</v>
      </c>
      <c r="AF2241" t="str">
        <f>IF(X2241&lt;$AF$1,"Bajo","Alto")</f>
        <v>Bajo</v>
      </c>
      <c r="AG2241" t="str">
        <f>LEFT(AE2241,1)</f>
        <v>C</v>
      </c>
      <c r="AH2241" t="str">
        <f>K2241</f>
        <v>M</v>
      </c>
      <c r="AI2241" t="str">
        <f>LEFT(AF2241,1)</f>
        <v>B</v>
      </c>
      <c r="AJ2241" t="str">
        <f>LEFT(M2241,1)</f>
        <v>M</v>
      </c>
      <c r="AK2241" t="str">
        <f>_xlfn.CONCAT(AG2241,AH2241,AI2241,AJ2241)</f>
        <v>CMBM</v>
      </c>
    </row>
    <row r="2242" spans="1:37" ht="15.75" hidden="1" customHeight="1" x14ac:dyDescent="0.2">
      <c r="A2242" s="1">
        <v>460107</v>
      </c>
      <c r="B2242" s="1" t="s">
        <v>4382</v>
      </c>
      <c r="C2242" s="1" t="s">
        <v>669</v>
      </c>
      <c r="D2242" s="1" t="s">
        <v>4383</v>
      </c>
      <c r="E2242" s="1" t="s">
        <v>32</v>
      </c>
      <c r="F2242" s="1" t="s">
        <v>43</v>
      </c>
      <c r="G2242" s="1" t="s">
        <v>4386</v>
      </c>
      <c r="H2242" s="1">
        <v>23905</v>
      </c>
      <c r="I2242" s="1" t="s">
        <v>91</v>
      </c>
      <c r="J2242" s="1">
        <v>6</v>
      </c>
      <c r="K2242" s="1" t="s">
        <v>35</v>
      </c>
      <c r="L2242" s="1">
        <v>54</v>
      </c>
      <c r="M2242" s="1" t="str">
        <f>IF(L2242&lt;=45,"Joven","Mayor")</f>
        <v>Mayor</v>
      </c>
      <c r="N2242" s="1">
        <v>41</v>
      </c>
      <c r="O2242" s="1" t="s">
        <v>36</v>
      </c>
      <c r="P2242" s="1">
        <v>1.347</v>
      </c>
      <c r="Q2242" s="1">
        <v>79.497</v>
      </c>
      <c r="R2242" s="1">
        <v>-9.314152</v>
      </c>
      <c r="S2242" s="1">
        <v>7.5386499999999996</v>
      </c>
      <c r="T2242" s="1">
        <v>1.0631864</v>
      </c>
      <c r="U2242" s="1">
        <v>17.626000000000001</v>
      </c>
      <c r="V2242" s="1">
        <v>79</v>
      </c>
      <c r="W2242" s="1">
        <v>137</v>
      </c>
      <c r="X2242" s="1">
        <v>1.7341772151898733</v>
      </c>
      <c r="Y2242" s="1">
        <v>80</v>
      </c>
      <c r="Z2242" s="1">
        <v>137</v>
      </c>
      <c r="AA2242" s="1">
        <v>1.7124999999999999</v>
      </c>
      <c r="AB2242" s="1">
        <v>79.505940470128735</v>
      </c>
      <c r="AC2242" s="1">
        <v>136.8836389507087</v>
      </c>
      <c r="AD2242" s="1">
        <v>1.7216781304805444</v>
      </c>
      <c r="AE2242" t="s">
        <v>4817</v>
      </c>
      <c r="AF2242" t="str">
        <f>IF(X2242&lt;$AF$1,"Bajo","Alto")</f>
        <v>Bajo</v>
      </c>
      <c r="AG2242" t="str">
        <f>LEFT(AE2242,1)</f>
        <v>C</v>
      </c>
      <c r="AH2242" t="str">
        <f>K2242</f>
        <v>M</v>
      </c>
      <c r="AI2242" t="str">
        <f>LEFT(AF2242,1)</f>
        <v>B</v>
      </c>
      <c r="AJ2242" t="str">
        <f>LEFT(M2242,1)</f>
        <v>M</v>
      </c>
      <c r="AK2242" t="str">
        <f>_xlfn.CONCAT(AG2242,AH2242,AI2242,AJ2242)</f>
        <v>CMBM</v>
      </c>
    </row>
    <row r="2243" spans="1:37" ht="15.75" hidden="1" customHeight="1" x14ac:dyDescent="0.2">
      <c r="A2243" s="1">
        <v>274508</v>
      </c>
      <c r="B2243" s="1" t="s">
        <v>3409</v>
      </c>
      <c r="C2243" s="1" t="s">
        <v>973</v>
      </c>
      <c r="D2243" s="1" t="s">
        <v>3681</v>
      </c>
      <c r="E2243" s="1" t="s">
        <v>3682</v>
      </c>
      <c r="F2243" s="1" t="s">
        <v>46</v>
      </c>
      <c r="G2243" s="1" t="s">
        <v>3686</v>
      </c>
      <c r="H2243" s="1">
        <v>4861</v>
      </c>
      <c r="I2243" s="1" t="s">
        <v>3687</v>
      </c>
      <c r="J2243" s="1">
        <v>4465</v>
      </c>
      <c r="K2243" s="1" t="s">
        <v>35</v>
      </c>
      <c r="L2243" s="1">
        <v>44</v>
      </c>
      <c r="M2243" s="1" t="str">
        <f>IF(L2243&lt;=45,"Joven","Mayor")</f>
        <v>Joven</v>
      </c>
      <c r="N2243" s="1">
        <v>45</v>
      </c>
      <c r="O2243" s="1" t="s">
        <v>36</v>
      </c>
      <c r="P2243" s="1">
        <v>2.1890000000000001</v>
      </c>
      <c r="Q2243" s="1">
        <v>94.046999999999997</v>
      </c>
      <c r="R2243" s="1">
        <v>0.92391619999999997</v>
      </c>
      <c r="S2243" s="1">
        <v>0.36605116999999998</v>
      </c>
      <c r="T2243" s="1">
        <v>-0.74449575000000001</v>
      </c>
      <c r="U2243" s="1">
        <v>27.218</v>
      </c>
      <c r="V2243" s="1">
        <v>86</v>
      </c>
      <c r="W2243" s="1">
        <v>155</v>
      </c>
      <c r="X2243" s="1">
        <v>1.8023255813953489</v>
      </c>
      <c r="Y2243" s="1">
        <v>88</v>
      </c>
      <c r="Z2243" s="1">
        <v>155</v>
      </c>
      <c r="AA2243" s="1">
        <v>1.7613636363636365</v>
      </c>
      <c r="AB2243" s="1">
        <v>87.485823157096775</v>
      </c>
      <c r="AC2243" s="1">
        <v>155.0129020413992</v>
      </c>
      <c r="AD2243" s="1">
        <v>1.7718631024714167</v>
      </c>
      <c r="AE2243" t="s">
        <v>4817</v>
      </c>
      <c r="AF2243" t="str">
        <f>IF(X2243&lt;$AF$1,"Bajo","Alto")</f>
        <v>Alto</v>
      </c>
      <c r="AG2243" t="str">
        <f>LEFT(AE2243,1)</f>
        <v>C</v>
      </c>
      <c r="AH2243" t="str">
        <f>K2243</f>
        <v>M</v>
      </c>
      <c r="AI2243" t="str">
        <f>LEFT(AF2243,1)</f>
        <v>A</v>
      </c>
      <c r="AJ2243" t="str">
        <f>LEFT(M2243,1)</f>
        <v>J</v>
      </c>
      <c r="AK2243" t="str">
        <f>_xlfn.CONCAT(AG2243,AH2243,AI2243,AJ2243)</f>
        <v>CMAJ</v>
      </c>
    </row>
    <row r="2244" spans="1:37" ht="15.75" hidden="1" customHeight="1" x14ac:dyDescent="0.2">
      <c r="A2244" s="1">
        <v>118205</v>
      </c>
      <c r="B2244" s="1" t="s">
        <v>1648</v>
      </c>
      <c r="C2244" s="1" t="s">
        <v>51</v>
      </c>
      <c r="D2244" s="1" t="s">
        <v>1767</v>
      </c>
      <c r="E2244" s="1" t="s">
        <v>752</v>
      </c>
      <c r="F2244" s="1" t="s">
        <v>40</v>
      </c>
      <c r="G2244" s="1" t="s">
        <v>1769</v>
      </c>
      <c r="H2244" s="1">
        <v>398</v>
      </c>
      <c r="I2244" s="1" t="s">
        <v>93</v>
      </c>
      <c r="J2244" s="1">
        <v>9</v>
      </c>
      <c r="K2244" s="1" t="s">
        <v>35</v>
      </c>
      <c r="L2244" s="1">
        <v>54</v>
      </c>
      <c r="M2244" s="1" t="str">
        <f>IF(L2244&lt;=45,"Joven","Mayor")</f>
        <v>Mayor</v>
      </c>
      <c r="N2244" s="1">
        <v>55</v>
      </c>
      <c r="O2244" s="1" t="s">
        <v>36</v>
      </c>
      <c r="P2244" s="1">
        <v>0.35399999999999998</v>
      </c>
      <c r="Q2244" s="1">
        <v>91.778000000000006</v>
      </c>
      <c r="R2244" s="1">
        <v>-0.46036923000000002</v>
      </c>
      <c r="S2244" s="1">
        <v>9.9957759999999993</v>
      </c>
      <c r="T2244" s="1">
        <v>-5.5306389999999999</v>
      </c>
      <c r="U2244" s="1">
        <v>48.835000000000001</v>
      </c>
      <c r="V2244" s="1">
        <v>91</v>
      </c>
      <c r="W2244" s="1">
        <v>158</v>
      </c>
      <c r="X2244" s="1">
        <v>1.7362637362637363</v>
      </c>
      <c r="Y2244" s="1">
        <v>94</v>
      </c>
      <c r="Z2244" s="1">
        <v>158</v>
      </c>
      <c r="AA2244" s="1">
        <v>1.6808510638297873</v>
      </c>
      <c r="AB2244" s="1">
        <v>95.395278434503552</v>
      </c>
      <c r="AC2244" s="1">
        <v>157.84274694841949</v>
      </c>
      <c r="AD2244" s="1">
        <v>1.6546180223876708</v>
      </c>
      <c r="AE2244" t="s">
        <v>4815</v>
      </c>
      <c r="AF2244" t="str">
        <f>IF(X2244&lt;$AF$1,"Bajo","Alto")</f>
        <v>Bajo</v>
      </c>
      <c r="AG2244" t="str">
        <f>LEFT(AE2244,1)</f>
        <v>I</v>
      </c>
      <c r="AH2244" t="str">
        <f>K2244</f>
        <v>M</v>
      </c>
      <c r="AI2244" t="str">
        <f>LEFT(AF2244,1)</f>
        <v>B</v>
      </c>
      <c r="AJ2244" t="str">
        <f>LEFT(M2244,1)</f>
        <v>M</v>
      </c>
      <c r="AK2244" t="str">
        <f>_xlfn.CONCAT(AG2244,AH2244,AI2244,AJ2244)</f>
        <v>IMBM</v>
      </c>
    </row>
    <row r="2245" spans="1:37" ht="15.75" hidden="1" customHeight="1" x14ac:dyDescent="0.2">
      <c r="A2245" s="1">
        <v>10115701</v>
      </c>
      <c r="B2245" s="1" t="s">
        <v>29</v>
      </c>
      <c r="C2245" s="1" t="s">
        <v>30</v>
      </c>
      <c r="D2245" s="1" t="s">
        <v>228</v>
      </c>
      <c r="E2245" s="1" t="s">
        <v>229</v>
      </c>
      <c r="F2245" s="1" t="s">
        <v>32</v>
      </c>
      <c r="G2245" s="1" t="s">
        <v>230</v>
      </c>
      <c r="H2245" s="1">
        <v>4251</v>
      </c>
      <c r="I2245" s="1" t="s">
        <v>39</v>
      </c>
      <c r="J2245" s="1">
        <v>11</v>
      </c>
      <c r="K2245" s="1" t="s">
        <v>35</v>
      </c>
      <c r="L2245" s="1">
        <v>52</v>
      </c>
      <c r="M2245" s="1" t="str">
        <f>IF(L2245&lt;=45,"Joven","Mayor")</f>
        <v>Mayor</v>
      </c>
      <c r="N2245" s="1">
        <v>56</v>
      </c>
      <c r="O2245" s="1" t="s">
        <v>36</v>
      </c>
      <c r="P2245" s="1">
        <v>0.221</v>
      </c>
      <c r="Q2245" s="1">
        <v>93.887</v>
      </c>
      <c r="R2245" s="1">
        <v>-0.52362620000000004</v>
      </c>
      <c r="S2245" s="1">
        <v>4.4415025999999997</v>
      </c>
      <c r="T2245" s="1">
        <v>2.2933043999999998</v>
      </c>
      <c r="U2245" s="1">
        <v>3.2269999999999999</v>
      </c>
      <c r="V2245" s="1">
        <v>86</v>
      </c>
      <c r="W2245" s="1">
        <v>149</v>
      </c>
      <c r="X2245" s="1">
        <v>1.7325581395348837</v>
      </c>
      <c r="Y2245" s="1">
        <v>90</v>
      </c>
      <c r="Z2245" s="1">
        <v>149</v>
      </c>
      <c r="AA2245" s="1">
        <v>1.6555555555555554</v>
      </c>
      <c r="AB2245" s="1">
        <v>88.527391114551847</v>
      </c>
      <c r="AC2245" s="1">
        <v>149.1607678204077</v>
      </c>
      <c r="AD2245" s="1">
        <v>1.68491091788075</v>
      </c>
      <c r="AE2245" t="s">
        <v>4816</v>
      </c>
      <c r="AF2245" t="str">
        <f>IF(X2245&lt;$AF$1,"Bajo","Alto")</f>
        <v>Bajo</v>
      </c>
      <c r="AG2245" t="str">
        <f>LEFT(AE2245,1)</f>
        <v>D</v>
      </c>
      <c r="AH2245" t="str">
        <f>K2245</f>
        <v>M</v>
      </c>
      <c r="AI2245" t="str">
        <f>LEFT(AF2245,1)</f>
        <v>B</v>
      </c>
      <c r="AJ2245" t="str">
        <f>LEFT(M2245,1)</f>
        <v>M</v>
      </c>
      <c r="AK2245" t="str">
        <f>_xlfn.CONCAT(AG2245,AH2245,AI2245,AJ2245)</f>
        <v>DMBM</v>
      </c>
    </row>
    <row r="2246" spans="1:37" ht="15.75" hidden="1" customHeight="1" x14ac:dyDescent="0.2">
      <c r="A2246" s="1">
        <v>1523202</v>
      </c>
      <c r="B2246" s="1" t="s">
        <v>2077</v>
      </c>
      <c r="C2246" s="1" t="s">
        <v>57</v>
      </c>
      <c r="D2246" s="1" t="s">
        <v>2275</v>
      </c>
      <c r="E2246" s="1" t="s">
        <v>461</v>
      </c>
      <c r="F2246" s="1" t="s">
        <v>37</v>
      </c>
      <c r="G2246" s="1" t="s">
        <v>2278</v>
      </c>
      <c r="H2246" s="1">
        <v>2554</v>
      </c>
      <c r="I2246" s="1" t="s">
        <v>2279</v>
      </c>
      <c r="J2246" s="1">
        <v>2284</v>
      </c>
      <c r="K2246" s="1" t="s">
        <v>49</v>
      </c>
      <c r="L2246" s="1">
        <v>36</v>
      </c>
      <c r="M2246" s="1" t="str">
        <f>IF(L2246&lt;=45,"Joven","Mayor")</f>
        <v>Joven</v>
      </c>
      <c r="N2246" s="1">
        <v>38</v>
      </c>
      <c r="O2246" s="1" t="s">
        <v>50</v>
      </c>
      <c r="P2246" s="1">
        <v>1.121</v>
      </c>
      <c r="Q2246" s="1">
        <v>76.715999999999994</v>
      </c>
      <c r="R2246" s="1">
        <v>-10.801178</v>
      </c>
      <c r="S2246" s="1">
        <v>4.9200362999999996</v>
      </c>
      <c r="T2246" s="1">
        <v>4.7567139999999997</v>
      </c>
      <c r="U2246" s="1">
        <v>75.97</v>
      </c>
      <c r="V2246" s="1">
        <v>69</v>
      </c>
      <c r="W2246" s="1">
        <v>125</v>
      </c>
      <c r="X2246" s="1">
        <v>1.8115942028985508</v>
      </c>
      <c r="Y2246" s="1">
        <v>72</v>
      </c>
      <c r="Z2246" s="1">
        <v>125</v>
      </c>
      <c r="AA2246" s="1">
        <v>1.7361111111111112</v>
      </c>
      <c r="AB2246" s="1">
        <v>71.084249257991132</v>
      </c>
      <c r="AC2246" s="1">
        <v>123.988999107949</v>
      </c>
      <c r="AD2246" s="1">
        <v>1.7442541829195788</v>
      </c>
      <c r="AE2246" t="s">
        <v>4817</v>
      </c>
      <c r="AF2246" t="str">
        <f>IF(X2246&lt;$AF$1,"Bajo","Alto")</f>
        <v>Alto</v>
      </c>
      <c r="AG2246" t="str">
        <f>LEFT(AE2246,1)</f>
        <v>C</v>
      </c>
      <c r="AH2246" t="str">
        <f>K2246</f>
        <v>F</v>
      </c>
      <c r="AI2246" t="str">
        <f>LEFT(AF2246,1)</f>
        <v>A</v>
      </c>
      <c r="AJ2246" t="str">
        <f>LEFT(M2246,1)</f>
        <v>J</v>
      </c>
      <c r="AK2246" t="str">
        <f>_xlfn.CONCAT(AG2246,AH2246,AI2246,AJ2246)</f>
        <v>CFAJ</v>
      </c>
    </row>
    <row r="2247" spans="1:37" ht="15.75" hidden="1" customHeight="1" x14ac:dyDescent="0.2">
      <c r="A2247" s="1">
        <v>1511501</v>
      </c>
      <c r="B2247" s="1" t="s">
        <v>2077</v>
      </c>
      <c r="C2247" s="1" t="s">
        <v>57</v>
      </c>
      <c r="D2247" s="1" t="s">
        <v>2123</v>
      </c>
      <c r="E2247" s="1" t="s">
        <v>112</v>
      </c>
      <c r="F2247" s="1" t="s">
        <v>32</v>
      </c>
      <c r="G2247" s="1" t="s">
        <v>2124</v>
      </c>
      <c r="H2247" s="1">
        <v>3639</v>
      </c>
      <c r="I2247" s="1" t="s">
        <v>100</v>
      </c>
      <c r="J2247" s="1">
        <v>1</v>
      </c>
      <c r="K2247" s="1" t="s">
        <v>35</v>
      </c>
      <c r="L2247" s="1">
        <v>37</v>
      </c>
      <c r="M2247" s="1" t="str">
        <f>IF(L2247&lt;=45,"Joven","Mayor")</f>
        <v>Joven</v>
      </c>
      <c r="N2247" s="1">
        <v>35</v>
      </c>
      <c r="O2247" s="1" t="s">
        <v>50</v>
      </c>
      <c r="P2247" s="1">
        <v>0.36599999999999999</v>
      </c>
      <c r="Q2247" s="1">
        <v>91.867999999999995</v>
      </c>
      <c r="R2247" s="1">
        <v>-1.9713598000000001</v>
      </c>
      <c r="S2247" s="1">
        <v>7.6611219999999998</v>
      </c>
      <c r="T2247" s="1">
        <v>5.6985520000000003</v>
      </c>
      <c r="U2247" s="1">
        <v>2.2730000000000001</v>
      </c>
      <c r="V2247" s="1">
        <v>91</v>
      </c>
      <c r="W2247" s="1">
        <v>164</v>
      </c>
      <c r="X2247" s="1">
        <v>1.8021978021978022</v>
      </c>
      <c r="Y2247" s="1">
        <v>100</v>
      </c>
      <c r="Z2247" s="1">
        <v>164</v>
      </c>
      <c r="AA2247" s="1">
        <v>1.64</v>
      </c>
      <c r="AB2247" s="1">
        <v>95.614309969062333</v>
      </c>
      <c r="AC2247" s="1">
        <v>164.48035489886709</v>
      </c>
      <c r="AD2247" s="1">
        <v>1.7202483075189012</v>
      </c>
      <c r="AE2247" t="s">
        <v>4817</v>
      </c>
      <c r="AF2247" t="str">
        <f>IF(X2247&lt;$AF$1,"Bajo","Alto")</f>
        <v>Alto</v>
      </c>
      <c r="AG2247" t="str">
        <f>LEFT(AE2247,1)</f>
        <v>C</v>
      </c>
      <c r="AH2247" t="str">
        <f>K2247</f>
        <v>M</v>
      </c>
      <c r="AI2247" t="str">
        <f>LEFT(AF2247,1)</f>
        <v>A</v>
      </c>
      <c r="AJ2247" t="str">
        <f>LEFT(M2247,1)</f>
        <v>J</v>
      </c>
      <c r="AK2247" t="str">
        <f>_xlfn.CONCAT(AG2247,AH2247,AI2247,AJ2247)</f>
        <v>CMAJ</v>
      </c>
    </row>
    <row r="2248" spans="1:37" ht="15.75" hidden="1" customHeight="1" x14ac:dyDescent="0.2">
      <c r="A2248" s="1">
        <v>1016701</v>
      </c>
      <c r="B2248" s="1" t="s">
        <v>29</v>
      </c>
      <c r="C2248" s="1" t="s">
        <v>30</v>
      </c>
      <c r="D2248" s="1" t="s">
        <v>714</v>
      </c>
      <c r="E2248" s="1" t="s">
        <v>715</v>
      </c>
      <c r="F2248" s="1" t="s">
        <v>32</v>
      </c>
      <c r="G2248" s="1" t="s">
        <v>716</v>
      </c>
      <c r="H2248" s="1">
        <v>795</v>
      </c>
      <c r="I2248" s="1" t="s">
        <v>100</v>
      </c>
      <c r="J2248" s="1">
        <v>1</v>
      </c>
      <c r="K2248" s="1" t="s">
        <v>35</v>
      </c>
      <c r="L2248" s="1">
        <v>55</v>
      </c>
      <c r="M2248" s="1" t="str">
        <f>IF(L2248&lt;=45,"Joven","Mayor")</f>
        <v>Mayor</v>
      </c>
      <c r="N2248" s="1">
        <v>61</v>
      </c>
      <c r="O2248" s="1" t="s">
        <v>36</v>
      </c>
      <c r="P2248" s="1">
        <v>0.36899999999999999</v>
      </c>
      <c r="Q2248" s="1">
        <v>91.912000000000006</v>
      </c>
      <c r="R2248" s="1">
        <v>1.6931441</v>
      </c>
      <c r="S2248" s="1">
        <v>-8.0217740000000006</v>
      </c>
      <c r="T2248" s="1">
        <v>-2.3604226000000001</v>
      </c>
      <c r="U2248" s="1">
        <v>17.648</v>
      </c>
      <c r="V2248" s="1">
        <v>87</v>
      </c>
      <c r="W2248" s="1">
        <v>157</v>
      </c>
      <c r="X2248" s="1">
        <v>1.8045977011494252</v>
      </c>
      <c r="Y2248" s="1">
        <v>88</v>
      </c>
      <c r="Z2248" s="1">
        <v>157</v>
      </c>
      <c r="AA2248" s="1">
        <v>1.7840909090909092</v>
      </c>
      <c r="AB2248" s="1">
        <v>88.779529249781945</v>
      </c>
      <c r="AC2248" s="1">
        <v>156.90797375546981</v>
      </c>
      <c r="AD2248" s="1">
        <v>1.7673891164032636</v>
      </c>
      <c r="AE2248" t="s">
        <v>4817</v>
      </c>
      <c r="AF2248" t="str">
        <f>IF(X2248&lt;$AF$1,"Bajo","Alto")</f>
        <v>Alto</v>
      </c>
      <c r="AG2248" t="str">
        <f>LEFT(AE2248,1)</f>
        <v>C</v>
      </c>
      <c r="AH2248" t="str">
        <f>K2248</f>
        <v>M</v>
      </c>
      <c r="AI2248" t="str">
        <f>LEFT(AF2248,1)</f>
        <v>A</v>
      </c>
      <c r="AJ2248" t="str">
        <f>LEFT(M2248,1)</f>
        <v>M</v>
      </c>
      <c r="AK2248" t="str">
        <f>_xlfn.CONCAT(AG2248,AH2248,AI2248,AJ2248)</f>
        <v>CMAM</v>
      </c>
    </row>
    <row r="2249" spans="1:37" ht="15.75" hidden="1" customHeight="1" x14ac:dyDescent="0.2">
      <c r="A2249" s="1">
        <v>1019403</v>
      </c>
      <c r="B2249" s="1" t="s">
        <v>29</v>
      </c>
      <c r="C2249" s="1" t="s">
        <v>30</v>
      </c>
      <c r="D2249" s="1" t="s">
        <v>774</v>
      </c>
      <c r="E2249" s="1" t="s">
        <v>775</v>
      </c>
      <c r="F2249" s="1" t="s">
        <v>63</v>
      </c>
      <c r="G2249" s="1" t="s">
        <v>778</v>
      </c>
      <c r="H2249" s="1">
        <v>2264</v>
      </c>
      <c r="I2249" s="1" t="s">
        <v>779</v>
      </c>
      <c r="J2249" s="1">
        <v>515</v>
      </c>
      <c r="K2249" s="1" t="s">
        <v>49</v>
      </c>
      <c r="L2249" s="1">
        <v>56</v>
      </c>
      <c r="M2249" s="1" t="str">
        <f>IF(L2249&lt;=45,"Joven","Mayor")</f>
        <v>Mayor</v>
      </c>
      <c r="N2249" s="1">
        <v>47</v>
      </c>
      <c r="O2249" s="1" t="s">
        <v>50</v>
      </c>
      <c r="P2249" s="1">
        <v>0.95</v>
      </c>
      <c r="Q2249" s="1">
        <v>92.936000000000007</v>
      </c>
      <c r="R2249" s="1">
        <v>1.8904076999999999</v>
      </c>
      <c r="S2249" s="1">
        <v>4.3475732999999996</v>
      </c>
      <c r="T2249" s="1">
        <v>-0.840055</v>
      </c>
      <c r="U2249" s="1">
        <v>1.2549999999999999</v>
      </c>
      <c r="V2249" s="1">
        <v>88</v>
      </c>
      <c r="W2249" s="1">
        <v>151</v>
      </c>
      <c r="X2249" s="1">
        <v>1.7159090909090908</v>
      </c>
      <c r="Y2249" s="1">
        <v>91</v>
      </c>
      <c r="Z2249" s="1">
        <v>151</v>
      </c>
      <c r="AA2249" s="1">
        <v>1.6593406593406594</v>
      </c>
      <c r="AB2249" s="1">
        <v>90.40377119885693</v>
      </c>
      <c r="AC2249" s="1">
        <v>151.0424151441471</v>
      </c>
      <c r="AD2249" s="1">
        <v>1.6707534778820918</v>
      </c>
      <c r="AE2249" t="s">
        <v>4817</v>
      </c>
      <c r="AF2249" t="str">
        <f>IF(X2249&lt;$AF$1,"Bajo","Alto")</f>
        <v>Bajo</v>
      </c>
      <c r="AG2249" t="str">
        <f>LEFT(AE2249,1)</f>
        <v>C</v>
      </c>
      <c r="AH2249" t="str">
        <f>K2249</f>
        <v>F</v>
      </c>
      <c r="AI2249" t="str">
        <f>LEFT(AF2249,1)</f>
        <v>B</v>
      </c>
      <c r="AJ2249" t="str">
        <f>LEFT(M2249,1)</f>
        <v>M</v>
      </c>
      <c r="AK2249" t="str">
        <f>_xlfn.CONCAT(AG2249,AH2249,AI2249,AJ2249)</f>
        <v>CFBM</v>
      </c>
    </row>
    <row r="2250" spans="1:37" ht="15.75" hidden="1" customHeight="1" x14ac:dyDescent="0.2">
      <c r="A2250" s="1">
        <v>255102</v>
      </c>
      <c r="B2250" s="1" t="s">
        <v>3169</v>
      </c>
      <c r="C2250" s="1" t="s">
        <v>821</v>
      </c>
      <c r="D2250" s="1" t="s">
        <v>3262</v>
      </c>
      <c r="E2250" s="1" t="s">
        <v>2743</v>
      </c>
      <c r="F2250" s="1" t="s">
        <v>37</v>
      </c>
      <c r="G2250" s="1" t="s">
        <v>3264</v>
      </c>
      <c r="H2250" s="1">
        <v>1286</v>
      </c>
      <c r="I2250" s="1" t="s">
        <v>45</v>
      </c>
      <c r="J2250" s="1">
        <v>17</v>
      </c>
      <c r="K2250" s="1" t="s">
        <v>35</v>
      </c>
      <c r="L2250" s="1">
        <v>36</v>
      </c>
      <c r="M2250" s="1" t="str">
        <f>IF(L2250&lt;=45,"Joven","Mayor")</f>
        <v>Joven</v>
      </c>
      <c r="N2250" s="1">
        <v>32</v>
      </c>
      <c r="O2250" s="1" t="s">
        <v>36</v>
      </c>
      <c r="P2250" s="1">
        <v>0.35299999999999998</v>
      </c>
      <c r="Q2250" s="1">
        <v>89.698999999999998</v>
      </c>
      <c r="R2250" s="1">
        <v>6.3546610000000001</v>
      </c>
      <c r="S2250" s="1">
        <v>-0.84321330000000005</v>
      </c>
      <c r="T2250" s="1">
        <v>-0.41359111999999998</v>
      </c>
      <c r="U2250" s="1">
        <v>12.587</v>
      </c>
      <c r="V2250" s="1">
        <v>97</v>
      </c>
      <c r="W2250" s="1">
        <v>169</v>
      </c>
      <c r="X2250" s="1">
        <v>1.7422680412371134</v>
      </c>
      <c r="Y2250" s="1">
        <v>98</v>
      </c>
      <c r="Z2250" s="1">
        <v>169</v>
      </c>
      <c r="AA2250" s="1">
        <v>1.7244897959183674</v>
      </c>
      <c r="AB2250" s="1">
        <v>97.679834340841353</v>
      </c>
      <c r="AC2250" s="1">
        <v>168.98837850259179</v>
      </c>
      <c r="AD2250" s="1">
        <v>1.7300231889514508</v>
      </c>
      <c r="AE2250" t="s">
        <v>4817</v>
      </c>
      <c r="AF2250" t="str">
        <f>IF(X2250&lt;$AF$1,"Bajo","Alto")</f>
        <v>Bajo</v>
      </c>
      <c r="AG2250" t="str">
        <f>LEFT(AE2250,1)</f>
        <v>C</v>
      </c>
      <c r="AH2250" t="str">
        <f>K2250</f>
        <v>M</v>
      </c>
      <c r="AI2250" t="str">
        <f>LEFT(AF2250,1)</f>
        <v>B</v>
      </c>
      <c r="AJ2250" t="str">
        <f>LEFT(M2250,1)</f>
        <v>J</v>
      </c>
      <c r="AK2250" t="str">
        <f>_xlfn.CONCAT(AG2250,AH2250,AI2250,AJ2250)</f>
        <v>CMBJ</v>
      </c>
    </row>
    <row r="2251" spans="1:37" ht="15.75" hidden="1" customHeight="1" x14ac:dyDescent="0.2">
      <c r="A2251" s="1">
        <v>1079705</v>
      </c>
      <c r="B2251" s="1" t="s">
        <v>1067</v>
      </c>
      <c r="C2251" s="1" t="s">
        <v>1068</v>
      </c>
      <c r="D2251" s="1" t="s">
        <v>1526</v>
      </c>
      <c r="E2251" s="1" t="s">
        <v>781</v>
      </c>
      <c r="F2251" s="1" t="s">
        <v>40</v>
      </c>
      <c r="G2251" s="1" t="s">
        <v>1530</v>
      </c>
      <c r="H2251" s="1">
        <v>982</v>
      </c>
      <c r="I2251" s="1" t="s">
        <v>1531</v>
      </c>
      <c r="J2251" s="1">
        <v>2498</v>
      </c>
      <c r="K2251" s="1" t="s">
        <v>35</v>
      </c>
      <c r="L2251" s="1">
        <v>51</v>
      </c>
      <c r="M2251" s="1" t="str">
        <f>IF(L2251&lt;=45,"Joven","Mayor")</f>
        <v>Mayor</v>
      </c>
      <c r="N2251" s="1">
        <v>54</v>
      </c>
      <c r="O2251" s="1" t="s">
        <v>36</v>
      </c>
      <c r="P2251" s="1">
        <v>4.82</v>
      </c>
      <c r="Q2251" s="1">
        <v>89.921000000000006</v>
      </c>
      <c r="R2251" s="1">
        <v>-4.5790249999999997</v>
      </c>
      <c r="S2251" s="1">
        <v>2.0977833000000001</v>
      </c>
      <c r="T2251" s="1">
        <v>3.2233082999999998</v>
      </c>
      <c r="U2251" s="1">
        <v>33.475000000000001</v>
      </c>
      <c r="V2251" s="1">
        <v>83</v>
      </c>
      <c r="W2251" s="1">
        <v>144</v>
      </c>
      <c r="X2251" s="1">
        <v>1.7349397590361446</v>
      </c>
      <c r="Y2251" s="1">
        <v>88</v>
      </c>
      <c r="Z2251" s="1">
        <v>144</v>
      </c>
      <c r="AA2251" s="1">
        <v>1.6363636363636365</v>
      </c>
      <c r="AB2251" s="1">
        <v>86.061496100639715</v>
      </c>
      <c r="AC2251" s="1">
        <v>143.99709880403319</v>
      </c>
      <c r="AD2251" s="1">
        <v>1.6731884214009478</v>
      </c>
      <c r="AE2251" t="s">
        <v>4817</v>
      </c>
      <c r="AF2251" t="str">
        <f>IF(X2251&lt;$AF$1,"Bajo","Alto")</f>
        <v>Bajo</v>
      </c>
      <c r="AG2251" t="str">
        <f>LEFT(AE2251,1)</f>
        <v>C</v>
      </c>
      <c r="AH2251" t="str">
        <f>K2251</f>
        <v>M</v>
      </c>
      <c r="AI2251" t="str">
        <f>LEFT(AF2251,1)</f>
        <v>B</v>
      </c>
      <c r="AJ2251" t="str">
        <f>LEFT(M2251,1)</f>
        <v>M</v>
      </c>
      <c r="AK2251" t="str">
        <f>_xlfn.CONCAT(AG2251,AH2251,AI2251,AJ2251)</f>
        <v>CMBM</v>
      </c>
    </row>
    <row r="2252" spans="1:37" ht="15.75" hidden="1" customHeight="1" x14ac:dyDescent="0.2">
      <c r="A2252" s="1">
        <v>3111502</v>
      </c>
      <c r="B2252" s="1" t="s">
        <v>4122</v>
      </c>
      <c r="C2252" s="1" t="s">
        <v>628</v>
      </c>
      <c r="D2252" s="1" t="s">
        <v>4160</v>
      </c>
      <c r="E2252" s="1" t="s">
        <v>112</v>
      </c>
      <c r="F2252" s="1" t="s">
        <v>37</v>
      </c>
      <c r="G2252" s="1" t="s">
        <v>4162</v>
      </c>
      <c r="H2252" s="1">
        <v>2293</v>
      </c>
      <c r="I2252" s="1" t="s">
        <v>108</v>
      </c>
      <c r="J2252" s="1">
        <v>3</v>
      </c>
      <c r="K2252" s="1" t="s">
        <v>35</v>
      </c>
      <c r="L2252" s="1">
        <v>36</v>
      </c>
      <c r="M2252" s="1" t="str">
        <f>IF(L2252&lt;=45,"Joven","Mayor")</f>
        <v>Joven</v>
      </c>
      <c r="N2252" s="1">
        <v>52</v>
      </c>
      <c r="O2252" s="1" t="s">
        <v>36</v>
      </c>
      <c r="P2252" s="1">
        <v>0.33200000000000002</v>
      </c>
      <c r="Q2252" s="1">
        <v>89.463999999999999</v>
      </c>
      <c r="R2252" s="1">
        <v>5.9867043000000004</v>
      </c>
      <c r="S2252" s="1">
        <v>3.2877966999999999</v>
      </c>
      <c r="T2252" s="1">
        <v>-2.4934666000000001</v>
      </c>
      <c r="U2252" s="1">
        <v>1.0209999999999999</v>
      </c>
      <c r="V2252" s="1">
        <v>91</v>
      </c>
      <c r="W2252" s="1">
        <v>164</v>
      </c>
      <c r="X2252" s="1">
        <v>1.8021978021978022</v>
      </c>
      <c r="Y2252" s="1">
        <v>92</v>
      </c>
      <c r="Z2252" s="1">
        <v>164</v>
      </c>
      <c r="AA2252" s="1">
        <v>1.7826086956521738</v>
      </c>
      <c r="AB2252" s="1">
        <v>92.78457524654641</v>
      </c>
      <c r="AC2252" s="1">
        <v>163.88822845845019</v>
      </c>
      <c r="AD2252" s="1">
        <v>1.7663305352529528</v>
      </c>
      <c r="AE2252" t="s">
        <v>4817</v>
      </c>
      <c r="AF2252" t="str">
        <f>IF(X2252&lt;$AF$1,"Bajo","Alto")</f>
        <v>Alto</v>
      </c>
      <c r="AG2252" t="str">
        <f>LEFT(AE2252,1)</f>
        <v>C</v>
      </c>
      <c r="AH2252" t="str">
        <f>K2252</f>
        <v>M</v>
      </c>
      <c r="AI2252" t="str">
        <f>LEFT(AF2252,1)</f>
        <v>A</v>
      </c>
      <c r="AJ2252" t="str">
        <f>LEFT(M2252,1)</f>
        <v>J</v>
      </c>
      <c r="AK2252" t="str">
        <f>_xlfn.CONCAT(AG2252,AH2252,AI2252,AJ2252)</f>
        <v>CMAJ</v>
      </c>
    </row>
    <row r="2253" spans="1:37" ht="15.75" hidden="1" customHeight="1" x14ac:dyDescent="0.2">
      <c r="A2253" s="1">
        <v>10716602</v>
      </c>
      <c r="B2253" s="1" t="s">
        <v>1067</v>
      </c>
      <c r="C2253" s="1" t="s">
        <v>1068</v>
      </c>
      <c r="D2253" s="1" t="s">
        <v>1170</v>
      </c>
      <c r="E2253" s="1" t="s">
        <v>265</v>
      </c>
      <c r="F2253" s="1" t="s">
        <v>37</v>
      </c>
      <c r="G2253" s="1" t="s">
        <v>1172</v>
      </c>
      <c r="H2253" s="1">
        <v>37</v>
      </c>
      <c r="I2253" s="1" t="s">
        <v>93</v>
      </c>
      <c r="J2253" s="1">
        <v>9</v>
      </c>
      <c r="K2253" s="1" t="s">
        <v>35</v>
      </c>
      <c r="L2253" s="1">
        <v>47</v>
      </c>
      <c r="M2253" s="1" t="str">
        <f>IF(L2253&lt;=45,"Joven","Mayor")</f>
        <v>Mayor</v>
      </c>
      <c r="N2253" s="1">
        <v>64</v>
      </c>
      <c r="O2253" s="1" t="s">
        <v>36</v>
      </c>
      <c r="P2253" s="1">
        <v>5.1999999999999998E-2</v>
      </c>
      <c r="Q2253" s="1">
        <v>91.756</v>
      </c>
      <c r="R2253" s="1">
        <v>-4.0386980000000001</v>
      </c>
      <c r="S2253" s="1">
        <v>-3.4252883999999999</v>
      </c>
      <c r="T2253" s="1">
        <v>-9.3820650000000002E-3</v>
      </c>
      <c r="U2253" s="1">
        <v>9.9329999999999998</v>
      </c>
      <c r="V2253" s="1">
        <v>98</v>
      </c>
      <c r="W2253" s="1">
        <v>175</v>
      </c>
      <c r="X2253" s="1">
        <v>1.7857142857142858</v>
      </c>
      <c r="Y2253" s="1">
        <v>98</v>
      </c>
      <c r="Z2253" s="1">
        <v>175</v>
      </c>
      <c r="AA2253" s="1">
        <v>1.7857142857142858</v>
      </c>
      <c r="AB2253" s="1">
        <v>98.007367342731413</v>
      </c>
      <c r="AC2253" s="1">
        <v>175.0001614017533</v>
      </c>
      <c r="AD2253" s="1">
        <v>1.7855816980551917</v>
      </c>
      <c r="AE2253" t="s">
        <v>4815</v>
      </c>
      <c r="AF2253" t="str">
        <f>IF(X2253&lt;$AF$1,"Bajo","Alto")</f>
        <v>Alto</v>
      </c>
      <c r="AG2253" t="str">
        <f>LEFT(AE2253,1)</f>
        <v>I</v>
      </c>
      <c r="AH2253" t="str">
        <f>K2253</f>
        <v>M</v>
      </c>
      <c r="AI2253" t="str">
        <f>LEFT(AF2253,1)</f>
        <v>A</v>
      </c>
      <c r="AJ2253" t="str">
        <f>LEFT(M2253,1)</f>
        <v>M</v>
      </c>
      <c r="AK2253" t="str">
        <f>_xlfn.CONCAT(AG2253,AH2253,AI2253,AJ2253)</f>
        <v>IMAM</v>
      </c>
    </row>
    <row r="2254" spans="1:37" ht="15.75" hidden="1" customHeight="1" x14ac:dyDescent="0.2">
      <c r="A2254" s="1">
        <v>2912401</v>
      </c>
      <c r="B2254" s="1" t="s">
        <v>3890</v>
      </c>
      <c r="C2254" s="1" t="s">
        <v>1695</v>
      </c>
      <c r="D2254" s="1" t="s">
        <v>3954</v>
      </c>
      <c r="E2254" s="1" t="s">
        <v>145</v>
      </c>
      <c r="F2254" s="1" t="s">
        <v>32</v>
      </c>
      <c r="G2254" s="1" t="s">
        <v>3955</v>
      </c>
      <c r="H2254" s="1">
        <v>195</v>
      </c>
      <c r="I2254" s="1" t="s">
        <v>100</v>
      </c>
      <c r="J2254" s="1">
        <v>1</v>
      </c>
      <c r="K2254" s="1" t="s">
        <v>49</v>
      </c>
      <c r="L2254" s="1">
        <v>39</v>
      </c>
      <c r="M2254" s="1" t="str">
        <f>IF(L2254&lt;=45,"Joven","Mayor")</f>
        <v>Joven</v>
      </c>
      <c r="N2254" s="1">
        <v>29</v>
      </c>
      <c r="O2254" s="1" t="s">
        <v>50</v>
      </c>
      <c r="P2254" s="1">
        <v>0.23300000000000001</v>
      </c>
      <c r="Q2254" s="1">
        <v>90.11</v>
      </c>
      <c r="R2254" s="1">
        <v>5.1415499999999996</v>
      </c>
      <c r="S2254" s="1">
        <v>4.6065360000000002</v>
      </c>
      <c r="T2254" s="1">
        <v>-3.0054395</v>
      </c>
      <c r="U2254" s="1">
        <v>51.296999999999997</v>
      </c>
      <c r="V2254" s="1">
        <v>89</v>
      </c>
      <c r="W2254" s="1">
        <v>155</v>
      </c>
      <c r="X2254" s="1">
        <v>1.7415730337078652</v>
      </c>
      <c r="Y2254" s="1">
        <v>93</v>
      </c>
      <c r="Z2254" s="1">
        <v>155</v>
      </c>
      <c r="AA2254" s="1">
        <v>1.6666666666666667</v>
      </c>
      <c r="AB2254" s="1">
        <v>91.132108797293768</v>
      </c>
      <c r="AC2254" s="1">
        <v>154.94409934126219</v>
      </c>
      <c r="AD2254" s="1">
        <v>1.7002141329342679</v>
      </c>
      <c r="AE2254" t="s">
        <v>4817</v>
      </c>
      <c r="AF2254" t="str">
        <f>IF(X2254&lt;$AF$1,"Bajo","Alto")</f>
        <v>Bajo</v>
      </c>
      <c r="AG2254" t="str">
        <f>LEFT(AE2254,1)</f>
        <v>C</v>
      </c>
      <c r="AH2254" t="str">
        <f>K2254</f>
        <v>F</v>
      </c>
      <c r="AI2254" t="str">
        <f>LEFT(AF2254,1)</f>
        <v>B</v>
      </c>
      <c r="AJ2254" t="str">
        <f>LEFT(M2254,1)</f>
        <v>J</v>
      </c>
      <c r="AK2254" t="str">
        <f>_xlfn.CONCAT(AG2254,AH2254,AI2254,AJ2254)</f>
        <v>CFBJ</v>
      </c>
    </row>
    <row r="2255" spans="1:37" ht="15.75" hidden="1" customHeight="1" x14ac:dyDescent="0.2">
      <c r="A2255" s="1">
        <v>250103</v>
      </c>
      <c r="B2255" s="1" t="s">
        <v>3169</v>
      </c>
      <c r="C2255" s="1" t="s">
        <v>821</v>
      </c>
      <c r="D2255" s="1" t="s">
        <v>3170</v>
      </c>
      <c r="E2255" s="1" t="s">
        <v>32</v>
      </c>
      <c r="F2255" s="1" t="s">
        <v>63</v>
      </c>
      <c r="G2255" s="1" t="s">
        <v>3173</v>
      </c>
      <c r="H2255" s="1">
        <v>32329</v>
      </c>
      <c r="I2255" s="1" t="s">
        <v>39</v>
      </c>
      <c r="J2255" s="1">
        <v>11</v>
      </c>
      <c r="K2255" s="1" t="s">
        <v>35</v>
      </c>
      <c r="L2255" s="1">
        <v>55</v>
      </c>
      <c r="M2255" s="1" t="str">
        <f>IF(L2255&lt;=45,"Joven","Mayor")</f>
        <v>Mayor</v>
      </c>
      <c r="N2255" s="1">
        <v>47</v>
      </c>
      <c r="O2255" s="1" t="s">
        <v>36</v>
      </c>
      <c r="P2255" s="1">
        <v>0.32700000000000001</v>
      </c>
      <c r="Q2255" s="1">
        <v>91.584000000000003</v>
      </c>
      <c r="R2255" s="1">
        <v>1.7728181999999999</v>
      </c>
      <c r="S2255" s="1">
        <v>8.6231869999999997</v>
      </c>
      <c r="T2255" s="1">
        <v>0.42930275000000001</v>
      </c>
      <c r="U2255" s="1">
        <v>5.6980000000000004</v>
      </c>
      <c r="V2255" s="1">
        <v>90</v>
      </c>
      <c r="W2255" s="1">
        <v>156</v>
      </c>
      <c r="X2255" s="1">
        <v>1.7333333333333334</v>
      </c>
      <c r="Y2255" s="1">
        <v>92</v>
      </c>
      <c r="Z2255" s="1">
        <v>156</v>
      </c>
      <c r="AA2255" s="1">
        <v>1.6956521739130435</v>
      </c>
      <c r="AB2255" s="1">
        <v>91.690217783552043</v>
      </c>
      <c r="AC2255" s="1">
        <v>156.03308438484149</v>
      </c>
      <c r="AD2255" s="1">
        <v>1.7017418886841347</v>
      </c>
      <c r="AE2255" t="s">
        <v>4816</v>
      </c>
      <c r="AF2255" t="str">
        <f>IF(X2255&lt;$AF$1,"Bajo","Alto")</f>
        <v>Bajo</v>
      </c>
      <c r="AG2255" t="str">
        <f>LEFT(AE2255,1)</f>
        <v>D</v>
      </c>
      <c r="AH2255" t="str">
        <f>K2255</f>
        <v>M</v>
      </c>
      <c r="AI2255" t="str">
        <f>LEFT(AF2255,1)</f>
        <v>B</v>
      </c>
      <c r="AJ2255" t="str">
        <f>LEFT(M2255,1)</f>
        <v>M</v>
      </c>
      <c r="AK2255" t="str">
        <f>_xlfn.CONCAT(AG2255,AH2255,AI2255,AJ2255)</f>
        <v>DMBM</v>
      </c>
    </row>
    <row r="2256" spans="1:37" ht="15.75" hidden="1" customHeight="1" x14ac:dyDescent="0.2">
      <c r="A2256" s="1">
        <v>1034005</v>
      </c>
      <c r="B2256" s="1" t="s">
        <v>783</v>
      </c>
      <c r="C2256" s="1" t="s">
        <v>81</v>
      </c>
      <c r="D2256" s="1" t="s">
        <v>839</v>
      </c>
      <c r="E2256" s="1" t="s">
        <v>657</v>
      </c>
      <c r="F2256" s="1" t="s">
        <v>40</v>
      </c>
      <c r="G2256" s="1" t="s">
        <v>842</v>
      </c>
      <c r="H2256" s="1">
        <v>508</v>
      </c>
      <c r="I2256" s="1" t="s">
        <v>91</v>
      </c>
      <c r="J2256" s="1">
        <v>6</v>
      </c>
      <c r="K2256" s="1" t="s">
        <v>35</v>
      </c>
      <c r="L2256" s="1">
        <v>42</v>
      </c>
      <c r="M2256" s="1" t="str">
        <f>IF(L2256&lt;=45,"Joven","Mayor")</f>
        <v>Joven</v>
      </c>
      <c r="N2256" s="1">
        <v>38</v>
      </c>
      <c r="O2256" s="1" t="s">
        <v>36</v>
      </c>
      <c r="P2256" s="1">
        <v>0.35899999999999999</v>
      </c>
      <c r="Q2256" s="1">
        <v>93.754000000000005</v>
      </c>
      <c r="R2256" s="1">
        <v>1.6070036000000001</v>
      </c>
      <c r="S2256" s="1">
        <v>2.3548613</v>
      </c>
      <c r="T2256" s="1">
        <v>-2.7163154999999999</v>
      </c>
      <c r="U2256" s="1">
        <v>1.8420000000000001</v>
      </c>
      <c r="V2256" s="1">
        <v>82</v>
      </c>
      <c r="W2256" s="1">
        <v>143</v>
      </c>
      <c r="X2256" s="1">
        <v>1.7439024390243902</v>
      </c>
      <c r="Y2256" s="1">
        <v>82</v>
      </c>
      <c r="Z2256" s="1">
        <v>143</v>
      </c>
      <c r="AA2256" s="1">
        <v>1.7439024390243902</v>
      </c>
      <c r="AB2256" s="1">
        <v>83.661329477655727</v>
      </c>
      <c r="AC2256" s="1">
        <v>142.791937235098</v>
      </c>
      <c r="AD2256" s="1">
        <v>1.7067854183841877</v>
      </c>
      <c r="AE2256" t="s">
        <v>4817</v>
      </c>
      <c r="AF2256" t="str">
        <f>IF(X2256&lt;$AF$1,"Bajo","Alto")</f>
        <v>Bajo</v>
      </c>
      <c r="AG2256" t="str">
        <f>LEFT(AE2256,1)</f>
        <v>C</v>
      </c>
      <c r="AH2256" t="str">
        <f>K2256</f>
        <v>M</v>
      </c>
      <c r="AI2256" t="str">
        <f>LEFT(AF2256,1)</f>
        <v>B</v>
      </c>
      <c r="AJ2256" t="str">
        <f>LEFT(M2256,1)</f>
        <v>J</v>
      </c>
      <c r="AK2256" t="str">
        <f>_xlfn.CONCAT(AG2256,AH2256,AI2256,AJ2256)</f>
        <v>CMBJ</v>
      </c>
    </row>
    <row r="2257" spans="1:37" ht="15.75" hidden="1" customHeight="1" x14ac:dyDescent="0.2">
      <c r="A2257" s="1">
        <v>1030401</v>
      </c>
      <c r="B2257" s="1" t="s">
        <v>783</v>
      </c>
      <c r="C2257" s="1" t="s">
        <v>81</v>
      </c>
      <c r="D2257" s="1" t="s">
        <v>788</v>
      </c>
      <c r="E2257" s="1" t="s">
        <v>61</v>
      </c>
      <c r="F2257" s="1" t="s">
        <v>32</v>
      </c>
      <c r="G2257" s="1" t="s">
        <v>789</v>
      </c>
      <c r="H2257" s="1">
        <v>245</v>
      </c>
      <c r="I2257" s="1" t="s">
        <v>34</v>
      </c>
      <c r="J2257" s="1">
        <v>10</v>
      </c>
      <c r="K2257" s="1" t="s">
        <v>49</v>
      </c>
      <c r="L2257" s="1">
        <v>73</v>
      </c>
      <c r="M2257" s="1" t="str">
        <f>IF(L2257&lt;=45,"Joven","Mayor")</f>
        <v>Mayor</v>
      </c>
      <c r="N2257" s="1">
        <v>69</v>
      </c>
      <c r="O2257" s="1" t="s">
        <v>50</v>
      </c>
      <c r="P2257" s="1">
        <v>0.40200000000000002</v>
      </c>
      <c r="Q2257" s="1">
        <v>89.66</v>
      </c>
      <c r="R2257" s="1">
        <v>4.7982959999999997</v>
      </c>
      <c r="S2257" s="1">
        <v>6.4869694999999998</v>
      </c>
      <c r="T2257" s="1">
        <v>-4.2604540000000002</v>
      </c>
      <c r="U2257" s="1">
        <v>11.634</v>
      </c>
      <c r="V2257" s="1">
        <v>92</v>
      </c>
      <c r="W2257" s="1">
        <v>160</v>
      </c>
      <c r="X2257" s="1">
        <v>1.7391304347826086</v>
      </c>
      <c r="Y2257" s="1">
        <v>93</v>
      </c>
      <c r="Z2257" s="1">
        <v>160</v>
      </c>
      <c r="AA2257" s="1">
        <v>1.7204301075268817</v>
      </c>
      <c r="AB2257" s="1">
        <v>95.014551049721376</v>
      </c>
      <c r="AC2257" s="1">
        <v>159.8550252811242</v>
      </c>
      <c r="AD2257" s="1">
        <v>1.6824267811092601</v>
      </c>
      <c r="AE2257" t="s">
        <v>4815</v>
      </c>
      <c r="AF2257" t="str">
        <f>IF(X2257&lt;$AF$1,"Bajo","Alto")</f>
        <v>Bajo</v>
      </c>
      <c r="AG2257" t="str">
        <f>LEFT(AE2257,1)</f>
        <v>I</v>
      </c>
      <c r="AH2257" t="str">
        <f>K2257</f>
        <v>F</v>
      </c>
      <c r="AI2257" t="str">
        <f>LEFT(AF2257,1)</f>
        <v>B</v>
      </c>
      <c r="AJ2257" t="str">
        <f>LEFT(M2257,1)</f>
        <v>M</v>
      </c>
      <c r="AK2257" t="str">
        <f>_xlfn.CONCAT(AG2257,AH2257,AI2257,AJ2257)</f>
        <v>IFBM</v>
      </c>
    </row>
    <row r="2258" spans="1:37" ht="15.75" hidden="1" customHeight="1" x14ac:dyDescent="0.2">
      <c r="A2258" s="1">
        <v>1054404</v>
      </c>
      <c r="B2258" s="1" t="s">
        <v>694</v>
      </c>
      <c r="C2258" s="1" t="s">
        <v>879</v>
      </c>
      <c r="D2258" s="1" t="s">
        <v>994</v>
      </c>
      <c r="E2258" s="1" t="s">
        <v>995</v>
      </c>
      <c r="F2258" s="1" t="s">
        <v>61</v>
      </c>
      <c r="G2258" s="1" t="s">
        <v>999</v>
      </c>
      <c r="H2258" s="1">
        <v>14</v>
      </c>
      <c r="I2258" s="1" t="s">
        <v>48</v>
      </c>
      <c r="J2258" s="1">
        <v>4</v>
      </c>
      <c r="K2258" s="1" t="s">
        <v>35</v>
      </c>
      <c r="L2258" s="1">
        <v>42</v>
      </c>
      <c r="M2258" s="1" t="str">
        <f>IF(L2258&lt;=45,"Joven","Mayor")</f>
        <v>Joven</v>
      </c>
      <c r="N2258" s="1">
        <v>44</v>
      </c>
      <c r="O2258" s="1" t="s">
        <v>36</v>
      </c>
      <c r="P2258" s="1">
        <v>0.22</v>
      </c>
      <c r="Q2258" s="1">
        <v>90.935000000000002</v>
      </c>
      <c r="R2258" s="1">
        <v>3.8544056000000002</v>
      </c>
      <c r="S2258" s="1">
        <v>6.1121654999999997</v>
      </c>
      <c r="T2258" s="1">
        <v>-9.9775305000000003</v>
      </c>
      <c r="U2258" s="1">
        <v>0.439</v>
      </c>
      <c r="V2258" s="1">
        <v>90</v>
      </c>
      <c r="W2258" s="1">
        <v>157</v>
      </c>
      <c r="X2258" s="1">
        <v>1.7444444444444445</v>
      </c>
      <c r="Y2258" s="1">
        <v>96</v>
      </c>
      <c r="Z2258" s="1">
        <v>157</v>
      </c>
      <c r="AA2258" s="1">
        <v>1.6354166666666667</v>
      </c>
      <c r="AB2258" s="1">
        <v>97.475179597696297</v>
      </c>
      <c r="AC2258" s="1">
        <v>156.87790230385329</v>
      </c>
      <c r="AD2258" s="1">
        <v>1.6094138318218694</v>
      </c>
      <c r="AE2258" t="s">
        <v>4817</v>
      </c>
      <c r="AF2258" t="str">
        <f>IF(X2258&lt;$AF$1,"Bajo","Alto")</f>
        <v>Bajo</v>
      </c>
      <c r="AG2258" t="str">
        <f>LEFT(AE2258,1)</f>
        <v>C</v>
      </c>
      <c r="AH2258" t="str">
        <f>K2258</f>
        <v>M</v>
      </c>
      <c r="AI2258" t="str">
        <f>LEFT(AF2258,1)</f>
        <v>B</v>
      </c>
      <c r="AJ2258" t="str">
        <f>LEFT(M2258,1)</f>
        <v>J</v>
      </c>
      <c r="AK2258" t="str">
        <f>_xlfn.CONCAT(AG2258,AH2258,AI2258,AJ2258)</f>
        <v>CMBJ</v>
      </c>
    </row>
    <row r="2259" spans="1:37" ht="15.75" hidden="1" customHeight="1" x14ac:dyDescent="0.2">
      <c r="A2259" s="1">
        <v>444002</v>
      </c>
      <c r="B2259" s="1" t="s">
        <v>4314</v>
      </c>
      <c r="C2259" s="1" t="s">
        <v>995</v>
      </c>
      <c r="D2259" s="1" t="s">
        <v>579</v>
      </c>
      <c r="E2259" s="1" t="s">
        <v>657</v>
      </c>
      <c r="F2259" s="1" t="s">
        <v>37</v>
      </c>
      <c r="G2259" s="1" t="s">
        <v>4379</v>
      </c>
      <c r="H2259" s="1">
        <v>787</v>
      </c>
      <c r="I2259" s="1" t="s">
        <v>87</v>
      </c>
      <c r="J2259" s="1">
        <v>14</v>
      </c>
      <c r="K2259" s="1" t="s">
        <v>35</v>
      </c>
      <c r="L2259" s="1">
        <v>43</v>
      </c>
      <c r="M2259" s="1" t="str">
        <f>IF(L2259&lt;=45,"Joven","Mayor")</f>
        <v>Joven</v>
      </c>
      <c r="N2259" s="1">
        <v>52</v>
      </c>
      <c r="O2259" s="1" t="s">
        <v>36</v>
      </c>
      <c r="P2259" s="1">
        <v>0.35599999999999998</v>
      </c>
      <c r="Q2259" s="1">
        <v>86.063000000000002</v>
      </c>
      <c r="R2259" s="1">
        <v>-7.8244109999999996</v>
      </c>
      <c r="S2259" s="1">
        <v>3.9905113999999999</v>
      </c>
      <c r="T2259" s="1">
        <v>9.036661E-2</v>
      </c>
      <c r="U2259" s="1">
        <v>66.489999999999995</v>
      </c>
      <c r="V2259" s="1">
        <v>83</v>
      </c>
      <c r="W2259" s="1">
        <v>143</v>
      </c>
      <c r="X2259" s="1">
        <v>1.7228915662650603</v>
      </c>
      <c r="Y2259" s="1">
        <v>84</v>
      </c>
      <c r="Z2259" s="1">
        <v>143</v>
      </c>
      <c r="AA2259" s="1">
        <v>1.7023809523809523</v>
      </c>
      <c r="AB2259" s="1">
        <v>83.938384948432258</v>
      </c>
      <c r="AC2259" s="1">
        <v>142.9982449464392</v>
      </c>
      <c r="AD2259" s="1">
        <v>1.7036096779118457</v>
      </c>
      <c r="AE2259" t="s">
        <v>4816</v>
      </c>
      <c r="AF2259" t="str">
        <f>IF(X2259&lt;$AF$1,"Bajo","Alto")</f>
        <v>Bajo</v>
      </c>
      <c r="AG2259" t="str">
        <f>LEFT(AE2259,1)</f>
        <v>D</v>
      </c>
      <c r="AH2259" t="str">
        <f>K2259</f>
        <v>M</v>
      </c>
      <c r="AI2259" t="str">
        <f>LEFT(AF2259,1)</f>
        <v>B</v>
      </c>
      <c r="AJ2259" t="str">
        <f>LEFT(M2259,1)</f>
        <v>J</v>
      </c>
      <c r="AK2259" t="str">
        <f>_xlfn.CONCAT(AG2259,AH2259,AI2259,AJ2259)</f>
        <v>DMBJ</v>
      </c>
    </row>
    <row r="2260" spans="1:37" ht="15.75" hidden="1" customHeight="1" x14ac:dyDescent="0.2">
      <c r="A2260" s="1">
        <v>153104</v>
      </c>
      <c r="B2260" s="1" t="s">
        <v>2077</v>
      </c>
      <c r="C2260" s="1" t="s">
        <v>57</v>
      </c>
      <c r="D2260" s="1" t="s">
        <v>2392</v>
      </c>
      <c r="E2260" s="1" t="s">
        <v>628</v>
      </c>
      <c r="F2260" s="1" t="s">
        <v>61</v>
      </c>
      <c r="G2260" s="1" t="s">
        <v>2397</v>
      </c>
      <c r="H2260" s="1">
        <v>11507</v>
      </c>
      <c r="I2260" s="1" t="s">
        <v>2398</v>
      </c>
      <c r="J2260" s="1">
        <v>4514</v>
      </c>
      <c r="K2260" s="1" t="s">
        <v>35</v>
      </c>
      <c r="L2260" s="1">
        <v>47</v>
      </c>
      <c r="M2260" s="1" t="str">
        <f>IF(L2260&lt;=45,"Joven","Mayor")</f>
        <v>Mayor</v>
      </c>
      <c r="N2260" s="1">
        <v>48</v>
      </c>
      <c r="O2260" s="1" t="s">
        <v>36</v>
      </c>
      <c r="P2260" s="1">
        <v>7.6999999999999999E-2</v>
      </c>
      <c r="Q2260" s="1">
        <v>37.557000000000002</v>
      </c>
      <c r="R2260" s="1">
        <v>17.451619999999998</v>
      </c>
      <c r="S2260" s="1">
        <v>-3.7023313</v>
      </c>
      <c r="T2260" s="1">
        <v>-10.538163000000001</v>
      </c>
      <c r="U2260" s="1">
        <v>13.91</v>
      </c>
      <c r="V2260" s="1">
        <v>102</v>
      </c>
      <c r="W2260" s="1">
        <v>177</v>
      </c>
      <c r="X2260" s="1">
        <v>1.7352941176470589</v>
      </c>
      <c r="Y2260" s="1">
        <v>116</v>
      </c>
      <c r="Z2260" s="1">
        <v>177</v>
      </c>
      <c r="AA2260" s="1">
        <v>1.5258620689655173</v>
      </c>
      <c r="AB2260" s="1">
        <v>110.887240694128</v>
      </c>
      <c r="AC2260" s="1">
        <v>177.30662271784601</v>
      </c>
      <c r="AD2260" s="1">
        <v>1.5989812859256696</v>
      </c>
      <c r="AE2260" t="s">
        <v>4817</v>
      </c>
      <c r="AF2260" t="str">
        <f>IF(X2260&lt;$AF$1,"Bajo","Alto")</f>
        <v>Bajo</v>
      </c>
      <c r="AG2260" t="str">
        <f>LEFT(AE2260,1)</f>
        <v>C</v>
      </c>
      <c r="AH2260" t="str">
        <f>K2260</f>
        <v>M</v>
      </c>
      <c r="AI2260" t="str">
        <f>LEFT(AF2260,1)</f>
        <v>B</v>
      </c>
      <c r="AJ2260" t="str">
        <f>LEFT(M2260,1)</f>
        <v>M</v>
      </c>
      <c r="AK2260" t="str">
        <f>_xlfn.CONCAT(AG2260,AH2260,AI2260,AJ2260)</f>
        <v>CMBM</v>
      </c>
    </row>
    <row r="2261" spans="1:37" ht="15.75" hidden="1" customHeight="1" x14ac:dyDescent="0.2">
      <c r="A2261" s="1">
        <v>1090705</v>
      </c>
      <c r="B2261" s="1" t="s">
        <v>719</v>
      </c>
      <c r="C2261" s="1" t="s">
        <v>98</v>
      </c>
      <c r="D2261" s="1" t="s">
        <v>1543</v>
      </c>
      <c r="E2261" s="1" t="s">
        <v>43</v>
      </c>
      <c r="F2261" s="1" t="s">
        <v>40</v>
      </c>
      <c r="G2261" s="1" t="s">
        <v>1545</v>
      </c>
      <c r="H2261" s="1">
        <v>748</v>
      </c>
      <c r="I2261" s="1" t="s">
        <v>134</v>
      </c>
      <c r="J2261" s="1">
        <v>8</v>
      </c>
      <c r="K2261" s="1" t="s">
        <v>35</v>
      </c>
      <c r="L2261" s="1">
        <v>66</v>
      </c>
      <c r="M2261" s="1" t="str">
        <f>IF(L2261&lt;=45,"Joven","Mayor")</f>
        <v>Mayor</v>
      </c>
      <c r="N2261" s="1">
        <v>54</v>
      </c>
      <c r="O2261" s="1" t="s">
        <v>36</v>
      </c>
      <c r="P2261" s="1">
        <v>1.085</v>
      </c>
      <c r="Q2261" s="1">
        <v>91.953000000000003</v>
      </c>
      <c r="R2261" s="1">
        <v>3.8722335999999999</v>
      </c>
      <c r="S2261" s="1">
        <v>-2.1128309999999999</v>
      </c>
      <c r="T2261" s="1">
        <v>-8.2490325000000003E-2</v>
      </c>
      <c r="U2261" s="1">
        <v>3.6360000000000001</v>
      </c>
      <c r="V2261" s="1">
        <v>87</v>
      </c>
      <c r="W2261" s="1">
        <v>157</v>
      </c>
      <c r="X2261" s="1">
        <v>1.8045977011494252</v>
      </c>
      <c r="Y2261" s="1">
        <v>89</v>
      </c>
      <c r="Z2261" s="1">
        <v>157</v>
      </c>
      <c r="AA2261" s="1">
        <v>1.7640449438202248</v>
      </c>
      <c r="AB2261" s="1">
        <v>89.060376305247701</v>
      </c>
      <c r="AC2261" s="1">
        <v>156.99263864759311</v>
      </c>
      <c r="AD2261" s="1">
        <v>1.7627663969160956</v>
      </c>
      <c r="AE2261" t="s">
        <v>4817</v>
      </c>
      <c r="AF2261" t="str">
        <f>IF(X2261&lt;$AF$1,"Bajo","Alto")</f>
        <v>Alto</v>
      </c>
      <c r="AG2261" t="str">
        <f>LEFT(AE2261,1)</f>
        <v>C</v>
      </c>
      <c r="AH2261" t="str">
        <f>K2261</f>
        <v>M</v>
      </c>
      <c r="AI2261" t="str">
        <f>LEFT(AF2261,1)</f>
        <v>A</v>
      </c>
      <c r="AJ2261" t="str">
        <f>LEFT(M2261,1)</f>
        <v>M</v>
      </c>
      <c r="AK2261" t="str">
        <f>_xlfn.CONCAT(AG2261,AH2261,AI2261,AJ2261)</f>
        <v>CMAM</v>
      </c>
    </row>
    <row r="2262" spans="1:37" ht="15.75" hidden="1" customHeight="1" x14ac:dyDescent="0.2">
      <c r="A2262" s="1">
        <v>1059101</v>
      </c>
      <c r="B2262" s="1" t="s">
        <v>694</v>
      </c>
      <c r="C2262" s="1" t="s">
        <v>879</v>
      </c>
      <c r="D2262" s="1" t="s">
        <v>1053</v>
      </c>
      <c r="E2262" s="1" t="s">
        <v>770</v>
      </c>
      <c r="F2262" s="1" t="s">
        <v>32</v>
      </c>
      <c r="G2262" s="1" t="s">
        <v>1054</v>
      </c>
      <c r="H2262" s="1">
        <v>32</v>
      </c>
      <c r="I2262" s="1" t="s">
        <v>42</v>
      </c>
      <c r="J2262" s="1">
        <v>15</v>
      </c>
      <c r="K2262" s="1" t="s">
        <v>49</v>
      </c>
      <c r="L2262" s="1">
        <v>52</v>
      </c>
      <c r="M2262" s="1" t="str">
        <f>IF(L2262&lt;=45,"Joven","Mayor")</f>
        <v>Mayor</v>
      </c>
      <c r="N2262" s="1">
        <v>47</v>
      </c>
      <c r="O2262" s="1" t="s">
        <v>50</v>
      </c>
      <c r="P2262" s="1">
        <v>0.38600000000000001</v>
      </c>
      <c r="Q2262" s="1">
        <v>92.037999999999997</v>
      </c>
      <c r="R2262" s="1">
        <v>3.3764305000000001</v>
      </c>
      <c r="S2262" s="1">
        <v>4.1295210000000004</v>
      </c>
      <c r="T2262" s="1">
        <v>-3.7302005</v>
      </c>
      <c r="U2262" s="1">
        <v>29.466000000000001</v>
      </c>
      <c r="V2262" s="1">
        <v>67</v>
      </c>
      <c r="W2262" s="1">
        <v>115</v>
      </c>
      <c r="X2262" s="1">
        <v>1.7164179104477613</v>
      </c>
      <c r="Y2262" s="1">
        <v>67</v>
      </c>
      <c r="Z2262" s="1">
        <v>115</v>
      </c>
      <c r="AA2262" s="1">
        <v>1.7164179104477613</v>
      </c>
      <c r="AB2262" s="1">
        <v>68.93992370069941</v>
      </c>
      <c r="AC2262" s="1">
        <v>114.7563684504003</v>
      </c>
      <c r="AD2262" s="1">
        <v>1.6645850806074518</v>
      </c>
      <c r="AE2262" t="s">
        <v>4817</v>
      </c>
      <c r="AF2262" t="str">
        <f>IF(X2262&lt;$AF$1,"Bajo","Alto")</f>
        <v>Bajo</v>
      </c>
      <c r="AG2262" t="str">
        <f>LEFT(AE2262,1)</f>
        <v>C</v>
      </c>
      <c r="AH2262" t="str">
        <f>K2262</f>
        <v>F</v>
      </c>
      <c r="AI2262" t="str">
        <f>LEFT(AF2262,1)</f>
        <v>B</v>
      </c>
      <c r="AJ2262" t="str">
        <f>LEFT(M2262,1)</f>
        <v>M</v>
      </c>
      <c r="AK2262" t="str">
        <f>_xlfn.CONCAT(AG2262,AH2262,AI2262,AJ2262)</f>
        <v>CFBM</v>
      </c>
    </row>
    <row r="2263" spans="1:37" ht="15.75" hidden="1" customHeight="1" x14ac:dyDescent="0.2">
      <c r="A2263" s="1">
        <v>2832003</v>
      </c>
      <c r="B2263" s="1" t="s">
        <v>1775</v>
      </c>
      <c r="C2263" s="1" t="s">
        <v>561</v>
      </c>
      <c r="D2263" s="1" t="s">
        <v>3846</v>
      </c>
      <c r="E2263" s="1" t="s">
        <v>3847</v>
      </c>
      <c r="F2263" s="1" t="s">
        <v>63</v>
      </c>
      <c r="G2263" s="1" t="s">
        <v>3850</v>
      </c>
      <c r="H2263" s="1">
        <v>6</v>
      </c>
      <c r="I2263" s="1" t="s">
        <v>48</v>
      </c>
      <c r="J2263" s="1">
        <v>4</v>
      </c>
      <c r="K2263" s="1" t="s">
        <v>35</v>
      </c>
      <c r="L2263" s="1">
        <v>25</v>
      </c>
      <c r="M2263" s="1" t="str">
        <f>IF(L2263&lt;=45,"Joven","Mayor")</f>
        <v>Joven</v>
      </c>
      <c r="N2263" s="1">
        <v>33</v>
      </c>
      <c r="O2263" s="1" t="s">
        <v>36</v>
      </c>
      <c r="P2263" s="1">
        <v>0.35899999999999999</v>
      </c>
      <c r="Q2263" s="1">
        <v>93.856999999999999</v>
      </c>
      <c r="R2263" s="1">
        <v>1.4813775</v>
      </c>
      <c r="S2263" s="1">
        <v>2.2003599999999999</v>
      </c>
      <c r="T2263" s="1">
        <v>-1.9448268</v>
      </c>
      <c r="U2263" s="1">
        <v>25.193999999999999</v>
      </c>
      <c r="V2263" s="1">
        <v>90</v>
      </c>
      <c r="W2263" s="1">
        <v>157</v>
      </c>
      <c r="X2263" s="1">
        <v>1.7444444444444445</v>
      </c>
      <c r="Y2263" s="1">
        <v>90</v>
      </c>
      <c r="Z2263" s="1">
        <v>157</v>
      </c>
      <c r="AA2263" s="1">
        <v>1.7444444444444445</v>
      </c>
      <c r="AB2263" s="1">
        <v>91.305641855032036</v>
      </c>
      <c r="AC2263" s="1">
        <v>156.94350044505151</v>
      </c>
      <c r="AD2263" s="1">
        <v>1.7188806436981643</v>
      </c>
      <c r="AE2263" t="s">
        <v>4817</v>
      </c>
      <c r="AF2263" t="str">
        <f>IF(X2263&lt;$AF$1,"Bajo","Alto")</f>
        <v>Bajo</v>
      </c>
      <c r="AG2263" t="str">
        <f>LEFT(AE2263,1)</f>
        <v>C</v>
      </c>
      <c r="AH2263" t="str">
        <f>K2263</f>
        <v>M</v>
      </c>
      <c r="AI2263" t="str">
        <f>LEFT(AF2263,1)</f>
        <v>B</v>
      </c>
      <c r="AJ2263" t="str">
        <f>LEFT(M2263,1)</f>
        <v>J</v>
      </c>
      <c r="AK2263" t="str">
        <f>_xlfn.CONCAT(AG2263,AH2263,AI2263,AJ2263)</f>
        <v>CMBJ</v>
      </c>
    </row>
    <row r="2264" spans="1:37" ht="15.75" hidden="1" customHeight="1" x14ac:dyDescent="0.2">
      <c r="A2264" s="1">
        <v>257605</v>
      </c>
      <c r="B2264" s="1" t="s">
        <v>3169</v>
      </c>
      <c r="C2264" s="1" t="s">
        <v>821</v>
      </c>
      <c r="D2264" s="1" t="s">
        <v>3315</v>
      </c>
      <c r="E2264" s="1" t="s">
        <v>727</v>
      </c>
      <c r="F2264" s="1" t="s">
        <v>40</v>
      </c>
      <c r="G2264" s="1" t="s">
        <v>3318</v>
      </c>
      <c r="H2264" s="1">
        <v>351</v>
      </c>
      <c r="I2264" s="1" t="s">
        <v>91</v>
      </c>
      <c r="J2264" s="1">
        <v>6</v>
      </c>
      <c r="K2264" s="1" t="s">
        <v>35</v>
      </c>
      <c r="L2264" s="1">
        <v>63</v>
      </c>
      <c r="M2264" s="1" t="str">
        <f>IF(L2264&lt;=45,"Joven","Mayor")</f>
        <v>Mayor</v>
      </c>
      <c r="N2264" s="1">
        <v>52</v>
      </c>
      <c r="O2264" s="1" t="s">
        <v>36</v>
      </c>
      <c r="P2264" s="1">
        <v>3.5000000000000003E-2</v>
      </c>
      <c r="Q2264" s="1">
        <v>89.975999999999999</v>
      </c>
      <c r="R2264" s="1">
        <v>5.2522273000000004</v>
      </c>
      <c r="S2264" s="1">
        <v>-4.7830510000000004</v>
      </c>
      <c r="T2264" s="1">
        <v>-0.72391530000000004</v>
      </c>
      <c r="U2264" s="1">
        <v>2.3969999999999998</v>
      </c>
      <c r="V2264" s="1">
        <v>106</v>
      </c>
      <c r="W2264" s="1">
        <v>184</v>
      </c>
      <c r="X2264" s="1">
        <v>1.7358490566037736</v>
      </c>
      <c r="Y2264" s="1">
        <v>111</v>
      </c>
      <c r="Z2264" s="1">
        <v>184</v>
      </c>
      <c r="AA2264" s="1">
        <v>1.6576576576576576</v>
      </c>
      <c r="AB2264" s="1">
        <v>111.53441821330691</v>
      </c>
      <c r="AC2264" s="1">
        <v>183.93477622601361</v>
      </c>
      <c r="AD2264" s="1">
        <v>1.6491301893397852</v>
      </c>
      <c r="AE2264" t="s">
        <v>4817</v>
      </c>
      <c r="AF2264" t="str">
        <f>IF(X2264&lt;$AF$1,"Bajo","Alto")</f>
        <v>Bajo</v>
      </c>
      <c r="AG2264" t="str">
        <f>LEFT(AE2264,1)</f>
        <v>C</v>
      </c>
      <c r="AH2264" t="str">
        <f>K2264</f>
        <v>M</v>
      </c>
      <c r="AI2264" t="str">
        <f>LEFT(AF2264,1)</f>
        <v>B</v>
      </c>
      <c r="AJ2264" t="str">
        <f>LEFT(M2264,1)</f>
        <v>M</v>
      </c>
      <c r="AK2264" t="str">
        <f>_xlfn.CONCAT(AG2264,AH2264,AI2264,AJ2264)</f>
        <v>CMBM</v>
      </c>
    </row>
    <row r="2265" spans="1:37" ht="15.75" hidden="1" customHeight="1" x14ac:dyDescent="0.2">
      <c r="A2265" s="1">
        <v>1519008</v>
      </c>
      <c r="B2265" s="1" t="s">
        <v>2077</v>
      </c>
      <c r="C2265" s="1" t="s">
        <v>57</v>
      </c>
      <c r="D2265" s="1" t="s">
        <v>2218</v>
      </c>
      <c r="E2265" s="1" t="s">
        <v>320</v>
      </c>
      <c r="F2265" s="1" t="s">
        <v>46</v>
      </c>
      <c r="G2265" s="1" t="s">
        <v>2222</v>
      </c>
      <c r="H2265" s="1">
        <v>1025</v>
      </c>
      <c r="I2265" s="1" t="s">
        <v>73</v>
      </c>
      <c r="J2265" s="1">
        <v>5</v>
      </c>
      <c r="K2265" s="1" t="s">
        <v>35</v>
      </c>
      <c r="L2265" s="1">
        <v>46</v>
      </c>
      <c r="M2265" s="1" t="str">
        <f>IF(L2265&lt;=45,"Joven","Mayor")</f>
        <v>Mayor</v>
      </c>
      <c r="N2265" s="1">
        <v>34</v>
      </c>
      <c r="O2265" s="1" t="s">
        <v>36</v>
      </c>
      <c r="P2265" s="1">
        <v>0.33200000000000002</v>
      </c>
      <c r="Q2265" s="1">
        <v>94.197000000000003</v>
      </c>
      <c r="R2265" s="1">
        <v>-0.95946229999999999</v>
      </c>
      <c r="S2265" s="1">
        <v>-1.9172041</v>
      </c>
      <c r="T2265" s="1">
        <v>2.5939622</v>
      </c>
      <c r="U2265" s="1">
        <v>33.210999999999999</v>
      </c>
      <c r="V2265" s="1">
        <v>46</v>
      </c>
      <c r="W2265" s="1">
        <v>83</v>
      </c>
      <c r="X2265" s="1">
        <v>1.8043478260869565</v>
      </c>
      <c r="Y2265" s="1">
        <v>48</v>
      </c>
      <c r="Z2265" s="1">
        <v>83</v>
      </c>
      <c r="AA2265" s="1">
        <v>1.7291666666666667</v>
      </c>
      <c r="AB2265" s="1">
        <v>47.090919918974123</v>
      </c>
      <c r="AC2265" s="1">
        <v>83.050726750127524</v>
      </c>
      <c r="AD2265" s="1">
        <v>1.7636250660005537</v>
      </c>
      <c r="AE2265" t="s">
        <v>4817</v>
      </c>
      <c r="AF2265" t="str">
        <f>IF(X2265&lt;$AF$1,"Bajo","Alto")</f>
        <v>Alto</v>
      </c>
      <c r="AG2265" t="str">
        <f>LEFT(AE2265,1)</f>
        <v>C</v>
      </c>
      <c r="AH2265" t="str">
        <f>K2265</f>
        <v>M</v>
      </c>
      <c r="AI2265" t="str">
        <f>LEFT(AF2265,1)</f>
        <v>A</v>
      </c>
      <c r="AJ2265" t="str">
        <f>LEFT(M2265,1)</f>
        <v>M</v>
      </c>
      <c r="AK2265" t="str">
        <f>_xlfn.CONCAT(AG2265,AH2265,AI2265,AJ2265)</f>
        <v>CMAM</v>
      </c>
    </row>
    <row r="2266" spans="1:37" ht="15.75" hidden="1" customHeight="1" x14ac:dyDescent="0.2">
      <c r="A2266" s="1">
        <v>234903</v>
      </c>
      <c r="B2266" s="1" t="s">
        <v>319</v>
      </c>
      <c r="C2266" s="1" t="s">
        <v>1989</v>
      </c>
      <c r="D2266" s="1" t="s">
        <v>3049</v>
      </c>
      <c r="E2266" s="1" t="s">
        <v>673</v>
      </c>
      <c r="F2266" s="1" t="s">
        <v>63</v>
      </c>
      <c r="G2266" s="1" t="s">
        <v>3051</v>
      </c>
      <c r="H2266" s="1">
        <v>2961</v>
      </c>
      <c r="I2266" s="1" t="s">
        <v>3052</v>
      </c>
      <c r="J2266" s="1">
        <v>1502</v>
      </c>
      <c r="K2266" s="1" t="s">
        <v>35</v>
      </c>
      <c r="L2266" s="1">
        <v>36</v>
      </c>
      <c r="M2266" s="1" t="str">
        <f>IF(L2266&lt;=45,"Joven","Mayor")</f>
        <v>Joven</v>
      </c>
      <c r="N2266" s="1">
        <v>46</v>
      </c>
      <c r="O2266" s="1" t="s">
        <v>36</v>
      </c>
      <c r="P2266" s="1">
        <v>0.36399999999999999</v>
      </c>
      <c r="Q2266" s="1">
        <v>83.566999999999993</v>
      </c>
      <c r="R2266" s="1">
        <v>9.2724209999999996</v>
      </c>
      <c r="S2266" s="1">
        <v>2.1391835000000001</v>
      </c>
      <c r="T2266" s="1">
        <v>-5.5926223000000004</v>
      </c>
      <c r="U2266" s="1">
        <v>28.251999999999999</v>
      </c>
      <c r="V2266" s="1">
        <v>101</v>
      </c>
      <c r="W2266" s="1">
        <v>182</v>
      </c>
      <c r="X2266" s="1">
        <v>1.801980198019802</v>
      </c>
      <c r="Y2266" s="1">
        <v>104</v>
      </c>
      <c r="Z2266" s="1">
        <v>182</v>
      </c>
      <c r="AA2266" s="1">
        <v>1.75</v>
      </c>
      <c r="AB2266" s="1">
        <v>105.099608829782</v>
      </c>
      <c r="AC2266" s="1">
        <v>181.42603642055661</v>
      </c>
      <c r="AD2266" s="1">
        <v>1.726229416461406</v>
      </c>
      <c r="AE2266" t="s">
        <v>4817</v>
      </c>
      <c r="AF2266" t="str">
        <f>IF(X2266&lt;$AF$1,"Bajo","Alto")</f>
        <v>Alto</v>
      </c>
      <c r="AG2266" t="str">
        <f>LEFT(AE2266,1)</f>
        <v>C</v>
      </c>
      <c r="AH2266" t="str">
        <f>K2266</f>
        <v>M</v>
      </c>
      <c r="AI2266" t="str">
        <f>LEFT(AF2266,1)</f>
        <v>A</v>
      </c>
      <c r="AJ2266" t="str">
        <f>LEFT(M2266,1)</f>
        <v>J</v>
      </c>
      <c r="AK2266" t="str">
        <f>_xlfn.CONCAT(AG2266,AH2266,AI2266,AJ2266)</f>
        <v>CMAJ</v>
      </c>
    </row>
    <row r="2267" spans="1:37" ht="15.75" hidden="1" customHeight="1" x14ac:dyDescent="0.2">
      <c r="A2267" s="1">
        <v>313404</v>
      </c>
      <c r="B2267" s="1" t="s">
        <v>4122</v>
      </c>
      <c r="C2267" s="1" t="s">
        <v>628</v>
      </c>
      <c r="D2267" s="1" t="s">
        <v>4206</v>
      </c>
      <c r="E2267" s="1" t="s">
        <v>634</v>
      </c>
      <c r="F2267" s="1" t="s">
        <v>61</v>
      </c>
      <c r="G2267" s="1" t="s">
        <v>4208</v>
      </c>
      <c r="H2267" s="1">
        <v>555</v>
      </c>
      <c r="I2267" s="1" t="s">
        <v>45</v>
      </c>
      <c r="J2267" s="1">
        <v>17</v>
      </c>
      <c r="K2267" s="1" t="s">
        <v>35</v>
      </c>
      <c r="L2267" s="1">
        <v>52</v>
      </c>
      <c r="M2267" s="1" t="str">
        <f>IF(L2267&lt;=45,"Joven","Mayor")</f>
        <v>Mayor</v>
      </c>
      <c r="N2267" s="1">
        <v>52</v>
      </c>
      <c r="O2267" s="1" t="s">
        <v>36</v>
      </c>
      <c r="P2267" s="1">
        <v>7.8E-2</v>
      </c>
      <c r="Q2267" s="1">
        <v>93.427999999999997</v>
      </c>
      <c r="R2267" s="1">
        <v>-2.2057606999999999</v>
      </c>
      <c r="S2267" s="1">
        <v>-2.4915395</v>
      </c>
      <c r="T2267" s="1">
        <v>-3.9312904</v>
      </c>
      <c r="U2267" s="1">
        <v>17.783999999999999</v>
      </c>
      <c r="V2267" s="1">
        <v>106</v>
      </c>
      <c r="W2267" s="1">
        <v>184</v>
      </c>
      <c r="X2267" s="1">
        <v>1.7358490566037736</v>
      </c>
      <c r="Y2267" s="1">
        <v>107</v>
      </c>
      <c r="Z2267" s="1">
        <v>184</v>
      </c>
      <c r="AA2267" s="1">
        <v>1.719626168224299</v>
      </c>
      <c r="AB2267" s="1">
        <v>109.2849524944797</v>
      </c>
      <c r="AC2267" s="1">
        <v>183.77272574361359</v>
      </c>
      <c r="AD2267" s="1">
        <v>1.6815922187722641</v>
      </c>
      <c r="AE2267" t="s">
        <v>4817</v>
      </c>
      <c r="AF2267" t="str">
        <f>IF(X2267&lt;$AF$1,"Bajo","Alto")</f>
        <v>Bajo</v>
      </c>
      <c r="AG2267" t="str">
        <f>LEFT(AE2267,1)</f>
        <v>C</v>
      </c>
      <c r="AH2267" t="str">
        <f>K2267</f>
        <v>M</v>
      </c>
      <c r="AI2267" t="str">
        <f>LEFT(AF2267,1)</f>
        <v>B</v>
      </c>
      <c r="AJ2267" t="str">
        <f>LEFT(M2267,1)</f>
        <v>M</v>
      </c>
      <c r="AK2267" t="str">
        <f>_xlfn.CONCAT(AG2267,AH2267,AI2267,AJ2267)</f>
        <v>CMBM</v>
      </c>
    </row>
    <row r="2268" spans="1:37" ht="15.75" hidden="1" customHeight="1" x14ac:dyDescent="0.2">
      <c r="A2268" s="1">
        <v>600108</v>
      </c>
      <c r="B2268" s="1" t="s">
        <v>4700</v>
      </c>
      <c r="C2268" s="1" t="s">
        <v>1458</v>
      </c>
      <c r="D2268" s="1" t="s">
        <v>4701</v>
      </c>
      <c r="E2268" s="1" t="s">
        <v>32</v>
      </c>
      <c r="F2268" s="1" t="s">
        <v>46</v>
      </c>
      <c r="G2268" s="1" t="s">
        <v>4708</v>
      </c>
      <c r="H2268" s="1">
        <v>1684</v>
      </c>
      <c r="I2268" s="1" t="s">
        <v>134</v>
      </c>
      <c r="J2268" s="1">
        <v>8</v>
      </c>
      <c r="K2268" s="1" t="s">
        <v>35</v>
      </c>
      <c r="L2268" s="1">
        <v>50</v>
      </c>
      <c r="M2268" s="1" t="str">
        <f>IF(L2268&lt;=45,"Joven","Mayor")</f>
        <v>Mayor</v>
      </c>
      <c r="N2268" s="1">
        <v>51</v>
      </c>
      <c r="O2268" s="1" t="s">
        <v>36</v>
      </c>
      <c r="P2268" s="1">
        <v>0.14399999999999999</v>
      </c>
      <c r="Q2268" s="1">
        <v>89.09</v>
      </c>
      <c r="R2268" s="1">
        <v>4.6666236000000003</v>
      </c>
      <c r="S2268" s="1">
        <v>8.0705609999999997</v>
      </c>
      <c r="T2268" s="1">
        <v>-8.7403759999999995</v>
      </c>
      <c r="U2268" s="1">
        <v>3.6379999999999999</v>
      </c>
      <c r="V2268" s="1">
        <v>92</v>
      </c>
      <c r="W2268" s="1">
        <v>166</v>
      </c>
      <c r="X2268" s="1">
        <v>1.8043478260869565</v>
      </c>
      <c r="Y2268" s="1">
        <v>98</v>
      </c>
      <c r="Z2268" s="1">
        <v>166</v>
      </c>
      <c r="AA2268" s="1">
        <v>1.6938775510204083</v>
      </c>
      <c r="AB2268" s="1">
        <v>98.377519541826587</v>
      </c>
      <c r="AC2268" s="1">
        <v>165.28790904267859</v>
      </c>
      <c r="AD2268" s="1">
        <v>1.680139017658441</v>
      </c>
      <c r="AE2268" t="s">
        <v>4817</v>
      </c>
      <c r="AF2268" t="str">
        <f>IF(X2268&lt;$AF$1,"Bajo","Alto")</f>
        <v>Alto</v>
      </c>
      <c r="AG2268" t="str">
        <f>LEFT(AE2268,1)</f>
        <v>C</v>
      </c>
      <c r="AH2268" t="str">
        <f>K2268</f>
        <v>M</v>
      </c>
      <c r="AI2268" t="str">
        <f>LEFT(AF2268,1)</f>
        <v>A</v>
      </c>
      <c r="AJ2268" t="str">
        <f>LEFT(M2268,1)</f>
        <v>M</v>
      </c>
      <c r="AK2268" t="str">
        <f>_xlfn.CONCAT(AG2268,AH2268,AI2268,AJ2268)</f>
        <v>CMAM</v>
      </c>
    </row>
    <row r="2269" spans="1:37" ht="15.75" hidden="1" customHeight="1" x14ac:dyDescent="0.2">
      <c r="A2269" s="1">
        <v>1092202</v>
      </c>
      <c r="B2269" s="1" t="s">
        <v>719</v>
      </c>
      <c r="C2269" s="1" t="s">
        <v>98</v>
      </c>
      <c r="D2269" s="1" t="s">
        <v>1593</v>
      </c>
      <c r="E2269" s="1" t="s">
        <v>418</v>
      </c>
      <c r="F2269" s="1" t="s">
        <v>37</v>
      </c>
      <c r="G2269" s="1" t="s">
        <v>1594</v>
      </c>
      <c r="H2269" s="1">
        <v>2131</v>
      </c>
      <c r="I2269" s="1" t="s">
        <v>134</v>
      </c>
      <c r="J2269" s="1">
        <v>8</v>
      </c>
      <c r="K2269" s="1" t="s">
        <v>35</v>
      </c>
      <c r="L2269" s="1">
        <v>55</v>
      </c>
      <c r="M2269" s="1" t="str">
        <f>IF(L2269&lt;=45,"Joven","Mayor")</f>
        <v>Mayor</v>
      </c>
      <c r="N2269" s="1">
        <v>55</v>
      </c>
      <c r="O2269" s="1" t="s">
        <v>36</v>
      </c>
      <c r="P2269" s="1">
        <v>0.58699999999999997</v>
      </c>
      <c r="Q2269" s="1">
        <v>92.52</v>
      </c>
      <c r="R2269" s="1">
        <v>0.26536736</v>
      </c>
      <c r="S2269" s="1">
        <v>8.5863160000000001</v>
      </c>
      <c r="T2269" s="1">
        <v>-0.65026366999999996</v>
      </c>
      <c r="U2269" s="1">
        <v>3.7749999999999999</v>
      </c>
      <c r="V2269" s="1">
        <v>91</v>
      </c>
      <c r="W2269" s="1">
        <v>158</v>
      </c>
      <c r="X2269" s="1">
        <v>1.7362637362637363</v>
      </c>
      <c r="Y2269" s="1">
        <v>91</v>
      </c>
      <c r="Z2269" s="1">
        <v>158</v>
      </c>
      <c r="AA2269" s="1">
        <v>1.7362637362637363</v>
      </c>
      <c r="AB2269" s="1">
        <v>91.459448356740722</v>
      </c>
      <c r="AC2269" s="1">
        <v>157.98982449091321</v>
      </c>
      <c r="AD2269" s="1">
        <v>1.7274303238159547</v>
      </c>
      <c r="AE2269" t="s">
        <v>4817</v>
      </c>
      <c r="AF2269" t="str">
        <f>IF(X2269&lt;$AF$1,"Bajo","Alto")</f>
        <v>Bajo</v>
      </c>
      <c r="AG2269" t="str">
        <f>LEFT(AE2269,1)</f>
        <v>C</v>
      </c>
      <c r="AH2269" t="str">
        <f>K2269</f>
        <v>M</v>
      </c>
      <c r="AI2269" t="str">
        <f>LEFT(AF2269,1)</f>
        <v>B</v>
      </c>
      <c r="AJ2269" t="str">
        <f>LEFT(M2269,1)</f>
        <v>M</v>
      </c>
      <c r="AK2269" t="str">
        <f>_xlfn.CONCAT(AG2269,AH2269,AI2269,AJ2269)</f>
        <v>CMBM</v>
      </c>
    </row>
    <row r="2270" spans="1:37" ht="15.75" hidden="1" customHeight="1" x14ac:dyDescent="0.2">
      <c r="A2270" s="1">
        <v>252203</v>
      </c>
      <c r="B2270" s="1" t="s">
        <v>3169</v>
      </c>
      <c r="C2270" s="1" t="s">
        <v>821</v>
      </c>
      <c r="D2270" s="1" t="s">
        <v>3208</v>
      </c>
      <c r="E2270" s="1" t="s">
        <v>418</v>
      </c>
      <c r="F2270" s="1" t="s">
        <v>63</v>
      </c>
      <c r="G2270" s="1" t="s">
        <v>3211</v>
      </c>
      <c r="H2270" s="1">
        <v>907</v>
      </c>
      <c r="I2270" s="1" t="s">
        <v>91</v>
      </c>
      <c r="J2270" s="1">
        <v>6</v>
      </c>
      <c r="K2270" s="1" t="s">
        <v>35</v>
      </c>
      <c r="L2270" s="1">
        <v>48</v>
      </c>
      <c r="M2270" s="1" t="str">
        <f>IF(L2270&lt;=45,"Joven","Mayor")</f>
        <v>Mayor</v>
      </c>
      <c r="N2270" s="1">
        <v>40</v>
      </c>
      <c r="O2270" s="1" t="s">
        <v>36</v>
      </c>
      <c r="P2270" s="1">
        <v>0.29099999999999998</v>
      </c>
      <c r="Q2270" s="1">
        <v>92.816000000000003</v>
      </c>
      <c r="R2270" s="1">
        <v>-2.3054535</v>
      </c>
      <c r="S2270" s="1">
        <v>4.4045567999999999</v>
      </c>
      <c r="T2270" s="1">
        <v>2.0577652</v>
      </c>
      <c r="U2270" s="1">
        <v>44.222000000000001</v>
      </c>
      <c r="V2270" s="1">
        <v>91</v>
      </c>
      <c r="W2270" s="1">
        <v>158</v>
      </c>
      <c r="X2270" s="1">
        <v>1.7362637362637363</v>
      </c>
      <c r="Y2270" s="1">
        <v>93</v>
      </c>
      <c r="Z2270" s="1">
        <v>158</v>
      </c>
      <c r="AA2270" s="1">
        <v>1.6989247311827957</v>
      </c>
      <c r="AB2270" s="1">
        <v>92.700762985728261</v>
      </c>
      <c r="AC2270" s="1">
        <v>157.96992523692509</v>
      </c>
      <c r="AD2270" s="1">
        <v>1.7040844125656802</v>
      </c>
      <c r="AE2270" t="s">
        <v>4817</v>
      </c>
      <c r="AF2270" t="str">
        <f>IF(X2270&lt;$AF$1,"Bajo","Alto")</f>
        <v>Bajo</v>
      </c>
      <c r="AG2270" t="str">
        <f>LEFT(AE2270,1)</f>
        <v>C</v>
      </c>
      <c r="AH2270" t="str">
        <f>K2270</f>
        <v>M</v>
      </c>
      <c r="AI2270" t="str">
        <f>LEFT(AF2270,1)</f>
        <v>B</v>
      </c>
      <c r="AJ2270" t="str">
        <f>LEFT(M2270,1)</f>
        <v>M</v>
      </c>
      <c r="AK2270" t="str">
        <f>_xlfn.CONCAT(AG2270,AH2270,AI2270,AJ2270)</f>
        <v>CMBM</v>
      </c>
    </row>
    <row r="2271" spans="1:37" ht="15.75" hidden="1" customHeight="1" x14ac:dyDescent="0.2">
      <c r="A2271" s="1">
        <v>255101</v>
      </c>
      <c r="B2271" s="1" t="s">
        <v>3169</v>
      </c>
      <c r="C2271" s="1" t="s">
        <v>821</v>
      </c>
      <c r="D2271" s="1" t="s">
        <v>3262</v>
      </c>
      <c r="E2271" s="1" t="s">
        <v>2743</v>
      </c>
      <c r="F2271" s="1" t="s">
        <v>32</v>
      </c>
      <c r="G2271" s="1" t="s">
        <v>3263</v>
      </c>
      <c r="H2271" s="1">
        <v>38</v>
      </c>
      <c r="I2271" s="1" t="s">
        <v>294</v>
      </c>
      <c r="J2271" s="1">
        <v>16</v>
      </c>
      <c r="K2271" s="1" t="s">
        <v>49</v>
      </c>
      <c r="L2271" s="1">
        <v>47</v>
      </c>
      <c r="M2271" s="1" t="str">
        <f>IF(L2271&lt;=45,"Joven","Mayor")</f>
        <v>Mayor</v>
      </c>
      <c r="N2271" s="1">
        <v>55</v>
      </c>
      <c r="O2271" s="1" t="s">
        <v>50</v>
      </c>
      <c r="P2271" s="1">
        <v>0.38</v>
      </c>
      <c r="Q2271" s="1">
        <v>76.256</v>
      </c>
      <c r="R2271" s="1">
        <v>11.678706</v>
      </c>
      <c r="S2271" s="1">
        <v>0.76914079999999996</v>
      </c>
      <c r="T2271" s="1">
        <v>-11.649388</v>
      </c>
      <c r="U2271" s="1">
        <v>0.79200000000000004</v>
      </c>
      <c r="V2271" s="1">
        <v>83</v>
      </c>
      <c r="W2271" s="1">
        <v>149</v>
      </c>
      <c r="X2271" s="1">
        <v>1.7951807228915662</v>
      </c>
      <c r="Y2271" s="1">
        <v>93</v>
      </c>
      <c r="Z2271" s="1">
        <v>149</v>
      </c>
      <c r="AA2271" s="1">
        <v>1.6021505376344085</v>
      </c>
      <c r="AB2271" s="1">
        <v>90.376829541589132</v>
      </c>
      <c r="AC2271" s="1">
        <v>148.1519768878029</v>
      </c>
      <c r="AD2271" s="1">
        <v>1.6392694636364413</v>
      </c>
      <c r="AE2271" t="s">
        <v>4817</v>
      </c>
      <c r="AF2271" t="str">
        <f>IF(X2271&lt;$AF$1,"Bajo","Alto")</f>
        <v>Alto</v>
      </c>
      <c r="AG2271" t="str">
        <f>LEFT(AE2271,1)</f>
        <v>C</v>
      </c>
      <c r="AH2271" t="str">
        <f>K2271</f>
        <v>F</v>
      </c>
      <c r="AI2271" t="str">
        <f>LEFT(AF2271,1)</f>
        <v>A</v>
      </c>
      <c r="AJ2271" t="str">
        <f>LEFT(M2271,1)</f>
        <v>M</v>
      </c>
      <c r="AK2271" t="str">
        <f>_xlfn.CONCAT(AG2271,AH2271,AI2271,AJ2271)</f>
        <v>CFAM</v>
      </c>
    </row>
    <row r="2272" spans="1:37" ht="15.75" hidden="1" customHeight="1" x14ac:dyDescent="0.2">
      <c r="A2272" s="1">
        <v>10120202</v>
      </c>
      <c r="B2272" s="1" t="s">
        <v>29</v>
      </c>
      <c r="C2272" s="1" t="s">
        <v>30</v>
      </c>
      <c r="D2272" s="1" t="s">
        <v>357</v>
      </c>
      <c r="E2272" s="1" t="s">
        <v>358</v>
      </c>
      <c r="F2272" s="1" t="s">
        <v>37</v>
      </c>
      <c r="G2272" s="1" t="s">
        <v>361</v>
      </c>
      <c r="H2272" s="1">
        <v>1907</v>
      </c>
      <c r="I2272" s="1" t="s">
        <v>362</v>
      </c>
      <c r="J2272" s="1">
        <v>2839</v>
      </c>
      <c r="K2272" s="1" t="s">
        <v>35</v>
      </c>
      <c r="L2272" s="1">
        <v>50</v>
      </c>
      <c r="M2272" s="1" t="str">
        <f>IF(L2272&lt;=45,"Joven","Mayor")</f>
        <v>Mayor</v>
      </c>
      <c r="N2272" s="1">
        <v>46</v>
      </c>
      <c r="O2272" s="1" t="s">
        <v>36</v>
      </c>
      <c r="P2272" s="1">
        <v>0.36399999999999999</v>
      </c>
      <c r="Q2272" s="1">
        <v>94.275000000000006</v>
      </c>
      <c r="R2272" s="1">
        <v>-0.70698519999999998</v>
      </c>
      <c r="S2272" s="1">
        <v>2.1248727000000001</v>
      </c>
      <c r="T2272" s="1">
        <v>-3.3400820000000002</v>
      </c>
      <c r="U2272" s="1">
        <v>1.6319999999999999</v>
      </c>
      <c r="V2272" s="1">
        <v>107</v>
      </c>
      <c r="W2272" s="1">
        <v>193</v>
      </c>
      <c r="X2272" s="1">
        <v>1.8037383177570094</v>
      </c>
      <c r="Y2272" s="1">
        <v>114</v>
      </c>
      <c r="Z2272" s="1">
        <v>193</v>
      </c>
      <c r="AA2272" s="1">
        <v>1.6929824561403508</v>
      </c>
      <c r="AB2272" s="1">
        <v>110.9514901361936</v>
      </c>
      <c r="AC2272" s="1">
        <v>192.84693866294401</v>
      </c>
      <c r="AD2272" s="1">
        <v>1.7381194108003712</v>
      </c>
      <c r="AE2272" t="s">
        <v>4817</v>
      </c>
      <c r="AF2272" t="str">
        <f>IF(X2272&lt;$AF$1,"Bajo","Alto")</f>
        <v>Alto</v>
      </c>
      <c r="AG2272" t="str">
        <f>LEFT(AE2272,1)</f>
        <v>C</v>
      </c>
      <c r="AH2272" t="str">
        <f>K2272</f>
        <v>M</v>
      </c>
      <c r="AI2272" t="str">
        <f>LEFT(AF2272,1)</f>
        <v>A</v>
      </c>
      <c r="AJ2272" t="str">
        <f>LEFT(M2272,1)</f>
        <v>M</v>
      </c>
      <c r="AK2272" t="str">
        <f>_xlfn.CONCAT(AG2272,AH2272,AI2272,AJ2272)</f>
        <v>CMAM</v>
      </c>
    </row>
    <row r="2273" spans="1:37" ht="15.75" hidden="1" customHeight="1" x14ac:dyDescent="0.2">
      <c r="A2273" s="1">
        <v>233801</v>
      </c>
      <c r="B2273" s="1" t="s">
        <v>319</v>
      </c>
      <c r="C2273" s="1" t="s">
        <v>1989</v>
      </c>
      <c r="D2273" s="1" t="s">
        <v>3024</v>
      </c>
      <c r="E2273" s="1" t="s">
        <v>2637</v>
      </c>
      <c r="F2273" s="1" t="s">
        <v>32</v>
      </c>
      <c r="G2273" s="1" t="s">
        <v>3025</v>
      </c>
      <c r="H2273" s="1">
        <v>2800</v>
      </c>
      <c r="I2273" s="1" t="s">
        <v>65</v>
      </c>
      <c r="J2273" s="1">
        <v>2</v>
      </c>
      <c r="K2273" s="1" t="s">
        <v>35</v>
      </c>
      <c r="L2273" s="1">
        <v>62</v>
      </c>
      <c r="M2273" s="1" t="str">
        <f>IF(L2273&lt;=45,"Joven","Mayor")</f>
        <v>Mayor</v>
      </c>
      <c r="N2273" s="1">
        <v>64</v>
      </c>
      <c r="O2273" s="1" t="s">
        <v>36</v>
      </c>
      <c r="P2273" s="1">
        <v>0.63300000000000001</v>
      </c>
      <c r="Q2273" s="1">
        <v>75.882000000000005</v>
      </c>
      <c r="R2273" s="1">
        <v>-11.567114</v>
      </c>
      <c r="S2273" s="1">
        <v>-2.0564553999999999</v>
      </c>
      <c r="T2273" s="1">
        <v>5.6708720000000001</v>
      </c>
      <c r="U2273" s="1">
        <v>21.649000000000001</v>
      </c>
      <c r="V2273" s="1">
        <v>110</v>
      </c>
      <c r="W2273" s="1">
        <v>191</v>
      </c>
      <c r="X2273" s="1">
        <v>1.7363636363636363</v>
      </c>
      <c r="Y2273" s="1">
        <v>118</v>
      </c>
      <c r="Z2273" s="1">
        <v>191</v>
      </c>
      <c r="AA2273" s="1">
        <v>1.6186440677966101</v>
      </c>
      <c r="AB2273" s="1">
        <v>115.1928572070599</v>
      </c>
      <c r="AC2273" s="1">
        <v>191.44862749320049</v>
      </c>
      <c r="AD2273" s="1">
        <v>1.6619834956352402</v>
      </c>
      <c r="AE2273" t="s">
        <v>4817</v>
      </c>
      <c r="AF2273" t="str">
        <f>IF(X2273&lt;$AF$1,"Bajo","Alto")</f>
        <v>Bajo</v>
      </c>
      <c r="AG2273" t="str">
        <f>LEFT(AE2273,1)</f>
        <v>C</v>
      </c>
      <c r="AH2273" t="str">
        <f>K2273</f>
        <v>M</v>
      </c>
      <c r="AI2273" t="str">
        <f>LEFT(AF2273,1)</f>
        <v>B</v>
      </c>
      <c r="AJ2273" t="str">
        <f>LEFT(M2273,1)</f>
        <v>M</v>
      </c>
      <c r="AK2273" t="str">
        <f>_xlfn.CONCAT(AG2273,AH2273,AI2273,AJ2273)</f>
        <v>CMBM</v>
      </c>
    </row>
    <row r="2274" spans="1:37" ht="15.75" hidden="1" customHeight="1" x14ac:dyDescent="0.2">
      <c r="A2274" s="1">
        <v>111601</v>
      </c>
      <c r="B2274" s="1" t="s">
        <v>1648</v>
      </c>
      <c r="C2274" s="1" t="s">
        <v>51</v>
      </c>
      <c r="D2274" s="1" t="s">
        <v>1674</v>
      </c>
      <c r="E2274" s="1" t="s">
        <v>244</v>
      </c>
      <c r="F2274" s="1" t="s">
        <v>32</v>
      </c>
      <c r="G2274" s="1" t="s">
        <v>1675</v>
      </c>
      <c r="H2274" s="1">
        <v>5349</v>
      </c>
      <c r="I2274" s="1" t="s">
        <v>100</v>
      </c>
      <c r="J2274" s="1">
        <v>1</v>
      </c>
      <c r="K2274" s="1" t="s">
        <v>35</v>
      </c>
      <c r="L2274" s="1">
        <v>71</v>
      </c>
      <c r="M2274" s="1" t="str">
        <f>IF(L2274&lt;=45,"Joven","Mayor")</f>
        <v>Mayor</v>
      </c>
      <c r="N2274" s="1">
        <v>75</v>
      </c>
      <c r="O2274" s="1" t="s">
        <v>36</v>
      </c>
      <c r="P2274" s="1">
        <v>0.53700000000000003</v>
      </c>
      <c r="Q2274" s="1">
        <v>88.942999999999998</v>
      </c>
      <c r="R2274" s="1">
        <v>-6.0129349999999997</v>
      </c>
      <c r="S2274" s="1">
        <v>4.3499169999999996</v>
      </c>
      <c r="T2274" s="1">
        <v>8.3770699999999998</v>
      </c>
      <c r="U2274" s="1">
        <v>0.81699999999999995</v>
      </c>
      <c r="V2274" s="1">
        <v>95</v>
      </c>
      <c r="W2274" s="1">
        <v>165</v>
      </c>
      <c r="X2274" s="1">
        <v>1.736842105263158</v>
      </c>
      <c r="Y2274" s="1">
        <v>99</v>
      </c>
      <c r="Z2274" s="1">
        <v>165</v>
      </c>
      <c r="AA2274" s="1">
        <v>1.6666666666666667</v>
      </c>
      <c r="AB2274" s="1">
        <v>101.5621476102074</v>
      </c>
      <c r="AC2274" s="1">
        <v>164.2593780068228</v>
      </c>
      <c r="AD2274" s="1">
        <v>1.6173287181484737</v>
      </c>
      <c r="AE2274" t="s">
        <v>4817</v>
      </c>
      <c r="AF2274" t="str">
        <f>IF(X2274&lt;$AF$1,"Bajo","Alto")</f>
        <v>Bajo</v>
      </c>
      <c r="AG2274" t="str">
        <f>LEFT(AE2274,1)</f>
        <v>C</v>
      </c>
      <c r="AH2274" t="str">
        <f>K2274</f>
        <v>M</v>
      </c>
      <c r="AI2274" t="str">
        <f>LEFT(AF2274,1)</f>
        <v>B</v>
      </c>
      <c r="AJ2274" t="str">
        <f>LEFT(M2274,1)</f>
        <v>M</v>
      </c>
      <c r="AK2274" t="str">
        <f>_xlfn.CONCAT(AG2274,AH2274,AI2274,AJ2274)</f>
        <v>CMBM</v>
      </c>
    </row>
    <row r="2275" spans="1:37" ht="15.75" hidden="1" customHeight="1" x14ac:dyDescent="0.2">
      <c r="A2275" s="1">
        <v>1511505</v>
      </c>
      <c r="B2275" s="1" t="s">
        <v>2077</v>
      </c>
      <c r="C2275" s="1" t="s">
        <v>57</v>
      </c>
      <c r="D2275" s="1" t="s">
        <v>2123</v>
      </c>
      <c r="E2275" s="1" t="s">
        <v>112</v>
      </c>
      <c r="F2275" s="1" t="s">
        <v>40</v>
      </c>
      <c r="G2275" s="1" t="s">
        <v>2125</v>
      </c>
      <c r="H2275" s="1">
        <v>773</v>
      </c>
      <c r="I2275" s="1" t="s">
        <v>134</v>
      </c>
      <c r="J2275" s="1">
        <v>8</v>
      </c>
      <c r="K2275" s="1" t="s">
        <v>35</v>
      </c>
      <c r="L2275" s="1">
        <v>56</v>
      </c>
      <c r="M2275" s="1" t="str">
        <f>IF(L2275&lt;=45,"Joven","Mayor")</f>
        <v>Mayor</v>
      </c>
      <c r="N2275" s="1">
        <v>62</v>
      </c>
      <c r="O2275" s="1" t="s">
        <v>36</v>
      </c>
      <c r="P2275" s="1">
        <v>0.35799999999999998</v>
      </c>
      <c r="Q2275" s="1">
        <v>93.158000000000001</v>
      </c>
      <c r="R2275" s="1">
        <v>-0.62668776999999998</v>
      </c>
      <c r="S2275" s="1">
        <v>6.5946860000000003</v>
      </c>
      <c r="T2275" s="1">
        <v>-2.2559016000000001</v>
      </c>
      <c r="U2275" s="1">
        <v>4.3609999999999998</v>
      </c>
      <c r="V2275" s="1">
        <v>103</v>
      </c>
      <c r="W2275" s="1">
        <v>179</v>
      </c>
      <c r="X2275" s="1">
        <v>1.7378640776699028</v>
      </c>
      <c r="Y2275" s="1">
        <v>107</v>
      </c>
      <c r="Z2275" s="1">
        <v>179</v>
      </c>
      <c r="AA2275" s="1">
        <v>1.6728971962616823</v>
      </c>
      <c r="AB2275" s="1">
        <v>105.1457503862016</v>
      </c>
      <c r="AC2275" s="1">
        <v>179.0580863809819</v>
      </c>
      <c r="AD2275" s="1">
        <v>1.7029512436146912</v>
      </c>
      <c r="AE2275" t="s">
        <v>4817</v>
      </c>
      <c r="AF2275" t="str">
        <f>IF(X2275&lt;$AF$1,"Bajo","Alto")</f>
        <v>Bajo</v>
      </c>
      <c r="AG2275" t="str">
        <f>LEFT(AE2275,1)</f>
        <v>C</v>
      </c>
      <c r="AH2275" t="str">
        <f>K2275</f>
        <v>M</v>
      </c>
      <c r="AI2275" t="str">
        <f>LEFT(AF2275,1)</f>
        <v>B</v>
      </c>
      <c r="AJ2275" t="str">
        <f>LEFT(M2275,1)</f>
        <v>M</v>
      </c>
      <c r="AK2275" t="str">
        <f>_xlfn.CONCAT(AG2275,AH2275,AI2275,AJ2275)</f>
        <v>CMBM</v>
      </c>
    </row>
    <row r="2276" spans="1:37" ht="15.75" hidden="1" customHeight="1" x14ac:dyDescent="0.2">
      <c r="A2276" s="1">
        <v>2718701</v>
      </c>
      <c r="B2276" s="1" t="s">
        <v>3409</v>
      </c>
      <c r="C2276" s="1" t="s">
        <v>973</v>
      </c>
      <c r="D2276" s="1" t="s">
        <v>3586</v>
      </c>
      <c r="E2276" s="1" t="s">
        <v>316</v>
      </c>
      <c r="F2276" s="1" t="s">
        <v>32</v>
      </c>
      <c r="G2276" s="1" t="s">
        <v>3587</v>
      </c>
      <c r="H2276" s="1">
        <v>3</v>
      </c>
      <c r="I2276" s="1" t="s">
        <v>100</v>
      </c>
      <c r="J2276" s="1">
        <v>1</v>
      </c>
      <c r="K2276" s="1" t="s">
        <v>35</v>
      </c>
      <c r="L2276" s="1">
        <v>86</v>
      </c>
      <c r="M2276" s="1" t="str">
        <f>IF(L2276&lt;=45,"Joven","Mayor")</f>
        <v>Mayor</v>
      </c>
      <c r="N2276" s="1">
        <v>77</v>
      </c>
      <c r="O2276" s="1" t="s">
        <v>36</v>
      </c>
      <c r="P2276" s="1">
        <v>0.379</v>
      </c>
      <c r="Q2276" s="1">
        <v>92.906999999999996</v>
      </c>
      <c r="R2276" s="1">
        <v>0.92699489999999996</v>
      </c>
      <c r="S2276" s="1">
        <v>6.8000249999999998</v>
      </c>
      <c r="T2276" s="1">
        <v>2.6278975</v>
      </c>
      <c r="U2276" s="1">
        <v>4.7869999999999999</v>
      </c>
      <c r="V2276" s="1">
        <v>112</v>
      </c>
      <c r="W2276" s="1">
        <v>202</v>
      </c>
      <c r="X2276" s="1">
        <v>1.8035714285714286</v>
      </c>
      <c r="Y2276" s="1">
        <v>123</v>
      </c>
      <c r="Z2276" s="1">
        <v>202</v>
      </c>
      <c r="AA2276" s="1">
        <v>1.6422764227642277</v>
      </c>
      <c r="AB2276" s="1">
        <v>120.6698783039344</v>
      </c>
      <c r="AC2276" s="1">
        <v>202.29191275816669</v>
      </c>
      <c r="AD2276" s="1">
        <v>1.6764076967795454</v>
      </c>
      <c r="AE2276" t="s">
        <v>4817</v>
      </c>
      <c r="AF2276" t="str">
        <f>IF(X2276&lt;$AF$1,"Bajo","Alto")</f>
        <v>Alto</v>
      </c>
      <c r="AG2276" t="str">
        <f>LEFT(AE2276,1)</f>
        <v>C</v>
      </c>
      <c r="AH2276" t="str">
        <f>K2276</f>
        <v>M</v>
      </c>
      <c r="AI2276" t="str">
        <f>LEFT(AF2276,1)</f>
        <v>A</v>
      </c>
      <c r="AJ2276" t="str">
        <f>LEFT(M2276,1)</f>
        <v>M</v>
      </c>
      <c r="AK2276" t="str">
        <f>_xlfn.CONCAT(AG2276,AH2276,AI2276,AJ2276)</f>
        <v>CMAM</v>
      </c>
    </row>
    <row r="2277" spans="1:37" ht="15.75" hidden="1" customHeight="1" x14ac:dyDescent="0.2">
      <c r="A2277" s="1">
        <v>2911505</v>
      </c>
      <c r="B2277" s="1" t="s">
        <v>3890</v>
      </c>
      <c r="C2277" s="1" t="s">
        <v>1695</v>
      </c>
      <c r="D2277" s="1" t="s">
        <v>1779</v>
      </c>
      <c r="E2277" s="1" t="s">
        <v>112</v>
      </c>
      <c r="F2277" s="1" t="s">
        <v>40</v>
      </c>
      <c r="G2277" s="1" t="s">
        <v>3948</v>
      </c>
      <c r="H2277" s="1">
        <v>512</v>
      </c>
      <c r="I2277" s="1" t="s">
        <v>3949</v>
      </c>
      <c r="J2277" s="1">
        <v>2465</v>
      </c>
      <c r="K2277" s="1" t="s">
        <v>35</v>
      </c>
      <c r="L2277" s="1">
        <v>48</v>
      </c>
      <c r="M2277" s="1" t="str">
        <f>IF(L2277&lt;=45,"Joven","Mayor")</f>
        <v>Mayor</v>
      </c>
      <c r="N2277" s="1">
        <v>52</v>
      </c>
      <c r="O2277" s="1" t="s">
        <v>36</v>
      </c>
      <c r="P2277" s="1">
        <v>0.32900000000000001</v>
      </c>
      <c r="Q2277" s="1">
        <v>88.141000000000005</v>
      </c>
      <c r="R2277" s="1">
        <v>7.2902035999999999</v>
      </c>
      <c r="S2277" s="1">
        <v>-1.2276965</v>
      </c>
      <c r="T2277" s="1">
        <v>-7.5704419999999999</v>
      </c>
      <c r="U2277" s="1">
        <v>2.4609999999999999</v>
      </c>
      <c r="V2277" s="1">
        <v>84</v>
      </c>
      <c r="W2277" s="1">
        <v>146</v>
      </c>
      <c r="X2277" s="1">
        <v>1.7380952380952381</v>
      </c>
      <c r="Y2277" s="1">
        <v>87</v>
      </c>
      <c r="Z2277" s="1">
        <v>146</v>
      </c>
      <c r="AA2277" s="1">
        <v>1.6781609195402298</v>
      </c>
      <c r="AB2277" s="1">
        <v>88.932861399395733</v>
      </c>
      <c r="AC2277" s="1">
        <v>145.38613615473611</v>
      </c>
      <c r="AD2277" s="1">
        <v>1.6347853185765588</v>
      </c>
      <c r="AE2277" t="s">
        <v>4817</v>
      </c>
      <c r="AF2277" t="str">
        <f>IF(X2277&lt;$AF$1,"Bajo","Alto")</f>
        <v>Bajo</v>
      </c>
      <c r="AG2277" t="str">
        <f>LEFT(AE2277,1)</f>
        <v>C</v>
      </c>
      <c r="AH2277" t="str">
        <f>K2277</f>
        <v>M</v>
      </c>
      <c r="AI2277" t="str">
        <f>LEFT(AF2277,1)</f>
        <v>B</v>
      </c>
      <c r="AJ2277" t="str">
        <f>LEFT(M2277,1)</f>
        <v>M</v>
      </c>
      <c r="AK2277" t="str">
        <f>_xlfn.CONCAT(AG2277,AH2277,AI2277,AJ2277)</f>
        <v>CMBM</v>
      </c>
    </row>
    <row r="2278" spans="1:37" ht="15.75" hidden="1" customHeight="1" x14ac:dyDescent="0.2">
      <c r="A2278" s="1">
        <v>279403</v>
      </c>
      <c r="B2278" s="1" t="s">
        <v>3409</v>
      </c>
      <c r="C2278" s="1" t="s">
        <v>973</v>
      </c>
      <c r="D2278" s="1" t="s">
        <v>3760</v>
      </c>
      <c r="E2278" s="1" t="s">
        <v>775</v>
      </c>
      <c r="F2278" s="1" t="s">
        <v>63</v>
      </c>
      <c r="G2278" s="1" t="s">
        <v>3763</v>
      </c>
      <c r="H2278" s="1">
        <v>92</v>
      </c>
      <c r="I2278" s="1" t="s">
        <v>42</v>
      </c>
      <c r="J2278" s="1">
        <v>15</v>
      </c>
      <c r="K2278" s="1" t="s">
        <v>49</v>
      </c>
      <c r="L2278" s="1">
        <v>46</v>
      </c>
      <c r="M2278" s="1" t="str">
        <f>IF(L2278&lt;=45,"Joven","Mayor")</f>
        <v>Mayor</v>
      </c>
      <c r="N2278" s="1">
        <v>59</v>
      </c>
      <c r="O2278" s="1" t="s">
        <v>50</v>
      </c>
      <c r="P2278" s="1">
        <v>1.204</v>
      </c>
      <c r="Q2278" s="1">
        <v>90.323999999999998</v>
      </c>
      <c r="R2278" s="1">
        <v>-4.1174520000000001</v>
      </c>
      <c r="S2278" s="1">
        <v>6.1094270000000002</v>
      </c>
      <c r="T2278" s="1">
        <v>-1.6377946000000001</v>
      </c>
      <c r="U2278" s="1">
        <v>2.2280000000000002</v>
      </c>
      <c r="V2278" s="1">
        <v>92</v>
      </c>
      <c r="W2278" s="1">
        <v>165</v>
      </c>
      <c r="X2278" s="1">
        <v>1.7934782608695652</v>
      </c>
      <c r="Y2278" s="1">
        <v>94</v>
      </c>
      <c r="Z2278" s="1">
        <v>165</v>
      </c>
      <c r="AA2278" s="1">
        <v>1.7553191489361701</v>
      </c>
      <c r="AB2278" s="1">
        <v>93.219980785779626</v>
      </c>
      <c r="AC2278" s="1">
        <v>165.2755662766908</v>
      </c>
      <c r="AD2278" s="1">
        <v>1.7729628871786143</v>
      </c>
      <c r="AE2278" t="s">
        <v>4817</v>
      </c>
      <c r="AF2278" t="str">
        <f>IF(X2278&lt;$AF$1,"Bajo","Alto")</f>
        <v>Alto</v>
      </c>
      <c r="AG2278" t="str">
        <f>LEFT(AE2278,1)</f>
        <v>C</v>
      </c>
      <c r="AH2278" t="str">
        <f>K2278</f>
        <v>F</v>
      </c>
      <c r="AI2278" t="str">
        <f>LEFT(AF2278,1)</f>
        <v>A</v>
      </c>
      <c r="AJ2278" t="str">
        <f>LEFT(M2278,1)</f>
        <v>M</v>
      </c>
      <c r="AK2278" t="str">
        <f>_xlfn.CONCAT(AG2278,AH2278,AI2278,AJ2278)</f>
        <v>CFAM</v>
      </c>
    </row>
    <row r="2279" spans="1:37" ht="15.75" hidden="1" customHeight="1" x14ac:dyDescent="0.2">
      <c r="A2279" s="1">
        <v>153102</v>
      </c>
      <c r="B2279" s="1" t="s">
        <v>2077</v>
      </c>
      <c r="C2279" s="1" t="s">
        <v>57</v>
      </c>
      <c r="D2279" s="1" t="s">
        <v>2392</v>
      </c>
      <c r="E2279" s="1" t="s">
        <v>628</v>
      </c>
      <c r="F2279" s="1" t="s">
        <v>37</v>
      </c>
      <c r="G2279" s="1" t="s">
        <v>2393</v>
      </c>
      <c r="H2279" s="1">
        <v>9308</v>
      </c>
      <c r="I2279" s="1" t="s">
        <v>2394</v>
      </c>
      <c r="J2279" s="1">
        <v>1482</v>
      </c>
      <c r="K2279" s="1" t="s">
        <v>49</v>
      </c>
      <c r="L2279" s="1">
        <v>56</v>
      </c>
      <c r="M2279" s="1" t="str">
        <f>IF(L2279&lt;=45,"Joven","Mayor")</f>
        <v>Mayor</v>
      </c>
      <c r="N2279" s="1">
        <v>53</v>
      </c>
      <c r="O2279" s="1" t="s">
        <v>50</v>
      </c>
      <c r="P2279" s="1">
        <v>0.90100000000000002</v>
      </c>
      <c r="Q2279" s="1">
        <v>88.652000000000001</v>
      </c>
      <c r="R2279" s="1">
        <v>4.4238590000000002</v>
      </c>
      <c r="S2279" s="1">
        <v>8.8111929999999994</v>
      </c>
      <c r="T2279" s="1">
        <v>0.65070609999999995</v>
      </c>
      <c r="U2279" s="1">
        <v>6.734</v>
      </c>
      <c r="V2279" s="1">
        <v>72</v>
      </c>
      <c r="W2279" s="1">
        <v>124</v>
      </c>
      <c r="X2279" s="1">
        <v>1.7222222222222223</v>
      </c>
      <c r="Y2279" s="1">
        <v>76</v>
      </c>
      <c r="Z2279" s="1">
        <v>124</v>
      </c>
      <c r="AA2279" s="1">
        <v>1.631578947368421</v>
      </c>
      <c r="AB2279" s="1">
        <v>75.63168375608825</v>
      </c>
      <c r="AC2279" s="1">
        <v>124.06014360556949</v>
      </c>
      <c r="AD2279" s="1">
        <v>1.6403197369724407</v>
      </c>
      <c r="AE2279" t="s">
        <v>4817</v>
      </c>
      <c r="AF2279" t="str">
        <f>IF(X2279&lt;$AF$1,"Bajo","Alto")</f>
        <v>Bajo</v>
      </c>
      <c r="AG2279" t="str">
        <f>LEFT(AE2279,1)</f>
        <v>C</v>
      </c>
      <c r="AH2279" t="str">
        <f>K2279</f>
        <v>F</v>
      </c>
      <c r="AI2279" t="str">
        <f>LEFT(AF2279,1)</f>
        <v>B</v>
      </c>
      <c r="AJ2279" t="str">
        <f>LEFT(M2279,1)</f>
        <v>M</v>
      </c>
      <c r="AK2279" t="str">
        <f>_xlfn.CONCAT(AG2279,AH2279,AI2279,AJ2279)</f>
        <v>CFBM</v>
      </c>
    </row>
    <row r="2280" spans="1:37" ht="15.75" hidden="1" customHeight="1" x14ac:dyDescent="0.2">
      <c r="A2280" s="1">
        <v>291903</v>
      </c>
      <c r="B2280" s="1" t="s">
        <v>3890</v>
      </c>
      <c r="C2280" s="1" t="s">
        <v>1695</v>
      </c>
      <c r="D2280" s="1" t="s">
        <v>3971</v>
      </c>
      <c r="E2280" s="1" t="s">
        <v>323</v>
      </c>
      <c r="F2280" s="1" t="s">
        <v>63</v>
      </c>
      <c r="G2280" s="1" t="s">
        <v>3973</v>
      </c>
      <c r="H2280" s="1">
        <v>881</v>
      </c>
      <c r="I2280" s="1" t="s">
        <v>73</v>
      </c>
      <c r="J2280" s="1">
        <v>5</v>
      </c>
      <c r="K2280" s="1" t="s">
        <v>35</v>
      </c>
      <c r="L2280" s="1">
        <v>51</v>
      </c>
      <c r="M2280" s="1" t="str">
        <f>IF(L2280&lt;=45,"Joven","Mayor")</f>
        <v>Mayor</v>
      </c>
      <c r="N2280" s="1">
        <v>55</v>
      </c>
      <c r="O2280" s="1" t="s">
        <v>36</v>
      </c>
      <c r="P2280" s="1">
        <v>0.34899999999999998</v>
      </c>
      <c r="Q2280" s="1">
        <v>26.474</v>
      </c>
      <c r="R2280" s="1">
        <v>18.916649</v>
      </c>
      <c r="S2280" s="1">
        <v>-3.0390722999999999</v>
      </c>
      <c r="T2280" s="1">
        <v>-12.049155000000001</v>
      </c>
      <c r="U2280" s="1">
        <v>8.2620000000000005</v>
      </c>
      <c r="V2280" s="1">
        <v>88</v>
      </c>
      <c r="W2280" s="1">
        <v>153</v>
      </c>
      <c r="X2280" s="1">
        <v>1.7386363636363635</v>
      </c>
      <c r="Y2280" s="1">
        <v>101</v>
      </c>
      <c r="Z2280" s="1">
        <v>153</v>
      </c>
      <c r="AA2280" s="1">
        <v>1.5148514851485149</v>
      </c>
      <c r="AB2280" s="1">
        <v>97.751304413492107</v>
      </c>
      <c r="AC2280" s="1">
        <v>153.38675119299211</v>
      </c>
      <c r="AD2280" s="1">
        <v>1.5691529858687074</v>
      </c>
      <c r="AE2280" t="s">
        <v>4817</v>
      </c>
      <c r="AF2280" t="str">
        <f>IF(X2280&lt;$AF$1,"Bajo","Alto")</f>
        <v>Bajo</v>
      </c>
      <c r="AG2280" t="str">
        <f>LEFT(AE2280,1)</f>
        <v>C</v>
      </c>
      <c r="AH2280" t="str">
        <f>K2280</f>
        <v>M</v>
      </c>
      <c r="AI2280" t="str">
        <f>LEFT(AF2280,1)</f>
        <v>B</v>
      </c>
      <c r="AJ2280" t="str">
        <f>LEFT(M2280,1)</f>
        <v>M</v>
      </c>
      <c r="AK2280" t="str">
        <f>_xlfn.CONCAT(AG2280,AH2280,AI2280,AJ2280)</f>
        <v>CMBM</v>
      </c>
    </row>
    <row r="2281" spans="1:37" ht="15.75" hidden="1" customHeight="1" x14ac:dyDescent="0.2">
      <c r="A2281" s="1">
        <v>2312001</v>
      </c>
      <c r="B2281" s="1" t="s">
        <v>319</v>
      </c>
      <c r="C2281" s="1" t="s">
        <v>1989</v>
      </c>
      <c r="D2281" s="1" t="s">
        <v>2261</v>
      </c>
      <c r="E2281" s="1" t="s">
        <v>1564</v>
      </c>
      <c r="F2281" s="1" t="s">
        <v>32</v>
      </c>
      <c r="G2281" s="1" t="s">
        <v>2948</v>
      </c>
      <c r="H2281" s="1">
        <v>45</v>
      </c>
      <c r="I2281" s="1" t="s">
        <v>100</v>
      </c>
      <c r="J2281" s="1">
        <v>1</v>
      </c>
      <c r="K2281" s="1" t="s">
        <v>35</v>
      </c>
      <c r="L2281" s="1">
        <v>24</v>
      </c>
      <c r="M2281" s="1" t="str">
        <f>IF(L2281&lt;=45,"Joven","Mayor")</f>
        <v>Joven</v>
      </c>
      <c r="N2281" s="1">
        <v>29</v>
      </c>
      <c r="O2281" s="1" t="s">
        <v>36</v>
      </c>
      <c r="P2281" s="1">
        <v>0.36799999999999999</v>
      </c>
      <c r="Q2281" s="1">
        <v>84.325000000000003</v>
      </c>
      <c r="R2281" s="1">
        <v>6.9630619999999999</v>
      </c>
      <c r="S2281" s="1">
        <v>9.4115505000000006</v>
      </c>
      <c r="T2281" s="1">
        <v>-1.9530921000000001</v>
      </c>
      <c r="U2281" s="1">
        <v>0.755</v>
      </c>
      <c r="V2281" s="1">
        <v>111</v>
      </c>
      <c r="W2281" s="1">
        <v>200</v>
      </c>
      <c r="X2281" s="1">
        <v>1.8018018018018018</v>
      </c>
      <c r="Y2281" s="1">
        <v>111</v>
      </c>
      <c r="Z2281" s="1">
        <v>200</v>
      </c>
      <c r="AA2281" s="1">
        <v>1.8018018018018018</v>
      </c>
      <c r="AB2281" s="1">
        <v>112.707743026793</v>
      </c>
      <c r="AC2281" s="1">
        <v>199.9860567018122</v>
      </c>
      <c r="AD2281" s="1">
        <v>1.7743772639850601</v>
      </c>
      <c r="AE2281" t="s">
        <v>4817</v>
      </c>
      <c r="AF2281" t="str">
        <f>IF(X2281&lt;$AF$1,"Bajo","Alto")</f>
        <v>Alto</v>
      </c>
      <c r="AG2281" t="str">
        <f>LEFT(AE2281,1)</f>
        <v>C</v>
      </c>
      <c r="AH2281" t="str">
        <f>K2281</f>
        <v>M</v>
      </c>
      <c r="AI2281" t="str">
        <f>LEFT(AF2281,1)</f>
        <v>A</v>
      </c>
      <c r="AJ2281" t="str">
        <f>LEFT(M2281,1)</f>
        <v>J</v>
      </c>
      <c r="AK2281" t="str">
        <f>_xlfn.CONCAT(AG2281,AH2281,AI2281,AJ2281)</f>
        <v>CMAJ</v>
      </c>
    </row>
    <row r="2282" spans="1:37" ht="15.75" hidden="1" customHeight="1" x14ac:dyDescent="0.2">
      <c r="A2282" s="1">
        <v>1290004</v>
      </c>
      <c r="B2282" s="1" t="s">
        <v>1798</v>
      </c>
      <c r="C2282" s="1" t="s">
        <v>54</v>
      </c>
      <c r="D2282" s="1" t="s">
        <v>1942</v>
      </c>
      <c r="E2282" s="1" t="s">
        <v>1943</v>
      </c>
      <c r="F2282" s="1" t="s">
        <v>61</v>
      </c>
      <c r="G2282" s="1" t="s">
        <v>1947</v>
      </c>
      <c r="H2282" s="1">
        <v>3180</v>
      </c>
      <c r="I2282" s="1" t="s">
        <v>1948</v>
      </c>
      <c r="J2282" s="1">
        <v>3571</v>
      </c>
      <c r="K2282" s="1" t="s">
        <v>35</v>
      </c>
      <c r="L2282" s="1">
        <v>39</v>
      </c>
      <c r="M2282" s="1" t="str">
        <f>IF(L2282&lt;=45,"Joven","Mayor")</f>
        <v>Joven</v>
      </c>
      <c r="N2282" s="1">
        <v>47</v>
      </c>
      <c r="O2282" s="1" t="s">
        <v>36</v>
      </c>
      <c r="P2282" s="1">
        <v>1.6519999999999999</v>
      </c>
      <c r="Q2282" s="1">
        <v>79.852999999999994</v>
      </c>
      <c r="R2282" s="1">
        <v>-10.4040365</v>
      </c>
      <c r="S2282" s="1">
        <v>1.3750015</v>
      </c>
      <c r="T2282" s="1">
        <v>6.15632</v>
      </c>
      <c r="U2282" s="1">
        <v>24.103999999999999</v>
      </c>
      <c r="V2282" s="1">
        <v>94</v>
      </c>
      <c r="W2282" s="1">
        <v>164</v>
      </c>
      <c r="X2282" s="1">
        <v>1.7446808510638299</v>
      </c>
      <c r="Y2282" s="1">
        <v>99</v>
      </c>
      <c r="Z2282" s="1">
        <v>164</v>
      </c>
      <c r="AA2282" s="1">
        <v>1.6565656565656566</v>
      </c>
      <c r="AB2282" s="1">
        <v>97.533076985692333</v>
      </c>
      <c r="AC2282" s="1">
        <v>163.26869639494731</v>
      </c>
      <c r="AD2282" s="1">
        <v>1.6739828316797398</v>
      </c>
      <c r="AE2282" t="s">
        <v>4817</v>
      </c>
      <c r="AF2282" t="str">
        <f>IF(X2282&lt;$AF$1,"Bajo","Alto")</f>
        <v>Bajo</v>
      </c>
      <c r="AG2282" t="str">
        <f>LEFT(AE2282,1)</f>
        <v>C</v>
      </c>
      <c r="AH2282" t="str">
        <f>K2282</f>
        <v>M</v>
      </c>
      <c r="AI2282" t="str">
        <f>LEFT(AF2282,1)</f>
        <v>B</v>
      </c>
      <c r="AJ2282" t="str">
        <f>LEFT(M2282,1)</f>
        <v>J</v>
      </c>
      <c r="AK2282" t="str">
        <f>_xlfn.CONCAT(AG2282,AH2282,AI2282,AJ2282)</f>
        <v>CMBJ</v>
      </c>
    </row>
    <row r="2283" spans="1:37" ht="15.75" hidden="1" customHeight="1" x14ac:dyDescent="0.2">
      <c r="A2283" s="1">
        <v>10727701</v>
      </c>
      <c r="B2283" s="1" t="s">
        <v>1067</v>
      </c>
      <c r="C2283" s="1" t="s">
        <v>1068</v>
      </c>
      <c r="D2283" s="1" t="s">
        <v>1326</v>
      </c>
      <c r="E2283" s="1" t="s">
        <v>550</v>
      </c>
      <c r="F2283" s="1" t="s">
        <v>32</v>
      </c>
      <c r="G2283" s="1" t="s">
        <v>1327</v>
      </c>
      <c r="H2283" s="1">
        <v>552</v>
      </c>
      <c r="I2283" s="1" t="s">
        <v>100</v>
      </c>
      <c r="J2283" s="1">
        <v>1</v>
      </c>
      <c r="K2283" s="1" t="s">
        <v>35</v>
      </c>
      <c r="L2283" s="1">
        <v>52</v>
      </c>
      <c r="M2283" s="1" t="str">
        <f>IF(L2283&lt;=45,"Joven","Mayor")</f>
        <v>Mayor</v>
      </c>
      <c r="N2283" s="1">
        <v>50</v>
      </c>
      <c r="O2283" s="1" t="s">
        <v>36</v>
      </c>
      <c r="P2283" s="1">
        <v>0.34300000000000003</v>
      </c>
      <c r="Q2283" s="1">
        <v>83.73</v>
      </c>
      <c r="R2283" s="1">
        <v>9.2800229999999999</v>
      </c>
      <c r="S2283" s="1">
        <v>1.7365773</v>
      </c>
      <c r="T2283" s="1">
        <v>-8.2217490000000009</v>
      </c>
      <c r="U2283" s="1">
        <v>7.27</v>
      </c>
      <c r="V2283" s="1">
        <v>71</v>
      </c>
      <c r="W2283" s="1">
        <v>128</v>
      </c>
      <c r="X2283" s="1">
        <v>1.8028169014084507</v>
      </c>
      <c r="Y2283" s="1">
        <v>74</v>
      </c>
      <c r="Z2283" s="1">
        <v>128</v>
      </c>
      <c r="AA2283" s="1">
        <v>1.7297297297297298</v>
      </c>
      <c r="AB2283" s="1">
        <v>75.704439438598683</v>
      </c>
      <c r="AC2283" s="1">
        <v>127.82845548621751</v>
      </c>
      <c r="AD2283" s="1">
        <v>1.6885199393081149</v>
      </c>
      <c r="AE2283" t="s">
        <v>4817</v>
      </c>
      <c r="AF2283" t="str">
        <f>IF(X2283&lt;$AF$1,"Bajo","Alto")</f>
        <v>Alto</v>
      </c>
      <c r="AG2283" t="str">
        <f>LEFT(AE2283,1)</f>
        <v>C</v>
      </c>
      <c r="AH2283" t="str">
        <f>K2283</f>
        <v>M</v>
      </c>
      <c r="AI2283" t="str">
        <f>LEFT(AF2283,1)</f>
        <v>A</v>
      </c>
      <c r="AJ2283" t="str">
        <f>LEFT(M2283,1)</f>
        <v>M</v>
      </c>
      <c r="AK2283" t="str">
        <f>_xlfn.CONCAT(AG2283,AH2283,AI2283,AJ2283)</f>
        <v>CMAM</v>
      </c>
    </row>
    <row r="2284" spans="1:37" ht="15.75" hidden="1" customHeight="1" x14ac:dyDescent="0.2">
      <c r="A2284" s="1">
        <v>1015803</v>
      </c>
      <c r="B2284" s="1" t="s">
        <v>29</v>
      </c>
      <c r="C2284" s="1" t="s">
        <v>30</v>
      </c>
      <c r="D2284" s="1" t="s">
        <v>694</v>
      </c>
      <c r="E2284" s="1" t="s">
        <v>695</v>
      </c>
      <c r="F2284" s="1" t="s">
        <v>63</v>
      </c>
      <c r="G2284" s="1" t="s">
        <v>697</v>
      </c>
      <c r="H2284" s="1">
        <v>425</v>
      </c>
      <c r="I2284" s="1" t="s">
        <v>91</v>
      </c>
      <c r="J2284" s="1">
        <v>6</v>
      </c>
      <c r="K2284" s="1" t="s">
        <v>35</v>
      </c>
      <c r="L2284" s="1">
        <v>49</v>
      </c>
      <c r="M2284" s="1" t="str">
        <f>IF(L2284&lt;=45,"Joven","Mayor")</f>
        <v>Mayor</v>
      </c>
      <c r="N2284" s="1">
        <v>48</v>
      </c>
      <c r="O2284" s="1" t="s">
        <v>36</v>
      </c>
      <c r="P2284" s="1">
        <v>0.82599999999999996</v>
      </c>
      <c r="Q2284" s="1">
        <v>88.998999999999995</v>
      </c>
      <c r="R2284" s="1">
        <v>-5.556146</v>
      </c>
      <c r="S2284" s="1">
        <v>5.4477989999999998</v>
      </c>
      <c r="T2284" s="1">
        <v>3.3120346000000001</v>
      </c>
      <c r="U2284" s="1">
        <v>5.282</v>
      </c>
      <c r="V2284" s="1">
        <v>91</v>
      </c>
      <c r="W2284" s="1">
        <v>164</v>
      </c>
      <c r="X2284" s="1">
        <v>1.8021978021978022</v>
      </c>
      <c r="Y2284" s="1">
        <v>98</v>
      </c>
      <c r="Z2284" s="1">
        <v>164</v>
      </c>
      <c r="AA2284" s="1">
        <v>1.6734693877551021</v>
      </c>
      <c r="AB2284" s="1">
        <v>95.987551892160809</v>
      </c>
      <c r="AC2284" s="1">
        <v>164.4771297685634</v>
      </c>
      <c r="AD2284" s="1">
        <v>1.7135256241699821</v>
      </c>
      <c r="AE2284" t="s">
        <v>4817</v>
      </c>
      <c r="AF2284" t="str">
        <f>IF(X2284&lt;$AF$1,"Bajo","Alto")</f>
        <v>Alto</v>
      </c>
      <c r="AG2284" t="str">
        <f>LEFT(AE2284,1)</f>
        <v>C</v>
      </c>
      <c r="AH2284" t="str">
        <f>K2284</f>
        <v>M</v>
      </c>
      <c r="AI2284" t="str">
        <f>LEFT(AF2284,1)</f>
        <v>A</v>
      </c>
      <c r="AJ2284" t="str">
        <f>LEFT(M2284,1)</f>
        <v>M</v>
      </c>
      <c r="AK2284" t="str">
        <f>_xlfn.CONCAT(AG2284,AH2284,AI2284,AJ2284)</f>
        <v>CMAM</v>
      </c>
    </row>
    <row r="2285" spans="1:37" ht="15.75" hidden="1" customHeight="1" x14ac:dyDescent="0.2">
      <c r="A2285" s="1">
        <v>280106</v>
      </c>
      <c r="B2285" s="1" t="s">
        <v>1775</v>
      </c>
      <c r="C2285" s="1" t="s">
        <v>561</v>
      </c>
      <c r="D2285" s="1" t="s">
        <v>3768</v>
      </c>
      <c r="E2285" s="1" t="s">
        <v>32</v>
      </c>
      <c r="F2285" s="1" t="s">
        <v>88</v>
      </c>
      <c r="G2285" s="1" t="s">
        <v>3774</v>
      </c>
      <c r="H2285" s="1">
        <v>34694</v>
      </c>
      <c r="I2285" s="1" t="s">
        <v>91</v>
      </c>
      <c r="J2285" s="1">
        <v>6</v>
      </c>
      <c r="K2285" s="1" t="s">
        <v>35</v>
      </c>
      <c r="L2285" s="1">
        <v>56</v>
      </c>
      <c r="M2285" s="1" t="str">
        <f>IF(L2285&lt;=45,"Joven","Mayor")</f>
        <v>Mayor</v>
      </c>
      <c r="N2285" s="1">
        <v>56</v>
      </c>
      <c r="O2285" s="1" t="s">
        <v>36</v>
      </c>
      <c r="P2285" s="1">
        <v>0.35599999999999998</v>
      </c>
      <c r="Q2285" s="1">
        <v>93.274000000000001</v>
      </c>
      <c r="R2285" s="1">
        <v>-2.0792130000000002</v>
      </c>
      <c r="S2285" s="1">
        <v>3.1982582000000002</v>
      </c>
      <c r="T2285" s="1">
        <v>2.6570510000000001</v>
      </c>
      <c r="U2285" s="1">
        <v>43.956000000000003</v>
      </c>
      <c r="V2285" s="1">
        <v>91</v>
      </c>
      <c r="W2285" s="1">
        <v>164</v>
      </c>
      <c r="X2285" s="1">
        <v>1.8021978021978022</v>
      </c>
      <c r="Y2285" s="1">
        <v>92</v>
      </c>
      <c r="Z2285" s="1">
        <v>164</v>
      </c>
      <c r="AA2285" s="1">
        <v>1.7826086956521738</v>
      </c>
      <c r="AB2285" s="1">
        <v>92.941903792298035</v>
      </c>
      <c r="AC2285" s="1">
        <v>164.00911515586131</v>
      </c>
      <c r="AD2285" s="1">
        <v>1.7646412270872003</v>
      </c>
      <c r="AE2285" t="s">
        <v>4817</v>
      </c>
      <c r="AF2285" t="str">
        <f>IF(X2285&lt;$AF$1,"Bajo","Alto")</f>
        <v>Alto</v>
      </c>
      <c r="AG2285" t="str">
        <f>LEFT(AE2285,1)</f>
        <v>C</v>
      </c>
      <c r="AH2285" t="str">
        <f>K2285</f>
        <v>M</v>
      </c>
      <c r="AI2285" t="str">
        <f>LEFT(AF2285,1)</f>
        <v>A</v>
      </c>
      <c r="AJ2285" t="str">
        <f>LEFT(M2285,1)</f>
        <v>M</v>
      </c>
      <c r="AK2285" t="str">
        <f>_xlfn.CONCAT(AG2285,AH2285,AI2285,AJ2285)</f>
        <v>CMAM</v>
      </c>
    </row>
    <row r="2286" spans="1:37" ht="15.75" hidden="1" customHeight="1" x14ac:dyDescent="0.2">
      <c r="A2286" s="1">
        <v>10119604</v>
      </c>
      <c r="B2286" s="1" t="s">
        <v>29</v>
      </c>
      <c r="C2286" s="1" t="s">
        <v>30</v>
      </c>
      <c r="D2286" s="1" t="s">
        <v>345</v>
      </c>
      <c r="E2286" s="1" t="s">
        <v>346</v>
      </c>
      <c r="F2286" s="1" t="s">
        <v>61</v>
      </c>
      <c r="G2286" s="1" t="s">
        <v>350</v>
      </c>
      <c r="H2286" s="1">
        <v>343</v>
      </c>
      <c r="I2286" s="1" t="s">
        <v>48</v>
      </c>
      <c r="J2286" s="1">
        <v>4</v>
      </c>
      <c r="K2286" s="1" t="s">
        <v>35</v>
      </c>
      <c r="L2286" s="1">
        <v>53</v>
      </c>
      <c r="M2286" s="1" t="str">
        <f>IF(L2286&lt;=45,"Joven","Mayor")</f>
        <v>Mayor</v>
      </c>
      <c r="N2286" s="1">
        <v>53</v>
      </c>
      <c r="O2286" s="1" t="s">
        <v>36</v>
      </c>
      <c r="P2286" s="1">
        <v>0.35699999999999998</v>
      </c>
      <c r="Q2286" s="1">
        <v>93.715999999999994</v>
      </c>
      <c r="R2286" s="1">
        <v>-1.8990418</v>
      </c>
      <c r="S2286" s="1">
        <v>1.6940465</v>
      </c>
      <c r="T2286" s="1">
        <v>0.12824416</v>
      </c>
      <c r="U2286" s="1">
        <v>2.4700000000000002</v>
      </c>
      <c r="V2286" s="1">
        <v>96</v>
      </c>
      <c r="W2286" s="1">
        <v>173</v>
      </c>
      <c r="X2286" s="1">
        <v>1.8020833333333333</v>
      </c>
      <c r="Y2286" s="1">
        <v>98</v>
      </c>
      <c r="Z2286" s="1">
        <v>173</v>
      </c>
      <c r="AA2286" s="1">
        <v>1.7653061224489797</v>
      </c>
      <c r="AB2286" s="1">
        <v>97.899031870880663</v>
      </c>
      <c r="AC2286" s="1">
        <v>173.00851976683859</v>
      </c>
      <c r="AD2286" s="1">
        <v>1.7672137963020929</v>
      </c>
      <c r="AE2286" t="s">
        <v>4817</v>
      </c>
      <c r="AF2286" t="str">
        <f>IF(X2286&lt;$AF$1,"Bajo","Alto")</f>
        <v>Alto</v>
      </c>
      <c r="AG2286" t="str">
        <f>LEFT(AE2286,1)</f>
        <v>C</v>
      </c>
      <c r="AH2286" t="str">
        <f>K2286</f>
        <v>M</v>
      </c>
      <c r="AI2286" t="str">
        <f>LEFT(AF2286,1)</f>
        <v>A</v>
      </c>
      <c r="AJ2286" t="str">
        <f>LEFT(M2286,1)</f>
        <v>M</v>
      </c>
      <c r="AK2286" t="str">
        <f>_xlfn.CONCAT(AG2286,AH2286,AI2286,AJ2286)</f>
        <v>CMAM</v>
      </c>
    </row>
    <row r="2287" spans="1:37" ht="15.75" hidden="1" customHeight="1" x14ac:dyDescent="0.2">
      <c r="A2287" s="1">
        <v>276107</v>
      </c>
      <c r="B2287" s="1" t="s">
        <v>3409</v>
      </c>
      <c r="C2287" s="1" t="s">
        <v>973</v>
      </c>
      <c r="D2287" s="1" t="s">
        <v>3699</v>
      </c>
      <c r="E2287" s="1" t="s">
        <v>701</v>
      </c>
      <c r="F2287" s="1" t="s">
        <v>43</v>
      </c>
      <c r="G2287" s="1" t="s">
        <v>3703</v>
      </c>
      <c r="H2287" s="1">
        <v>3817</v>
      </c>
      <c r="I2287" s="1" t="s">
        <v>3704</v>
      </c>
      <c r="J2287" s="1">
        <v>3716</v>
      </c>
      <c r="K2287" s="1" t="s">
        <v>35</v>
      </c>
      <c r="L2287" s="1">
        <v>52</v>
      </c>
      <c r="M2287" s="1" t="str">
        <f>IF(L2287&lt;=45,"Joven","Mayor")</f>
        <v>Mayor</v>
      </c>
      <c r="N2287" s="1">
        <v>57</v>
      </c>
      <c r="O2287" s="1" t="s">
        <v>36</v>
      </c>
      <c r="P2287" s="1">
        <v>0.29399999999999998</v>
      </c>
      <c r="Q2287" s="1">
        <v>94.253</v>
      </c>
      <c r="R2287" s="1">
        <v>0.89196120000000001</v>
      </c>
      <c r="S2287" s="1">
        <v>1.8428156</v>
      </c>
      <c r="T2287" s="1">
        <v>5.5057143999999996</v>
      </c>
      <c r="U2287" s="1">
        <v>2.3420000000000001</v>
      </c>
      <c r="V2287" s="1">
        <v>96</v>
      </c>
      <c r="W2287" s="1">
        <v>173</v>
      </c>
      <c r="X2287" s="1">
        <v>1.8020833333333333</v>
      </c>
      <c r="Y2287" s="1">
        <v>109</v>
      </c>
      <c r="Z2287" s="1">
        <v>173</v>
      </c>
      <c r="AA2287" s="1">
        <v>1.5871559633027523</v>
      </c>
      <c r="AB2287" s="1">
        <v>105.1390671520012</v>
      </c>
      <c r="AC2287" s="1">
        <v>174.02484325359461</v>
      </c>
      <c r="AD2287" s="1">
        <v>1.6551872483517869</v>
      </c>
      <c r="AE2287" t="s">
        <v>4817</v>
      </c>
      <c r="AF2287" t="str">
        <f>IF(X2287&lt;$AF$1,"Bajo","Alto")</f>
        <v>Alto</v>
      </c>
      <c r="AG2287" t="str">
        <f>LEFT(AE2287,1)</f>
        <v>C</v>
      </c>
      <c r="AH2287" t="str">
        <f>K2287</f>
        <v>M</v>
      </c>
      <c r="AI2287" t="str">
        <f>LEFT(AF2287,1)</f>
        <v>A</v>
      </c>
      <c r="AJ2287" t="str">
        <f>LEFT(M2287,1)</f>
        <v>M</v>
      </c>
      <c r="AK2287" t="str">
        <f>_xlfn.CONCAT(AG2287,AH2287,AI2287,AJ2287)</f>
        <v>CMAM</v>
      </c>
    </row>
    <row r="2288" spans="1:37" ht="15.75" hidden="1" customHeight="1" x14ac:dyDescent="0.2">
      <c r="A2288" s="1">
        <v>10125303</v>
      </c>
      <c r="B2288" s="1" t="s">
        <v>29</v>
      </c>
      <c r="C2288" s="1" t="s">
        <v>30</v>
      </c>
      <c r="D2288" s="1" t="s">
        <v>505</v>
      </c>
      <c r="E2288" s="1" t="s">
        <v>506</v>
      </c>
      <c r="F2288" s="1" t="s">
        <v>63</v>
      </c>
      <c r="G2288" s="1" t="s">
        <v>508</v>
      </c>
      <c r="H2288" s="1">
        <v>2275</v>
      </c>
      <c r="I2288" s="1" t="s">
        <v>134</v>
      </c>
      <c r="J2288" s="1">
        <v>8</v>
      </c>
      <c r="K2288" s="1" t="s">
        <v>35</v>
      </c>
      <c r="L2288" s="1">
        <v>48</v>
      </c>
      <c r="M2288" s="1" t="str">
        <f>IF(L2288&lt;=45,"Joven","Mayor")</f>
        <v>Mayor</v>
      </c>
      <c r="N2288" s="1">
        <v>60</v>
      </c>
      <c r="O2288" s="1" t="s">
        <v>36</v>
      </c>
      <c r="P2288" s="1">
        <v>0.308</v>
      </c>
      <c r="Q2288" s="1">
        <v>94.528000000000006</v>
      </c>
      <c r="R2288" s="1">
        <v>0.41762167</v>
      </c>
      <c r="S2288" s="1">
        <v>1.5378461000000001</v>
      </c>
      <c r="T2288" s="1">
        <v>-3.1947774999999998</v>
      </c>
      <c r="U2288" s="1">
        <v>1</v>
      </c>
      <c r="V2288" s="1">
        <v>69</v>
      </c>
      <c r="W2288" s="1">
        <v>120</v>
      </c>
      <c r="X2288" s="1">
        <v>1.7391304347826086</v>
      </c>
      <c r="Y2288" s="1">
        <v>70</v>
      </c>
      <c r="Z2288" s="1">
        <v>120</v>
      </c>
      <c r="AA2288" s="1">
        <v>1.7142857142857142</v>
      </c>
      <c r="AB2288" s="1">
        <v>71.50739378570438</v>
      </c>
      <c r="AC2288" s="1">
        <v>119.75777128146861</v>
      </c>
      <c r="AD2288" s="1">
        <v>1.6747606777609947</v>
      </c>
      <c r="AE2288" t="s">
        <v>4817</v>
      </c>
      <c r="AF2288" t="str">
        <f>IF(X2288&lt;$AF$1,"Bajo","Alto")</f>
        <v>Bajo</v>
      </c>
      <c r="AG2288" t="str">
        <f>LEFT(AE2288,1)</f>
        <v>C</v>
      </c>
      <c r="AH2288" t="str">
        <f>K2288</f>
        <v>M</v>
      </c>
      <c r="AI2288" t="str">
        <f>LEFT(AF2288,1)</f>
        <v>B</v>
      </c>
      <c r="AJ2288" t="str">
        <f>LEFT(M2288,1)</f>
        <v>M</v>
      </c>
      <c r="AK2288" t="str">
        <f>_xlfn.CONCAT(AG2288,AH2288,AI2288,AJ2288)</f>
        <v>CMBM</v>
      </c>
    </row>
    <row r="2289" spans="1:37" ht="15.75" hidden="1" customHeight="1" x14ac:dyDescent="0.2">
      <c r="A2289" s="1">
        <v>10722602</v>
      </c>
      <c r="B2289" s="1" t="s">
        <v>1067</v>
      </c>
      <c r="C2289" s="1" t="s">
        <v>1068</v>
      </c>
      <c r="D2289" s="1" t="s">
        <v>1245</v>
      </c>
      <c r="E2289" s="1" t="s">
        <v>431</v>
      </c>
      <c r="F2289" s="1" t="s">
        <v>37</v>
      </c>
      <c r="G2289" s="1" t="s">
        <v>1246</v>
      </c>
      <c r="H2289" s="1">
        <v>895</v>
      </c>
      <c r="I2289" s="1" t="s">
        <v>65</v>
      </c>
      <c r="J2289" s="1">
        <v>2</v>
      </c>
      <c r="K2289" s="1" t="s">
        <v>35</v>
      </c>
      <c r="L2289" s="1">
        <v>56</v>
      </c>
      <c r="M2289" s="1" t="str">
        <f>IF(L2289&lt;=45,"Joven","Mayor")</f>
        <v>Mayor</v>
      </c>
      <c r="N2289" s="1">
        <v>69</v>
      </c>
      <c r="O2289" s="1" t="s">
        <v>36</v>
      </c>
      <c r="P2289" s="1">
        <v>2.9750000000000001</v>
      </c>
      <c r="Q2289" s="1">
        <v>94.120999999999995</v>
      </c>
      <c r="R2289" s="1">
        <v>-3.5259996000000002E-2</v>
      </c>
      <c r="S2289" s="1">
        <v>1.3375071000000001</v>
      </c>
      <c r="T2289" s="1">
        <v>-2.3346046999999999</v>
      </c>
      <c r="U2289" s="1">
        <v>1.0629999999999999</v>
      </c>
      <c r="V2289" s="1">
        <v>92</v>
      </c>
      <c r="W2289" s="1">
        <v>160</v>
      </c>
      <c r="X2289" s="1">
        <v>1.7391304347826086</v>
      </c>
      <c r="Y2289" s="1">
        <v>94</v>
      </c>
      <c r="Z2289" s="1">
        <v>160</v>
      </c>
      <c r="AA2289" s="1">
        <v>1.7021276595744681</v>
      </c>
      <c r="AB2289" s="1">
        <v>93.593783514175357</v>
      </c>
      <c r="AC2289" s="1">
        <v>159.90793120683469</v>
      </c>
      <c r="AD2289" s="1">
        <v>1.7085315413348543</v>
      </c>
      <c r="AE2289" t="s">
        <v>4817</v>
      </c>
      <c r="AF2289" t="str">
        <f>IF(X2289&lt;$AF$1,"Bajo","Alto")</f>
        <v>Bajo</v>
      </c>
      <c r="AG2289" t="str">
        <f>LEFT(AE2289,1)</f>
        <v>C</v>
      </c>
      <c r="AH2289" t="str">
        <f>K2289</f>
        <v>M</v>
      </c>
      <c r="AI2289" t="str">
        <f>LEFT(AF2289,1)</f>
        <v>B</v>
      </c>
      <c r="AJ2289" t="str">
        <f>LEFT(M2289,1)</f>
        <v>M</v>
      </c>
      <c r="AK2289" t="str">
        <f>_xlfn.CONCAT(AG2289,AH2289,AI2289,AJ2289)</f>
        <v>CMBM</v>
      </c>
    </row>
    <row r="2290" spans="1:37" ht="15.75" hidden="1" customHeight="1" x14ac:dyDescent="0.2">
      <c r="A2290" s="1">
        <v>1057203</v>
      </c>
      <c r="B2290" s="1" t="s">
        <v>694</v>
      </c>
      <c r="C2290" s="1" t="s">
        <v>879</v>
      </c>
      <c r="D2290" s="1" t="s">
        <v>1015</v>
      </c>
      <c r="E2290" s="1" t="s">
        <v>1016</v>
      </c>
      <c r="F2290" s="1" t="s">
        <v>63</v>
      </c>
      <c r="G2290" s="1" t="s">
        <v>1019</v>
      </c>
      <c r="H2290" s="1">
        <v>1395</v>
      </c>
      <c r="I2290" s="1" t="s">
        <v>134</v>
      </c>
      <c r="J2290" s="1">
        <v>8</v>
      </c>
      <c r="K2290" s="1" t="s">
        <v>35</v>
      </c>
      <c r="L2290" s="1">
        <v>43</v>
      </c>
      <c r="M2290" s="1" t="str">
        <f>IF(L2290&lt;=45,"Joven","Mayor")</f>
        <v>Joven</v>
      </c>
      <c r="N2290" s="1">
        <v>39</v>
      </c>
      <c r="O2290" s="1" t="s">
        <v>36</v>
      </c>
      <c r="P2290" s="1">
        <v>0.36099999999999999</v>
      </c>
      <c r="Q2290" s="1">
        <v>89.94</v>
      </c>
      <c r="R2290" s="1">
        <v>4.1617617999999998</v>
      </c>
      <c r="S2290" s="1">
        <v>7.4598845999999996</v>
      </c>
      <c r="T2290" s="1">
        <v>-6.5529055999999999</v>
      </c>
      <c r="U2290" s="1">
        <v>22.169</v>
      </c>
      <c r="V2290" s="1">
        <v>102</v>
      </c>
      <c r="W2290" s="1">
        <v>178</v>
      </c>
      <c r="X2290" s="1">
        <v>1.7450980392156863</v>
      </c>
      <c r="Y2290" s="1">
        <v>103</v>
      </c>
      <c r="Z2290" s="1">
        <v>178</v>
      </c>
      <c r="AA2290" s="1">
        <v>1.7281553398058251</v>
      </c>
      <c r="AB2290" s="1">
        <v>107.3483976915652</v>
      </c>
      <c r="AC2290" s="1">
        <v>176.72298810690469</v>
      </c>
      <c r="AD2290" s="1">
        <v>1.6462564128313071</v>
      </c>
      <c r="AE2290" t="s">
        <v>4817</v>
      </c>
      <c r="AF2290" t="str">
        <f>IF(X2290&lt;$AF$1,"Bajo","Alto")</f>
        <v>Bajo</v>
      </c>
      <c r="AG2290" t="str">
        <f>LEFT(AE2290,1)</f>
        <v>C</v>
      </c>
      <c r="AH2290" t="str">
        <f>K2290</f>
        <v>M</v>
      </c>
      <c r="AI2290" t="str">
        <f>LEFT(AF2290,1)</f>
        <v>B</v>
      </c>
      <c r="AJ2290" t="str">
        <f>LEFT(M2290,1)</f>
        <v>J</v>
      </c>
      <c r="AK2290" t="str">
        <f>_xlfn.CONCAT(AG2290,AH2290,AI2290,AJ2290)</f>
        <v>CMBJ</v>
      </c>
    </row>
    <row r="2291" spans="1:37" ht="15.75" hidden="1" customHeight="1" x14ac:dyDescent="0.2">
      <c r="A2291" s="1">
        <v>10113001</v>
      </c>
      <c r="B2291" s="1" t="s">
        <v>29</v>
      </c>
      <c r="C2291" s="1" t="s">
        <v>30</v>
      </c>
      <c r="D2291" s="1" t="s">
        <v>157</v>
      </c>
      <c r="E2291" s="1" t="s">
        <v>158</v>
      </c>
      <c r="F2291" s="1" t="s">
        <v>32</v>
      </c>
      <c r="G2291" s="1" t="s">
        <v>159</v>
      </c>
      <c r="H2291" s="1">
        <v>1927</v>
      </c>
      <c r="I2291" s="1" t="s">
        <v>65</v>
      </c>
      <c r="J2291" s="1">
        <v>2</v>
      </c>
      <c r="K2291" s="1" t="s">
        <v>35</v>
      </c>
      <c r="L2291" s="1">
        <v>50</v>
      </c>
      <c r="M2291" s="1" t="str">
        <f>IF(L2291&lt;=45,"Joven","Mayor")</f>
        <v>Mayor</v>
      </c>
      <c r="N2291" s="1">
        <v>56</v>
      </c>
      <c r="O2291" s="1" t="s">
        <v>36</v>
      </c>
      <c r="P2291" s="1">
        <v>0.501</v>
      </c>
      <c r="Q2291" s="1">
        <v>92.606999999999999</v>
      </c>
      <c r="R2291" s="1">
        <v>-3.8270377999999998</v>
      </c>
      <c r="S2291" s="1">
        <v>7.7482514000000002E-2</v>
      </c>
      <c r="T2291" s="1">
        <v>6.4024229999999998</v>
      </c>
      <c r="U2291" s="1">
        <v>7.5670000000000002</v>
      </c>
      <c r="V2291" s="1">
        <v>115</v>
      </c>
      <c r="W2291" s="1">
        <v>207</v>
      </c>
      <c r="X2291" s="1">
        <v>1.8</v>
      </c>
      <c r="Y2291" s="1">
        <v>115</v>
      </c>
      <c r="Z2291" s="1">
        <v>207</v>
      </c>
      <c r="AA2291" s="1">
        <v>1.8</v>
      </c>
      <c r="AB2291" s="1">
        <v>119.5237835180067</v>
      </c>
      <c r="AC2291" s="1">
        <v>205.03991754813021</v>
      </c>
      <c r="AD2291" s="1">
        <v>1.7154737869993899</v>
      </c>
      <c r="AE2291" t="s">
        <v>4817</v>
      </c>
      <c r="AF2291" t="str">
        <f>IF(X2291&lt;$AF$1,"Bajo","Alto")</f>
        <v>Alto</v>
      </c>
      <c r="AG2291" t="str">
        <f>LEFT(AE2291,1)</f>
        <v>C</v>
      </c>
      <c r="AH2291" t="str">
        <f>K2291</f>
        <v>M</v>
      </c>
      <c r="AI2291" t="str">
        <f>LEFT(AF2291,1)</f>
        <v>A</v>
      </c>
      <c r="AJ2291" t="str">
        <f>LEFT(M2291,1)</f>
        <v>M</v>
      </c>
      <c r="AK2291" t="str">
        <f>_xlfn.CONCAT(AG2291,AH2291,AI2291,AJ2291)</f>
        <v>CMAM</v>
      </c>
    </row>
    <row r="2292" spans="1:37" ht="15.75" hidden="1" customHeight="1" x14ac:dyDescent="0.2">
      <c r="A2292" s="1">
        <v>217004</v>
      </c>
      <c r="B2292" s="1" t="s">
        <v>2816</v>
      </c>
      <c r="C2292" s="1" t="s">
        <v>2817</v>
      </c>
      <c r="D2292" s="1" t="s">
        <v>2897</v>
      </c>
      <c r="E2292" s="1" t="s">
        <v>720</v>
      </c>
      <c r="F2292" s="1" t="s">
        <v>61</v>
      </c>
      <c r="G2292" s="1" t="s">
        <v>2899</v>
      </c>
      <c r="H2292" s="1">
        <v>10</v>
      </c>
      <c r="I2292" s="1" t="s">
        <v>48</v>
      </c>
      <c r="J2292" s="1">
        <v>4</v>
      </c>
      <c r="K2292" s="1" t="s">
        <v>35</v>
      </c>
      <c r="L2292" s="1">
        <v>38</v>
      </c>
      <c r="M2292" s="1" t="str">
        <f>IF(L2292&lt;=45,"Joven","Mayor")</f>
        <v>Joven</v>
      </c>
      <c r="N2292" s="1">
        <v>46</v>
      </c>
      <c r="O2292" s="1" t="s">
        <v>36</v>
      </c>
      <c r="P2292" s="1">
        <v>0.33400000000000002</v>
      </c>
      <c r="Q2292" s="1">
        <v>93.644999999999996</v>
      </c>
      <c r="R2292" s="1">
        <v>2.0157422999999999</v>
      </c>
      <c r="S2292" s="1">
        <v>-1.7192816</v>
      </c>
      <c r="T2292" s="1">
        <v>0.30841869999999999</v>
      </c>
      <c r="U2292" s="1">
        <v>33.978000000000002</v>
      </c>
      <c r="V2292" s="1">
        <v>106</v>
      </c>
      <c r="W2292" s="1">
        <v>185</v>
      </c>
      <c r="X2292" s="1">
        <v>1.7452830188679245</v>
      </c>
      <c r="Y2292" s="1">
        <v>109</v>
      </c>
      <c r="Z2292" s="1">
        <v>185</v>
      </c>
      <c r="AA2292" s="1">
        <v>1.6972477064220184</v>
      </c>
      <c r="AB2292" s="1">
        <v>108.7238931346596</v>
      </c>
      <c r="AC2292" s="1">
        <v>185.02423421959469</v>
      </c>
      <c r="AD2292" s="1">
        <v>1.7017808035114559</v>
      </c>
      <c r="AE2292" t="s">
        <v>4817</v>
      </c>
      <c r="AF2292" t="str">
        <f>IF(X2292&lt;$AF$1,"Bajo","Alto")</f>
        <v>Bajo</v>
      </c>
      <c r="AG2292" t="str">
        <f>LEFT(AE2292,1)</f>
        <v>C</v>
      </c>
      <c r="AH2292" t="str">
        <f>K2292</f>
        <v>M</v>
      </c>
      <c r="AI2292" t="str">
        <f>LEFT(AF2292,1)</f>
        <v>B</v>
      </c>
      <c r="AJ2292" t="str">
        <f>LEFT(M2292,1)</f>
        <v>J</v>
      </c>
      <c r="AK2292" t="str">
        <f>_xlfn.CONCAT(AG2292,AH2292,AI2292,AJ2292)</f>
        <v>CMBJ</v>
      </c>
    </row>
    <row r="2293" spans="1:37" ht="15.75" hidden="1" customHeight="1" x14ac:dyDescent="0.2">
      <c r="A2293" s="1">
        <v>1015802</v>
      </c>
      <c r="B2293" s="1" t="s">
        <v>29</v>
      </c>
      <c r="C2293" s="1" t="s">
        <v>30</v>
      </c>
      <c r="D2293" s="1" t="s">
        <v>694</v>
      </c>
      <c r="E2293" s="1" t="s">
        <v>695</v>
      </c>
      <c r="F2293" s="1" t="s">
        <v>37</v>
      </c>
      <c r="G2293" s="1" t="s">
        <v>696</v>
      </c>
      <c r="H2293" s="1">
        <v>5362</v>
      </c>
      <c r="I2293" s="1" t="s">
        <v>39</v>
      </c>
      <c r="J2293" s="1">
        <v>11</v>
      </c>
      <c r="K2293" s="1" t="s">
        <v>35</v>
      </c>
      <c r="L2293" s="1">
        <v>36</v>
      </c>
      <c r="M2293" s="1" t="str">
        <f>IF(L2293&lt;=45,"Joven","Mayor")</f>
        <v>Joven</v>
      </c>
      <c r="N2293" s="1">
        <v>40</v>
      </c>
      <c r="O2293" s="1" t="s">
        <v>36</v>
      </c>
      <c r="P2293" s="1">
        <v>0.35</v>
      </c>
      <c r="Q2293" s="1">
        <v>94.260999999999996</v>
      </c>
      <c r="R2293" s="1">
        <v>-0.66524755999999996</v>
      </c>
      <c r="S2293" s="1">
        <v>2.3187568000000001</v>
      </c>
      <c r="T2293" s="1">
        <v>-0.57512503999999998</v>
      </c>
      <c r="U2293" s="1">
        <v>3.605</v>
      </c>
      <c r="V2293" s="1">
        <v>98</v>
      </c>
      <c r="W2293" s="1">
        <v>177</v>
      </c>
      <c r="X2293" s="1">
        <v>1.8061224489795917</v>
      </c>
      <c r="Y2293" s="1">
        <v>99</v>
      </c>
      <c r="Z2293" s="1">
        <v>177</v>
      </c>
      <c r="AA2293" s="1">
        <v>1.7878787878787878</v>
      </c>
      <c r="AB2293" s="1">
        <v>98.533280302008507</v>
      </c>
      <c r="AC2293" s="1">
        <v>176.9810453400155</v>
      </c>
      <c r="AD2293" s="1">
        <v>1.7961550127790469</v>
      </c>
      <c r="AE2293" t="s">
        <v>4816</v>
      </c>
      <c r="AF2293" t="str">
        <f>IF(X2293&lt;$AF$1,"Bajo","Alto")</f>
        <v>Alto</v>
      </c>
      <c r="AG2293" t="str">
        <f>LEFT(AE2293,1)</f>
        <v>D</v>
      </c>
      <c r="AH2293" t="str">
        <f>K2293</f>
        <v>M</v>
      </c>
      <c r="AI2293" t="str">
        <f>LEFT(AF2293,1)</f>
        <v>A</v>
      </c>
      <c r="AJ2293" t="str">
        <f>LEFT(M2293,1)</f>
        <v>J</v>
      </c>
      <c r="AK2293" t="str">
        <f>_xlfn.CONCAT(AG2293,AH2293,AI2293,AJ2293)</f>
        <v>DMAJ</v>
      </c>
    </row>
    <row r="2294" spans="1:37" ht="15.75" hidden="1" customHeight="1" x14ac:dyDescent="0.2">
      <c r="A2294" s="1">
        <v>1054006</v>
      </c>
      <c r="B2294" s="1" t="s">
        <v>694</v>
      </c>
      <c r="C2294" s="1" t="s">
        <v>879</v>
      </c>
      <c r="D2294" s="1" t="s">
        <v>985</v>
      </c>
      <c r="E2294" s="1" t="s">
        <v>657</v>
      </c>
      <c r="F2294" s="1" t="s">
        <v>88</v>
      </c>
      <c r="G2294" s="1" t="s">
        <v>986</v>
      </c>
      <c r="H2294" s="1">
        <v>4688</v>
      </c>
      <c r="I2294" s="1" t="s">
        <v>108</v>
      </c>
      <c r="J2294" s="1">
        <v>3</v>
      </c>
      <c r="K2294" s="1" t="s">
        <v>49</v>
      </c>
      <c r="L2294" s="1">
        <v>58</v>
      </c>
      <c r="M2294" s="1" t="str">
        <f>IF(L2294&lt;=45,"Joven","Mayor")</f>
        <v>Mayor</v>
      </c>
      <c r="N2294" s="1">
        <v>55</v>
      </c>
      <c r="O2294" s="1" t="s">
        <v>50</v>
      </c>
      <c r="P2294" s="1">
        <v>0.36099999999999999</v>
      </c>
      <c r="Q2294" s="1">
        <v>85.372</v>
      </c>
      <c r="R2294" s="1">
        <v>8.5462380000000007</v>
      </c>
      <c r="S2294" s="1">
        <v>-2.0281596</v>
      </c>
      <c r="T2294" s="1">
        <v>-3.5428213999999998</v>
      </c>
      <c r="U2294" s="1">
        <v>6.5979999999999999</v>
      </c>
      <c r="V2294" s="1">
        <v>76</v>
      </c>
      <c r="W2294" s="1">
        <v>131</v>
      </c>
      <c r="X2294" s="1">
        <v>1.7236842105263157</v>
      </c>
      <c r="Y2294" s="1">
        <v>80</v>
      </c>
      <c r="Z2294" s="1">
        <v>131</v>
      </c>
      <c r="AA2294" s="1">
        <v>1.6375</v>
      </c>
      <c r="AB2294" s="1">
        <v>78.055070901550835</v>
      </c>
      <c r="AC2294" s="1">
        <v>131.05861756867759</v>
      </c>
      <c r="AD2294" s="1">
        <v>1.6790532127499951</v>
      </c>
      <c r="AE2294" t="s">
        <v>4817</v>
      </c>
      <c r="AF2294" t="str">
        <f>IF(X2294&lt;$AF$1,"Bajo","Alto")</f>
        <v>Bajo</v>
      </c>
      <c r="AG2294" t="str">
        <f>LEFT(AE2294,1)</f>
        <v>C</v>
      </c>
      <c r="AH2294" t="str">
        <f>K2294</f>
        <v>F</v>
      </c>
      <c r="AI2294" t="str">
        <f>LEFT(AF2294,1)</f>
        <v>B</v>
      </c>
      <c r="AJ2294" t="str">
        <f>LEFT(M2294,1)</f>
        <v>M</v>
      </c>
      <c r="AK2294" t="str">
        <f>_xlfn.CONCAT(AG2294,AH2294,AI2294,AJ2294)</f>
        <v>CFBM</v>
      </c>
    </row>
    <row r="2295" spans="1:37" ht="15.75" hidden="1" customHeight="1" x14ac:dyDescent="0.2">
      <c r="A2295" s="1">
        <v>1252501</v>
      </c>
      <c r="B2295" s="1" t="s">
        <v>1798</v>
      </c>
      <c r="C2295" s="1" t="s">
        <v>54</v>
      </c>
      <c r="D2295" s="1" t="s">
        <v>1861</v>
      </c>
      <c r="E2295" s="1" t="s">
        <v>1862</v>
      </c>
      <c r="F2295" s="1" t="s">
        <v>32</v>
      </c>
      <c r="G2295" s="1" t="s">
        <v>1863</v>
      </c>
      <c r="H2295" s="1">
        <v>1636</v>
      </c>
      <c r="I2295" s="1" t="s">
        <v>65</v>
      </c>
      <c r="J2295" s="1">
        <v>2</v>
      </c>
      <c r="K2295" s="1" t="s">
        <v>35</v>
      </c>
      <c r="L2295" s="1">
        <v>45</v>
      </c>
      <c r="M2295" s="1" t="str">
        <f>IF(L2295&lt;=45,"Joven","Mayor")</f>
        <v>Joven</v>
      </c>
      <c r="N2295" s="1">
        <v>50</v>
      </c>
      <c r="O2295" s="1" t="s">
        <v>36</v>
      </c>
      <c r="P2295" s="1">
        <v>1.405</v>
      </c>
      <c r="Q2295" s="1">
        <v>82.021000000000001</v>
      </c>
      <c r="R2295" s="1">
        <v>-9.6193609999999996</v>
      </c>
      <c r="S2295" s="1">
        <v>2.2105939999999999</v>
      </c>
      <c r="T2295" s="1">
        <v>1.5661029</v>
      </c>
      <c r="U2295" s="1">
        <v>8.5649999999999995</v>
      </c>
      <c r="V2295" s="1">
        <v>116</v>
      </c>
      <c r="W2295" s="1">
        <v>209</v>
      </c>
      <c r="X2295" s="1">
        <v>1.8017241379310345</v>
      </c>
      <c r="Y2295" s="1">
        <v>118</v>
      </c>
      <c r="Z2295" s="1">
        <v>209</v>
      </c>
      <c r="AA2295" s="1">
        <v>1.771186440677966</v>
      </c>
      <c r="AB2295" s="1">
        <v>119.29510433902099</v>
      </c>
      <c r="AC2295" s="1">
        <v>208.59396694676661</v>
      </c>
      <c r="AD2295" s="1">
        <v>1.7485542940133569</v>
      </c>
      <c r="AE2295" t="s">
        <v>4817</v>
      </c>
      <c r="AF2295" t="str">
        <f>IF(X2295&lt;$AF$1,"Bajo","Alto")</f>
        <v>Alto</v>
      </c>
      <c r="AG2295" t="str">
        <f>LEFT(AE2295,1)</f>
        <v>C</v>
      </c>
      <c r="AH2295" t="str">
        <f>K2295</f>
        <v>M</v>
      </c>
      <c r="AI2295" t="str">
        <f>LEFT(AF2295,1)</f>
        <v>A</v>
      </c>
      <c r="AJ2295" t="str">
        <f>LEFT(M2295,1)</f>
        <v>J</v>
      </c>
      <c r="AK2295" t="str">
        <f>_xlfn.CONCAT(AG2295,AH2295,AI2295,AJ2295)</f>
        <v>CMAJ</v>
      </c>
    </row>
    <row r="2296" spans="1:37" ht="15.75" hidden="1" customHeight="1" x14ac:dyDescent="0.2">
      <c r="A2296" s="1">
        <v>118808</v>
      </c>
      <c r="B2296" s="1" t="s">
        <v>1648</v>
      </c>
      <c r="C2296" s="1" t="s">
        <v>51</v>
      </c>
      <c r="D2296" s="1" t="s">
        <v>1783</v>
      </c>
      <c r="E2296" s="1" t="s">
        <v>763</v>
      </c>
      <c r="F2296" s="1" t="s">
        <v>46</v>
      </c>
      <c r="G2296" s="1" t="s">
        <v>1787</v>
      </c>
      <c r="H2296" s="1">
        <v>1752</v>
      </c>
      <c r="I2296" s="1" t="s">
        <v>91</v>
      </c>
      <c r="J2296" s="1">
        <v>6</v>
      </c>
      <c r="K2296" s="1" t="s">
        <v>35</v>
      </c>
      <c r="L2296" s="1">
        <v>46</v>
      </c>
      <c r="M2296" s="1" t="str">
        <f>IF(L2296&lt;=45,"Joven","Mayor")</f>
        <v>Mayor</v>
      </c>
      <c r="N2296" s="1">
        <v>41</v>
      </c>
      <c r="O2296" s="1" t="s">
        <v>36</v>
      </c>
      <c r="P2296" s="1">
        <v>0.36199999999999999</v>
      </c>
      <c r="Q2296" s="1">
        <v>29.242000000000001</v>
      </c>
      <c r="R2296" s="1">
        <v>18.412420000000001</v>
      </c>
      <c r="S2296" s="1">
        <v>-4.6821226999999999</v>
      </c>
      <c r="T2296" s="1">
        <v>-3.8869883999999999</v>
      </c>
      <c r="U2296" s="1">
        <v>26.905999999999999</v>
      </c>
      <c r="V2296" s="1">
        <v>69</v>
      </c>
      <c r="W2296" s="1">
        <v>120</v>
      </c>
      <c r="X2296" s="1">
        <v>1.7391304347826086</v>
      </c>
      <c r="Y2296" s="1">
        <v>70</v>
      </c>
      <c r="Z2296" s="1">
        <v>120</v>
      </c>
      <c r="AA2296" s="1">
        <v>1.7142857142857142</v>
      </c>
      <c r="AB2296" s="1">
        <v>70.671574662713283</v>
      </c>
      <c r="AC2296" s="1">
        <v>119.452809008942</v>
      </c>
      <c r="AD2296" s="1">
        <v>1.6902525460772839</v>
      </c>
      <c r="AE2296" t="s">
        <v>4817</v>
      </c>
      <c r="AF2296" t="str">
        <f>IF(X2296&lt;$AF$1,"Bajo","Alto")</f>
        <v>Bajo</v>
      </c>
      <c r="AG2296" t="str">
        <f>LEFT(AE2296,1)</f>
        <v>C</v>
      </c>
      <c r="AH2296" t="str">
        <f>K2296</f>
        <v>M</v>
      </c>
      <c r="AI2296" t="str">
        <f>LEFT(AF2296,1)</f>
        <v>B</v>
      </c>
      <c r="AJ2296" t="str">
        <f>LEFT(M2296,1)</f>
        <v>M</v>
      </c>
      <c r="AK2296" t="str">
        <f>_xlfn.CONCAT(AG2296,AH2296,AI2296,AJ2296)</f>
        <v>CMBM</v>
      </c>
    </row>
    <row r="2297" spans="1:37" ht="15.75" hidden="1" customHeight="1" x14ac:dyDescent="0.2">
      <c r="A2297" s="1">
        <v>310702</v>
      </c>
      <c r="B2297" s="1" t="s">
        <v>4122</v>
      </c>
      <c r="C2297" s="1" t="s">
        <v>628</v>
      </c>
      <c r="D2297" s="1" t="s">
        <v>4130</v>
      </c>
      <c r="E2297" s="1" t="s">
        <v>43</v>
      </c>
      <c r="F2297" s="1" t="s">
        <v>37</v>
      </c>
      <c r="G2297" s="1" t="s">
        <v>4132</v>
      </c>
      <c r="H2297" s="1">
        <v>147</v>
      </c>
      <c r="I2297" s="1" t="s">
        <v>42</v>
      </c>
      <c r="J2297" s="1">
        <v>15</v>
      </c>
      <c r="K2297" s="1" t="s">
        <v>35</v>
      </c>
      <c r="L2297" s="1">
        <v>48</v>
      </c>
      <c r="M2297" s="1" t="str">
        <f>IF(L2297&lt;=45,"Joven","Mayor")</f>
        <v>Mayor</v>
      </c>
      <c r="N2297" s="1">
        <v>49</v>
      </c>
      <c r="O2297" s="1" t="s">
        <v>36</v>
      </c>
      <c r="P2297" s="1">
        <v>0.35799999999999998</v>
      </c>
      <c r="Q2297" s="1">
        <v>92.659000000000006</v>
      </c>
      <c r="R2297" s="1">
        <v>2.6728014999999998</v>
      </c>
      <c r="S2297" s="1">
        <v>3.9623187</v>
      </c>
      <c r="T2297" s="1">
        <v>-4.4006129999999999</v>
      </c>
      <c r="U2297" s="1">
        <v>23.951000000000001</v>
      </c>
      <c r="V2297" s="1">
        <v>92</v>
      </c>
      <c r="W2297" s="1">
        <v>160</v>
      </c>
      <c r="X2297" s="1">
        <v>1.7391304347826086</v>
      </c>
      <c r="Y2297" s="1">
        <v>95</v>
      </c>
      <c r="Z2297" s="1">
        <v>160</v>
      </c>
      <c r="AA2297" s="1">
        <v>1.6842105263157894</v>
      </c>
      <c r="AB2297" s="1">
        <v>98.019310384208893</v>
      </c>
      <c r="AC2297" s="1">
        <v>159.75849810446789</v>
      </c>
      <c r="AD2297" s="1">
        <v>1.6298675993358682</v>
      </c>
      <c r="AE2297" t="s">
        <v>4817</v>
      </c>
      <c r="AF2297" t="str">
        <f>IF(X2297&lt;$AF$1,"Bajo","Alto")</f>
        <v>Bajo</v>
      </c>
      <c r="AG2297" t="str">
        <f>LEFT(AE2297,1)</f>
        <v>C</v>
      </c>
      <c r="AH2297" t="str">
        <f>K2297</f>
        <v>M</v>
      </c>
      <c r="AI2297" t="str">
        <f>LEFT(AF2297,1)</f>
        <v>B</v>
      </c>
      <c r="AJ2297" t="str">
        <f>LEFT(M2297,1)</f>
        <v>M</v>
      </c>
      <c r="AK2297" t="str">
        <f>_xlfn.CONCAT(AG2297,AH2297,AI2297,AJ2297)</f>
        <v>CMBM</v>
      </c>
    </row>
    <row r="2298" spans="1:37" ht="15.75" hidden="1" customHeight="1" x14ac:dyDescent="0.2">
      <c r="A2298" s="1">
        <v>2313303</v>
      </c>
      <c r="B2298" s="1" t="s">
        <v>319</v>
      </c>
      <c r="C2298" s="1" t="s">
        <v>1989</v>
      </c>
      <c r="D2298" s="1" t="s">
        <v>2974</v>
      </c>
      <c r="E2298" s="1" t="s">
        <v>169</v>
      </c>
      <c r="F2298" s="1" t="s">
        <v>63</v>
      </c>
      <c r="G2298" s="1" t="s">
        <v>2977</v>
      </c>
      <c r="H2298" s="1">
        <v>231</v>
      </c>
      <c r="I2298" s="1" t="s">
        <v>65</v>
      </c>
      <c r="J2298" s="1">
        <v>2</v>
      </c>
      <c r="K2298" s="1" t="s">
        <v>35</v>
      </c>
      <c r="L2298" s="1">
        <v>56</v>
      </c>
      <c r="M2298" s="1" t="str">
        <f>IF(L2298&lt;=45,"Joven","Mayor")</f>
        <v>Mayor</v>
      </c>
      <c r="N2298" s="1">
        <v>56</v>
      </c>
      <c r="O2298" s="1" t="s">
        <v>36</v>
      </c>
      <c r="P2298" s="1">
        <v>0.36299999999999999</v>
      </c>
      <c r="Q2298" s="1">
        <v>86.078000000000003</v>
      </c>
      <c r="R2298" s="1">
        <v>-8.0913299999999992</v>
      </c>
      <c r="S2298" s="1">
        <v>2.7093267000000001</v>
      </c>
      <c r="T2298" s="1">
        <v>10.157567</v>
      </c>
      <c r="U2298" s="1">
        <v>1.391</v>
      </c>
      <c r="V2298" s="1">
        <v>110</v>
      </c>
      <c r="W2298" s="1">
        <v>198</v>
      </c>
      <c r="X2298" s="1">
        <v>1.8</v>
      </c>
      <c r="Y2298" s="1">
        <v>119</v>
      </c>
      <c r="Z2298" s="1">
        <v>198</v>
      </c>
      <c r="AA2298" s="1">
        <v>1.6638655462184875</v>
      </c>
      <c r="AB2298" s="1">
        <v>118.504549938119</v>
      </c>
      <c r="AC2298" s="1">
        <v>195.77842327682541</v>
      </c>
      <c r="AD2298" s="1">
        <v>1.6520751598065853</v>
      </c>
      <c r="AE2298" t="s">
        <v>4817</v>
      </c>
      <c r="AF2298" t="str">
        <f>IF(X2298&lt;$AF$1,"Bajo","Alto")</f>
        <v>Alto</v>
      </c>
      <c r="AG2298" t="str">
        <f>LEFT(AE2298,1)</f>
        <v>C</v>
      </c>
      <c r="AH2298" t="str">
        <f>K2298</f>
        <v>M</v>
      </c>
      <c r="AI2298" t="str">
        <f>LEFT(AF2298,1)</f>
        <v>A</v>
      </c>
      <c r="AJ2298" t="str">
        <f>LEFT(M2298,1)</f>
        <v>M</v>
      </c>
      <c r="AK2298" t="str">
        <f>_xlfn.CONCAT(AG2298,AH2298,AI2298,AJ2298)</f>
        <v>CMAM</v>
      </c>
    </row>
    <row r="2299" spans="1:37" ht="15.75" hidden="1" customHeight="1" x14ac:dyDescent="0.2">
      <c r="A2299" s="1">
        <v>255104</v>
      </c>
      <c r="B2299" s="1" t="s">
        <v>3169</v>
      </c>
      <c r="C2299" s="1" t="s">
        <v>821</v>
      </c>
      <c r="D2299" s="1" t="s">
        <v>3262</v>
      </c>
      <c r="E2299" s="1" t="s">
        <v>2743</v>
      </c>
      <c r="F2299" s="1" t="s">
        <v>61</v>
      </c>
      <c r="G2299" s="1" t="s">
        <v>3266</v>
      </c>
      <c r="H2299" s="1">
        <v>909</v>
      </c>
      <c r="I2299" s="1" t="s">
        <v>3267</v>
      </c>
      <c r="J2299" s="1">
        <v>2823</v>
      </c>
      <c r="K2299" s="1" t="s">
        <v>49</v>
      </c>
      <c r="L2299" s="1">
        <v>59</v>
      </c>
      <c r="M2299" s="1" t="str">
        <f>IF(L2299&lt;=45,"Joven","Mayor")</f>
        <v>Mayor</v>
      </c>
      <c r="N2299" s="1">
        <v>65</v>
      </c>
      <c r="O2299" s="1" t="s">
        <v>50</v>
      </c>
      <c r="P2299" s="1">
        <v>1.9790000000000001</v>
      </c>
      <c r="Q2299" s="1">
        <v>91.45</v>
      </c>
      <c r="R2299" s="1">
        <v>-4.3913869999999999</v>
      </c>
      <c r="S2299" s="1">
        <v>-0.97480800000000001</v>
      </c>
      <c r="T2299" s="1">
        <v>5.0136433</v>
      </c>
      <c r="U2299" s="1">
        <v>1.3</v>
      </c>
      <c r="V2299" s="1">
        <v>89</v>
      </c>
      <c r="W2299" s="1">
        <v>159</v>
      </c>
      <c r="X2299" s="1">
        <v>1.7865168539325842</v>
      </c>
      <c r="Y2299" s="1">
        <v>98</v>
      </c>
      <c r="Z2299" s="1">
        <v>159</v>
      </c>
      <c r="AA2299" s="1">
        <v>1.6224489795918366</v>
      </c>
      <c r="AB2299" s="1">
        <v>94.741076291622448</v>
      </c>
      <c r="AC2299" s="1">
        <v>159.26558223505339</v>
      </c>
      <c r="AD2299" s="1">
        <v>1.6810615676859961</v>
      </c>
      <c r="AE2299" t="s">
        <v>4817</v>
      </c>
      <c r="AF2299" t="str">
        <f>IF(X2299&lt;$AF$1,"Bajo","Alto")</f>
        <v>Alto</v>
      </c>
      <c r="AG2299" t="str">
        <f>LEFT(AE2299,1)</f>
        <v>C</v>
      </c>
      <c r="AH2299" t="str">
        <f>K2299</f>
        <v>F</v>
      </c>
      <c r="AI2299" t="str">
        <f>LEFT(AF2299,1)</f>
        <v>A</v>
      </c>
      <c r="AJ2299" t="str">
        <f>LEFT(M2299,1)</f>
        <v>M</v>
      </c>
      <c r="AK2299" t="str">
        <f>_xlfn.CONCAT(AG2299,AH2299,AI2299,AJ2299)</f>
        <v>CFAM</v>
      </c>
    </row>
    <row r="2300" spans="1:37" ht="15.75" hidden="1" customHeight="1" x14ac:dyDescent="0.2">
      <c r="A2300" s="1">
        <v>279404</v>
      </c>
      <c r="B2300" s="1" t="s">
        <v>3409</v>
      </c>
      <c r="C2300" s="1" t="s">
        <v>973</v>
      </c>
      <c r="D2300" s="1" t="s">
        <v>3760</v>
      </c>
      <c r="E2300" s="1" t="s">
        <v>775</v>
      </c>
      <c r="F2300" s="1" t="s">
        <v>61</v>
      </c>
      <c r="G2300" s="1" t="s">
        <v>3764</v>
      </c>
      <c r="H2300" s="1">
        <v>1167</v>
      </c>
      <c r="I2300" s="1" t="s">
        <v>3765</v>
      </c>
      <c r="J2300" s="1">
        <v>3010</v>
      </c>
      <c r="K2300" s="1" t="s">
        <v>49</v>
      </c>
      <c r="L2300" s="1">
        <v>40</v>
      </c>
      <c r="M2300" s="1" t="str">
        <f>IF(L2300&lt;=45,"Joven","Mayor")</f>
        <v>Joven</v>
      </c>
      <c r="N2300" s="1">
        <v>50</v>
      </c>
      <c r="O2300" s="1" t="s">
        <v>50</v>
      </c>
      <c r="P2300" s="1">
        <v>0.58099999999999996</v>
      </c>
      <c r="Q2300" s="1">
        <v>93.805999999999997</v>
      </c>
      <c r="R2300" s="1">
        <v>1.1741315999999999</v>
      </c>
      <c r="S2300" s="1">
        <v>2.9906929</v>
      </c>
      <c r="T2300" s="1">
        <v>-1.3691188000000001</v>
      </c>
      <c r="U2300" s="1">
        <v>0.87</v>
      </c>
      <c r="V2300" s="1">
        <v>99</v>
      </c>
      <c r="W2300" s="1">
        <v>179</v>
      </c>
      <c r="X2300" s="1">
        <v>1.8080808080808082</v>
      </c>
      <c r="Y2300" s="1">
        <v>107</v>
      </c>
      <c r="Z2300" s="1">
        <v>179</v>
      </c>
      <c r="AA2300" s="1">
        <v>1.6728971962616823</v>
      </c>
      <c r="AB2300" s="1">
        <v>105.94203854377091</v>
      </c>
      <c r="AC2300" s="1">
        <v>179.116151324703</v>
      </c>
      <c r="AD2300" s="1">
        <v>1.6906994974492542</v>
      </c>
      <c r="AE2300" t="s">
        <v>4817</v>
      </c>
      <c r="AF2300" t="str">
        <f>IF(X2300&lt;$AF$1,"Bajo","Alto")</f>
        <v>Alto</v>
      </c>
      <c r="AG2300" t="str">
        <f>LEFT(AE2300,1)</f>
        <v>C</v>
      </c>
      <c r="AH2300" t="str">
        <f>K2300</f>
        <v>F</v>
      </c>
      <c r="AI2300" t="str">
        <f>LEFT(AF2300,1)</f>
        <v>A</v>
      </c>
      <c r="AJ2300" t="str">
        <f>LEFT(M2300,1)</f>
        <v>J</v>
      </c>
      <c r="AK2300" t="str">
        <f>_xlfn.CONCAT(AG2300,AH2300,AI2300,AJ2300)</f>
        <v>CFAJ</v>
      </c>
    </row>
    <row r="2301" spans="1:37" ht="15.75" hidden="1" customHeight="1" x14ac:dyDescent="0.2">
      <c r="A2301" s="1">
        <v>1018009</v>
      </c>
      <c r="B2301" s="1" t="s">
        <v>29</v>
      </c>
      <c r="C2301" s="1" t="s">
        <v>30</v>
      </c>
      <c r="D2301" s="1" t="s">
        <v>743</v>
      </c>
      <c r="E2301" s="1" t="s">
        <v>744</v>
      </c>
      <c r="F2301" s="1" t="s">
        <v>189</v>
      </c>
      <c r="G2301" s="1" t="s">
        <v>749</v>
      </c>
      <c r="H2301" s="1">
        <v>2103</v>
      </c>
      <c r="I2301" s="1" t="s">
        <v>48</v>
      </c>
      <c r="J2301" s="1">
        <v>4</v>
      </c>
      <c r="K2301" s="1" t="s">
        <v>49</v>
      </c>
      <c r="L2301" s="1">
        <v>44</v>
      </c>
      <c r="M2301" s="1" t="str">
        <f>IF(L2301&lt;=45,"Joven","Mayor")</f>
        <v>Joven</v>
      </c>
      <c r="N2301" s="1">
        <v>44</v>
      </c>
      <c r="O2301" s="1" t="s">
        <v>50</v>
      </c>
      <c r="P2301" s="1">
        <v>0.19400000000000001</v>
      </c>
      <c r="Q2301" s="1">
        <v>52.634999999999998</v>
      </c>
      <c r="R2301" s="1">
        <v>15.513169</v>
      </c>
      <c r="S2301" s="1">
        <v>3.466078</v>
      </c>
      <c r="T2301" s="1">
        <v>5.6383809999999999</v>
      </c>
      <c r="U2301" s="1">
        <v>12.557</v>
      </c>
      <c r="V2301" s="1">
        <v>78</v>
      </c>
      <c r="W2301" s="1">
        <v>136</v>
      </c>
      <c r="X2301" s="1">
        <v>1.7435897435897436</v>
      </c>
      <c r="Y2301" s="1">
        <v>86</v>
      </c>
      <c r="Z2301" s="1">
        <v>136</v>
      </c>
      <c r="AA2301" s="1">
        <v>1.5813953488372092</v>
      </c>
      <c r="AB2301" s="1">
        <v>83.422425296307665</v>
      </c>
      <c r="AC2301" s="1">
        <v>137.89649438285599</v>
      </c>
      <c r="AD2301" s="1">
        <v>1.6529907143440408</v>
      </c>
      <c r="AE2301" t="s">
        <v>4817</v>
      </c>
      <c r="AF2301" t="str">
        <f>IF(X2301&lt;$AF$1,"Bajo","Alto")</f>
        <v>Bajo</v>
      </c>
      <c r="AG2301" t="str">
        <f>LEFT(AE2301,1)</f>
        <v>C</v>
      </c>
      <c r="AH2301" t="str">
        <f>K2301</f>
        <v>F</v>
      </c>
      <c r="AI2301" t="str">
        <f>LEFT(AF2301,1)</f>
        <v>B</v>
      </c>
      <c r="AJ2301" t="str">
        <f>LEFT(M2301,1)</f>
        <v>J</v>
      </c>
      <c r="AK2301" t="str">
        <f>_xlfn.CONCAT(AG2301,AH2301,AI2301,AJ2301)</f>
        <v>CFBJ</v>
      </c>
    </row>
    <row r="2302" spans="1:37" ht="15.75" hidden="1" customHeight="1" x14ac:dyDescent="0.2">
      <c r="A2302" s="1">
        <v>250406</v>
      </c>
      <c r="B2302" s="1" t="s">
        <v>3169</v>
      </c>
      <c r="C2302" s="1" t="s">
        <v>821</v>
      </c>
      <c r="D2302" s="1" t="s">
        <v>3185</v>
      </c>
      <c r="E2302" s="1" t="s">
        <v>61</v>
      </c>
      <c r="F2302" s="1" t="s">
        <v>88</v>
      </c>
      <c r="G2302" s="1" t="s">
        <v>3190</v>
      </c>
      <c r="H2302" s="1">
        <v>4742</v>
      </c>
      <c r="I2302" s="1" t="s">
        <v>3191</v>
      </c>
      <c r="J2302" s="1">
        <v>2729</v>
      </c>
      <c r="K2302" s="1" t="s">
        <v>35</v>
      </c>
      <c r="L2302" s="1">
        <v>47</v>
      </c>
      <c r="M2302" s="1" t="str">
        <f>IF(L2302&lt;=45,"Joven","Mayor")</f>
        <v>Mayor</v>
      </c>
      <c r="N2302" s="1">
        <v>57</v>
      </c>
      <c r="O2302" s="1" t="s">
        <v>36</v>
      </c>
      <c r="P2302" s="1">
        <v>7.5999999999999998E-2</v>
      </c>
      <c r="Q2302" s="1">
        <v>93.031999999999996</v>
      </c>
      <c r="R2302" s="1">
        <v>1.658177</v>
      </c>
      <c r="S2302" s="1">
        <v>5.3235270000000003</v>
      </c>
      <c r="T2302" s="1">
        <v>-5.4003379999999996</v>
      </c>
      <c r="U2302" s="1">
        <v>16.058</v>
      </c>
      <c r="V2302" s="1">
        <v>95</v>
      </c>
      <c r="W2302" s="1">
        <v>171</v>
      </c>
      <c r="X2302" s="1">
        <v>1.8</v>
      </c>
      <c r="Y2302" s="1">
        <v>101</v>
      </c>
      <c r="Z2302" s="1">
        <v>171</v>
      </c>
      <c r="AA2302" s="1">
        <v>1.693069306930693</v>
      </c>
      <c r="AB2302" s="1">
        <v>99.095814839718287</v>
      </c>
      <c r="AC2302" s="1">
        <v>170.99391450174471</v>
      </c>
      <c r="AD2302" s="1">
        <v>1.7255412327787749</v>
      </c>
      <c r="AE2302" t="s">
        <v>4817</v>
      </c>
      <c r="AF2302" t="str">
        <f>IF(X2302&lt;$AF$1,"Bajo","Alto")</f>
        <v>Alto</v>
      </c>
      <c r="AG2302" t="str">
        <f>LEFT(AE2302,1)</f>
        <v>C</v>
      </c>
      <c r="AH2302" t="str">
        <f>K2302</f>
        <v>M</v>
      </c>
      <c r="AI2302" t="str">
        <f>LEFT(AF2302,1)</f>
        <v>A</v>
      </c>
      <c r="AJ2302" t="str">
        <f>LEFT(M2302,1)</f>
        <v>M</v>
      </c>
      <c r="AK2302" t="str">
        <f>_xlfn.CONCAT(AG2302,AH2302,AI2302,AJ2302)</f>
        <v>CMAM</v>
      </c>
    </row>
    <row r="2303" spans="1:37" ht="15.75" hidden="1" customHeight="1" x14ac:dyDescent="0.2">
      <c r="A2303" s="1">
        <v>115204</v>
      </c>
      <c r="B2303" s="1" t="s">
        <v>1648</v>
      </c>
      <c r="C2303" s="1" t="s">
        <v>51</v>
      </c>
      <c r="D2303" s="1" t="s">
        <v>994</v>
      </c>
      <c r="E2303" s="1" t="s">
        <v>685</v>
      </c>
      <c r="F2303" s="1" t="s">
        <v>61</v>
      </c>
      <c r="G2303" s="1" t="s">
        <v>1723</v>
      </c>
      <c r="H2303" s="1">
        <v>906</v>
      </c>
      <c r="I2303" s="1" t="s">
        <v>42</v>
      </c>
      <c r="J2303" s="1">
        <v>15</v>
      </c>
      <c r="K2303" s="1" t="s">
        <v>49</v>
      </c>
      <c r="L2303" s="1">
        <v>41</v>
      </c>
      <c r="M2303" s="1" t="str">
        <f>IF(L2303&lt;=45,"Joven","Mayor")</f>
        <v>Joven</v>
      </c>
      <c r="N2303" s="1">
        <v>29</v>
      </c>
      <c r="O2303" s="1" t="s">
        <v>50</v>
      </c>
      <c r="P2303" s="1">
        <v>0.372</v>
      </c>
      <c r="Q2303" s="1">
        <v>89.301000000000002</v>
      </c>
      <c r="R2303" s="1">
        <v>4.2612519999999998</v>
      </c>
      <c r="S2303" s="1">
        <v>8.4124975000000006</v>
      </c>
      <c r="T2303" s="1">
        <v>-2.1674674</v>
      </c>
      <c r="U2303" s="1">
        <v>60.905999999999999</v>
      </c>
      <c r="V2303" s="1">
        <v>97</v>
      </c>
      <c r="W2303" s="1">
        <v>175</v>
      </c>
      <c r="X2303" s="1">
        <v>1.8041237113402062</v>
      </c>
      <c r="Y2303" s="1">
        <v>105</v>
      </c>
      <c r="Z2303" s="1">
        <v>175</v>
      </c>
      <c r="AA2303" s="1">
        <v>1.6666666666666667</v>
      </c>
      <c r="AB2303" s="1">
        <v>103.5633428196834</v>
      </c>
      <c r="AC2303" s="1">
        <v>175.29082121897551</v>
      </c>
      <c r="AD2303" s="1">
        <v>1.6925952411962844</v>
      </c>
      <c r="AE2303" t="s">
        <v>4817</v>
      </c>
      <c r="AF2303" t="str">
        <f>IF(X2303&lt;$AF$1,"Bajo","Alto")</f>
        <v>Alto</v>
      </c>
      <c r="AG2303" t="str">
        <f>LEFT(AE2303,1)</f>
        <v>C</v>
      </c>
      <c r="AH2303" t="str">
        <f>K2303</f>
        <v>F</v>
      </c>
      <c r="AI2303" t="str">
        <f>LEFT(AF2303,1)</f>
        <v>A</v>
      </c>
      <c r="AJ2303" t="str">
        <f>LEFT(M2303,1)</f>
        <v>J</v>
      </c>
      <c r="AK2303" t="str">
        <f>_xlfn.CONCAT(AG2303,AH2303,AI2303,AJ2303)</f>
        <v>CFAJ</v>
      </c>
    </row>
    <row r="2304" spans="1:37" ht="15.75" hidden="1" customHeight="1" x14ac:dyDescent="0.2">
      <c r="A2304" s="1">
        <v>2912702</v>
      </c>
      <c r="B2304" s="1" t="s">
        <v>3890</v>
      </c>
      <c r="C2304" s="1" t="s">
        <v>1695</v>
      </c>
      <c r="D2304" s="1" t="s">
        <v>3959</v>
      </c>
      <c r="E2304" s="1" t="s">
        <v>153</v>
      </c>
      <c r="F2304" s="1" t="s">
        <v>37</v>
      </c>
      <c r="G2304" s="1" t="s">
        <v>3961</v>
      </c>
      <c r="H2304" s="1">
        <v>737</v>
      </c>
      <c r="I2304" s="1" t="s">
        <v>39</v>
      </c>
      <c r="J2304" s="1">
        <v>11</v>
      </c>
      <c r="K2304" s="1" t="s">
        <v>35</v>
      </c>
      <c r="L2304" s="1">
        <v>40</v>
      </c>
      <c r="M2304" s="1" t="str">
        <f>IF(L2304&lt;=45,"Joven","Mayor")</f>
        <v>Joven</v>
      </c>
      <c r="N2304" s="1">
        <v>44</v>
      </c>
      <c r="O2304" s="1" t="s">
        <v>36</v>
      </c>
      <c r="P2304" s="1">
        <v>0.35599999999999998</v>
      </c>
      <c r="Q2304" s="1">
        <v>92.929000000000002</v>
      </c>
      <c r="R2304" s="1">
        <v>3.3240470000000002</v>
      </c>
      <c r="S2304" s="1">
        <v>0.73444940000000003</v>
      </c>
      <c r="T2304" s="1">
        <v>0.84213070000000001</v>
      </c>
      <c r="U2304" s="1">
        <v>1.28</v>
      </c>
      <c r="V2304" s="1">
        <v>94</v>
      </c>
      <c r="W2304" s="1">
        <v>162</v>
      </c>
      <c r="X2304" s="1">
        <v>1.7234042553191489</v>
      </c>
      <c r="Y2304" s="1">
        <v>101</v>
      </c>
      <c r="Z2304" s="1">
        <v>162</v>
      </c>
      <c r="AA2304" s="1">
        <v>1.6039603960396041</v>
      </c>
      <c r="AB2304" s="1">
        <v>100.3717988710582</v>
      </c>
      <c r="AC2304" s="1">
        <v>162.10008129236169</v>
      </c>
      <c r="AD2304" s="1">
        <v>1.6149962750055145</v>
      </c>
      <c r="AE2304" t="s">
        <v>4816</v>
      </c>
      <c r="AF2304" t="str">
        <f>IF(X2304&lt;$AF$1,"Bajo","Alto")</f>
        <v>Bajo</v>
      </c>
      <c r="AG2304" t="str">
        <f>LEFT(AE2304,1)</f>
        <v>D</v>
      </c>
      <c r="AH2304" t="str">
        <f>K2304</f>
        <v>M</v>
      </c>
      <c r="AI2304" t="str">
        <f>LEFT(AF2304,1)</f>
        <v>B</v>
      </c>
      <c r="AJ2304" t="str">
        <f>LEFT(M2304,1)</f>
        <v>J</v>
      </c>
      <c r="AK2304" t="str">
        <f>_xlfn.CONCAT(AG2304,AH2304,AI2304,AJ2304)</f>
        <v>DMBJ</v>
      </c>
    </row>
    <row r="2305" spans="1:37" ht="15.75" hidden="1" customHeight="1" x14ac:dyDescent="0.2">
      <c r="A2305" s="1">
        <v>2716907</v>
      </c>
      <c r="B2305" s="1" t="s">
        <v>3409</v>
      </c>
      <c r="C2305" s="1" t="s">
        <v>973</v>
      </c>
      <c r="D2305" s="1" t="s">
        <v>3548</v>
      </c>
      <c r="E2305" s="1" t="s">
        <v>279</v>
      </c>
      <c r="F2305" s="1" t="s">
        <v>43</v>
      </c>
      <c r="G2305" s="1" t="s">
        <v>3554</v>
      </c>
      <c r="H2305" s="1">
        <v>1207</v>
      </c>
      <c r="I2305" s="1" t="s">
        <v>3555</v>
      </c>
      <c r="J2305" s="1">
        <v>355</v>
      </c>
      <c r="K2305" s="1" t="s">
        <v>49</v>
      </c>
      <c r="L2305" s="1">
        <v>56</v>
      </c>
      <c r="M2305" s="1" t="str">
        <f>IF(L2305&lt;=45,"Joven","Mayor")</f>
        <v>Mayor</v>
      </c>
      <c r="N2305" s="1">
        <v>60</v>
      </c>
      <c r="O2305" s="1" t="s">
        <v>50</v>
      </c>
      <c r="P2305" s="1">
        <v>0.70499999999999996</v>
      </c>
      <c r="Q2305" s="1">
        <v>93.933999999999997</v>
      </c>
      <c r="R2305" s="1">
        <v>0.30544432999999999</v>
      </c>
      <c r="S2305" s="1">
        <v>4.217708</v>
      </c>
      <c r="T2305" s="1">
        <v>0.98660373999999995</v>
      </c>
      <c r="U2305" s="1">
        <v>75.694000000000003</v>
      </c>
      <c r="V2305" s="1">
        <v>84</v>
      </c>
      <c r="W2305" s="1">
        <v>145</v>
      </c>
      <c r="X2305" s="1">
        <v>1.7261904761904763</v>
      </c>
      <c r="Y2305" s="1">
        <v>89</v>
      </c>
      <c r="Z2305" s="1">
        <v>145</v>
      </c>
      <c r="AA2305" s="1">
        <v>1.6292134831460674</v>
      </c>
      <c r="AB2305" s="1">
        <v>88.521902519864852</v>
      </c>
      <c r="AC2305" s="1">
        <v>145.0990339404575</v>
      </c>
      <c r="AD2305" s="1">
        <v>1.6391314444229934</v>
      </c>
      <c r="AE2305" t="s">
        <v>4817</v>
      </c>
      <c r="AF2305" t="str">
        <f>IF(X2305&lt;$AF$1,"Bajo","Alto")</f>
        <v>Bajo</v>
      </c>
      <c r="AG2305" t="str">
        <f>LEFT(AE2305,1)</f>
        <v>C</v>
      </c>
      <c r="AH2305" t="str">
        <f>K2305</f>
        <v>F</v>
      </c>
      <c r="AI2305" t="str">
        <f>LEFT(AF2305,1)</f>
        <v>B</v>
      </c>
      <c r="AJ2305" t="str">
        <f>LEFT(M2305,1)</f>
        <v>M</v>
      </c>
      <c r="AK2305" t="str">
        <f>_xlfn.CONCAT(AG2305,AH2305,AI2305,AJ2305)</f>
        <v>CFBM</v>
      </c>
    </row>
    <row r="2306" spans="1:37" ht="15.75" hidden="1" customHeight="1" x14ac:dyDescent="0.2">
      <c r="A2306" s="1">
        <v>2510004</v>
      </c>
      <c r="B2306" s="1" t="s">
        <v>3169</v>
      </c>
      <c r="C2306" s="1" t="s">
        <v>821</v>
      </c>
      <c r="D2306" s="1" t="s">
        <v>3192</v>
      </c>
      <c r="E2306" s="1" t="s">
        <v>70</v>
      </c>
      <c r="F2306" s="1" t="s">
        <v>61</v>
      </c>
      <c r="G2306" s="1" t="s">
        <v>3195</v>
      </c>
      <c r="H2306" s="1">
        <v>16698</v>
      </c>
      <c r="I2306" s="1" t="s">
        <v>134</v>
      </c>
      <c r="J2306" s="1">
        <v>8</v>
      </c>
      <c r="K2306" s="1" t="s">
        <v>35</v>
      </c>
      <c r="L2306" s="1">
        <v>54</v>
      </c>
      <c r="M2306" s="1" t="str">
        <f>IF(L2306&lt;=45,"Joven","Mayor")</f>
        <v>Mayor</v>
      </c>
      <c r="N2306" s="1">
        <v>53</v>
      </c>
      <c r="O2306" s="1" t="s">
        <v>50</v>
      </c>
      <c r="P2306" s="1">
        <v>0.70699999999999996</v>
      </c>
      <c r="Q2306" s="1">
        <v>71.712999999999994</v>
      </c>
      <c r="R2306" s="1">
        <v>12.661246999999999</v>
      </c>
      <c r="S2306" s="1">
        <v>0.57834540000000001</v>
      </c>
      <c r="T2306" s="1">
        <v>-9.5935210000000009</v>
      </c>
      <c r="U2306" s="1">
        <v>32.494999999999997</v>
      </c>
      <c r="V2306" s="1">
        <v>85</v>
      </c>
      <c r="W2306" s="1">
        <v>153</v>
      </c>
      <c r="X2306" s="1">
        <v>1.8</v>
      </c>
      <c r="Y2306" s="1">
        <v>90</v>
      </c>
      <c r="Z2306" s="1">
        <v>153</v>
      </c>
      <c r="AA2306" s="1">
        <v>1.7</v>
      </c>
      <c r="AB2306" s="1">
        <v>92.644099776040321</v>
      </c>
      <c r="AC2306" s="1">
        <v>152.52685050371969</v>
      </c>
      <c r="AD2306" s="1">
        <v>1.6463741444133098</v>
      </c>
      <c r="AE2306" t="s">
        <v>4817</v>
      </c>
      <c r="AF2306" t="str">
        <f>IF(X2306&lt;$AF$1,"Bajo","Alto")</f>
        <v>Alto</v>
      </c>
      <c r="AG2306" t="str">
        <f>LEFT(AE2306,1)</f>
        <v>C</v>
      </c>
      <c r="AH2306" t="str">
        <f>K2306</f>
        <v>M</v>
      </c>
      <c r="AI2306" t="str">
        <f>LEFT(AF2306,1)</f>
        <v>A</v>
      </c>
      <c r="AJ2306" t="str">
        <f>LEFT(M2306,1)</f>
        <v>M</v>
      </c>
      <c r="AK2306" t="str">
        <f>_xlfn.CONCAT(AG2306,AH2306,AI2306,AJ2306)</f>
        <v>CMAM</v>
      </c>
    </row>
    <row r="2307" spans="1:37" ht="15.75" hidden="1" customHeight="1" x14ac:dyDescent="0.2">
      <c r="A2307" s="1">
        <v>155509</v>
      </c>
      <c r="B2307" s="1" t="s">
        <v>2077</v>
      </c>
      <c r="C2307" s="1" t="s">
        <v>57</v>
      </c>
      <c r="D2307" s="1" t="s">
        <v>2476</v>
      </c>
      <c r="E2307" s="1" t="s">
        <v>690</v>
      </c>
      <c r="F2307" s="1" t="s">
        <v>189</v>
      </c>
      <c r="G2307" s="1" t="s">
        <v>2481</v>
      </c>
      <c r="H2307" s="1">
        <v>573</v>
      </c>
      <c r="I2307" s="1" t="s">
        <v>93</v>
      </c>
      <c r="J2307" s="1">
        <v>9</v>
      </c>
      <c r="K2307" s="1" t="s">
        <v>35</v>
      </c>
      <c r="L2307" s="1">
        <v>52</v>
      </c>
      <c r="M2307" s="1" t="str">
        <f>IF(L2307&lt;=45,"Joven","Mayor")</f>
        <v>Mayor</v>
      </c>
      <c r="N2307" s="1">
        <v>60</v>
      </c>
      <c r="O2307" s="1" t="s">
        <v>36</v>
      </c>
      <c r="P2307" s="1">
        <v>0.29599999999999999</v>
      </c>
      <c r="Q2307" s="1">
        <v>91.173000000000002</v>
      </c>
      <c r="R2307" s="1">
        <v>2.9450563999999999</v>
      </c>
      <c r="S2307" s="1">
        <v>7.4783716</v>
      </c>
      <c r="T2307" s="1">
        <v>-10.127351000000001</v>
      </c>
      <c r="U2307" s="1">
        <v>1.89</v>
      </c>
      <c r="V2307" s="1">
        <v>84</v>
      </c>
      <c r="W2307" s="1">
        <v>146</v>
      </c>
      <c r="X2307" s="1">
        <v>1.7380952380952381</v>
      </c>
      <c r="Y2307" s="1">
        <v>91</v>
      </c>
      <c r="Z2307" s="1">
        <v>146</v>
      </c>
      <c r="AA2307" s="1">
        <v>1.6043956043956045</v>
      </c>
      <c r="AB2307" s="1">
        <v>91.483059397671923</v>
      </c>
      <c r="AC2307" s="1">
        <v>146.5386124398656</v>
      </c>
      <c r="AD2307" s="1">
        <v>1.6018114545434052</v>
      </c>
      <c r="AE2307" t="s">
        <v>4815</v>
      </c>
      <c r="AF2307" t="str">
        <f>IF(X2307&lt;$AF$1,"Bajo","Alto")</f>
        <v>Bajo</v>
      </c>
      <c r="AG2307" t="str">
        <f>LEFT(AE2307,1)</f>
        <v>I</v>
      </c>
      <c r="AH2307" t="str">
        <f>K2307</f>
        <v>M</v>
      </c>
      <c r="AI2307" t="str">
        <f>LEFT(AF2307,1)</f>
        <v>B</v>
      </c>
      <c r="AJ2307" t="str">
        <f>LEFT(M2307,1)</f>
        <v>M</v>
      </c>
      <c r="AK2307" t="str">
        <f>_xlfn.CONCAT(AG2307,AH2307,AI2307,AJ2307)</f>
        <v>IMBM</v>
      </c>
    </row>
    <row r="2308" spans="1:37" ht="15.75" hidden="1" customHeight="1" x14ac:dyDescent="0.2">
      <c r="A2308" s="1">
        <v>10719001</v>
      </c>
      <c r="B2308" s="1" t="s">
        <v>1067</v>
      </c>
      <c r="C2308" s="1" t="s">
        <v>1068</v>
      </c>
      <c r="D2308" s="1" t="s">
        <v>1203</v>
      </c>
      <c r="E2308" s="1" t="s">
        <v>320</v>
      </c>
      <c r="F2308" s="1" t="s">
        <v>32</v>
      </c>
      <c r="G2308" s="1" t="s">
        <v>1204</v>
      </c>
      <c r="H2308" s="1">
        <v>2580</v>
      </c>
      <c r="I2308" s="1" t="s">
        <v>39</v>
      </c>
      <c r="J2308" s="1">
        <v>11</v>
      </c>
      <c r="K2308" s="1" t="s">
        <v>35</v>
      </c>
      <c r="L2308" s="1">
        <v>48</v>
      </c>
      <c r="M2308" s="1" t="str">
        <f>IF(L2308&lt;=45,"Joven","Mayor")</f>
        <v>Mayor</v>
      </c>
      <c r="N2308" s="1">
        <v>45</v>
      </c>
      <c r="O2308" s="1" t="s">
        <v>36</v>
      </c>
      <c r="P2308" s="1">
        <v>0.36799999999999999</v>
      </c>
      <c r="Q2308" s="1">
        <v>93.043000000000006</v>
      </c>
      <c r="R2308" s="1">
        <v>1.2576555</v>
      </c>
      <c r="S2308" s="1">
        <v>-5.8304242999999998</v>
      </c>
      <c r="T2308" s="1">
        <v>4.8649281999999996</v>
      </c>
      <c r="U2308" s="1">
        <v>12.233000000000001</v>
      </c>
      <c r="V2308" s="1">
        <v>92</v>
      </c>
      <c r="W2308" s="1">
        <v>164</v>
      </c>
      <c r="X2308" s="1">
        <v>1.7826086956521738</v>
      </c>
      <c r="Y2308" s="1">
        <v>100</v>
      </c>
      <c r="Z2308" s="1">
        <v>164</v>
      </c>
      <c r="AA2308" s="1">
        <v>1.64</v>
      </c>
      <c r="AB2308" s="1">
        <v>96.16265141779445</v>
      </c>
      <c r="AC2308" s="1">
        <v>164.0876289538883</v>
      </c>
      <c r="AD2308" s="1">
        <v>1.7063550820888103</v>
      </c>
      <c r="AE2308" t="s">
        <v>4816</v>
      </c>
      <c r="AF2308" t="str">
        <f>IF(X2308&lt;$AF$1,"Bajo","Alto")</f>
        <v>Alto</v>
      </c>
      <c r="AG2308" t="str">
        <f>LEFT(AE2308,1)</f>
        <v>D</v>
      </c>
      <c r="AH2308" t="str">
        <f>K2308</f>
        <v>M</v>
      </c>
      <c r="AI2308" t="str">
        <f>LEFT(AF2308,1)</f>
        <v>A</v>
      </c>
      <c r="AJ2308" t="str">
        <f>LEFT(M2308,1)</f>
        <v>M</v>
      </c>
      <c r="AK2308" t="str">
        <f>_xlfn.CONCAT(AG2308,AH2308,AI2308,AJ2308)</f>
        <v>DMAM</v>
      </c>
    </row>
    <row r="2309" spans="1:37" ht="15.75" hidden="1" customHeight="1" x14ac:dyDescent="0.2">
      <c r="A2309" s="1">
        <v>10732504</v>
      </c>
      <c r="B2309" s="1" t="s">
        <v>1067</v>
      </c>
      <c r="C2309" s="1" t="s">
        <v>1068</v>
      </c>
      <c r="D2309" s="1" t="s">
        <v>1411</v>
      </c>
      <c r="E2309" s="1" t="s">
        <v>1412</v>
      </c>
      <c r="F2309" s="1" t="s">
        <v>61</v>
      </c>
      <c r="G2309" s="1" t="s">
        <v>1416</v>
      </c>
      <c r="H2309" s="1">
        <v>224</v>
      </c>
      <c r="I2309" s="1" t="s">
        <v>93</v>
      </c>
      <c r="J2309" s="1">
        <v>9</v>
      </c>
      <c r="K2309" s="1" t="s">
        <v>49</v>
      </c>
      <c r="L2309" s="1">
        <v>35</v>
      </c>
      <c r="M2309" s="1" t="str">
        <f>IF(L2309&lt;=45,"Joven","Mayor")</f>
        <v>Joven</v>
      </c>
      <c r="N2309" s="1">
        <v>25</v>
      </c>
      <c r="O2309" s="1" t="s">
        <v>50</v>
      </c>
      <c r="P2309" s="1">
        <v>0.39400000000000002</v>
      </c>
      <c r="Q2309" s="1">
        <v>87.796999999999997</v>
      </c>
      <c r="R2309" s="1">
        <v>6.4393187000000003</v>
      </c>
      <c r="S2309" s="1">
        <v>5.5669940000000002</v>
      </c>
      <c r="T2309" s="1">
        <v>-7.097029</v>
      </c>
      <c r="U2309" s="1">
        <v>21.274000000000001</v>
      </c>
      <c r="V2309" s="1">
        <v>89</v>
      </c>
      <c r="W2309" s="1">
        <v>154</v>
      </c>
      <c r="X2309" s="1">
        <v>1.7303370786516854</v>
      </c>
      <c r="Y2309" s="1">
        <v>97</v>
      </c>
      <c r="Z2309" s="1">
        <v>154</v>
      </c>
      <c r="AA2309" s="1">
        <v>1.5876288659793814</v>
      </c>
      <c r="AB2309" s="1">
        <v>94.248513753758743</v>
      </c>
      <c r="AC2309" s="1">
        <v>153.80850540906391</v>
      </c>
      <c r="AD2309" s="1">
        <v>1.6319462162651859</v>
      </c>
      <c r="AE2309" t="s">
        <v>4815</v>
      </c>
      <c r="AF2309" t="str">
        <f>IF(X2309&lt;$AF$1,"Bajo","Alto")</f>
        <v>Bajo</v>
      </c>
      <c r="AG2309" t="str">
        <f>LEFT(AE2309,1)</f>
        <v>I</v>
      </c>
      <c r="AH2309" t="str">
        <f>K2309</f>
        <v>F</v>
      </c>
      <c r="AI2309" t="str">
        <f>LEFT(AF2309,1)</f>
        <v>B</v>
      </c>
      <c r="AJ2309" t="str">
        <f>LEFT(M2309,1)</f>
        <v>J</v>
      </c>
      <c r="AK2309" t="str">
        <f>_xlfn.CONCAT(AG2309,AH2309,AI2309,AJ2309)</f>
        <v>IFBJ</v>
      </c>
    </row>
    <row r="2310" spans="1:37" ht="15.75" hidden="1" customHeight="1" x14ac:dyDescent="0.2">
      <c r="A2310" s="1">
        <v>2910504</v>
      </c>
      <c r="B2310" s="1" t="s">
        <v>3890</v>
      </c>
      <c r="C2310" s="1" t="s">
        <v>1695</v>
      </c>
      <c r="D2310" s="1" t="s">
        <v>3931</v>
      </c>
      <c r="E2310" s="1" t="s">
        <v>879</v>
      </c>
      <c r="F2310" s="1" t="s">
        <v>61</v>
      </c>
      <c r="G2310" s="1" t="s">
        <v>3934</v>
      </c>
      <c r="H2310" s="1">
        <v>3637</v>
      </c>
      <c r="I2310" s="1" t="s">
        <v>3935</v>
      </c>
      <c r="J2310" s="1">
        <v>3532</v>
      </c>
      <c r="K2310" s="1" t="s">
        <v>35</v>
      </c>
      <c r="L2310" s="1">
        <v>46</v>
      </c>
      <c r="M2310" s="1" t="str">
        <f>IF(L2310&lt;=45,"Joven","Mayor")</f>
        <v>Mayor</v>
      </c>
      <c r="N2310" s="1">
        <v>55</v>
      </c>
      <c r="O2310" s="1" t="s">
        <v>36</v>
      </c>
      <c r="P2310" s="1">
        <v>0.32400000000000001</v>
      </c>
      <c r="Q2310" s="1">
        <v>94.147999999999996</v>
      </c>
      <c r="R2310" s="1">
        <v>0.73088229999999998</v>
      </c>
      <c r="S2310" s="1">
        <v>-2.7558319999999998</v>
      </c>
      <c r="T2310" s="1">
        <v>-5.2214803999999999</v>
      </c>
      <c r="U2310" s="1">
        <v>6.3979999999999997</v>
      </c>
      <c r="V2310" s="1">
        <v>96</v>
      </c>
      <c r="W2310" s="1">
        <v>167</v>
      </c>
      <c r="X2310" s="1">
        <v>1.7395833333333333</v>
      </c>
      <c r="Y2310" s="1">
        <v>100</v>
      </c>
      <c r="Z2310" s="1">
        <v>167</v>
      </c>
      <c r="AA2310" s="1">
        <v>1.67</v>
      </c>
      <c r="AB2310" s="1">
        <v>99.787906603620968</v>
      </c>
      <c r="AC2310" s="1">
        <v>167.30807375357239</v>
      </c>
      <c r="AD2310" s="1">
        <v>1.6766367734133962</v>
      </c>
      <c r="AE2310" t="s">
        <v>4817</v>
      </c>
      <c r="AF2310" t="str">
        <f>IF(X2310&lt;$AF$1,"Bajo","Alto")</f>
        <v>Bajo</v>
      </c>
      <c r="AG2310" t="str">
        <f>LEFT(AE2310,1)</f>
        <v>C</v>
      </c>
      <c r="AH2310" t="str">
        <f>K2310</f>
        <v>M</v>
      </c>
      <c r="AI2310" t="str">
        <f>LEFT(AF2310,1)</f>
        <v>B</v>
      </c>
      <c r="AJ2310" t="str">
        <f>LEFT(M2310,1)</f>
        <v>M</v>
      </c>
      <c r="AK2310" t="str">
        <f>_xlfn.CONCAT(AG2310,AH2310,AI2310,AJ2310)</f>
        <v>CMBM</v>
      </c>
    </row>
    <row r="2311" spans="1:37" ht="15.75" hidden="1" customHeight="1" x14ac:dyDescent="0.2">
      <c r="A2311" s="1">
        <v>264002</v>
      </c>
      <c r="B2311" s="1" t="s">
        <v>3358</v>
      </c>
      <c r="C2311" s="1" t="s">
        <v>968</v>
      </c>
      <c r="D2311" s="1" t="s">
        <v>3389</v>
      </c>
      <c r="E2311" s="1" t="s">
        <v>657</v>
      </c>
      <c r="F2311" s="1" t="s">
        <v>37</v>
      </c>
      <c r="G2311" s="1" t="s">
        <v>3391</v>
      </c>
      <c r="H2311" s="1">
        <v>277</v>
      </c>
      <c r="I2311" s="1" t="s">
        <v>134</v>
      </c>
      <c r="J2311" s="1">
        <v>8</v>
      </c>
      <c r="K2311" s="1" t="s">
        <v>35</v>
      </c>
      <c r="L2311" s="1">
        <v>46</v>
      </c>
      <c r="M2311" s="1" t="str">
        <f>IF(L2311&lt;=45,"Joven","Mayor")</f>
        <v>Mayor</v>
      </c>
      <c r="N2311" s="1">
        <v>58</v>
      </c>
      <c r="O2311" s="1" t="s">
        <v>36</v>
      </c>
      <c r="P2311" s="1">
        <v>0.19500000000000001</v>
      </c>
      <c r="Q2311" s="1">
        <v>91.326999999999998</v>
      </c>
      <c r="R2311" s="1">
        <v>3.352528</v>
      </c>
      <c r="S2311" s="1">
        <v>6.3487672999999996</v>
      </c>
      <c r="T2311" s="1">
        <v>-6.4172387000000004</v>
      </c>
      <c r="U2311" s="1">
        <v>3.5779999999999998</v>
      </c>
      <c r="V2311" s="1">
        <v>115</v>
      </c>
      <c r="W2311" s="1">
        <v>207</v>
      </c>
      <c r="X2311" s="1">
        <v>1.8</v>
      </c>
      <c r="Y2311" s="1">
        <v>132</v>
      </c>
      <c r="Z2311" s="1">
        <v>207</v>
      </c>
      <c r="AA2311" s="1">
        <v>1.5681818181818181</v>
      </c>
      <c r="AB2311" s="1">
        <v>126.8139833479183</v>
      </c>
      <c r="AC2311" s="1">
        <v>208.2736698684607</v>
      </c>
      <c r="AD2311" s="1">
        <v>1.6423557116493621</v>
      </c>
      <c r="AE2311" t="s">
        <v>4817</v>
      </c>
      <c r="AF2311" t="str">
        <f>IF(X2311&lt;$AF$1,"Bajo","Alto")</f>
        <v>Alto</v>
      </c>
      <c r="AG2311" t="str">
        <f>LEFT(AE2311,1)</f>
        <v>C</v>
      </c>
      <c r="AH2311" t="str">
        <f>K2311</f>
        <v>M</v>
      </c>
      <c r="AI2311" t="str">
        <f>LEFT(AF2311,1)</f>
        <v>A</v>
      </c>
      <c r="AJ2311" t="str">
        <f>LEFT(M2311,1)</f>
        <v>M</v>
      </c>
      <c r="AK2311" t="str">
        <f>_xlfn.CONCAT(AG2311,AH2311,AI2311,AJ2311)</f>
        <v>CMAM</v>
      </c>
    </row>
    <row r="2312" spans="1:37" ht="15.75" hidden="1" customHeight="1" x14ac:dyDescent="0.2">
      <c r="A2312" s="1">
        <v>313105</v>
      </c>
      <c r="B2312" s="1" t="s">
        <v>4122</v>
      </c>
      <c r="C2312" s="1" t="s">
        <v>628</v>
      </c>
      <c r="D2312" s="1" t="s">
        <v>798</v>
      </c>
      <c r="E2312" s="1" t="s">
        <v>628</v>
      </c>
      <c r="F2312" s="1" t="s">
        <v>40</v>
      </c>
      <c r="G2312" s="1" t="s">
        <v>4201</v>
      </c>
      <c r="H2312" s="1">
        <v>15173</v>
      </c>
      <c r="I2312" s="1" t="s">
        <v>108</v>
      </c>
      <c r="J2312" s="1">
        <v>3</v>
      </c>
      <c r="K2312" s="1" t="s">
        <v>35</v>
      </c>
      <c r="L2312" s="1">
        <v>60</v>
      </c>
      <c r="M2312" s="1" t="str">
        <f>IF(L2312&lt;=45,"Joven","Mayor")</f>
        <v>Mayor</v>
      </c>
      <c r="N2312" s="1">
        <v>45</v>
      </c>
      <c r="O2312" s="1" t="s">
        <v>36</v>
      </c>
      <c r="P2312" s="1">
        <v>0.41299999999999998</v>
      </c>
      <c r="Q2312" s="1">
        <v>92.891999999999996</v>
      </c>
      <c r="R2312" s="1">
        <v>2.3500657</v>
      </c>
      <c r="S2312" s="1">
        <v>3.9089464999999999</v>
      </c>
      <c r="T2312" s="1">
        <v>-4.7048639999999997</v>
      </c>
      <c r="U2312" s="1">
        <v>3.1379999999999999</v>
      </c>
      <c r="V2312" s="1">
        <v>105</v>
      </c>
      <c r="W2312" s="1">
        <v>189</v>
      </c>
      <c r="X2312" s="1">
        <v>1.8</v>
      </c>
      <c r="Y2312" s="1">
        <v>114</v>
      </c>
      <c r="Z2312" s="1">
        <v>189</v>
      </c>
      <c r="AA2312" s="1">
        <v>1.6578947368421053</v>
      </c>
      <c r="AB2312" s="1">
        <v>109.76078226759201</v>
      </c>
      <c r="AC2312" s="1">
        <v>189.42945125156939</v>
      </c>
      <c r="AD2312" s="1">
        <v>1.7258391142817171</v>
      </c>
      <c r="AE2312" t="s">
        <v>4817</v>
      </c>
      <c r="AF2312" t="str">
        <f>IF(X2312&lt;$AF$1,"Bajo","Alto")</f>
        <v>Alto</v>
      </c>
      <c r="AG2312" t="str">
        <f>LEFT(AE2312,1)</f>
        <v>C</v>
      </c>
      <c r="AH2312" t="str">
        <f>K2312</f>
        <v>M</v>
      </c>
      <c r="AI2312" t="str">
        <f>LEFT(AF2312,1)</f>
        <v>A</v>
      </c>
      <c r="AJ2312" t="str">
        <f>LEFT(M2312,1)</f>
        <v>M</v>
      </c>
      <c r="AK2312" t="str">
        <f>_xlfn.CONCAT(AG2312,AH2312,AI2312,AJ2312)</f>
        <v>CMAM</v>
      </c>
    </row>
    <row r="2313" spans="1:37" ht="15.75" hidden="1" customHeight="1" x14ac:dyDescent="0.2">
      <c r="A2313" s="1">
        <v>1522303</v>
      </c>
      <c r="B2313" s="1" t="s">
        <v>2077</v>
      </c>
      <c r="C2313" s="1" t="s">
        <v>57</v>
      </c>
      <c r="D2313" s="1" t="s">
        <v>2261</v>
      </c>
      <c r="E2313" s="1" t="s">
        <v>423</v>
      </c>
      <c r="F2313" s="1" t="s">
        <v>63</v>
      </c>
      <c r="G2313" s="1" t="s">
        <v>2264</v>
      </c>
      <c r="H2313" s="1">
        <v>2372</v>
      </c>
      <c r="I2313" s="1" t="s">
        <v>2265</v>
      </c>
      <c r="J2313" s="1">
        <v>2457</v>
      </c>
      <c r="K2313" s="1" t="s">
        <v>35</v>
      </c>
      <c r="L2313" s="1">
        <v>30</v>
      </c>
      <c r="M2313" s="1" t="str">
        <f>IF(L2313&lt;=45,"Joven","Mayor")</f>
        <v>Joven</v>
      </c>
      <c r="N2313" s="1">
        <v>40</v>
      </c>
      <c r="O2313" s="1" t="s">
        <v>36</v>
      </c>
      <c r="P2313" s="1">
        <v>0.35099999999999998</v>
      </c>
      <c r="Q2313" s="1">
        <v>71.224999999999994</v>
      </c>
      <c r="R2313" s="1">
        <v>11.713848</v>
      </c>
      <c r="S2313" s="1">
        <v>7.5057716000000001</v>
      </c>
      <c r="T2313" s="1">
        <v>-3.8365087999999998</v>
      </c>
      <c r="U2313" s="1">
        <v>5.6989999999999998</v>
      </c>
      <c r="V2313" s="1">
        <v>75</v>
      </c>
      <c r="W2313" s="1">
        <v>131</v>
      </c>
      <c r="X2313" s="1">
        <v>1.7466666666666666</v>
      </c>
      <c r="Y2313" s="1">
        <v>76</v>
      </c>
      <c r="Z2313" s="1">
        <v>131</v>
      </c>
      <c r="AA2313" s="1">
        <v>1.7236842105263157</v>
      </c>
      <c r="AB2313" s="1">
        <v>78.238435393882583</v>
      </c>
      <c r="AC2313" s="1">
        <v>130.84025309634899</v>
      </c>
      <c r="AD2313" s="1">
        <v>1.6723270658168008</v>
      </c>
      <c r="AE2313" t="s">
        <v>4817</v>
      </c>
      <c r="AF2313" t="str">
        <f>IF(X2313&lt;$AF$1,"Bajo","Alto")</f>
        <v>Bajo</v>
      </c>
      <c r="AG2313" t="str">
        <f>LEFT(AE2313,1)</f>
        <v>C</v>
      </c>
      <c r="AH2313" t="str">
        <f>K2313</f>
        <v>M</v>
      </c>
      <c r="AI2313" t="str">
        <f>LEFT(AF2313,1)</f>
        <v>B</v>
      </c>
      <c r="AJ2313" t="str">
        <f>LEFT(M2313,1)</f>
        <v>J</v>
      </c>
      <c r="AK2313" t="str">
        <f>_xlfn.CONCAT(AG2313,AH2313,AI2313,AJ2313)</f>
        <v>CMBJ</v>
      </c>
    </row>
    <row r="2314" spans="1:37" ht="15.75" hidden="1" customHeight="1" x14ac:dyDescent="0.2">
      <c r="A2314" s="1">
        <v>240105</v>
      </c>
      <c r="B2314" s="1" t="s">
        <v>1548</v>
      </c>
      <c r="C2314" s="1" t="s">
        <v>1993</v>
      </c>
      <c r="D2314" s="1" t="s">
        <v>3118</v>
      </c>
      <c r="E2314" s="1" t="s">
        <v>32</v>
      </c>
      <c r="F2314" s="1" t="s">
        <v>40</v>
      </c>
      <c r="G2314" s="1" t="s">
        <v>3121</v>
      </c>
      <c r="H2314" s="1">
        <v>931</v>
      </c>
      <c r="I2314" s="1" t="s">
        <v>3122</v>
      </c>
      <c r="J2314" s="1">
        <v>1009</v>
      </c>
      <c r="K2314" s="1" t="s">
        <v>35</v>
      </c>
      <c r="L2314" s="1">
        <v>56</v>
      </c>
      <c r="M2314" s="1" t="str">
        <f>IF(L2314&lt;=45,"Joven","Mayor")</f>
        <v>Mayor</v>
      </c>
      <c r="N2314" s="1">
        <v>58</v>
      </c>
      <c r="O2314" s="1" t="s">
        <v>36</v>
      </c>
      <c r="P2314" s="1">
        <v>0.34100000000000003</v>
      </c>
      <c r="Q2314" s="1">
        <v>36.408999999999999</v>
      </c>
      <c r="R2314" s="1">
        <v>17.756180000000001</v>
      </c>
      <c r="S2314" s="1">
        <v>1.3602852000000001</v>
      </c>
      <c r="T2314" s="1">
        <v>-3.3779602</v>
      </c>
      <c r="U2314" s="1">
        <v>1.778</v>
      </c>
      <c r="V2314" s="1">
        <v>99</v>
      </c>
      <c r="W2314" s="1">
        <v>178</v>
      </c>
      <c r="X2314" s="1">
        <v>1.797979797979798</v>
      </c>
      <c r="Y2314" s="1">
        <v>102</v>
      </c>
      <c r="Z2314" s="1">
        <v>178</v>
      </c>
      <c r="AA2314" s="1">
        <v>1.7450980392156863</v>
      </c>
      <c r="AB2314" s="1">
        <v>101.30273408702151</v>
      </c>
      <c r="AC2314" s="1">
        <v>177.21935794194181</v>
      </c>
      <c r="AD2314" s="1">
        <v>1.7494035036577205</v>
      </c>
      <c r="AE2314" t="s">
        <v>4817</v>
      </c>
      <c r="AF2314" t="str">
        <f>IF(X2314&lt;$AF$1,"Bajo","Alto")</f>
        <v>Alto</v>
      </c>
      <c r="AG2314" t="str">
        <f>LEFT(AE2314,1)</f>
        <v>C</v>
      </c>
      <c r="AH2314" t="str">
        <f>K2314</f>
        <v>M</v>
      </c>
      <c r="AI2314" t="str">
        <f>LEFT(AF2314,1)</f>
        <v>A</v>
      </c>
      <c r="AJ2314" t="str">
        <f>LEFT(M2314,1)</f>
        <v>M</v>
      </c>
      <c r="AK2314" t="str">
        <f>_xlfn.CONCAT(AG2314,AH2314,AI2314,AJ2314)</f>
        <v>CMAM</v>
      </c>
    </row>
    <row r="2315" spans="1:37" ht="15.75" hidden="1" customHeight="1" x14ac:dyDescent="0.2">
      <c r="A2315" s="1">
        <v>600109</v>
      </c>
      <c r="B2315" s="1" t="s">
        <v>4700</v>
      </c>
      <c r="C2315" s="1" t="s">
        <v>1458</v>
      </c>
      <c r="D2315" s="1" t="s">
        <v>4701</v>
      </c>
      <c r="E2315" s="1" t="s">
        <v>32</v>
      </c>
      <c r="F2315" s="1" t="s">
        <v>189</v>
      </c>
      <c r="G2315" s="1" t="s">
        <v>4709</v>
      </c>
      <c r="H2315" s="1">
        <v>2364</v>
      </c>
      <c r="I2315" s="1" t="s">
        <v>93</v>
      </c>
      <c r="J2315" s="1">
        <v>9</v>
      </c>
      <c r="K2315" s="1" t="s">
        <v>35</v>
      </c>
      <c r="L2315" s="1">
        <v>58</v>
      </c>
      <c r="M2315" s="1" t="str">
        <f>IF(L2315&lt;=45,"Joven","Mayor")</f>
        <v>Mayor</v>
      </c>
      <c r="N2315" s="1">
        <v>61</v>
      </c>
      <c r="O2315" s="1" t="s">
        <v>36</v>
      </c>
      <c r="P2315" s="1">
        <v>0.35299999999999998</v>
      </c>
      <c r="Q2315" s="1">
        <v>91.600999999999999</v>
      </c>
      <c r="R2315" s="1">
        <v>1.3226062999999999</v>
      </c>
      <c r="S2315" s="1">
        <v>9.2311940000000003</v>
      </c>
      <c r="T2315" s="1">
        <v>-6.3643599999999996</v>
      </c>
      <c r="U2315" s="1">
        <v>83.179000000000002</v>
      </c>
      <c r="V2315" s="1">
        <v>88</v>
      </c>
      <c r="W2315" s="1">
        <v>153</v>
      </c>
      <c r="X2315" s="1">
        <v>1.7386363636363635</v>
      </c>
      <c r="Y2315" s="1">
        <v>94</v>
      </c>
      <c r="Z2315" s="1">
        <v>153</v>
      </c>
      <c r="AA2315" s="1">
        <v>1.6276595744680851</v>
      </c>
      <c r="AB2315" s="1">
        <v>92.335094761239816</v>
      </c>
      <c r="AC2315" s="1">
        <v>153.16557838967859</v>
      </c>
      <c r="AD2315" s="1">
        <v>1.6588013342676942</v>
      </c>
      <c r="AE2315" t="s">
        <v>4815</v>
      </c>
      <c r="AF2315" t="str">
        <f>IF(X2315&lt;$AF$1,"Bajo","Alto")</f>
        <v>Bajo</v>
      </c>
      <c r="AG2315" t="str">
        <f>LEFT(AE2315,1)</f>
        <v>I</v>
      </c>
      <c r="AH2315" t="str">
        <f>K2315</f>
        <v>M</v>
      </c>
      <c r="AI2315" t="str">
        <f>LEFT(AF2315,1)</f>
        <v>B</v>
      </c>
      <c r="AJ2315" t="str">
        <f>LEFT(M2315,1)</f>
        <v>M</v>
      </c>
      <c r="AK2315" t="str">
        <f>_xlfn.CONCAT(AG2315,AH2315,AI2315,AJ2315)</f>
        <v>IMBM</v>
      </c>
    </row>
    <row r="2316" spans="1:37" ht="15.75" hidden="1" customHeight="1" x14ac:dyDescent="0.2">
      <c r="A2316" s="1">
        <v>170404</v>
      </c>
      <c r="B2316" s="1" t="s">
        <v>2551</v>
      </c>
      <c r="C2316" s="1" t="s">
        <v>2552</v>
      </c>
      <c r="D2316" s="1" t="s">
        <v>2563</v>
      </c>
      <c r="E2316" s="1" t="s">
        <v>61</v>
      </c>
      <c r="F2316" s="1" t="s">
        <v>61</v>
      </c>
      <c r="G2316" s="1" t="s">
        <v>2566</v>
      </c>
      <c r="H2316" s="1">
        <v>2022</v>
      </c>
      <c r="I2316" s="1" t="s">
        <v>2567</v>
      </c>
      <c r="J2316" s="1">
        <v>3222</v>
      </c>
      <c r="K2316" s="1" t="s">
        <v>49</v>
      </c>
      <c r="L2316" s="1">
        <v>44</v>
      </c>
      <c r="M2316" s="1" t="str">
        <f>IF(L2316&lt;=45,"Joven","Mayor")</f>
        <v>Joven</v>
      </c>
      <c r="N2316" s="1">
        <v>36</v>
      </c>
      <c r="O2316" s="1" t="s">
        <v>50</v>
      </c>
      <c r="P2316" s="1">
        <v>5.5E-2</v>
      </c>
      <c r="Q2316" s="1">
        <v>14.635</v>
      </c>
      <c r="R2316" s="1">
        <v>20.828071999999999</v>
      </c>
      <c r="S2316" s="1">
        <v>-1.5053095999999999</v>
      </c>
      <c r="T2316" s="1">
        <v>-10.305332999999999</v>
      </c>
      <c r="U2316" s="1">
        <v>41.722999999999999</v>
      </c>
      <c r="V2316" s="1">
        <v>78</v>
      </c>
      <c r="W2316" s="1">
        <v>136</v>
      </c>
      <c r="X2316" s="1">
        <v>1.7435897435897436</v>
      </c>
      <c r="Y2316" s="1">
        <v>85</v>
      </c>
      <c r="Z2316" s="1">
        <v>136</v>
      </c>
      <c r="AA2316" s="1">
        <v>1.6</v>
      </c>
      <c r="AB2316" s="1">
        <v>81.929654492651935</v>
      </c>
      <c r="AC2316" s="1">
        <v>133.98499497503329</v>
      </c>
      <c r="AD2316" s="1">
        <v>1.6353662883693727</v>
      </c>
      <c r="AE2316" t="s">
        <v>4817</v>
      </c>
      <c r="AF2316" t="str">
        <f>IF(X2316&lt;$AF$1,"Bajo","Alto")</f>
        <v>Bajo</v>
      </c>
      <c r="AG2316" t="str">
        <f>LEFT(AE2316,1)</f>
        <v>C</v>
      </c>
      <c r="AH2316" t="str">
        <f>K2316</f>
        <v>F</v>
      </c>
      <c r="AI2316" t="str">
        <f>LEFT(AF2316,1)</f>
        <v>B</v>
      </c>
      <c r="AJ2316" t="str">
        <f>LEFT(M2316,1)</f>
        <v>J</v>
      </c>
      <c r="AK2316" t="str">
        <f>_xlfn.CONCAT(AG2316,AH2316,AI2316,AJ2316)</f>
        <v>CFBJ</v>
      </c>
    </row>
    <row r="2317" spans="1:37" ht="15.75" hidden="1" customHeight="1" x14ac:dyDescent="0.2">
      <c r="A2317" s="1">
        <v>10120803</v>
      </c>
      <c r="B2317" s="1" t="s">
        <v>29</v>
      </c>
      <c r="C2317" s="1" t="s">
        <v>30</v>
      </c>
      <c r="D2317" s="1" t="s">
        <v>377</v>
      </c>
      <c r="E2317" s="1" t="s">
        <v>378</v>
      </c>
      <c r="F2317" s="1" t="s">
        <v>63</v>
      </c>
      <c r="G2317" s="1" t="s">
        <v>380</v>
      </c>
      <c r="H2317" s="1">
        <v>1716</v>
      </c>
      <c r="I2317" s="1" t="s">
        <v>48</v>
      </c>
      <c r="J2317" s="1">
        <v>4</v>
      </c>
      <c r="K2317" s="1" t="s">
        <v>35</v>
      </c>
      <c r="L2317" s="1">
        <v>36</v>
      </c>
      <c r="M2317" s="1" t="str">
        <f>IF(L2317&lt;=45,"Joven","Mayor")</f>
        <v>Joven</v>
      </c>
      <c r="N2317" s="1">
        <v>35</v>
      </c>
      <c r="O2317" s="1" t="s">
        <v>36</v>
      </c>
      <c r="P2317" s="1">
        <v>0.47899999999999998</v>
      </c>
      <c r="Q2317" s="1">
        <v>94.46</v>
      </c>
      <c r="R2317" s="1">
        <v>0.59469514999999995</v>
      </c>
      <c r="S2317" s="1">
        <v>1.2446107</v>
      </c>
      <c r="T2317" s="1">
        <v>2.4238944</v>
      </c>
      <c r="U2317" s="1">
        <v>3.77</v>
      </c>
      <c r="V2317" s="1">
        <v>80</v>
      </c>
      <c r="W2317" s="1">
        <v>144</v>
      </c>
      <c r="X2317" s="1">
        <v>1.8</v>
      </c>
      <c r="Y2317" s="1">
        <v>81</v>
      </c>
      <c r="Z2317" s="1">
        <v>144</v>
      </c>
      <c r="AA2317" s="1">
        <v>1.7777777777777777</v>
      </c>
      <c r="AB2317" s="1">
        <v>81.577822853504358</v>
      </c>
      <c r="AC2317" s="1">
        <v>143.87116025707201</v>
      </c>
      <c r="AD2317" s="1">
        <v>1.7636062746542358</v>
      </c>
      <c r="AE2317" t="s">
        <v>4817</v>
      </c>
      <c r="AF2317" t="str">
        <f>IF(X2317&lt;$AF$1,"Bajo","Alto")</f>
        <v>Alto</v>
      </c>
      <c r="AG2317" t="str">
        <f>LEFT(AE2317,1)</f>
        <v>C</v>
      </c>
      <c r="AH2317" t="str">
        <f>K2317</f>
        <v>M</v>
      </c>
      <c r="AI2317" t="str">
        <f>LEFT(AF2317,1)</f>
        <v>A</v>
      </c>
      <c r="AJ2317" t="str">
        <f>LEFT(M2317,1)</f>
        <v>J</v>
      </c>
      <c r="AK2317" t="str">
        <f>_xlfn.CONCAT(AG2317,AH2317,AI2317,AJ2317)</f>
        <v>CMAJ</v>
      </c>
    </row>
    <row r="2318" spans="1:37" ht="15.75" hidden="1" customHeight="1" x14ac:dyDescent="0.2">
      <c r="A2318" s="1">
        <v>119101</v>
      </c>
      <c r="B2318" s="1" t="s">
        <v>1648</v>
      </c>
      <c r="C2318" s="1" t="s">
        <v>51</v>
      </c>
      <c r="D2318" s="1" t="s">
        <v>1788</v>
      </c>
      <c r="E2318" s="1" t="s">
        <v>770</v>
      </c>
      <c r="F2318" s="1" t="s">
        <v>32</v>
      </c>
      <c r="G2318" s="1" t="s">
        <v>1789</v>
      </c>
      <c r="H2318" s="1">
        <v>4569</v>
      </c>
      <c r="I2318" s="1" t="s">
        <v>65</v>
      </c>
      <c r="J2318" s="1">
        <v>2</v>
      </c>
      <c r="K2318" s="1" t="s">
        <v>35</v>
      </c>
      <c r="L2318" s="1">
        <v>58</v>
      </c>
      <c r="M2318" s="1" t="str">
        <f>IF(L2318&lt;=45,"Joven","Mayor")</f>
        <v>Mayor</v>
      </c>
      <c r="N2318" s="1">
        <v>59</v>
      </c>
      <c r="O2318" s="1" t="s">
        <v>36</v>
      </c>
      <c r="P2318" s="1">
        <v>6.8000000000000005E-2</v>
      </c>
      <c r="Q2318" s="1">
        <v>85.882999999999996</v>
      </c>
      <c r="R2318" s="1">
        <v>8.0385980000000004</v>
      </c>
      <c r="S2318" s="1">
        <v>3.7159724000000001</v>
      </c>
      <c r="T2318" s="1">
        <v>-5.6056613999999998</v>
      </c>
      <c r="U2318" s="1">
        <v>1.2490000000000001</v>
      </c>
      <c r="V2318" s="1">
        <v>84</v>
      </c>
      <c r="W2318" s="1">
        <v>151</v>
      </c>
      <c r="X2318" s="1">
        <v>1.7976190476190477</v>
      </c>
      <c r="Y2318" s="1">
        <v>85</v>
      </c>
      <c r="Z2318" s="1">
        <v>151</v>
      </c>
      <c r="AA2318" s="1">
        <v>1.776470588235294</v>
      </c>
      <c r="AB2318" s="1">
        <v>88.891483462736687</v>
      </c>
      <c r="AC2318" s="1">
        <v>150.66860564657549</v>
      </c>
      <c r="AD2318" s="1">
        <v>1.6949723390513083</v>
      </c>
      <c r="AE2318" t="s">
        <v>4817</v>
      </c>
      <c r="AF2318" t="str">
        <f>IF(X2318&lt;$AF$1,"Bajo","Alto")</f>
        <v>Alto</v>
      </c>
      <c r="AG2318" t="str">
        <f>LEFT(AE2318,1)</f>
        <v>C</v>
      </c>
      <c r="AH2318" t="str">
        <f>K2318</f>
        <v>M</v>
      </c>
      <c r="AI2318" t="str">
        <f>LEFT(AF2318,1)</f>
        <v>A</v>
      </c>
      <c r="AJ2318" t="str">
        <f>LEFT(M2318,1)</f>
        <v>M</v>
      </c>
      <c r="AK2318" t="str">
        <f>_xlfn.CONCAT(AG2318,AH2318,AI2318,AJ2318)</f>
        <v>CMAM</v>
      </c>
    </row>
    <row r="2319" spans="1:37" ht="15.75" hidden="1" customHeight="1" x14ac:dyDescent="0.2">
      <c r="A2319" s="1">
        <v>643002</v>
      </c>
      <c r="B2319" s="1" t="s">
        <v>4718</v>
      </c>
      <c r="C2319" s="1" t="s">
        <v>710</v>
      </c>
      <c r="D2319" s="1" t="s">
        <v>4783</v>
      </c>
      <c r="E2319" s="1" t="s">
        <v>2381</v>
      </c>
      <c r="F2319" s="1" t="s">
        <v>37</v>
      </c>
      <c r="G2319" s="1" t="s">
        <v>4785</v>
      </c>
      <c r="H2319" s="1">
        <v>3851</v>
      </c>
      <c r="I2319" s="1" t="s">
        <v>65</v>
      </c>
      <c r="J2319" s="1">
        <v>2</v>
      </c>
      <c r="K2319" s="1" t="s">
        <v>35</v>
      </c>
      <c r="L2319" s="1">
        <v>54</v>
      </c>
      <c r="M2319" s="1" t="str">
        <f>IF(L2319&lt;=45,"Joven","Mayor")</f>
        <v>Mayor</v>
      </c>
      <c r="N2319" s="1">
        <v>51</v>
      </c>
      <c r="O2319" s="1" t="s">
        <v>36</v>
      </c>
      <c r="P2319" s="1">
        <v>0.35899999999999999</v>
      </c>
      <c r="Q2319" s="1">
        <v>74.272999999999996</v>
      </c>
      <c r="R2319" s="1">
        <v>-12.210035</v>
      </c>
      <c r="S2319" s="1">
        <v>0.17281658999999999</v>
      </c>
      <c r="T2319" s="1">
        <v>5.6522965000000003</v>
      </c>
      <c r="U2319" s="1">
        <v>32.917999999999999</v>
      </c>
      <c r="V2319" s="1">
        <v>96</v>
      </c>
      <c r="W2319" s="1">
        <v>167</v>
      </c>
      <c r="X2319" s="1">
        <v>1.7395833333333333</v>
      </c>
      <c r="Y2319" s="1">
        <v>99</v>
      </c>
      <c r="Z2319" s="1">
        <v>167</v>
      </c>
      <c r="AA2319" s="1">
        <v>1.6868686868686869</v>
      </c>
      <c r="AB2319" s="1">
        <v>99.27590749278761</v>
      </c>
      <c r="AC2319" s="1">
        <v>166.08954089293999</v>
      </c>
      <c r="AD2319" s="1">
        <v>1.6730095456947234</v>
      </c>
      <c r="AE2319" t="s">
        <v>4817</v>
      </c>
      <c r="AF2319" t="str">
        <f>IF(X2319&lt;$AF$1,"Bajo","Alto")</f>
        <v>Bajo</v>
      </c>
      <c r="AG2319" t="str">
        <f>LEFT(AE2319,1)</f>
        <v>C</v>
      </c>
      <c r="AH2319" t="str">
        <f>K2319</f>
        <v>M</v>
      </c>
      <c r="AI2319" t="str">
        <f>LEFT(AF2319,1)</f>
        <v>B</v>
      </c>
      <c r="AJ2319" t="str">
        <f>LEFT(M2319,1)</f>
        <v>M</v>
      </c>
      <c r="AK2319" t="str">
        <f>_xlfn.CONCAT(AG2319,AH2319,AI2319,AJ2319)</f>
        <v>CMBM</v>
      </c>
    </row>
    <row r="2320" spans="1:37" ht="15.75" hidden="1" customHeight="1" x14ac:dyDescent="0.2">
      <c r="A2320" s="1">
        <v>10112102</v>
      </c>
      <c r="B2320" s="1" t="s">
        <v>29</v>
      </c>
      <c r="C2320" s="1" t="s">
        <v>30</v>
      </c>
      <c r="D2320" s="1" t="s">
        <v>135</v>
      </c>
      <c r="E2320" s="1" t="s">
        <v>136</v>
      </c>
      <c r="F2320" s="1" t="s">
        <v>37</v>
      </c>
      <c r="G2320" s="1" t="s">
        <v>138</v>
      </c>
      <c r="H2320" s="1">
        <v>8707</v>
      </c>
      <c r="I2320" s="1" t="s">
        <v>48</v>
      </c>
      <c r="J2320" s="1">
        <v>4</v>
      </c>
      <c r="K2320" s="1" t="s">
        <v>49</v>
      </c>
      <c r="L2320" s="1">
        <v>51</v>
      </c>
      <c r="M2320" s="1" t="str">
        <f>IF(L2320&lt;=45,"Joven","Mayor")</f>
        <v>Mayor</v>
      </c>
      <c r="N2320" s="1">
        <v>54</v>
      </c>
      <c r="O2320" s="1" t="s">
        <v>50</v>
      </c>
      <c r="P2320" s="1">
        <v>0.27100000000000002</v>
      </c>
      <c r="Q2320" s="1">
        <v>86.432000000000002</v>
      </c>
      <c r="R2320" s="1">
        <v>5.1907880000000004</v>
      </c>
      <c r="S2320" s="1">
        <v>10.715452000000001</v>
      </c>
      <c r="T2320" s="1">
        <v>-6.1206370000000003</v>
      </c>
      <c r="U2320" s="1">
        <v>77.706000000000003</v>
      </c>
      <c r="V2320" s="1">
        <v>103</v>
      </c>
      <c r="W2320" s="1">
        <v>184</v>
      </c>
      <c r="X2320" s="1">
        <v>1.7864077669902914</v>
      </c>
      <c r="Y2320" s="1">
        <v>113</v>
      </c>
      <c r="Z2320" s="1">
        <v>184</v>
      </c>
      <c r="AA2320" s="1">
        <v>1.6283185840707965</v>
      </c>
      <c r="AB2320" s="1">
        <v>108.38370300574979</v>
      </c>
      <c r="AC2320" s="1">
        <v>184.23059383482311</v>
      </c>
      <c r="AD2320" s="1">
        <v>1.6997997736343222</v>
      </c>
      <c r="AE2320" t="s">
        <v>4817</v>
      </c>
      <c r="AF2320" t="str">
        <f>IF(X2320&lt;$AF$1,"Bajo","Alto")</f>
        <v>Alto</v>
      </c>
      <c r="AG2320" t="str">
        <f>LEFT(AE2320,1)</f>
        <v>C</v>
      </c>
      <c r="AH2320" t="str">
        <f>K2320</f>
        <v>F</v>
      </c>
      <c r="AI2320" t="str">
        <f>LEFT(AF2320,1)</f>
        <v>A</v>
      </c>
      <c r="AJ2320" t="str">
        <f>LEFT(M2320,1)</f>
        <v>M</v>
      </c>
      <c r="AK2320" t="str">
        <f>_xlfn.CONCAT(AG2320,AH2320,AI2320,AJ2320)</f>
        <v>CFAM</v>
      </c>
    </row>
    <row r="2321" spans="1:37" ht="15.75" hidden="1" customHeight="1" x14ac:dyDescent="0.2">
      <c r="A2321" s="1">
        <v>1030101</v>
      </c>
      <c r="B2321" s="1" t="s">
        <v>783</v>
      </c>
      <c r="C2321" s="1" t="s">
        <v>81</v>
      </c>
      <c r="D2321" s="1" t="s">
        <v>784</v>
      </c>
      <c r="E2321" s="1" t="s">
        <v>32</v>
      </c>
      <c r="F2321" s="1" t="s">
        <v>32</v>
      </c>
      <c r="G2321" s="1" t="s">
        <v>785</v>
      </c>
      <c r="H2321" s="1">
        <v>309300</v>
      </c>
      <c r="I2321" s="1" t="s">
        <v>108</v>
      </c>
      <c r="J2321" s="1">
        <v>3</v>
      </c>
      <c r="K2321" s="1" t="s">
        <v>35</v>
      </c>
      <c r="L2321" s="1">
        <v>38</v>
      </c>
      <c r="M2321" s="1" t="str">
        <f>IF(L2321&lt;=45,"Joven","Mayor")</f>
        <v>Joven</v>
      </c>
      <c r="N2321" s="1">
        <v>36</v>
      </c>
      <c r="O2321" s="1" t="s">
        <v>36</v>
      </c>
      <c r="P2321" s="1">
        <v>0.65400000000000003</v>
      </c>
      <c r="Q2321" s="1">
        <v>93.74</v>
      </c>
      <c r="R2321" s="1">
        <v>0.97710377000000004</v>
      </c>
      <c r="S2321" s="1">
        <v>3.6606295000000002</v>
      </c>
      <c r="T2321" s="1">
        <v>0.35025156000000002</v>
      </c>
      <c r="U2321" s="1">
        <v>7.3259999999999996</v>
      </c>
      <c r="V2321" s="1">
        <v>90</v>
      </c>
      <c r="W2321" s="1">
        <v>162</v>
      </c>
      <c r="X2321" s="1">
        <v>1.8</v>
      </c>
      <c r="Y2321" s="1">
        <v>92</v>
      </c>
      <c r="Z2321" s="1">
        <v>162</v>
      </c>
      <c r="AA2321" s="1">
        <v>1.7608695652173914</v>
      </c>
      <c r="AB2321" s="1">
        <v>91.72319579918053</v>
      </c>
      <c r="AC2321" s="1">
        <v>161.99086009176199</v>
      </c>
      <c r="AD2321" s="1">
        <v>1.7660839080054083</v>
      </c>
      <c r="AE2321" t="s">
        <v>4817</v>
      </c>
      <c r="AF2321" t="str">
        <f>IF(X2321&lt;$AF$1,"Bajo","Alto")</f>
        <v>Alto</v>
      </c>
      <c r="AG2321" t="str">
        <f>LEFT(AE2321,1)</f>
        <v>C</v>
      </c>
      <c r="AH2321" t="str">
        <f>K2321</f>
        <v>M</v>
      </c>
      <c r="AI2321" t="str">
        <f>LEFT(AF2321,1)</f>
        <v>A</v>
      </c>
      <c r="AJ2321" t="str">
        <f>LEFT(M2321,1)</f>
        <v>J</v>
      </c>
      <c r="AK2321" t="str">
        <f>_xlfn.CONCAT(AG2321,AH2321,AI2321,AJ2321)</f>
        <v>CMAJ</v>
      </c>
    </row>
    <row r="2322" spans="1:37" ht="15.75" hidden="1" customHeight="1" x14ac:dyDescent="0.2">
      <c r="A2322" s="1">
        <v>1528902</v>
      </c>
      <c r="B2322" s="1" t="s">
        <v>2077</v>
      </c>
      <c r="C2322" s="1" t="s">
        <v>57</v>
      </c>
      <c r="D2322" s="1" t="s">
        <v>2360</v>
      </c>
      <c r="E2322" s="1" t="s">
        <v>580</v>
      </c>
      <c r="F2322" s="1" t="s">
        <v>37</v>
      </c>
      <c r="G2322" s="1" t="s">
        <v>2361</v>
      </c>
      <c r="H2322" s="1">
        <v>525</v>
      </c>
      <c r="I2322" s="1" t="s">
        <v>134</v>
      </c>
      <c r="J2322" s="1">
        <v>8</v>
      </c>
      <c r="K2322" s="1" t="s">
        <v>35</v>
      </c>
      <c r="L2322" s="1">
        <v>34</v>
      </c>
      <c r="M2322" s="1" t="str">
        <f>IF(L2322&lt;=45,"Joven","Mayor")</f>
        <v>Joven</v>
      </c>
      <c r="N2322" s="1">
        <v>35</v>
      </c>
      <c r="O2322" s="1" t="s">
        <v>36</v>
      </c>
      <c r="P2322" s="1">
        <v>0.98099999999999998</v>
      </c>
      <c r="Q2322" s="1">
        <v>91.38</v>
      </c>
      <c r="R2322" s="1">
        <v>3.8942100000000002</v>
      </c>
      <c r="S2322" s="1">
        <v>-4.1350749999999996</v>
      </c>
      <c r="T2322" s="1">
        <v>-2.0881392999999999</v>
      </c>
      <c r="U2322" s="1">
        <v>61.773000000000003</v>
      </c>
      <c r="V2322" s="1">
        <v>75</v>
      </c>
      <c r="W2322" s="1">
        <v>131</v>
      </c>
      <c r="X2322" s="1">
        <v>1.7466666666666666</v>
      </c>
      <c r="Y2322" s="1">
        <v>77</v>
      </c>
      <c r="Z2322" s="1">
        <v>131</v>
      </c>
      <c r="AA2322" s="1">
        <v>1.7012987012987013</v>
      </c>
      <c r="AB2322" s="1">
        <v>78.078410758854488</v>
      </c>
      <c r="AC2322" s="1">
        <v>130.80369997112669</v>
      </c>
      <c r="AD2322" s="1">
        <v>1.6752864037552517</v>
      </c>
      <c r="AE2322" t="s">
        <v>4817</v>
      </c>
      <c r="AF2322" t="str">
        <f>IF(X2322&lt;$AF$1,"Bajo","Alto")</f>
        <v>Bajo</v>
      </c>
      <c r="AG2322" t="str">
        <f>LEFT(AE2322,1)</f>
        <v>C</v>
      </c>
      <c r="AH2322" t="str">
        <f>K2322</f>
        <v>M</v>
      </c>
      <c r="AI2322" t="str">
        <f>LEFT(AF2322,1)</f>
        <v>B</v>
      </c>
      <c r="AJ2322" t="str">
        <f>LEFT(M2322,1)</f>
        <v>J</v>
      </c>
      <c r="AK2322" t="str">
        <f>_xlfn.CONCAT(AG2322,AH2322,AI2322,AJ2322)</f>
        <v>CMBJ</v>
      </c>
    </row>
    <row r="2323" spans="1:37" ht="15.75" hidden="1" customHeight="1" x14ac:dyDescent="0.2">
      <c r="A2323" s="1">
        <v>134002</v>
      </c>
      <c r="B2323" s="1" t="s">
        <v>956</v>
      </c>
      <c r="C2323" s="1" t="s">
        <v>163</v>
      </c>
      <c r="D2323" s="1" t="s">
        <v>2039</v>
      </c>
      <c r="E2323" s="1" t="s">
        <v>657</v>
      </c>
      <c r="F2323" s="1" t="s">
        <v>37</v>
      </c>
      <c r="G2323" s="1" t="s">
        <v>2041</v>
      </c>
      <c r="H2323" s="1">
        <v>1104</v>
      </c>
      <c r="I2323" s="1" t="s">
        <v>87</v>
      </c>
      <c r="J2323" s="1">
        <v>14</v>
      </c>
      <c r="K2323" s="1" t="s">
        <v>35</v>
      </c>
      <c r="L2323" s="1">
        <v>47</v>
      </c>
      <c r="M2323" s="1" t="str">
        <f>IF(L2323&lt;=45,"Joven","Mayor")</f>
        <v>Mayor</v>
      </c>
      <c r="N2323" s="1">
        <v>52</v>
      </c>
      <c r="O2323" s="1" t="s">
        <v>36</v>
      </c>
      <c r="P2323" s="1">
        <v>0.35</v>
      </c>
      <c r="Q2323" s="1">
        <v>94.119</v>
      </c>
      <c r="R2323" s="1">
        <v>-1.6707957</v>
      </c>
      <c r="S2323" s="1">
        <v>-0.14879738000000001</v>
      </c>
      <c r="T2323" s="1">
        <v>-2.7541223000000001</v>
      </c>
      <c r="U2323" s="1">
        <v>1.1579999999999999</v>
      </c>
      <c r="V2323" s="1">
        <v>107</v>
      </c>
      <c r="W2323" s="1">
        <v>186</v>
      </c>
      <c r="X2323" s="1">
        <v>1.7383177570093458</v>
      </c>
      <c r="Y2323" s="1">
        <v>110</v>
      </c>
      <c r="Z2323" s="1">
        <v>186</v>
      </c>
      <c r="AA2323" s="1">
        <v>1.6909090909090909</v>
      </c>
      <c r="AB2323" s="1">
        <v>112.2273921873625</v>
      </c>
      <c r="AC2323" s="1">
        <v>185.92930732864579</v>
      </c>
      <c r="AD2323" s="1">
        <v>1.6567194844752224</v>
      </c>
      <c r="AE2323" t="s">
        <v>4816</v>
      </c>
      <c r="AF2323" t="str">
        <f>IF(X2323&lt;$AF$1,"Bajo","Alto")</f>
        <v>Bajo</v>
      </c>
      <c r="AG2323" t="str">
        <f>LEFT(AE2323,1)</f>
        <v>D</v>
      </c>
      <c r="AH2323" t="str">
        <f>K2323</f>
        <v>M</v>
      </c>
      <c r="AI2323" t="str">
        <f>LEFT(AF2323,1)</f>
        <v>B</v>
      </c>
      <c r="AJ2323" t="str">
        <f>LEFT(M2323,1)</f>
        <v>M</v>
      </c>
      <c r="AK2323" t="str">
        <f>_xlfn.CONCAT(AG2323,AH2323,AI2323,AJ2323)</f>
        <v>DMBM</v>
      </c>
    </row>
    <row r="2324" spans="1:37" ht="15.75" hidden="1" customHeight="1" x14ac:dyDescent="0.2">
      <c r="A2324" s="1">
        <v>127507</v>
      </c>
      <c r="B2324" s="1" t="s">
        <v>1798</v>
      </c>
      <c r="C2324" s="1" t="s">
        <v>54</v>
      </c>
      <c r="D2324" s="1" t="s">
        <v>1911</v>
      </c>
      <c r="E2324" s="1" t="s">
        <v>1912</v>
      </c>
      <c r="F2324" s="1" t="s">
        <v>43</v>
      </c>
      <c r="G2324" s="1" t="s">
        <v>1918</v>
      </c>
      <c r="H2324" s="1">
        <v>12413</v>
      </c>
      <c r="I2324" s="1" t="s">
        <v>1919</v>
      </c>
      <c r="J2324" s="1">
        <v>3715</v>
      </c>
      <c r="K2324" s="1" t="s">
        <v>35</v>
      </c>
      <c r="L2324" s="1">
        <v>46</v>
      </c>
      <c r="M2324" s="1" t="str">
        <f>IF(L2324&lt;=45,"Joven","Mayor")</f>
        <v>Mayor</v>
      </c>
      <c r="N2324" s="1">
        <v>37</v>
      </c>
      <c r="O2324" s="1" t="s">
        <v>36</v>
      </c>
      <c r="P2324" s="1">
        <v>0.98499999999999999</v>
      </c>
      <c r="Q2324" s="1">
        <v>89.32</v>
      </c>
      <c r="R2324" s="1">
        <v>-4.6872829999999999</v>
      </c>
      <c r="S2324" s="1">
        <v>7.0061730000000004</v>
      </c>
      <c r="T2324" s="1">
        <v>-0.90602033999999998</v>
      </c>
      <c r="U2324" s="1">
        <v>0.32800000000000001</v>
      </c>
      <c r="V2324" s="1">
        <v>113</v>
      </c>
      <c r="W2324" s="1">
        <v>203</v>
      </c>
      <c r="X2324" s="1">
        <v>1.7964601769911503</v>
      </c>
      <c r="Y2324" s="1">
        <v>120</v>
      </c>
      <c r="Z2324" s="1">
        <v>203</v>
      </c>
      <c r="AA2324" s="1">
        <v>1.6916666666666667</v>
      </c>
      <c r="AB2324" s="1">
        <v>120.902115165334</v>
      </c>
      <c r="AC2324" s="1">
        <v>202.91137071738379</v>
      </c>
      <c r="AD2324" s="1">
        <v>1.6783111729675027</v>
      </c>
      <c r="AE2324" t="s">
        <v>4817</v>
      </c>
      <c r="AF2324" t="str">
        <f>IF(X2324&lt;$AF$1,"Bajo","Alto")</f>
        <v>Alto</v>
      </c>
      <c r="AG2324" t="str">
        <f>LEFT(AE2324,1)</f>
        <v>C</v>
      </c>
      <c r="AH2324" t="str">
        <f>K2324</f>
        <v>M</v>
      </c>
      <c r="AI2324" t="str">
        <f>LEFT(AF2324,1)</f>
        <v>A</v>
      </c>
      <c r="AJ2324" t="str">
        <f>LEFT(M2324,1)</f>
        <v>M</v>
      </c>
      <c r="AK2324" t="str">
        <f>_xlfn.CONCAT(AG2324,AH2324,AI2324,AJ2324)</f>
        <v>CMAM</v>
      </c>
    </row>
    <row r="2325" spans="1:37" ht="15.75" hidden="1" customHeight="1" x14ac:dyDescent="0.2">
      <c r="A2325" s="1">
        <v>114601</v>
      </c>
      <c r="B2325" s="1" t="s">
        <v>1648</v>
      </c>
      <c r="C2325" s="1" t="s">
        <v>51</v>
      </c>
      <c r="D2325" s="1" t="s">
        <v>1715</v>
      </c>
      <c r="E2325" s="1" t="s">
        <v>669</v>
      </c>
      <c r="F2325" s="1" t="s">
        <v>32</v>
      </c>
      <c r="G2325" s="1" t="s">
        <v>1716</v>
      </c>
      <c r="H2325" s="1">
        <v>5010</v>
      </c>
      <c r="I2325" s="1" t="s">
        <v>65</v>
      </c>
      <c r="J2325" s="1">
        <v>2</v>
      </c>
      <c r="K2325" s="1" t="s">
        <v>35</v>
      </c>
      <c r="L2325" s="1">
        <v>34</v>
      </c>
      <c r="M2325" s="1" t="str">
        <f>IF(L2325&lt;=45,"Joven","Mayor")</f>
        <v>Joven</v>
      </c>
      <c r="N2325" s="1">
        <v>37</v>
      </c>
      <c r="O2325" s="1" t="s">
        <v>36</v>
      </c>
      <c r="P2325" s="1">
        <v>0.34</v>
      </c>
      <c r="Q2325" s="1">
        <v>91.05</v>
      </c>
      <c r="R2325" s="1">
        <v>4.3519487000000003</v>
      </c>
      <c r="S2325" s="1">
        <v>4.3706206999999999</v>
      </c>
      <c r="T2325" s="1">
        <v>-3.5644963000000001</v>
      </c>
      <c r="U2325" s="1">
        <v>0.66700000000000004</v>
      </c>
      <c r="V2325" s="1">
        <v>87</v>
      </c>
      <c r="W2325" s="1">
        <v>152</v>
      </c>
      <c r="X2325" s="1">
        <v>1.7471264367816093</v>
      </c>
      <c r="Y2325" s="1">
        <v>89</v>
      </c>
      <c r="Z2325" s="1">
        <v>152</v>
      </c>
      <c r="AA2325" s="1">
        <v>1.7078651685393258</v>
      </c>
      <c r="AB2325" s="1">
        <v>89.442920846794777</v>
      </c>
      <c r="AC2325" s="1">
        <v>152.07898013886231</v>
      </c>
      <c r="AD2325" s="1">
        <v>1.7002908525243239</v>
      </c>
      <c r="AE2325" t="s">
        <v>4817</v>
      </c>
      <c r="AF2325" t="str">
        <f>IF(X2325&lt;$AF$1,"Bajo","Alto")</f>
        <v>Bajo</v>
      </c>
      <c r="AG2325" t="str">
        <f>LEFT(AE2325,1)</f>
        <v>C</v>
      </c>
      <c r="AH2325" t="str">
        <f>K2325</f>
        <v>M</v>
      </c>
      <c r="AI2325" t="str">
        <f>LEFT(AF2325,1)</f>
        <v>B</v>
      </c>
      <c r="AJ2325" t="str">
        <f>LEFT(M2325,1)</f>
        <v>J</v>
      </c>
      <c r="AK2325" t="str">
        <f>_xlfn.CONCAT(AG2325,AH2325,AI2325,AJ2325)</f>
        <v>CMBJ</v>
      </c>
    </row>
    <row r="2326" spans="1:37" ht="15.75" hidden="1" customHeight="1" x14ac:dyDescent="0.2">
      <c r="A2326" s="1">
        <v>525004</v>
      </c>
      <c r="B2326" s="1" t="s">
        <v>4529</v>
      </c>
      <c r="C2326" s="1" t="s">
        <v>685</v>
      </c>
      <c r="D2326" s="1" t="s">
        <v>4268</v>
      </c>
      <c r="E2326" s="1" t="s">
        <v>1001</v>
      </c>
      <c r="F2326" s="1" t="s">
        <v>61</v>
      </c>
      <c r="G2326" s="1" t="s">
        <v>4648</v>
      </c>
      <c r="H2326" s="1">
        <v>3172</v>
      </c>
      <c r="I2326" s="1" t="s">
        <v>2217</v>
      </c>
      <c r="J2326" s="1">
        <v>2925</v>
      </c>
      <c r="K2326" s="1" t="s">
        <v>35</v>
      </c>
      <c r="L2326" s="1">
        <v>47</v>
      </c>
      <c r="M2326" s="1" t="str">
        <f>IF(L2326&lt;=45,"Joven","Mayor")</f>
        <v>Mayor</v>
      </c>
      <c r="N2326" s="1">
        <v>55</v>
      </c>
      <c r="O2326" s="1" t="s">
        <v>36</v>
      </c>
      <c r="P2326" s="1">
        <v>0.307</v>
      </c>
      <c r="Q2326" s="1">
        <v>88.852000000000004</v>
      </c>
      <c r="R2326" s="1">
        <v>6.6014122999999998</v>
      </c>
      <c r="S2326" s="1">
        <v>2.4997750000000001</v>
      </c>
      <c r="T2326" s="1">
        <v>-2.1786919999999999</v>
      </c>
      <c r="U2326" s="1">
        <v>27.015999999999998</v>
      </c>
      <c r="V2326" s="1">
        <v>100</v>
      </c>
      <c r="W2326" s="1">
        <v>174</v>
      </c>
      <c r="X2326" s="1">
        <v>1.74</v>
      </c>
      <c r="Y2326" s="1">
        <v>104</v>
      </c>
      <c r="Z2326" s="1">
        <v>174</v>
      </c>
      <c r="AA2326" s="1">
        <v>1.6730769230769231</v>
      </c>
      <c r="AB2326" s="1">
        <v>102.10004392897299</v>
      </c>
      <c r="AC2326" s="1">
        <v>173.9882680522073</v>
      </c>
      <c r="AD2326" s="1">
        <v>1.7040959176593904</v>
      </c>
      <c r="AE2326" t="s">
        <v>4817</v>
      </c>
      <c r="AF2326" t="str">
        <f>IF(X2326&lt;$AF$1,"Bajo","Alto")</f>
        <v>Bajo</v>
      </c>
      <c r="AG2326" t="str">
        <f>LEFT(AE2326,1)</f>
        <v>C</v>
      </c>
      <c r="AH2326" t="str">
        <f>K2326</f>
        <v>M</v>
      </c>
      <c r="AI2326" t="str">
        <f>LEFT(AF2326,1)</f>
        <v>B</v>
      </c>
      <c r="AJ2326" t="str">
        <f>LEFT(M2326,1)</f>
        <v>M</v>
      </c>
      <c r="AK2326" t="str">
        <f>_xlfn.CONCAT(AG2326,AH2326,AI2326,AJ2326)</f>
        <v>CMBM</v>
      </c>
    </row>
    <row r="2327" spans="1:37" ht="15.75" hidden="1" customHeight="1" x14ac:dyDescent="0.2">
      <c r="A2327" s="1">
        <v>1014603</v>
      </c>
      <c r="B2327" s="1" t="s">
        <v>29</v>
      </c>
      <c r="C2327" s="1" t="s">
        <v>30</v>
      </c>
      <c r="D2327" s="1" t="s">
        <v>668</v>
      </c>
      <c r="E2327" s="1" t="s">
        <v>669</v>
      </c>
      <c r="F2327" s="1" t="s">
        <v>63</v>
      </c>
      <c r="G2327" s="1" t="s">
        <v>671</v>
      </c>
      <c r="H2327" s="1">
        <v>1502</v>
      </c>
      <c r="I2327" s="1" t="s">
        <v>65</v>
      </c>
      <c r="J2327" s="1">
        <v>2</v>
      </c>
      <c r="K2327" s="1" t="s">
        <v>35</v>
      </c>
      <c r="L2327" s="1">
        <v>61</v>
      </c>
      <c r="M2327" s="1" t="str">
        <f>IF(L2327&lt;=45,"Joven","Mayor")</f>
        <v>Mayor</v>
      </c>
      <c r="N2327" s="1">
        <v>77</v>
      </c>
      <c r="O2327" s="1" t="s">
        <v>36</v>
      </c>
      <c r="P2327" s="1">
        <v>0.74399999999999999</v>
      </c>
      <c r="Q2327" s="1">
        <v>92.367000000000004</v>
      </c>
      <c r="R2327" s="1">
        <v>4.0183716</v>
      </c>
      <c r="S2327" s="1">
        <v>0.10181336000000001</v>
      </c>
      <c r="T2327" s="1">
        <v>1.8828604</v>
      </c>
      <c r="U2327" s="1">
        <v>2.7389999999999999</v>
      </c>
      <c r="V2327" s="1">
        <v>104</v>
      </c>
      <c r="W2327" s="1">
        <v>181</v>
      </c>
      <c r="X2327" s="1">
        <v>1.7403846153846154</v>
      </c>
      <c r="Y2327" s="1">
        <v>116</v>
      </c>
      <c r="Z2327" s="1">
        <v>181</v>
      </c>
      <c r="AA2327" s="1">
        <v>1.5603448275862069</v>
      </c>
      <c r="AB2327" s="1">
        <v>114.49169761144481</v>
      </c>
      <c r="AC2327" s="1">
        <v>181.2965505584007</v>
      </c>
      <c r="AD2327" s="1">
        <v>1.5834908062388442</v>
      </c>
      <c r="AE2327" t="s">
        <v>4817</v>
      </c>
      <c r="AF2327" t="str">
        <f>IF(X2327&lt;$AF$1,"Bajo","Alto")</f>
        <v>Bajo</v>
      </c>
      <c r="AG2327" t="str">
        <f>LEFT(AE2327,1)</f>
        <v>C</v>
      </c>
      <c r="AH2327" t="str">
        <f>K2327</f>
        <v>M</v>
      </c>
      <c r="AI2327" t="str">
        <f>LEFT(AF2327,1)</f>
        <v>B</v>
      </c>
      <c r="AJ2327" t="str">
        <f>LEFT(M2327,1)</f>
        <v>M</v>
      </c>
      <c r="AK2327" t="str">
        <f>_xlfn.CONCAT(AG2327,AH2327,AI2327,AJ2327)</f>
        <v>CMBM</v>
      </c>
    </row>
    <row r="2328" spans="1:37" ht="15.75" hidden="1" customHeight="1" x14ac:dyDescent="0.2">
      <c r="A2328" s="1">
        <v>10912003</v>
      </c>
      <c r="B2328" s="1" t="s">
        <v>719</v>
      </c>
      <c r="C2328" s="1" t="s">
        <v>98</v>
      </c>
      <c r="D2328" s="1" t="s">
        <v>1563</v>
      </c>
      <c r="E2328" s="1" t="s">
        <v>1564</v>
      </c>
      <c r="F2328" s="1" t="s">
        <v>63</v>
      </c>
      <c r="G2328" s="1" t="s">
        <v>1567</v>
      </c>
      <c r="H2328" s="1">
        <v>569</v>
      </c>
      <c r="I2328" s="1" t="s">
        <v>134</v>
      </c>
      <c r="J2328" s="1">
        <v>8</v>
      </c>
      <c r="K2328" s="1" t="s">
        <v>49</v>
      </c>
      <c r="L2328" s="1">
        <v>59</v>
      </c>
      <c r="M2328" s="1" t="str">
        <f>IF(L2328&lt;=45,"Joven","Mayor")</f>
        <v>Mayor</v>
      </c>
      <c r="N2328" s="1">
        <v>54</v>
      </c>
      <c r="O2328" s="1" t="s">
        <v>50</v>
      </c>
      <c r="P2328" s="1">
        <v>0.80500000000000005</v>
      </c>
      <c r="Q2328" s="1">
        <v>83.728999999999999</v>
      </c>
      <c r="R2328" s="1">
        <v>-9.352862</v>
      </c>
      <c r="S2328" s="1">
        <v>-0.64082620000000001</v>
      </c>
      <c r="T2328" s="1">
        <v>2.4249293999999999</v>
      </c>
      <c r="U2328" s="1">
        <v>47.597000000000001</v>
      </c>
      <c r="V2328" s="1">
        <v>77</v>
      </c>
      <c r="W2328" s="1">
        <v>133</v>
      </c>
      <c r="X2328" s="1">
        <v>1.7272727272727273</v>
      </c>
      <c r="Y2328" s="1">
        <v>80</v>
      </c>
      <c r="Z2328" s="1">
        <v>133</v>
      </c>
      <c r="AA2328" s="1">
        <v>1.6625000000000001</v>
      </c>
      <c r="AB2328" s="1">
        <v>78.32728983849529</v>
      </c>
      <c r="AC2328" s="1">
        <v>132.79627981509341</v>
      </c>
      <c r="AD2328" s="1">
        <v>1.6954024592055834</v>
      </c>
      <c r="AE2328" t="s">
        <v>4817</v>
      </c>
      <c r="AF2328" t="str">
        <f>IF(X2328&lt;$AF$1,"Bajo","Alto")</f>
        <v>Bajo</v>
      </c>
      <c r="AG2328" t="str">
        <f>LEFT(AE2328,1)</f>
        <v>C</v>
      </c>
      <c r="AH2328" t="str">
        <f>K2328</f>
        <v>F</v>
      </c>
      <c r="AI2328" t="str">
        <f>LEFT(AF2328,1)</f>
        <v>B</v>
      </c>
      <c r="AJ2328" t="str">
        <f>LEFT(M2328,1)</f>
        <v>M</v>
      </c>
      <c r="AK2328" t="str">
        <f>_xlfn.CONCAT(AG2328,AH2328,AI2328,AJ2328)</f>
        <v>CFBM</v>
      </c>
    </row>
    <row r="2329" spans="1:37" ht="15.75" hidden="1" customHeight="1" x14ac:dyDescent="0.2">
      <c r="A2329" s="1">
        <v>159405</v>
      </c>
      <c r="B2329" s="1" t="s">
        <v>2077</v>
      </c>
      <c r="C2329" s="1" t="s">
        <v>57</v>
      </c>
      <c r="D2329" s="1" t="s">
        <v>2539</v>
      </c>
      <c r="E2329" s="1" t="s">
        <v>775</v>
      </c>
      <c r="F2329" s="1" t="s">
        <v>40</v>
      </c>
      <c r="G2329" s="1" t="s">
        <v>2542</v>
      </c>
      <c r="H2329" s="1">
        <v>2822</v>
      </c>
      <c r="I2329" s="1" t="s">
        <v>91</v>
      </c>
      <c r="J2329" s="1">
        <v>6</v>
      </c>
      <c r="K2329" s="1" t="s">
        <v>35</v>
      </c>
      <c r="L2329" s="1">
        <v>37</v>
      </c>
      <c r="M2329" s="1" t="str">
        <f>IF(L2329&lt;=45,"Joven","Mayor")</f>
        <v>Joven</v>
      </c>
      <c r="N2329" s="1">
        <v>42</v>
      </c>
      <c r="O2329" s="1" t="s">
        <v>50</v>
      </c>
      <c r="P2329" s="1">
        <v>0.42599999999999999</v>
      </c>
      <c r="Q2329" s="1">
        <v>74.367999999999995</v>
      </c>
      <c r="R2329" s="1">
        <v>11.674958</v>
      </c>
      <c r="S2329" s="1">
        <v>3.983304</v>
      </c>
      <c r="T2329" s="1">
        <v>-4.8567660000000004</v>
      </c>
      <c r="U2329" s="1">
        <v>12.016999999999999</v>
      </c>
      <c r="V2329" s="1">
        <v>87</v>
      </c>
      <c r="W2329" s="1">
        <v>152</v>
      </c>
      <c r="X2329" s="1">
        <v>1.7471264367816093</v>
      </c>
      <c r="Y2329" s="1">
        <v>89</v>
      </c>
      <c r="Z2329" s="1">
        <v>152</v>
      </c>
      <c r="AA2329" s="1">
        <v>1.7078651685393258</v>
      </c>
      <c r="AB2329" s="1">
        <v>90.243556949204276</v>
      </c>
      <c r="AC2329" s="1">
        <v>151.79289916558719</v>
      </c>
      <c r="AD2329" s="1">
        <v>1.6820358626935263</v>
      </c>
      <c r="AE2329" t="s">
        <v>4817</v>
      </c>
      <c r="AF2329" t="str">
        <f>IF(X2329&lt;$AF$1,"Bajo","Alto")</f>
        <v>Bajo</v>
      </c>
      <c r="AG2329" t="str">
        <f>LEFT(AE2329,1)</f>
        <v>C</v>
      </c>
      <c r="AH2329" t="str">
        <f>K2329</f>
        <v>M</v>
      </c>
      <c r="AI2329" t="str">
        <f>LEFT(AF2329,1)</f>
        <v>B</v>
      </c>
      <c r="AJ2329" t="str">
        <f>LEFT(M2329,1)</f>
        <v>J</v>
      </c>
      <c r="AK2329" t="str">
        <f>_xlfn.CONCAT(AG2329,AH2329,AI2329,AJ2329)</f>
        <v>CMBJ</v>
      </c>
    </row>
    <row r="2330" spans="1:37" ht="15.75" hidden="1" customHeight="1" x14ac:dyDescent="0.2">
      <c r="A2330" s="1">
        <v>1528002</v>
      </c>
      <c r="B2330" s="1" t="s">
        <v>2077</v>
      </c>
      <c r="C2330" s="1" t="s">
        <v>57</v>
      </c>
      <c r="D2330" s="1" t="s">
        <v>2343</v>
      </c>
      <c r="E2330" s="1" t="s">
        <v>556</v>
      </c>
      <c r="F2330" s="1" t="s">
        <v>37</v>
      </c>
      <c r="G2330" s="1" t="s">
        <v>2345</v>
      </c>
      <c r="H2330" s="1">
        <v>109</v>
      </c>
      <c r="I2330" s="1" t="s">
        <v>34</v>
      </c>
      <c r="J2330" s="1">
        <v>10</v>
      </c>
      <c r="K2330" s="1" t="s">
        <v>49</v>
      </c>
      <c r="L2330" s="1">
        <v>63</v>
      </c>
      <c r="M2330" s="1" t="str">
        <f>IF(L2330&lt;=45,"Joven","Mayor")</f>
        <v>Mayor</v>
      </c>
      <c r="N2330" s="1">
        <v>55</v>
      </c>
      <c r="O2330" s="1" t="s">
        <v>50</v>
      </c>
      <c r="P2330" s="1">
        <v>0.255</v>
      </c>
      <c r="Q2330" s="1">
        <v>90.376999999999995</v>
      </c>
      <c r="R2330" s="1">
        <v>5.7095212999999996</v>
      </c>
      <c r="S2330" s="1">
        <v>-1.6392906</v>
      </c>
      <c r="T2330" s="1">
        <v>-4.0005584000000001</v>
      </c>
      <c r="U2330" s="1">
        <v>3.1349999999999998</v>
      </c>
      <c r="V2330" s="1">
        <v>63</v>
      </c>
      <c r="W2330" s="1">
        <v>111</v>
      </c>
      <c r="X2330" s="1">
        <v>1.7619047619047619</v>
      </c>
      <c r="Y2330" s="1">
        <v>71</v>
      </c>
      <c r="Z2330" s="1">
        <v>111</v>
      </c>
      <c r="AA2330" s="1">
        <v>1.5633802816901408</v>
      </c>
      <c r="AB2330" s="1">
        <v>68.943312006571887</v>
      </c>
      <c r="AC2330" s="1">
        <v>111.07836509083469</v>
      </c>
      <c r="AD2330" s="1">
        <v>1.6111550469209597</v>
      </c>
      <c r="AE2330" t="s">
        <v>4815</v>
      </c>
      <c r="AF2330" t="str">
        <f>IF(X2330&lt;$AF$1,"Bajo","Alto")</f>
        <v>Bajo</v>
      </c>
      <c r="AG2330" t="str">
        <f>LEFT(AE2330,1)</f>
        <v>I</v>
      </c>
      <c r="AH2330" t="str">
        <f>K2330</f>
        <v>F</v>
      </c>
      <c r="AI2330" t="str">
        <f>LEFT(AF2330,1)</f>
        <v>B</v>
      </c>
      <c r="AJ2330" t="str">
        <f>LEFT(M2330,1)</f>
        <v>M</v>
      </c>
      <c r="AK2330" t="str">
        <f>_xlfn.CONCAT(AG2330,AH2330,AI2330,AJ2330)</f>
        <v>IFBM</v>
      </c>
    </row>
    <row r="2331" spans="1:37" ht="15.75" hidden="1" customHeight="1" x14ac:dyDescent="0.2">
      <c r="A2331" s="1">
        <v>170103</v>
      </c>
      <c r="B2331" s="1" t="s">
        <v>2551</v>
      </c>
      <c r="C2331" s="1" t="s">
        <v>2552</v>
      </c>
      <c r="D2331" s="1" t="s">
        <v>2553</v>
      </c>
      <c r="E2331" s="1" t="s">
        <v>32</v>
      </c>
      <c r="F2331" s="1" t="s">
        <v>63</v>
      </c>
      <c r="G2331" s="1" t="s">
        <v>2555</v>
      </c>
      <c r="H2331" s="1">
        <v>1190</v>
      </c>
      <c r="I2331" s="1" t="s">
        <v>91</v>
      </c>
      <c r="J2331" s="1">
        <v>6</v>
      </c>
      <c r="K2331" s="1" t="s">
        <v>35</v>
      </c>
      <c r="L2331" s="1">
        <v>40</v>
      </c>
      <c r="M2331" s="1" t="str">
        <f>IF(L2331&lt;=45,"Joven","Mayor")</f>
        <v>Joven</v>
      </c>
      <c r="N2331" s="1">
        <v>26</v>
      </c>
      <c r="O2331" s="1" t="s">
        <v>36</v>
      </c>
      <c r="P2331" s="1">
        <v>1.7849999999999999</v>
      </c>
      <c r="Q2331" s="1">
        <v>90.945999999999998</v>
      </c>
      <c r="R2331" s="1">
        <v>-4.2429313999999998</v>
      </c>
      <c r="S2331" s="1">
        <v>3.5780816</v>
      </c>
      <c r="T2331" s="1">
        <v>0.21018978999999999</v>
      </c>
      <c r="U2331" s="1">
        <v>1.9750000000000001</v>
      </c>
      <c r="V2331" s="1">
        <v>87</v>
      </c>
      <c r="W2331" s="1">
        <v>152</v>
      </c>
      <c r="X2331" s="1">
        <v>1.7471264367816093</v>
      </c>
      <c r="Y2331" s="1">
        <v>90</v>
      </c>
      <c r="Z2331" s="1">
        <v>152</v>
      </c>
      <c r="AA2331" s="1">
        <v>1.6888888888888889</v>
      </c>
      <c r="AB2331" s="1">
        <v>90.142465725029524</v>
      </c>
      <c r="AC2331" s="1">
        <v>151.98430321652219</v>
      </c>
      <c r="AD2331" s="1">
        <v>1.6860455501642804</v>
      </c>
      <c r="AE2331" t="s">
        <v>4817</v>
      </c>
      <c r="AF2331" t="str">
        <f>IF(X2331&lt;$AF$1,"Bajo","Alto")</f>
        <v>Bajo</v>
      </c>
      <c r="AG2331" t="str">
        <f>LEFT(AE2331,1)</f>
        <v>C</v>
      </c>
      <c r="AH2331" t="str">
        <f>K2331</f>
        <v>M</v>
      </c>
      <c r="AI2331" t="str">
        <f>LEFT(AF2331,1)</f>
        <v>B</v>
      </c>
      <c r="AJ2331" t="str">
        <f>LEFT(M2331,1)</f>
        <v>J</v>
      </c>
      <c r="AK2331" t="str">
        <f>_xlfn.CONCAT(AG2331,AH2331,AI2331,AJ2331)</f>
        <v>CMBJ</v>
      </c>
    </row>
    <row r="2332" spans="1:37" ht="15.75" hidden="1" customHeight="1" x14ac:dyDescent="0.2">
      <c r="A2332" s="1">
        <v>10717304</v>
      </c>
      <c r="B2332" s="1" t="s">
        <v>1067</v>
      </c>
      <c r="C2332" s="1" t="s">
        <v>1068</v>
      </c>
      <c r="D2332" s="1" t="s">
        <v>1181</v>
      </c>
      <c r="E2332" s="1" t="s">
        <v>1182</v>
      </c>
      <c r="F2332" s="1" t="s">
        <v>61</v>
      </c>
      <c r="G2332" s="1" t="s">
        <v>1185</v>
      </c>
      <c r="H2332" s="1">
        <v>320</v>
      </c>
      <c r="I2332" s="1" t="s">
        <v>134</v>
      </c>
      <c r="J2332" s="1">
        <v>8</v>
      </c>
      <c r="K2332" s="1" t="s">
        <v>35</v>
      </c>
      <c r="L2332" s="1">
        <v>43</v>
      </c>
      <c r="M2332" s="1" t="str">
        <f>IF(L2332&lt;=45,"Joven","Mayor")</f>
        <v>Joven</v>
      </c>
      <c r="N2332" s="1">
        <v>58</v>
      </c>
      <c r="O2332" s="1" t="s">
        <v>36</v>
      </c>
      <c r="P2332" s="1">
        <v>0.39900000000000002</v>
      </c>
      <c r="Q2332" s="1">
        <v>91.881</v>
      </c>
      <c r="R2332" s="1">
        <v>3.5886111000000001</v>
      </c>
      <c r="S2332" s="1">
        <v>4.0252065999999997</v>
      </c>
      <c r="T2332" s="1">
        <v>-4.1488019999999999</v>
      </c>
      <c r="U2332" s="1">
        <v>59.064</v>
      </c>
      <c r="V2332" s="1">
        <v>105</v>
      </c>
      <c r="W2332" s="1">
        <v>189</v>
      </c>
      <c r="X2332" s="1">
        <v>1.8</v>
      </c>
      <c r="Y2332" s="1">
        <v>105</v>
      </c>
      <c r="Z2332" s="1">
        <v>189</v>
      </c>
      <c r="AA2332" s="1">
        <v>1.8</v>
      </c>
      <c r="AB2332" s="1">
        <v>108.05281161768541</v>
      </c>
      <c r="AC2332" s="1">
        <v>188.6494237926872</v>
      </c>
      <c r="AD2332" s="1">
        <v>1.745900184996299</v>
      </c>
      <c r="AE2332" t="s">
        <v>4817</v>
      </c>
      <c r="AF2332" t="str">
        <f>IF(X2332&lt;$AF$1,"Bajo","Alto")</f>
        <v>Alto</v>
      </c>
      <c r="AG2332" t="str">
        <f>LEFT(AE2332,1)</f>
        <v>C</v>
      </c>
      <c r="AH2332" t="str">
        <f>K2332</f>
        <v>M</v>
      </c>
      <c r="AI2332" t="str">
        <f>LEFT(AF2332,1)</f>
        <v>A</v>
      </c>
      <c r="AJ2332" t="str">
        <f>LEFT(M2332,1)</f>
        <v>J</v>
      </c>
      <c r="AK2332" t="str">
        <f>_xlfn.CONCAT(AG2332,AH2332,AI2332,AJ2332)</f>
        <v>CMAJ</v>
      </c>
    </row>
    <row r="2333" spans="1:37" ht="15.75" hidden="1" customHeight="1" x14ac:dyDescent="0.2">
      <c r="A2333" s="1">
        <v>1076402</v>
      </c>
      <c r="B2333" s="1" t="s">
        <v>1067</v>
      </c>
      <c r="C2333" s="1" t="s">
        <v>1068</v>
      </c>
      <c r="D2333" s="1" t="s">
        <v>1463</v>
      </c>
      <c r="E2333" s="1" t="s">
        <v>710</v>
      </c>
      <c r="F2333" s="1" t="s">
        <v>37</v>
      </c>
      <c r="G2333" s="1" t="s">
        <v>1465</v>
      </c>
      <c r="H2333" s="1">
        <v>978</v>
      </c>
      <c r="I2333" s="1" t="s">
        <v>48</v>
      </c>
      <c r="J2333" s="1">
        <v>4</v>
      </c>
      <c r="K2333" s="1" t="s">
        <v>35</v>
      </c>
      <c r="L2333" s="1">
        <v>39</v>
      </c>
      <c r="M2333" s="1" t="str">
        <f>IF(L2333&lt;=45,"Joven","Mayor")</f>
        <v>Joven</v>
      </c>
      <c r="N2333" s="1">
        <v>49</v>
      </c>
      <c r="O2333" s="1" t="s">
        <v>36</v>
      </c>
      <c r="P2333" s="1">
        <v>0.32800000000000001</v>
      </c>
      <c r="Q2333" s="1">
        <v>92.224999999999994</v>
      </c>
      <c r="R2333" s="1">
        <v>3.5261195000000001</v>
      </c>
      <c r="S2333" s="1">
        <v>3.1023692999999999</v>
      </c>
      <c r="T2333" s="1">
        <v>-3.9122490000000001</v>
      </c>
      <c r="U2333" s="1">
        <v>42.439</v>
      </c>
      <c r="V2333" s="1">
        <v>95</v>
      </c>
      <c r="W2333" s="1">
        <v>171</v>
      </c>
      <c r="X2333" s="1">
        <v>1.8</v>
      </c>
      <c r="Y2333" s="1">
        <v>96</v>
      </c>
      <c r="Z2333" s="1">
        <v>171</v>
      </c>
      <c r="AA2333" s="1">
        <v>1.78125</v>
      </c>
      <c r="AB2333" s="1">
        <v>99.051264486990249</v>
      </c>
      <c r="AC2333" s="1">
        <v>170.60152132686329</v>
      </c>
      <c r="AD2333" s="1">
        <v>1.7223558145415772</v>
      </c>
      <c r="AE2333" t="s">
        <v>4817</v>
      </c>
      <c r="AF2333" t="str">
        <f>IF(X2333&lt;$AF$1,"Bajo","Alto")</f>
        <v>Alto</v>
      </c>
      <c r="AG2333" t="str">
        <f>LEFT(AE2333,1)</f>
        <v>C</v>
      </c>
      <c r="AH2333" t="str">
        <f>K2333</f>
        <v>M</v>
      </c>
      <c r="AI2333" t="str">
        <f>LEFT(AF2333,1)</f>
        <v>A</v>
      </c>
      <c r="AJ2333" t="str">
        <f>LEFT(M2333,1)</f>
        <v>J</v>
      </c>
      <c r="AK2333" t="str">
        <f>_xlfn.CONCAT(AG2333,AH2333,AI2333,AJ2333)</f>
        <v>CMAJ</v>
      </c>
    </row>
    <row r="2334" spans="1:37" ht="15.75" hidden="1" customHeight="1" x14ac:dyDescent="0.2">
      <c r="A2334" s="1">
        <v>291304</v>
      </c>
      <c r="B2334" s="1" t="s">
        <v>3890</v>
      </c>
      <c r="C2334" s="1" t="s">
        <v>1695</v>
      </c>
      <c r="D2334" s="1" t="s">
        <v>3968</v>
      </c>
      <c r="E2334" s="1" t="s">
        <v>163</v>
      </c>
      <c r="F2334" s="1" t="s">
        <v>61</v>
      </c>
      <c r="G2334" s="1" t="s">
        <v>3970</v>
      </c>
      <c r="H2334" s="1">
        <v>401</v>
      </c>
      <c r="I2334" s="1" t="s">
        <v>108</v>
      </c>
      <c r="J2334" s="1">
        <v>3</v>
      </c>
      <c r="K2334" s="1" t="s">
        <v>35</v>
      </c>
      <c r="L2334" s="1">
        <v>54</v>
      </c>
      <c r="M2334" s="1" t="str">
        <f>IF(L2334&lt;=45,"Joven","Mayor")</f>
        <v>Mayor</v>
      </c>
      <c r="N2334" s="1">
        <v>55</v>
      </c>
      <c r="O2334" s="1" t="s">
        <v>36</v>
      </c>
      <c r="P2334" s="1">
        <v>4.7E-2</v>
      </c>
      <c r="Q2334" s="1">
        <v>91.39</v>
      </c>
      <c r="R2334" s="1">
        <v>3.4813526000000001</v>
      </c>
      <c r="S2334" s="1">
        <v>6.0140504999999997</v>
      </c>
      <c r="T2334" s="1">
        <v>-4.6649804000000001</v>
      </c>
      <c r="U2334" s="1">
        <v>0.39700000000000002</v>
      </c>
      <c r="V2334" s="1">
        <v>108</v>
      </c>
      <c r="W2334" s="1">
        <v>188</v>
      </c>
      <c r="X2334" s="1">
        <v>1.7407407407407407</v>
      </c>
      <c r="Y2334" s="1">
        <v>112</v>
      </c>
      <c r="Z2334" s="1">
        <v>188</v>
      </c>
      <c r="AA2334" s="1">
        <v>1.6785714285714286</v>
      </c>
      <c r="AB2334" s="1">
        <v>111.95268155239</v>
      </c>
      <c r="AC2334" s="1">
        <v>187.7838557360642</v>
      </c>
      <c r="AD2334" s="1">
        <v>1.6773502262934883</v>
      </c>
      <c r="AE2334" t="s">
        <v>4817</v>
      </c>
      <c r="AF2334" t="str">
        <f>IF(X2334&lt;$AF$1,"Bajo","Alto")</f>
        <v>Bajo</v>
      </c>
      <c r="AG2334" t="str">
        <f>LEFT(AE2334,1)</f>
        <v>C</v>
      </c>
      <c r="AH2334" t="str">
        <f>K2334</f>
        <v>M</v>
      </c>
      <c r="AI2334" t="str">
        <f>LEFT(AF2334,1)</f>
        <v>B</v>
      </c>
      <c r="AJ2334" t="str">
        <f>LEFT(M2334,1)</f>
        <v>M</v>
      </c>
      <c r="AK2334" t="str">
        <f>_xlfn.CONCAT(AG2334,AH2334,AI2334,AJ2334)</f>
        <v>CMBM</v>
      </c>
    </row>
    <row r="2335" spans="1:37" ht="15.75" hidden="1" customHeight="1" x14ac:dyDescent="0.2">
      <c r="A2335" s="1">
        <v>234302</v>
      </c>
      <c r="B2335" s="1" t="s">
        <v>319</v>
      </c>
      <c r="C2335" s="1" t="s">
        <v>1989</v>
      </c>
      <c r="D2335" s="1" t="s">
        <v>3034</v>
      </c>
      <c r="E2335" s="1" t="s">
        <v>665</v>
      </c>
      <c r="F2335" s="1" t="s">
        <v>37</v>
      </c>
      <c r="G2335" s="1" t="s">
        <v>3036</v>
      </c>
      <c r="H2335" s="1">
        <v>4968</v>
      </c>
      <c r="I2335" s="1" t="s">
        <v>3037</v>
      </c>
      <c r="J2335" s="1">
        <v>2736</v>
      </c>
      <c r="K2335" s="1" t="s">
        <v>35</v>
      </c>
      <c r="L2335" s="1">
        <v>47</v>
      </c>
      <c r="M2335" s="1" t="str">
        <f>IF(L2335&lt;=45,"Joven","Mayor")</f>
        <v>Mayor</v>
      </c>
      <c r="N2335" s="1">
        <v>36</v>
      </c>
      <c r="O2335" s="1" t="s">
        <v>36</v>
      </c>
      <c r="P2335" s="1">
        <v>0.77</v>
      </c>
      <c r="Q2335" s="1">
        <v>78.387</v>
      </c>
      <c r="R2335" s="1">
        <v>-10.62354</v>
      </c>
      <c r="S2335" s="1">
        <v>-3.7307549999999998</v>
      </c>
      <c r="T2335" s="1">
        <v>7.2337800000000003</v>
      </c>
      <c r="U2335" s="1">
        <v>17.129000000000001</v>
      </c>
      <c r="V2335" s="1">
        <v>112</v>
      </c>
      <c r="W2335" s="1">
        <v>195</v>
      </c>
      <c r="X2335" s="1">
        <v>1.7410714285714286</v>
      </c>
      <c r="Y2335" s="1">
        <v>116</v>
      </c>
      <c r="Z2335" s="1">
        <v>195</v>
      </c>
      <c r="AA2335" s="1">
        <v>1.6810344827586208</v>
      </c>
      <c r="AB2335" s="1">
        <v>117.1526217014127</v>
      </c>
      <c r="AC2335" s="1">
        <v>193.57384213524119</v>
      </c>
      <c r="AD2335" s="1">
        <v>1.652321897060089</v>
      </c>
      <c r="AE2335" t="s">
        <v>4817</v>
      </c>
      <c r="AF2335" t="str">
        <f>IF(X2335&lt;$AF$1,"Bajo","Alto")</f>
        <v>Bajo</v>
      </c>
      <c r="AG2335" t="str">
        <f>LEFT(AE2335,1)</f>
        <v>C</v>
      </c>
      <c r="AH2335" t="str">
        <f>K2335</f>
        <v>M</v>
      </c>
      <c r="AI2335" t="str">
        <f>LEFT(AF2335,1)</f>
        <v>B</v>
      </c>
      <c r="AJ2335" t="str">
        <f>LEFT(M2335,1)</f>
        <v>M</v>
      </c>
      <c r="AK2335" t="str">
        <f>_xlfn.CONCAT(AG2335,AH2335,AI2335,AJ2335)</f>
        <v>CMBM</v>
      </c>
    </row>
    <row r="2336" spans="1:37" ht="15.75" hidden="1" customHeight="1" x14ac:dyDescent="0.2">
      <c r="A2336" s="1">
        <v>297904</v>
      </c>
      <c r="B2336" s="1" t="s">
        <v>3890</v>
      </c>
      <c r="C2336" s="1" t="s">
        <v>1695</v>
      </c>
      <c r="D2336" s="1" t="s">
        <v>4072</v>
      </c>
      <c r="E2336" s="1" t="s">
        <v>739</v>
      </c>
      <c r="F2336" s="1" t="s">
        <v>61</v>
      </c>
      <c r="G2336" s="1" t="s">
        <v>4074</v>
      </c>
      <c r="H2336" s="1">
        <v>6720</v>
      </c>
      <c r="I2336" s="1" t="s">
        <v>4075</v>
      </c>
      <c r="J2336" s="1">
        <v>3525</v>
      </c>
      <c r="K2336" s="1" t="s">
        <v>49</v>
      </c>
      <c r="L2336" s="1">
        <v>39</v>
      </c>
      <c r="M2336" s="1" t="str">
        <f>IF(L2336&lt;=45,"Joven","Mayor")</f>
        <v>Joven</v>
      </c>
      <c r="N2336" s="1">
        <v>48</v>
      </c>
      <c r="O2336" s="1" t="s">
        <v>50</v>
      </c>
      <c r="P2336" s="1">
        <v>0.29099999999999998</v>
      </c>
      <c r="Q2336" s="1">
        <v>87.3</v>
      </c>
      <c r="R2336" s="1">
        <v>6.3055186000000001</v>
      </c>
      <c r="S2336" s="1">
        <v>6.9726939999999997</v>
      </c>
      <c r="T2336" s="1">
        <v>-3.2547157000000002</v>
      </c>
      <c r="U2336" s="1">
        <v>14.444000000000001</v>
      </c>
      <c r="V2336" s="1">
        <v>106</v>
      </c>
      <c r="W2336" s="1">
        <v>185</v>
      </c>
      <c r="X2336" s="1">
        <v>1.7452830188679245</v>
      </c>
      <c r="Y2336" s="1">
        <v>108</v>
      </c>
      <c r="Z2336" s="1">
        <v>185</v>
      </c>
      <c r="AA2336" s="1">
        <v>1.712962962962963</v>
      </c>
      <c r="AB2336" s="1">
        <v>110.5509941748342</v>
      </c>
      <c r="AC2336" s="1">
        <v>184.64482024488549</v>
      </c>
      <c r="AD2336" s="1">
        <v>1.6702230642347131</v>
      </c>
      <c r="AE2336" t="s">
        <v>4817</v>
      </c>
      <c r="AF2336" t="str">
        <f>IF(X2336&lt;$AF$1,"Bajo","Alto")</f>
        <v>Bajo</v>
      </c>
      <c r="AG2336" t="str">
        <f>LEFT(AE2336,1)</f>
        <v>C</v>
      </c>
      <c r="AH2336" t="str">
        <f>K2336</f>
        <v>F</v>
      </c>
      <c r="AI2336" t="str">
        <f>LEFT(AF2336,1)</f>
        <v>B</v>
      </c>
      <c r="AJ2336" t="str">
        <f>LEFT(M2336,1)</f>
        <v>J</v>
      </c>
      <c r="AK2336" t="str">
        <f>_xlfn.CONCAT(AG2336,AH2336,AI2336,AJ2336)</f>
        <v>CFBJ</v>
      </c>
    </row>
    <row r="2337" spans="1:37" ht="15.75" hidden="1" customHeight="1" x14ac:dyDescent="0.2">
      <c r="A2337" s="1">
        <v>10727402</v>
      </c>
      <c r="B2337" s="1" t="s">
        <v>1067</v>
      </c>
      <c r="C2337" s="1" t="s">
        <v>1068</v>
      </c>
      <c r="D2337" s="1" t="s">
        <v>1322</v>
      </c>
      <c r="E2337" s="1" t="s">
        <v>1323</v>
      </c>
      <c r="F2337" s="1" t="s">
        <v>37</v>
      </c>
      <c r="G2337" s="1" t="s">
        <v>1324</v>
      </c>
      <c r="H2337" s="1">
        <v>2082</v>
      </c>
      <c r="I2337" s="1" t="s">
        <v>1325</v>
      </c>
      <c r="J2337" s="1">
        <v>3254</v>
      </c>
      <c r="K2337" s="1" t="s">
        <v>49</v>
      </c>
      <c r="L2337" s="1">
        <v>31</v>
      </c>
      <c r="M2337" s="1" t="str">
        <f>IF(L2337&lt;=45,"Joven","Mayor")</f>
        <v>Joven</v>
      </c>
      <c r="N2337" s="1">
        <v>34</v>
      </c>
      <c r="O2337" s="1" t="s">
        <v>50</v>
      </c>
      <c r="P2337" s="1">
        <v>0.53600000000000003</v>
      </c>
      <c r="Q2337" s="1">
        <v>85.47</v>
      </c>
      <c r="R2337" s="1">
        <v>7.5767899999999999</v>
      </c>
      <c r="S2337" s="1">
        <v>-5.9110703000000004</v>
      </c>
      <c r="T2337" s="1">
        <v>-7.4587680000000001</v>
      </c>
      <c r="U2337" s="1">
        <v>52.287999999999997</v>
      </c>
      <c r="V2337" s="1">
        <v>96</v>
      </c>
      <c r="W2337" s="1">
        <v>173</v>
      </c>
      <c r="X2337" s="1">
        <v>1.8020833333333333</v>
      </c>
      <c r="Y2337" s="1">
        <v>104</v>
      </c>
      <c r="Z2337" s="1">
        <v>173</v>
      </c>
      <c r="AA2337" s="1">
        <v>1.6634615384615385</v>
      </c>
      <c r="AB2337" s="1">
        <v>101.54852079598371</v>
      </c>
      <c r="AC2337" s="1">
        <v>172.9641061747179</v>
      </c>
      <c r="AD2337" s="1">
        <v>1.7032656391146439</v>
      </c>
      <c r="AE2337" t="s">
        <v>4817</v>
      </c>
      <c r="AF2337" t="str">
        <f>IF(X2337&lt;$AF$1,"Bajo","Alto")</f>
        <v>Alto</v>
      </c>
      <c r="AG2337" t="str">
        <f>LEFT(AE2337,1)</f>
        <v>C</v>
      </c>
      <c r="AH2337" t="str">
        <f>K2337</f>
        <v>F</v>
      </c>
      <c r="AI2337" t="str">
        <f>LEFT(AF2337,1)</f>
        <v>A</v>
      </c>
      <c r="AJ2337" t="str">
        <f>LEFT(M2337,1)</f>
        <v>J</v>
      </c>
      <c r="AK2337" t="str">
        <f>_xlfn.CONCAT(AG2337,AH2337,AI2337,AJ2337)</f>
        <v>CFAJ</v>
      </c>
    </row>
    <row r="2338" spans="1:37" ht="15.75" hidden="1" customHeight="1" x14ac:dyDescent="0.2">
      <c r="A2338" s="1">
        <v>4686504</v>
      </c>
      <c r="B2338" s="1" t="s">
        <v>4382</v>
      </c>
      <c r="C2338" s="1" t="s">
        <v>669</v>
      </c>
      <c r="D2338" s="1" t="s">
        <v>4452</v>
      </c>
      <c r="E2338" s="1" t="s">
        <v>4453</v>
      </c>
      <c r="F2338" s="1" t="s">
        <v>61</v>
      </c>
      <c r="G2338" s="1" t="s">
        <v>4455</v>
      </c>
      <c r="H2338" s="1">
        <v>217</v>
      </c>
      <c r="I2338" s="1" t="s">
        <v>48</v>
      </c>
      <c r="J2338" s="1">
        <v>4</v>
      </c>
      <c r="K2338" s="1" t="s">
        <v>35</v>
      </c>
      <c r="L2338" s="1">
        <v>29</v>
      </c>
      <c r="M2338" s="1" t="str">
        <f>IF(L2338&lt;=45,"Joven","Mayor")</f>
        <v>Joven</v>
      </c>
      <c r="N2338" s="1">
        <v>38</v>
      </c>
      <c r="O2338" s="1" t="s">
        <v>36</v>
      </c>
      <c r="P2338" s="1">
        <v>0.56100000000000005</v>
      </c>
      <c r="Q2338" s="1">
        <v>91.099000000000004</v>
      </c>
      <c r="R2338" s="1">
        <v>3.4714109999999998</v>
      </c>
      <c r="S2338" s="1">
        <v>6.3448333999999997</v>
      </c>
      <c r="T2338" s="1">
        <v>-0.21581866</v>
      </c>
      <c r="U2338" s="1">
        <v>12.138999999999999</v>
      </c>
      <c r="V2338" s="1">
        <v>97</v>
      </c>
      <c r="W2338" s="1">
        <v>169</v>
      </c>
      <c r="X2338" s="1">
        <v>1.7422680412371134</v>
      </c>
      <c r="Y2338" s="1">
        <v>99</v>
      </c>
      <c r="Z2338" s="1">
        <v>169</v>
      </c>
      <c r="AA2338" s="1">
        <v>1.707070707070707</v>
      </c>
      <c r="AB2338" s="1">
        <v>98.826027760512488</v>
      </c>
      <c r="AC2338" s="1">
        <v>168.99126760896979</v>
      </c>
      <c r="AD2338" s="1">
        <v>1.7099874540995459</v>
      </c>
      <c r="AE2338" t="s">
        <v>4815</v>
      </c>
      <c r="AF2338" t="str">
        <f>IF(X2338&lt;$AF$1,"Bajo","Alto")</f>
        <v>Bajo</v>
      </c>
      <c r="AG2338" t="str">
        <f>LEFT(AE2338,1)</f>
        <v>I</v>
      </c>
      <c r="AH2338" t="str">
        <f>K2338</f>
        <v>M</v>
      </c>
      <c r="AI2338" t="str">
        <f>LEFT(AF2338,1)</f>
        <v>B</v>
      </c>
      <c r="AJ2338" t="str">
        <f>LEFT(M2338,1)</f>
        <v>J</v>
      </c>
      <c r="AK2338" t="str">
        <f>_xlfn.CONCAT(AG2338,AH2338,AI2338,AJ2338)</f>
        <v>IMBJ</v>
      </c>
    </row>
    <row r="2339" spans="1:37" ht="15.75" hidden="1" customHeight="1" x14ac:dyDescent="0.2">
      <c r="A2339" s="1">
        <v>441207</v>
      </c>
      <c r="B2339" s="1" t="s">
        <v>4314</v>
      </c>
      <c r="C2339" s="1" t="s">
        <v>995</v>
      </c>
      <c r="D2339" s="1" t="s">
        <v>4346</v>
      </c>
      <c r="E2339" s="1" t="s">
        <v>54</v>
      </c>
      <c r="F2339" s="1" t="s">
        <v>43</v>
      </c>
      <c r="G2339" s="1" t="s">
        <v>4352</v>
      </c>
      <c r="H2339" s="1">
        <v>879</v>
      </c>
      <c r="I2339" s="1" t="s">
        <v>91</v>
      </c>
      <c r="J2339" s="1">
        <v>6</v>
      </c>
      <c r="K2339" s="1" t="s">
        <v>35</v>
      </c>
      <c r="L2339" s="1">
        <v>51</v>
      </c>
      <c r="M2339" s="1" t="str">
        <f>IF(L2339&lt;=45,"Joven","Mayor")</f>
        <v>Mayor</v>
      </c>
      <c r="N2339" s="1">
        <v>54</v>
      </c>
      <c r="O2339" s="1" t="s">
        <v>36</v>
      </c>
      <c r="P2339" s="1">
        <v>0.35899999999999999</v>
      </c>
      <c r="Q2339" s="1">
        <v>92.447000000000003</v>
      </c>
      <c r="R2339" s="1">
        <v>3.4786212000000001</v>
      </c>
      <c r="S2339" s="1">
        <v>2.3664436000000002</v>
      </c>
      <c r="T2339" s="1">
        <v>-1.3143076</v>
      </c>
      <c r="U2339" s="1">
        <v>0.77400000000000002</v>
      </c>
      <c r="V2339" s="1">
        <v>120</v>
      </c>
      <c r="W2339" s="1">
        <v>209</v>
      </c>
      <c r="X2339" s="1">
        <v>1.7416666666666667</v>
      </c>
      <c r="Y2339" s="1">
        <v>122</v>
      </c>
      <c r="Z2339" s="1">
        <v>209</v>
      </c>
      <c r="AA2339" s="1">
        <v>1.7131147540983607</v>
      </c>
      <c r="AB2339" s="1">
        <v>123.4358702927336</v>
      </c>
      <c r="AC2339" s="1">
        <v>209.08263667316169</v>
      </c>
      <c r="AD2339" s="1">
        <v>1.6938563820817483</v>
      </c>
      <c r="AE2339" t="s">
        <v>4817</v>
      </c>
      <c r="AF2339" t="str">
        <f>IF(X2339&lt;$AF$1,"Bajo","Alto")</f>
        <v>Bajo</v>
      </c>
      <c r="AG2339" t="str">
        <f>LEFT(AE2339,1)</f>
        <v>C</v>
      </c>
      <c r="AH2339" t="str">
        <f>K2339</f>
        <v>M</v>
      </c>
      <c r="AI2339" t="str">
        <f>LEFT(AF2339,1)</f>
        <v>B</v>
      </c>
      <c r="AJ2339" t="str">
        <f>LEFT(M2339,1)</f>
        <v>M</v>
      </c>
      <c r="AK2339" t="str">
        <f>_xlfn.CONCAT(AG2339,AH2339,AI2339,AJ2339)</f>
        <v>CMBM</v>
      </c>
    </row>
    <row r="2340" spans="1:37" ht="15.75" hidden="1" customHeight="1" x14ac:dyDescent="0.2">
      <c r="A2340" s="1">
        <v>440905</v>
      </c>
      <c r="B2340" s="1" t="s">
        <v>4314</v>
      </c>
      <c r="C2340" s="1" t="s">
        <v>995</v>
      </c>
      <c r="D2340" s="1" t="s">
        <v>4341</v>
      </c>
      <c r="E2340" s="1" t="s">
        <v>189</v>
      </c>
      <c r="F2340" s="1" t="s">
        <v>40</v>
      </c>
      <c r="G2340" s="1" t="s">
        <v>4343</v>
      </c>
      <c r="H2340" s="1">
        <v>484</v>
      </c>
      <c r="I2340" s="1" t="s">
        <v>134</v>
      </c>
      <c r="J2340" s="1">
        <v>8</v>
      </c>
      <c r="K2340" s="1" t="s">
        <v>35</v>
      </c>
      <c r="L2340" s="1">
        <v>45</v>
      </c>
      <c r="M2340" s="1" t="str">
        <f>IF(L2340&lt;=45,"Joven","Mayor")</f>
        <v>Joven</v>
      </c>
      <c r="N2340" s="1">
        <v>42</v>
      </c>
      <c r="O2340" s="1" t="s">
        <v>36</v>
      </c>
      <c r="P2340" s="1">
        <v>0.13900000000000001</v>
      </c>
      <c r="Q2340" s="1">
        <v>92.561000000000007</v>
      </c>
      <c r="R2340" s="1">
        <v>4.0015764000000003</v>
      </c>
      <c r="S2340" s="1">
        <v>6.8427390000000005E-2</v>
      </c>
      <c r="T2340" s="1">
        <v>-6.5673985000000004</v>
      </c>
      <c r="U2340" s="1">
        <v>10.096</v>
      </c>
      <c r="V2340" s="1">
        <v>87</v>
      </c>
      <c r="W2340" s="1">
        <v>152</v>
      </c>
      <c r="X2340" s="1">
        <v>1.7471264367816093</v>
      </c>
      <c r="Y2340" s="1">
        <v>88</v>
      </c>
      <c r="Z2340" s="1">
        <v>152</v>
      </c>
      <c r="AA2340" s="1">
        <v>1.7272727272727273</v>
      </c>
      <c r="AB2340" s="1">
        <v>91.347098056194454</v>
      </c>
      <c r="AC2340" s="1">
        <v>151.57443616995761</v>
      </c>
      <c r="AD2340" s="1">
        <v>1.6593240441717458</v>
      </c>
      <c r="AE2340" t="s">
        <v>4817</v>
      </c>
      <c r="AF2340" t="str">
        <f>IF(X2340&lt;$AF$1,"Bajo","Alto")</f>
        <v>Bajo</v>
      </c>
      <c r="AG2340" t="str">
        <f>LEFT(AE2340,1)</f>
        <v>C</v>
      </c>
      <c r="AH2340" t="str">
        <f>K2340</f>
        <v>M</v>
      </c>
      <c r="AI2340" t="str">
        <f>LEFT(AF2340,1)</f>
        <v>B</v>
      </c>
      <c r="AJ2340" t="str">
        <f>LEFT(M2340,1)</f>
        <v>J</v>
      </c>
      <c r="AK2340" t="str">
        <f>_xlfn.CONCAT(AG2340,AH2340,AI2340,AJ2340)</f>
        <v>CMBJ</v>
      </c>
    </row>
    <row r="2341" spans="1:37" ht="15.75" hidden="1" customHeight="1" x14ac:dyDescent="0.2">
      <c r="A2341" s="1">
        <v>2718107</v>
      </c>
      <c r="B2341" s="1" t="s">
        <v>3409</v>
      </c>
      <c r="C2341" s="1" t="s">
        <v>973</v>
      </c>
      <c r="D2341" s="1" t="s">
        <v>3574</v>
      </c>
      <c r="E2341" s="1" t="s">
        <v>308</v>
      </c>
      <c r="F2341" s="1" t="s">
        <v>43</v>
      </c>
      <c r="G2341" s="1" t="s">
        <v>3579</v>
      </c>
      <c r="H2341" s="1">
        <v>1049</v>
      </c>
      <c r="I2341" s="1" t="s">
        <v>3580</v>
      </c>
      <c r="J2341" s="1">
        <v>4044</v>
      </c>
      <c r="K2341" s="1" t="s">
        <v>35</v>
      </c>
      <c r="L2341" s="1">
        <v>45</v>
      </c>
      <c r="M2341" s="1" t="str">
        <f>IF(L2341&lt;=45,"Joven","Mayor")</f>
        <v>Joven</v>
      </c>
      <c r="N2341" s="1">
        <v>57</v>
      </c>
      <c r="O2341" s="1" t="s">
        <v>36</v>
      </c>
      <c r="P2341" s="1">
        <v>0.36099999999999999</v>
      </c>
      <c r="Q2341" s="1">
        <v>92.820999999999998</v>
      </c>
      <c r="R2341" s="1">
        <v>1.6927547000000001</v>
      </c>
      <c r="S2341" s="1">
        <v>5.673889</v>
      </c>
      <c r="T2341" s="1">
        <v>-2.987924</v>
      </c>
      <c r="U2341" s="1">
        <v>1.532</v>
      </c>
      <c r="V2341" s="1">
        <v>90</v>
      </c>
      <c r="W2341" s="1">
        <v>162</v>
      </c>
      <c r="X2341" s="1">
        <v>1.8</v>
      </c>
      <c r="Y2341" s="1">
        <v>92</v>
      </c>
      <c r="Z2341" s="1">
        <v>162</v>
      </c>
      <c r="AA2341" s="1">
        <v>1.7608695652173914</v>
      </c>
      <c r="AB2341" s="1">
        <v>94.168451006128862</v>
      </c>
      <c r="AC2341" s="1">
        <v>161.88401895626109</v>
      </c>
      <c r="AD2341" s="1">
        <v>1.7190897506185487</v>
      </c>
      <c r="AE2341" t="s">
        <v>4817</v>
      </c>
      <c r="AF2341" t="str">
        <f>IF(X2341&lt;$AF$1,"Bajo","Alto")</f>
        <v>Alto</v>
      </c>
      <c r="AG2341" t="str">
        <f>LEFT(AE2341,1)</f>
        <v>C</v>
      </c>
      <c r="AH2341" t="str">
        <f>K2341</f>
        <v>M</v>
      </c>
      <c r="AI2341" t="str">
        <f>LEFT(AF2341,1)</f>
        <v>A</v>
      </c>
      <c r="AJ2341" t="str">
        <f>LEFT(M2341,1)</f>
        <v>J</v>
      </c>
      <c r="AK2341" t="str">
        <f>_xlfn.CONCAT(AG2341,AH2341,AI2341,AJ2341)</f>
        <v>CMAJ</v>
      </c>
    </row>
    <row r="2342" spans="1:37" ht="15.75" hidden="1" customHeight="1" x14ac:dyDescent="0.2">
      <c r="A2342" s="1">
        <v>192505</v>
      </c>
      <c r="B2342" s="1" t="s">
        <v>2656</v>
      </c>
      <c r="C2342" s="1" t="s">
        <v>323</v>
      </c>
      <c r="D2342" s="1" t="s">
        <v>2688</v>
      </c>
      <c r="E2342" s="1" t="s">
        <v>821</v>
      </c>
      <c r="F2342" s="1" t="s">
        <v>40</v>
      </c>
      <c r="G2342" s="1" t="s">
        <v>2694</v>
      </c>
      <c r="H2342" s="1">
        <v>1100</v>
      </c>
      <c r="I2342" s="1" t="s">
        <v>2695</v>
      </c>
      <c r="J2342" s="1">
        <v>3990</v>
      </c>
      <c r="K2342" s="1" t="s">
        <v>49</v>
      </c>
      <c r="L2342" s="1">
        <v>60</v>
      </c>
      <c r="M2342" s="1" t="str">
        <f>IF(L2342&lt;=45,"Joven","Mayor")</f>
        <v>Mayor</v>
      </c>
      <c r="N2342" s="1">
        <v>57</v>
      </c>
      <c r="O2342" s="1" t="s">
        <v>50</v>
      </c>
      <c r="P2342" s="1">
        <v>0.17599999999999999</v>
      </c>
      <c r="Q2342" s="1">
        <v>92.837999999999994</v>
      </c>
      <c r="R2342" s="1">
        <v>3.5511526999999998</v>
      </c>
      <c r="S2342" s="1">
        <v>0.53373486000000003</v>
      </c>
      <c r="T2342" s="1">
        <v>8.6463330000000003</v>
      </c>
      <c r="U2342" s="1">
        <v>3.2509999999999999</v>
      </c>
      <c r="V2342" s="1">
        <v>98</v>
      </c>
      <c r="W2342" s="1">
        <v>170</v>
      </c>
      <c r="X2342" s="1">
        <v>1.7346938775510203</v>
      </c>
      <c r="Y2342" s="1">
        <v>107</v>
      </c>
      <c r="Z2342" s="1">
        <v>170</v>
      </c>
      <c r="AA2342" s="1">
        <v>1.5887850467289719</v>
      </c>
      <c r="AB2342" s="1">
        <v>105.4553304699073</v>
      </c>
      <c r="AC2342" s="1">
        <v>170.62366549603391</v>
      </c>
      <c r="AD2342" s="1">
        <v>1.6179709905202282</v>
      </c>
      <c r="AE2342" t="s">
        <v>4817</v>
      </c>
      <c r="AF2342" t="str">
        <f>IF(X2342&lt;$AF$1,"Bajo","Alto")</f>
        <v>Bajo</v>
      </c>
      <c r="AG2342" t="str">
        <f>LEFT(AE2342,1)</f>
        <v>C</v>
      </c>
      <c r="AH2342" t="str">
        <f>K2342</f>
        <v>F</v>
      </c>
      <c r="AI2342" t="str">
        <f>LEFT(AF2342,1)</f>
        <v>B</v>
      </c>
      <c r="AJ2342" t="str">
        <f>LEFT(M2342,1)</f>
        <v>M</v>
      </c>
      <c r="AK2342" t="str">
        <f>_xlfn.CONCAT(AG2342,AH2342,AI2342,AJ2342)</f>
        <v>CFBM</v>
      </c>
    </row>
    <row r="2343" spans="1:37" ht="15.75" hidden="1" customHeight="1" x14ac:dyDescent="0.2">
      <c r="A2343" s="1">
        <v>10119104</v>
      </c>
      <c r="B2343" s="1" t="s">
        <v>29</v>
      </c>
      <c r="C2343" s="1" t="s">
        <v>30</v>
      </c>
      <c r="D2343" s="1" t="s">
        <v>329</v>
      </c>
      <c r="E2343" s="1" t="s">
        <v>330</v>
      </c>
      <c r="F2343" s="1" t="s">
        <v>61</v>
      </c>
      <c r="G2343" s="1" t="s">
        <v>333</v>
      </c>
      <c r="H2343" s="1">
        <v>307</v>
      </c>
      <c r="I2343" s="1" t="s">
        <v>294</v>
      </c>
      <c r="J2343" s="1">
        <v>16</v>
      </c>
      <c r="K2343" s="1" t="s">
        <v>35</v>
      </c>
      <c r="L2343" s="1">
        <v>32</v>
      </c>
      <c r="M2343" s="1" t="str">
        <f>IF(L2343&lt;=45,"Joven","Mayor")</f>
        <v>Joven</v>
      </c>
      <c r="N2343" s="1">
        <v>21</v>
      </c>
      <c r="O2343" s="1" t="s">
        <v>36</v>
      </c>
      <c r="P2343" s="1">
        <v>0.36499999999999999</v>
      </c>
      <c r="Q2343" s="1">
        <v>93.165999999999997</v>
      </c>
      <c r="R2343" s="1">
        <v>-2.7414672000000002</v>
      </c>
      <c r="S2343" s="1">
        <v>1.6832027000000001</v>
      </c>
      <c r="T2343" s="1">
        <v>0.80242849999999999</v>
      </c>
      <c r="U2343" s="1">
        <v>74.072999999999993</v>
      </c>
      <c r="V2343" s="1">
        <v>91</v>
      </c>
      <c r="W2343" s="1">
        <v>159</v>
      </c>
      <c r="X2343" s="1">
        <v>1.7472527472527473</v>
      </c>
      <c r="Y2343" s="1">
        <v>93</v>
      </c>
      <c r="Z2343" s="1">
        <v>159</v>
      </c>
      <c r="AA2343" s="1">
        <v>1.7096774193548387</v>
      </c>
      <c r="AB2343" s="1">
        <v>93.635089442459048</v>
      </c>
      <c r="AC2343" s="1">
        <v>158.98440707982309</v>
      </c>
      <c r="AD2343" s="1">
        <v>1.6979148311437533</v>
      </c>
      <c r="AE2343" t="s">
        <v>4817</v>
      </c>
      <c r="AF2343" t="str">
        <f>IF(X2343&lt;$AF$1,"Bajo","Alto")</f>
        <v>Bajo</v>
      </c>
      <c r="AG2343" t="str">
        <f>LEFT(AE2343,1)</f>
        <v>C</v>
      </c>
      <c r="AH2343" t="str">
        <f>K2343</f>
        <v>M</v>
      </c>
      <c r="AI2343" t="str">
        <f>LEFT(AF2343,1)</f>
        <v>B</v>
      </c>
      <c r="AJ2343" t="str">
        <f>LEFT(M2343,1)</f>
        <v>J</v>
      </c>
      <c r="AK2343" t="str">
        <f>_xlfn.CONCAT(AG2343,AH2343,AI2343,AJ2343)</f>
        <v>CMBJ</v>
      </c>
    </row>
    <row r="2344" spans="1:37" ht="15.75" hidden="1" customHeight="1" x14ac:dyDescent="0.2">
      <c r="A2344" s="1">
        <v>10123201</v>
      </c>
      <c r="B2344" s="1" t="s">
        <v>29</v>
      </c>
      <c r="C2344" s="1" t="s">
        <v>30</v>
      </c>
      <c r="D2344" s="1" t="s">
        <v>460</v>
      </c>
      <c r="E2344" s="1" t="s">
        <v>461</v>
      </c>
      <c r="F2344" s="1" t="s">
        <v>32</v>
      </c>
      <c r="G2344" s="1" t="s">
        <v>462</v>
      </c>
      <c r="H2344" s="1">
        <v>3130</v>
      </c>
      <c r="I2344" s="1" t="s">
        <v>39</v>
      </c>
      <c r="J2344" s="1">
        <v>11</v>
      </c>
      <c r="K2344" s="1" t="s">
        <v>35</v>
      </c>
      <c r="L2344" s="1">
        <v>47</v>
      </c>
      <c r="M2344" s="1" t="str">
        <f>IF(L2344&lt;=45,"Joven","Mayor")</f>
        <v>Mayor</v>
      </c>
      <c r="N2344" s="1">
        <v>45</v>
      </c>
      <c r="O2344" s="1" t="s">
        <v>36</v>
      </c>
      <c r="P2344" s="1">
        <v>0.39400000000000002</v>
      </c>
      <c r="Q2344" s="1">
        <v>93.742999999999995</v>
      </c>
      <c r="R2344" s="1">
        <v>-1.9040986</v>
      </c>
      <c r="S2344" s="1">
        <v>-1.4901004</v>
      </c>
      <c r="T2344" s="1">
        <v>-1.6828429</v>
      </c>
      <c r="U2344" s="1">
        <v>70.97</v>
      </c>
      <c r="V2344" s="1">
        <v>84</v>
      </c>
      <c r="W2344" s="1">
        <v>147</v>
      </c>
      <c r="X2344" s="1">
        <v>1.75</v>
      </c>
      <c r="Y2344" s="1">
        <v>84</v>
      </c>
      <c r="Z2344" s="1">
        <v>147</v>
      </c>
      <c r="AA2344" s="1">
        <v>1.75</v>
      </c>
      <c r="AB2344" s="1">
        <v>85.167814692683805</v>
      </c>
      <c r="AC2344" s="1">
        <v>147.08343335674911</v>
      </c>
      <c r="AD2344" s="1">
        <v>1.7269837659622851</v>
      </c>
      <c r="AE2344" t="s">
        <v>4816</v>
      </c>
      <c r="AF2344" t="str">
        <f>IF(X2344&lt;$AF$1,"Bajo","Alto")</f>
        <v>Bajo</v>
      </c>
      <c r="AG2344" t="str">
        <f>LEFT(AE2344,1)</f>
        <v>D</v>
      </c>
      <c r="AH2344" t="str">
        <f>K2344</f>
        <v>M</v>
      </c>
      <c r="AI2344" t="str">
        <f>LEFT(AF2344,1)</f>
        <v>B</v>
      </c>
      <c r="AJ2344" t="str">
        <f>LEFT(M2344,1)</f>
        <v>M</v>
      </c>
      <c r="AK2344" t="str">
        <f>_xlfn.CONCAT(AG2344,AH2344,AI2344,AJ2344)</f>
        <v>DMBM</v>
      </c>
    </row>
    <row r="2345" spans="1:37" ht="15.75" hidden="1" customHeight="1" x14ac:dyDescent="0.2">
      <c r="A2345" s="1">
        <v>10723204</v>
      </c>
      <c r="B2345" s="1" t="s">
        <v>1067</v>
      </c>
      <c r="C2345" s="1" t="s">
        <v>1068</v>
      </c>
      <c r="D2345" s="1" t="s">
        <v>1250</v>
      </c>
      <c r="E2345" s="1" t="s">
        <v>461</v>
      </c>
      <c r="F2345" s="1" t="s">
        <v>61</v>
      </c>
      <c r="G2345" s="1" t="s">
        <v>1253</v>
      </c>
      <c r="H2345" s="1">
        <v>1165</v>
      </c>
      <c r="I2345" s="1" t="s">
        <v>1254</v>
      </c>
      <c r="J2345" s="1">
        <v>2946</v>
      </c>
      <c r="K2345" s="1" t="s">
        <v>35</v>
      </c>
      <c r="L2345" s="1">
        <v>53</v>
      </c>
      <c r="M2345" s="1" t="str">
        <f>IF(L2345&lt;=45,"Joven","Mayor")</f>
        <v>Mayor</v>
      </c>
      <c r="N2345" s="1">
        <v>59</v>
      </c>
      <c r="O2345" s="1" t="s">
        <v>36</v>
      </c>
      <c r="P2345" s="1">
        <v>0.35899999999999999</v>
      </c>
      <c r="Q2345" s="1">
        <v>93.54</v>
      </c>
      <c r="R2345" s="1">
        <v>1.3391550999999999</v>
      </c>
      <c r="S2345" s="1">
        <v>-3.9480225999999998</v>
      </c>
      <c r="T2345" s="1">
        <v>-0.89947160000000004</v>
      </c>
      <c r="U2345" s="1">
        <v>7.5890000000000004</v>
      </c>
      <c r="V2345" s="1">
        <v>88</v>
      </c>
      <c r="W2345" s="1">
        <v>158</v>
      </c>
      <c r="X2345" s="1">
        <v>1.7954545454545454</v>
      </c>
      <c r="Y2345" s="1">
        <v>89</v>
      </c>
      <c r="Z2345" s="1">
        <v>158</v>
      </c>
      <c r="AA2345" s="1">
        <v>1.7752808988764044</v>
      </c>
      <c r="AB2345" s="1">
        <v>88.664174535691927</v>
      </c>
      <c r="AC2345" s="1">
        <v>158.01192700519101</v>
      </c>
      <c r="AD2345" s="1">
        <v>1.7821394924461065</v>
      </c>
      <c r="AE2345" t="s">
        <v>4817</v>
      </c>
      <c r="AF2345" t="str">
        <f>IF(X2345&lt;$AF$1,"Bajo","Alto")</f>
        <v>Alto</v>
      </c>
      <c r="AG2345" t="str">
        <f>LEFT(AE2345,1)</f>
        <v>C</v>
      </c>
      <c r="AH2345" t="str">
        <f>K2345</f>
        <v>M</v>
      </c>
      <c r="AI2345" t="str">
        <f>LEFT(AF2345,1)</f>
        <v>A</v>
      </c>
      <c r="AJ2345" t="str">
        <f>LEFT(M2345,1)</f>
        <v>M</v>
      </c>
      <c r="AK2345" t="str">
        <f>_xlfn.CONCAT(AG2345,AH2345,AI2345,AJ2345)</f>
        <v>CMAM</v>
      </c>
    </row>
    <row r="2346" spans="1:37" ht="15.75" hidden="1" customHeight="1" x14ac:dyDescent="0.2">
      <c r="A2346" s="1">
        <v>274901</v>
      </c>
      <c r="B2346" s="1" t="s">
        <v>3409</v>
      </c>
      <c r="C2346" s="1" t="s">
        <v>973</v>
      </c>
      <c r="D2346" s="1" t="s">
        <v>3692</v>
      </c>
      <c r="E2346" s="1" t="s">
        <v>673</v>
      </c>
      <c r="F2346" s="1" t="s">
        <v>32</v>
      </c>
      <c r="G2346" s="1" t="s">
        <v>3693</v>
      </c>
      <c r="H2346" s="1">
        <v>1378</v>
      </c>
      <c r="I2346" s="1" t="s">
        <v>3694</v>
      </c>
      <c r="J2346" s="1">
        <v>4110</v>
      </c>
      <c r="K2346" s="1" t="s">
        <v>35</v>
      </c>
      <c r="L2346" s="1">
        <v>32</v>
      </c>
      <c r="M2346" s="1" t="str">
        <f>IF(L2346&lt;=45,"Joven","Mayor")</f>
        <v>Joven</v>
      </c>
      <c r="N2346" s="1">
        <v>35</v>
      </c>
      <c r="O2346" s="1" t="s">
        <v>36</v>
      </c>
      <c r="P2346" s="1">
        <v>0.35799999999999998</v>
      </c>
      <c r="Q2346" s="1">
        <v>92.256</v>
      </c>
      <c r="R2346" s="1">
        <v>1.9105899</v>
      </c>
      <c r="S2346" s="1">
        <v>6.8355255000000001</v>
      </c>
      <c r="T2346" s="1">
        <v>0.60968999999999995</v>
      </c>
      <c r="U2346" s="1">
        <v>28.474</v>
      </c>
      <c r="V2346" s="1">
        <v>85</v>
      </c>
      <c r="W2346" s="1">
        <v>153</v>
      </c>
      <c r="X2346" s="1">
        <v>1.8</v>
      </c>
      <c r="Y2346" s="1">
        <v>88</v>
      </c>
      <c r="Z2346" s="1">
        <v>153</v>
      </c>
      <c r="AA2346" s="1">
        <v>1.7386363636363635</v>
      </c>
      <c r="AB2346" s="1">
        <v>87.569381912674089</v>
      </c>
      <c r="AC2346" s="1">
        <v>153.04454224541129</v>
      </c>
      <c r="AD2346" s="1">
        <v>1.7476946725286964</v>
      </c>
      <c r="AE2346" t="s">
        <v>4817</v>
      </c>
      <c r="AF2346" t="str">
        <f>IF(X2346&lt;$AF$1,"Bajo","Alto")</f>
        <v>Alto</v>
      </c>
      <c r="AG2346" t="str">
        <f>LEFT(AE2346,1)</f>
        <v>C</v>
      </c>
      <c r="AH2346" t="str">
        <f>K2346</f>
        <v>M</v>
      </c>
      <c r="AI2346" t="str">
        <f>LEFT(AF2346,1)</f>
        <v>A</v>
      </c>
      <c r="AJ2346" t="str">
        <f>LEFT(M2346,1)</f>
        <v>J</v>
      </c>
      <c r="AK2346" t="str">
        <f>_xlfn.CONCAT(AG2346,AH2346,AI2346,AJ2346)</f>
        <v>CMAJ</v>
      </c>
    </row>
    <row r="2347" spans="1:37" ht="15.75" hidden="1" customHeight="1" x14ac:dyDescent="0.2">
      <c r="A2347" s="1">
        <v>1073701</v>
      </c>
      <c r="B2347" s="1" t="s">
        <v>1067</v>
      </c>
      <c r="C2347" s="1" t="s">
        <v>1068</v>
      </c>
      <c r="D2347" s="1" t="s">
        <v>719</v>
      </c>
      <c r="E2347" s="1" t="s">
        <v>647</v>
      </c>
      <c r="F2347" s="1" t="s">
        <v>32</v>
      </c>
      <c r="G2347" s="1" t="s">
        <v>1444</v>
      </c>
      <c r="H2347" s="1">
        <v>206</v>
      </c>
      <c r="I2347" s="1" t="s">
        <v>108</v>
      </c>
      <c r="J2347" s="1">
        <v>3</v>
      </c>
      <c r="K2347" s="1" t="s">
        <v>35</v>
      </c>
      <c r="L2347" s="1">
        <v>56</v>
      </c>
      <c r="M2347" s="1" t="str">
        <f>IF(L2347&lt;=45,"Joven","Mayor")</f>
        <v>Mayor</v>
      </c>
      <c r="N2347" s="1">
        <v>65</v>
      </c>
      <c r="O2347" s="1" t="s">
        <v>36</v>
      </c>
      <c r="P2347" s="1">
        <v>0.35799999999999998</v>
      </c>
      <c r="Q2347" s="1">
        <v>89.393000000000001</v>
      </c>
      <c r="R2347" s="1">
        <v>-5.9673150000000001</v>
      </c>
      <c r="S2347" s="1">
        <v>3.5333313999999998</v>
      </c>
      <c r="T2347" s="1">
        <v>8.9374789999999997</v>
      </c>
      <c r="U2347" s="1">
        <v>0.69</v>
      </c>
      <c r="V2347" s="1">
        <v>93</v>
      </c>
      <c r="W2347" s="1">
        <v>162</v>
      </c>
      <c r="X2347" s="1">
        <v>1.7419354838709677</v>
      </c>
      <c r="Y2347" s="1">
        <v>101</v>
      </c>
      <c r="Z2347" s="1">
        <v>162</v>
      </c>
      <c r="AA2347" s="1">
        <v>1.6039603960396041</v>
      </c>
      <c r="AB2347" s="1">
        <v>99.63866662973146</v>
      </c>
      <c r="AC2347" s="1">
        <v>161.74199215298859</v>
      </c>
      <c r="AD2347" s="1">
        <v>1.6232853933507572</v>
      </c>
      <c r="AE2347" t="s">
        <v>4817</v>
      </c>
      <c r="AF2347" t="str">
        <f>IF(X2347&lt;$AF$1,"Bajo","Alto")</f>
        <v>Bajo</v>
      </c>
      <c r="AG2347" t="str">
        <f>LEFT(AE2347,1)</f>
        <v>C</v>
      </c>
      <c r="AH2347" t="str">
        <f>K2347</f>
        <v>M</v>
      </c>
      <c r="AI2347" t="str">
        <f>LEFT(AF2347,1)</f>
        <v>B</v>
      </c>
      <c r="AJ2347" t="str">
        <f>LEFT(M2347,1)</f>
        <v>M</v>
      </c>
      <c r="AK2347" t="str">
        <f>_xlfn.CONCAT(AG2347,AH2347,AI2347,AJ2347)</f>
        <v>CMBM</v>
      </c>
    </row>
    <row r="2348" spans="1:37" ht="15.75" hidden="1" customHeight="1" x14ac:dyDescent="0.2">
      <c r="A2348" s="1">
        <v>10726801</v>
      </c>
      <c r="B2348" s="1" t="s">
        <v>1067</v>
      </c>
      <c r="C2348" s="1" t="s">
        <v>1068</v>
      </c>
      <c r="D2348" s="1" t="s">
        <v>1313</v>
      </c>
      <c r="E2348" s="1" t="s">
        <v>537</v>
      </c>
      <c r="F2348" s="1" t="s">
        <v>32</v>
      </c>
      <c r="G2348" s="1" t="s">
        <v>1314</v>
      </c>
      <c r="H2348" s="1">
        <v>866</v>
      </c>
      <c r="I2348" s="1" t="s">
        <v>48</v>
      </c>
      <c r="J2348" s="1">
        <v>4</v>
      </c>
      <c r="K2348" s="1" t="s">
        <v>35</v>
      </c>
      <c r="L2348" s="1">
        <v>34</v>
      </c>
      <c r="M2348" s="1" t="str">
        <f>IF(L2348&lt;=45,"Joven","Mayor")</f>
        <v>Joven</v>
      </c>
      <c r="N2348" s="1">
        <v>36</v>
      </c>
      <c r="O2348" s="1" t="s">
        <v>36</v>
      </c>
      <c r="P2348" s="1">
        <v>0.17299999999999999</v>
      </c>
      <c r="Q2348" s="1">
        <v>81.637</v>
      </c>
      <c r="R2348" s="1">
        <v>9.9998869999999993</v>
      </c>
      <c r="S2348" s="1">
        <v>2.1384826000000001</v>
      </c>
      <c r="T2348" s="1">
        <v>2.022338</v>
      </c>
      <c r="U2348" s="1">
        <v>5.7249999999999996</v>
      </c>
      <c r="V2348" s="1">
        <v>95</v>
      </c>
      <c r="W2348" s="1">
        <v>166</v>
      </c>
      <c r="X2348" s="1">
        <v>1.7473684210526317</v>
      </c>
      <c r="Y2348" s="1">
        <v>99</v>
      </c>
      <c r="Z2348" s="1">
        <v>166</v>
      </c>
      <c r="AA2348" s="1">
        <v>1.6767676767676767</v>
      </c>
      <c r="AB2348" s="1">
        <v>97.597350458213214</v>
      </c>
      <c r="AC2348" s="1">
        <v>166.1436299244115</v>
      </c>
      <c r="AD2348" s="1">
        <v>1.7023375034709238</v>
      </c>
      <c r="AE2348" t="s">
        <v>4817</v>
      </c>
      <c r="AF2348" t="str">
        <f>IF(X2348&lt;$AF$1,"Bajo","Alto")</f>
        <v>Bajo</v>
      </c>
      <c r="AG2348" t="str">
        <f>LEFT(AE2348,1)</f>
        <v>C</v>
      </c>
      <c r="AH2348" t="str">
        <f>K2348</f>
        <v>M</v>
      </c>
      <c r="AI2348" t="str">
        <f>LEFT(AF2348,1)</f>
        <v>B</v>
      </c>
      <c r="AJ2348" t="str">
        <f>LEFT(M2348,1)</f>
        <v>J</v>
      </c>
      <c r="AK2348" t="str">
        <f>_xlfn.CONCAT(AG2348,AH2348,AI2348,AJ2348)</f>
        <v>CMBJ</v>
      </c>
    </row>
    <row r="2349" spans="1:37" ht="15.75" hidden="1" customHeight="1" x14ac:dyDescent="0.2">
      <c r="A2349" s="1">
        <v>522002</v>
      </c>
      <c r="B2349" s="1" t="s">
        <v>4529</v>
      </c>
      <c r="C2349" s="1" t="s">
        <v>685</v>
      </c>
      <c r="D2349" s="1" t="s">
        <v>4558</v>
      </c>
      <c r="E2349" s="1" t="s">
        <v>1983</v>
      </c>
      <c r="F2349" s="1" t="s">
        <v>37</v>
      </c>
      <c r="G2349" s="1" t="s">
        <v>4560</v>
      </c>
      <c r="H2349" s="1">
        <v>165</v>
      </c>
      <c r="I2349" s="1" t="s">
        <v>42</v>
      </c>
      <c r="J2349" s="1">
        <v>15</v>
      </c>
      <c r="K2349" s="1" t="s">
        <v>35</v>
      </c>
      <c r="L2349" s="1">
        <v>36</v>
      </c>
      <c r="M2349" s="1" t="str">
        <f>IF(L2349&lt;=45,"Joven","Mayor")</f>
        <v>Joven</v>
      </c>
      <c r="N2349" s="1">
        <v>42</v>
      </c>
      <c r="O2349" s="1" t="s">
        <v>36</v>
      </c>
      <c r="P2349" s="1">
        <v>0.37</v>
      </c>
      <c r="Q2349" s="1">
        <v>93.268000000000001</v>
      </c>
      <c r="R2349" s="1">
        <v>2.1111550000000001</v>
      </c>
      <c r="S2349" s="1">
        <v>3.1237599999999999</v>
      </c>
      <c r="T2349" s="1">
        <v>-0.81493473000000005</v>
      </c>
      <c r="U2349" s="1">
        <v>10.928000000000001</v>
      </c>
      <c r="V2349" s="1">
        <v>65</v>
      </c>
      <c r="W2349" s="1">
        <v>117</v>
      </c>
      <c r="X2349" s="1">
        <v>1.8</v>
      </c>
      <c r="Y2349" s="1">
        <v>67</v>
      </c>
      <c r="Z2349" s="1">
        <v>117</v>
      </c>
      <c r="AA2349" s="1">
        <v>1.7462686567164178</v>
      </c>
      <c r="AB2349" s="1">
        <v>66.566538553990767</v>
      </c>
      <c r="AC2349" s="1">
        <v>116.9739427120758</v>
      </c>
      <c r="AD2349" s="1">
        <v>1.7572483901532692</v>
      </c>
      <c r="AE2349" t="s">
        <v>4817</v>
      </c>
      <c r="AF2349" t="str">
        <f>IF(X2349&lt;$AF$1,"Bajo","Alto")</f>
        <v>Alto</v>
      </c>
      <c r="AG2349" t="str">
        <f>LEFT(AE2349,1)</f>
        <v>C</v>
      </c>
      <c r="AH2349" t="str">
        <f>K2349</f>
        <v>M</v>
      </c>
      <c r="AI2349" t="str">
        <f>LEFT(AF2349,1)</f>
        <v>A</v>
      </c>
      <c r="AJ2349" t="str">
        <f>LEFT(M2349,1)</f>
        <v>J</v>
      </c>
      <c r="AK2349" t="str">
        <f>_xlfn.CONCAT(AG2349,AH2349,AI2349,AJ2349)</f>
        <v>CMAJ</v>
      </c>
    </row>
    <row r="2350" spans="1:37" ht="15.75" hidden="1" customHeight="1" x14ac:dyDescent="0.2">
      <c r="A2350" s="1">
        <v>640203</v>
      </c>
      <c r="B2350" s="1" t="s">
        <v>4718</v>
      </c>
      <c r="C2350" s="1" t="s">
        <v>710</v>
      </c>
      <c r="D2350" s="1" t="s">
        <v>4725</v>
      </c>
      <c r="E2350" s="1" t="s">
        <v>37</v>
      </c>
      <c r="F2350" s="1" t="s">
        <v>63</v>
      </c>
      <c r="G2350" s="1" t="s">
        <v>4726</v>
      </c>
      <c r="H2350" s="1">
        <v>391</v>
      </c>
      <c r="I2350" s="1" t="s">
        <v>294</v>
      </c>
      <c r="J2350" s="1">
        <v>16</v>
      </c>
      <c r="K2350" s="1" t="s">
        <v>35</v>
      </c>
      <c r="L2350" s="1">
        <v>39</v>
      </c>
      <c r="M2350" s="1" t="str">
        <f>IF(L2350&lt;=45,"Joven","Mayor")</f>
        <v>Joven</v>
      </c>
      <c r="N2350" s="1">
        <v>43</v>
      </c>
      <c r="O2350" s="1" t="s">
        <v>36</v>
      </c>
      <c r="P2350" s="1">
        <v>0.36099999999999999</v>
      </c>
      <c r="Q2350" s="1">
        <v>88.82</v>
      </c>
      <c r="R2350" s="1">
        <v>6.2246699999999997</v>
      </c>
      <c r="S2350" s="1">
        <v>4.0581469999999999</v>
      </c>
      <c r="T2350" s="1">
        <v>-3.6381980999999999</v>
      </c>
      <c r="U2350" s="1">
        <v>40.822000000000003</v>
      </c>
      <c r="V2350" s="1">
        <v>103</v>
      </c>
      <c r="W2350" s="1">
        <v>180</v>
      </c>
      <c r="X2350" s="1">
        <v>1.7475728155339805</v>
      </c>
      <c r="Y2350" s="1">
        <v>104</v>
      </c>
      <c r="Z2350" s="1">
        <v>180</v>
      </c>
      <c r="AA2350" s="1">
        <v>1.7307692307692308</v>
      </c>
      <c r="AB2350" s="1">
        <v>105.394109241126</v>
      </c>
      <c r="AC2350" s="1">
        <v>179.51032440691009</v>
      </c>
      <c r="AD2350" s="1">
        <v>1.7032292003741616</v>
      </c>
      <c r="AE2350" t="s">
        <v>4817</v>
      </c>
      <c r="AF2350" t="str">
        <f>IF(X2350&lt;$AF$1,"Bajo","Alto")</f>
        <v>Bajo</v>
      </c>
      <c r="AG2350" t="str">
        <f>LEFT(AE2350,1)</f>
        <v>C</v>
      </c>
      <c r="AH2350" t="str">
        <f>K2350</f>
        <v>M</v>
      </c>
      <c r="AI2350" t="str">
        <f>LEFT(AF2350,1)</f>
        <v>B</v>
      </c>
      <c r="AJ2350" t="str">
        <f>LEFT(M2350,1)</f>
        <v>J</v>
      </c>
      <c r="AK2350" t="str">
        <f>_xlfn.CONCAT(AG2350,AH2350,AI2350,AJ2350)</f>
        <v>CMBJ</v>
      </c>
    </row>
    <row r="2351" spans="1:37" ht="15.75" hidden="1" customHeight="1" x14ac:dyDescent="0.2">
      <c r="A2351" s="1">
        <v>132706</v>
      </c>
      <c r="B2351" s="1" t="s">
        <v>956</v>
      </c>
      <c r="C2351" s="1" t="s">
        <v>163</v>
      </c>
      <c r="D2351" s="1" t="s">
        <v>2001</v>
      </c>
      <c r="E2351" s="1" t="s">
        <v>973</v>
      </c>
      <c r="F2351" s="1" t="s">
        <v>88</v>
      </c>
      <c r="G2351" s="1" t="s">
        <v>2007</v>
      </c>
      <c r="H2351" s="1">
        <v>5465</v>
      </c>
      <c r="I2351" s="1" t="s">
        <v>2008</v>
      </c>
      <c r="J2351" s="1">
        <v>1849</v>
      </c>
      <c r="K2351" s="1" t="s">
        <v>35</v>
      </c>
      <c r="L2351" s="1">
        <v>61</v>
      </c>
      <c r="M2351" s="1" t="str">
        <f>IF(L2351&lt;=45,"Joven","Mayor")</f>
        <v>Mayor</v>
      </c>
      <c r="N2351" s="1">
        <v>59</v>
      </c>
      <c r="O2351" s="1" t="s">
        <v>36</v>
      </c>
      <c r="P2351" s="1">
        <v>0.50900000000000001</v>
      </c>
      <c r="Q2351" s="1">
        <v>93.667000000000002</v>
      </c>
      <c r="R2351" s="1">
        <v>-1.1155995000000001</v>
      </c>
      <c r="S2351" s="1">
        <v>3.7935626999999998</v>
      </c>
      <c r="T2351" s="1">
        <v>-3.6872346</v>
      </c>
      <c r="U2351" s="1">
        <v>18.210999999999999</v>
      </c>
      <c r="V2351" s="1">
        <v>101</v>
      </c>
      <c r="W2351" s="1">
        <v>176</v>
      </c>
      <c r="X2351" s="1">
        <v>1.7425742574257426</v>
      </c>
      <c r="Y2351" s="1">
        <v>104</v>
      </c>
      <c r="Z2351" s="1">
        <v>176</v>
      </c>
      <c r="AA2351" s="1">
        <v>1.6923076923076923</v>
      </c>
      <c r="AB2351" s="1">
        <v>103.87780578411029</v>
      </c>
      <c r="AC2351" s="1">
        <v>176.08584473901459</v>
      </c>
      <c r="AD2351" s="1">
        <v>1.6951247998535375</v>
      </c>
      <c r="AE2351" t="s">
        <v>4817</v>
      </c>
      <c r="AF2351" t="str">
        <f>IF(X2351&lt;$AF$1,"Bajo","Alto")</f>
        <v>Bajo</v>
      </c>
      <c r="AG2351" t="str">
        <f>LEFT(AE2351,1)</f>
        <v>C</v>
      </c>
      <c r="AH2351" t="str">
        <f>K2351</f>
        <v>M</v>
      </c>
      <c r="AI2351" t="str">
        <f>LEFT(AF2351,1)</f>
        <v>B</v>
      </c>
      <c r="AJ2351" t="str">
        <f>LEFT(M2351,1)</f>
        <v>M</v>
      </c>
      <c r="AK2351" t="str">
        <f>_xlfn.CONCAT(AG2351,AH2351,AI2351,AJ2351)</f>
        <v>CMBM</v>
      </c>
    </row>
    <row r="2352" spans="1:37" ht="15.75" hidden="1" customHeight="1" x14ac:dyDescent="0.2">
      <c r="A2352" s="1">
        <v>2313002</v>
      </c>
      <c r="B2352" s="1" t="s">
        <v>319</v>
      </c>
      <c r="C2352" s="1" t="s">
        <v>1989</v>
      </c>
      <c r="D2352" s="1" t="s">
        <v>2966</v>
      </c>
      <c r="E2352" s="1" t="s">
        <v>158</v>
      </c>
      <c r="F2352" s="1" t="s">
        <v>37</v>
      </c>
      <c r="G2352" s="1" t="s">
        <v>2968</v>
      </c>
      <c r="H2352" s="1">
        <v>2</v>
      </c>
      <c r="I2352" s="1" t="s">
        <v>42</v>
      </c>
      <c r="J2352" s="1">
        <v>15</v>
      </c>
      <c r="K2352" s="1" t="s">
        <v>35</v>
      </c>
      <c r="L2352" s="1">
        <v>49</v>
      </c>
      <c r="M2352" s="1" t="str">
        <f>IF(L2352&lt;=45,"Joven","Mayor")</f>
        <v>Mayor</v>
      </c>
      <c r="N2352" s="1">
        <v>48</v>
      </c>
      <c r="O2352" s="1" t="s">
        <v>36</v>
      </c>
      <c r="P2352" s="1">
        <v>0.29799999999999999</v>
      </c>
      <c r="Q2352" s="1">
        <v>92.441000000000003</v>
      </c>
      <c r="R2352" s="1">
        <v>-1.9585003999999999</v>
      </c>
      <c r="S2352" s="1">
        <v>-6.2986659999999999</v>
      </c>
      <c r="T2352" s="1">
        <v>-6.8625469999999994E-2</v>
      </c>
      <c r="U2352" s="1">
        <v>1.7410000000000001</v>
      </c>
      <c r="V2352" s="1">
        <v>109</v>
      </c>
      <c r="W2352" s="1">
        <v>190</v>
      </c>
      <c r="X2352" s="1">
        <v>1.7431192660550459</v>
      </c>
      <c r="Y2352" s="1">
        <v>110</v>
      </c>
      <c r="Z2352" s="1">
        <v>190</v>
      </c>
      <c r="AA2352" s="1">
        <v>1.7272727272727273</v>
      </c>
      <c r="AB2352" s="1">
        <v>110.0550171433247</v>
      </c>
      <c r="AC2352" s="1">
        <v>189.99627049437231</v>
      </c>
      <c r="AD2352" s="1">
        <v>1.7263753659402921</v>
      </c>
      <c r="AE2352" t="s">
        <v>4817</v>
      </c>
      <c r="AF2352" t="str">
        <f>IF(X2352&lt;$AF$1,"Bajo","Alto")</f>
        <v>Bajo</v>
      </c>
      <c r="AG2352" t="str">
        <f>LEFT(AE2352,1)</f>
        <v>C</v>
      </c>
      <c r="AH2352" t="str">
        <f>K2352</f>
        <v>M</v>
      </c>
      <c r="AI2352" t="str">
        <f>LEFT(AF2352,1)</f>
        <v>B</v>
      </c>
      <c r="AJ2352" t="str">
        <f>LEFT(M2352,1)</f>
        <v>M</v>
      </c>
      <c r="AK2352" t="str">
        <f>_xlfn.CONCAT(AG2352,AH2352,AI2352,AJ2352)</f>
        <v>CMBM</v>
      </c>
    </row>
    <row r="2353" spans="1:37" ht="15.75" hidden="1" customHeight="1" x14ac:dyDescent="0.2">
      <c r="A2353" s="1">
        <v>1523801</v>
      </c>
      <c r="B2353" s="1" t="s">
        <v>2077</v>
      </c>
      <c r="C2353" s="1" t="s">
        <v>57</v>
      </c>
      <c r="D2353" s="1" t="s">
        <v>2285</v>
      </c>
      <c r="E2353" s="1" t="s">
        <v>478</v>
      </c>
      <c r="F2353" s="1" t="s">
        <v>32</v>
      </c>
      <c r="G2353" s="1" t="s">
        <v>2286</v>
      </c>
      <c r="H2353" s="1">
        <v>395</v>
      </c>
      <c r="I2353" s="1" t="s">
        <v>93</v>
      </c>
      <c r="J2353" s="1">
        <v>9</v>
      </c>
      <c r="K2353" s="1" t="s">
        <v>35</v>
      </c>
      <c r="L2353" s="1">
        <v>55</v>
      </c>
      <c r="M2353" s="1" t="str">
        <f>IF(L2353&lt;=45,"Joven","Mayor")</f>
        <v>Mayor</v>
      </c>
      <c r="N2353" s="1">
        <v>60</v>
      </c>
      <c r="O2353" s="1" t="s">
        <v>36</v>
      </c>
      <c r="P2353" s="1">
        <v>0.316</v>
      </c>
      <c r="Q2353" s="1">
        <v>50.790999999999997</v>
      </c>
      <c r="R2353" s="1">
        <v>16.019469999999998</v>
      </c>
      <c r="S2353" s="1">
        <v>-0.43033690000000002</v>
      </c>
      <c r="T2353" s="1">
        <v>-8.4896999999999991</v>
      </c>
      <c r="U2353" s="1">
        <v>4.3230000000000004</v>
      </c>
      <c r="V2353" s="1">
        <v>101</v>
      </c>
      <c r="W2353" s="1">
        <v>176</v>
      </c>
      <c r="X2353" s="1">
        <v>1.7425742574257426</v>
      </c>
      <c r="Y2353" s="1">
        <v>105</v>
      </c>
      <c r="Z2353" s="1">
        <v>176</v>
      </c>
      <c r="AA2353" s="1">
        <v>1.6761904761904762</v>
      </c>
      <c r="AB2353" s="1">
        <v>107.71775987580141</v>
      </c>
      <c r="AC2353" s="1">
        <v>174.80962380174469</v>
      </c>
      <c r="AD2353" s="1">
        <v>1.6228486741954178</v>
      </c>
      <c r="AE2353" t="s">
        <v>4815</v>
      </c>
      <c r="AF2353" t="str">
        <f>IF(X2353&lt;$AF$1,"Bajo","Alto")</f>
        <v>Bajo</v>
      </c>
      <c r="AG2353" t="str">
        <f>LEFT(AE2353,1)</f>
        <v>I</v>
      </c>
      <c r="AH2353" t="str">
        <f>K2353</f>
        <v>M</v>
      </c>
      <c r="AI2353" t="str">
        <f>LEFT(AF2353,1)</f>
        <v>B</v>
      </c>
      <c r="AJ2353" t="str">
        <f>LEFT(M2353,1)</f>
        <v>M</v>
      </c>
      <c r="AK2353" t="str">
        <f>_xlfn.CONCAT(AG2353,AH2353,AI2353,AJ2353)</f>
        <v>IMBM</v>
      </c>
    </row>
    <row r="2354" spans="1:37" ht="15.75" hidden="1" customHeight="1" x14ac:dyDescent="0.2">
      <c r="A2354" s="1">
        <v>239501</v>
      </c>
      <c r="B2354" s="1" t="s">
        <v>319</v>
      </c>
      <c r="C2354" s="1" t="s">
        <v>1989</v>
      </c>
      <c r="D2354" s="1" t="s">
        <v>3105</v>
      </c>
      <c r="E2354" s="1" t="s">
        <v>1056</v>
      </c>
      <c r="F2354" s="1" t="s">
        <v>32</v>
      </c>
      <c r="G2354" s="1" t="s">
        <v>3106</v>
      </c>
      <c r="H2354" s="1">
        <v>1760</v>
      </c>
      <c r="I2354" s="1" t="s">
        <v>100</v>
      </c>
      <c r="J2354" s="1">
        <v>1</v>
      </c>
      <c r="K2354" s="1" t="s">
        <v>35</v>
      </c>
      <c r="L2354" s="1">
        <v>36</v>
      </c>
      <c r="M2354" s="1" t="str">
        <f>IF(L2354&lt;=45,"Joven","Mayor")</f>
        <v>Joven</v>
      </c>
      <c r="N2354" s="1">
        <v>33</v>
      </c>
      <c r="O2354" s="1" t="s">
        <v>36</v>
      </c>
      <c r="P2354" s="1">
        <v>0.35899999999999999</v>
      </c>
      <c r="Q2354" s="1">
        <v>91.489000000000004</v>
      </c>
      <c r="R2354" s="1">
        <v>4.5495570000000001</v>
      </c>
      <c r="S2354" s="1">
        <v>2.2575219</v>
      </c>
      <c r="T2354" s="1">
        <v>0.48467162000000003</v>
      </c>
      <c r="U2354" s="1">
        <v>21.183</v>
      </c>
      <c r="V2354" s="1">
        <v>119</v>
      </c>
      <c r="W2354" s="1">
        <v>214</v>
      </c>
      <c r="X2354" s="1">
        <v>1.7983193277310925</v>
      </c>
      <c r="Y2354" s="1">
        <v>120</v>
      </c>
      <c r="Z2354" s="1">
        <v>214</v>
      </c>
      <c r="AA2354" s="1">
        <v>1.7833333333333334</v>
      </c>
      <c r="AB2354" s="1">
        <v>120.49478849332399</v>
      </c>
      <c r="AC2354" s="1">
        <v>213.9754254562458</v>
      </c>
      <c r="AD2354" s="1">
        <v>1.7758064737223145</v>
      </c>
      <c r="AE2354" t="s">
        <v>4817</v>
      </c>
      <c r="AF2354" t="str">
        <f>IF(X2354&lt;$AF$1,"Bajo","Alto")</f>
        <v>Alto</v>
      </c>
      <c r="AG2354" t="str">
        <f>LEFT(AE2354,1)</f>
        <v>C</v>
      </c>
      <c r="AH2354" t="str">
        <f>K2354</f>
        <v>M</v>
      </c>
      <c r="AI2354" t="str">
        <f>LEFT(AF2354,1)</f>
        <v>A</v>
      </c>
      <c r="AJ2354" t="str">
        <f>LEFT(M2354,1)</f>
        <v>J</v>
      </c>
      <c r="AK2354" t="str">
        <f>_xlfn.CONCAT(AG2354,AH2354,AI2354,AJ2354)</f>
        <v>CMAJ</v>
      </c>
    </row>
    <row r="2355" spans="1:37" ht="15.75" hidden="1" customHeight="1" x14ac:dyDescent="0.2">
      <c r="A2355" s="1">
        <v>10114209</v>
      </c>
      <c r="B2355" s="1" t="s">
        <v>29</v>
      </c>
      <c r="C2355" s="1" t="s">
        <v>30</v>
      </c>
      <c r="D2355" s="1" t="s">
        <v>180</v>
      </c>
      <c r="E2355" s="1" t="s">
        <v>181</v>
      </c>
      <c r="F2355" s="1" t="s">
        <v>189</v>
      </c>
      <c r="G2355" s="1" t="s">
        <v>190</v>
      </c>
      <c r="H2355" s="1">
        <v>1237</v>
      </c>
      <c r="I2355" s="1" t="s">
        <v>191</v>
      </c>
      <c r="J2355" s="1">
        <v>4165</v>
      </c>
      <c r="K2355" s="1" t="s">
        <v>35</v>
      </c>
      <c r="L2355" s="1">
        <v>35</v>
      </c>
      <c r="M2355" s="1" t="str">
        <f>IF(L2355&lt;=45,"Joven","Mayor")</f>
        <v>Joven</v>
      </c>
      <c r="N2355" s="1">
        <v>31</v>
      </c>
      <c r="O2355" s="1" t="s">
        <v>36</v>
      </c>
      <c r="P2355" s="1">
        <v>0.3</v>
      </c>
      <c r="Q2355" s="1">
        <v>86.841999999999999</v>
      </c>
      <c r="R2355" s="1">
        <v>-4.6044364</v>
      </c>
      <c r="S2355" s="1">
        <v>11.240093</v>
      </c>
      <c r="T2355" s="1">
        <v>-4.1088243000000002</v>
      </c>
      <c r="U2355" s="1">
        <v>47.017000000000003</v>
      </c>
      <c r="V2355" s="1">
        <v>100</v>
      </c>
      <c r="W2355" s="1">
        <v>175</v>
      </c>
      <c r="X2355" s="1">
        <v>1.75</v>
      </c>
      <c r="Y2355" s="1">
        <v>108</v>
      </c>
      <c r="Z2355" s="1">
        <v>175</v>
      </c>
      <c r="AA2355" s="1">
        <v>1.6203703703703705</v>
      </c>
      <c r="AB2355" s="1">
        <v>105.1429757852443</v>
      </c>
      <c r="AC2355" s="1">
        <v>175.69662492156019</v>
      </c>
      <c r="AD2355" s="1">
        <v>1.6710257971052911</v>
      </c>
      <c r="AE2355" t="s">
        <v>4817</v>
      </c>
      <c r="AF2355" t="str">
        <f>IF(X2355&lt;$AF$1,"Bajo","Alto")</f>
        <v>Bajo</v>
      </c>
      <c r="AG2355" t="str">
        <f>LEFT(AE2355,1)</f>
        <v>C</v>
      </c>
      <c r="AH2355" t="str">
        <f>K2355</f>
        <v>M</v>
      </c>
      <c r="AI2355" t="str">
        <f>LEFT(AF2355,1)</f>
        <v>B</v>
      </c>
      <c r="AJ2355" t="str">
        <f>LEFT(M2355,1)</f>
        <v>J</v>
      </c>
      <c r="AK2355" t="str">
        <f>_xlfn.CONCAT(AG2355,AH2355,AI2355,AJ2355)</f>
        <v>CMBJ</v>
      </c>
    </row>
    <row r="2356" spans="1:37" ht="15.75" hidden="1" customHeight="1" x14ac:dyDescent="0.2">
      <c r="A2356" s="1">
        <v>2718103</v>
      </c>
      <c r="B2356" s="1" t="s">
        <v>3409</v>
      </c>
      <c r="C2356" s="1" t="s">
        <v>973</v>
      </c>
      <c r="D2356" s="1" t="s">
        <v>3574</v>
      </c>
      <c r="E2356" s="1" t="s">
        <v>308</v>
      </c>
      <c r="F2356" s="1" t="s">
        <v>63</v>
      </c>
      <c r="G2356" s="1" t="s">
        <v>3575</v>
      </c>
      <c r="H2356" s="1">
        <v>5996</v>
      </c>
      <c r="I2356" s="1" t="s">
        <v>65</v>
      </c>
      <c r="J2356" s="1">
        <v>2</v>
      </c>
      <c r="K2356" s="1" t="s">
        <v>49</v>
      </c>
      <c r="L2356" s="1">
        <v>47</v>
      </c>
      <c r="M2356" s="1" t="str">
        <f>IF(L2356&lt;=45,"Joven","Mayor")</f>
        <v>Mayor</v>
      </c>
      <c r="N2356" s="1">
        <v>52</v>
      </c>
      <c r="O2356" s="1" t="s">
        <v>50</v>
      </c>
      <c r="P2356" s="1">
        <v>3.5999999999999997E-2</v>
      </c>
      <c r="Q2356" s="1">
        <v>87.557000000000002</v>
      </c>
      <c r="R2356" s="1">
        <v>6.8561487000000003</v>
      </c>
      <c r="S2356" s="1">
        <v>4.9447517000000003</v>
      </c>
      <c r="T2356" s="1">
        <v>-3.9111370000000003E-3</v>
      </c>
      <c r="U2356" s="1">
        <v>4.2050000000000001</v>
      </c>
      <c r="V2356" s="1">
        <v>91</v>
      </c>
      <c r="W2356" s="1">
        <v>158</v>
      </c>
      <c r="X2356" s="1">
        <v>1.7362637362637363</v>
      </c>
      <c r="Y2356" s="1">
        <v>94</v>
      </c>
      <c r="Z2356" s="1">
        <v>158</v>
      </c>
      <c r="AA2356" s="1">
        <v>1.6808510638297873</v>
      </c>
      <c r="AB2356" s="1">
        <v>94.002866794152624</v>
      </c>
      <c r="AC2356" s="1">
        <v>157.99979484522689</v>
      </c>
      <c r="AD2356" s="1">
        <v>1.6807976206854911</v>
      </c>
      <c r="AE2356" t="s">
        <v>4817</v>
      </c>
      <c r="AF2356" t="str">
        <f>IF(X2356&lt;$AF$1,"Bajo","Alto")</f>
        <v>Bajo</v>
      </c>
      <c r="AG2356" t="str">
        <f>LEFT(AE2356,1)</f>
        <v>C</v>
      </c>
      <c r="AH2356" t="str">
        <f>K2356</f>
        <v>F</v>
      </c>
      <c r="AI2356" t="str">
        <f>LEFT(AF2356,1)</f>
        <v>B</v>
      </c>
      <c r="AJ2356" t="str">
        <f>LEFT(M2356,1)</f>
        <v>M</v>
      </c>
      <c r="AK2356" t="str">
        <f>_xlfn.CONCAT(AG2356,AH2356,AI2356,AJ2356)</f>
        <v>CFBM</v>
      </c>
    </row>
    <row r="2357" spans="1:37" ht="15.75" hidden="1" customHeight="1" x14ac:dyDescent="0.2">
      <c r="A2357" s="1">
        <v>10115407</v>
      </c>
      <c r="B2357" s="1" t="s">
        <v>29</v>
      </c>
      <c r="C2357" s="1" t="s">
        <v>30</v>
      </c>
      <c r="D2357" s="1" t="s">
        <v>220</v>
      </c>
      <c r="E2357" s="1" t="s">
        <v>221</v>
      </c>
      <c r="F2357" s="1" t="s">
        <v>43</v>
      </c>
      <c r="G2357" s="1" t="s">
        <v>226</v>
      </c>
      <c r="H2357" s="1">
        <v>440</v>
      </c>
      <c r="I2357" s="1" t="s">
        <v>91</v>
      </c>
      <c r="J2357" s="1">
        <v>6</v>
      </c>
      <c r="K2357" s="1" t="s">
        <v>35</v>
      </c>
      <c r="L2357" s="1">
        <v>44</v>
      </c>
      <c r="M2357" s="1" t="str">
        <f>IF(L2357&lt;=45,"Joven","Mayor")</f>
        <v>Joven</v>
      </c>
      <c r="N2357" s="1">
        <v>34</v>
      </c>
      <c r="O2357" s="1" t="s">
        <v>36</v>
      </c>
      <c r="P2357" s="1">
        <v>0.36</v>
      </c>
      <c r="Q2357" s="1">
        <v>93.665999999999997</v>
      </c>
      <c r="R2357" s="1">
        <v>2.4498853999999999</v>
      </c>
      <c r="S2357" s="1">
        <v>5.2728206E-2</v>
      </c>
      <c r="T2357" s="1">
        <v>-1.0725720999999999</v>
      </c>
      <c r="U2357" s="1">
        <v>5.9630000000000001</v>
      </c>
      <c r="V2357" s="1">
        <v>92</v>
      </c>
      <c r="W2357" s="1">
        <v>161</v>
      </c>
      <c r="X2357" s="1">
        <v>1.75</v>
      </c>
      <c r="Y2357" s="1">
        <v>98</v>
      </c>
      <c r="Z2357" s="1">
        <v>161</v>
      </c>
      <c r="AA2357" s="1">
        <v>1.6428571428571428</v>
      </c>
      <c r="AB2357" s="1">
        <v>98.750300848829966</v>
      </c>
      <c r="AC2357" s="1">
        <v>160.93435314741151</v>
      </c>
      <c r="AD2357" s="1">
        <v>1.629710003555076</v>
      </c>
      <c r="AE2357" t="s">
        <v>4817</v>
      </c>
      <c r="AF2357" t="str">
        <f>IF(X2357&lt;$AF$1,"Bajo","Alto")</f>
        <v>Bajo</v>
      </c>
      <c r="AG2357" t="str">
        <f>LEFT(AE2357,1)</f>
        <v>C</v>
      </c>
      <c r="AH2357" t="str">
        <f>K2357</f>
        <v>M</v>
      </c>
      <c r="AI2357" t="str">
        <f>LEFT(AF2357,1)</f>
        <v>B</v>
      </c>
      <c r="AJ2357" t="str">
        <f>LEFT(M2357,1)</f>
        <v>J</v>
      </c>
      <c r="AK2357" t="str">
        <f>_xlfn.CONCAT(AG2357,AH2357,AI2357,AJ2357)</f>
        <v>CMBJ</v>
      </c>
    </row>
    <row r="2358" spans="1:37" ht="15.75" hidden="1" customHeight="1" x14ac:dyDescent="0.2">
      <c r="A2358" s="1">
        <v>2820002</v>
      </c>
      <c r="B2358" s="1" t="s">
        <v>1775</v>
      </c>
      <c r="C2358" s="1" t="s">
        <v>561</v>
      </c>
      <c r="D2358" s="1" t="s">
        <v>3800</v>
      </c>
      <c r="E2358" s="1" t="s">
        <v>1814</v>
      </c>
      <c r="F2358" s="1" t="s">
        <v>37</v>
      </c>
      <c r="G2358" s="1" t="s">
        <v>3802</v>
      </c>
      <c r="H2358" s="1">
        <v>111</v>
      </c>
      <c r="I2358" s="1" t="s">
        <v>34</v>
      </c>
      <c r="J2358" s="1">
        <v>10</v>
      </c>
      <c r="K2358" s="1" t="s">
        <v>35</v>
      </c>
      <c r="L2358" s="1">
        <v>40</v>
      </c>
      <c r="M2358" s="1" t="str">
        <f>IF(L2358&lt;=45,"Joven","Mayor")</f>
        <v>Joven</v>
      </c>
      <c r="N2358" s="1">
        <v>43</v>
      </c>
      <c r="O2358" s="1" t="s">
        <v>36</v>
      </c>
      <c r="P2358" s="1">
        <v>0.34</v>
      </c>
      <c r="Q2358" s="1">
        <v>92.531000000000006</v>
      </c>
      <c r="R2358" s="1">
        <v>-1.7178686000000001</v>
      </c>
      <c r="S2358" s="1">
        <v>6.4786619999999999</v>
      </c>
      <c r="T2358" s="1">
        <v>-2.0279698000000002</v>
      </c>
      <c r="U2358" s="1">
        <v>16.975000000000001</v>
      </c>
      <c r="V2358" s="1">
        <v>90</v>
      </c>
      <c r="W2358" s="1">
        <v>162</v>
      </c>
      <c r="X2358" s="1">
        <v>1.8</v>
      </c>
      <c r="Y2358" s="1">
        <v>92</v>
      </c>
      <c r="Z2358" s="1">
        <v>162</v>
      </c>
      <c r="AA2358" s="1">
        <v>1.7608695652173914</v>
      </c>
      <c r="AB2358" s="1">
        <v>91.429899540563156</v>
      </c>
      <c r="AC2358" s="1">
        <v>161.89853473819721</v>
      </c>
      <c r="AD2358" s="1">
        <v>1.7707395015387766</v>
      </c>
      <c r="AE2358" t="s">
        <v>4815</v>
      </c>
      <c r="AF2358" t="str">
        <f>IF(X2358&lt;$AF$1,"Bajo","Alto")</f>
        <v>Alto</v>
      </c>
      <c r="AG2358" t="str">
        <f>LEFT(AE2358,1)</f>
        <v>I</v>
      </c>
      <c r="AH2358" t="str">
        <f>K2358</f>
        <v>M</v>
      </c>
      <c r="AI2358" t="str">
        <f>LEFT(AF2358,1)</f>
        <v>A</v>
      </c>
      <c r="AJ2358" t="str">
        <f>LEFT(M2358,1)</f>
        <v>J</v>
      </c>
      <c r="AK2358" t="str">
        <f>_xlfn.CONCAT(AG2358,AH2358,AI2358,AJ2358)</f>
        <v>IMAJ</v>
      </c>
    </row>
    <row r="2359" spans="1:37" ht="15.75" hidden="1" customHeight="1" x14ac:dyDescent="0.2">
      <c r="A2359" s="1">
        <v>1527402</v>
      </c>
      <c r="B2359" s="1" t="s">
        <v>2077</v>
      </c>
      <c r="C2359" s="1" t="s">
        <v>57</v>
      </c>
      <c r="D2359" s="1" t="s">
        <v>2336</v>
      </c>
      <c r="E2359" s="1" t="s">
        <v>1323</v>
      </c>
      <c r="F2359" s="1" t="s">
        <v>37</v>
      </c>
      <c r="G2359" s="1" t="s">
        <v>2337</v>
      </c>
      <c r="H2359" s="1">
        <v>74</v>
      </c>
      <c r="I2359" s="1" t="s">
        <v>48</v>
      </c>
      <c r="J2359" s="1">
        <v>4</v>
      </c>
      <c r="K2359" s="1" t="s">
        <v>35</v>
      </c>
      <c r="L2359" s="1">
        <v>41</v>
      </c>
      <c r="M2359" s="1" t="str">
        <f>IF(L2359&lt;=45,"Joven","Mayor")</f>
        <v>Joven</v>
      </c>
      <c r="N2359" s="1">
        <v>46</v>
      </c>
      <c r="O2359" s="1" t="s">
        <v>36</v>
      </c>
      <c r="P2359" s="1">
        <v>0.35499999999999998</v>
      </c>
      <c r="Q2359" s="1">
        <v>92.328999999999994</v>
      </c>
      <c r="R2359" s="1">
        <v>4.1707330000000002</v>
      </c>
      <c r="S2359" s="1">
        <v>0.18047664999999999</v>
      </c>
      <c r="T2359" s="1">
        <v>-1.1308956999999999</v>
      </c>
      <c r="U2359" s="1">
        <v>4.5339999999999998</v>
      </c>
      <c r="V2359" s="1">
        <v>94</v>
      </c>
      <c r="W2359" s="1">
        <v>169</v>
      </c>
      <c r="X2359" s="1">
        <v>1.7978723404255319</v>
      </c>
      <c r="Y2359" s="1">
        <v>99</v>
      </c>
      <c r="Z2359" s="1">
        <v>169</v>
      </c>
      <c r="AA2359" s="1">
        <v>1.707070707070707</v>
      </c>
      <c r="AB2359" s="1">
        <v>99.730706006667333</v>
      </c>
      <c r="AC2359" s="1">
        <v>168.82892531383641</v>
      </c>
      <c r="AD2359" s="1">
        <v>1.6928479910946346</v>
      </c>
      <c r="AE2359" t="s">
        <v>4817</v>
      </c>
      <c r="AF2359" t="str">
        <f>IF(X2359&lt;$AF$1,"Bajo","Alto")</f>
        <v>Alto</v>
      </c>
      <c r="AG2359" t="str">
        <f>LEFT(AE2359,1)</f>
        <v>C</v>
      </c>
      <c r="AH2359" t="str">
        <f>K2359</f>
        <v>M</v>
      </c>
      <c r="AI2359" t="str">
        <f>LEFT(AF2359,1)</f>
        <v>A</v>
      </c>
      <c r="AJ2359" t="str">
        <f>LEFT(M2359,1)</f>
        <v>J</v>
      </c>
      <c r="AK2359" t="str">
        <f>_xlfn.CONCAT(AG2359,AH2359,AI2359,AJ2359)</f>
        <v>CMAJ</v>
      </c>
    </row>
    <row r="2360" spans="1:37" ht="15.75" hidden="1" customHeight="1" x14ac:dyDescent="0.2">
      <c r="A2360" s="1">
        <v>319704</v>
      </c>
      <c r="B2360" s="1" t="s">
        <v>4122</v>
      </c>
      <c r="C2360" s="1" t="s">
        <v>628</v>
      </c>
      <c r="D2360" s="1" t="s">
        <v>4281</v>
      </c>
      <c r="E2360" s="1" t="s">
        <v>781</v>
      </c>
      <c r="F2360" s="1" t="s">
        <v>61</v>
      </c>
      <c r="G2360" s="1" t="s">
        <v>4285</v>
      </c>
      <c r="H2360" s="1">
        <v>2593</v>
      </c>
      <c r="I2360" s="1" t="s">
        <v>108</v>
      </c>
      <c r="J2360" s="1">
        <v>3</v>
      </c>
      <c r="K2360" s="1" t="s">
        <v>49</v>
      </c>
      <c r="L2360" s="1">
        <v>43</v>
      </c>
      <c r="M2360" s="1" t="str">
        <f>IF(L2360&lt;=45,"Joven","Mayor")</f>
        <v>Joven</v>
      </c>
      <c r="N2360" s="1">
        <v>44</v>
      </c>
      <c r="O2360" s="1" t="s">
        <v>50</v>
      </c>
      <c r="P2360" s="1">
        <v>0.27600000000000002</v>
      </c>
      <c r="Q2360" s="1">
        <v>55.47</v>
      </c>
      <c r="R2360" s="1">
        <v>15.123294</v>
      </c>
      <c r="S2360" s="1">
        <v>3.3371240000000002</v>
      </c>
      <c r="T2360" s="1">
        <v>-20.390736</v>
      </c>
      <c r="U2360" s="1">
        <v>46.35</v>
      </c>
      <c r="V2360" s="1">
        <v>87</v>
      </c>
      <c r="W2360" s="1">
        <v>152</v>
      </c>
      <c r="X2360" s="1">
        <v>1.7471264367816093</v>
      </c>
      <c r="Y2360" s="1">
        <v>114</v>
      </c>
      <c r="Z2360" s="1">
        <v>152</v>
      </c>
      <c r="AA2360" s="1">
        <v>1.3333333333333333</v>
      </c>
      <c r="AB2360" s="1">
        <v>103.4989265702302</v>
      </c>
      <c r="AC2360" s="1">
        <v>157.1090880500615</v>
      </c>
      <c r="AD2360" s="1">
        <v>1.51797794679014</v>
      </c>
      <c r="AE2360" t="s">
        <v>4817</v>
      </c>
      <c r="AF2360" t="str">
        <f>IF(X2360&lt;$AF$1,"Bajo","Alto")</f>
        <v>Bajo</v>
      </c>
      <c r="AG2360" t="str">
        <f>LEFT(AE2360,1)</f>
        <v>C</v>
      </c>
      <c r="AH2360" t="str">
        <f>K2360</f>
        <v>F</v>
      </c>
      <c r="AI2360" t="str">
        <f>LEFT(AF2360,1)</f>
        <v>B</v>
      </c>
      <c r="AJ2360" t="str">
        <f>LEFT(M2360,1)</f>
        <v>J</v>
      </c>
      <c r="AK2360" t="str">
        <f>_xlfn.CONCAT(AG2360,AH2360,AI2360,AJ2360)</f>
        <v>CFBJ</v>
      </c>
    </row>
    <row r="2361" spans="1:37" ht="15.75" hidden="1" customHeight="1" x14ac:dyDescent="0.2">
      <c r="A2361" s="1">
        <v>10126503</v>
      </c>
      <c r="B2361" s="1" t="s">
        <v>29</v>
      </c>
      <c r="C2361" s="1" t="s">
        <v>30</v>
      </c>
      <c r="D2361" s="1" t="s">
        <v>527</v>
      </c>
      <c r="E2361" s="1" t="s">
        <v>528</v>
      </c>
      <c r="F2361" s="1" t="s">
        <v>63</v>
      </c>
      <c r="G2361" s="1" t="s">
        <v>530</v>
      </c>
      <c r="H2361" s="1">
        <v>1727</v>
      </c>
      <c r="I2361" s="1" t="s">
        <v>531</v>
      </c>
      <c r="J2361" s="1">
        <v>3443</v>
      </c>
      <c r="K2361" s="1" t="s">
        <v>35</v>
      </c>
      <c r="L2361" s="1">
        <v>45</v>
      </c>
      <c r="M2361" s="1" t="str">
        <f>IF(L2361&lt;=45,"Joven","Mayor")</f>
        <v>Joven</v>
      </c>
      <c r="N2361" s="1">
        <v>48</v>
      </c>
      <c r="O2361" s="1" t="s">
        <v>36</v>
      </c>
      <c r="P2361" s="1">
        <v>0.36199999999999999</v>
      </c>
      <c r="Q2361" s="1">
        <v>81.382999999999996</v>
      </c>
      <c r="R2361" s="1">
        <v>-9.2891519999999996</v>
      </c>
      <c r="S2361" s="1">
        <v>5.9562163000000004</v>
      </c>
      <c r="T2361" s="1">
        <v>-1.5257114000000001</v>
      </c>
      <c r="U2361" s="1">
        <v>10.776</v>
      </c>
      <c r="V2361" s="1">
        <v>89</v>
      </c>
      <c r="W2361" s="1">
        <v>160</v>
      </c>
      <c r="X2361" s="1">
        <v>1.797752808988764</v>
      </c>
      <c r="Y2361" s="1">
        <v>91</v>
      </c>
      <c r="Z2361" s="1">
        <v>160</v>
      </c>
      <c r="AA2361" s="1">
        <v>1.7582417582417582</v>
      </c>
      <c r="AB2361" s="1">
        <v>90.139971274001255</v>
      </c>
      <c r="AC2361" s="1">
        <v>160.1829062568936</v>
      </c>
      <c r="AD2361" s="1">
        <v>1.777046342404311</v>
      </c>
      <c r="AE2361" t="s">
        <v>4817</v>
      </c>
      <c r="AF2361" t="str">
        <f>IF(X2361&lt;$AF$1,"Bajo","Alto")</f>
        <v>Alto</v>
      </c>
      <c r="AG2361" t="str">
        <f>LEFT(AE2361,1)</f>
        <v>C</v>
      </c>
      <c r="AH2361" t="str">
        <f>K2361</f>
        <v>M</v>
      </c>
      <c r="AI2361" t="str">
        <f>LEFT(AF2361,1)</f>
        <v>A</v>
      </c>
      <c r="AJ2361" t="str">
        <f>LEFT(M2361,1)</f>
        <v>J</v>
      </c>
      <c r="AK2361" t="str">
        <f>_xlfn.CONCAT(AG2361,AH2361,AI2361,AJ2361)</f>
        <v>CMAJ</v>
      </c>
    </row>
    <row r="2362" spans="1:37" ht="15.75" hidden="1" customHeight="1" x14ac:dyDescent="0.2">
      <c r="A2362" s="1">
        <v>112801</v>
      </c>
      <c r="B2362" s="1" t="s">
        <v>1648</v>
      </c>
      <c r="C2362" s="1" t="s">
        <v>51</v>
      </c>
      <c r="D2362" s="1" t="s">
        <v>1689</v>
      </c>
      <c r="E2362" s="1" t="s">
        <v>561</v>
      </c>
      <c r="F2362" s="1" t="s">
        <v>32</v>
      </c>
      <c r="G2362" s="1" t="s">
        <v>1690</v>
      </c>
      <c r="H2362" s="1">
        <v>3899</v>
      </c>
      <c r="I2362" s="1" t="s">
        <v>100</v>
      </c>
      <c r="J2362" s="1">
        <v>1</v>
      </c>
      <c r="K2362" s="1" t="s">
        <v>35</v>
      </c>
      <c r="L2362" s="1">
        <v>60</v>
      </c>
      <c r="M2362" s="1" t="str">
        <f>IF(L2362&lt;=45,"Joven","Mayor")</f>
        <v>Mayor</v>
      </c>
      <c r="N2362" s="1">
        <v>50</v>
      </c>
      <c r="O2362" s="1" t="s">
        <v>36</v>
      </c>
      <c r="P2362" s="1">
        <v>0.41599999999999998</v>
      </c>
      <c r="Q2362" s="1">
        <v>93.614999999999995</v>
      </c>
      <c r="R2362" s="1">
        <v>0.5371184</v>
      </c>
      <c r="S2362" s="1">
        <v>-5.2460604000000002</v>
      </c>
      <c r="T2362" s="1">
        <v>-0.3815405</v>
      </c>
      <c r="U2362" s="1">
        <v>1.7509999999999999</v>
      </c>
      <c r="V2362" s="1">
        <v>78</v>
      </c>
      <c r="W2362" s="1">
        <v>136</v>
      </c>
      <c r="X2362" s="1">
        <v>1.7435897435897436</v>
      </c>
      <c r="Y2362" s="1">
        <v>80</v>
      </c>
      <c r="Z2362" s="1">
        <v>136</v>
      </c>
      <c r="AA2362" s="1">
        <v>1.7</v>
      </c>
      <c r="AB2362" s="1">
        <v>80.197998903999178</v>
      </c>
      <c r="AC2362" s="1">
        <v>136.00364369983799</v>
      </c>
      <c r="AD2362" s="1">
        <v>1.6958483448276662</v>
      </c>
      <c r="AE2362" t="s">
        <v>4817</v>
      </c>
      <c r="AF2362" t="str">
        <f>IF(X2362&lt;$AF$1,"Bajo","Alto")</f>
        <v>Bajo</v>
      </c>
      <c r="AG2362" t="str">
        <f>LEFT(AE2362,1)</f>
        <v>C</v>
      </c>
      <c r="AH2362" t="str">
        <f>K2362</f>
        <v>M</v>
      </c>
      <c r="AI2362" t="str">
        <f>LEFT(AF2362,1)</f>
        <v>B</v>
      </c>
      <c r="AJ2362" t="str">
        <f>LEFT(M2362,1)</f>
        <v>M</v>
      </c>
      <c r="AK2362" t="str">
        <f>_xlfn.CONCAT(AG2362,AH2362,AI2362,AJ2362)</f>
        <v>CMBM</v>
      </c>
    </row>
    <row r="2363" spans="1:37" ht="15.75" hidden="1" customHeight="1" x14ac:dyDescent="0.2">
      <c r="A2363" s="1">
        <v>2312402</v>
      </c>
      <c r="B2363" s="1" t="s">
        <v>319</v>
      </c>
      <c r="C2363" s="1" t="s">
        <v>1989</v>
      </c>
      <c r="D2363" s="1" t="s">
        <v>1046</v>
      </c>
      <c r="E2363" s="1" t="s">
        <v>145</v>
      </c>
      <c r="F2363" s="1" t="s">
        <v>37</v>
      </c>
      <c r="G2363" s="1" t="s">
        <v>2961</v>
      </c>
      <c r="H2363" s="1">
        <v>4094</v>
      </c>
      <c r="I2363" s="1" t="s">
        <v>91</v>
      </c>
      <c r="J2363" s="1">
        <v>6</v>
      </c>
      <c r="K2363" s="1" t="s">
        <v>35</v>
      </c>
      <c r="L2363" s="1">
        <v>35</v>
      </c>
      <c r="M2363" s="1" t="str">
        <f>IF(L2363&lt;=45,"Joven","Mayor")</f>
        <v>Joven</v>
      </c>
      <c r="N2363" s="1">
        <v>21</v>
      </c>
      <c r="O2363" s="1" t="s">
        <v>36</v>
      </c>
      <c r="P2363" s="1">
        <v>0.36299999999999999</v>
      </c>
      <c r="Q2363" s="1">
        <v>84.593999999999994</v>
      </c>
      <c r="R2363" s="1">
        <v>8.4600115000000002</v>
      </c>
      <c r="S2363" s="1">
        <v>-4.1641199999999996</v>
      </c>
      <c r="T2363" s="1">
        <v>-6.9267725999999996</v>
      </c>
      <c r="U2363" s="1">
        <v>50.317999999999998</v>
      </c>
      <c r="V2363" s="1">
        <v>79</v>
      </c>
      <c r="W2363" s="1">
        <v>142</v>
      </c>
      <c r="X2363" s="1">
        <v>1.7974683544303798</v>
      </c>
      <c r="Y2363" s="1">
        <v>88</v>
      </c>
      <c r="Z2363" s="1">
        <v>142</v>
      </c>
      <c r="AA2363" s="1">
        <v>1.6136363636363635</v>
      </c>
      <c r="AB2363" s="1">
        <v>83.609217271596435</v>
      </c>
      <c r="AC2363" s="1">
        <v>141.92836149516961</v>
      </c>
      <c r="AD2363" s="1">
        <v>1.6975205142051395</v>
      </c>
      <c r="AE2363" t="s">
        <v>4817</v>
      </c>
      <c r="AF2363" t="str">
        <f>IF(X2363&lt;$AF$1,"Bajo","Alto")</f>
        <v>Alto</v>
      </c>
      <c r="AG2363" t="str">
        <f>LEFT(AE2363,1)</f>
        <v>C</v>
      </c>
      <c r="AH2363" t="str">
        <f>K2363</f>
        <v>M</v>
      </c>
      <c r="AI2363" t="str">
        <f>LEFT(AF2363,1)</f>
        <v>A</v>
      </c>
      <c r="AJ2363" t="str">
        <f>LEFT(M2363,1)</f>
        <v>J</v>
      </c>
      <c r="AK2363" t="str">
        <f>_xlfn.CONCAT(AG2363,AH2363,AI2363,AJ2363)</f>
        <v>CMAJ</v>
      </c>
    </row>
    <row r="2364" spans="1:37" ht="15.75" hidden="1" customHeight="1" x14ac:dyDescent="0.2">
      <c r="A2364" s="1">
        <v>524803</v>
      </c>
      <c r="B2364" s="1" t="s">
        <v>4529</v>
      </c>
      <c r="C2364" s="1" t="s">
        <v>685</v>
      </c>
      <c r="D2364" s="1" t="s">
        <v>4634</v>
      </c>
      <c r="E2364" s="1" t="s">
        <v>2650</v>
      </c>
      <c r="F2364" s="1" t="s">
        <v>63</v>
      </c>
      <c r="G2364" s="1" t="s">
        <v>4637</v>
      </c>
      <c r="H2364" s="1">
        <v>109</v>
      </c>
      <c r="I2364" s="1" t="s">
        <v>85</v>
      </c>
      <c r="J2364" s="1">
        <v>12</v>
      </c>
      <c r="K2364" s="1" t="s">
        <v>35</v>
      </c>
      <c r="L2364" s="1">
        <v>48</v>
      </c>
      <c r="M2364" s="1" t="str">
        <f>IF(L2364&lt;=45,"Joven","Mayor")</f>
        <v>Mayor</v>
      </c>
      <c r="N2364" s="1">
        <v>53</v>
      </c>
      <c r="O2364" s="1" t="s">
        <v>36</v>
      </c>
      <c r="P2364" s="1">
        <v>0.34899999999999998</v>
      </c>
      <c r="Q2364" s="1">
        <v>91.786000000000001</v>
      </c>
      <c r="R2364" s="1">
        <v>3.8588833999999999</v>
      </c>
      <c r="S2364" s="1">
        <v>-3.5837150000000002</v>
      </c>
      <c r="T2364" s="1">
        <v>-0.13871942000000001</v>
      </c>
      <c r="U2364" s="1">
        <v>0.48899999999999999</v>
      </c>
      <c r="V2364" s="1">
        <v>114</v>
      </c>
      <c r="W2364" s="1">
        <v>199</v>
      </c>
      <c r="X2364" s="1">
        <v>1.7456140350877194</v>
      </c>
      <c r="Y2364" s="1">
        <v>116</v>
      </c>
      <c r="Z2364" s="1">
        <v>199</v>
      </c>
      <c r="AA2364" s="1">
        <v>1.7155172413793103</v>
      </c>
      <c r="AB2364" s="1">
        <v>116.1207154296285</v>
      </c>
      <c r="AC2364" s="1">
        <v>198.98004788751129</v>
      </c>
      <c r="AD2364" s="1">
        <v>1.713562021654071</v>
      </c>
      <c r="AE2364" t="s">
        <v>4815</v>
      </c>
      <c r="AF2364" t="str">
        <f>IF(X2364&lt;$AF$1,"Bajo","Alto")</f>
        <v>Bajo</v>
      </c>
      <c r="AG2364" t="str">
        <f>LEFT(AE2364,1)</f>
        <v>I</v>
      </c>
      <c r="AH2364" t="str">
        <f>K2364</f>
        <v>M</v>
      </c>
      <c r="AI2364" t="str">
        <f>LEFT(AF2364,1)</f>
        <v>B</v>
      </c>
      <c r="AJ2364" t="str">
        <f>LEFT(M2364,1)</f>
        <v>M</v>
      </c>
      <c r="AK2364" t="str">
        <f>_xlfn.CONCAT(AG2364,AH2364,AI2364,AJ2364)</f>
        <v>IMBM</v>
      </c>
    </row>
    <row r="2365" spans="1:37" ht="15.75" customHeight="1" x14ac:dyDescent="0.2">
      <c r="A2365" s="1">
        <v>299407</v>
      </c>
      <c r="B2365" s="1" t="s">
        <v>3890</v>
      </c>
      <c r="C2365" s="1" t="s">
        <v>1695</v>
      </c>
      <c r="D2365" s="1" t="s">
        <v>4114</v>
      </c>
      <c r="E2365" s="1" t="s">
        <v>775</v>
      </c>
      <c r="F2365" s="1" t="s">
        <v>43</v>
      </c>
      <c r="G2365" s="1" t="s">
        <v>4118</v>
      </c>
      <c r="H2365" s="1">
        <v>8064</v>
      </c>
      <c r="I2365" s="1" t="s">
        <v>4119</v>
      </c>
      <c r="J2365" s="1">
        <v>4186</v>
      </c>
      <c r="K2365" s="1" t="s">
        <v>35</v>
      </c>
      <c r="L2365" s="1">
        <v>39</v>
      </c>
      <c r="M2365" s="1" t="str">
        <f>IF(L2365&lt;=45,"Joven","Mayor")</f>
        <v>Joven</v>
      </c>
      <c r="N2365" s="1">
        <v>47</v>
      </c>
      <c r="O2365" s="1" t="s">
        <v>36</v>
      </c>
      <c r="P2365" s="1">
        <v>0.83499999999999996</v>
      </c>
      <c r="Q2365" s="1">
        <v>75.138000000000005</v>
      </c>
      <c r="R2365" s="1">
        <v>11.788224</v>
      </c>
      <c r="S2365" s="1">
        <v>-1.4804896000000001</v>
      </c>
      <c r="T2365" s="1">
        <v>-10.44514</v>
      </c>
      <c r="U2365" s="1">
        <v>13.715</v>
      </c>
      <c r="V2365" s="1">
        <v>93</v>
      </c>
      <c r="W2365" s="1">
        <v>183</v>
      </c>
      <c r="X2365" s="1">
        <v>1.967741935483871</v>
      </c>
      <c r="Y2365" s="1">
        <v>103</v>
      </c>
      <c r="Z2365" s="1">
        <v>183</v>
      </c>
      <c r="AA2365" s="1">
        <v>1.7766990291262137</v>
      </c>
      <c r="AB2365" s="1">
        <v>101.06747324038</v>
      </c>
      <c r="AC2365" s="1">
        <v>183.049494740922</v>
      </c>
      <c r="AD2365" s="1">
        <v>1.8111612853480077</v>
      </c>
      <c r="AE2365" t="s">
        <v>4818</v>
      </c>
      <c r="AF2365" t="str">
        <f>IF(X2365&lt;$AF$1,"Bajo","Alto")</f>
        <v>Alto</v>
      </c>
      <c r="AG2365" t="str">
        <f>LEFT(AE2365,1)</f>
        <v>S</v>
      </c>
      <c r="AH2365" t="str">
        <f>K2365</f>
        <v>M</v>
      </c>
      <c r="AI2365" t="str">
        <f>LEFT(AF2365,1)</f>
        <v>A</v>
      </c>
      <c r="AJ2365" t="str">
        <f>LEFT(M2365,1)</f>
        <v>J</v>
      </c>
      <c r="AK2365" t="str">
        <f>_xlfn.CONCAT(AG2365,AH2365,AI2365,AJ2365)</f>
        <v>SMAJ</v>
      </c>
    </row>
    <row r="2366" spans="1:37" ht="15.75" hidden="1" customHeight="1" x14ac:dyDescent="0.2">
      <c r="A2366" s="1">
        <v>1015504</v>
      </c>
      <c r="B2366" s="1" t="s">
        <v>29</v>
      </c>
      <c r="C2366" s="1" t="s">
        <v>30</v>
      </c>
      <c r="D2366" s="1" t="s">
        <v>689</v>
      </c>
      <c r="E2366" s="1" t="s">
        <v>690</v>
      </c>
      <c r="F2366" s="1" t="s">
        <v>61</v>
      </c>
      <c r="G2366" s="1" t="s">
        <v>692</v>
      </c>
      <c r="H2366" s="1">
        <v>329</v>
      </c>
      <c r="I2366" s="1" t="s">
        <v>693</v>
      </c>
      <c r="J2366" s="1">
        <v>3136</v>
      </c>
      <c r="K2366" s="1" t="s">
        <v>35</v>
      </c>
      <c r="L2366" s="1">
        <v>47</v>
      </c>
      <c r="M2366" s="1" t="str">
        <f>IF(L2366&lt;=45,"Joven","Mayor")</f>
        <v>Mayor</v>
      </c>
      <c r="N2366" s="1">
        <v>51</v>
      </c>
      <c r="O2366" s="1" t="s">
        <v>36</v>
      </c>
      <c r="P2366" s="1">
        <v>1.3009999999999999</v>
      </c>
      <c r="Q2366" s="1">
        <v>78.209000000000003</v>
      </c>
      <c r="R2366" s="1">
        <v>-10.081632000000001</v>
      </c>
      <c r="S2366" s="1">
        <v>6.1620780000000002</v>
      </c>
      <c r="T2366" s="1">
        <v>-5.8555202</v>
      </c>
      <c r="U2366" s="1">
        <v>1.577</v>
      </c>
      <c r="V2366" s="1">
        <v>83</v>
      </c>
      <c r="W2366" s="1">
        <v>149</v>
      </c>
      <c r="X2366" s="1">
        <v>1.7951807228915662</v>
      </c>
      <c r="Y2366" s="1">
        <v>95</v>
      </c>
      <c r="Z2366" s="1">
        <v>149</v>
      </c>
      <c r="AA2366" s="1">
        <v>1.5684210526315789</v>
      </c>
      <c r="AB2366" s="1">
        <v>92.361893846804378</v>
      </c>
      <c r="AC2366" s="1">
        <v>151.2831742345879</v>
      </c>
      <c r="AD2366" s="1">
        <v>1.637939283548181</v>
      </c>
      <c r="AE2366" t="s">
        <v>4817</v>
      </c>
      <c r="AF2366" t="str">
        <f>IF(X2366&lt;$AF$1,"Bajo","Alto")</f>
        <v>Alto</v>
      </c>
      <c r="AG2366" t="str">
        <f>LEFT(AE2366,1)</f>
        <v>C</v>
      </c>
      <c r="AH2366" t="str">
        <f>K2366</f>
        <v>M</v>
      </c>
      <c r="AI2366" t="str">
        <f>LEFT(AF2366,1)</f>
        <v>A</v>
      </c>
      <c r="AJ2366" t="str">
        <f>LEFT(M2366,1)</f>
        <v>M</v>
      </c>
      <c r="AK2366" t="str">
        <f>_xlfn.CONCAT(AG2366,AH2366,AI2366,AJ2366)</f>
        <v>CMAM</v>
      </c>
    </row>
    <row r="2367" spans="1:37" ht="15.75" hidden="1" customHeight="1" x14ac:dyDescent="0.2">
      <c r="A2367" s="1">
        <v>194601</v>
      </c>
      <c r="B2367" s="1" t="s">
        <v>2656</v>
      </c>
      <c r="C2367" s="1" t="s">
        <v>323</v>
      </c>
      <c r="D2367" s="1" t="s">
        <v>2730</v>
      </c>
      <c r="E2367" s="1" t="s">
        <v>669</v>
      </c>
      <c r="F2367" s="1" t="s">
        <v>32</v>
      </c>
      <c r="G2367" s="1" t="s">
        <v>2731</v>
      </c>
      <c r="H2367" s="1">
        <v>13</v>
      </c>
      <c r="I2367" s="1" t="s">
        <v>39</v>
      </c>
      <c r="J2367" s="1">
        <v>11</v>
      </c>
      <c r="K2367" s="1" t="s">
        <v>35</v>
      </c>
      <c r="L2367" s="1">
        <v>46</v>
      </c>
      <c r="M2367" s="1" t="str">
        <f>IF(L2367&lt;=45,"Joven","Mayor")</f>
        <v>Mayor</v>
      </c>
      <c r="N2367" s="1">
        <v>51</v>
      </c>
      <c r="O2367" s="1" t="s">
        <v>36</v>
      </c>
      <c r="P2367" s="1">
        <v>0.33400000000000002</v>
      </c>
      <c r="Q2367" s="1">
        <v>93.308000000000007</v>
      </c>
      <c r="R2367" s="1">
        <v>0.63924502999999999</v>
      </c>
      <c r="S2367" s="1">
        <v>6.143554</v>
      </c>
      <c r="T2367" s="1">
        <v>-0.18202603000000001</v>
      </c>
      <c r="U2367" s="1">
        <v>12.734</v>
      </c>
      <c r="V2367" s="1">
        <v>86</v>
      </c>
      <c r="W2367" s="1">
        <v>153</v>
      </c>
      <c r="X2367" s="1">
        <v>1.7790697674418605</v>
      </c>
      <c r="Y2367" s="1">
        <v>91</v>
      </c>
      <c r="Z2367" s="1">
        <v>153</v>
      </c>
      <c r="AA2367" s="1">
        <v>1.6813186813186813</v>
      </c>
      <c r="AB2367" s="1">
        <v>91.113910902677844</v>
      </c>
      <c r="AC2367" s="1">
        <v>152.97381229793109</v>
      </c>
      <c r="AD2367" s="1">
        <v>1.6789292741624064</v>
      </c>
      <c r="AE2367" t="s">
        <v>4816</v>
      </c>
      <c r="AF2367" t="str">
        <f>IF(X2367&lt;$AF$1,"Bajo","Alto")</f>
        <v>Alto</v>
      </c>
      <c r="AG2367" t="str">
        <f>LEFT(AE2367,1)</f>
        <v>D</v>
      </c>
      <c r="AH2367" t="str">
        <f>K2367</f>
        <v>M</v>
      </c>
      <c r="AI2367" t="str">
        <f>LEFT(AF2367,1)</f>
        <v>A</v>
      </c>
      <c r="AJ2367" t="str">
        <f>LEFT(M2367,1)</f>
        <v>M</v>
      </c>
      <c r="AK2367" t="str">
        <f>_xlfn.CONCAT(AG2367,AH2367,AI2367,AJ2367)</f>
        <v>DMAM</v>
      </c>
    </row>
    <row r="2368" spans="1:37" ht="15.75" hidden="1" customHeight="1" x14ac:dyDescent="0.2">
      <c r="A2368" s="1">
        <v>10130006</v>
      </c>
      <c r="B2368" s="1" t="s">
        <v>29</v>
      </c>
      <c r="C2368" s="1" t="s">
        <v>30</v>
      </c>
      <c r="D2368" s="1" t="s">
        <v>612</v>
      </c>
      <c r="E2368" s="1" t="s">
        <v>613</v>
      </c>
      <c r="F2368" s="1" t="s">
        <v>88</v>
      </c>
      <c r="G2368" s="1" t="s">
        <v>618</v>
      </c>
      <c r="H2368" s="1">
        <v>1539</v>
      </c>
      <c r="I2368" s="1" t="s">
        <v>108</v>
      </c>
      <c r="J2368" s="1">
        <v>3</v>
      </c>
      <c r="K2368" s="1" t="s">
        <v>35</v>
      </c>
      <c r="L2368" s="1">
        <v>43</v>
      </c>
      <c r="M2368" s="1" t="str">
        <f>IF(L2368&lt;=45,"Joven","Mayor")</f>
        <v>Joven</v>
      </c>
      <c r="N2368" s="1">
        <v>41</v>
      </c>
      <c r="O2368" s="1" t="s">
        <v>36</v>
      </c>
      <c r="P2368" s="1">
        <v>0.85599999999999998</v>
      </c>
      <c r="Q2368" s="1">
        <v>33.442999999999998</v>
      </c>
      <c r="R2368" s="1">
        <v>17.892675000000001</v>
      </c>
      <c r="S2368" s="1">
        <v>3.8574598</v>
      </c>
      <c r="T2368" s="1">
        <v>-12.00989</v>
      </c>
      <c r="U2368" s="1">
        <v>0.31900000000000001</v>
      </c>
      <c r="V2368" s="1">
        <v>84</v>
      </c>
      <c r="W2368" s="1">
        <v>147</v>
      </c>
      <c r="X2368" s="1">
        <v>1.75</v>
      </c>
      <c r="Y2368" s="1">
        <v>97</v>
      </c>
      <c r="Z2368" s="1">
        <v>147</v>
      </c>
      <c r="AA2368" s="1">
        <v>1.5154639175257731</v>
      </c>
      <c r="AB2368" s="1">
        <v>92.773489590023019</v>
      </c>
      <c r="AC2368" s="1">
        <v>147.52786910746539</v>
      </c>
      <c r="AD2368" s="1">
        <v>1.5901942436293863</v>
      </c>
      <c r="AE2368" t="s">
        <v>4817</v>
      </c>
      <c r="AF2368" t="str">
        <f>IF(X2368&lt;$AF$1,"Bajo","Alto")</f>
        <v>Bajo</v>
      </c>
      <c r="AG2368" t="str">
        <f>LEFT(AE2368,1)</f>
        <v>C</v>
      </c>
      <c r="AH2368" t="str">
        <f>K2368</f>
        <v>M</v>
      </c>
      <c r="AI2368" t="str">
        <f>LEFT(AF2368,1)</f>
        <v>B</v>
      </c>
      <c r="AJ2368" t="str">
        <f>LEFT(M2368,1)</f>
        <v>J</v>
      </c>
      <c r="AK2368" t="str">
        <f>_xlfn.CONCAT(AG2368,AH2368,AI2368,AJ2368)</f>
        <v>CMBJ</v>
      </c>
    </row>
    <row r="2369" spans="1:37" ht="15.75" hidden="1" customHeight="1" x14ac:dyDescent="0.2">
      <c r="A2369" s="1">
        <v>10733403</v>
      </c>
      <c r="B2369" s="1" t="s">
        <v>1067</v>
      </c>
      <c r="C2369" s="1" t="s">
        <v>1068</v>
      </c>
      <c r="D2369" s="1" t="s">
        <v>1422</v>
      </c>
      <c r="E2369" s="1" t="s">
        <v>1423</v>
      </c>
      <c r="F2369" s="1" t="s">
        <v>63</v>
      </c>
      <c r="G2369" s="1" t="s">
        <v>1425</v>
      </c>
      <c r="H2369" s="1">
        <v>2480</v>
      </c>
      <c r="I2369" s="1" t="s">
        <v>1426</v>
      </c>
      <c r="J2369" s="1">
        <v>3681</v>
      </c>
      <c r="K2369" s="1" t="s">
        <v>35</v>
      </c>
      <c r="L2369" s="1">
        <v>51</v>
      </c>
      <c r="M2369" s="1" t="str">
        <f>IF(L2369&lt;=45,"Joven","Mayor")</f>
        <v>Mayor</v>
      </c>
      <c r="N2369" s="1">
        <v>45</v>
      </c>
      <c r="O2369" s="1" t="s">
        <v>36</v>
      </c>
      <c r="P2369" s="1">
        <v>0.05</v>
      </c>
      <c r="Q2369" s="1">
        <v>87.11</v>
      </c>
      <c r="R2369" s="1">
        <v>8.0824584999999995</v>
      </c>
      <c r="S2369" s="1">
        <v>-0.22300397</v>
      </c>
      <c r="T2369" s="1">
        <v>-4.4788290000000002</v>
      </c>
      <c r="U2369" s="1">
        <v>11.113</v>
      </c>
      <c r="V2369" s="1">
        <v>73</v>
      </c>
      <c r="W2369" s="1">
        <v>131</v>
      </c>
      <c r="X2369" s="1">
        <v>1.7945205479452055</v>
      </c>
      <c r="Y2369" s="1">
        <v>74</v>
      </c>
      <c r="Z2369" s="1">
        <v>131</v>
      </c>
      <c r="AA2369" s="1">
        <v>1.7702702702702702</v>
      </c>
      <c r="AB2369" s="1">
        <v>76.507198390658687</v>
      </c>
      <c r="AC2369" s="1">
        <v>130.52186888870801</v>
      </c>
      <c r="AD2369" s="1">
        <v>1.7060076912271873</v>
      </c>
      <c r="AE2369" t="s">
        <v>4817</v>
      </c>
      <c r="AF2369" t="str">
        <f>IF(X2369&lt;$AF$1,"Bajo","Alto")</f>
        <v>Alto</v>
      </c>
      <c r="AG2369" t="str">
        <f>LEFT(AE2369,1)</f>
        <v>C</v>
      </c>
      <c r="AH2369" t="str">
        <f>K2369</f>
        <v>M</v>
      </c>
      <c r="AI2369" t="str">
        <f>LEFT(AF2369,1)</f>
        <v>A</v>
      </c>
      <c r="AJ2369" t="str">
        <f>LEFT(M2369,1)</f>
        <v>M</v>
      </c>
      <c r="AK2369" t="str">
        <f>_xlfn.CONCAT(AG2369,AH2369,AI2369,AJ2369)</f>
        <v>CMAM</v>
      </c>
    </row>
    <row r="2370" spans="1:37" ht="15.75" hidden="1" customHeight="1" x14ac:dyDescent="0.2">
      <c r="A2370" s="1">
        <v>1528601</v>
      </c>
      <c r="B2370" s="1" t="s">
        <v>2077</v>
      </c>
      <c r="C2370" s="1" t="s">
        <v>57</v>
      </c>
      <c r="D2370" s="1" t="s">
        <v>2355</v>
      </c>
      <c r="E2370" s="1" t="s">
        <v>576</v>
      </c>
      <c r="F2370" s="1" t="s">
        <v>32</v>
      </c>
      <c r="G2370" s="1" t="s">
        <v>2356</v>
      </c>
      <c r="H2370" s="1">
        <v>1466</v>
      </c>
      <c r="I2370" s="1" t="s">
        <v>2357</v>
      </c>
      <c r="J2370" s="1">
        <v>2332</v>
      </c>
      <c r="K2370" s="1" t="s">
        <v>49</v>
      </c>
      <c r="L2370" s="1">
        <v>37</v>
      </c>
      <c r="M2370" s="1" t="str">
        <f>IF(L2370&lt;=45,"Joven","Mayor")</f>
        <v>Joven</v>
      </c>
      <c r="N2370" s="1">
        <v>44</v>
      </c>
      <c r="O2370" s="1" t="s">
        <v>50</v>
      </c>
      <c r="P2370" s="1">
        <v>0.36199999999999999</v>
      </c>
      <c r="Q2370" s="1">
        <v>93.155000000000001</v>
      </c>
      <c r="R2370" s="1">
        <v>3.0110049999999999</v>
      </c>
      <c r="S2370" s="1">
        <v>-0.77336603000000004</v>
      </c>
      <c r="T2370" s="1">
        <v>-5.1449676000000002</v>
      </c>
      <c r="U2370" s="1">
        <v>50.332000000000001</v>
      </c>
      <c r="V2370" s="1">
        <v>70</v>
      </c>
      <c r="W2370" s="1">
        <v>126</v>
      </c>
      <c r="X2370" s="1">
        <v>1.8</v>
      </c>
      <c r="Y2370" s="1">
        <v>70</v>
      </c>
      <c r="Z2370" s="1">
        <v>126</v>
      </c>
      <c r="AA2370" s="1">
        <v>1.8</v>
      </c>
      <c r="AB2370" s="1">
        <v>72.766953234950279</v>
      </c>
      <c r="AC2370" s="1">
        <v>125.5820209248791</v>
      </c>
      <c r="AD2370" s="1">
        <v>1.7258111730939083</v>
      </c>
      <c r="AE2370" t="s">
        <v>4817</v>
      </c>
      <c r="AF2370" t="str">
        <f>IF(X2370&lt;$AF$1,"Bajo","Alto")</f>
        <v>Alto</v>
      </c>
      <c r="AG2370" t="str">
        <f>LEFT(AE2370,1)</f>
        <v>C</v>
      </c>
      <c r="AH2370" t="str">
        <f>K2370</f>
        <v>F</v>
      </c>
      <c r="AI2370" t="str">
        <f>LEFT(AF2370,1)</f>
        <v>A</v>
      </c>
      <c r="AJ2370" t="str">
        <f>LEFT(M2370,1)</f>
        <v>J</v>
      </c>
      <c r="AK2370" t="str">
        <f>_xlfn.CONCAT(AG2370,AH2370,AI2370,AJ2370)</f>
        <v>CFAJ</v>
      </c>
    </row>
    <row r="2371" spans="1:37" ht="15.75" hidden="1" customHeight="1" x14ac:dyDescent="0.2">
      <c r="A2371" s="1">
        <v>311303</v>
      </c>
      <c r="B2371" s="1" t="s">
        <v>4122</v>
      </c>
      <c r="C2371" s="1" t="s">
        <v>628</v>
      </c>
      <c r="D2371" s="1" t="s">
        <v>653</v>
      </c>
      <c r="E2371" s="1" t="s">
        <v>163</v>
      </c>
      <c r="F2371" s="1" t="s">
        <v>63</v>
      </c>
      <c r="G2371" s="1" t="s">
        <v>4173</v>
      </c>
      <c r="H2371" s="1">
        <v>1456</v>
      </c>
      <c r="I2371" s="1" t="s">
        <v>1035</v>
      </c>
      <c r="J2371" s="1">
        <v>3531</v>
      </c>
      <c r="K2371" s="1" t="s">
        <v>35</v>
      </c>
      <c r="L2371" s="1">
        <v>29</v>
      </c>
      <c r="M2371" s="1" t="str">
        <f>IF(L2371&lt;=45,"Joven","Mayor")</f>
        <v>Joven</v>
      </c>
      <c r="N2371" s="1">
        <v>32</v>
      </c>
      <c r="O2371" s="1" t="s">
        <v>36</v>
      </c>
      <c r="P2371" s="1">
        <v>0.89600000000000002</v>
      </c>
      <c r="Q2371" s="1">
        <v>91.728999999999999</v>
      </c>
      <c r="R2371" s="1">
        <v>3.4142716000000002</v>
      </c>
      <c r="S2371" s="1">
        <v>4.5054800000000004</v>
      </c>
      <c r="T2371" s="1">
        <v>1.0078064</v>
      </c>
      <c r="U2371" s="1">
        <v>17.651</v>
      </c>
      <c r="V2371" s="1">
        <v>59</v>
      </c>
      <c r="W2371" s="1">
        <v>106</v>
      </c>
      <c r="X2371" s="1">
        <v>1.7966101694915255</v>
      </c>
      <c r="Y2371" s="1">
        <v>61</v>
      </c>
      <c r="Z2371" s="1">
        <v>106</v>
      </c>
      <c r="AA2371" s="1">
        <v>1.7377049180327868</v>
      </c>
      <c r="AB2371" s="1">
        <v>60.550847967255997</v>
      </c>
      <c r="AC2371" s="1">
        <v>106.0539571829586</v>
      </c>
      <c r="AD2371" s="1">
        <v>1.7514859121429522</v>
      </c>
      <c r="AE2371" t="s">
        <v>4817</v>
      </c>
      <c r="AF2371" t="str">
        <f>IF(X2371&lt;$AF$1,"Bajo","Alto")</f>
        <v>Alto</v>
      </c>
      <c r="AG2371" t="str">
        <f>LEFT(AE2371,1)</f>
        <v>C</v>
      </c>
      <c r="AH2371" t="str">
        <f>K2371</f>
        <v>M</v>
      </c>
      <c r="AI2371" t="str">
        <f>LEFT(AF2371,1)</f>
        <v>A</v>
      </c>
      <c r="AJ2371" t="str">
        <f>LEFT(M2371,1)</f>
        <v>J</v>
      </c>
      <c r="AK2371" t="str">
        <f>_xlfn.CONCAT(AG2371,AH2371,AI2371,AJ2371)</f>
        <v>CMAJ</v>
      </c>
    </row>
    <row r="2372" spans="1:37" ht="15.75" hidden="1" customHeight="1" x14ac:dyDescent="0.2">
      <c r="A2372" s="1">
        <v>10120805</v>
      </c>
      <c r="B2372" s="1" t="s">
        <v>29</v>
      </c>
      <c r="C2372" s="1" t="s">
        <v>30</v>
      </c>
      <c r="D2372" s="1" t="s">
        <v>377</v>
      </c>
      <c r="E2372" s="1" t="s">
        <v>378</v>
      </c>
      <c r="F2372" s="1" t="s">
        <v>40</v>
      </c>
      <c r="G2372" s="1" t="s">
        <v>381</v>
      </c>
      <c r="H2372" s="1">
        <v>389</v>
      </c>
      <c r="I2372" s="1" t="s">
        <v>91</v>
      </c>
      <c r="J2372" s="1">
        <v>6</v>
      </c>
      <c r="K2372" s="1" t="s">
        <v>35</v>
      </c>
      <c r="L2372" s="1">
        <v>52</v>
      </c>
      <c r="M2372" s="1" t="str">
        <f>IF(L2372&lt;=45,"Joven","Mayor")</f>
        <v>Mayor</v>
      </c>
      <c r="N2372" s="1">
        <v>53</v>
      </c>
      <c r="O2372" s="1" t="s">
        <v>36</v>
      </c>
      <c r="P2372" s="1">
        <v>0.40899999999999997</v>
      </c>
      <c r="Q2372" s="1">
        <v>62.451000000000001</v>
      </c>
      <c r="R2372" s="1">
        <v>14.024483999999999</v>
      </c>
      <c r="S2372" s="1">
        <v>-3.5805009999999999</v>
      </c>
      <c r="T2372" s="1">
        <v>-1.8059692000000001</v>
      </c>
      <c r="U2372" s="1">
        <v>0.47499999999999998</v>
      </c>
      <c r="V2372" s="1">
        <v>90</v>
      </c>
      <c r="W2372" s="1">
        <v>157</v>
      </c>
      <c r="X2372" s="1">
        <v>1.7444444444444445</v>
      </c>
      <c r="Y2372" s="1">
        <v>92</v>
      </c>
      <c r="Z2372" s="1">
        <v>157</v>
      </c>
      <c r="AA2372" s="1">
        <v>1.7065217391304348</v>
      </c>
      <c r="AB2372" s="1">
        <v>93.057323129243741</v>
      </c>
      <c r="AC2372" s="1">
        <v>156.73292601428599</v>
      </c>
      <c r="AD2372" s="1">
        <v>1.6842621380437266</v>
      </c>
      <c r="AE2372" t="s">
        <v>4817</v>
      </c>
      <c r="AF2372" t="str">
        <f>IF(X2372&lt;$AF$1,"Bajo","Alto")</f>
        <v>Bajo</v>
      </c>
      <c r="AG2372" t="str">
        <f>LEFT(AE2372,1)</f>
        <v>C</v>
      </c>
      <c r="AH2372" t="str">
        <f>K2372</f>
        <v>M</v>
      </c>
      <c r="AI2372" t="str">
        <f>LEFT(AF2372,1)</f>
        <v>B</v>
      </c>
      <c r="AJ2372" t="str">
        <f>LEFT(M2372,1)</f>
        <v>M</v>
      </c>
      <c r="AK2372" t="str">
        <f>_xlfn.CONCAT(AG2372,AH2372,AI2372,AJ2372)</f>
        <v>CMBM</v>
      </c>
    </row>
    <row r="2373" spans="1:37" ht="15.75" hidden="1" customHeight="1" x14ac:dyDescent="0.2">
      <c r="A2373" s="1">
        <v>1098502</v>
      </c>
      <c r="B2373" s="1" t="s">
        <v>719</v>
      </c>
      <c r="C2373" s="1" t="s">
        <v>98</v>
      </c>
      <c r="D2373" s="1" t="s">
        <v>1643</v>
      </c>
      <c r="E2373" s="1" t="s">
        <v>755</v>
      </c>
      <c r="F2373" s="1" t="s">
        <v>37</v>
      </c>
      <c r="G2373" s="1" t="s">
        <v>1645</v>
      </c>
      <c r="H2373" s="1">
        <v>95</v>
      </c>
      <c r="I2373" s="1" t="s">
        <v>42</v>
      </c>
      <c r="J2373" s="1">
        <v>15</v>
      </c>
      <c r="K2373" s="1" t="s">
        <v>49</v>
      </c>
      <c r="L2373" s="1">
        <v>55</v>
      </c>
      <c r="M2373" s="1" t="str">
        <f>IF(L2373&lt;=45,"Joven","Mayor")</f>
        <v>Mayor</v>
      </c>
      <c r="N2373" s="1">
        <v>52</v>
      </c>
      <c r="O2373" s="1" t="s">
        <v>50</v>
      </c>
      <c r="P2373" s="1">
        <v>0.33400000000000002</v>
      </c>
      <c r="Q2373" s="1">
        <v>93.013999999999996</v>
      </c>
      <c r="R2373" s="1">
        <v>1.3366133</v>
      </c>
      <c r="S2373" s="1">
        <v>5.8007600000000004</v>
      </c>
      <c r="T2373" s="1">
        <v>-1.3227068</v>
      </c>
      <c r="U2373" s="1">
        <v>90.216999999999999</v>
      </c>
      <c r="V2373" s="1">
        <v>92</v>
      </c>
      <c r="W2373" s="1">
        <v>164</v>
      </c>
      <c r="X2373" s="1">
        <v>1.7826086956521738</v>
      </c>
      <c r="Y2373" s="1">
        <v>94</v>
      </c>
      <c r="Z2373" s="1">
        <v>164</v>
      </c>
      <c r="AA2373" s="1">
        <v>1.7446808510638299</v>
      </c>
      <c r="AB2373" s="1">
        <v>93.051611197478223</v>
      </c>
      <c r="AC2373" s="1">
        <v>164.07171819056609</v>
      </c>
      <c r="AD2373" s="1">
        <v>1.7632335010553</v>
      </c>
      <c r="AE2373" t="s">
        <v>4817</v>
      </c>
      <c r="AF2373" t="str">
        <f>IF(X2373&lt;$AF$1,"Bajo","Alto")</f>
        <v>Alto</v>
      </c>
      <c r="AG2373" t="str">
        <f>LEFT(AE2373,1)</f>
        <v>C</v>
      </c>
      <c r="AH2373" t="str">
        <f>K2373</f>
        <v>F</v>
      </c>
      <c r="AI2373" t="str">
        <f>LEFT(AF2373,1)</f>
        <v>A</v>
      </c>
      <c r="AJ2373" t="str">
        <f>LEFT(M2373,1)</f>
        <v>M</v>
      </c>
      <c r="AK2373" t="str">
        <f>_xlfn.CONCAT(AG2373,AH2373,AI2373,AJ2373)</f>
        <v>CFAM</v>
      </c>
    </row>
    <row r="2374" spans="1:37" ht="15.75" hidden="1" customHeight="1" x14ac:dyDescent="0.2">
      <c r="A2374" s="1">
        <v>270110</v>
      </c>
      <c r="B2374" s="1" t="s">
        <v>3409</v>
      </c>
      <c r="C2374" s="1" t="s">
        <v>973</v>
      </c>
      <c r="D2374" s="1" t="s">
        <v>3410</v>
      </c>
      <c r="E2374" s="1" t="s">
        <v>32</v>
      </c>
      <c r="F2374" s="1" t="s">
        <v>75</v>
      </c>
      <c r="G2374" s="1" t="s">
        <v>3416</v>
      </c>
      <c r="H2374" s="1">
        <v>31487</v>
      </c>
      <c r="I2374" s="1" t="s">
        <v>3417</v>
      </c>
      <c r="J2374" s="1">
        <v>4045</v>
      </c>
      <c r="K2374" s="1" t="s">
        <v>49</v>
      </c>
      <c r="L2374" s="1">
        <v>42</v>
      </c>
      <c r="M2374" s="1" t="str">
        <f>IF(L2374&lt;=45,"Joven","Mayor")</f>
        <v>Joven</v>
      </c>
      <c r="N2374" s="1">
        <v>25</v>
      </c>
      <c r="O2374" s="1" t="s">
        <v>50</v>
      </c>
      <c r="P2374" s="1">
        <v>0.34200000000000003</v>
      </c>
      <c r="Q2374" s="1">
        <v>92.613</v>
      </c>
      <c r="R2374" s="1">
        <v>-0.27332964999999998</v>
      </c>
      <c r="S2374" s="1">
        <v>8.5224740000000008</v>
      </c>
      <c r="T2374" s="1">
        <v>-0.57549136999999995</v>
      </c>
      <c r="U2374" s="1">
        <v>50.814</v>
      </c>
      <c r="V2374" s="1">
        <v>107</v>
      </c>
      <c r="W2374" s="1">
        <v>187</v>
      </c>
      <c r="X2374" s="1">
        <v>1.7476635514018692</v>
      </c>
      <c r="Y2374" s="1">
        <v>107</v>
      </c>
      <c r="Z2374" s="1">
        <v>187</v>
      </c>
      <c r="AA2374" s="1">
        <v>1.7476635514018692</v>
      </c>
      <c r="AB2374" s="1">
        <v>107.4867610926979</v>
      </c>
      <c r="AC2374" s="1">
        <v>186.94034695484791</v>
      </c>
      <c r="AD2374" s="1">
        <v>1.7391941580008003</v>
      </c>
      <c r="AE2374" t="s">
        <v>4817</v>
      </c>
      <c r="AF2374" t="str">
        <f>IF(X2374&lt;$AF$1,"Bajo","Alto")</f>
        <v>Bajo</v>
      </c>
      <c r="AG2374" t="str">
        <f>LEFT(AE2374,1)</f>
        <v>C</v>
      </c>
      <c r="AH2374" t="str">
        <f>K2374</f>
        <v>F</v>
      </c>
      <c r="AI2374" t="str">
        <f>LEFT(AF2374,1)</f>
        <v>B</v>
      </c>
      <c r="AJ2374" t="str">
        <f>LEFT(M2374,1)</f>
        <v>J</v>
      </c>
      <c r="AK2374" t="str">
        <f>_xlfn.CONCAT(AG2374,AH2374,AI2374,AJ2374)</f>
        <v>CFBJ</v>
      </c>
    </row>
    <row r="2375" spans="1:37" ht="15.75" hidden="1" customHeight="1" x14ac:dyDescent="0.2">
      <c r="A2375" s="1">
        <v>10912702</v>
      </c>
      <c r="B2375" s="1" t="s">
        <v>719</v>
      </c>
      <c r="C2375" s="1" t="s">
        <v>98</v>
      </c>
      <c r="D2375" s="1" t="s">
        <v>1575</v>
      </c>
      <c r="E2375" s="1" t="s">
        <v>153</v>
      </c>
      <c r="F2375" s="1" t="s">
        <v>37</v>
      </c>
      <c r="G2375" s="1" t="s">
        <v>1576</v>
      </c>
      <c r="H2375" s="1">
        <v>442</v>
      </c>
      <c r="I2375" s="1" t="s">
        <v>42</v>
      </c>
      <c r="J2375" s="1">
        <v>15</v>
      </c>
      <c r="K2375" s="1" t="s">
        <v>49</v>
      </c>
      <c r="L2375" s="1">
        <v>48</v>
      </c>
      <c r="M2375" s="1" t="str">
        <f>IF(L2375&lt;=45,"Joven","Mayor")</f>
        <v>Mayor</v>
      </c>
      <c r="N2375" s="1">
        <v>62</v>
      </c>
      <c r="O2375" s="1" t="s">
        <v>50</v>
      </c>
      <c r="P2375" s="1">
        <v>0.20899999999999999</v>
      </c>
      <c r="Q2375" s="1">
        <v>89.454999999999998</v>
      </c>
      <c r="R2375" s="1">
        <v>6.3656534999999996</v>
      </c>
      <c r="S2375" s="1">
        <v>-1.8330979999999999</v>
      </c>
      <c r="T2375" s="1">
        <v>-3.3251674000000002</v>
      </c>
      <c r="U2375" s="1">
        <v>30.335999999999999</v>
      </c>
      <c r="V2375" s="1">
        <v>91</v>
      </c>
      <c r="W2375" s="1">
        <v>162</v>
      </c>
      <c r="X2375" s="1">
        <v>1.7802197802197801</v>
      </c>
      <c r="Y2375" s="1">
        <v>95</v>
      </c>
      <c r="Z2375" s="1">
        <v>162</v>
      </c>
      <c r="AA2375" s="1">
        <v>1.7052631578947368</v>
      </c>
      <c r="AB2375" s="1">
        <v>96.812147930801075</v>
      </c>
      <c r="AC2375" s="1">
        <v>161.32124465283141</v>
      </c>
      <c r="AD2375" s="1">
        <v>1.6663326669308054</v>
      </c>
      <c r="AE2375" t="s">
        <v>4817</v>
      </c>
      <c r="AF2375" t="str">
        <f>IF(X2375&lt;$AF$1,"Bajo","Alto")</f>
        <v>Alto</v>
      </c>
      <c r="AG2375" t="str">
        <f>LEFT(AE2375,1)</f>
        <v>C</v>
      </c>
      <c r="AH2375" t="str">
        <f>K2375</f>
        <v>F</v>
      </c>
      <c r="AI2375" t="str">
        <f>LEFT(AF2375,1)</f>
        <v>A</v>
      </c>
      <c r="AJ2375" t="str">
        <f>LEFT(M2375,1)</f>
        <v>M</v>
      </c>
      <c r="AK2375" t="str">
        <f>_xlfn.CONCAT(AG2375,AH2375,AI2375,AJ2375)</f>
        <v>CFAM</v>
      </c>
    </row>
    <row r="2376" spans="1:37" ht="15.75" hidden="1" customHeight="1" x14ac:dyDescent="0.2">
      <c r="A2376" s="1">
        <v>313106</v>
      </c>
      <c r="B2376" s="1" t="s">
        <v>4122</v>
      </c>
      <c r="C2376" s="1" t="s">
        <v>628</v>
      </c>
      <c r="D2376" s="1" t="s">
        <v>798</v>
      </c>
      <c r="E2376" s="1" t="s">
        <v>628</v>
      </c>
      <c r="F2376" s="1" t="s">
        <v>88</v>
      </c>
      <c r="G2376" s="1" t="s">
        <v>4202</v>
      </c>
      <c r="H2376" s="1">
        <v>380</v>
      </c>
      <c r="I2376" s="1" t="s">
        <v>48</v>
      </c>
      <c r="J2376" s="1">
        <v>4</v>
      </c>
      <c r="K2376" s="1" t="s">
        <v>49</v>
      </c>
      <c r="L2376" s="1">
        <v>35</v>
      </c>
      <c r="M2376" s="1" t="str">
        <f>IF(L2376&lt;=45,"Joven","Mayor")</f>
        <v>Joven</v>
      </c>
      <c r="N2376" s="1">
        <v>36</v>
      </c>
      <c r="O2376" s="1" t="s">
        <v>50</v>
      </c>
      <c r="P2376" s="1">
        <v>0.33600000000000002</v>
      </c>
      <c r="Q2376" s="1">
        <v>78.811000000000007</v>
      </c>
      <c r="R2376" s="1">
        <v>10.561953000000001</v>
      </c>
      <c r="S2376" s="1">
        <v>3.8302274000000001</v>
      </c>
      <c r="T2376" s="1">
        <v>-6.4200463000000001</v>
      </c>
      <c r="U2376" s="1">
        <v>5.4340000000000002</v>
      </c>
      <c r="V2376" s="1">
        <v>90</v>
      </c>
      <c r="W2376" s="1">
        <v>162</v>
      </c>
      <c r="X2376" s="1">
        <v>1.8</v>
      </c>
      <c r="Y2376" s="1">
        <v>94</v>
      </c>
      <c r="Z2376" s="1">
        <v>162</v>
      </c>
      <c r="AA2376" s="1">
        <v>1.7234042553191489</v>
      </c>
      <c r="AB2376" s="1">
        <v>94.131895236259879</v>
      </c>
      <c r="AC2376" s="1">
        <v>161.65497475178651</v>
      </c>
      <c r="AD2376" s="1">
        <v>1.7173241263872541</v>
      </c>
      <c r="AE2376" t="s">
        <v>4817</v>
      </c>
      <c r="AF2376" t="str">
        <f>IF(X2376&lt;$AF$1,"Bajo","Alto")</f>
        <v>Alto</v>
      </c>
      <c r="AG2376" t="str">
        <f>LEFT(AE2376,1)</f>
        <v>C</v>
      </c>
      <c r="AH2376" t="str">
        <f>K2376</f>
        <v>F</v>
      </c>
      <c r="AI2376" t="str">
        <f>LEFT(AF2376,1)</f>
        <v>A</v>
      </c>
      <c r="AJ2376" t="str">
        <f>LEFT(M2376,1)</f>
        <v>J</v>
      </c>
      <c r="AK2376" t="str">
        <f>_xlfn.CONCAT(AG2376,AH2376,AI2376,AJ2376)</f>
        <v>CFAJ</v>
      </c>
    </row>
    <row r="2377" spans="1:37" ht="15.75" hidden="1" customHeight="1" x14ac:dyDescent="0.2">
      <c r="A2377" s="1">
        <v>10112104</v>
      </c>
      <c r="B2377" s="1" t="s">
        <v>29</v>
      </c>
      <c r="C2377" s="1" t="s">
        <v>30</v>
      </c>
      <c r="D2377" s="1" t="s">
        <v>135</v>
      </c>
      <c r="E2377" s="1" t="s">
        <v>136</v>
      </c>
      <c r="F2377" s="1" t="s">
        <v>61</v>
      </c>
      <c r="G2377" s="1" t="s">
        <v>140</v>
      </c>
      <c r="H2377" s="1">
        <v>45239</v>
      </c>
      <c r="I2377" s="1" t="s">
        <v>141</v>
      </c>
      <c r="J2377" s="1">
        <v>2075</v>
      </c>
      <c r="K2377" s="1" t="s">
        <v>35</v>
      </c>
      <c r="L2377" s="1">
        <v>46</v>
      </c>
      <c r="M2377" s="1" t="str">
        <f>IF(L2377&lt;=45,"Joven","Mayor")</f>
        <v>Mayor</v>
      </c>
      <c r="N2377" s="1">
        <v>38</v>
      </c>
      <c r="O2377" s="1" t="s">
        <v>36</v>
      </c>
      <c r="P2377" s="1">
        <v>1.4390000000000001</v>
      </c>
      <c r="Q2377" s="1">
        <v>93.665000000000006</v>
      </c>
      <c r="R2377" s="1">
        <v>-0.83804624999999999</v>
      </c>
      <c r="S2377" s="1">
        <v>3.4687332999999998</v>
      </c>
      <c r="T2377" s="1">
        <v>0.24364406</v>
      </c>
      <c r="U2377" s="1">
        <v>1.5289999999999999</v>
      </c>
      <c r="V2377" s="1">
        <v>102</v>
      </c>
      <c r="W2377" s="1">
        <v>183</v>
      </c>
      <c r="X2377" s="1">
        <v>1.7941176470588236</v>
      </c>
      <c r="Y2377" s="1">
        <v>102</v>
      </c>
      <c r="Z2377" s="1">
        <v>183</v>
      </c>
      <c r="AA2377" s="1">
        <v>1.7941176470588236</v>
      </c>
      <c r="AB2377" s="1">
        <v>102.19468717584481</v>
      </c>
      <c r="AC2377" s="1">
        <v>182.9728311541767</v>
      </c>
      <c r="AD2377" s="1">
        <v>1.7904338885967546</v>
      </c>
      <c r="AE2377" t="s">
        <v>4817</v>
      </c>
      <c r="AF2377" t="str">
        <f>IF(X2377&lt;$AF$1,"Bajo","Alto")</f>
        <v>Alto</v>
      </c>
      <c r="AG2377" t="str">
        <f>LEFT(AE2377,1)</f>
        <v>C</v>
      </c>
      <c r="AH2377" t="str">
        <f>K2377</f>
        <v>M</v>
      </c>
      <c r="AI2377" t="str">
        <f>LEFT(AF2377,1)</f>
        <v>A</v>
      </c>
      <c r="AJ2377" t="str">
        <f>LEFT(M2377,1)</f>
        <v>M</v>
      </c>
      <c r="AK2377" t="str">
        <f>_xlfn.CONCAT(AG2377,AH2377,AI2377,AJ2377)</f>
        <v>CMAM</v>
      </c>
    </row>
    <row r="2378" spans="1:37" ht="15.75" hidden="1" customHeight="1" x14ac:dyDescent="0.2">
      <c r="A2378" s="1">
        <v>274003</v>
      </c>
      <c r="B2378" s="1" t="s">
        <v>3409</v>
      </c>
      <c r="C2378" s="1" t="s">
        <v>973</v>
      </c>
      <c r="D2378" s="1" t="s">
        <v>3671</v>
      </c>
      <c r="E2378" s="1" t="s">
        <v>657</v>
      </c>
      <c r="F2378" s="1" t="s">
        <v>63</v>
      </c>
      <c r="G2378" s="1" t="s">
        <v>3673</v>
      </c>
      <c r="H2378" s="1">
        <v>69</v>
      </c>
      <c r="I2378" s="1" t="s">
        <v>93</v>
      </c>
      <c r="J2378" s="1">
        <v>9</v>
      </c>
      <c r="K2378" s="1" t="s">
        <v>35</v>
      </c>
      <c r="L2378" s="1">
        <v>26</v>
      </c>
      <c r="M2378" s="1" t="str">
        <f>IF(L2378&lt;=45,"Joven","Mayor")</f>
        <v>Joven</v>
      </c>
      <c r="N2378" s="1">
        <v>25</v>
      </c>
      <c r="O2378" s="1" t="s">
        <v>36</v>
      </c>
      <c r="P2378" s="1">
        <v>0.36199999999999999</v>
      </c>
      <c r="Q2378" s="1">
        <v>92.793999999999997</v>
      </c>
      <c r="R2378" s="1">
        <v>0.65214559999999999</v>
      </c>
      <c r="S2378" s="1">
        <v>7.5429279999999999</v>
      </c>
      <c r="T2378" s="1">
        <v>-1.6777682</v>
      </c>
      <c r="U2378" s="1">
        <v>3.1890000000000001</v>
      </c>
      <c r="V2378" s="1">
        <v>86</v>
      </c>
      <c r="W2378" s="1">
        <v>150</v>
      </c>
      <c r="X2378" s="1">
        <v>1.7441860465116279</v>
      </c>
      <c r="Y2378" s="1">
        <v>87</v>
      </c>
      <c r="Z2378" s="1">
        <v>150</v>
      </c>
      <c r="AA2378" s="1">
        <v>1.7241379310344827</v>
      </c>
      <c r="AB2378" s="1">
        <v>87.1049888354014</v>
      </c>
      <c r="AC2378" s="1">
        <v>149.93569438696841</v>
      </c>
      <c r="AD2378" s="1">
        <v>1.7213215499091048</v>
      </c>
      <c r="AE2378" t="s">
        <v>4815</v>
      </c>
      <c r="AF2378" t="str">
        <f>IF(X2378&lt;$AF$1,"Bajo","Alto")</f>
        <v>Bajo</v>
      </c>
      <c r="AG2378" t="str">
        <f>LEFT(AE2378,1)</f>
        <v>I</v>
      </c>
      <c r="AH2378" t="str">
        <f>K2378</f>
        <v>M</v>
      </c>
      <c r="AI2378" t="str">
        <f>LEFT(AF2378,1)</f>
        <v>B</v>
      </c>
      <c r="AJ2378" t="str">
        <f>LEFT(M2378,1)</f>
        <v>J</v>
      </c>
      <c r="AK2378" t="str">
        <f>_xlfn.CONCAT(AG2378,AH2378,AI2378,AJ2378)</f>
        <v>IMBJ</v>
      </c>
    </row>
    <row r="2379" spans="1:37" ht="15.75" hidden="1" customHeight="1" x14ac:dyDescent="0.2">
      <c r="A2379" s="1">
        <v>1034304</v>
      </c>
      <c r="B2379" s="1" t="s">
        <v>783</v>
      </c>
      <c r="C2379" s="1" t="s">
        <v>81</v>
      </c>
      <c r="D2379" s="1" t="s">
        <v>844</v>
      </c>
      <c r="E2379" s="1" t="s">
        <v>665</v>
      </c>
      <c r="F2379" s="1" t="s">
        <v>61</v>
      </c>
      <c r="G2379" s="1" t="s">
        <v>848</v>
      </c>
      <c r="H2379" s="1">
        <v>1658</v>
      </c>
      <c r="I2379" s="1" t="s">
        <v>294</v>
      </c>
      <c r="J2379" s="1">
        <v>16</v>
      </c>
      <c r="K2379" s="1" t="s">
        <v>49</v>
      </c>
      <c r="L2379" s="1">
        <v>42</v>
      </c>
      <c r="M2379" s="1" t="str">
        <f>IF(L2379&lt;=45,"Joven","Mayor")</f>
        <v>Joven</v>
      </c>
      <c r="N2379" s="1">
        <v>30</v>
      </c>
      <c r="O2379" s="1" t="s">
        <v>50</v>
      </c>
      <c r="P2379" s="1">
        <v>0.36399999999999999</v>
      </c>
      <c r="Q2379" s="1">
        <v>94.468999999999994</v>
      </c>
      <c r="R2379" s="1">
        <v>0.52728545999999998</v>
      </c>
      <c r="S2379" s="1">
        <v>1.5200226999999999</v>
      </c>
      <c r="T2379" s="1">
        <v>0.12830786</v>
      </c>
      <c r="U2379" s="1">
        <v>47.600999999999999</v>
      </c>
      <c r="V2379" s="1">
        <v>64</v>
      </c>
      <c r="W2379" s="1">
        <v>112</v>
      </c>
      <c r="X2379" s="1">
        <v>1.75</v>
      </c>
      <c r="Y2379" s="1">
        <v>64</v>
      </c>
      <c r="Z2379" s="1">
        <v>112</v>
      </c>
      <c r="AA2379" s="1">
        <v>1.75</v>
      </c>
      <c r="AB2379" s="1">
        <v>64.067021305887465</v>
      </c>
      <c r="AC2379" s="1">
        <v>112.0041979518592</v>
      </c>
      <c r="AD2379" s="1">
        <v>1.7482348276673592</v>
      </c>
      <c r="AE2379" t="s">
        <v>4817</v>
      </c>
      <c r="AF2379" t="str">
        <f>IF(X2379&lt;$AF$1,"Bajo","Alto")</f>
        <v>Bajo</v>
      </c>
      <c r="AG2379" t="str">
        <f>LEFT(AE2379,1)</f>
        <v>C</v>
      </c>
      <c r="AH2379" t="str">
        <f>K2379</f>
        <v>F</v>
      </c>
      <c r="AI2379" t="str">
        <f>LEFT(AF2379,1)</f>
        <v>B</v>
      </c>
      <c r="AJ2379" t="str">
        <f>LEFT(M2379,1)</f>
        <v>J</v>
      </c>
      <c r="AK2379" t="str">
        <f>_xlfn.CONCAT(AG2379,AH2379,AI2379,AJ2379)</f>
        <v>CFBJ</v>
      </c>
    </row>
    <row r="2380" spans="1:37" ht="15.75" hidden="1" customHeight="1" x14ac:dyDescent="0.2">
      <c r="A2380" s="1">
        <v>10110306</v>
      </c>
      <c r="B2380" s="1" t="s">
        <v>29</v>
      </c>
      <c r="C2380" s="1" t="s">
        <v>30</v>
      </c>
      <c r="D2380" s="1" t="s">
        <v>80</v>
      </c>
      <c r="E2380" s="1" t="s">
        <v>81</v>
      </c>
      <c r="F2380" s="1" t="s">
        <v>88</v>
      </c>
      <c r="G2380" s="1" t="s">
        <v>89</v>
      </c>
      <c r="H2380" s="1">
        <v>322</v>
      </c>
      <c r="I2380" s="1" t="s">
        <v>45</v>
      </c>
      <c r="J2380" s="1">
        <v>17</v>
      </c>
      <c r="K2380" s="1" t="s">
        <v>35</v>
      </c>
      <c r="L2380" s="1">
        <v>57</v>
      </c>
      <c r="M2380" s="1" t="str">
        <f>IF(L2380&lt;=45,"Joven","Mayor")</f>
        <v>Mayor</v>
      </c>
      <c r="N2380" s="1">
        <v>50</v>
      </c>
      <c r="O2380" s="1" t="s">
        <v>36</v>
      </c>
      <c r="P2380" s="1">
        <v>0.35599999999999998</v>
      </c>
      <c r="Q2380" s="1">
        <v>79.575999999999993</v>
      </c>
      <c r="R2380" s="1">
        <v>-10.4206295</v>
      </c>
      <c r="S2380" s="1">
        <v>3.332138</v>
      </c>
      <c r="T2380" s="1">
        <v>7.7504289999999996</v>
      </c>
      <c r="U2380" s="1">
        <v>1.1299999999999999</v>
      </c>
      <c r="V2380" s="1">
        <v>141</v>
      </c>
      <c r="W2380" s="1">
        <v>246</v>
      </c>
      <c r="X2380" s="1">
        <v>1.7446808510638299</v>
      </c>
      <c r="Y2380" s="1">
        <v>156</v>
      </c>
      <c r="Z2380" s="1">
        <v>246</v>
      </c>
      <c r="AA2380" s="1">
        <v>1.5769230769230769</v>
      </c>
      <c r="AB2380" s="1">
        <v>147.8320050091215</v>
      </c>
      <c r="AC2380" s="1">
        <v>244.29219576364989</v>
      </c>
      <c r="AD2380" s="1">
        <v>1.6524986977520639</v>
      </c>
      <c r="AE2380" t="s">
        <v>4817</v>
      </c>
      <c r="AF2380" t="str">
        <f>IF(X2380&lt;$AF$1,"Bajo","Alto")</f>
        <v>Bajo</v>
      </c>
      <c r="AG2380" t="str">
        <f>LEFT(AE2380,1)</f>
        <v>C</v>
      </c>
      <c r="AH2380" t="str">
        <f>K2380</f>
        <v>M</v>
      </c>
      <c r="AI2380" t="str">
        <f>LEFT(AF2380,1)</f>
        <v>B</v>
      </c>
      <c r="AJ2380" t="str">
        <f>LEFT(M2380,1)</f>
        <v>M</v>
      </c>
      <c r="AK2380" t="str">
        <f>_xlfn.CONCAT(AG2380,AH2380,AI2380,AJ2380)</f>
        <v>CMBM</v>
      </c>
    </row>
    <row r="2381" spans="1:37" ht="15.75" hidden="1" customHeight="1" x14ac:dyDescent="0.2">
      <c r="A2381" s="1">
        <v>259401</v>
      </c>
      <c r="B2381" s="1" t="s">
        <v>3169</v>
      </c>
      <c r="C2381" s="1" t="s">
        <v>821</v>
      </c>
      <c r="D2381" s="1" t="s">
        <v>549</v>
      </c>
      <c r="E2381" s="1" t="s">
        <v>775</v>
      </c>
      <c r="F2381" s="1" t="s">
        <v>32</v>
      </c>
      <c r="G2381" s="1" t="s">
        <v>3351</v>
      </c>
      <c r="H2381" s="1">
        <v>2506</v>
      </c>
      <c r="I2381" s="1" t="s">
        <v>65</v>
      </c>
      <c r="J2381" s="1">
        <v>2</v>
      </c>
      <c r="K2381" s="1" t="s">
        <v>35</v>
      </c>
      <c r="L2381" s="1">
        <v>40</v>
      </c>
      <c r="M2381" s="1" t="str">
        <f>IF(L2381&lt;=45,"Joven","Mayor")</f>
        <v>Joven</v>
      </c>
      <c r="N2381" s="1">
        <v>45</v>
      </c>
      <c r="O2381" s="1" t="s">
        <v>36</v>
      </c>
      <c r="P2381" s="1">
        <v>0.39600000000000002</v>
      </c>
      <c r="Q2381" s="1">
        <v>92.034999999999997</v>
      </c>
      <c r="R2381" s="1">
        <v>4.3361660000000004</v>
      </c>
      <c r="S2381" s="1">
        <v>-0.81283689999999997</v>
      </c>
      <c r="T2381" s="1">
        <v>-1.2110382</v>
      </c>
      <c r="U2381" s="1">
        <v>18.54</v>
      </c>
      <c r="V2381" s="1">
        <v>113</v>
      </c>
      <c r="W2381" s="1">
        <v>203</v>
      </c>
      <c r="X2381" s="1">
        <v>1.7964601769911503</v>
      </c>
      <c r="Y2381" s="1">
        <v>120</v>
      </c>
      <c r="Z2381" s="1">
        <v>203</v>
      </c>
      <c r="AA2381" s="1">
        <v>1.6916666666666667</v>
      </c>
      <c r="AB2381" s="1">
        <v>120.9876770847309</v>
      </c>
      <c r="AC2381" s="1">
        <v>202.74330564970569</v>
      </c>
      <c r="AD2381" s="1">
        <v>1.6757351701836471</v>
      </c>
      <c r="AE2381" t="s">
        <v>4817</v>
      </c>
      <c r="AF2381" t="str">
        <f>IF(X2381&lt;$AF$1,"Bajo","Alto")</f>
        <v>Alto</v>
      </c>
      <c r="AG2381" t="str">
        <f>LEFT(AE2381,1)</f>
        <v>C</v>
      </c>
      <c r="AH2381" t="str">
        <f>K2381</f>
        <v>M</v>
      </c>
      <c r="AI2381" t="str">
        <f>LEFT(AF2381,1)</f>
        <v>A</v>
      </c>
      <c r="AJ2381" t="str">
        <f>LEFT(M2381,1)</f>
        <v>J</v>
      </c>
      <c r="AK2381" t="str">
        <f>_xlfn.CONCAT(AG2381,AH2381,AI2381,AJ2381)</f>
        <v>CMAJ</v>
      </c>
    </row>
    <row r="2382" spans="1:37" ht="15.75" hidden="1" customHeight="1" x14ac:dyDescent="0.2">
      <c r="A2382" s="1">
        <v>197003</v>
      </c>
      <c r="B2382" s="1" t="s">
        <v>2656</v>
      </c>
      <c r="C2382" s="1" t="s">
        <v>323</v>
      </c>
      <c r="D2382" s="1" t="s">
        <v>2780</v>
      </c>
      <c r="E2382" s="1" t="s">
        <v>720</v>
      </c>
      <c r="F2382" s="1" t="s">
        <v>63</v>
      </c>
      <c r="G2382" s="1" t="s">
        <v>2783</v>
      </c>
      <c r="H2382" s="1">
        <v>3941</v>
      </c>
      <c r="I2382" s="1" t="s">
        <v>42</v>
      </c>
      <c r="J2382" s="1">
        <v>15</v>
      </c>
      <c r="K2382" s="1" t="s">
        <v>35</v>
      </c>
      <c r="L2382" s="1">
        <v>50</v>
      </c>
      <c r="M2382" s="1" t="str">
        <f>IF(L2382&lt;=45,"Joven","Mayor")</f>
        <v>Mayor</v>
      </c>
      <c r="N2382" s="1">
        <v>59</v>
      </c>
      <c r="O2382" s="1" t="s">
        <v>36</v>
      </c>
      <c r="P2382" s="1">
        <v>0.126</v>
      </c>
      <c r="Q2382" s="1">
        <v>91.733999999999995</v>
      </c>
      <c r="R2382" s="1">
        <v>4.0212855000000003</v>
      </c>
      <c r="S2382" s="1">
        <v>-3.4769589999999999</v>
      </c>
      <c r="T2382" s="1">
        <v>-2.6997353999999998</v>
      </c>
      <c r="U2382" s="1">
        <v>10.135999999999999</v>
      </c>
      <c r="V2382" s="1">
        <v>92</v>
      </c>
      <c r="W2382" s="1">
        <v>165</v>
      </c>
      <c r="X2382" s="1">
        <v>1.7934782608695652</v>
      </c>
      <c r="Y2382" s="1">
        <v>96</v>
      </c>
      <c r="Z2382" s="1">
        <v>165</v>
      </c>
      <c r="AA2382" s="1">
        <v>1.71875</v>
      </c>
      <c r="AB2382" s="1">
        <v>94.056477209482182</v>
      </c>
      <c r="AC2382" s="1">
        <v>165.1465781256297</v>
      </c>
      <c r="AD2382" s="1">
        <v>1.7558235543716565</v>
      </c>
      <c r="AE2382" t="s">
        <v>4817</v>
      </c>
      <c r="AF2382" t="str">
        <f>IF(X2382&lt;$AF$1,"Bajo","Alto")</f>
        <v>Alto</v>
      </c>
      <c r="AG2382" t="str">
        <f>LEFT(AE2382,1)</f>
        <v>C</v>
      </c>
      <c r="AH2382" t="str">
        <f>K2382</f>
        <v>M</v>
      </c>
      <c r="AI2382" t="str">
        <f>LEFT(AF2382,1)</f>
        <v>A</v>
      </c>
      <c r="AJ2382" t="str">
        <f>LEFT(M2382,1)</f>
        <v>M</v>
      </c>
      <c r="AK2382" t="str">
        <f>_xlfn.CONCAT(AG2382,AH2382,AI2382,AJ2382)</f>
        <v>CMAM</v>
      </c>
    </row>
    <row r="2383" spans="1:37" ht="15.75" hidden="1" customHeight="1" x14ac:dyDescent="0.2">
      <c r="A2383" s="1">
        <v>10119002</v>
      </c>
      <c r="B2383" s="1" t="s">
        <v>29</v>
      </c>
      <c r="C2383" s="1" t="s">
        <v>30</v>
      </c>
      <c r="D2383" s="1" t="s">
        <v>319</v>
      </c>
      <c r="E2383" s="1" t="s">
        <v>320</v>
      </c>
      <c r="F2383" s="1" t="s">
        <v>37</v>
      </c>
      <c r="G2383" s="1" t="s">
        <v>321</v>
      </c>
      <c r="H2383" s="1">
        <v>1120</v>
      </c>
      <c r="I2383" s="1" t="s">
        <v>91</v>
      </c>
      <c r="J2383" s="1">
        <v>6</v>
      </c>
      <c r="K2383" s="1" t="s">
        <v>35</v>
      </c>
      <c r="L2383" s="1">
        <v>50</v>
      </c>
      <c r="M2383" s="1" t="str">
        <f>IF(L2383&lt;=45,"Joven","Mayor")</f>
        <v>Mayor</v>
      </c>
      <c r="N2383" s="1">
        <v>47</v>
      </c>
      <c r="O2383" s="1" t="s">
        <v>36</v>
      </c>
      <c r="P2383" s="1">
        <v>0.309</v>
      </c>
      <c r="Q2383" s="1">
        <v>94.736999999999995</v>
      </c>
      <c r="R2383" s="1">
        <v>-0.15182571</v>
      </c>
      <c r="S2383" s="1">
        <v>0.96446710000000002</v>
      </c>
      <c r="T2383" s="1">
        <v>-1.4225466</v>
      </c>
      <c r="U2383" s="1">
        <v>0.79300000000000004</v>
      </c>
      <c r="V2383" s="1">
        <v>94</v>
      </c>
      <c r="W2383" s="1">
        <v>164</v>
      </c>
      <c r="X2383" s="1">
        <v>1.7446808510638299</v>
      </c>
      <c r="Y2383" s="1">
        <v>96</v>
      </c>
      <c r="Z2383" s="1">
        <v>164</v>
      </c>
      <c r="AA2383" s="1">
        <v>1.7083333333333333</v>
      </c>
      <c r="AB2383" s="1">
        <v>96.963435456820662</v>
      </c>
      <c r="AC2383" s="1">
        <v>163.92462930300101</v>
      </c>
      <c r="AD2383" s="1">
        <v>1.690581903690894</v>
      </c>
      <c r="AE2383" t="s">
        <v>4817</v>
      </c>
      <c r="AF2383" t="str">
        <f>IF(X2383&lt;$AF$1,"Bajo","Alto")</f>
        <v>Bajo</v>
      </c>
      <c r="AG2383" t="str">
        <f>LEFT(AE2383,1)</f>
        <v>C</v>
      </c>
      <c r="AH2383" t="str">
        <f>K2383</f>
        <v>M</v>
      </c>
      <c r="AI2383" t="str">
        <f>LEFT(AF2383,1)</f>
        <v>B</v>
      </c>
      <c r="AJ2383" t="str">
        <f>LEFT(M2383,1)</f>
        <v>M</v>
      </c>
      <c r="AK2383" t="str">
        <f>_xlfn.CONCAT(AG2383,AH2383,AI2383,AJ2383)</f>
        <v>CMBM</v>
      </c>
    </row>
    <row r="2384" spans="1:37" ht="15.75" hidden="1" customHeight="1" x14ac:dyDescent="0.2">
      <c r="A2384" s="1">
        <v>294304</v>
      </c>
      <c r="B2384" s="1" t="s">
        <v>3890</v>
      </c>
      <c r="C2384" s="1" t="s">
        <v>1695</v>
      </c>
      <c r="D2384" s="1" t="s">
        <v>4011</v>
      </c>
      <c r="E2384" s="1" t="s">
        <v>665</v>
      </c>
      <c r="F2384" s="1" t="s">
        <v>61</v>
      </c>
      <c r="G2384" s="1" t="s">
        <v>4015</v>
      </c>
      <c r="H2384" s="1">
        <v>2058</v>
      </c>
      <c r="I2384" s="1" t="s">
        <v>108</v>
      </c>
      <c r="J2384" s="1">
        <v>3</v>
      </c>
      <c r="K2384" s="1" t="s">
        <v>35</v>
      </c>
      <c r="L2384" s="1">
        <v>41</v>
      </c>
      <c r="M2384" s="1" t="str">
        <f>IF(L2384&lt;=45,"Joven","Mayor")</f>
        <v>Joven</v>
      </c>
      <c r="N2384" s="1">
        <v>40</v>
      </c>
      <c r="O2384" s="1" t="s">
        <v>36</v>
      </c>
      <c r="P2384" s="1">
        <v>0.36799999999999999</v>
      </c>
      <c r="Q2384" s="1">
        <v>93.894999999999996</v>
      </c>
      <c r="R2384" s="1">
        <v>1.5515703999999999</v>
      </c>
      <c r="S2384" s="1">
        <v>1.8026141</v>
      </c>
      <c r="T2384" s="1">
        <v>1.6219399000000001</v>
      </c>
      <c r="U2384" s="1">
        <v>10.092000000000001</v>
      </c>
      <c r="V2384" s="1">
        <v>103</v>
      </c>
      <c r="W2384" s="1">
        <v>185</v>
      </c>
      <c r="X2384" s="1">
        <v>1.796116504854369</v>
      </c>
      <c r="Y2384" s="1">
        <v>105</v>
      </c>
      <c r="Z2384" s="1">
        <v>185</v>
      </c>
      <c r="AA2384" s="1">
        <v>1.7619047619047619</v>
      </c>
      <c r="AB2384" s="1">
        <v>104.3739535831451</v>
      </c>
      <c r="AC2384" s="1">
        <v>185.0674017862957</v>
      </c>
      <c r="AD2384" s="1">
        <v>1.7731186319283152</v>
      </c>
      <c r="AE2384" t="s">
        <v>4817</v>
      </c>
      <c r="AF2384" t="str">
        <f>IF(X2384&lt;$AF$1,"Bajo","Alto")</f>
        <v>Alto</v>
      </c>
      <c r="AG2384" t="str">
        <f>LEFT(AE2384,1)</f>
        <v>C</v>
      </c>
      <c r="AH2384" t="str">
        <f>K2384</f>
        <v>M</v>
      </c>
      <c r="AI2384" t="str">
        <f>LEFT(AF2384,1)</f>
        <v>A</v>
      </c>
      <c r="AJ2384" t="str">
        <f>LEFT(M2384,1)</f>
        <v>J</v>
      </c>
      <c r="AK2384" t="str">
        <f>_xlfn.CONCAT(AG2384,AH2384,AI2384,AJ2384)</f>
        <v>CMAJ</v>
      </c>
    </row>
    <row r="2385" spans="1:37" ht="15.75" hidden="1" customHeight="1" x14ac:dyDescent="0.2">
      <c r="A2385" s="1">
        <v>10711202</v>
      </c>
      <c r="B2385" s="1" t="s">
        <v>1067</v>
      </c>
      <c r="C2385" s="1" t="s">
        <v>1068</v>
      </c>
      <c r="D2385" s="1" t="s">
        <v>1110</v>
      </c>
      <c r="E2385" s="1" t="s">
        <v>106</v>
      </c>
      <c r="F2385" s="1" t="s">
        <v>37</v>
      </c>
      <c r="G2385" s="1" t="s">
        <v>1112</v>
      </c>
      <c r="H2385" s="1">
        <v>5</v>
      </c>
      <c r="I2385" s="1" t="s">
        <v>294</v>
      </c>
      <c r="J2385" s="1">
        <v>16</v>
      </c>
      <c r="K2385" s="1" t="s">
        <v>35</v>
      </c>
      <c r="L2385" s="1">
        <v>39</v>
      </c>
      <c r="M2385" s="1" t="str">
        <f>IF(L2385&lt;=45,"Joven","Mayor")</f>
        <v>Joven</v>
      </c>
      <c r="N2385" s="1">
        <v>40</v>
      </c>
      <c r="O2385" s="1" t="s">
        <v>36</v>
      </c>
      <c r="P2385" s="1">
        <v>0.376</v>
      </c>
      <c r="Q2385" s="1">
        <v>93.995999999999995</v>
      </c>
      <c r="R2385" s="1">
        <v>0.24105272999999999</v>
      </c>
      <c r="S2385" s="1">
        <v>4.4103120000000002</v>
      </c>
      <c r="T2385" s="1">
        <v>-2.0482360000000002</v>
      </c>
      <c r="U2385" s="1">
        <v>9.6460000000000008</v>
      </c>
      <c r="V2385" s="1">
        <v>64</v>
      </c>
      <c r="W2385" s="1">
        <v>112</v>
      </c>
      <c r="X2385" s="1">
        <v>1.75</v>
      </c>
      <c r="Y2385" s="1">
        <v>66</v>
      </c>
      <c r="Z2385" s="1">
        <v>112</v>
      </c>
      <c r="AA2385" s="1">
        <v>1.696969696969697</v>
      </c>
      <c r="AB2385" s="1">
        <v>65.102817022602721</v>
      </c>
      <c r="AC2385" s="1">
        <v>111.96418312729379</v>
      </c>
      <c r="AD2385" s="1">
        <v>1.7198055053197085</v>
      </c>
      <c r="AE2385" t="s">
        <v>4817</v>
      </c>
      <c r="AF2385" t="str">
        <f>IF(X2385&lt;$AF$1,"Bajo","Alto")</f>
        <v>Bajo</v>
      </c>
      <c r="AG2385" t="str">
        <f>LEFT(AE2385,1)</f>
        <v>C</v>
      </c>
      <c r="AH2385" t="str">
        <f>K2385</f>
        <v>M</v>
      </c>
      <c r="AI2385" t="str">
        <f>LEFT(AF2385,1)</f>
        <v>B</v>
      </c>
      <c r="AJ2385" t="str">
        <f>LEFT(M2385,1)</f>
        <v>J</v>
      </c>
      <c r="AK2385" t="str">
        <f>_xlfn.CONCAT(AG2385,AH2385,AI2385,AJ2385)</f>
        <v>CMBJ</v>
      </c>
    </row>
    <row r="2386" spans="1:37" ht="15.75" hidden="1" customHeight="1" x14ac:dyDescent="0.2">
      <c r="A2386" s="1">
        <v>2716903</v>
      </c>
      <c r="B2386" s="1" t="s">
        <v>3409</v>
      </c>
      <c r="C2386" s="1" t="s">
        <v>973</v>
      </c>
      <c r="D2386" s="1" t="s">
        <v>3548</v>
      </c>
      <c r="E2386" s="1" t="s">
        <v>279</v>
      </c>
      <c r="F2386" s="1" t="s">
        <v>63</v>
      </c>
      <c r="G2386" s="1" t="s">
        <v>3551</v>
      </c>
      <c r="H2386" s="1">
        <v>201</v>
      </c>
      <c r="I2386" s="1" t="s">
        <v>294</v>
      </c>
      <c r="J2386" s="1">
        <v>16</v>
      </c>
      <c r="K2386" s="1" t="s">
        <v>35</v>
      </c>
      <c r="L2386" s="1">
        <v>48</v>
      </c>
      <c r="M2386" s="1" t="str">
        <f>IF(L2386&lt;=45,"Joven","Mayor")</f>
        <v>Mayor</v>
      </c>
      <c r="N2386" s="1">
        <v>50</v>
      </c>
      <c r="O2386" s="1" t="s">
        <v>36</v>
      </c>
      <c r="P2386" s="1">
        <v>0.35699999999999998</v>
      </c>
      <c r="Q2386" s="1">
        <v>93.573999999999998</v>
      </c>
      <c r="R2386" s="1">
        <v>2.4956426999999999</v>
      </c>
      <c r="S2386" s="1">
        <v>0.4282648</v>
      </c>
      <c r="T2386" s="1">
        <v>0.81805229999999995</v>
      </c>
      <c r="U2386" s="1">
        <v>3.839</v>
      </c>
      <c r="V2386" s="1">
        <v>121</v>
      </c>
      <c r="W2386" s="1">
        <v>217</v>
      </c>
      <c r="X2386" s="1">
        <v>1.7933884297520661</v>
      </c>
      <c r="Y2386" s="1">
        <v>124</v>
      </c>
      <c r="Z2386" s="1">
        <v>217</v>
      </c>
      <c r="AA2386" s="1">
        <v>1.75</v>
      </c>
      <c r="AB2386" s="1">
        <v>123.1878369593685</v>
      </c>
      <c r="AC2386" s="1">
        <v>216.96360511604189</v>
      </c>
      <c r="AD2386" s="1">
        <v>1.7612421036957067</v>
      </c>
      <c r="AE2386" t="s">
        <v>4817</v>
      </c>
      <c r="AF2386" t="str">
        <f>IF(X2386&lt;$AF$1,"Bajo","Alto")</f>
        <v>Alto</v>
      </c>
      <c r="AG2386" t="str">
        <f>LEFT(AE2386,1)</f>
        <v>C</v>
      </c>
      <c r="AH2386" t="str">
        <f>K2386</f>
        <v>M</v>
      </c>
      <c r="AI2386" t="str">
        <f>LEFT(AF2386,1)</f>
        <v>A</v>
      </c>
      <c r="AJ2386" t="str">
        <f>LEFT(M2386,1)</f>
        <v>M</v>
      </c>
      <c r="AK2386" t="str">
        <f>_xlfn.CONCAT(AG2386,AH2386,AI2386,AJ2386)</f>
        <v>CMAM</v>
      </c>
    </row>
    <row r="2387" spans="1:37" ht="15.75" hidden="1" customHeight="1" x14ac:dyDescent="0.2">
      <c r="A2387" s="1">
        <v>170611</v>
      </c>
      <c r="B2387" s="1" t="s">
        <v>2551</v>
      </c>
      <c r="C2387" s="1" t="s">
        <v>2552</v>
      </c>
      <c r="D2387" s="1" t="s">
        <v>2570</v>
      </c>
      <c r="E2387" s="1" t="s">
        <v>88</v>
      </c>
      <c r="F2387" s="1" t="s">
        <v>51</v>
      </c>
      <c r="G2387" s="1" t="s">
        <v>2575</v>
      </c>
      <c r="H2387" s="1">
        <v>850</v>
      </c>
      <c r="I2387" s="1" t="s">
        <v>2576</v>
      </c>
      <c r="J2387" s="1">
        <v>3952</v>
      </c>
      <c r="K2387" s="1" t="s">
        <v>35</v>
      </c>
      <c r="L2387" s="1">
        <v>45</v>
      </c>
      <c r="M2387" s="1" t="str">
        <f>IF(L2387&lt;=45,"Joven","Mayor")</f>
        <v>Joven</v>
      </c>
      <c r="N2387" s="1">
        <v>40</v>
      </c>
      <c r="O2387" s="1" t="s">
        <v>36</v>
      </c>
      <c r="P2387" s="1">
        <v>0.28399999999999997</v>
      </c>
      <c r="Q2387" s="1">
        <v>93.364000000000004</v>
      </c>
      <c r="R2387" s="1">
        <v>0.74489439999999996</v>
      </c>
      <c r="S2387" s="1">
        <v>5.8242839999999996</v>
      </c>
      <c r="T2387" s="1">
        <v>8.1070824999999999E-2</v>
      </c>
      <c r="U2387" s="1">
        <v>4.7590000000000003</v>
      </c>
      <c r="V2387" s="1">
        <v>93</v>
      </c>
      <c r="W2387" s="1">
        <v>167</v>
      </c>
      <c r="X2387" s="1">
        <v>1.7956989247311828</v>
      </c>
      <c r="Y2387" s="1">
        <v>96</v>
      </c>
      <c r="Z2387" s="1">
        <v>167</v>
      </c>
      <c r="AA2387" s="1">
        <v>1.7395833333333333</v>
      </c>
      <c r="AB2387" s="1">
        <v>96.064991707789432</v>
      </c>
      <c r="AC2387" s="1">
        <v>166.99983282538821</v>
      </c>
      <c r="AD2387" s="1">
        <v>1.7384046972425546</v>
      </c>
      <c r="AE2387" t="s">
        <v>4817</v>
      </c>
      <c r="AF2387" t="str">
        <f>IF(X2387&lt;$AF$1,"Bajo","Alto")</f>
        <v>Alto</v>
      </c>
      <c r="AG2387" t="str">
        <f>LEFT(AE2387,1)</f>
        <v>C</v>
      </c>
      <c r="AH2387" t="str">
        <f>K2387</f>
        <v>M</v>
      </c>
      <c r="AI2387" t="str">
        <f>LEFT(AF2387,1)</f>
        <v>A</v>
      </c>
      <c r="AJ2387" t="str">
        <f>LEFT(M2387,1)</f>
        <v>J</v>
      </c>
      <c r="AK2387" t="str">
        <f>_xlfn.CONCAT(AG2387,AH2387,AI2387,AJ2387)</f>
        <v>CMAJ</v>
      </c>
    </row>
    <row r="2388" spans="1:37" ht="15.75" hidden="1" customHeight="1" x14ac:dyDescent="0.2">
      <c r="A2388" s="1">
        <v>2714203</v>
      </c>
      <c r="B2388" s="1" t="s">
        <v>3409</v>
      </c>
      <c r="C2388" s="1" t="s">
        <v>973</v>
      </c>
      <c r="D2388" s="1" t="s">
        <v>3499</v>
      </c>
      <c r="E2388" s="1" t="s">
        <v>181</v>
      </c>
      <c r="F2388" s="1" t="s">
        <v>63</v>
      </c>
      <c r="G2388" s="1" t="s">
        <v>3503</v>
      </c>
      <c r="H2388" s="1">
        <v>1456</v>
      </c>
      <c r="I2388" s="1" t="s">
        <v>3504</v>
      </c>
      <c r="J2388" s="1">
        <v>3758</v>
      </c>
      <c r="K2388" s="1" t="s">
        <v>35</v>
      </c>
      <c r="L2388" s="1">
        <v>35</v>
      </c>
      <c r="M2388" s="1" t="str">
        <f>IF(L2388&lt;=45,"Joven","Mayor")</f>
        <v>Joven</v>
      </c>
      <c r="N2388" s="1">
        <v>33</v>
      </c>
      <c r="O2388" s="1" t="s">
        <v>36</v>
      </c>
      <c r="P2388" s="1">
        <v>0.35899999999999999</v>
      </c>
      <c r="Q2388" s="1">
        <v>92.141000000000005</v>
      </c>
      <c r="R2388" s="1">
        <v>2.2612459999999999</v>
      </c>
      <c r="S2388" s="1">
        <v>6.4630938000000002</v>
      </c>
      <c r="T2388" s="1">
        <v>-4.2757389999999997</v>
      </c>
      <c r="U2388" s="1">
        <v>1.381</v>
      </c>
      <c r="V2388" s="1">
        <v>83</v>
      </c>
      <c r="W2388" s="1">
        <v>149</v>
      </c>
      <c r="X2388" s="1">
        <v>1.7951807228915662</v>
      </c>
      <c r="Y2388" s="1">
        <v>87</v>
      </c>
      <c r="Z2388" s="1">
        <v>149</v>
      </c>
      <c r="AA2388" s="1">
        <v>1.7126436781609196</v>
      </c>
      <c r="AB2388" s="1">
        <v>85.676696423938665</v>
      </c>
      <c r="AC2388" s="1">
        <v>149.40542336626001</v>
      </c>
      <c r="AD2388" s="1">
        <v>1.7438280139442339</v>
      </c>
      <c r="AE2388" t="s">
        <v>4817</v>
      </c>
      <c r="AF2388" t="str">
        <f>IF(X2388&lt;$AF$1,"Bajo","Alto")</f>
        <v>Alto</v>
      </c>
      <c r="AG2388" t="str">
        <f>LEFT(AE2388,1)</f>
        <v>C</v>
      </c>
      <c r="AH2388" t="str">
        <f>K2388</f>
        <v>M</v>
      </c>
      <c r="AI2388" t="str">
        <f>LEFT(AF2388,1)</f>
        <v>A</v>
      </c>
      <c r="AJ2388" t="str">
        <f>LEFT(M2388,1)</f>
        <v>J</v>
      </c>
      <c r="AK2388" t="str">
        <f>_xlfn.CONCAT(AG2388,AH2388,AI2388,AJ2388)</f>
        <v>CMAJ</v>
      </c>
    </row>
    <row r="2389" spans="1:37" ht="15.75" hidden="1" customHeight="1" x14ac:dyDescent="0.2">
      <c r="A2389" s="1">
        <v>1076705</v>
      </c>
      <c r="B2389" s="1" t="s">
        <v>1067</v>
      </c>
      <c r="C2389" s="1" t="s">
        <v>1068</v>
      </c>
      <c r="D2389" s="1" t="s">
        <v>1467</v>
      </c>
      <c r="E2389" s="1" t="s">
        <v>715</v>
      </c>
      <c r="F2389" s="1" t="s">
        <v>40</v>
      </c>
      <c r="G2389" s="1" t="s">
        <v>1472</v>
      </c>
      <c r="H2389" s="1">
        <v>3527</v>
      </c>
      <c r="I2389" s="1" t="s">
        <v>65</v>
      </c>
      <c r="J2389" s="1">
        <v>2</v>
      </c>
      <c r="K2389" s="1" t="s">
        <v>35</v>
      </c>
      <c r="L2389" s="1">
        <v>48</v>
      </c>
      <c r="M2389" s="1" t="str">
        <f>IF(L2389&lt;=45,"Joven","Mayor")</f>
        <v>Mayor</v>
      </c>
      <c r="N2389" s="1">
        <v>48</v>
      </c>
      <c r="O2389" s="1" t="s">
        <v>36</v>
      </c>
      <c r="P2389" s="1">
        <v>0.497</v>
      </c>
      <c r="Q2389" s="1">
        <v>94.093999999999994</v>
      </c>
      <c r="R2389" s="1">
        <v>-0.42408815</v>
      </c>
      <c r="S2389" s="1">
        <v>3.5091176000000002</v>
      </c>
      <c r="T2389" s="1">
        <v>-1.4877548</v>
      </c>
      <c r="U2389" s="1">
        <v>1.3560000000000001</v>
      </c>
      <c r="V2389" s="1">
        <v>82</v>
      </c>
      <c r="W2389" s="1">
        <v>147</v>
      </c>
      <c r="X2389" s="1">
        <v>1.7926829268292683</v>
      </c>
      <c r="Y2389" s="1">
        <v>85</v>
      </c>
      <c r="Z2389" s="1">
        <v>147</v>
      </c>
      <c r="AA2389" s="1">
        <v>1.7294117647058824</v>
      </c>
      <c r="AB2389" s="1">
        <v>83.906850838440278</v>
      </c>
      <c r="AC2389" s="1">
        <v>146.95044580874719</v>
      </c>
      <c r="AD2389" s="1">
        <v>1.7513521761375024</v>
      </c>
      <c r="AE2389" t="s">
        <v>4817</v>
      </c>
      <c r="AF2389" t="str">
        <f>IF(X2389&lt;$AF$1,"Bajo","Alto")</f>
        <v>Alto</v>
      </c>
      <c r="AG2389" t="str">
        <f>LEFT(AE2389,1)</f>
        <v>C</v>
      </c>
      <c r="AH2389" t="str">
        <f>K2389</f>
        <v>M</v>
      </c>
      <c r="AI2389" t="str">
        <f>LEFT(AF2389,1)</f>
        <v>A</v>
      </c>
      <c r="AJ2389" t="str">
        <f>LEFT(M2389,1)</f>
        <v>M</v>
      </c>
      <c r="AK2389" t="str">
        <f>_xlfn.CONCAT(AG2389,AH2389,AI2389,AJ2389)</f>
        <v>CMAM</v>
      </c>
    </row>
    <row r="2390" spans="1:37" ht="15.75" hidden="1" customHeight="1" x14ac:dyDescent="0.2">
      <c r="A2390" s="1">
        <v>130701</v>
      </c>
      <c r="B2390" s="1" t="s">
        <v>956</v>
      </c>
      <c r="C2390" s="1" t="s">
        <v>163</v>
      </c>
      <c r="D2390" s="1" t="s">
        <v>1386</v>
      </c>
      <c r="E2390" s="1" t="s">
        <v>43</v>
      </c>
      <c r="F2390" s="1" t="s">
        <v>32</v>
      </c>
      <c r="G2390" s="1" t="s">
        <v>1959</v>
      </c>
      <c r="H2390" s="1">
        <v>2740</v>
      </c>
      <c r="I2390" s="1" t="s">
        <v>100</v>
      </c>
      <c r="J2390" s="1">
        <v>1</v>
      </c>
      <c r="K2390" s="1" t="s">
        <v>35</v>
      </c>
      <c r="L2390" s="1">
        <v>33</v>
      </c>
      <c r="M2390" s="1" t="str">
        <f>IF(L2390&lt;=45,"Joven","Mayor")</f>
        <v>Joven</v>
      </c>
      <c r="N2390" s="1">
        <v>49</v>
      </c>
      <c r="O2390" s="1" t="s">
        <v>36</v>
      </c>
      <c r="P2390" s="1">
        <v>7.9000000000000001E-2</v>
      </c>
      <c r="Q2390" s="1">
        <v>86.313000000000002</v>
      </c>
      <c r="R2390" s="1">
        <v>4.7743900000000004</v>
      </c>
      <c r="S2390" s="1">
        <v>11.654676</v>
      </c>
      <c r="T2390" s="1">
        <v>-1.1091816000000001</v>
      </c>
      <c r="U2390" s="1">
        <v>2.5089999999999999</v>
      </c>
      <c r="V2390" s="1">
        <v>78</v>
      </c>
      <c r="W2390" s="1">
        <v>140</v>
      </c>
      <c r="X2390" s="1">
        <v>1.7948717948717949</v>
      </c>
      <c r="Y2390" s="1">
        <v>79</v>
      </c>
      <c r="Z2390" s="1">
        <v>140</v>
      </c>
      <c r="AA2390" s="1">
        <v>1.7721518987341771</v>
      </c>
      <c r="AB2390" s="1">
        <v>79.740146018987389</v>
      </c>
      <c r="AC2390" s="1">
        <v>139.91569422212751</v>
      </c>
      <c r="AD2390" s="1">
        <v>1.7546455732450172</v>
      </c>
      <c r="AE2390" t="s">
        <v>4817</v>
      </c>
      <c r="AF2390" t="str">
        <f>IF(X2390&lt;$AF$1,"Bajo","Alto")</f>
        <v>Alto</v>
      </c>
      <c r="AG2390" t="str">
        <f>LEFT(AE2390,1)</f>
        <v>C</v>
      </c>
      <c r="AH2390" t="str">
        <f>K2390</f>
        <v>M</v>
      </c>
      <c r="AI2390" t="str">
        <f>LEFT(AF2390,1)</f>
        <v>A</v>
      </c>
      <c r="AJ2390" t="str">
        <f>LEFT(M2390,1)</f>
        <v>J</v>
      </c>
      <c r="AK2390" t="str">
        <f>_xlfn.CONCAT(AG2390,AH2390,AI2390,AJ2390)</f>
        <v>CMAJ</v>
      </c>
    </row>
    <row r="2391" spans="1:37" ht="15.75" hidden="1" customHeight="1" x14ac:dyDescent="0.2">
      <c r="A2391" s="1">
        <v>441002</v>
      </c>
      <c r="B2391" s="1" t="s">
        <v>4314</v>
      </c>
      <c r="C2391" s="1" t="s">
        <v>995</v>
      </c>
      <c r="D2391" s="1" t="s">
        <v>4344</v>
      </c>
      <c r="E2391" s="1" t="s">
        <v>75</v>
      </c>
      <c r="F2391" s="1" t="s">
        <v>37</v>
      </c>
      <c r="G2391" s="1" t="s">
        <v>4345</v>
      </c>
      <c r="H2391" s="1">
        <v>269</v>
      </c>
      <c r="I2391" s="1" t="s">
        <v>65</v>
      </c>
      <c r="J2391" s="1">
        <v>2</v>
      </c>
      <c r="K2391" s="1" t="s">
        <v>49</v>
      </c>
      <c r="L2391" s="1">
        <v>43</v>
      </c>
      <c r="M2391" s="1" t="str">
        <f>IF(L2391&lt;=45,"Joven","Mayor")</f>
        <v>Joven</v>
      </c>
      <c r="N2391" s="1">
        <v>40</v>
      </c>
      <c r="O2391" s="1" t="s">
        <v>50</v>
      </c>
      <c r="P2391" s="1">
        <v>0.375</v>
      </c>
      <c r="Q2391" s="1">
        <v>90.85</v>
      </c>
      <c r="R2391" s="1">
        <v>3.0038010000000002</v>
      </c>
      <c r="S2391" s="1">
        <v>7.9894786</v>
      </c>
      <c r="T2391" s="1">
        <v>3.68404</v>
      </c>
      <c r="U2391" s="1">
        <v>2.9729999999999999</v>
      </c>
      <c r="V2391" s="1">
        <v>100</v>
      </c>
      <c r="W2391" s="1">
        <v>180</v>
      </c>
      <c r="X2391" s="1">
        <v>1.8</v>
      </c>
      <c r="Y2391" s="1">
        <v>106</v>
      </c>
      <c r="Z2391" s="1">
        <v>180</v>
      </c>
      <c r="AA2391" s="1">
        <v>1.6981132075471699</v>
      </c>
      <c r="AB2391" s="1">
        <v>103.5201067779121</v>
      </c>
      <c r="AC2391" s="1">
        <v>180.07782028113661</v>
      </c>
      <c r="AD2391" s="1">
        <v>1.7395443830778532</v>
      </c>
      <c r="AE2391" t="s">
        <v>4817</v>
      </c>
      <c r="AF2391" t="str">
        <f>IF(X2391&lt;$AF$1,"Bajo","Alto")</f>
        <v>Alto</v>
      </c>
      <c r="AG2391" t="str">
        <f>LEFT(AE2391,1)</f>
        <v>C</v>
      </c>
      <c r="AH2391" t="str">
        <f>K2391</f>
        <v>F</v>
      </c>
      <c r="AI2391" t="str">
        <f>LEFT(AF2391,1)</f>
        <v>A</v>
      </c>
      <c r="AJ2391" t="str">
        <f>LEFT(M2391,1)</f>
        <v>J</v>
      </c>
      <c r="AK2391" t="str">
        <f>_xlfn.CONCAT(AG2391,AH2391,AI2391,AJ2391)</f>
        <v>CFAJ</v>
      </c>
    </row>
    <row r="2392" spans="1:37" ht="15.75" hidden="1" customHeight="1" x14ac:dyDescent="0.2">
      <c r="A2392" s="1">
        <v>10125602</v>
      </c>
      <c r="B2392" s="1" t="s">
        <v>29</v>
      </c>
      <c r="C2392" s="1" t="s">
        <v>30</v>
      </c>
      <c r="D2392" s="1" t="s">
        <v>509</v>
      </c>
      <c r="E2392" s="1" t="s">
        <v>510</v>
      </c>
      <c r="F2392" s="1" t="s">
        <v>37</v>
      </c>
      <c r="G2392" s="1" t="s">
        <v>512</v>
      </c>
      <c r="H2392" s="1">
        <v>4721</v>
      </c>
      <c r="I2392" s="1" t="s">
        <v>513</v>
      </c>
      <c r="J2392" s="1">
        <v>2842</v>
      </c>
      <c r="K2392" s="1" t="s">
        <v>35</v>
      </c>
      <c r="L2392" s="1">
        <v>29</v>
      </c>
      <c r="M2392" s="1" t="str">
        <f>IF(L2392&lt;=45,"Joven","Mayor")</f>
        <v>Joven</v>
      </c>
      <c r="N2392" s="1">
        <v>28</v>
      </c>
      <c r="O2392" s="1" t="s">
        <v>36</v>
      </c>
      <c r="P2392" s="1">
        <v>0.33400000000000002</v>
      </c>
      <c r="Q2392" s="1">
        <v>93.738</v>
      </c>
      <c r="R2392" s="1">
        <v>1.2090765999999999</v>
      </c>
      <c r="S2392" s="1">
        <v>3.4665656</v>
      </c>
      <c r="T2392" s="1">
        <v>4.2003307000000003</v>
      </c>
      <c r="U2392" s="1">
        <v>24.815999999999999</v>
      </c>
      <c r="V2392" s="1">
        <v>102</v>
      </c>
      <c r="W2392" s="1">
        <v>183</v>
      </c>
      <c r="X2392" s="1">
        <v>1.7941176470588236</v>
      </c>
      <c r="Y2392" s="1">
        <v>103</v>
      </c>
      <c r="Z2392" s="1">
        <v>183</v>
      </c>
      <c r="AA2392" s="1">
        <v>1.7766990291262137</v>
      </c>
      <c r="AB2392" s="1">
        <v>105.0952554158937</v>
      </c>
      <c r="AC2392" s="1">
        <v>182.80144778563451</v>
      </c>
      <c r="AD2392" s="1">
        <v>1.7393882060825097</v>
      </c>
      <c r="AE2392" t="s">
        <v>4817</v>
      </c>
      <c r="AF2392" t="str">
        <f>IF(X2392&lt;$AF$1,"Bajo","Alto")</f>
        <v>Alto</v>
      </c>
      <c r="AG2392" t="str">
        <f>LEFT(AE2392,1)</f>
        <v>C</v>
      </c>
      <c r="AH2392" t="str">
        <f>K2392</f>
        <v>M</v>
      </c>
      <c r="AI2392" t="str">
        <f>LEFT(AF2392,1)</f>
        <v>A</v>
      </c>
      <c r="AJ2392" t="str">
        <f>LEFT(M2392,1)</f>
        <v>J</v>
      </c>
      <c r="AK2392" t="str">
        <f>_xlfn.CONCAT(AG2392,AH2392,AI2392,AJ2392)</f>
        <v>CMAJ</v>
      </c>
    </row>
    <row r="2393" spans="1:37" ht="15.75" hidden="1" customHeight="1" x14ac:dyDescent="0.2">
      <c r="A2393" s="1">
        <v>237302</v>
      </c>
      <c r="B2393" s="1" t="s">
        <v>319</v>
      </c>
      <c r="C2393" s="1" t="s">
        <v>1989</v>
      </c>
      <c r="D2393" s="1" t="s">
        <v>3065</v>
      </c>
      <c r="E2393" s="1" t="s">
        <v>1021</v>
      </c>
      <c r="F2393" s="1" t="s">
        <v>37</v>
      </c>
      <c r="G2393" s="1" t="s">
        <v>3067</v>
      </c>
      <c r="H2393" s="1">
        <v>532</v>
      </c>
      <c r="I2393" s="1" t="s">
        <v>93</v>
      </c>
      <c r="J2393" s="1">
        <v>9</v>
      </c>
      <c r="K2393" s="1" t="s">
        <v>35</v>
      </c>
      <c r="L2393" s="1">
        <v>56</v>
      </c>
      <c r="M2393" s="1" t="str">
        <f>IF(L2393&lt;=45,"Joven","Mayor")</f>
        <v>Mayor</v>
      </c>
      <c r="N2393" s="1">
        <v>63</v>
      </c>
      <c r="O2393" s="1" t="s">
        <v>36</v>
      </c>
      <c r="P2393" s="1">
        <v>0.33</v>
      </c>
      <c r="Q2393" s="1">
        <v>92.894000000000005</v>
      </c>
      <c r="R2393" s="1">
        <v>0.5779569</v>
      </c>
      <c r="S2393" s="1">
        <v>7.4187849999999997</v>
      </c>
      <c r="T2393" s="1">
        <v>-3.5286906</v>
      </c>
      <c r="U2393" s="1">
        <v>5.4729999999999999</v>
      </c>
      <c r="V2393" s="1">
        <v>97</v>
      </c>
      <c r="W2393" s="1">
        <v>173</v>
      </c>
      <c r="X2393" s="1">
        <v>1.7835051546391754</v>
      </c>
      <c r="Y2393" s="1">
        <v>97</v>
      </c>
      <c r="Z2393" s="1">
        <v>173</v>
      </c>
      <c r="AA2393" s="1">
        <v>1.7835051546391754</v>
      </c>
      <c r="AB2393" s="1">
        <v>99.955063548605267</v>
      </c>
      <c r="AC2393" s="1">
        <v>172.79510659324021</v>
      </c>
      <c r="AD2393" s="1">
        <v>1.7287278949026421</v>
      </c>
      <c r="AE2393" t="s">
        <v>4815</v>
      </c>
      <c r="AF2393" t="str">
        <f>IF(X2393&lt;$AF$1,"Bajo","Alto")</f>
        <v>Alto</v>
      </c>
      <c r="AG2393" t="str">
        <f>LEFT(AE2393,1)</f>
        <v>I</v>
      </c>
      <c r="AH2393" t="str">
        <f>K2393</f>
        <v>M</v>
      </c>
      <c r="AI2393" t="str">
        <f>LEFT(AF2393,1)</f>
        <v>A</v>
      </c>
      <c r="AJ2393" t="str">
        <f>LEFT(M2393,1)</f>
        <v>M</v>
      </c>
      <c r="AK2393" t="str">
        <f>_xlfn.CONCAT(AG2393,AH2393,AI2393,AJ2393)</f>
        <v>IMAM</v>
      </c>
    </row>
    <row r="2394" spans="1:37" ht="15.75" hidden="1" customHeight="1" x14ac:dyDescent="0.2">
      <c r="A2394" s="1">
        <v>292503</v>
      </c>
      <c r="B2394" s="1" t="s">
        <v>3890</v>
      </c>
      <c r="C2394" s="1" t="s">
        <v>1695</v>
      </c>
      <c r="D2394" s="1" t="s">
        <v>3979</v>
      </c>
      <c r="E2394" s="1" t="s">
        <v>821</v>
      </c>
      <c r="F2394" s="1" t="s">
        <v>63</v>
      </c>
      <c r="G2394" s="1" t="s">
        <v>3980</v>
      </c>
      <c r="H2394" s="1">
        <v>343</v>
      </c>
      <c r="I2394" s="1" t="s">
        <v>42</v>
      </c>
      <c r="J2394" s="1">
        <v>15</v>
      </c>
      <c r="K2394" s="1" t="s">
        <v>35</v>
      </c>
      <c r="L2394" s="1">
        <v>49</v>
      </c>
      <c r="M2394" s="1" t="str">
        <f>IF(L2394&lt;=45,"Joven","Mayor")</f>
        <v>Mayor</v>
      </c>
      <c r="N2394" s="1">
        <v>52</v>
      </c>
      <c r="O2394" s="1" t="s">
        <v>36</v>
      </c>
      <c r="P2394" s="1">
        <v>0.36</v>
      </c>
      <c r="Q2394" s="1">
        <v>92.197000000000003</v>
      </c>
      <c r="R2394" s="1">
        <v>-1.5384761</v>
      </c>
      <c r="S2394" s="1">
        <v>7.6273812999999997</v>
      </c>
      <c r="T2394" s="1">
        <v>0.80478930000000004</v>
      </c>
      <c r="U2394" s="1">
        <v>42.250999999999998</v>
      </c>
      <c r="V2394" s="1">
        <v>94</v>
      </c>
      <c r="W2394" s="1">
        <v>164</v>
      </c>
      <c r="X2394" s="1">
        <v>1.7446808510638299</v>
      </c>
      <c r="Y2394" s="1">
        <v>96</v>
      </c>
      <c r="Z2394" s="1">
        <v>164</v>
      </c>
      <c r="AA2394" s="1">
        <v>1.7083333333333333</v>
      </c>
      <c r="AB2394" s="1">
        <v>95.414653720296656</v>
      </c>
      <c r="AC2394" s="1">
        <v>163.99786772382049</v>
      </c>
      <c r="AD2394" s="1">
        <v>1.7187912058515891</v>
      </c>
      <c r="AE2394" t="s">
        <v>4817</v>
      </c>
      <c r="AF2394" t="str">
        <f>IF(X2394&lt;$AF$1,"Bajo","Alto")</f>
        <v>Bajo</v>
      </c>
      <c r="AG2394" t="str">
        <f>LEFT(AE2394,1)</f>
        <v>C</v>
      </c>
      <c r="AH2394" t="str">
        <f>K2394</f>
        <v>M</v>
      </c>
      <c r="AI2394" t="str">
        <f>LEFT(AF2394,1)</f>
        <v>B</v>
      </c>
      <c r="AJ2394" t="str">
        <f>LEFT(M2394,1)</f>
        <v>M</v>
      </c>
      <c r="AK2394" t="str">
        <f>_xlfn.CONCAT(AG2394,AH2394,AI2394,AJ2394)</f>
        <v>CMBM</v>
      </c>
    </row>
    <row r="2395" spans="1:37" ht="15.75" hidden="1" customHeight="1" x14ac:dyDescent="0.2">
      <c r="A2395" s="1">
        <v>1078804</v>
      </c>
      <c r="B2395" s="1" t="s">
        <v>1067</v>
      </c>
      <c r="C2395" s="1" t="s">
        <v>1068</v>
      </c>
      <c r="D2395" s="1" t="s">
        <v>1511</v>
      </c>
      <c r="E2395" s="1" t="s">
        <v>763</v>
      </c>
      <c r="F2395" s="1" t="s">
        <v>61</v>
      </c>
      <c r="G2395" s="1" t="s">
        <v>1514</v>
      </c>
      <c r="H2395" s="1">
        <v>804</v>
      </c>
      <c r="I2395" s="1" t="s">
        <v>134</v>
      </c>
      <c r="J2395" s="1">
        <v>8</v>
      </c>
      <c r="K2395" s="1" t="s">
        <v>35</v>
      </c>
      <c r="L2395" s="1">
        <v>37</v>
      </c>
      <c r="M2395" s="1" t="str">
        <f>IF(L2395&lt;=45,"Joven","Mayor")</f>
        <v>Joven</v>
      </c>
      <c r="N2395" s="1">
        <v>37</v>
      </c>
      <c r="O2395" s="1" t="s">
        <v>36</v>
      </c>
      <c r="P2395" s="1">
        <v>0.379</v>
      </c>
      <c r="Q2395" s="1">
        <v>90.61</v>
      </c>
      <c r="R2395" s="1">
        <v>3.7686985000000002</v>
      </c>
      <c r="S2395" s="1">
        <v>6.9317174000000001</v>
      </c>
      <c r="T2395" s="1">
        <v>-3.1894767000000002</v>
      </c>
      <c r="U2395" s="1">
        <v>82.304000000000002</v>
      </c>
      <c r="V2395" s="1">
        <v>68</v>
      </c>
      <c r="W2395" s="1">
        <v>122</v>
      </c>
      <c r="X2395" s="1">
        <v>1.7941176470588236</v>
      </c>
      <c r="Y2395" s="1">
        <v>68</v>
      </c>
      <c r="Z2395" s="1">
        <v>122</v>
      </c>
      <c r="AA2395" s="1">
        <v>1.7941176470588236</v>
      </c>
      <c r="AB2395" s="1">
        <v>69.61944984111733</v>
      </c>
      <c r="AC2395" s="1">
        <v>121.9779363563857</v>
      </c>
      <c r="AD2395" s="1">
        <v>1.7520669386896732</v>
      </c>
      <c r="AE2395" t="s">
        <v>4817</v>
      </c>
      <c r="AF2395" t="str">
        <f>IF(X2395&lt;$AF$1,"Bajo","Alto")</f>
        <v>Alto</v>
      </c>
      <c r="AG2395" t="str">
        <f>LEFT(AE2395,1)</f>
        <v>C</v>
      </c>
      <c r="AH2395" t="str">
        <f>K2395</f>
        <v>M</v>
      </c>
      <c r="AI2395" t="str">
        <f>LEFT(AF2395,1)</f>
        <v>A</v>
      </c>
      <c r="AJ2395" t="str">
        <f>LEFT(M2395,1)</f>
        <v>J</v>
      </c>
      <c r="AK2395" t="str">
        <f>_xlfn.CONCAT(AG2395,AH2395,AI2395,AJ2395)</f>
        <v>CMAJ</v>
      </c>
    </row>
    <row r="2396" spans="1:37" ht="15.75" hidden="1" customHeight="1" x14ac:dyDescent="0.2">
      <c r="A2396" s="1">
        <v>10720501</v>
      </c>
      <c r="B2396" s="1" t="s">
        <v>1067</v>
      </c>
      <c r="C2396" s="1" t="s">
        <v>1068</v>
      </c>
      <c r="D2396" s="1" t="s">
        <v>1216</v>
      </c>
      <c r="E2396" s="1" t="s">
        <v>364</v>
      </c>
      <c r="F2396" s="1" t="s">
        <v>32</v>
      </c>
      <c r="G2396" s="1" t="s">
        <v>1217</v>
      </c>
      <c r="H2396" s="1">
        <v>23</v>
      </c>
      <c r="I2396" s="1" t="s">
        <v>65</v>
      </c>
      <c r="J2396" s="1">
        <v>2</v>
      </c>
      <c r="K2396" s="1" t="s">
        <v>35</v>
      </c>
      <c r="L2396" s="1">
        <v>57</v>
      </c>
      <c r="M2396" s="1" t="str">
        <f>IF(L2396&lt;=45,"Joven","Mayor")</f>
        <v>Mayor</v>
      </c>
      <c r="N2396" s="1">
        <v>62</v>
      </c>
      <c r="O2396" s="1" t="s">
        <v>36</v>
      </c>
      <c r="P2396" s="1">
        <v>0.34599999999999997</v>
      </c>
      <c r="Q2396" s="1">
        <v>92.046999999999997</v>
      </c>
      <c r="R2396" s="1">
        <v>2.8424957000000002</v>
      </c>
      <c r="S2396" s="1">
        <v>-5.4891315000000001</v>
      </c>
      <c r="T2396" s="1">
        <v>-3.6039251999999999</v>
      </c>
      <c r="U2396" s="1">
        <v>19.507000000000001</v>
      </c>
      <c r="V2396" s="1">
        <v>79</v>
      </c>
      <c r="W2396" s="1">
        <v>138</v>
      </c>
      <c r="X2396" s="1">
        <v>1.7468354430379747</v>
      </c>
      <c r="Y2396" s="1">
        <v>79</v>
      </c>
      <c r="Z2396" s="1">
        <v>138</v>
      </c>
      <c r="AA2396" s="1">
        <v>1.7468354430379747</v>
      </c>
      <c r="AB2396" s="1">
        <v>80.98097385519236</v>
      </c>
      <c r="AC2396" s="1">
        <v>137.53851789913011</v>
      </c>
      <c r="AD2396" s="1">
        <v>1.6984053333943869</v>
      </c>
      <c r="AE2396" t="s">
        <v>4817</v>
      </c>
      <c r="AF2396" t="str">
        <f>IF(X2396&lt;$AF$1,"Bajo","Alto")</f>
        <v>Bajo</v>
      </c>
      <c r="AG2396" t="str">
        <f>LEFT(AE2396,1)</f>
        <v>C</v>
      </c>
      <c r="AH2396" t="str">
        <f>K2396</f>
        <v>M</v>
      </c>
      <c r="AI2396" t="str">
        <f>LEFT(AF2396,1)</f>
        <v>B</v>
      </c>
      <c r="AJ2396" t="str">
        <f>LEFT(M2396,1)</f>
        <v>M</v>
      </c>
      <c r="AK2396" t="str">
        <f>_xlfn.CONCAT(AG2396,AH2396,AI2396,AJ2396)</f>
        <v>CMBM</v>
      </c>
    </row>
    <row r="2397" spans="1:37" ht="15.75" hidden="1" customHeight="1" x14ac:dyDescent="0.2">
      <c r="A2397" s="1">
        <v>136101</v>
      </c>
      <c r="B2397" s="1" t="s">
        <v>956</v>
      </c>
      <c r="C2397" s="1" t="s">
        <v>163</v>
      </c>
      <c r="D2397" s="1" t="s">
        <v>2074</v>
      </c>
      <c r="E2397" s="1" t="s">
        <v>701</v>
      </c>
      <c r="F2397" s="1" t="s">
        <v>32</v>
      </c>
      <c r="G2397" s="1" t="s">
        <v>2075</v>
      </c>
      <c r="H2397" s="1">
        <v>9788</v>
      </c>
      <c r="I2397" s="1" t="s">
        <v>100</v>
      </c>
      <c r="J2397" s="1">
        <v>1</v>
      </c>
      <c r="K2397" s="1" t="s">
        <v>35</v>
      </c>
      <c r="L2397" s="1">
        <v>54</v>
      </c>
      <c r="M2397" s="1" t="str">
        <f>IF(L2397&lt;=45,"Joven","Mayor")</f>
        <v>Mayor</v>
      </c>
      <c r="N2397" s="1">
        <v>59</v>
      </c>
      <c r="O2397" s="1" t="s">
        <v>36</v>
      </c>
      <c r="P2397" s="1">
        <v>0.25600000000000001</v>
      </c>
      <c r="Q2397" s="1">
        <v>88.337000000000003</v>
      </c>
      <c r="R2397" s="1">
        <v>6.5254139999999996</v>
      </c>
      <c r="S2397" s="1">
        <v>4.2145624000000002</v>
      </c>
      <c r="T2397" s="1">
        <v>-4.3978653000000003</v>
      </c>
      <c r="U2397" s="1">
        <v>2.6360000000000001</v>
      </c>
      <c r="V2397" s="1">
        <v>106</v>
      </c>
      <c r="W2397" s="1">
        <v>190</v>
      </c>
      <c r="X2397" s="1">
        <v>1.7924528301886793</v>
      </c>
      <c r="Y2397" s="1">
        <v>108</v>
      </c>
      <c r="Z2397" s="1">
        <v>190</v>
      </c>
      <c r="AA2397" s="1">
        <v>1.7592592592592593</v>
      </c>
      <c r="AB2397" s="1">
        <v>109.75203430700211</v>
      </c>
      <c r="AC2397" s="1">
        <v>189.67061152152431</v>
      </c>
      <c r="AD2397" s="1">
        <v>1.7281739943969627</v>
      </c>
      <c r="AE2397" t="s">
        <v>4817</v>
      </c>
      <c r="AF2397" t="str">
        <f>IF(X2397&lt;$AF$1,"Bajo","Alto")</f>
        <v>Alto</v>
      </c>
      <c r="AG2397" t="str">
        <f>LEFT(AE2397,1)</f>
        <v>C</v>
      </c>
      <c r="AH2397" t="str">
        <f>K2397</f>
        <v>M</v>
      </c>
      <c r="AI2397" t="str">
        <f>LEFT(AF2397,1)</f>
        <v>A</v>
      </c>
      <c r="AJ2397" t="str">
        <f>LEFT(M2397,1)</f>
        <v>M</v>
      </c>
      <c r="AK2397" t="str">
        <f>_xlfn.CONCAT(AG2397,AH2397,AI2397,AJ2397)</f>
        <v>CMAM</v>
      </c>
    </row>
    <row r="2398" spans="1:37" ht="15.75" hidden="1" customHeight="1" x14ac:dyDescent="0.2">
      <c r="A2398" s="1">
        <v>10123102</v>
      </c>
      <c r="B2398" s="1" t="s">
        <v>29</v>
      </c>
      <c r="C2398" s="1" t="s">
        <v>30</v>
      </c>
      <c r="D2398" s="1" t="s">
        <v>455</v>
      </c>
      <c r="E2398" s="1" t="s">
        <v>456</v>
      </c>
      <c r="F2398" s="1" t="s">
        <v>37</v>
      </c>
      <c r="G2398" s="1" t="s">
        <v>458</v>
      </c>
      <c r="H2398" s="1">
        <v>469</v>
      </c>
      <c r="I2398" s="1" t="s">
        <v>87</v>
      </c>
      <c r="J2398" s="1">
        <v>14</v>
      </c>
      <c r="K2398" s="1" t="s">
        <v>35</v>
      </c>
      <c r="L2398" s="1">
        <v>34</v>
      </c>
      <c r="M2398" s="1" t="str">
        <f>IF(L2398&lt;=45,"Joven","Mayor")</f>
        <v>Joven</v>
      </c>
      <c r="N2398" s="1">
        <v>43</v>
      </c>
      <c r="O2398" s="1" t="s">
        <v>36</v>
      </c>
      <c r="P2398" s="1">
        <v>0.36399999999999999</v>
      </c>
      <c r="Q2398" s="1">
        <v>93.924000000000007</v>
      </c>
      <c r="R2398" s="1">
        <v>1.3590616</v>
      </c>
      <c r="S2398" s="1">
        <v>2.2013031999999999</v>
      </c>
      <c r="T2398" s="1">
        <v>-0.22546753</v>
      </c>
      <c r="U2398" s="1">
        <v>11.68</v>
      </c>
      <c r="V2398" s="1">
        <v>87</v>
      </c>
      <c r="W2398" s="1">
        <v>150</v>
      </c>
      <c r="X2398" s="1">
        <v>1.7241379310344827</v>
      </c>
      <c r="Y2398" s="1">
        <v>89</v>
      </c>
      <c r="Z2398" s="1">
        <v>150</v>
      </c>
      <c r="AA2398" s="1">
        <v>1.6853932584269662</v>
      </c>
      <c r="AB2398" s="1">
        <v>88.837970135536125</v>
      </c>
      <c r="AC2398" s="1">
        <v>150.01064401743449</v>
      </c>
      <c r="AD2398" s="1">
        <v>1.6885870285934037</v>
      </c>
      <c r="AE2398" t="s">
        <v>4816</v>
      </c>
      <c r="AF2398" t="str">
        <f>IF(X2398&lt;$AF$1,"Bajo","Alto")</f>
        <v>Bajo</v>
      </c>
      <c r="AG2398" t="str">
        <f>LEFT(AE2398,1)</f>
        <v>D</v>
      </c>
      <c r="AH2398" t="str">
        <f>K2398</f>
        <v>M</v>
      </c>
      <c r="AI2398" t="str">
        <f>LEFT(AF2398,1)</f>
        <v>B</v>
      </c>
      <c r="AJ2398" t="str">
        <f>LEFT(M2398,1)</f>
        <v>J</v>
      </c>
      <c r="AK2398" t="str">
        <f>_xlfn.CONCAT(AG2398,AH2398,AI2398,AJ2398)</f>
        <v>DMBJ</v>
      </c>
    </row>
    <row r="2399" spans="1:37" ht="15.75" hidden="1" customHeight="1" x14ac:dyDescent="0.2">
      <c r="A2399" s="1">
        <v>1524105</v>
      </c>
      <c r="B2399" s="1" t="s">
        <v>2077</v>
      </c>
      <c r="C2399" s="1" t="s">
        <v>57</v>
      </c>
      <c r="D2399" s="1" t="s">
        <v>2295</v>
      </c>
      <c r="E2399" s="1" t="s">
        <v>487</v>
      </c>
      <c r="F2399" s="1" t="s">
        <v>40</v>
      </c>
      <c r="G2399" s="1" t="s">
        <v>2298</v>
      </c>
      <c r="H2399" s="1">
        <v>4144</v>
      </c>
      <c r="I2399" s="1" t="s">
        <v>2299</v>
      </c>
      <c r="J2399" s="1">
        <v>4428</v>
      </c>
      <c r="K2399" s="1" t="s">
        <v>49</v>
      </c>
      <c r="L2399" s="1">
        <v>56</v>
      </c>
      <c r="M2399" s="1" t="str">
        <f>IF(L2399&lt;=45,"Joven","Mayor")</f>
        <v>Mayor</v>
      </c>
      <c r="N2399" s="1">
        <v>56</v>
      </c>
      <c r="O2399" s="1" t="s">
        <v>50</v>
      </c>
      <c r="P2399" s="1">
        <v>1.1659999999999999</v>
      </c>
      <c r="Q2399" s="1">
        <v>85.296000000000006</v>
      </c>
      <c r="R2399" s="1">
        <v>7.4542590000000004</v>
      </c>
      <c r="S2399" s="1">
        <v>6.1116032999999996</v>
      </c>
      <c r="T2399" s="1">
        <v>-5.2304639999999996</v>
      </c>
      <c r="U2399" s="1">
        <v>7.2210000000000001</v>
      </c>
      <c r="V2399" s="1">
        <v>99</v>
      </c>
      <c r="W2399" s="1">
        <v>172</v>
      </c>
      <c r="X2399" s="1">
        <v>1.7373737373737375</v>
      </c>
      <c r="Y2399" s="1">
        <v>104</v>
      </c>
      <c r="Z2399" s="1">
        <v>172</v>
      </c>
      <c r="AA2399" s="1">
        <v>1.6538461538461537</v>
      </c>
      <c r="AB2399" s="1">
        <v>103.145874618695</v>
      </c>
      <c r="AC2399" s="1">
        <v>172.01310043791551</v>
      </c>
      <c r="AD2399" s="1">
        <v>1.6676682521119313</v>
      </c>
      <c r="AE2399" t="s">
        <v>4817</v>
      </c>
      <c r="AF2399" t="str">
        <f>IF(X2399&lt;$AF$1,"Bajo","Alto")</f>
        <v>Bajo</v>
      </c>
      <c r="AG2399" t="str">
        <f>LEFT(AE2399,1)</f>
        <v>C</v>
      </c>
      <c r="AH2399" t="str">
        <f>K2399</f>
        <v>F</v>
      </c>
      <c r="AI2399" t="str">
        <f>LEFT(AF2399,1)</f>
        <v>B</v>
      </c>
      <c r="AJ2399" t="str">
        <f>LEFT(M2399,1)</f>
        <v>M</v>
      </c>
      <c r="AK2399" t="str">
        <f>_xlfn.CONCAT(AG2399,AH2399,AI2399,AJ2399)</f>
        <v>CFBM</v>
      </c>
    </row>
    <row r="2400" spans="1:37" ht="15.75" hidden="1" customHeight="1" x14ac:dyDescent="0.2">
      <c r="A2400" s="1">
        <v>263002</v>
      </c>
      <c r="B2400" s="1" t="s">
        <v>3358</v>
      </c>
      <c r="C2400" s="1" t="s">
        <v>968</v>
      </c>
      <c r="D2400" s="1" t="s">
        <v>3383</v>
      </c>
      <c r="E2400" s="1" t="s">
        <v>2381</v>
      </c>
      <c r="F2400" s="1" t="s">
        <v>37</v>
      </c>
      <c r="G2400" s="1" t="s">
        <v>3385</v>
      </c>
      <c r="H2400" s="1">
        <v>161</v>
      </c>
      <c r="I2400" s="1" t="s">
        <v>42</v>
      </c>
      <c r="J2400" s="1">
        <v>15</v>
      </c>
      <c r="K2400" s="1" t="s">
        <v>35</v>
      </c>
      <c r="L2400" s="1">
        <v>51</v>
      </c>
      <c r="M2400" s="1" t="str">
        <f>IF(L2400&lt;=45,"Joven","Mayor")</f>
        <v>Mayor</v>
      </c>
      <c r="N2400" s="1">
        <v>58</v>
      </c>
      <c r="O2400" s="1" t="s">
        <v>36</v>
      </c>
      <c r="P2400" s="1">
        <v>0.36</v>
      </c>
      <c r="Q2400" s="1">
        <v>83.722999999999999</v>
      </c>
      <c r="R2400" s="1">
        <v>8.3661930000000009</v>
      </c>
      <c r="S2400" s="1">
        <v>6.055167</v>
      </c>
      <c r="T2400" s="1">
        <v>-12.196209</v>
      </c>
      <c r="U2400" s="1">
        <v>15.795999999999999</v>
      </c>
      <c r="V2400" s="1">
        <v>87</v>
      </c>
      <c r="W2400" s="1">
        <v>152</v>
      </c>
      <c r="X2400" s="1">
        <v>1.7471264367816093</v>
      </c>
      <c r="Y2400" s="1">
        <v>104</v>
      </c>
      <c r="Z2400" s="1">
        <v>152</v>
      </c>
      <c r="AA2400" s="1">
        <v>1.4615384615384615</v>
      </c>
      <c r="AB2400" s="1">
        <v>96.866966076732979</v>
      </c>
      <c r="AC2400" s="1">
        <v>153.63958392689301</v>
      </c>
      <c r="AD2400" s="1">
        <v>1.5860885309981496</v>
      </c>
      <c r="AE2400" t="s">
        <v>4817</v>
      </c>
      <c r="AF2400" t="str">
        <f>IF(X2400&lt;$AF$1,"Bajo","Alto")</f>
        <v>Bajo</v>
      </c>
      <c r="AG2400" t="str">
        <f>LEFT(AE2400,1)</f>
        <v>C</v>
      </c>
      <c r="AH2400" t="str">
        <f>K2400</f>
        <v>M</v>
      </c>
      <c r="AI2400" t="str">
        <f>LEFT(AF2400,1)</f>
        <v>B</v>
      </c>
      <c r="AJ2400" t="str">
        <f>LEFT(M2400,1)</f>
        <v>M</v>
      </c>
      <c r="AK2400" t="str">
        <f>_xlfn.CONCAT(AG2400,AH2400,AI2400,AJ2400)</f>
        <v>CMBM</v>
      </c>
    </row>
    <row r="2401" spans="1:37" ht="15.75" hidden="1" customHeight="1" x14ac:dyDescent="0.2">
      <c r="A2401" s="1">
        <v>311907</v>
      </c>
      <c r="B2401" s="1" t="s">
        <v>4122</v>
      </c>
      <c r="C2401" s="1" t="s">
        <v>628</v>
      </c>
      <c r="D2401" s="1" t="s">
        <v>4176</v>
      </c>
      <c r="E2401" s="1" t="s">
        <v>323</v>
      </c>
      <c r="F2401" s="1" t="s">
        <v>43</v>
      </c>
      <c r="G2401" s="1" t="s">
        <v>4180</v>
      </c>
      <c r="H2401" s="1">
        <v>21386</v>
      </c>
      <c r="I2401" s="1" t="s">
        <v>4181</v>
      </c>
      <c r="J2401" s="1">
        <v>2167</v>
      </c>
      <c r="K2401" s="1" t="s">
        <v>49</v>
      </c>
      <c r="L2401" s="1">
        <v>50</v>
      </c>
      <c r="M2401" s="1" t="str">
        <f>IF(L2401&lt;=45,"Joven","Mayor")</f>
        <v>Mayor</v>
      </c>
      <c r="N2401" s="1">
        <v>42</v>
      </c>
      <c r="O2401" s="1" t="s">
        <v>50</v>
      </c>
      <c r="P2401" s="1">
        <v>0.26100000000000001</v>
      </c>
      <c r="Q2401" s="1">
        <v>91.935000000000002</v>
      </c>
      <c r="R2401" s="1">
        <v>4.0418105000000004</v>
      </c>
      <c r="S2401" s="1">
        <v>2.5463686000000001</v>
      </c>
      <c r="T2401" s="1">
        <v>7.1730723000000003</v>
      </c>
      <c r="U2401" s="1">
        <v>1.2949999999999999</v>
      </c>
      <c r="V2401" s="1">
        <v>97</v>
      </c>
      <c r="W2401" s="1">
        <v>172</v>
      </c>
      <c r="X2401" s="1">
        <v>1.7731958762886597</v>
      </c>
      <c r="Y2401" s="1">
        <v>114</v>
      </c>
      <c r="Z2401" s="1">
        <v>172</v>
      </c>
      <c r="AA2401" s="1">
        <v>1.5087719298245614</v>
      </c>
      <c r="AB2401" s="1">
        <v>108.4877013861108</v>
      </c>
      <c r="AC2401" s="1">
        <v>174.0252488361298</v>
      </c>
      <c r="AD2401" s="1">
        <v>1.6041011710329176</v>
      </c>
      <c r="AE2401" t="s">
        <v>4815</v>
      </c>
      <c r="AF2401" t="str">
        <f>IF(X2401&lt;$AF$1,"Bajo","Alto")</f>
        <v>Alto</v>
      </c>
      <c r="AG2401" t="str">
        <f>LEFT(AE2401,1)</f>
        <v>I</v>
      </c>
      <c r="AH2401" t="str">
        <f>K2401</f>
        <v>F</v>
      </c>
      <c r="AI2401" t="str">
        <f>LEFT(AF2401,1)</f>
        <v>A</v>
      </c>
      <c r="AJ2401" t="str">
        <f>LEFT(M2401,1)</f>
        <v>M</v>
      </c>
      <c r="AK2401" t="str">
        <f>_xlfn.CONCAT(AG2401,AH2401,AI2401,AJ2401)</f>
        <v>IFAM</v>
      </c>
    </row>
    <row r="2402" spans="1:37" ht="15.75" hidden="1" customHeight="1" x14ac:dyDescent="0.2">
      <c r="A2402" s="1">
        <v>10722603</v>
      </c>
      <c r="B2402" s="1" t="s">
        <v>1067</v>
      </c>
      <c r="C2402" s="1" t="s">
        <v>1068</v>
      </c>
      <c r="D2402" s="1" t="s">
        <v>1245</v>
      </c>
      <c r="E2402" s="1" t="s">
        <v>431</v>
      </c>
      <c r="F2402" s="1" t="s">
        <v>63</v>
      </c>
      <c r="G2402" s="1" t="s">
        <v>1247</v>
      </c>
      <c r="H2402" s="1">
        <v>2080</v>
      </c>
      <c r="I2402" s="1" t="s">
        <v>48</v>
      </c>
      <c r="J2402" s="1">
        <v>4</v>
      </c>
      <c r="K2402" s="1" t="s">
        <v>35</v>
      </c>
      <c r="L2402" s="1">
        <v>39</v>
      </c>
      <c r="M2402" s="1" t="str">
        <f>IF(L2402&lt;=45,"Joven","Mayor")</f>
        <v>Joven</v>
      </c>
      <c r="N2402" s="1">
        <v>40</v>
      </c>
      <c r="O2402" s="1" t="s">
        <v>36</v>
      </c>
      <c r="P2402" s="1">
        <v>0.35899999999999999</v>
      </c>
      <c r="Q2402" s="1">
        <v>88.528999999999996</v>
      </c>
      <c r="R2402" s="1">
        <v>6.39351</v>
      </c>
      <c r="S2402" s="1">
        <v>4.14717</v>
      </c>
      <c r="T2402" s="1">
        <v>-10.144757999999999</v>
      </c>
      <c r="U2402" s="1">
        <v>46.246000000000002</v>
      </c>
      <c r="V2402" s="1">
        <v>80</v>
      </c>
      <c r="W2402" s="1">
        <v>140</v>
      </c>
      <c r="X2402" s="1">
        <v>1.75</v>
      </c>
      <c r="Y2402" s="1">
        <v>89</v>
      </c>
      <c r="Z2402" s="1">
        <v>140</v>
      </c>
      <c r="AA2402" s="1">
        <v>1.5730337078651686</v>
      </c>
      <c r="AB2402" s="1">
        <v>87.027650846186589</v>
      </c>
      <c r="AC2402" s="1">
        <v>140.45326038156691</v>
      </c>
      <c r="AD2402" s="1">
        <v>1.613892355083848</v>
      </c>
      <c r="AE2402" t="s">
        <v>4817</v>
      </c>
      <c r="AF2402" t="str">
        <f>IF(X2402&lt;$AF$1,"Bajo","Alto")</f>
        <v>Bajo</v>
      </c>
      <c r="AG2402" t="str">
        <f>LEFT(AE2402,1)</f>
        <v>C</v>
      </c>
      <c r="AH2402" t="str">
        <f>K2402</f>
        <v>M</v>
      </c>
      <c r="AI2402" t="str">
        <f>LEFT(AF2402,1)</f>
        <v>B</v>
      </c>
      <c r="AJ2402" t="str">
        <f>LEFT(M2402,1)</f>
        <v>J</v>
      </c>
      <c r="AK2402" t="str">
        <f>_xlfn.CONCAT(AG2402,AH2402,AI2402,AJ2402)</f>
        <v>CMBJ</v>
      </c>
    </row>
    <row r="2403" spans="1:37" ht="15.75" hidden="1" customHeight="1" x14ac:dyDescent="0.2">
      <c r="A2403" s="1">
        <v>1510304</v>
      </c>
      <c r="B2403" s="1" t="s">
        <v>2077</v>
      </c>
      <c r="C2403" s="1" t="s">
        <v>57</v>
      </c>
      <c r="D2403" s="1" t="s">
        <v>2099</v>
      </c>
      <c r="E2403" s="1" t="s">
        <v>81</v>
      </c>
      <c r="F2403" s="1" t="s">
        <v>61</v>
      </c>
      <c r="G2403" s="1" t="s">
        <v>2103</v>
      </c>
      <c r="H2403" s="1">
        <v>791</v>
      </c>
      <c r="I2403" s="1" t="s">
        <v>2104</v>
      </c>
      <c r="J2403" s="1">
        <v>2997</v>
      </c>
      <c r="K2403" s="1" t="s">
        <v>35</v>
      </c>
      <c r="L2403" s="1">
        <v>44</v>
      </c>
      <c r="M2403" s="1" t="str">
        <f>IF(L2403&lt;=45,"Joven","Mayor")</f>
        <v>Joven</v>
      </c>
      <c r="N2403" s="1">
        <v>56</v>
      </c>
      <c r="O2403" s="1" t="s">
        <v>36</v>
      </c>
      <c r="P2403" s="1">
        <v>0.36799999999999999</v>
      </c>
      <c r="Q2403" s="1">
        <v>94.287999999999997</v>
      </c>
      <c r="R2403" s="1">
        <v>1.3095872</v>
      </c>
      <c r="S2403" s="1">
        <v>0.28010178000000002</v>
      </c>
      <c r="T2403" s="1">
        <v>-6.2199410000000004</v>
      </c>
      <c r="U2403" s="1">
        <v>1.5880000000000001</v>
      </c>
      <c r="V2403" s="1">
        <v>97</v>
      </c>
      <c r="W2403" s="1">
        <v>174</v>
      </c>
      <c r="X2403" s="1">
        <v>1.7938144329896908</v>
      </c>
      <c r="Y2403" s="1">
        <v>105</v>
      </c>
      <c r="Z2403" s="1">
        <v>174</v>
      </c>
      <c r="AA2403" s="1">
        <v>1.6571428571428573</v>
      </c>
      <c r="AB2403" s="1">
        <v>101.9546044895048</v>
      </c>
      <c r="AC2403" s="1">
        <v>174.4925518934692</v>
      </c>
      <c r="AD2403" s="1">
        <v>1.7114729910156381</v>
      </c>
      <c r="AE2403" t="s">
        <v>4817</v>
      </c>
      <c r="AF2403" t="str">
        <f>IF(X2403&lt;$AF$1,"Bajo","Alto")</f>
        <v>Alto</v>
      </c>
      <c r="AG2403" t="str">
        <f>LEFT(AE2403,1)</f>
        <v>C</v>
      </c>
      <c r="AH2403" t="str">
        <f>K2403</f>
        <v>M</v>
      </c>
      <c r="AI2403" t="str">
        <f>LEFT(AF2403,1)</f>
        <v>A</v>
      </c>
      <c r="AJ2403" t="str">
        <f>LEFT(M2403,1)</f>
        <v>J</v>
      </c>
      <c r="AK2403" t="str">
        <f>_xlfn.CONCAT(AG2403,AH2403,AI2403,AJ2403)</f>
        <v>CMAJ</v>
      </c>
    </row>
    <row r="2404" spans="1:37" ht="15.75" hidden="1" customHeight="1" x14ac:dyDescent="0.2">
      <c r="A2404" s="1">
        <v>113103</v>
      </c>
      <c r="B2404" s="1" t="s">
        <v>1648</v>
      </c>
      <c r="C2404" s="1" t="s">
        <v>51</v>
      </c>
      <c r="D2404" s="1" t="s">
        <v>1700</v>
      </c>
      <c r="E2404" s="1" t="s">
        <v>628</v>
      </c>
      <c r="F2404" s="1" t="s">
        <v>63</v>
      </c>
      <c r="G2404" s="1" t="s">
        <v>1703</v>
      </c>
      <c r="H2404" s="1">
        <v>3154</v>
      </c>
      <c r="I2404" s="1" t="s">
        <v>91</v>
      </c>
      <c r="J2404" s="1">
        <v>6</v>
      </c>
      <c r="K2404" s="1" t="s">
        <v>35</v>
      </c>
      <c r="L2404" s="1">
        <v>40</v>
      </c>
      <c r="M2404" s="1" t="str">
        <f>IF(L2404&lt;=45,"Joven","Mayor")</f>
        <v>Joven</v>
      </c>
      <c r="N2404" s="1">
        <v>37</v>
      </c>
      <c r="O2404" s="1" t="s">
        <v>36</v>
      </c>
      <c r="P2404" s="1">
        <v>0.36099999999999999</v>
      </c>
      <c r="Q2404" s="1">
        <v>91.873000000000005</v>
      </c>
      <c r="R2404" s="1">
        <v>3.6710004999999999</v>
      </c>
      <c r="S2404" s="1">
        <v>3.8474224000000001</v>
      </c>
      <c r="T2404" s="1">
        <v>0.72655409999999998</v>
      </c>
      <c r="U2404" s="1">
        <v>42.51</v>
      </c>
      <c r="V2404" s="1">
        <v>92</v>
      </c>
      <c r="W2404" s="1">
        <v>165</v>
      </c>
      <c r="X2404" s="1">
        <v>1.7934782608695652</v>
      </c>
      <c r="Y2404" s="1">
        <v>96</v>
      </c>
      <c r="Z2404" s="1">
        <v>165</v>
      </c>
      <c r="AA2404" s="1">
        <v>1.71875</v>
      </c>
      <c r="AB2404" s="1">
        <v>95.459703923028655</v>
      </c>
      <c r="AC2404" s="1">
        <v>165.1008578295978</v>
      </c>
      <c r="AD2404" s="1">
        <v>1.7295345684575179</v>
      </c>
      <c r="AE2404" t="s">
        <v>4817</v>
      </c>
      <c r="AF2404" t="str">
        <f>IF(X2404&lt;$AF$1,"Bajo","Alto")</f>
        <v>Alto</v>
      </c>
      <c r="AG2404" t="str">
        <f>LEFT(AE2404,1)</f>
        <v>C</v>
      </c>
      <c r="AH2404" t="str">
        <f>K2404</f>
        <v>M</v>
      </c>
      <c r="AI2404" t="str">
        <f>LEFT(AF2404,1)</f>
        <v>A</v>
      </c>
      <c r="AJ2404" t="str">
        <f>LEFT(M2404,1)</f>
        <v>J</v>
      </c>
      <c r="AK2404" t="str">
        <f>_xlfn.CONCAT(AG2404,AH2404,AI2404,AJ2404)</f>
        <v>CMAJ</v>
      </c>
    </row>
    <row r="2405" spans="1:37" ht="15.75" hidden="1" customHeight="1" x14ac:dyDescent="0.2">
      <c r="A2405" s="1">
        <v>1070102</v>
      </c>
      <c r="B2405" s="1" t="s">
        <v>1067</v>
      </c>
      <c r="C2405" s="1" t="s">
        <v>1068</v>
      </c>
      <c r="D2405" s="1" t="s">
        <v>1069</v>
      </c>
      <c r="E2405" s="1" t="s">
        <v>32</v>
      </c>
      <c r="F2405" s="1" t="s">
        <v>37</v>
      </c>
      <c r="G2405" s="1" t="s">
        <v>1070</v>
      </c>
      <c r="H2405" s="1">
        <v>2169</v>
      </c>
      <c r="I2405" s="1" t="s">
        <v>42</v>
      </c>
      <c r="J2405" s="1">
        <v>15</v>
      </c>
      <c r="K2405" s="1" t="s">
        <v>49</v>
      </c>
      <c r="L2405" s="1">
        <v>50</v>
      </c>
      <c r="M2405" s="1" t="str">
        <f>IF(L2405&lt;=45,"Joven","Mayor")</f>
        <v>Mayor</v>
      </c>
      <c r="N2405" s="1">
        <v>49</v>
      </c>
      <c r="O2405" s="1" t="s">
        <v>50</v>
      </c>
      <c r="P2405" s="1">
        <v>1.1859999999999999</v>
      </c>
      <c r="Q2405" s="1">
        <v>92.352999999999994</v>
      </c>
      <c r="R2405" s="1">
        <v>1.5845475</v>
      </c>
      <c r="S2405" s="1">
        <v>-6.5461663999999997</v>
      </c>
      <c r="T2405" s="1">
        <v>-3.6478160000000002</v>
      </c>
      <c r="U2405" s="1">
        <v>48.850999999999999</v>
      </c>
      <c r="V2405" s="1">
        <v>76</v>
      </c>
      <c r="W2405" s="1">
        <v>133</v>
      </c>
      <c r="X2405" s="1">
        <v>1.75</v>
      </c>
      <c r="Y2405" s="1">
        <v>77</v>
      </c>
      <c r="Z2405" s="1">
        <v>133</v>
      </c>
      <c r="AA2405" s="1">
        <v>1.7272727272727273</v>
      </c>
      <c r="AB2405" s="1">
        <v>78.816321723703368</v>
      </c>
      <c r="AC2405" s="1">
        <v>132.47604565334399</v>
      </c>
      <c r="AD2405" s="1">
        <v>1.6808199463779707</v>
      </c>
      <c r="AE2405" t="s">
        <v>4817</v>
      </c>
      <c r="AF2405" t="str">
        <f>IF(X2405&lt;$AF$1,"Bajo","Alto")</f>
        <v>Bajo</v>
      </c>
      <c r="AG2405" t="str">
        <f>LEFT(AE2405,1)</f>
        <v>C</v>
      </c>
      <c r="AH2405" t="str">
        <f>K2405</f>
        <v>F</v>
      </c>
      <c r="AI2405" t="str">
        <f>LEFT(AF2405,1)</f>
        <v>B</v>
      </c>
      <c r="AJ2405" t="str">
        <f>LEFT(M2405,1)</f>
        <v>M</v>
      </c>
      <c r="AK2405" t="str">
        <f>_xlfn.CONCAT(AG2405,AH2405,AI2405,AJ2405)</f>
        <v>CFBM</v>
      </c>
    </row>
    <row r="2406" spans="1:37" ht="15.75" hidden="1" customHeight="1" x14ac:dyDescent="0.2">
      <c r="A2406" s="1">
        <v>10727103</v>
      </c>
      <c r="B2406" s="1" t="s">
        <v>1067</v>
      </c>
      <c r="C2406" s="1" t="s">
        <v>1068</v>
      </c>
      <c r="D2406" s="1" t="s">
        <v>1317</v>
      </c>
      <c r="E2406" s="1" t="s">
        <v>546</v>
      </c>
      <c r="F2406" s="1" t="s">
        <v>63</v>
      </c>
      <c r="G2406" s="1" t="s">
        <v>1319</v>
      </c>
      <c r="H2406" s="1">
        <v>164</v>
      </c>
      <c r="I2406" s="1" t="s">
        <v>42</v>
      </c>
      <c r="J2406" s="1">
        <v>15</v>
      </c>
      <c r="K2406" s="1" t="s">
        <v>49</v>
      </c>
      <c r="L2406" s="1">
        <v>39</v>
      </c>
      <c r="M2406" s="1" t="str">
        <f>IF(L2406&lt;=45,"Joven","Mayor")</f>
        <v>Joven</v>
      </c>
      <c r="N2406" s="1">
        <v>44</v>
      </c>
      <c r="O2406" s="1" t="s">
        <v>50</v>
      </c>
      <c r="P2406" s="1">
        <v>0.34200000000000003</v>
      </c>
      <c r="Q2406" s="1">
        <v>93.299000000000007</v>
      </c>
      <c r="R2406" s="1">
        <v>0.67579599999999995</v>
      </c>
      <c r="S2406" s="1">
        <v>6.1025349999999996</v>
      </c>
      <c r="T2406" s="1">
        <v>1.9120193999999999</v>
      </c>
      <c r="U2406" s="1">
        <v>25.16</v>
      </c>
      <c r="V2406" s="1">
        <v>56</v>
      </c>
      <c r="W2406" s="1">
        <v>98</v>
      </c>
      <c r="X2406" s="1">
        <v>1.75</v>
      </c>
      <c r="Y2406" s="1">
        <v>57</v>
      </c>
      <c r="Z2406" s="1">
        <v>98</v>
      </c>
      <c r="AA2406" s="1">
        <v>1.7192982456140351</v>
      </c>
      <c r="AB2406" s="1">
        <v>56.903036900330562</v>
      </c>
      <c r="AC2406" s="1">
        <v>98.078896756277118</v>
      </c>
      <c r="AD2406" s="1">
        <v>1.7236144518625394</v>
      </c>
      <c r="AE2406" t="s">
        <v>4817</v>
      </c>
      <c r="AF2406" t="str">
        <f>IF(X2406&lt;$AF$1,"Bajo","Alto")</f>
        <v>Bajo</v>
      </c>
      <c r="AG2406" t="str">
        <f>LEFT(AE2406,1)</f>
        <v>C</v>
      </c>
      <c r="AH2406" t="str">
        <f>K2406</f>
        <v>F</v>
      </c>
      <c r="AI2406" t="str">
        <f>LEFT(AF2406,1)</f>
        <v>B</v>
      </c>
      <c r="AJ2406" t="str">
        <f>LEFT(M2406,1)</f>
        <v>J</v>
      </c>
      <c r="AK2406" t="str">
        <f>_xlfn.CONCAT(AG2406,AH2406,AI2406,AJ2406)</f>
        <v>CFBJ</v>
      </c>
    </row>
    <row r="2407" spans="1:37" ht="15.75" hidden="1" customHeight="1" x14ac:dyDescent="0.2">
      <c r="A2407" s="1">
        <v>1523201</v>
      </c>
      <c r="B2407" s="1" t="s">
        <v>2077</v>
      </c>
      <c r="C2407" s="1" t="s">
        <v>57</v>
      </c>
      <c r="D2407" s="1" t="s">
        <v>2275</v>
      </c>
      <c r="E2407" s="1" t="s">
        <v>461</v>
      </c>
      <c r="F2407" s="1" t="s">
        <v>32</v>
      </c>
      <c r="G2407" s="1" t="s">
        <v>2276</v>
      </c>
      <c r="H2407" s="1">
        <v>3455</v>
      </c>
      <c r="I2407" s="1" t="s">
        <v>2277</v>
      </c>
      <c r="J2407" s="1">
        <v>2088</v>
      </c>
      <c r="K2407" s="1" t="s">
        <v>35</v>
      </c>
      <c r="L2407" s="1">
        <v>37</v>
      </c>
      <c r="M2407" s="1" t="str">
        <f>IF(L2407&lt;=45,"Joven","Mayor")</f>
        <v>Joven</v>
      </c>
      <c r="N2407" s="1">
        <v>37</v>
      </c>
      <c r="O2407" s="1" t="s">
        <v>36</v>
      </c>
      <c r="P2407" s="1">
        <v>0.19400000000000001</v>
      </c>
      <c r="Q2407" s="1">
        <v>55.317999999999998</v>
      </c>
      <c r="R2407" s="1">
        <v>15.267716999999999</v>
      </c>
      <c r="S2407" s="1">
        <v>-2.2503936000000002</v>
      </c>
      <c r="T2407" s="1">
        <v>-6.0621960000000001</v>
      </c>
      <c r="U2407" s="1">
        <v>1.224</v>
      </c>
      <c r="V2407" s="1">
        <v>140</v>
      </c>
      <c r="W2407" s="1">
        <v>251</v>
      </c>
      <c r="X2407" s="1">
        <v>1.7928571428571429</v>
      </c>
      <c r="Y2407" s="1">
        <v>148</v>
      </c>
      <c r="Z2407" s="1">
        <v>251</v>
      </c>
      <c r="AA2407" s="1">
        <v>1.6959459459459461</v>
      </c>
      <c r="AB2407" s="1">
        <v>146.1872244337703</v>
      </c>
      <c r="AC2407" s="1">
        <v>249.70197611546249</v>
      </c>
      <c r="AD2407" s="1">
        <v>1.7080971137022254</v>
      </c>
      <c r="AE2407" t="s">
        <v>4817</v>
      </c>
      <c r="AF2407" t="str">
        <f>IF(X2407&lt;$AF$1,"Bajo","Alto")</f>
        <v>Alto</v>
      </c>
      <c r="AG2407" t="str">
        <f>LEFT(AE2407,1)</f>
        <v>C</v>
      </c>
      <c r="AH2407" t="str">
        <f>K2407</f>
        <v>M</v>
      </c>
      <c r="AI2407" t="str">
        <f>LEFT(AF2407,1)</f>
        <v>A</v>
      </c>
      <c r="AJ2407" t="str">
        <f>LEFT(M2407,1)</f>
        <v>J</v>
      </c>
      <c r="AK2407" t="str">
        <f>_xlfn.CONCAT(AG2407,AH2407,AI2407,AJ2407)</f>
        <v>CMAJ</v>
      </c>
    </row>
    <row r="2408" spans="1:37" ht="15.75" hidden="1" customHeight="1" x14ac:dyDescent="0.2">
      <c r="A2408" s="1">
        <v>233102</v>
      </c>
      <c r="B2408" s="1" t="s">
        <v>319</v>
      </c>
      <c r="C2408" s="1" t="s">
        <v>1989</v>
      </c>
      <c r="D2408" s="1" t="s">
        <v>956</v>
      </c>
      <c r="E2408" s="1" t="s">
        <v>628</v>
      </c>
      <c r="F2408" s="1" t="s">
        <v>37</v>
      </c>
      <c r="G2408" s="1" t="s">
        <v>3017</v>
      </c>
      <c r="H2408" s="1">
        <v>3216</v>
      </c>
      <c r="I2408" s="1" t="s">
        <v>3018</v>
      </c>
      <c r="J2408" s="1">
        <v>2062</v>
      </c>
      <c r="K2408" s="1" t="s">
        <v>35</v>
      </c>
      <c r="L2408" s="1">
        <v>38</v>
      </c>
      <c r="M2408" s="1" t="str">
        <f>IF(L2408&lt;=45,"Joven","Mayor")</f>
        <v>Joven</v>
      </c>
      <c r="N2408" s="1">
        <v>45</v>
      </c>
      <c r="O2408" s="1" t="s">
        <v>36</v>
      </c>
      <c r="P2408" s="1">
        <v>8.3000000000000004E-2</v>
      </c>
      <c r="Q2408" s="1">
        <v>93.814999999999998</v>
      </c>
      <c r="R2408" s="1">
        <v>1.529684</v>
      </c>
      <c r="S2408" s="1">
        <v>2.5926125</v>
      </c>
      <c r="T2408" s="1">
        <v>-1.6168503000000001</v>
      </c>
      <c r="U2408" s="1">
        <v>71.06</v>
      </c>
      <c r="V2408" s="1">
        <v>110</v>
      </c>
      <c r="W2408" s="1">
        <v>192</v>
      </c>
      <c r="X2408" s="1">
        <v>1.7454545454545454</v>
      </c>
      <c r="Y2408" s="1">
        <v>110</v>
      </c>
      <c r="Z2408" s="1">
        <v>192</v>
      </c>
      <c r="AA2408" s="1">
        <v>1.7454545454545454</v>
      </c>
      <c r="AB2408" s="1">
        <v>111.310554198302</v>
      </c>
      <c r="AC2408" s="1">
        <v>192.03641963176321</v>
      </c>
      <c r="AD2408" s="1">
        <v>1.7252310081005118</v>
      </c>
      <c r="AE2408" t="s">
        <v>4815</v>
      </c>
      <c r="AF2408" t="str">
        <f>IF(X2408&lt;$AF$1,"Bajo","Alto")</f>
        <v>Bajo</v>
      </c>
      <c r="AG2408" t="str">
        <f>LEFT(AE2408,1)</f>
        <v>I</v>
      </c>
      <c r="AH2408" t="str">
        <f>K2408</f>
        <v>M</v>
      </c>
      <c r="AI2408" t="str">
        <f>LEFT(AF2408,1)</f>
        <v>B</v>
      </c>
      <c r="AJ2408" t="str">
        <f>LEFT(M2408,1)</f>
        <v>J</v>
      </c>
      <c r="AK2408" t="str">
        <f>_xlfn.CONCAT(AG2408,AH2408,AI2408,AJ2408)</f>
        <v>IMBJ</v>
      </c>
    </row>
    <row r="2409" spans="1:37" ht="15.75" hidden="1" customHeight="1" x14ac:dyDescent="0.2">
      <c r="A2409" s="1">
        <v>2912704</v>
      </c>
      <c r="B2409" s="1" t="s">
        <v>3890</v>
      </c>
      <c r="C2409" s="1" t="s">
        <v>1695</v>
      </c>
      <c r="D2409" s="1" t="s">
        <v>3959</v>
      </c>
      <c r="E2409" s="1" t="s">
        <v>153</v>
      </c>
      <c r="F2409" s="1" t="s">
        <v>61</v>
      </c>
      <c r="G2409" s="1" t="s">
        <v>3963</v>
      </c>
      <c r="H2409" s="1">
        <v>430</v>
      </c>
      <c r="I2409" s="1" t="s">
        <v>65</v>
      </c>
      <c r="J2409" s="1">
        <v>2</v>
      </c>
      <c r="K2409" s="1" t="s">
        <v>35</v>
      </c>
      <c r="L2409" s="1">
        <v>48</v>
      </c>
      <c r="M2409" s="1" t="str">
        <f>IF(L2409&lt;=45,"Joven","Mayor")</f>
        <v>Mayor</v>
      </c>
      <c r="N2409" s="1">
        <v>41</v>
      </c>
      <c r="O2409" s="1" t="s">
        <v>36</v>
      </c>
      <c r="P2409" s="1">
        <v>0.55700000000000005</v>
      </c>
      <c r="Q2409" s="1">
        <v>92.448999999999998</v>
      </c>
      <c r="R2409" s="1">
        <v>3.3911633000000001</v>
      </c>
      <c r="S2409" s="1">
        <v>2.4213686000000001</v>
      </c>
      <c r="T2409" s="1">
        <v>-10.766693</v>
      </c>
      <c r="U2409" s="1">
        <v>1.48</v>
      </c>
      <c r="V2409" s="1">
        <v>106</v>
      </c>
      <c r="W2409" s="1">
        <v>190</v>
      </c>
      <c r="X2409" s="1">
        <v>1.7924528301886793</v>
      </c>
      <c r="Y2409" s="1">
        <v>119</v>
      </c>
      <c r="Z2409" s="1">
        <v>190</v>
      </c>
      <c r="AA2409" s="1">
        <v>1.596638655462185</v>
      </c>
      <c r="AB2409" s="1">
        <v>115.9030239022245</v>
      </c>
      <c r="AC2409" s="1">
        <v>190.57825792541959</v>
      </c>
      <c r="AD2409" s="1">
        <v>1.6442906449635941</v>
      </c>
      <c r="AE2409" t="s">
        <v>4817</v>
      </c>
      <c r="AF2409" t="str">
        <f>IF(X2409&lt;$AF$1,"Bajo","Alto")</f>
        <v>Alto</v>
      </c>
      <c r="AG2409" t="str">
        <f>LEFT(AE2409,1)</f>
        <v>C</v>
      </c>
      <c r="AH2409" t="str">
        <f>K2409</f>
        <v>M</v>
      </c>
      <c r="AI2409" t="str">
        <f>LEFT(AF2409,1)</f>
        <v>A</v>
      </c>
      <c r="AJ2409" t="str">
        <f>LEFT(M2409,1)</f>
        <v>M</v>
      </c>
      <c r="AK2409" t="str">
        <f>_xlfn.CONCAT(AG2409,AH2409,AI2409,AJ2409)</f>
        <v>CMAM</v>
      </c>
    </row>
    <row r="2410" spans="1:37" ht="15.75" hidden="1" customHeight="1" x14ac:dyDescent="0.2">
      <c r="A2410" s="1">
        <v>1011303</v>
      </c>
      <c r="B2410" s="1" t="s">
        <v>29</v>
      </c>
      <c r="C2410" s="1" t="s">
        <v>30</v>
      </c>
      <c r="D2410" s="1" t="s">
        <v>162</v>
      </c>
      <c r="E2410" s="1" t="s">
        <v>163</v>
      </c>
      <c r="F2410" s="1" t="s">
        <v>63</v>
      </c>
      <c r="G2410" s="1" t="s">
        <v>166</v>
      </c>
      <c r="H2410" s="1">
        <v>2543</v>
      </c>
      <c r="I2410" s="1" t="s">
        <v>167</v>
      </c>
      <c r="J2410" s="1">
        <v>3542</v>
      </c>
      <c r="K2410" s="1" t="s">
        <v>35</v>
      </c>
      <c r="L2410" s="1">
        <v>43</v>
      </c>
      <c r="M2410" s="1" t="str">
        <f>IF(L2410&lt;=45,"Joven","Mayor")</f>
        <v>Joven</v>
      </c>
      <c r="N2410" s="1">
        <v>38</v>
      </c>
      <c r="O2410" s="1" t="s">
        <v>36</v>
      </c>
      <c r="P2410" s="1">
        <v>1.133</v>
      </c>
      <c r="Q2410" s="1">
        <v>90.691000000000003</v>
      </c>
      <c r="R2410" s="1">
        <v>3.58508</v>
      </c>
      <c r="S2410" s="1">
        <v>6.5889709999999999</v>
      </c>
      <c r="T2410" s="1">
        <v>-1.5290314</v>
      </c>
      <c r="U2410" s="1">
        <v>2.589</v>
      </c>
      <c r="V2410" s="1">
        <v>82</v>
      </c>
      <c r="W2410" s="1">
        <v>147</v>
      </c>
      <c r="X2410" s="1">
        <v>1.7926829268292683</v>
      </c>
      <c r="Y2410" s="1">
        <v>84</v>
      </c>
      <c r="Z2410" s="1">
        <v>147</v>
      </c>
      <c r="AA2410" s="1">
        <v>1.75</v>
      </c>
      <c r="AB2410" s="1">
        <v>84.957378566733496</v>
      </c>
      <c r="AC2410" s="1">
        <v>146.86760775082891</v>
      </c>
      <c r="AD2410" s="1">
        <v>1.7287210390497785</v>
      </c>
      <c r="AE2410" t="s">
        <v>4817</v>
      </c>
      <c r="AF2410" t="str">
        <f>IF(X2410&lt;$AF$1,"Bajo","Alto")</f>
        <v>Alto</v>
      </c>
      <c r="AG2410" t="str">
        <f>LEFT(AE2410,1)</f>
        <v>C</v>
      </c>
      <c r="AH2410" t="str">
        <f>K2410</f>
        <v>M</v>
      </c>
      <c r="AI2410" t="str">
        <f>LEFT(AF2410,1)</f>
        <v>A</v>
      </c>
      <c r="AJ2410" t="str">
        <f>LEFT(M2410,1)</f>
        <v>J</v>
      </c>
      <c r="AK2410" t="str">
        <f>_xlfn.CONCAT(AG2410,AH2410,AI2410,AJ2410)</f>
        <v>CMAJ</v>
      </c>
    </row>
    <row r="2411" spans="1:37" ht="15.75" hidden="1" customHeight="1" x14ac:dyDescent="0.2">
      <c r="A2411" s="1">
        <v>10116005</v>
      </c>
      <c r="B2411" s="1" t="s">
        <v>29</v>
      </c>
      <c r="C2411" s="1" t="s">
        <v>30</v>
      </c>
      <c r="D2411" s="1" t="s">
        <v>233</v>
      </c>
      <c r="E2411" s="1" t="s">
        <v>234</v>
      </c>
      <c r="F2411" s="1" t="s">
        <v>40</v>
      </c>
      <c r="G2411" s="1" t="s">
        <v>239</v>
      </c>
      <c r="H2411" s="1">
        <v>950</v>
      </c>
      <c r="I2411" s="1" t="s">
        <v>240</v>
      </c>
      <c r="J2411" s="1">
        <v>504</v>
      </c>
      <c r="K2411" s="1" t="s">
        <v>35</v>
      </c>
      <c r="L2411" s="1">
        <v>47</v>
      </c>
      <c r="M2411" s="1" t="str">
        <f>IF(L2411&lt;=45,"Joven","Mayor")</f>
        <v>Mayor</v>
      </c>
      <c r="N2411" s="1">
        <v>56</v>
      </c>
      <c r="O2411" s="1" t="s">
        <v>36</v>
      </c>
      <c r="P2411" s="1">
        <v>0.35299999999999998</v>
      </c>
      <c r="Q2411" s="1">
        <v>82.477000000000004</v>
      </c>
      <c r="R2411" s="1">
        <v>9.4291979999999995</v>
      </c>
      <c r="S2411" s="1">
        <v>3.5361400000000001</v>
      </c>
      <c r="T2411" s="1">
        <v>-8.0897559999999995</v>
      </c>
      <c r="U2411" s="1">
        <v>2.16</v>
      </c>
      <c r="V2411" s="1">
        <v>91</v>
      </c>
      <c r="W2411" s="1">
        <v>159</v>
      </c>
      <c r="X2411" s="1">
        <v>1.7472527472527473</v>
      </c>
      <c r="Y2411" s="1">
        <v>99</v>
      </c>
      <c r="Z2411" s="1">
        <v>159</v>
      </c>
      <c r="AA2411" s="1">
        <v>1.606060606060606</v>
      </c>
      <c r="AB2411" s="1">
        <v>97.271379193389521</v>
      </c>
      <c r="AC2411" s="1">
        <v>159.2471794644139</v>
      </c>
      <c r="AD2411" s="1">
        <v>1.6371432253243532</v>
      </c>
      <c r="AE2411" t="s">
        <v>4817</v>
      </c>
      <c r="AF2411" t="str">
        <f>IF(X2411&lt;$AF$1,"Bajo","Alto")</f>
        <v>Bajo</v>
      </c>
      <c r="AG2411" t="str">
        <f>LEFT(AE2411,1)</f>
        <v>C</v>
      </c>
      <c r="AH2411" t="str">
        <f>K2411</f>
        <v>M</v>
      </c>
      <c r="AI2411" t="str">
        <f>LEFT(AF2411,1)</f>
        <v>B</v>
      </c>
      <c r="AJ2411" t="str">
        <f>LEFT(M2411,1)</f>
        <v>M</v>
      </c>
      <c r="AK2411" t="str">
        <f>_xlfn.CONCAT(AG2411,AH2411,AI2411,AJ2411)</f>
        <v>CMBM</v>
      </c>
    </row>
    <row r="2412" spans="1:37" ht="15.75" hidden="1" customHeight="1" x14ac:dyDescent="0.2">
      <c r="A2412" s="1">
        <v>10710902</v>
      </c>
      <c r="B2412" s="1" t="s">
        <v>1067</v>
      </c>
      <c r="C2412" s="1" t="s">
        <v>1068</v>
      </c>
      <c r="D2412" s="1" t="s">
        <v>1106</v>
      </c>
      <c r="E2412" s="1" t="s">
        <v>98</v>
      </c>
      <c r="F2412" s="1" t="s">
        <v>37</v>
      </c>
      <c r="G2412" s="1" t="s">
        <v>1107</v>
      </c>
      <c r="H2412" s="1">
        <v>1160</v>
      </c>
      <c r="I2412" s="1" t="s">
        <v>65</v>
      </c>
      <c r="J2412" s="1">
        <v>2</v>
      </c>
      <c r="K2412" s="1" t="s">
        <v>35</v>
      </c>
      <c r="L2412" s="1">
        <v>47</v>
      </c>
      <c r="M2412" s="1" t="str">
        <f>IF(L2412&lt;=45,"Joven","Mayor")</f>
        <v>Mayor</v>
      </c>
      <c r="N2412" s="1">
        <v>54</v>
      </c>
      <c r="O2412" s="1" t="s">
        <v>36</v>
      </c>
      <c r="P2412" s="1">
        <v>0.36099999999999999</v>
      </c>
      <c r="Q2412" s="1">
        <v>87.534000000000006</v>
      </c>
      <c r="R2412" s="1">
        <v>7.7097077000000001</v>
      </c>
      <c r="S2412" s="1">
        <v>0.72900489999999996</v>
      </c>
      <c r="T2412" s="1">
        <v>-2.4996934</v>
      </c>
      <c r="U2412" s="1">
        <v>4.8479999999999999</v>
      </c>
      <c r="V2412" s="1">
        <v>101</v>
      </c>
      <c r="W2412" s="1">
        <v>181</v>
      </c>
      <c r="X2412" s="1">
        <v>1.7920792079207921</v>
      </c>
      <c r="Y2412" s="1">
        <v>103</v>
      </c>
      <c r="Z2412" s="1">
        <v>181</v>
      </c>
      <c r="AA2412" s="1">
        <v>1.7572815533980584</v>
      </c>
      <c r="AB2412" s="1">
        <v>102.91013985206</v>
      </c>
      <c r="AC2412" s="1">
        <v>180.91499843442989</v>
      </c>
      <c r="AD2412" s="1">
        <v>1.7579900162851487</v>
      </c>
      <c r="AE2412" t="s">
        <v>4817</v>
      </c>
      <c r="AF2412" t="str">
        <f>IF(X2412&lt;$AF$1,"Bajo","Alto")</f>
        <v>Alto</v>
      </c>
      <c r="AG2412" t="str">
        <f>LEFT(AE2412,1)</f>
        <v>C</v>
      </c>
      <c r="AH2412" t="str">
        <f>K2412</f>
        <v>M</v>
      </c>
      <c r="AI2412" t="str">
        <f>LEFT(AF2412,1)</f>
        <v>A</v>
      </c>
      <c r="AJ2412" t="str">
        <f>LEFT(M2412,1)</f>
        <v>M</v>
      </c>
      <c r="AK2412" t="str">
        <f>_xlfn.CONCAT(AG2412,AH2412,AI2412,AJ2412)</f>
        <v>CMAM</v>
      </c>
    </row>
    <row r="2413" spans="1:37" ht="15.75" hidden="1" customHeight="1" x14ac:dyDescent="0.2">
      <c r="A2413" s="1">
        <v>640204</v>
      </c>
      <c r="B2413" s="1" t="s">
        <v>4718</v>
      </c>
      <c r="C2413" s="1" t="s">
        <v>710</v>
      </c>
      <c r="D2413" s="1" t="s">
        <v>4725</v>
      </c>
      <c r="E2413" s="1" t="s">
        <v>37</v>
      </c>
      <c r="F2413" s="1" t="s">
        <v>61</v>
      </c>
      <c r="G2413" s="1" t="s">
        <v>4727</v>
      </c>
      <c r="H2413" s="1">
        <v>5271</v>
      </c>
      <c r="I2413" s="1" t="s">
        <v>65</v>
      </c>
      <c r="J2413" s="1">
        <v>2</v>
      </c>
      <c r="K2413" s="1" t="s">
        <v>35</v>
      </c>
      <c r="L2413" s="1">
        <v>43</v>
      </c>
      <c r="M2413" s="1" t="str">
        <f>IF(L2413&lt;=45,"Joven","Mayor")</f>
        <v>Joven</v>
      </c>
      <c r="N2413" s="1">
        <v>41</v>
      </c>
      <c r="O2413" s="1" t="s">
        <v>36</v>
      </c>
      <c r="P2413" s="1">
        <v>0.78</v>
      </c>
      <c r="Q2413" s="1">
        <v>88.834999999999994</v>
      </c>
      <c r="R2413" s="1">
        <v>-5.4878444999999996</v>
      </c>
      <c r="S2413" s="1">
        <v>6.0359406</v>
      </c>
      <c r="T2413" s="1">
        <v>-1.6269468</v>
      </c>
      <c r="U2413" s="1">
        <v>20.367999999999999</v>
      </c>
      <c r="V2413" s="1">
        <v>82</v>
      </c>
      <c r="W2413" s="1">
        <v>147</v>
      </c>
      <c r="X2413" s="1">
        <v>1.7926829268292683</v>
      </c>
      <c r="Y2413" s="1">
        <v>84</v>
      </c>
      <c r="Z2413" s="1">
        <v>147</v>
      </c>
      <c r="AA2413" s="1">
        <v>1.75</v>
      </c>
      <c r="AB2413" s="1">
        <v>83.085992661061709</v>
      </c>
      <c r="AC2413" s="1">
        <v>147.08269909293131</v>
      </c>
      <c r="AD2413" s="1">
        <v>1.7702466370346646</v>
      </c>
      <c r="AE2413" t="s">
        <v>4817</v>
      </c>
      <c r="AF2413" t="str">
        <f>IF(X2413&lt;$AF$1,"Bajo","Alto")</f>
        <v>Alto</v>
      </c>
      <c r="AG2413" t="str">
        <f>LEFT(AE2413,1)</f>
        <v>C</v>
      </c>
      <c r="AH2413" t="str">
        <f>K2413</f>
        <v>M</v>
      </c>
      <c r="AI2413" t="str">
        <f>LEFT(AF2413,1)</f>
        <v>A</v>
      </c>
      <c r="AJ2413" t="str">
        <f>LEFT(M2413,1)</f>
        <v>J</v>
      </c>
      <c r="AK2413" t="str">
        <f>_xlfn.CONCAT(AG2413,AH2413,AI2413,AJ2413)</f>
        <v>CMAJ</v>
      </c>
    </row>
    <row r="2414" spans="1:37" ht="15.75" hidden="1" customHeight="1" x14ac:dyDescent="0.2">
      <c r="A2414" s="1">
        <v>10115001</v>
      </c>
      <c r="B2414" s="1" t="s">
        <v>29</v>
      </c>
      <c r="C2414" s="1" t="s">
        <v>30</v>
      </c>
      <c r="D2414" s="1" t="s">
        <v>204</v>
      </c>
      <c r="E2414" s="1" t="s">
        <v>205</v>
      </c>
      <c r="F2414" s="1" t="s">
        <v>32</v>
      </c>
      <c r="G2414" s="1" t="s">
        <v>206</v>
      </c>
      <c r="H2414" s="1">
        <v>314</v>
      </c>
      <c r="I2414" s="1" t="s">
        <v>39</v>
      </c>
      <c r="J2414" s="1">
        <v>11</v>
      </c>
      <c r="K2414" s="1" t="s">
        <v>35</v>
      </c>
      <c r="L2414" s="1">
        <v>33</v>
      </c>
      <c r="M2414" s="1" t="str">
        <f>IF(L2414&lt;=45,"Joven","Mayor")</f>
        <v>Joven</v>
      </c>
      <c r="N2414" s="1">
        <v>30</v>
      </c>
      <c r="O2414" s="1" t="s">
        <v>36</v>
      </c>
      <c r="P2414" s="1">
        <v>0.32</v>
      </c>
      <c r="Q2414" s="1">
        <v>93.748000000000005</v>
      </c>
      <c r="R2414" s="1">
        <v>0.99997216</v>
      </c>
      <c r="S2414" s="1">
        <v>3.9135450000000001</v>
      </c>
      <c r="T2414" s="1">
        <v>-1.0761092999999999</v>
      </c>
      <c r="U2414" s="1">
        <v>82.557000000000002</v>
      </c>
      <c r="V2414" s="1">
        <v>103</v>
      </c>
      <c r="W2414" s="1">
        <v>178</v>
      </c>
      <c r="X2414" s="1">
        <v>1.7281553398058251</v>
      </c>
      <c r="Y2414" s="1">
        <v>104</v>
      </c>
      <c r="Z2414" s="1">
        <v>178</v>
      </c>
      <c r="AA2414" s="1">
        <v>1.7115384615384615</v>
      </c>
      <c r="AB2414" s="1">
        <v>103.82695846830229</v>
      </c>
      <c r="AC2414" s="1">
        <v>177.89348395317259</v>
      </c>
      <c r="AD2414" s="1">
        <v>1.7133650698963925</v>
      </c>
      <c r="AE2414" t="s">
        <v>4816</v>
      </c>
      <c r="AF2414" t="str">
        <f>IF(X2414&lt;$AF$1,"Bajo","Alto")</f>
        <v>Bajo</v>
      </c>
      <c r="AG2414" t="str">
        <f>LEFT(AE2414,1)</f>
        <v>D</v>
      </c>
      <c r="AH2414" t="str">
        <f>K2414</f>
        <v>M</v>
      </c>
      <c r="AI2414" t="str">
        <f>LEFT(AF2414,1)</f>
        <v>B</v>
      </c>
      <c r="AJ2414" t="str">
        <f>LEFT(M2414,1)</f>
        <v>J</v>
      </c>
      <c r="AK2414" t="str">
        <f>_xlfn.CONCAT(AG2414,AH2414,AI2414,AJ2414)</f>
        <v>DMBJ</v>
      </c>
    </row>
    <row r="2415" spans="1:37" ht="15.75" hidden="1" customHeight="1" x14ac:dyDescent="0.2">
      <c r="A2415" s="1">
        <v>197001</v>
      </c>
      <c r="B2415" s="1" t="s">
        <v>2656</v>
      </c>
      <c r="C2415" s="1" t="s">
        <v>323</v>
      </c>
      <c r="D2415" s="1" t="s">
        <v>2780</v>
      </c>
      <c r="E2415" s="1" t="s">
        <v>720</v>
      </c>
      <c r="F2415" s="1" t="s">
        <v>32</v>
      </c>
      <c r="G2415" s="1" t="s">
        <v>2781</v>
      </c>
      <c r="H2415" s="1">
        <v>5317</v>
      </c>
      <c r="I2415" s="1" t="s">
        <v>100</v>
      </c>
      <c r="J2415" s="1">
        <v>1</v>
      </c>
      <c r="K2415" s="1" t="s">
        <v>35</v>
      </c>
      <c r="L2415" s="1">
        <v>51</v>
      </c>
      <c r="M2415" s="1" t="str">
        <f>IF(L2415&lt;=45,"Joven","Mayor")</f>
        <v>Mayor</v>
      </c>
      <c r="N2415" s="1">
        <v>55</v>
      </c>
      <c r="O2415" s="1" t="s">
        <v>36</v>
      </c>
      <c r="P2415" s="1">
        <v>0.17599999999999999</v>
      </c>
      <c r="Q2415" s="1">
        <v>78.403999999999996</v>
      </c>
      <c r="R2415" s="1">
        <v>11.172654</v>
      </c>
      <c r="S2415" s="1">
        <v>0.65933602999999996</v>
      </c>
      <c r="T2415" s="1">
        <v>-5.2563523999999999</v>
      </c>
      <c r="U2415" s="1">
        <v>37.613</v>
      </c>
      <c r="V2415" s="1">
        <v>101</v>
      </c>
      <c r="W2415" s="1">
        <v>181</v>
      </c>
      <c r="X2415" s="1">
        <v>1.7920792079207921</v>
      </c>
      <c r="Y2415" s="1">
        <v>101</v>
      </c>
      <c r="Z2415" s="1">
        <v>181</v>
      </c>
      <c r="AA2415" s="1">
        <v>1.7920792079207921</v>
      </c>
      <c r="AB2415" s="1">
        <v>105.15587360529339</v>
      </c>
      <c r="AC2415" s="1">
        <v>180.4220786189326</v>
      </c>
      <c r="AD2415" s="1">
        <v>1.7157584491775875</v>
      </c>
      <c r="AE2415" t="s">
        <v>4817</v>
      </c>
      <c r="AF2415" t="str">
        <f>IF(X2415&lt;$AF$1,"Bajo","Alto")</f>
        <v>Alto</v>
      </c>
      <c r="AG2415" t="str">
        <f>LEFT(AE2415,1)</f>
        <v>C</v>
      </c>
      <c r="AH2415" t="str">
        <f>K2415</f>
        <v>M</v>
      </c>
      <c r="AI2415" t="str">
        <f>LEFT(AF2415,1)</f>
        <v>A</v>
      </c>
      <c r="AJ2415" t="str">
        <f>LEFT(M2415,1)</f>
        <v>M</v>
      </c>
      <c r="AK2415" t="str">
        <f>_xlfn.CONCAT(AG2415,AH2415,AI2415,AJ2415)</f>
        <v>CMAM</v>
      </c>
    </row>
    <row r="2416" spans="1:37" ht="15.75" hidden="1" customHeight="1" x14ac:dyDescent="0.2">
      <c r="A2416" s="1">
        <v>441601</v>
      </c>
      <c r="B2416" s="1" t="s">
        <v>4314</v>
      </c>
      <c r="C2416" s="1" t="s">
        <v>995</v>
      </c>
      <c r="D2416" s="1" t="s">
        <v>4354</v>
      </c>
      <c r="E2416" s="1" t="s">
        <v>244</v>
      </c>
      <c r="F2416" s="1" t="s">
        <v>32</v>
      </c>
      <c r="G2416" s="1" t="s">
        <v>4355</v>
      </c>
      <c r="H2416" s="1">
        <v>1901</v>
      </c>
      <c r="I2416" s="1" t="s">
        <v>4356</v>
      </c>
      <c r="J2416" s="1">
        <v>2757</v>
      </c>
      <c r="K2416" s="1" t="s">
        <v>49</v>
      </c>
      <c r="L2416" s="1">
        <v>44</v>
      </c>
      <c r="M2416" s="1" t="str">
        <f>IF(L2416&lt;=45,"Joven","Mayor")</f>
        <v>Joven</v>
      </c>
      <c r="N2416" s="1">
        <v>33</v>
      </c>
      <c r="O2416" s="1" t="s">
        <v>50</v>
      </c>
      <c r="P2416" s="1">
        <v>0.33800000000000002</v>
      </c>
      <c r="Q2416" s="1">
        <v>92.2</v>
      </c>
      <c r="R2416" s="1">
        <v>1.4706659</v>
      </c>
      <c r="S2416" s="1">
        <v>7.7456383999999998</v>
      </c>
      <c r="T2416" s="1">
        <v>6.7181736000000006E-2</v>
      </c>
      <c r="U2416" s="1">
        <v>4.16</v>
      </c>
      <c r="V2416" s="1">
        <v>87</v>
      </c>
      <c r="W2416" s="1">
        <v>156</v>
      </c>
      <c r="X2416" s="1">
        <v>1.7931034482758621</v>
      </c>
      <c r="Y2416" s="1">
        <v>92</v>
      </c>
      <c r="Z2416" s="1">
        <v>156</v>
      </c>
      <c r="AA2416" s="1">
        <v>1.6956521739130435</v>
      </c>
      <c r="AB2416" s="1">
        <v>91.953035067767132</v>
      </c>
      <c r="AC2416" s="1">
        <v>155.99989276125231</v>
      </c>
      <c r="AD2416" s="1">
        <v>1.6965170605438333</v>
      </c>
      <c r="AE2416" t="s">
        <v>4817</v>
      </c>
      <c r="AF2416" t="str">
        <f>IF(X2416&lt;$AF$1,"Bajo","Alto")</f>
        <v>Alto</v>
      </c>
      <c r="AG2416" t="str">
        <f>LEFT(AE2416,1)</f>
        <v>C</v>
      </c>
      <c r="AH2416" t="str">
        <f>K2416</f>
        <v>F</v>
      </c>
      <c r="AI2416" t="str">
        <f>LEFT(AF2416,1)</f>
        <v>A</v>
      </c>
      <c r="AJ2416" t="str">
        <f>LEFT(M2416,1)</f>
        <v>J</v>
      </c>
      <c r="AK2416" t="str">
        <f>_xlfn.CONCAT(AG2416,AH2416,AI2416,AJ2416)</f>
        <v>CFAJ</v>
      </c>
    </row>
    <row r="2417" spans="1:37" ht="15.75" hidden="1" customHeight="1" x14ac:dyDescent="0.2">
      <c r="A2417" s="1">
        <v>1521401</v>
      </c>
      <c r="B2417" s="1" t="s">
        <v>2077</v>
      </c>
      <c r="C2417" s="1" t="s">
        <v>57</v>
      </c>
      <c r="D2417" s="1" t="s">
        <v>2247</v>
      </c>
      <c r="E2417" s="1" t="s">
        <v>392</v>
      </c>
      <c r="F2417" s="1" t="s">
        <v>32</v>
      </c>
      <c r="G2417" s="1" t="s">
        <v>2248</v>
      </c>
      <c r="H2417" s="1">
        <v>2146</v>
      </c>
      <c r="I2417" s="1" t="s">
        <v>2249</v>
      </c>
      <c r="J2417" s="1">
        <v>2341</v>
      </c>
      <c r="K2417" s="1" t="s">
        <v>49</v>
      </c>
      <c r="L2417" s="1">
        <v>41</v>
      </c>
      <c r="M2417" s="1" t="str">
        <f>IF(L2417&lt;=45,"Joven","Mayor")</f>
        <v>Joven</v>
      </c>
      <c r="N2417" s="1">
        <v>42</v>
      </c>
      <c r="O2417" s="1" t="s">
        <v>50</v>
      </c>
      <c r="P2417" s="1">
        <v>0.61699999999999999</v>
      </c>
      <c r="Q2417" s="1">
        <v>93.311999999999998</v>
      </c>
      <c r="R2417" s="1">
        <v>1.7554746999999999</v>
      </c>
      <c r="S2417" s="1">
        <v>3.6019933000000002</v>
      </c>
      <c r="T2417" s="1">
        <v>-6.8338422999999997</v>
      </c>
      <c r="U2417" s="1">
        <v>93.665000000000006</v>
      </c>
      <c r="V2417" s="1">
        <v>68</v>
      </c>
      <c r="W2417" s="1">
        <v>119</v>
      </c>
      <c r="X2417" s="1">
        <v>1.75</v>
      </c>
      <c r="Y2417" s="1">
        <v>77</v>
      </c>
      <c r="Z2417" s="1">
        <v>119</v>
      </c>
      <c r="AA2417" s="1">
        <v>1.5454545454545454</v>
      </c>
      <c r="AB2417" s="1">
        <v>74.07313663780792</v>
      </c>
      <c r="AC2417" s="1">
        <v>120.05839965205401</v>
      </c>
      <c r="AD2417" s="1">
        <v>1.6208089072709064</v>
      </c>
      <c r="AE2417" t="s">
        <v>4817</v>
      </c>
      <c r="AF2417" t="str">
        <f>IF(X2417&lt;$AF$1,"Bajo","Alto")</f>
        <v>Bajo</v>
      </c>
      <c r="AG2417" t="str">
        <f>LEFT(AE2417,1)</f>
        <v>C</v>
      </c>
      <c r="AH2417" t="str">
        <f>K2417</f>
        <v>F</v>
      </c>
      <c r="AI2417" t="str">
        <f>LEFT(AF2417,1)</f>
        <v>B</v>
      </c>
      <c r="AJ2417" t="str">
        <f>LEFT(M2417,1)</f>
        <v>J</v>
      </c>
      <c r="AK2417" t="str">
        <f>_xlfn.CONCAT(AG2417,AH2417,AI2417,AJ2417)</f>
        <v>CFBJ</v>
      </c>
    </row>
    <row r="2418" spans="1:37" ht="15.75" hidden="1" customHeight="1" x14ac:dyDescent="0.2">
      <c r="A2418" s="1">
        <v>315204</v>
      </c>
      <c r="B2418" s="1" t="s">
        <v>4122</v>
      </c>
      <c r="C2418" s="1" t="s">
        <v>628</v>
      </c>
      <c r="D2418" s="1" t="s">
        <v>4227</v>
      </c>
      <c r="E2418" s="1" t="s">
        <v>685</v>
      </c>
      <c r="F2418" s="1" t="s">
        <v>61</v>
      </c>
      <c r="G2418" s="1" t="s">
        <v>4230</v>
      </c>
      <c r="H2418" s="1">
        <v>1361</v>
      </c>
      <c r="I2418" s="1" t="s">
        <v>65</v>
      </c>
      <c r="J2418" s="1">
        <v>2</v>
      </c>
      <c r="K2418" s="1" t="s">
        <v>35</v>
      </c>
      <c r="L2418" s="1">
        <v>43</v>
      </c>
      <c r="M2418" s="1" t="str">
        <f>IF(L2418&lt;=45,"Joven","Mayor")</f>
        <v>Joven</v>
      </c>
      <c r="N2418" s="1">
        <v>52</v>
      </c>
      <c r="O2418" s="1" t="s">
        <v>36</v>
      </c>
      <c r="P2418" s="1">
        <v>0.52600000000000002</v>
      </c>
      <c r="Q2418" s="1">
        <v>92.155000000000001</v>
      </c>
      <c r="R2418" s="1">
        <v>1.6751962</v>
      </c>
      <c r="S2418" s="1">
        <v>-7.3805117999999998</v>
      </c>
      <c r="T2418" s="1">
        <v>-0.22657609000000001</v>
      </c>
      <c r="U2418" s="1">
        <v>28.266999999999999</v>
      </c>
      <c r="V2418" s="1">
        <v>106</v>
      </c>
      <c r="W2418" s="1">
        <v>190</v>
      </c>
      <c r="X2418" s="1">
        <v>1.7924528301886793</v>
      </c>
      <c r="Y2418" s="1">
        <v>107</v>
      </c>
      <c r="Z2418" s="1">
        <v>190</v>
      </c>
      <c r="AA2418" s="1">
        <v>1.7757009345794392</v>
      </c>
      <c r="AB2418" s="1">
        <v>106.80934791828849</v>
      </c>
      <c r="AC2418" s="1">
        <v>190.00642336312151</v>
      </c>
      <c r="AD2418" s="1">
        <v>1.7789306560365916</v>
      </c>
      <c r="AE2418" t="s">
        <v>4817</v>
      </c>
      <c r="AF2418" t="str">
        <f>IF(X2418&lt;$AF$1,"Bajo","Alto")</f>
        <v>Alto</v>
      </c>
      <c r="AG2418" t="str">
        <f>LEFT(AE2418,1)</f>
        <v>C</v>
      </c>
      <c r="AH2418" t="str">
        <f>K2418</f>
        <v>M</v>
      </c>
      <c r="AI2418" t="str">
        <f>LEFT(AF2418,1)</f>
        <v>A</v>
      </c>
      <c r="AJ2418" t="str">
        <f>LEFT(M2418,1)</f>
        <v>J</v>
      </c>
      <c r="AK2418" t="str">
        <f>_xlfn.CONCAT(AG2418,AH2418,AI2418,AJ2418)</f>
        <v>CMAJ</v>
      </c>
    </row>
    <row r="2419" spans="1:37" ht="15.75" hidden="1" customHeight="1" x14ac:dyDescent="0.2">
      <c r="A2419" s="1">
        <v>441202</v>
      </c>
      <c r="B2419" s="1" t="s">
        <v>4314</v>
      </c>
      <c r="C2419" s="1" t="s">
        <v>995</v>
      </c>
      <c r="D2419" s="1" t="s">
        <v>4346</v>
      </c>
      <c r="E2419" s="1" t="s">
        <v>54</v>
      </c>
      <c r="F2419" s="1" t="s">
        <v>37</v>
      </c>
      <c r="G2419" s="1" t="s">
        <v>4348</v>
      </c>
      <c r="H2419" s="1">
        <v>62</v>
      </c>
      <c r="I2419" s="1" t="s">
        <v>39</v>
      </c>
      <c r="J2419" s="1">
        <v>11</v>
      </c>
      <c r="K2419" s="1" t="s">
        <v>35</v>
      </c>
      <c r="L2419" s="1">
        <v>67</v>
      </c>
      <c r="M2419" s="1" t="str">
        <f>IF(L2419&lt;=45,"Joven","Mayor")</f>
        <v>Mayor</v>
      </c>
      <c r="N2419" s="1">
        <v>59</v>
      </c>
      <c r="O2419" s="1" t="s">
        <v>36</v>
      </c>
      <c r="P2419" s="1">
        <v>0.36199999999999999</v>
      </c>
      <c r="Q2419" s="1">
        <v>89.876999999999995</v>
      </c>
      <c r="R2419" s="1">
        <v>-4.3263619999999996</v>
      </c>
      <c r="S2419" s="1">
        <v>7.2141237</v>
      </c>
      <c r="T2419" s="1">
        <v>-1.7511123</v>
      </c>
      <c r="U2419" s="1">
        <v>0.28799999999999998</v>
      </c>
      <c r="V2419" s="1">
        <v>100</v>
      </c>
      <c r="W2419" s="1">
        <v>175</v>
      </c>
      <c r="X2419" s="1">
        <v>1.75</v>
      </c>
      <c r="Y2419" s="1">
        <v>100</v>
      </c>
      <c r="Z2419" s="1">
        <v>175</v>
      </c>
      <c r="AA2419" s="1">
        <v>1.75</v>
      </c>
      <c r="AB2419" s="1">
        <v>101.17561647738469</v>
      </c>
      <c r="AC2419" s="1">
        <v>175.0710642013814</v>
      </c>
      <c r="AD2419" s="1">
        <v>1.7303681489355116</v>
      </c>
      <c r="AE2419" t="s">
        <v>4816</v>
      </c>
      <c r="AF2419" t="str">
        <f>IF(X2419&lt;$AF$1,"Bajo","Alto")</f>
        <v>Bajo</v>
      </c>
      <c r="AG2419" t="str">
        <f>LEFT(AE2419,1)</f>
        <v>D</v>
      </c>
      <c r="AH2419" t="str">
        <f>K2419</f>
        <v>M</v>
      </c>
      <c r="AI2419" t="str">
        <f>LEFT(AF2419,1)</f>
        <v>B</v>
      </c>
      <c r="AJ2419" t="str">
        <f>LEFT(M2419,1)</f>
        <v>M</v>
      </c>
      <c r="AK2419" t="str">
        <f>_xlfn.CONCAT(AG2419,AH2419,AI2419,AJ2419)</f>
        <v>DMBM</v>
      </c>
    </row>
    <row r="2420" spans="1:37" ht="15.75" hidden="1" customHeight="1" x14ac:dyDescent="0.2">
      <c r="A2420" s="1">
        <v>10730406</v>
      </c>
      <c r="B2420" s="1" t="s">
        <v>1067</v>
      </c>
      <c r="C2420" s="1" t="s">
        <v>1068</v>
      </c>
      <c r="D2420" s="1" t="s">
        <v>1365</v>
      </c>
      <c r="E2420" s="1" t="s">
        <v>1366</v>
      </c>
      <c r="F2420" s="1" t="s">
        <v>88</v>
      </c>
      <c r="G2420" s="1" t="s">
        <v>1371</v>
      </c>
      <c r="H2420" s="1">
        <v>1733</v>
      </c>
      <c r="I2420" s="1" t="s">
        <v>1372</v>
      </c>
      <c r="J2420" s="1">
        <v>3091</v>
      </c>
      <c r="K2420" s="1" t="s">
        <v>35</v>
      </c>
      <c r="L2420" s="1">
        <v>52</v>
      </c>
      <c r="M2420" s="1" t="str">
        <f>IF(L2420&lt;=45,"Joven","Mayor")</f>
        <v>Mayor</v>
      </c>
      <c r="N2420" s="1">
        <v>52</v>
      </c>
      <c r="O2420" s="1" t="s">
        <v>36</v>
      </c>
      <c r="P2420" s="1">
        <v>0.315</v>
      </c>
      <c r="Q2420" s="1">
        <v>63.811</v>
      </c>
      <c r="R2420" s="1">
        <v>14.178438</v>
      </c>
      <c r="S2420" s="1">
        <v>-0.14995253</v>
      </c>
      <c r="T2420" s="1">
        <v>-5.1009855000000002</v>
      </c>
      <c r="U2420" s="1">
        <v>7.6159999999999997</v>
      </c>
      <c r="V2420" s="1">
        <v>91</v>
      </c>
      <c r="W2420" s="1">
        <v>159</v>
      </c>
      <c r="X2420" s="1">
        <v>1.7472527472527473</v>
      </c>
      <c r="Y2420" s="1">
        <v>98</v>
      </c>
      <c r="Z2420" s="1">
        <v>159</v>
      </c>
      <c r="AA2420" s="1">
        <v>1.6224489795918366</v>
      </c>
      <c r="AB2420" s="1">
        <v>94.729523532852909</v>
      </c>
      <c r="AC2420" s="1">
        <v>158.63702055259179</v>
      </c>
      <c r="AD2420" s="1">
        <v>1.674631251550371</v>
      </c>
      <c r="AE2420" t="s">
        <v>4817</v>
      </c>
      <c r="AF2420" t="str">
        <f>IF(X2420&lt;$AF$1,"Bajo","Alto")</f>
        <v>Bajo</v>
      </c>
      <c r="AG2420" t="str">
        <f>LEFT(AE2420,1)</f>
        <v>C</v>
      </c>
      <c r="AH2420" t="str">
        <f>K2420</f>
        <v>M</v>
      </c>
      <c r="AI2420" t="str">
        <f>LEFT(AF2420,1)</f>
        <v>B</v>
      </c>
      <c r="AJ2420" t="str">
        <f>LEFT(M2420,1)</f>
        <v>M</v>
      </c>
      <c r="AK2420" t="str">
        <f>_xlfn.CONCAT(AG2420,AH2420,AI2420,AJ2420)</f>
        <v>CMBM</v>
      </c>
    </row>
    <row r="2421" spans="1:37" ht="15.75" hidden="1" customHeight="1" x14ac:dyDescent="0.2">
      <c r="A2421" s="1">
        <v>642602</v>
      </c>
      <c r="B2421" s="1" t="s">
        <v>4718</v>
      </c>
      <c r="C2421" s="1" t="s">
        <v>710</v>
      </c>
      <c r="D2421" s="1" t="s">
        <v>4767</v>
      </c>
      <c r="E2421" s="1" t="s">
        <v>968</v>
      </c>
      <c r="F2421" s="1" t="s">
        <v>37</v>
      </c>
      <c r="G2421" s="1" t="s">
        <v>4769</v>
      </c>
      <c r="H2421" s="1">
        <v>369</v>
      </c>
      <c r="I2421" s="1" t="s">
        <v>65</v>
      </c>
      <c r="J2421" s="1">
        <v>2</v>
      </c>
      <c r="K2421" s="1" t="s">
        <v>35</v>
      </c>
      <c r="L2421" s="1">
        <v>39</v>
      </c>
      <c r="M2421" s="1" t="str">
        <f>IF(L2421&lt;=45,"Joven","Mayor")</f>
        <v>Joven</v>
      </c>
      <c r="N2421" s="1">
        <v>36</v>
      </c>
      <c r="O2421" s="1" t="s">
        <v>36</v>
      </c>
      <c r="P2421" s="1">
        <v>0.36499999999999999</v>
      </c>
      <c r="Q2421" s="1">
        <v>81.510999999999996</v>
      </c>
      <c r="R2421" s="1">
        <v>10.270223</v>
      </c>
      <c r="S2421" s="1">
        <v>-0.24870938000000001</v>
      </c>
      <c r="T2421" s="1">
        <v>-5.4018683000000003</v>
      </c>
      <c r="U2421" s="1">
        <v>15.778</v>
      </c>
      <c r="V2421" s="1">
        <v>77</v>
      </c>
      <c r="W2421" s="1">
        <v>138</v>
      </c>
      <c r="X2421" s="1">
        <v>1.7922077922077921</v>
      </c>
      <c r="Y2421" s="1">
        <v>78</v>
      </c>
      <c r="Z2421" s="1">
        <v>138</v>
      </c>
      <c r="AA2421" s="1">
        <v>1.7692307692307692</v>
      </c>
      <c r="AB2421" s="1">
        <v>81.419224902093219</v>
      </c>
      <c r="AC2421" s="1">
        <v>137.57540911706431</v>
      </c>
      <c r="AD2421" s="1">
        <v>1.6897165169835382</v>
      </c>
      <c r="AE2421" t="s">
        <v>4817</v>
      </c>
      <c r="AF2421" t="str">
        <f>IF(X2421&lt;$AF$1,"Bajo","Alto")</f>
        <v>Alto</v>
      </c>
      <c r="AG2421" t="str">
        <f>LEFT(AE2421,1)</f>
        <v>C</v>
      </c>
      <c r="AH2421" t="str">
        <f>K2421</f>
        <v>M</v>
      </c>
      <c r="AI2421" t="str">
        <f>LEFT(AF2421,1)</f>
        <v>A</v>
      </c>
      <c r="AJ2421" t="str">
        <f>LEFT(M2421,1)</f>
        <v>J</v>
      </c>
      <c r="AK2421" t="str">
        <f>_xlfn.CONCAT(AG2421,AH2421,AI2421,AJ2421)</f>
        <v>CMAJ</v>
      </c>
    </row>
    <row r="2422" spans="1:37" ht="15.75" hidden="1" customHeight="1" x14ac:dyDescent="0.2">
      <c r="A2422" s="1">
        <v>1524404</v>
      </c>
      <c r="B2422" s="1" t="s">
        <v>2077</v>
      </c>
      <c r="C2422" s="1" t="s">
        <v>57</v>
      </c>
      <c r="D2422" s="1" t="s">
        <v>2300</v>
      </c>
      <c r="E2422" s="1" t="s">
        <v>491</v>
      </c>
      <c r="F2422" s="1" t="s">
        <v>61</v>
      </c>
      <c r="G2422" s="1" t="s">
        <v>2301</v>
      </c>
      <c r="H2422" s="1">
        <v>2600</v>
      </c>
      <c r="I2422" s="1" t="s">
        <v>2302</v>
      </c>
      <c r="J2422" s="1">
        <v>2797</v>
      </c>
      <c r="K2422" s="1" t="s">
        <v>35</v>
      </c>
      <c r="L2422" s="1">
        <v>54</v>
      </c>
      <c r="M2422" s="1" t="str">
        <f>IF(L2422&lt;=45,"Joven","Mayor")</f>
        <v>Mayor</v>
      </c>
      <c r="N2422" s="1">
        <v>64</v>
      </c>
      <c r="O2422" s="1" t="s">
        <v>36</v>
      </c>
      <c r="P2422" s="1">
        <v>0.35099999999999998</v>
      </c>
      <c r="Q2422" s="1">
        <v>86.507999999999996</v>
      </c>
      <c r="R2422" s="1">
        <v>8.2786770000000001</v>
      </c>
      <c r="S2422" s="1">
        <v>-0.46308254999999998</v>
      </c>
      <c r="T2422" s="1">
        <v>-4.7778130000000001</v>
      </c>
      <c r="U2422" s="1">
        <v>1.1970000000000001</v>
      </c>
      <c r="V2422" s="1">
        <v>91</v>
      </c>
      <c r="W2422" s="1">
        <v>159</v>
      </c>
      <c r="X2422" s="1">
        <v>1.7472527472527473</v>
      </c>
      <c r="Y2422" s="1">
        <v>92</v>
      </c>
      <c r="Z2422" s="1">
        <v>159</v>
      </c>
      <c r="AA2422" s="1">
        <v>1.7282608695652173</v>
      </c>
      <c r="AB2422" s="1">
        <v>95.261871496811864</v>
      </c>
      <c r="AC2422" s="1">
        <v>158.4475048325148</v>
      </c>
      <c r="AD2422" s="1">
        <v>1.663283560808666</v>
      </c>
      <c r="AE2422" t="s">
        <v>4817</v>
      </c>
      <c r="AF2422" t="str">
        <f>IF(X2422&lt;$AF$1,"Bajo","Alto")</f>
        <v>Bajo</v>
      </c>
      <c r="AG2422" t="str">
        <f>LEFT(AE2422,1)</f>
        <v>C</v>
      </c>
      <c r="AH2422" t="str">
        <f>K2422</f>
        <v>M</v>
      </c>
      <c r="AI2422" t="str">
        <f>LEFT(AF2422,1)</f>
        <v>B</v>
      </c>
      <c r="AJ2422" t="str">
        <f>LEFT(M2422,1)</f>
        <v>M</v>
      </c>
      <c r="AK2422" t="str">
        <f>_xlfn.CONCAT(AG2422,AH2422,AI2422,AJ2422)</f>
        <v>CMBM</v>
      </c>
    </row>
    <row r="2423" spans="1:37" ht="15.75" hidden="1" customHeight="1" x14ac:dyDescent="0.2">
      <c r="A2423" s="1">
        <v>10128202</v>
      </c>
      <c r="B2423" s="1" t="s">
        <v>29</v>
      </c>
      <c r="C2423" s="1" t="s">
        <v>30</v>
      </c>
      <c r="D2423" s="1" t="s">
        <v>564</v>
      </c>
      <c r="E2423" s="1" t="s">
        <v>565</v>
      </c>
      <c r="F2423" s="1" t="s">
        <v>37</v>
      </c>
      <c r="G2423" s="1" t="s">
        <v>567</v>
      </c>
      <c r="H2423" s="1">
        <v>2404</v>
      </c>
      <c r="I2423" s="1" t="s">
        <v>65</v>
      </c>
      <c r="J2423" s="1">
        <v>2</v>
      </c>
      <c r="K2423" s="1" t="s">
        <v>35</v>
      </c>
      <c r="L2423" s="1">
        <v>50</v>
      </c>
      <c r="M2423" s="1" t="str">
        <f>IF(L2423&lt;=45,"Joven","Mayor")</f>
        <v>Mayor</v>
      </c>
      <c r="N2423" s="1">
        <v>46</v>
      </c>
      <c r="O2423" s="1" t="s">
        <v>36</v>
      </c>
      <c r="P2423" s="1">
        <v>0.30499999999999999</v>
      </c>
      <c r="Q2423" s="1">
        <v>87.613</v>
      </c>
      <c r="R2423" s="1">
        <v>6.4053754999999999</v>
      </c>
      <c r="S2423" s="1">
        <v>-6.1060394999999996</v>
      </c>
      <c r="T2423" s="1">
        <v>-1.1903845</v>
      </c>
      <c r="U2423" s="1">
        <v>0.89400000000000002</v>
      </c>
      <c r="V2423" s="1">
        <v>96</v>
      </c>
      <c r="W2423" s="1">
        <v>172</v>
      </c>
      <c r="X2423" s="1">
        <v>1.7916666666666667</v>
      </c>
      <c r="Y2423" s="1">
        <v>100</v>
      </c>
      <c r="Z2423" s="1">
        <v>172</v>
      </c>
      <c r="AA2423" s="1">
        <v>1.72</v>
      </c>
      <c r="AB2423" s="1">
        <v>100.7678545016629</v>
      </c>
      <c r="AC2423" s="1">
        <v>171.85900647624379</v>
      </c>
      <c r="AD2423" s="1">
        <v>1.7054943496232495</v>
      </c>
      <c r="AE2423" t="s">
        <v>4817</v>
      </c>
      <c r="AF2423" t="str">
        <f>IF(X2423&lt;$AF$1,"Bajo","Alto")</f>
        <v>Alto</v>
      </c>
      <c r="AG2423" t="str">
        <f>LEFT(AE2423,1)</f>
        <v>C</v>
      </c>
      <c r="AH2423" t="str">
        <f>K2423</f>
        <v>M</v>
      </c>
      <c r="AI2423" t="str">
        <f>LEFT(AF2423,1)</f>
        <v>A</v>
      </c>
      <c r="AJ2423" t="str">
        <f>LEFT(M2423,1)</f>
        <v>M</v>
      </c>
      <c r="AK2423" t="str">
        <f>_xlfn.CONCAT(AG2423,AH2423,AI2423,AJ2423)</f>
        <v>CMAM</v>
      </c>
    </row>
    <row r="2424" spans="1:37" ht="15.75" hidden="1" customHeight="1" x14ac:dyDescent="0.2">
      <c r="A2424" s="1">
        <v>1030102</v>
      </c>
      <c r="B2424" s="1" t="s">
        <v>783</v>
      </c>
      <c r="C2424" s="1" t="s">
        <v>81</v>
      </c>
      <c r="D2424" s="1" t="s">
        <v>784</v>
      </c>
      <c r="E2424" s="1" t="s">
        <v>32</v>
      </c>
      <c r="F2424" s="1" t="s">
        <v>37</v>
      </c>
      <c r="G2424" s="1" t="s">
        <v>786</v>
      </c>
      <c r="H2424" s="1">
        <v>20142</v>
      </c>
      <c r="I2424" s="1" t="s">
        <v>48</v>
      </c>
      <c r="J2424" s="1">
        <v>4</v>
      </c>
      <c r="K2424" s="1" t="s">
        <v>35</v>
      </c>
      <c r="L2424" s="1">
        <v>42</v>
      </c>
      <c r="M2424" s="1" t="str">
        <f>IF(L2424&lt;=45,"Joven","Mayor")</f>
        <v>Joven</v>
      </c>
      <c r="N2424" s="1">
        <v>38</v>
      </c>
      <c r="O2424" s="1" t="s">
        <v>36</v>
      </c>
      <c r="P2424" s="1">
        <v>0.75900000000000001</v>
      </c>
      <c r="Q2424" s="1">
        <v>93.293000000000006</v>
      </c>
      <c r="R2424" s="1">
        <v>1.0332965999999999</v>
      </c>
      <c r="S2424" s="1">
        <v>-5.1174054</v>
      </c>
      <c r="T2424" s="1">
        <v>-3.7522476</v>
      </c>
      <c r="U2424" s="1">
        <v>11.561999999999999</v>
      </c>
      <c r="V2424" s="1">
        <v>91</v>
      </c>
      <c r="W2424" s="1">
        <v>163</v>
      </c>
      <c r="X2424" s="1">
        <v>1.7912087912087913</v>
      </c>
      <c r="Y2424" s="1">
        <v>93</v>
      </c>
      <c r="Z2424" s="1">
        <v>163</v>
      </c>
      <c r="AA2424" s="1">
        <v>1.7526881720430108</v>
      </c>
      <c r="AB2424" s="1">
        <v>95.876428026570693</v>
      </c>
      <c r="AC2424" s="1">
        <v>162.58514389098539</v>
      </c>
      <c r="AD2424" s="1">
        <v>1.6957780680557624</v>
      </c>
      <c r="AE2424" t="s">
        <v>4817</v>
      </c>
      <c r="AF2424" t="str">
        <f>IF(X2424&lt;$AF$1,"Bajo","Alto")</f>
        <v>Alto</v>
      </c>
      <c r="AG2424" t="str">
        <f>LEFT(AE2424,1)</f>
        <v>C</v>
      </c>
      <c r="AH2424" t="str">
        <f>K2424</f>
        <v>M</v>
      </c>
      <c r="AI2424" t="str">
        <f>LEFT(AF2424,1)</f>
        <v>A</v>
      </c>
      <c r="AJ2424" t="str">
        <f>LEFT(M2424,1)</f>
        <v>J</v>
      </c>
      <c r="AK2424" t="str">
        <f>_xlfn.CONCAT(AG2424,AH2424,AI2424,AJ2424)</f>
        <v>CMAJ</v>
      </c>
    </row>
    <row r="2425" spans="1:37" ht="15.75" hidden="1" customHeight="1" x14ac:dyDescent="0.2">
      <c r="A2425" s="1">
        <v>245402</v>
      </c>
      <c r="B2425" s="1" t="s">
        <v>1548</v>
      </c>
      <c r="C2425" s="1" t="s">
        <v>1993</v>
      </c>
      <c r="D2425" s="1" t="s">
        <v>3147</v>
      </c>
      <c r="E2425" s="1" t="s">
        <v>3148</v>
      </c>
      <c r="F2425" s="1" t="s">
        <v>37</v>
      </c>
      <c r="G2425" s="1" t="s">
        <v>3150</v>
      </c>
      <c r="H2425" s="1">
        <v>2126</v>
      </c>
      <c r="I2425" s="1" t="s">
        <v>39</v>
      </c>
      <c r="J2425" s="1">
        <v>11</v>
      </c>
      <c r="K2425" s="1" t="s">
        <v>35</v>
      </c>
      <c r="L2425" s="1">
        <v>31</v>
      </c>
      <c r="M2425" s="1" t="str">
        <f>IF(L2425&lt;=45,"Joven","Mayor")</f>
        <v>Joven</v>
      </c>
      <c r="N2425" s="1">
        <v>44</v>
      </c>
      <c r="O2425" s="1" t="s">
        <v>36</v>
      </c>
      <c r="P2425" s="1">
        <v>0.48499999999999999</v>
      </c>
      <c r="Q2425" s="1">
        <v>92.1</v>
      </c>
      <c r="R2425" s="1">
        <v>4.1793145999999997</v>
      </c>
      <c r="S2425" s="1">
        <v>1.0658730999999999</v>
      </c>
      <c r="T2425" s="1">
        <v>-0.59997129999999999</v>
      </c>
      <c r="U2425" s="1">
        <v>30.225000000000001</v>
      </c>
      <c r="V2425" s="1">
        <v>61</v>
      </c>
      <c r="W2425" s="1">
        <v>110</v>
      </c>
      <c r="X2425" s="1">
        <v>1.8032786885245902</v>
      </c>
      <c r="Y2425" s="1">
        <v>62</v>
      </c>
      <c r="Z2425" s="1">
        <v>110</v>
      </c>
      <c r="AA2425" s="1">
        <v>1.7741935483870968</v>
      </c>
      <c r="AB2425" s="1">
        <v>61.692933612077468</v>
      </c>
      <c r="AC2425" s="1">
        <v>110.0044404904224</v>
      </c>
      <c r="AD2425" s="1">
        <v>1.7830962810445297</v>
      </c>
      <c r="AE2425" t="s">
        <v>4816</v>
      </c>
      <c r="AF2425" t="str">
        <f>IF(X2425&lt;$AF$1,"Bajo","Alto")</f>
        <v>Alto</v>
      </c>
      <c r="AG2425" t="str">
        <f>LEFT(AE2425,1)</f>
        <v>D</v>
      </c>
      <c r="AH2425" t="str">
        <f>K2425</f>
        <v>M</v>
      </c>
      <c r="AI2425" t="str">
        <f>LEFT(AF2425,1)</f>
        <v>A</v>
      </c>
      <c r="AJ2425" t="str">
        <f>LEFT(M2425,1)</f>
        <v>J</v>
      </c>
      <c r="AK2425" t="str">
        <f>_xlfn.CONCAT(AG2425,AH2425,AI2425,AJ2425)</f>
        <v>DMAJ</v>
      </c>
    </row>
    <row r="2426" spans="1:37" ht="15.75" hidden="1" customHeight="1" x14ac:dyDescent="0.2">
      <c r="A2426" s="1">
        <v>1076801</v>
      </c>
      <c r="B2426" s="1" t="s">
        <v>1067</v>
      </c>
      <c r="C2426" s="1" t="s">
        <v>1068</v>
      </c>
      <c r="D2426" s="1" t="s">
        <v>1478</v>
      </c>
      <c r="E2426" s="1" t="s">
        <v>1479</v>
      </c>
      <c r="F2426" s="1" t="s">
        <v>32</v>
      </c>
      <c r="G2426" s="1" t="s">
        <v>1480</v>
      </c>
      <c r="H2426" s="1">
        <v>292</v>
      </c>
      <c r="I2426" s="1" t="s">
        <v>85</v>
      </c>
      <c r="J2426" s="1">
        <v>12</v>
      </c>
      <c r="K2426" s="1" t="s">
        <v>35</v>
      </c>
      <c r="L2426" s="1">
        <v>28</v>
      </c>
      <c r="M2426" s="1" t="str">
        <f>IF(L2426&lt;=45,"Joven","Mayor")</f>
        <v>Joven</v>
      </c>
      <c r="N2426" s="1">
        <v>35</v>
      </c>
      <c r="O2426" s="1" t="s">
        <v>36</v>
      </c>
      <c r="P2426" s="1">
        <v>0.39300000000000002</v>
      </c>
      <c r="Q2426" s="1">
        <v>92.373000000000005</v>
      </c>
      <c r="R2426" s="1">
        <v>-3.8513684000000001</v>
      </c>
      <c r="S2426" s="1">
        <v>1.2832986</v>
      </c>
      <c r="T2426" s="1">
        <v>1.4641032</v>
      </c>
      <c r="U2426" s="1">
        <v>44.776000000000003</v>
      </c>
      <c r="V2426" s="1">
        <v>84</v>
      </c>
      <c r="W2426" s="1">
        <v>151</v>
      </c>
      <c r="X2426" s="1">
        <v>1.7976190476190477</v>
      </c>
      <c r="Y2426" s="1">
        <v>86</v>
      </c>
      <c r="Z2426" s="1">
        <v>151</v>
      </c>
      <c r="AA2426" s="1">
        <v>1.7558139534883721</v>
      </c>
      <c r="AB2426" s="1">
        <v>86.86619592124498</v>
      </c>
      <c r="AC2426" s="1">
        <v>150.95070289290109</v>
      </c>
      <c r="AD2426" s="1">
        <v>1.7377381533980916</v>
      </c>
      <c r="AE2426" t="s">
        <v>4815</v>
      </c>
      <c r="AF2426" t="str">
        <f>IF(X2426&lt;$AF$1,"Bajo","Alto")</f>
        <v>Alto</v>
      </c>
      <c r="AG2426" t="str">
        <f>LEFT(AE2426,1)</f>
        <v>I</v>
      </c>
      <c r="AH2426" t="str">
        <f>K2426</f>
        <v>M</v>
      </c>
      <c r="AI2426" t="str">
        <f>LEFT(AF2426,1)</f>
        <v>A</v>
      </c>
      <c r="AJ2426" t="str">
        <f>LEFT(M2426,1)</f>
        <v>J</v>
      </c>
      <c r="AK2426" t="str">
        <f>_xlfn.CONCAT(AG2426,AH2426,AI2426,AJ2426)</f>
        <v>IMAJ</v>
      </c>
    </row>
    <row r="2427" spans="1:37" ht="15.75" hidden="1" customHeight="1" x14ac:dyDescent="0.2">
      <c r="A2427" s="1">
        <v>10119902</v>
      </c>
      <c r="B2427" s="1" t="s">
        <v>29</v>
      </c>
      <c r="C2427" s="1" t="s">
        <v>30</v>
      </c>
      <c r="D2427" s="1" t="s">
        <v>354</v>
      </c>
      <c r="E2427" s="1" t="s">
        <v>355</v>
      </c>
      <c r="F2427" s="1" t="s">
        <v>37</v>
      </c>
      <c r="G2427" s="1" t="s">
        <v>356</v>
      </c>
      <c r="H2427" s="1">
        <v>5</v>
      </c>
      <c r="I2427" s="1" t="s">
        <v>39</v>
      </c>
      <c r="J2427" s="1">
        <v>11</v>
      </c>
      <c r="K2427" s="1" t="s">
        <v>35</v>
      </c>
      <c r="L2427" s="1">
        <v>57</v>
      </c>
      <c r="M2427" s="1" t="str">
        <f>IF(L2427&lt;=45,"Joven","Mayor")</f>
        <v>Mayor</v>
      </c>
      <c r="N2427" s="1">
        <v>48</v>
      </c>
      <c r="O2427" s="1" t="s">
        <v>36</v>
      </c>
      <c r="P2427" s="1">
        <v>0.05</v>
      </c>
      <c r="Q2427" s="1">
        <v>94.087999999999994</v>
      </c>
      <c r="R2427" s="1">
        <v>1.7280183</v>
      </c>
      <c r="S2427" s="1">
        <v>-0.57632874999999995</v>
      </c>
      <c r="T2427" s="1">
        <v>1.0388875</v>
      </c>
      <c r="U2427" s="1">
        <v>2.09</v>
      </c>
      <c r="V2427" s="1">
        <v>109</v>
      </c>
      <c r="W2427" s="1">
        <v>191</v>
      </c>
      <c r="X2427" s="1">
        <v>1.7522935779816513</v>
      </c>
      <c r="Y2427" s="1">
        <v>112</v>
      </c>
      <c r="Z2427" s="1">
        <v>191</v>
      </c>
      <c r="AA2427" s="1">
        <v>1.7053571428571428</v>
      </c>
      <c r="AB2427" s="1">
        <v>111.0569076923309</v>
      </c>
      <c r="AC2427" s="1">
        <v>190.93234132665609</v>
      </c>
      <c r="AD2427" s="1">
        <v>1.7192297651183479</v>
      </c>
      <c r="AE2427" t="s">
        <v>4816</v>
      </c>
      <c r="AF2427" t="str">
        <f>IF(X2427&lt;$AF$1,"Bajo","Alto")</f>
        <v>Bajo</v>
      </c>
      <c r="AG2427" t="str">
        <f>LEFT(AE2427,1)</f>
        <v>D</v>
      </c>
      <c r="AH2427" t="str">
        <f>K2427</f>
        <v>M</v>
      </c>
      <c r="AI2427" t="str">
        <f>LEFT(AF2427,1)</f>
        <v>B</v>
      </c>
      <c r="AJ2427" t="str">
        <f>LEFT(M2427,1)</f>
        <v>M</v>
      </c>
      <c r="AK2427" t="str">
        <f>_xlfn.CONCAT(AG2427,AH2427,AI2427,AJ2427)</f>
        <v>DMBM</v>
      </c>
    </row>
    <row r="2428" spans="1:37" ht="15.75" hidden="1" customHeight="1" x14ac:dyDescent="0.2">
      <c r="A2428" s="1">
        <v>256102</v>
      </c>
      <c r="B2428" s="1" t="s">
        <v>3169</v>
      </c>
      <c r="C2428" s="1" t="s">
        <v>821</v>
      </c>
      <c r="D2428" s="1" t="s">
        <v>3285</v>
      </c>
      <c r="E2428" s="1" t="s">
        <v>701</v>
      </c>
      <c r="F2428" s="1" t="s">
        <v>37</v>
      </c>
      <c r="G2428" s="1" t="s">
        <v>3286</v>
      </c>
      <c r="H2428" s="1">
        <v>7744</v>
      </c>
      <c r="I2428" s="1" t="s">
        <v>85</v>
      </c>
      <c r="J2428" s="1">
        <v>12</v>
      </c>
      <c r="K2428" s="1" t="s">
        <v>35</v>
      </c>
      <c r="L2428" s="1">
        <v>47</v>
      </c>
      <c r="M2428" s="1" t="str">
        <f>IF(L2428&lt;=45,"Joven","Mayor")</f>
        <v>Mayor</v>
      </c>
      <c r="N2428" s="1">
        <v>36</v>
      </c>
      <c r="O2428" s="1" t="s">
        <v>36</v>
      </c>
      <c r="P2428" s="1">
        <v>0.10100000000000001</v>
      </c>
      <c r="Q2428" s="1">
        <v>88.075999999999993</v>
      </c>
      <c r="R2428" s="1">
        <v>4.3987284000000004</v>
      </c>
      <c r="S2428" s="1">
        <v>10.171037999999999</v>
      </c>
      <c r="T2428" s="1">
        <v>-9.6675059999999995</v>
      </c>
      <c r="U2428" s="1">
        <v>4.6950000000000003</v>
      </c>
      <c r="V2428" s="1">
        <v>97</v>
      </c>
      <c r="W2428" s="1">
        <v>173</v>
      </c>
      <c r="X2428" s="1">
        <v>1.7835051546391754</v>
      </c>
      <c r="Y2428" s="1">
        <v>105</v>
      </c>
      <c r="Z2428" s="1">
        <v>173</v>
      </c>
      <c r="AA2428" s="1">
        <v>1.6476190476190475</v>
      </c>
      <c r="AB2428" s="1">
        <v>105.69830994250221</v>
      </c>
      <c r="AC2428" s="1">
        <v>172.55836772790599</v>
      </c>
      <c r="AD2428" s="1">
        <v>1.6325555992501142</v>
      </c>
      <c r="AE2428" t="s">
        <v>4815</v>
      </c>
      <c r="AF2428" t="str">
        <f>IF(X2428&lt;$AF$1,"Bajo","Alto")</f>
        <v>Alto</v>
      </c>
      <c r="AG2428" t="str">
        <f>LEFT(AE2428,1)</f>
        <v>I</v>
      </c>
      <c r="AH2428" t="str">
        <f>K2428</f>
        <v>M</v>
      </c>
      <c r="AI2428" t="str">
        <f>LEFT(AF2428,1)</f>
        <v>A</v>
      </c>
      <c r="AJ2428" t="str">
        <f>LEFT(M2428,1)</f>
        <v>M</v>
      </c>
      <c r="AK2428" t="str">
        <f>_xlfn.CONCAT(AG2428,AH2428,AI2428,AJ2428)</f>
        <v>IMAM</v>
      </c>
    </row>
    <row r="2429" spans="1:37" ht="15.75" hidden="1" customHeight="1" x14ac:dyDescent="0.2">
      <c r="A2429" s="1">
        <v>277104</v>
      </c>
      <c r="B2429" s="1" t="s">
        <v>3409</v>
      </c>
      <c r="C2429" s="1" t="s">
        <v>973</v>
      </c>
      <c r="D2429" s="1" t="s">
        <v>2584</v>
      </c>
      <c r="E2429" s="1" t="s">
        <v>3709</v>
      </c>
      <c r="F2429" s="1" t="s">
        <v>61</v>
      </c>
      <c r="G2429" s="1" t="s">
        <v>3714</v>
      </c>
      <c r="H2429" s="1">
        <v>3029</v>
      </c>
      <c r="I2429" s="1" t="s">
        <v>3715</v>
      </c>
      <c r="J2429" s="1">
        <v>4517</v>
      </c>
      <c r="K2429" s="1" t="s">
        <v>35</v>
      </c>
      <c r="L2429" s="1">
        <v>57</v>
      </c>
      <c r="M2429" s="1" t="str">
        <f>IF(L2429&lt;=45,"Joven","Mayor")</f>
        <v>Mayor</v>
      </c>
      <c r="N2429" s="1">
        <v>57</v>
      </c>
      <c r="O2429" s="1" t="s">
        <v>36</v>
      </c>
      <c r="P2429" s="1">
        <v>4.2000000000000003E-2</v>
      </c>
      <c r="Q2429" s="1">
        <v>79.691999999999993</v>
      </c>
      <c r="R2429" s="1">
        <v>10.911887999999999</v>
      </c>
      <c r="S2429" s="1">
        <v>-5.8372500000000004E-3</v>
      </c>
      <c r="T2429" s="1">
        <v>-5.0622660000000002</v>
      </c>
      <c r="U2429" s="1">
        <v>14.865</v>
      </c>
      <c r="V2429" s="1">
        <v>99</v>
      </c>
      <c r="W2429" s="1">
        <v>173</v>
      </c>
      <c r="X2429" s="1">
        <v>1.7474747474747474</v>
      </c>
      <c r="Y2429" s="1">
        <v>100</v>
      </c>
      <c r="Z2429" s="1">
        <v>173</v>
      </c>
      <c r="AA2429" s="1">
        <v>1.73</v>
      </c>
      <c r="AB2429" s="1">
        <v>102.5845635766577</v>
      </c>
      <c r="AC2429" s="1">
        <v>171.61928867919099</v>
      </c>
      <c r="AD2429" s="1">
        <v>1.6729543188137284</v>
      </c>
      <c r="AE2429" t="s">
        <v>4817</v>
      </c>
      <c r="AF2429" t="str">
        <f>IF(X2429&lt;$AF$1,"Bajo","Alto")</f>
        <v>Bajo</v>
      </c>
      <c r="AG2429" t="str">
        <f>LEFT(AE2429,1)</f>
        <v>C</v>
      </c>
      <c r="AH2429" t="str">
        <f>K2429</f>
        <v>M</v>
      </c>
      <c r="AI2429" t="str">
        <f>LEFT(AF2429,1)</f>
        <v>B</v>
      </c>
      <c r="AJ2429" t="str">
        <f>LEFT(M2429,1)</f>
        <v>M</v>
      </c>
      <c r="AK2429" t="str">
        <f>_xlfn.CONCAT(AG2429,AH2429,AI2429,AJ2429)</f>
        <v>CMBM</v>
      </c>
    </row>
    <row r="2430" spans="1:37" ht="15.75" hidden="1" customHeight="1" x14ac:dyDescent="0.2">
      <c r="A2430" s="1">
        <v>4654010</v>
      </c>
      <c r="B2430" s="1" t="s">
        <v>4382</v>
      </c>
      <c r="C2430" s="1" t="s">
        <v>669</v>
      </c>
      <c r="D2430" s="1" t="s">
        <v>4407</v>
      </c>
      <c r="E2430" s="1" t="s">
        <v>4408</v>
      </c>
      <c r="F2430" s="1" t="s">
        <v>75</v>
      </c>
      <c r="G2430" s="1" t="s">
        <v>4413</v>
      </c>
      <c r="H2430" s="1">
        <v>127</v>
      </c>
      <c r="I2430" s="1" t="s">
        <v>134</v>
      </c>
      <c r="J2430" s="1">
        <v>8</v>
      </c>
      <c r="K2430" s="1" t="s">
        <v>35</v>
      </c>
      <c r="L2430" s="1">
        <v>48</v>
      </c>
      <c r="M2430" s="1" t="str">
        <f>IF(L2430&lt;=45,"Joven","Mayor")</f>
        <v>Mayor</v>
      </c>
      <c r="N2430" s="1">
        <v>55</v>
      </c>
      <c r="O2430" s="1" t="s">
        <v>36</v>
      </c>
      <c r="P2430" s="1">
        <v>0.35899999999999999</v>
      </c>
      <c r="Q2430" s="1">
        <v>93.343999999999994</v>
      </c>
      <c r="R2430" s="1">
        <v>2.193838</v>
      </c>
      <c r="S2430" s="1">
        <v>-2.5798990000000002</v>
      </c>
      <c r="T2430" s="1">
        <v>-2.2637744</v>
      </c>
      <c r="U2430" s="1">
        <v>37.813000000000002</v>
      </c>
      <c r="V2430" s="1">
        <v>115</v>
      </c>
      <c r="W2430" s="1">
        <v>201</v>
      </c>
      <c r="X2430" s="1">
        <v>1.7478260869565216</v>
      </c>
      <c r="Y2430" s="1">
        <v>116</v>
      </c>
      <c r="Z2430" s="1">
        <v>201</v>
      </c>
      <c r="AA2430" s="1">
        <v>1.7327586206896552</v>
      </c>
      <c r="AB2430" s="1">
        <v>117.0432524781781</v>
      </c>
      <c r="AC2430" s="1">
        <v>201.11963362758891</v>
      </c>
      <c r="AD2430" s="1">
        <v>1.7183359943375314</v>
      </c>
      <c r="AE2430" t="s">
        <v>4817</v>
      </c>
      <c r="AF2430" t="str">
        <f>IF(X2430&lt;$AF$1,"Bajo","Alto")</f>
        <v>Bajo</v>
      </c>
      <c r="AG2430" t="str">
        <f>LEFT(AE2430,1)</f>
        <v>C</v>
      </c>
      <c r="AH2430" t="str">
        <f>K2430</f>
        <v>M</v>
      </c>
      <c r="AI2430" t="str">
        <f>LEFT(AF2430,1)</f>
        <v>B</v>
      </c>
      <c r="AJ2430" t="str">
        <f>LEFT(M2430,1)</f>
        <v>M</v>
      </c>
      <c r="AK2430" t="str">
        <f>_xlfn.CONCAT(AG2430,AH2430,AI2430,AJ2430)</f>
        <v>CMBM</v>
      </c>
    </row>
    <row r="2431" spans="1:37" ht="15.75" hidden="1" customHeight="1" x14ac:dyDescent="0.2">
      <c r="A2431" s="1">
        <v>1093705</v>
      </c>
      <c r="B2431" s="1" t="s">
        <v>719</v>
      </c>
      <c r="C2431" s="1" t="s">
        <v>98</v>
      </c>
      <c r="D2431" s="1" t="s">
        <v>1602</v>
      </c>
      <c r="E2431" s="1" t="s">
        <v>647</v>
      </c>
      <c r="F2431" s="1" t="s">
        <v>40</v>
      </c>
      <c r="G2431" s="1" t="s">
        <v>1607</v>
      </c>
      <c r="H2431" s="1">
        <v>2549</v>
      </c>
      <c r="I2431" s="1" t="s">
        <v>134</v>
      </c>
      <c r="J2431" s="1">
        <v>8</v>
      </c>
      <c r="K2431" s="1" t="s">
        <v>35</v>
      </c>
      <c r="L2431" s="1">
        <v>44</v>
      </c>
      <c r="M2431" s="1" t="str">
        <f>IF(L2431&lt;=45,"Joven","Mayor")</f>
        <v>Joven</v>
      </c>
      <c r="N2431" s="1">
        <v>38</v>
      </c>
      <c r="O2431" s="1" t="s">
        <v>36</v>
      </c>
      <c r="P2431" s="1">
        <v>1.1279999999999999</v>
      </c>
      <c r="Q2431" s="1">
        <v>93.233999999999995</v>
      </c>
      <c r="R2431" s="1">
        <v>2.6788242000000002</v>
      </c>
      <c r="S2431" s="1">
        <v>0.53190523000000001</v>
      </c>
      <c r="T2431" s="1">
        <v>-1.84962</v>
      </c>
      <c r="U2431" s="1">
        <v>0.89</v>
      </c>
      <c r="V2431" s="1">
        <v>96</v>
      </c>
      <c r="W2431" s="1">
        <v>168</v>
      </c>
      <c r="X2431" s="1">
        <v>1.75</v>
      </c>
      <c r="Y2431" s="1">
        <v>96</v>
      </c>
      <c r="Z2431" s="1">
        <v>168</v>
      </c>
      <c r="AA2431" s="1">
        <v>1.75</v>
      </c>
      <c r="AB2431" s="1">
        <v>97.499247257213028</v>
      </c>
      <c r="AC2431" s="1">
        <v>167.88019276050139</v>
      </c>
      <c r="AD2431" s="1">
        <v>1.7218614244027566</v>
      </c>
      <c r="AE2431" t="s">
        <v>4817</v>
      </c>
      <c r="AF2431" t="str">
        <f>IF(X2431&lt;$AF$1,"Bajo","Alto")</f>
        <v>Bajo</v>
      </c>
      <c r="AG2431" t="str">
        <f>LEFT(AE2431,1)</f>
        <v>C</v>
      </c>
      <c r="AH2431" t="str">
        <f>K2431</f>
        <v>M</v>
      </c>
      <c r="AI2431" t="str">
        <f>LEFT(AF2431,1)</f>
        <v>B</v>
      </c>
      <c r="AJ2431" t="str">
        <f>LEFT(M2431,1)</f>
        <v>J</v>
      </c>
      <c r="AK2431" t="str">
        <f>_xlfn.CONCAT(AG2431,AH2431,AI2431,AJ2431)</f>
        <v>CMBJ</v>
      </c>
    </row>
    <row r="2432" spans="1:37" ht="15.75" hidden="1" customHeight="1" x14ac:dyDescent="0.2">
      <c r="A2432" s="1">
        <v>293402</v>
      </c>
      <c r="B2432" s="1" t="s">
        <v>3890</v>
      </c>
      <c r="C2432" s="1" t="s">
        <v>1695</v>
      </c>
      <c r="D2432" s="1" t="s">
        <v>3995</v>
      </c>
      <c r="E2432" s="1" t="s">
        <v>634</v>
      </c>
      <c r="F2432" s="1" t="s">
        <v>37</v>
      </c>
      <c r="G2432" s="1" t="s">
        <v>3997</v>
      </c>
      <c r="H2432" s="1">
        <v>0</v>
      </c>
      <c r="I2432" s="1" t="s">
        <v>48</v>
      </c>
      <c r="J2432" s="1">
        <v>4</v>
      </c>
      <c r="K2432" s="1" t="s">
        <v>35</v>
      </c>
      <c r="L2432" s="1">
        <v>51</v>
      </c>
      <c r="M2432" s="1" t="str">
        <f>IF(L2432&lt;=45,"Joven","Mayor")</f>
        <v>Mayor</v>
      </c>
      <c r="N2432" s="1">
        <v>51</v>
      </c>
      <c r="O2432" s="1" t="s">
        <v>36</v>
      </c>
      <c r="P2432" s="1">
        <v>0.47199999999999998</v>
      </c>
      <c r="Q2432" s="1">
        <v>86.378</v>
      </c>
      <c r="R2432" s="1">
        <v>8.3499949999999998</v>
      </c>
      <c r="S2432" s="1">
        <v>-0.22618084999999999</v>
      </c>
      <c r="T2432" s="1">
        <v>-11.137822</v>
      </c>
      <c r="U2432" s="1">
        <v>4.048</v>
      </c>
      <c r="V2432" s="1">
        <v>91</v>
      </c>
      <c r="W2432" s="1">
        <v>163</v>
      </c>
      <c r="X2432" s="1">
        <v>1.7912087912087913</v>
      </c>
      <c r="Y2432" s="1">
        <v>96</v>
      </c>
      <c r="Z2432" s="1">
        <v>163</v>
      </c>
      <c r="AA2432" s="1">
        <v>1.6979166666666667</v>
      </c>
      <c r="AB2432" s="1">
        <v>97.399175167999829</v>
      </c>
      <c r="AC2432" s="1">
        <v>161.47531170410409</v>
      </c>
      <c r="AD2432" s="1">
        <v>1.6578714493791344</v>
      </c>
      <c r="AE2432" t="s">
        <v>4817</v>
      </c>
      <c r="AF2432" t="str">
        <f>IF(X2432&lt;$AF$1,"Bajo","Alto")</f>
        <v>Alto</v>
      </c>
      <c r="AG2432" t="str">
        <f>LEFT(AE2432,1)</f>
        <v>C</v>
      </c>
      <c r="AH2432" t="str">
        <f>K2432</f>
        <v>M</v>
      </c>
      <c r="AI2432" t="str">
        <f>LEFT(AF2432,1)</f>
        <v>A</v>
      </c>
      <c r="AJ2432" t="str">
        <f>LEFT(M2432,1)</f>
        <v>M</v>
      </c>
      <c r="AK2432" t="str">
        <f>_xlfn.CONCAT(AG2432,AH2432,AI2432,AJ2432)</f>
        <v>CMAM</v>
      </c>
    </row>
    <row r="2433" spans="1:37" ht="15.75" hidden="1" customHeight="1" x14ac:dyDescent="0.2">
      <c r="A2433" s="1">
        <v>10711201</v>
      </c>
      <c r="B2433" s="1" t="s">
        <v>1067</v>
      </c>
      <c r="C2433" s="1" t="s">
        <v>1068</v>
      </c>
      <c r="D2433" s="1" t="s">
        <v>1110</v>
      </c>
      <c r="E2433" s="1" t="s">
        <v>106</v>
      </c>
      <c r="F2433" s="1" t="s">
        <v>32</v>
      </c>
      <c r="G2433" s="1" t="s">
        <v>1111</v>
      </c>
      <c r="H2433" s="1">
        <v>154</v>
      </c>
      <c r="I2433" s="1" t="s">
        <v>85</v>
      </c>
      <c r="J2433" s="1">
        <v>12</v>
      </c>
      <c r="K2433" s="1" t="s">
        <v>35</v>
      </c>
      <c r="L2433" s="1">
        <v>28</v>
      </c>
      <c r="M2433" s="1" t="str">
        <f>IF(L2433&lt;=45,"Joven","Mayor")</f>
        <v>Joven</v>
      </c>
      <c r="N2433" s="1">
        <v>24</v>
      </c>
      <c r="O2433" s="1" t="s">
        <v>36</v>
      </c>
      <c r="P2433" s="1">
        <v>0.39400000000000002</v>
      </c>
      <c r="Q2433" s="1">
        <v>87.314999999999998</v>
      </c>
      <c r="R2433" s="1">
        <v>4.9367080000000003</v>
      </c>
      <c r="S2433" s="1">
        <v>10.032731999999999</v>
      </c>
      <c r="T2433" s="1">
        <v>-1.8661379</v>
      </c>
      <c r="U2433" s="1">
        <v>57.158000000000001</v>
      </c>
      <c r="V2433" s="1">
        <v>63</v>
      </c>
      <c r="W2433" s="1">
        <v>110</v>
      </c>
      <c r="X2433" s="1">
        <v>1.746031746031746</v>
      </c>
      <c r="Y2433" s="1">
        <v>64</v>
      </c>
      <c r="Z2433" s="1">
        <v>110</v>
      </c>
      <c r="AA2433" s="1">
        <v>1.71875</v>
      </c>
      <c r="AB2433" s="1">
        <v>64.910427001738526</v>
      </c>
      <c r="AC2433" s="1">
        <v>109.9090954977009</v>
      </c>
      <c r="AD2433" s="1">
        <v>1.6932425278107808</v>
      </c>
      <c r="AE2433" t="s">
        <v>4815</v>
      </c>
      <c r="AF2433" t="str">
        <f>IF(X2433&lt;$AF$1,"Bajo","Alto")</f>
        <v>Bajo</v>
      </c>
      <c r="AG2433" t="str">
        <f>LEFT(AE2433,1)</f>
        <v>I</v>
      </c>
      <c r="AH2433" t="str">
        <f>K2433</f>
        <v>M</v>
      </c>
      <c r="AI2433" t="str">
        <f>LEFT(AF2433,1)</f>
        <v>B</v>
      </c>
      <c r="AJ2433" t="str">
        <f>LEFT(M2433,1)</f>
        <v>J</v>
      </c>
      <c r="AK2433" t="str">
        <f>_xlfn.CONCAT(AG2433,AH2433,AI2433,AJ2433)</f>
        <v>IMBJ</v>
      </c>
    </row>
    <row r="2434" spans="1:37" ht="15.75" hidden="1" customHeight="1" x14ac:dyDescent="0.2">
      <c r="A2434" s="1">
        <v>130706</v>
      </c>
      <c r="B2434" s="1" t="s">
        <v>956</v>
      </c>
      <c r="C2434" s="1" t="s">
        <v>163</v>
      </c>
      <c r="D2434" s="1" t="s">
        <v>1386</v>
      </c>
      <c r="E2434" s="1" t="s">
        <v>43</v>
      </c>
      <c r="F2434" s="1" t="s">
        <v>88</v>
      </c>
      <c r="G2434" s="1" t="s">
        <v>1964</v>
      </c>
      <c r="H2434" s="1">
        <v>171</v>
      </c>
      <c r="I2434" s="1" t="s">
        <v>48</v>
      </c>
      <c r="J2434" s="1">
        <v>4</v>
      </c>
      <c r="K2434" s="1" t="s">
        <v>35</v>
      </c>
      <c r="L2434" s="1">
        <v>61</v>
      </c>
      <c r="M2434" s="1" t="str">
        <f>IF(L2434&lt;=45,"Joven","Mayor")</f>
        <v>Mayor</v>
      </c>
      <c r="N2434" s="1">
        <v>62</v>
      </c>
      <c r="O2434" s="1" t="s">
        <v>36</v>
      </c>
      <c r="P2434" s="1">
        <v>0.19500000000000001</v>
      </c>
      <c r="Q2434" s="1">
        <v>93.516000000000005</v>
      </c>
      <c r="R2434" s="1">
        <v>2.2793014</v>
      </c>
      <c r="S2434" s="1">
        <v>-1.7128217999999999</v>
      </c>
      <c r="T2434" s="1">
        <v>-0.27042045999999997</v>
      </c>
      <c r="U2434" s="1">
        <v>2.4870000000000001</v>
      </c>
      <c r="V2434" s="1">
        <v>67</v>
      </c>
      <c r="W2434" s="1">
        <v>120</v>
      </c>
      <c r="X2434" s="1">
        <v>1.791044776119403</v>
      </c>
      <c r="Y2434" s="1">
        <v>68</v>
      </c>
      <c r="Z2434" s="1">
        <v>120</v>
      </c>
      <c r="AA2434" s="1">
        <v>1.7647058823529411</v>
      </c>
      <c r="AB2434" s="1">
        <v>68.150273339112118</v>
      </c>
      <c r="AC2434" s="1">
        <v>120.0081028726199</v>
      </c>
      <c r="AD2434" s="1">
        <v>1.7609335515863009</v>
      </c>
      <c r="AE2434" t="s">
        <v>4817</v>
      </c>
      <c r="AF2434" t="str">
        <f>IF(X2434&lt;$AF$1,"Bajo","Alto")</f>
        <v>Alto</v>
      </c>
      <c r="AG2434" t="str">
        <f>LEFT(AE2434,1)</f>
        <v>C</v>
      </c>
      <c r="AH2434" t="str">
        <f>K2434</f>
        <v>M</v>
      </c>
      <c r="AI2434" t="str">
        <f>LEFT(AF2434,1)</f>
        <v>A</v>
      </c>
      <c r="AJ2434" t="str">
        <f>LEFT(M2434,1)</f>
        <v>M</v>
      </c>
      <c r="AK2434" t="str">
        <f>_xlfn.CONCAT(AG2434,AH2434,AI2434,AJ2434)</f>
        <v>CMAM</v>
      </c>
    </row>
    <row r="2435" spans="1:37" ht="15.75" hidden="1" customHeight="1" x14ac:dyDescent="0.2">
      <c r="A2435" s="1">
        <v>212503</v>
      </c>
      <c r="B2435" s="1" t="s">
        <v>2816</v>
      </c>
      <c r="C2435" s="1" t="s">
        <v>2817</v>
      </c>
      <c r="D2435" s="1" t="s">
        <v>2850</v>
      </c>
      <c r="E2435" s="1" t="s">
        <v>821</v>
      </c>
      <c r="F2435" s="1" t="s">
        <v>63</v>
      </c>
      <c r="G2435" s="1" t="s">
        <v>2851</v>
      </c>
      <c r="H2435" s="1">
        <v>7543</v>
      </c>
      <c r="I2435" s="1" t="s">
        <v>91</v>
      </c>
      <c r="J2435" s="1">
        <v>6</v>
      </c>
      <c r="K2435" s="1" t="s">
        <v>35</v>
      </c>
      <c r="L2435" s="1">
        <v>35</v>
      </c>
      <c r="M2435" s="1" t="str">
        <f>IF(L2435&lt;=45,"Joven","Mayor")</f>
        <v>Joven</v>
      </c>
      <c r="N2435" s="1">
        <v>29</v>
      </c>
      <c r="O2435" s="1" t="s">
        <v>36</v>
      </c>
      <c r="P2435" s="1">
        <v>0.35799999999999998</v>
      </c>
      <c r="Q2435" s="1">
        <v>72.998999999999995</v>
      </c>
      <c r="R2435" s="1">
        <v>12.12017</v>
      </c>
      <c r="S2435" s="1">
        <v>-3.1829293000000001</v>
      </c>
      <c r="T2435" s="1">
        <v>-3.4285865000000002</v>
      </c>
      <c r="U2435" s="1">
        <v>2.1110000000000002</v>
      </c>
      <c r="V2435" s="1">
        <v>91</v>
      </c>
      <c r="W2435" s="1">
        <v>163</v>
      </c>
      <c r="X2435" s="1">
        <v>1.7912087912087913</v>
      </c>
      <c r="Y2435" s="1">
        <v>93</v>
      </c>
      <c r="Z2435" s="1">
        <v>163</v>
      </c>
      <c r="AA2435" s="1">
        <v>1.7526881720430108</v>
      </c>
      <c r="AB2435" s="1">
        <v>93.348905871168427</v>
      </c>
      <c r="AC2435" s="1">
        <v>162.58863975490161</v>
      </c>
      <c r="AD2435" s="1">
        <v>1.7417305348955188</v>
      </c>
      <c r="AE2435" t="s">
        <v>4817</v>
      </c>
      <c r="AF2435" t="str">
        <f>IF(X2435&lt;$AF$1,"Bajo","Alto")</f>
        <v>Alto</v>
      </c>
      <c r="AG2435" t="str">
        <f>LEFT(AE2435,1)</f>
        <v>C</v>
      </c>
      <c r="AH2435" t="str">
        <f>K2435</f>
        <v>M</v>
      </c>
      <c r="AI2435" t="str">
        <f>LEFT(AF2435,1)</f>
        <v>A</v>
      </c>
      <c r="AJ2435" t="str">
        <f>LEFT(M2435,1)</f>
        <v>J</v>
      </c>
      <c r="AK2435" t="str">
        <f>_xlfn.CONCAT(AG2435,AH2435,AI2435,AJ2435)</f>
        <v>CMAJ</v>
      </c>
    </row>
    <row r="2436" spans="1:37" ht="15.75" hidden="1" customHeight="1" x14ac:dyDescent="0.2">
      <c r="A2436" s="1">
        <v>10130103</v>
      </c>
      <c r="B2436" s="1" t="s">
        <v>29</v>
      </c>
      <c r="C2436" s="1" t="s">
        <v>30</v>
      </c>
      <c r="D2436" s="1" t="s">
        <v>621</v>
      </c>
      <c r="E2436" s="1" t="s">
        <v>622</v>
      </c>
      <c r="F2436" s="1" t="s">
        <v>63</v>
      </c>
      <c r="G2436" s="1" t="s">
        <v>625</v>
      </c>
      <c r="H2436" s="1">
        <v>5939</v>
      </c>
      <c r="I2436" s="1" t="s">
        <v>626</v>
      </c>
      <c r="J2436" s="1">
        <v>4135</v>
      </c>
      <c r="K2436" s="1" t="s">
        <v>35</v>
      </c>
      <c r="L2436" s="1">
        <v>58</v>
      </c>
      <c r="M2436" s="1" t="str">
        <f>IF(L2436&lt;=45,"Joven","Mayor")</f>
        <v>Mayor</v>
      </c>
      <c r="N2436" s="1">
        <v>48</v>
      </c>
      <c r="O2436" s="1" t="s">
        <v>36</v>
      </c>
      <c r="P2436" s="1">
        <v>0.29799999999999999</v>
      </c>
      <c r="Q2436" s="1">
        <v>88.805000000000007</v>
      </c>
      <c r="R2436" s="1">
        <v>5.7946239999999998</v>
      </c>
      <c r="S2436" s="1">
        <v>-5.5931620000000004</v>
      </c>
      <c r="T2436" s="1">
        <v>-4.5364449999999996</v>
      </c>
      <c r="U2436" s="1">
        <v>1.948</v>
      </c>
      <c r="V2436" s="1">
        <v>104</v>
      </c>
      <c r="W2436" s="1">
        <v>182</v>
      </c>
      <c r="X2436" s="1">
        <v>1.75</v>
      </c>
      <c r="Y2436" s="1">
        <v>110</v>
      </c>
      <c r="Z2436" s="1">
        <v>182</v>
      </c>
      <c r="AA2436" s="1">
        <v>1.6545454545454545</v>
      </c>
      <c r="AB2436" s="1">
        <v>107.8661312636698</v>
      </c>
      <c r="AC2436" s="1">
        <v>182.22076706221739</v>
      </c>
      <c r="AD2436" s="1">
        <v>1.6893232836616143</v>
      </c>
      <c r="AE2436" t="s">
        <v>4817</v>
      </c>
      <c r="AF2436" t="str">
        <f>IF(X2436&lt;$AF$1,"Bajo","Alto")</f>
        <v>Bajo</v>
      </c>
      <c r="AG2436" t="str">
        <f>LEFT(AE2436,1)</f>
        <v>C</v>
      </c>
      <c r="AH2436" t="str">
        <f>K2436</f>
        <v>M</v>
      </c>
      <c r="AI2436" t="str">
        <f>LEFT(AF2436,1)</f>
        <v>B</v>
      </c>
      <c r="AJ2436" t="str">
        <f>LEFT(M2436,1)</f>
        <v>M</v>
      </c>
      <c r="AK2436" t="str">
        <f>_xlfn.CONCAT(AG2436,AH2436,AI2436,AJ2436)</f>
        <v>CMBM</v>
      </c>
    </row>
    <row r="2437" spans="1:37" ht="15.75" hidden="1" customHeight="1" x14ac:dyDescent="0.2">
      <c r="A2437" s="1">
        <v>150701</v>
      </c>
      <c r="B2437" s="1" t="s">
        <v>2077</v>
      </c>
      <c r="C2437" s="1" t="s">
        <v>57</v>
      </c>
      <c r="D2437" s="1" t="s">
        <v>2086</v>
      </c>
      <c r="E2437" s="1" t="s">
        <v>43</v>
      </c>
      <c r="F2437" s="1" t="s">
        <v>32</v>
      </c>
      <c r="G2437" s="1" t="s">
        <v>2087</v>
      </c>
      <c r="H2437" s="1">
        <v>1726</v>
      </c>
      <c r="I2437" s="1" t="s">
        <v>39</v>
      </c>
      <c r="J2437" s="1">
        <v>11</v>
      </c>
      <c r="K2437" s="1" t="s">
        <v>49</v>
      </c>
      <c r="L2437" s="1">
        <v>36</v>
      </c>
      <c r="M2437" s="1" t="str">
        <f>IF(L2437&lt;=45,"Joven","Mayor")</f>
        <v>Joven</v>
      </c>
      <c r="N2437" s="1">
        <v>33</v>
      </c>
      <c r="O2437" s="1" t="s">
        <v>50</v>
      </c>
      <c r="P2437" s="1">
        <v>0.13700000000000001</v>
      </c>
      <c r="Q2437" s="1">
        <v>41.813000000000002</v>
      </c>
      <c r="R2437" s="1">
        <v>17.096122999999999</v>
      </c>
      <c r="S2437" s="1">
        <v>1.486291</v>
      </c>
      <c r="T2437" s="1">
        <v>-1.6686604</v>
      </c>
      <c r="U2437" s="1">
        <v>34.695999999999998</v>
      </c>
      <c r="V2437" s="1">
        <v>72</v>
      </c>
      <c r="W2437" s="1">
        <v>129</v>
      </c>
      <c r="X2437" s="1">
        <v>1.7916666666666667</v>
      </c>
      <c r="Y2437" s="1">
        <v>73</v>
      </c>
      <c r="Z2437" s="1">
        <v>129</v>
      </c>
      <c r="AA2437" s="1">
        <v>1.7671232876712328</v>
      </c>
      <c r="AB2437" s="1">
        <v>73.842628467393752</v>
      </c>
      <c r="AC2437" s="1">
        <v>128.68322041494139</v>
      </c>
      <c r="AD2437" s="1">
        <v>1.7426684705808282</v>
      </c>
      <c r="AE2437" t="s">
        <v>4816</v>
      </c>
      <c r="AF2437" t="str">
        <f>IF(X2437&lt;$AF$1,"Bajo","Alto")</f>
        <v>Alto</v>
      </c>
      <c r="AG2437" t="str">
        <f>LEFT(AE2437,1)</f>
        <v>D</v>
      </c>
      <c r="AH2437" t="str">
        <f>K2437</f>
        <v>F</v>
      </c>
      <c r="AI2437" t="str">
        <f>LEFT(AF2437,1)</f>
        <v>A</v>
      </c>
      <c r="AJ2437" t="str">
        <f>LEFT(M2437,1)</f>
        <v>J</v>
      </c>
      <c r="AK2437" t="str">
        <f>_xlfn.CONCAT(AG2437,AH2437,AI2437,AJ2437)</f>
        <v>DFAJ</v>
      </c>
    </row>
    <row r="2438" spans="1:37" ht="15.75" hidden="1" customHeight="1" x14ac:dyDescent="0.2">
      <c r="A2438" s="1">
        <v>193406</v>
      </c>
      <c r="B2438" s="1" t="s">
        <v>2656</v>
      </c>
      <c r="C2438" s="1" t="s">
        <v>323</v>
      </c>
      <c r="D2438" s="1" t="s">
        <v>2702</v>
      </c>
      <c r="E2438" s="1" t="s">
        <v>634</v>
      </c>
      <c r="F2438" s="1" t="s">
        <v>88</v>
      </c>
      <c r="G2438" s="1" t="s">
        <v>2707</v>
      </c>
      <c r="H2438" s="1">
        <v>1775</v>
      </c>
      <c r="I2438" s="1" t="s">
        <v>134</v>
      </c>
      <c r="J2438" s="1">
        <v>8</v>
      </c>
      <c r="K2438" s="1" t="s">
        <v>35</v>
      </c>
      <c r="L2438" s="1">
        <v>56</v>
      </c>
      <c r="M2438" s="1" t="str">
        <f>IF(L2438&lt;=45,"Joven","Mayor")</f>
        <v>Mayor</v>
      </c>
      <c r="N2438" s="1">
        <v>62</v>
      </c>
      <c r="O2438" s="1" t="s">
        <v>36</v>
      </c>
      <c r="P2438" s="1">
        <v>0.193</v>
      </c>
      <c r="Q2438" s="1">
        <v>90.412999999999997</v>
      </c>
      <c r="R2438" s="1">
        <v>2.9233362999999999</v>
      </c>
      <c r="S2438" s="1">
        <v>9.07118</v>
      </c>
      <c r="T2438" s="1">
        <v>0.90712700000000002</v>
      </c>
      <c r="U2438" s="1">
        <v>0.63300000000000001</v>
      </c>
      <c r="V2438" s="1">
        <v>86</v>
      </c>
      <c r="W2438" s="1">
        <v>154</v>
      </c>
      <c r="X2438" s="1">
        <v>1.7906976744186047</v>
      </c>
      <c r="Y2438" s="1">
        <v>89</v>
      </c>
      <c r="Z2438" s="1">
        <v>154</v>
      </c>
      <c r="AA2438" s="1">
        <v>1.7303370786516854</v>
      </c>
      <c r="AB2438" s="1">
        <v>89.637945061662322</v>
      </c>
      <c r="AC2438" s="1">
        <v>153.98069932153609</v>
      </c>
      <c r="AD2438" s="1">
        <v>1.7178071096521916</v>
      </c>
      <c r="AE2438" t="s">
        <v>4817</v>
      </c>
      <c r="AF2438" t="str">
        <f>IF(X2438&lt;$AF$1,"Bajo","Alto")</f>
        <v>Alto</v>
      </c>
      <c r="AG2438" t="str">
        <f>LEFT(AE2438,1)</f>
        <v>C</v>
      </c>
      <c r="AH2438" t="str">
        <f>K2438</f>
        <v>M</v>
      </c>
      <c r="AI2438" t="str">
        <f>LEFT(AF2438,1)</f>
        <v>A</v>
      </c>
      <c r="AJ2438" t="str">
        <f>LEFT(M2438,1)</f>
        <v>M</v>
      </c>
      <c r="AK2438" t="str">
        <f>_xlfn.CONCAT(AG2438,AH2438,AI2438,AJ2438)</f>
        <v>CMAM</v>
      </c>
    </row>
    <row r="2439" spans="1:37" ht="15.75" hidden="1" customHeight="1" x14ac:dyDescent="0.2">
      <c r="A2439" s="1">
        <v>290702</v>
      </c>
      <c r="B2439" s="1" t="s">
        <v>3890</v>
      </c>
      <c r="C2439" s="1" t="s">
        <v>1695</v>
      </c>
      <c r="D2439" s="1" t="s">
        <v>3908</v>
      </c>
      <c r="E2439" s="1" t="s">
        <v>43</v>
      </c>
      <c r="F2439" s="1" t="s">
        <v>37</v>
      </c>
      <c r="G2439" s="1" t="s">
        <v>3910</v>
      </c>
      <c r="H2439" s="1">
        <v>105</v>
      </c>
      <c r="I2439" s="1" t="s">
        <v>85</v>
      </c>
      <c r="J2439" s="1">
        <v>12</v>
      </c>
      <c r="K2439" s="1" t="s">
        <v>35</v>
      </c>
      <c r="L2439" s="1">
        <v>38</v>
      </c>
      <c r="M2439" s="1" t="str">
        <f>IF(L2439&lt;=45,"Joven","Mayor")</f>
        <v>Joven</v>
      </c>
      <c r="N2439" s="1">
        <v>51</v>
      </c>
      <c r="O2439" s="1" t="s">
        <v>36</v>
      </c>
      <c r="P2439" s="1">
        <v>0.38900000000000001</v>
      </c>
      <c r="Q2439" s="1">
        <v>92.506</v>
      </c>
      <c r="R2439" s="1">
        <v>3.8179810000000001</v>
      </c>
      <c r="S2439" s="1">
        <v>-0.79663145999999996</v>
      </c>
      <c r="T2439" s="1">
        <v>-9.5269619999999993</v>
      </c>
      <c r="U2439" s="1">
        <v>63.911999999999999</v>
      </c>
      <c r="V2439" s="1">
        <v>82</v>
      </c>
      <c r="W2439" s="1">
        <v>147</v>
      </c>
      <c r="X2439" s="1">
        <v>1.7926829268292683</v>
      </c>
      <c r="Y2439" s="1">
        <v>85</v>
      </c>
      <c r="Z2439" s="1">
        <v>147</v>
      </c>
      <c r="AA2439" s="1">
        <v>1.7294117647058824</v>
      </c>
      <c r="AB2439" s="1">
        <v>86.992974900330637</v>
      </c>
      <c r="AC2439" s="1">
        <v>146.2966439442375</v>
      </c>
      <c r="AD2439" s="1">
        <v>1.6817064149358281</v>
      </c>
      <c r="AE2439" t="s">
        <v>4815</v>
      </c>
      <c r="AF2439" t="str">
        <f>IF(X2439&lt;$AF$1,"Bajo","Alto")</f>
        <v>Alto</v>
      </c>
      <c r="AG2439" t="str">
        <f>LEFT(AE2439,1)</f>
        <v>I</v>
      </c>
      <c r="AH2439" t="str">
        <f>K2439</f>
        <v>M</v>
      </c>
      <c r="AI2439" t="str">
        <f>LEFT(AF2439,1)</f>
        <v>A</v>
      </c>
      <c r="AJ2439" t="str">
        <f>LEFT(M2439,1)</f>
        <v>J</v>
      </c>
      <c r="AK2439" t="str">
        <f>_xlfn.CONCAT(AG2439,AH2439,AI2439,AJ2439)</f>
        <v>IMAJ</v>
      </c>
    </row>
    <row r="2440" spans="1:37" ht="15.75" hidden="1" customHeight="1" x14ac:dyDescent="0.2">
      <c r="A2440" s="1">
        <v>219001</v>
      </c>
      <c r="B2440" s="1" t="s">
        <v>2816</v>
      </c>
      <c r="C2440" s="1" t="s">
        <v>2817</v>
      </c>
      <c r="D2440" s="1" t="s">
        <v>2908</v>
      </c>
      <c r="E2440" s="1" t="s">
        <v>2909</v>
      </c>
      <c r="F2440" s="1" t="s">
        <v>32</v>
      </c>
      <c r="G2440" s="1" t="s">
        <v>2910</v>
      </c>
      <c r="H2440" s="1">
        <v>2057</v>
      </c>
      <c r="I2440" s="1" t="s">
        <v>100</v>
      </c>
      <c r="J2440" s="1">
        <v>1</v>
      </c>
      <c r="K2440" s="1" t="s">
        <v>35</v>
      </c>
      <c r="L2440" s="1">
        <v>43</v>
      </c>
      <c r="M2440" s="1" t="str">
        <f>IF(L2440&lt;=45,"Joven","Mayor")</f>
        <v>Joven</v>
      </c>
      <c r="N2440" s="1">
        <v>41</v>
      </c>
      <c r="O2440" s="1" t="s">
        <v>36</v>
      </c>
      <c r="P2440" s="1">
        <v>0.42</v>
      </c>
      <c r="Q2440" s="1">
        <v>81.787000000000006</v>
      </c>
      <c r="R2440" s="1">
        <v>-7.1497244999999996</v>
      </c>
      <c r="S2440" s="1">
        <v>11.541981</v>
      </c>
      <c r="T2440" s="1">
        <v>3.5436200000000002</v>
      </c>
      <c r="U2440" s="1">
        <v>2.3290000000000002</v>
      </c>
      <c r="V2440" s="1">
        <v>91</v>
      </c>
      <c r="W2440" s="1">
        <v>163</v>
      </c>
      <c r="X2440" s="1">
        <v>1.7912087912087913</v>
      </c>
      <c r="Y2440" s="1">
        <v>96</v>
      </c>
      <c r="Z2440" s="1">
        <v>163</v>
      </c>
      <c r="AA2440" s="1">
        <v>1.6979166666666667</v>
      </c>
      <c r="AB2440" s="1">
        <v>93.607389572640159</v>
      </c>
      <c r="AC2440" s="1">
        <v>162.6883492396164</v>
      </c>
      <c r="AD2440" s="1">
        <v>1.737986178039596</v>
      </c>
      <c r="AE2440" t="s">
        <v>4817</v>
      </c>
      <c r="AF2440" t="str">
        <f>IF(X2440&lt;$AF$1,"Bajo","Alto")</f>
        <v>Alto</v>
      </c>
      <c r="AG2440" t="str">
        <f>LEFT(AE2440,1)</f>
        <v>C</v>
      </c>
      <c r="AH2440" t="str">
        <f>K2440</f>
        <v>M</v>
      </c>
      <c r="AI2440" t="str">
        <f>LEFT(AF2440,1)</f>
        <v>A</v>
      </c>
      <c r="AJ2440" t="str">
        <f>LEFT(M2440,1)</f>
        <v>J</v>
      </c>
      <c r="AK2440" t="str">
        <f>_xlfn.CONCAT(AG2440,AH2440,AI2440,AJ2440)</f>
        <v>CMAJ</v>
      </c>
    </row>
    <row r="2441" spans="1:37" ht="15.75" hidden="1" customHeight="1" x14ac:dyDescent="0.2">
      <c r="A2441" s="1">
        <v>258506</v>
      </c>
      <c r="B2441" s="1" t="s">
        <v>3169</v>
      </c>
      <c r="C2441" s="1" t="s">
        <v>821</v>
      </c>
      <c r="D2441" s="1" t="s">
        <v>3334</v>
      </c>
      <c r="E2441" s="1" t="s">
        <v>755</v>
      </c>
      <c r="F2441" s="1" t="s">
        <v>88</v>
      </c>
      <c r="G2441" s="1" t="s">
        <v>3338</v>
      </c>
      <c r="H2441" s="1">
        <v>2776</v>
      </c>
      <c r="I2441" s="1" t="s">
        <v>3339</v>
      </c>
      <c r="J2441" s="1">
        <v>3381</v>
      </c>
      <c r="K2441" s="1" t="s">
        <v>49</v>
      </c>
      <c r="L2441" s="1">
        <v>52</v>
      </c>
      <c r="M2441" s="1" t="str">
        <f>IF(L2441&lt;=45,"Joven","Mayor")</f>
        <v>Mayor</v>
      </c>
      <c r="N2441" s="1">
        <v>48</v>
      </c>
      <c r="O2441" s="1" t="s">
        <v>50</v>
      </c>
      <c r="P2441" s="1">
        <v>0.34399999999999997</v>
      </c>
      <c r="Q2441" s="1">
        <v>83.92</v>
      </c>
      <c r="R2441" s="1">
        <v>-9.2686405000000001</v>
      </c>
      <c r="S2441" s="1">
        <v>1.3382175000000001</v>
      </c>
      <c r="T2441" s="1">
        <v>7.1602854999999996</v>
      </c>
      <c r="U2441" s="1">
        <v>29.584</v>
      </c>
      <c r="V2441" s="1">
        <v>97</v>
      </c>
      <c r="W2441" s="1">
        <v>170</v>
      </c>
      <c r="X2441" s="1">
        <v>1.7525773195876289</v>
      </c>
      <c r="Y2441" s="1">
        <v>98</v>
      </c>
      <c r="Z2441" s="1">
        <v>170</v>
      </c>
      <c r="AA2441" s="1">
        <v>1.7346938775510203</v>
      </c>
      <c r="AB2441" s="1">
        <v>101.3539960794476</v>
      </c>
      <c r="AC2441" s="1">
        <v>168.0509997819313</v>
      </c>
      <c r="AD2441" s="1">
        <v>1.6580599313538897</v>
      </c>
      <c r="AE2441" t="s">
        <v>4817</v>
      </c>
      <c r="AF2441" t="str">
        <f>IF(X2441&lt;$AF$1,"Bajo","Alto")</f>
        <v>Bajo</v>
      </c>
      <c r="AG2441" t="str">
        <f>LEFT(AE2441,1)</f>
        <v>C</v>
      </c>
      <c r="AH2441" t="str">
        <f>K2441</f>
        <v>F</v>
      </c>
      <c r="AI2441" t="str">
        <f>LEFT(AF2441,1)</f>
        <v>B</v>
      </c>
      <c r="AJ2441" t="str">
        <f>LEFT(M2441,1)</f>
        <v>M</v>
      </c>
      <c r="AK2441" t="str">
        <f>_xlfn.CONCAT(AG2441,AH2441,AI2441,AJ2441)</f>
        <v>CFBM</v>
      </c>
    </row>
    <row r="2442" spans="1:37" ht="15.75" hidden="1" customHeight="1" x14ac:dyDescent="0.2">
      <c r="A2442" s="1">
        <v>234602</v>
      </c>
      <c r="B2442" s="1" t="s">
        <v>319</v>
      </c>
      <c r="C2442" s="1" t="s">
        <v>1989</v>
      </c>
      <c r="D2442" s="1" t="s">
        <v>3040</v>
      </c>
      <c r="E2442" s="1" t="s">
        <v>669</v>
      </c>
      <c r="F2442" s="1" t="s">
        <v>37</v>
      </c>
      <c r="G2442" s="1" t="s">
        <v>3042</v>
      </c>
      <c r="H2442" s="1">
        <v>286</v>
      </c>
      <c r="I2442" s="1" t="s">
        <v>48</v>
      </c>
      <c r="J2442" s="1">
        <v>4</v>
      </c>
      <c r="K2442" s="1" t="s">
        <v>35</v>
      </c>
      <c r="L2442" s="1">
        <v>36</v>
      </c>
      <c r="M2442" s="1" t="str">
        <f>IF(L2442&lt;=45,"Joven","Mayor")</f>
        <v>Joven</v>
      </c>
      <c r="N2442" s="1">
        <v>31</v>
      </c>
      <c r="O2442" s="1" t="s">
        <v>36</v>
      </c>
      <c r="P2442" s="1">
        <v>0.35099999999999998</v>
      </c>
      <c r="Q2442" s="1">
        <v>92.587999999999994</v>
      </c>
      <c r="R2442" s="1">
        <v>-0.10413477</v>
      </c>
      <c r="S2442" s="1">
        <v>8.7892449999999993</v>
      </c>
      <c r="T2442" s="1">
        <v>-4.7478020000000001</v>
      </c>
      <c r="U2442" s="1">
        <v>9.2270000000000003</v>
      </c>
      <c r="V2442" s="1">
        <v>104</v>
      </c>
      <c r="W2442" s="1">
        <v>182</v>
      </c>
      <c r="X2442" s="1">
        <v>1.75</v>
      </c>
      <c r="Y2442" s="1">
        <v>109</v>
      </c>
      <c r="Z2442" s="1">
        <v>182</v>
      </c>
      <c r="AA2442" s="1">
        <v>1.6697247706422018</v>
      </c>
      <c r="AB2442" s="1">
        <v>107.6161014517488</v>
      </c>
      <c r="AC2442" s="1">
        <v>182.03765929846529</v>
      </c>
      <c r="AD2442" s="1">
        <v>1.6915466816095772</v>
      </c>
      <c r="AE2442" t="s">
        <v>4817</v>
      </c>
      <c r="AF2442" t="str">
        <f>IF(X2442&lt;$AF$1,"Bajo","Alto")</f>
        <v>Bajo</v>
      </c>
      <c r="AG2442" t="str">
        <f>LEFT(AE2442,1)</f>
        <v>C</v>
      </c>
      <c r="AH2442" t="str">
        <f>K2442</f>
        <v>M</v>
      </c>
      <c r="AI2442" t="str">
        <f>LEFT(AF2442,1)</f>
        <v>B</v>
      </c>
      <c r="AJ2442" t="str">
        <f>LEFT(M2442,1)</f>
        <v>J</v>
      </c>
      <c r="AK2442" t="str">
        <f>_xlfn.CONCAT(AG2442,AH2442,AI2442,AJ2442)</f>
        <v>CMBJ</v>
      </c>
    </row>
    <row r="2443" spans="1:37" ht="15.75" hidden="1" customHeight="1" x14ac:dyDescent="0.2">
      <c r="A2443" s="1">
        <v>3110303</v>
      </c>
      <c r="B2443" s="1" t="s">
        <v>4122</v>
      </c>
      <c r="C2443" s="1" t="s">
        <v>628</v>
      </c>
      <c r="D2443" s="1" t="s">
        <v>4140</v>
      </c>
      <c r="E2443" s="1" t="s">
        <v>81</v>
      </c>
      <c r="F2443" s="1" t="s">
        <v>63</v>
      </c>
      <c r="G2443" s="1" t="s">
        <v>4142</v>
      </c>
      <c r="H2443" s="1">
        <v>4146</v>
      </c>
      <c r="I2443" s="1" t="s">
        <v>4143</v>
      </c>
      <c r="J2443" s="1">
        <v>3467</v>
      </c>
      <c r="K2443" s="1" t="s">
        <v>35</v>
      </c>
      <c r="L2443" s="1">
        <v>34</v>
      </c>
      <c r="M2443" s="1" t="str">
        <f>IF(L2443&lt;=45,"Joven","Mayor")</f>
        <v>Joven</v>
      </c>
      <c r="N2443" s="1">
        <v>32</v>
      </c>
      <c r="O2443" s="1" t="s">
        <v>36</v>
      </c>
      <c r="P2443" s="1">
        <v>0.49099999999999999</v>
      </c>
      <c r="Q2443" s="1">
        <v>91.066000000000003</v>
      </c>
      <c r="R2443" s="1">
        <v>2.9757495</v>
      </c>
      <c r="S2443" s="1">
        <v>7.5142730000000002</v>
      </c>
      <c r="T2443" s="1">
        <v>1.8924955000000001</v>
      </c>
      <c r="U2443" s="1">
        <v>61.539000000000001</v>
      </c>
      <c r="V2443" s="1">
        <v>111</v>
      </c>
      <c r="W2443" s="1">
        <v>194</v>
      </c>
      <c r="X2443" s="1">
        <v>1.7477477477477477</v>
      </c>
      <c r="Y2443" s="1">
        <v>115</v>
      </c>
      <c r="Z2443" s="1">
        <v>194</v>
      </c>
      <c r="AA2443" s="1">
        <v>1.6869565217391305</v>
      </c>
      <c r="AB2443" s="1">
        <v>113.28605965315749</v>
      </c>
      <c r="AC2443" s="1">
        <v>194.09232832653331</v>
      </c>
      <c r="AD2443" s="1">
        <v>1.713294017999889</v>
      </c>
      <c r="AE2443" t="s">
        <v>4815</v>
      </c>
      <c r="AF2443" t="str">
        <f>IF(X2443&lt;$AF$1,"Bajo","Alto")</f>
        <v>Bajo</v>
      </c>
      <c r="AG2443" t="str">
        <f>LEFT(AE2443,1)</f>
        <v>I</v>
      </c>
      <c r="AH2443" t="str">
        <f>K2443</f>
        <v>M</v>
      </c>
      <c r="AI2443" t="str">
        <f>LEFT(AF2443,1)</f>
        <v>B</v>
      </c>
      <c r="AJ2443" t="str">
        <f>LEFT(M2443,1)</f>
        <v>J</v>
      </c>
      <c r="AK2443" t="str">
        <f>_xlfn.CONCAT(AG2443,AH2443,AI2443,AJ2443)</f>
        <v>IMBJ</v>
      </c>
    </row>
    <row r="2444" spans="1:37" ht="15.75" hidden="1" customHeight="1" x14ac:dyDescent="0.2">
      <c r="A2444" s="1">
        <v>117002</v>
      </c>
      <c r="B2444" s="1" t="s">
        <v>1648</v>
      </c>
      <c r="C2444" s="1" t="s">
        <v>51</v>
      </c>
      <c r="D2444" s="1" t="s">
        <v>1755</v>
      </c>
      <c r="E2444" s="1" t="s">
        <v>720</v>
      </c>
      <c r="F2444" s="1" t="s">
        <v>37</v>
      </c>
      <c r="G2444" s="1" t="s">
        <v>1757</v>
      </c>
      <c r="H2444" s="1">
        <v>222</v>
      </c>
      <c r="I2444" s="1" t="s">
        <v>39</v>
      </c>
      <c r="J2444" s="1">
        <v>11</v>
      </c>
      <c r="K2444" s="1" t="s">
        <v>49</v>
      </c>
      <c r="L2444" s="1">
        <v>43</v>
      </c>
      <c r="M2444" s="1" t="str">
        <f>IF(L2444&lt;=45,"Joven","Mayor")</f>
        <v>Joven</v>
      </c>
      <c r="N2444" s="1">
        <v>52</v>
      </c>
      <c r="O2444" s="1" t="s">
        <v>50</v>
      </c>
      <c r="P2444" s="1">
        <v>0.64200000000000002</v>
      </c>
      <c r="Q2444" s="1">
        <v>92.054000000000002</v>
      </c>
      <c r="R2444" s="1">
        <v>2.4519491000000002</v>
      </c>
      <c r="S2444" s="1">
        <v>6.0829167000000002</v>
      </c>
      <c r="T2444" s="1">
        <v>1.2734277000000001</v>
      </c>
      <c r="U2444" s="1">
        <v>28.341999999999999</v>
      </c>
      <c r="V2444" s="1">
        <v>100</v>
      </c>
      <c r="W2444" s="1">
        <v>179</v>
      </c>
      <c r="X2444" s="1">
        <v>1.79</v>
      </c>
      <c r="Y2444" s="1">
        <v>101</v>
      </c>
      <c r="Z2444" s="1">
        <v>179</v>
      </c>
      <c r="AA2444" s="1">
        <v>1.7722772277227723</v>
      </c>
      <c r="AB2444" s="1">
        <v>100.9753677983185</v>
      </c>
      <c r="AC2444" s="1">
        <v>179.00023857809671</v>
      </c>
      <c r="AD2444" s="1">
        <v>1.7727119245123217</v>
      </c>
      <c r="AE2444" t="s">
        <v>4816</v>
      </c>
      <c r="AF2444" t="str">
        <f>IF(X2444&lt;$AF$1,"Bajo","Alto")</f>
        <v>Alto</v>
      </c>
      <c r="AG2444" t="str">
        <f>LEFT(AE2444,1)</f>
        <v>D</v>
      </c>
      <c r="AH2444" t="str">
        <f>K2444</f>
        <v>F</v>
      </c>
      <c r="AI2444" t="str">
        <f>LEFT(AF2444,1)</f>
        <v>A</v>
      </c>
      <c r="AJ2444" t="str">
        <f>LEFT(M2444,1)</f>
        <v>J</v>
      </c>
      <c r="AK2444" t="str">
        <f>_xlfn.CONCAT(AG2444,AH2444,AI2444,AJ2444)</f>
        <v>DFAJ</v>
      </c>
    </row>
    <row r="2445" spans="1:37" ht="15.75" hidden="1" customHeight="1" x14ac:dyDescent="0.2">
      <c r="A2445" s="1">
        <v>252805</v>
      </c>
      <c r="B2445" s="1" t="s">
        <v>3169</v>
      </c>
      <c r="C2445" s="1" t="s">
        <v>821</v>
      </c>
      <c r="D2445" s="1" t="s">
        <v>3216</v>
      </c>
      <c r="E2445" s="1" t="s">
        <v>561</v>
      </c>
      <c r="F2445" s="1" t="s">
        <v>40</v>
      </c>
      <c r="G2445" s="1" t="s">
        <v>3218</v>
      </c>
      <c r="H2445" s="1">
        <v>653</v>
      </c>
      <c r="I2445" s="1" t="s">
        <v>73</v>
      </c>
      <c r="J2445" s="1">
        <v>5</v>
      </c>
      <c r="K2445" s="1" t="s">
        <v>35</v>
      </c>
      <c r="L2445" s="1">
        <v>35</v>
      </c>
      <c r="M2445" s="1" t="str">
        <f>IF(L2445&lt;=45,"Joven","Mayor")</f>
        <v>Joven</v>
      </c>
      <c r="N2445" s="1">
        <v>43</v>
      </c>
      <c r="O2445" s="1" t="s">
        <v>36</v>
      </c>
      <c r="P2445" s="1">
        <v>0.32900000000000001</v>
      </c>
      <c r="Q2445" s="1">
        <v>87.92</v>
      </c>
      <c r="R2445" s="1">
        <v>5.6109486000000004</v>
      </c>
      <c r="S2445" s="1">
        <v>7.7348112999999996</v>
      </c>
      <c r="T2445" s="1">
        <v>-3.4984353000000001</v>
      </c>
      <c r="U2445" s="1">
        <v>41.009</v>
      </c>
      <c r="V2445" s="1">
        <v>91</v>
      </c>
      <c r="W2445" s="1">
        <v>163</v>
      </c>
      <c r="X2445" s="1">
        <v>1.7912087912087913</v>
      </c>
      <c r="Y2445" s="1">
        <v>96</v>
      </c>
      <c r="Z2445" s="1">
        <v>163</v>
      </c>
      <c r="AA2445" s="1">
        <v>1.6979166666666667</v>
      </c>
      <c r="AB2445" s="1">
        <v>93.820461119169067</v>
      </c>
      <c r="AC2445" s="1">
        <v>163.24543536475181</v>
      </c>
      <c r="AD2445" s="1">
        <v>1.7399769028783645</v>
      </c>
      <c r="AE2445" t="s">
        <v>4817</v>
      </c>
      <c r="AF2445" t="str">
        <f>IF(X2445&lt;$AF$1,"Bajo","Alto")</f>
        <v>Alto</v>
      </c>
      <c r="AG2445" t="str">
        <f>LEFT(AE2445,1)</f>
        <v>C</v>
      </c>
      <c r="AH2445" t="str">
        <f>K2445</f>
        <v>M</v>
      </c>
      <c r="AI2445" t="str">
        <f>LEFT(AF2445,1)</f>
        <v>A</v>
      </c>
      <c r="AJ2445" t="str">
        <f>LEFT(M2445,1)</f>
        <v>J</v>
      </c>
      <c r="AK2445" t="str">
        <f>_xlfn.CONCAT(AG2445,AH2445,AI2445,AJ2445)</f>
        <v>CMAJ</v>
      </c>
    </row>
    <row r="2446" spans="1:37" ht="15.75" hidden="1" customHeight="1" x14ac:dyDescent="0.2">
      <c r="A2446" s="1">
        <v>264003</v>
      </c>
      <c r="B2446" s="1" t="s">
        <v>3358</v>
      </c>
      <c r="C2446" s="1" t="s">
        <v>968</v>
      </c>
      <c r="D2446" s="1" t="s">
        <v>3389</v>
      </c>
      <c r="E2446" s="1" t="s">
        <v>657</v>
      </c>
      <c r="F2446" s="1" t="s">
        <v>63</v>
      </c>
      <c r="G2446" s="1" t="s">
        <v>3392</v>
      </c>
      <c r="H2446" s="1">
        <v>760</v>
      </c>
      <c r="I2446" s="1" t="s">
        <v>3393</v>
      </c>
      <c r="J2446" s="1">
        <v>3445</v>
      </c>
      <c r="K2446" s="1" t="s">
        <v>49</v>
      </c>
      <c r="L2446" s="1">
        <v>37</v>
      </c>
      <c r="M2446" s="1" t="str">
        <f>IF(L2446&lt;=45,"Joven","Mayor")</f>
        <v>Joven</v>
      </c>
      <c r="N2446" s="1">
        <v>35</v>
      </c>
      <c r="O2446" s="1" t="s">
        <v>50</v>
      </c>
      <c r="P2446" s="1">
        <v>0.35599999999999998</v>
      </c>
      <c r="Q2446" s="1">
        <v>30.248000000000001</v>
      </c>
      <c r="R2446" s="1">
        <v>18.330566000000001</v>
      </c>
      <c r="S2446" s="1">
        <v>4.095599</v>
      </c>
      <c r="T2446" s="1">
        <v>-5.1733355999999997</v>
      </c>
      <c r="U2446" s="1">
        <v>26.321000000000002</v>
      </c>
      <c r="V2446" s="1">
        <v>100</v>
      </c>
      <c r="W2446" s="1">
        <v>175</v>
      </c>
      <c r="X2446" s="1">
        <v>1.75</v>
      </c>
      <c r="Y2446" s="1">
        <v>104</v>
      </c>
      <c r="Z2446" s="1">
        <v>175</v>
      </c>
      <c r="AA2446" s="1">
        <v>1.6826923076923077</v>
      </c>
      <c r="AB2446" s="1">
        <v>103.0190729080584</v>
      </c>
      <c r="AC2446" s="1">
        <v>174.01662485054609</v>
      </c>
      <c r="AD2446" s="1">
        <v>1.6891690047128554</v>
      </c>
      <c r="AE2446" t="s">
        <v>4817</v>
      </c>
      <c r="AF2446" t="str">
        <f>IF(X2446&lt;$AF$1,"Bajo","Alto")</f>
        <v>Bajo</v>
      </c>
      <c r="AG2446" t="str">
        <f>LEFT(AE2446,1)</f>
        <v>C</v>
      </c>
      <c r="AH2446" t="str">
        <f>K2446</f>
        <v>F</v>
      </c>
      <c r="AI2446" t="str">
        <f>LEFT(AF2446,1)</f>
        <v>B</v>
      </c>
      <c r="AJ2446" t="str">
        <f>LEFT(M2446,1)</f>
        <v>J</v>
      </c>
      <c r="AK2446" t="str">
        <f>_xlfn.CONCAT(AG2446,AH2446,AI2446,AJ2446)</f>
        <v>CFBJ</v>
      </c>
    </row>
    <row r="2447" spans="1:37" ht="15.75" hidden="1" customHeight="1" x14ac:dyDescent="0.2">
      <c r="A2447" s="1">
        <v>233101</v>
      </c>
      <c r="B2447" s="1" t="s">
        <v>319</v>
      </c>
      <c r="C2447" s="1" t="s">
        <v>1989</v>
      </c>
      <c r="D2447" s="1" t="s">
        <v>956</v>
      </c>
      <c r="E2447" s="1" t="s">
        <v>628</v>
      </c>
      <c r="F2447" s="1" t="s">
        <v>32</v>
      </c>
      <c r="G2447" s="1" t="s">
        <v>3016</v>
      </c>
      <c r="H2447" s="1">
        <v>2624</v>
      </c>
      <c r="I2447" s="1" t="s">
        <v>65</v>
      </c>
      <c r="J2447" s="1">
        <v>2</v>
      </c>
      <c r="K2447" s="1" t="s">
        <v>35</v>
      </c>
      <c r="L2447" s="1">
        <v>54</v>
      </c>
      <c r="M2447" s="1" t="str">
        <f>IF(L2447&lt;=45,"Joven","Mayor")</f>
        <v>Mayor</v>
      </c>
      <c r="N2447" s="1">
        <v>51</v>
      </c>
      <c r="O2447" s="1" t="s">
        <v>36</v>
      </c>
      <c r="P2447" s="1">
        <v>7.0000000000000007E-2</v>
      </c>
      <c r="Q2447" s="1">
        <v>89.265000000000001</v>
      </c>
      <c r="R2447" s="1">
        <v>6.4850529999999997</v>
      </c>
      <c r="S2447" s="1">
        <v>-2.0525033000000001</v>
      </c>
      <c r="T2447" s="1">
        <v>-8.9485679999999999</v>
      </c>
      <c r="U2447" s="1">
        <v>60.453000000000003</v>
      </c>
      <c r="V2447" s="1">
        <v>81</v>
      </c>
      <c r="W2447" s="1">
        <v>145</v>
      </c>
      <c r="X2447" s="1">
        <v>1.7901234567901234</v>
      </c>
      <c r="Y2447" s="1">
        <v>93</v>
      </c>
      <c r="Z2447" s="1">
        <v>145</v>
      </c>
      <c r="AA2447" s="1">
        <v>1.5591397849462365</v>
      </c>
      <c r="AB2447" s="1">
        <v>86.579413088647925</v>
      </c>
      <c r="AC2447" s="1">
        <v>144.9461390078354</v>
      </c>
      <c r="AD2447" s="1">
        <v>1.6741409283916753</v>
      </c>
      <c r="AE2447" t="s">
        <v>4817</v>
      </c>
      <c r="AF2447" t="str">
        <f>IF(X2447&lt;$AF$1,"Bajo","Alto")</f>
        <v>Alto</v>
      </c>
      <c r="AG2447" t="str">
        <f>LEFT(AE2447,1)</f>
        <v>C</v>
      </c>
      <c r="AH2447" t="str">
        <f>K2447</f>
        <v>M</v>
      </c>
      <c r="AI2447" t="str">
        <f>LEFT(AF2447,1)</f>
        <v>A</v>
      </c>
      <c r="AJ2447" t="str">
        <f>LEFT(M2447,1)</f>
        <v>M</v>
      </c>
      <c r="AK2447" t="str">
        <f>_xlfn.CONCAT(AG2447,AH2447,AI2447,AJ2447)</f>
        <v>CMAM</v>
      </c>
    </row>
    <row r="2448" spans="1:37" ht="15.75" hidden="1" customHeight="1" x14ac:dyDescent="0.2">
      <c r="A2448" s="1">
        <v>219003</v>
      </c>
      <c r="B2448" s="1" t="s">
        <v>2816</v>
      </c>
      <c r="C2448" s="1" t="s">
        <v>2817</v>
      </c>
      <c r="D2448" s="1" t="s">
        <v>2908</v>
      </c>
      <c r="E2448" s="1" t="s">
        <v>2909</v>
      </c>
      <c r="F2448" s="1" t="s">
        <v>63</v>
      </c>
      <c r="G2448" s="1" t="s">
        <v>2912</v>
      </c>
      <c r="H2448" s="1">
        <v>2060</v>
      </c>
      <c r="I2448" s="1" t="s">
        <v>134</v>
      </c>
      <c r="J2448" s="1">
        <v>8</v>
      </c>
      <c r="K2448" s="1" t="s">
        <v>35</v>
      </c>
      <c r="L2448" s="1">
        <v>61</v>
      </c>
      <c r="M2448" s="1" t="str">
        <f>IF(L2448&lt;=45,"Joven","Mayor")</f>
        <v>Mayor</v>
      </c>
      <c r="N2448" s="1">
        <v>60</v>
      </c>
      <c r="O2448" s="1" t="s">
        <v>36</v>
      </c>
      <c r="P2448" s="1">
        <v>0.36699999999999999</v>
      </c>
      <c r="Q2448" s="1">
        <v>90.873000000000005</v>
      </c>
      <c r="R2448" s="1">
        <v>4.7778539999999996</v>
      </c>
      <c r="S2448" s="1">
        <v>-3.5120727999999999</v>
      </c>
      <c r="T2448" s="1">
        <v>-3.5208594999999998</v>
      </c>
      <c r="U2448" s="1">
        <v>1.8560000000000001</v>
      </c>
      <c r="V2448" s="1">
        <v>95</v>
      </c>
      <c r="W2448" s="1">
        <v>170</v>
      </c>
      <c r="X2448" s="1">
        <v>1.7894736842105263</v>
      </c>
      <c r="Y2448" s="1">
        <v>96</v>
      </c>
      <c r="Z2448" s="1">
        <v>170</v>
      </c>
      <c r="AA2448" s="1">
        <v>1.7708333333333333</v>
      </c>
      <c r="AB2448" s="1">
        <v>97.215753130923986</v>
      </c>
      <c r="AC2448" s="1">
        <v>169.6791261080057</v>
      </c>
      <c r="AD2448" s="1">
        <v>1.7453871481044092</v>
      </c>
      <c r="AE2448" t="s">
        <v>4817</v>
      </c>
      <c r="AF2448" t="str">
        <f>IF(X2448&lt;$AF$1,"Bajo","Alto")</f>
        <v>Alto</v>
      </c>
      <c r="AG2448" t="str">
        <f>LEFT(AE2448,1)</f>
        <v>C</v>
      </c>
      <c r="AH2448" t="str">
        <f>K2448</f>
        <v>M</v>
      </c>
      <c r="AI2448" t="str">
        <f>LEFT(AF2448,1)</f>
        <v>A</v>
      </c>
      <c r="AJ2448" t="str">
        <f>LEFT(M2448,1)</f>
        <v>M</v>
      </c>
      <c r="AK2448" t="str">
        <f>_xlfn.CONCAT(AG2448,AH2448,AI2448,AJ2448)</f>
        <v>CMAM</v>
      </c>
    </row>
    <row r="2449" spans="1:37" ht="15.75" hidden="1" customHeight="1" x14ac:dyDescent="0.2">
      <c r="A2449" s="1">
        <v>242506</v>
      </c>
      <c r="B2449" s="1" t="s">
        <v>1548</v>
      </c>
      <c r="C2449" s="1" t="s">
        <v>1993</v>
      </c>
      <c r="D2449" s="1" t="s">
        <v>3134</v>
      </c>
      <c r="E2449" s="1" t="s">
        <v>821</v>
      </c>
      <c r="F2449" s="1" t="s">
        <v>88</v>
      </c>
      <c r="G2449" s="1" t="s">
        <v>3138</v>
      </c>
      <c r="H2449" s="1">
        <v>24440</v>
      </c>
      <c r="I2449" s="1" t="s">
        <v>3139</v>
      </c>
      <c r="J2449" s="1">
        <v>3649</v>
      </c>
      <c r="K2449" s="1" t="s">
        <v>35</v>
      </c>
      <c r="L2449" s="1">
        <v>54</v>
      </c>
      <c r="M2449" s="1" t="str">
        <f>IF(L2449&lt;=45,"Joven","Mayor")</f>
        <v>Mayor</v>
      </c>
      <c r="N2449" s="1">
        <v>57</v>
      </c>
      <c r="O2449" s="1" t="s">
        <v>36</v>
      </c>
      <c r="P2449" s="1">
        <v>0.56699999999999995</v>
      </c>
      <c r="Q2449" s="1">
        <v>90.450999999999993</v>
      </c>
      <c r="R2449" s="1">
        <v>3.3367974999999999</v>
      </c>
      <c r="S2449" s="1">
        <v>8.0179170000000006</v>
      </c>
      <c r="T2449" s="1">
        <v>-1.3729150000000001</v>
      </c>
      <c r="U2449" s="1">
        <v>1.58</v>
      </c>
      <c r="V2449" s="1">
        <v>95</v>
      </c>
      <c r="W2449" s="1">
        <v>170</v>
      </c>
      <c r="X2449" s="1">
        <v>1.7894736842105263</v>
      </c>
      <c r="Y2449" s="1">
        <v>99</v>
      </c>
      <c r="Z2449" s="1">
        <v>170</v>
      </c>
      <c r="AA2449" s="1">
        <v>1.7171717171717171</v>
      </c>
      <c r="AB2449" s="1">
        <v>97.893398108602014</v>
      </c>
      <c r="AC2449" s="1">
        <v>170.11891487117919</v>
      </c>
      <c r="AD2449" s="1">
        <v>1.7377976263777346</v>
      </c>
      <c r="AE2449" t="s">
        <v>4817</v>
      </c>
      <c r="AF2449" t="str">
        <f>IF(X2449&lt;$AF$1,"Bajo","Alto")</f>
        <v>Alto</v>
      </c>
      <c r="AG2449" t="str">
        <f>LEFT(AE2449,1)</f>
        <v>C</v>
      </c>
      <c r="AH2449" t="str">
        <f>K2449</f>
        <v>M</v>
      </c>
      <c r="AI2449" t="str">
        <f>LEFT(AF2449,1)</f>
        <v>A</v>
      </c>
      <c r="AJ2449" t="str">
        <f>LEFT(M2449,1)</f>
        <v>M</v>
      </c>
      <c r="AK2449" t="str">
        <f>_xlfn.CONCAT(AG2449,AH2449,AI2449,AJ2449)</f>
        <v>CMAM</v>
      </c>
    </row>
    <row r="2450" spans="1:37" ht="15.75" hidden="1" customHeight="1" x14ac:dyDescent="0.2">
      <c r="A2450" s="1">
        <v>117003</v>
      </c>
      <c r="B2450" s="1" t="s">
        <v>1648</v>
      </c>
      <c r="C2450" s="1" t="s">
        <v>51</v>
      </c>
      <c r="D2450" s="1" t="s">
        <v>1755</v>
      </c>
      <c r="E2450" s="1" t="s">
        <v>720</v>
      </c>
      <c r="F2450" s="1" t="s">
        <v>63</v>
      </c>
      <c r="G2450" s="1" t="s">
        <v>1758</v>
      </c>
      <c r="H2450" s="1">
        <v>2171</v>
      </c>
      <c r="I2450" s="1" t="s">
        <v>65</v>
      </c>
      <c r="J2450" s="1">
        <v>2</v>
      </c>
      <c r="K2450" s="1" t="s">
        <v>35</v>
      </c>
      <c r="L2450" s="1">
        <v>46</v>
      </c>
      <c r="M2450" s="1" t="str">
        <f>IF(L2450&lt;=45,"Joven","Mayor")</f>
        <v>Mayor</v>
      </c>
      <c r="N2450" s="1">
        <v>49</v>
      </c>
      <c r="O2450" s="1" t="s">
        <v>36</v>
      </c>
      <c r="P2450" s="1">
        <v>0.39400000000000002</v>
      </c>
      <c r="Q2450" s="1">
        <v>88.314999999999998</v>
      </c>
      <c r="R2450" s="1">
        <v>-7.1704545</v>
      </c>
      <c r="S2450" s="1">
        <v>-1.2357733</v>
      </c>
      <c r="T2450" s="1">
        <v>4.0365950000000002</v>
      </c>
      <c r="U2450" s="1">
        <v>9.6820000000000004</v>
      </c>
      <c r="V2450" s="1">
        <v>90</v>
      </c>
      <c r="W2450" s="1">
        <v>161</v>
      </c>
      <c r="X2450" s="1">
        <v>1.788888888888889</v>
      </c>
      <c r="Y2450" s="1">
        <v>97</v>
      </c>
      <c r="Z2450" s="1">
        <v>161</v>
      </c>
      <c r="AA2450" s="1">
        <v>1.6597938144329898</v>
      </c>
      <c r="AB2450" s="1">
        <v>93.802839942736227</v>
      </c>
      <c r="AC2450" s="1">
        <v>160.81178701017831</v>
      </c>
      <c r="AD2450" s="1">
        <v>1.7143594704419289</v>
      </c>
      <c r="AE2450" t="s">
        <v>4817</v>
      </c>
      <c r="AF2450" t="str">
        <f>IF(X2450&lt;$AF$1,"Bajo","Alto")</f>
        <v>Alto</v>
      </c>
      <c r="AG2450" t="str">
        <f>LEFT(AE2450,1)</f>
        <v>C</v>
      </c>
      <c r="AH2450" t="str">
        <f>K2450</f>
        <v>M</v>
      </c>
      <c r="AI2450" t="str">
        <f>LEFT(AF2450,1)</f>
        <v>A</v>
      </c>
      <c r="AJ2450" t="str">
        <f>LEFT(M2450,1)</f>
        <v>M</v>
      </c>
      <c r="AK2450" t="str">
        <f>_xlfn.CONCAT(AG2450,AH2450,AI2450,AJ2450)</f>
        <v>CMAM</v>
      </c>
    </row>
    <row r="2451" spans="1:37" ht="15.75" hidden="1" customHeight="1" x14ac:dyDescent="0.2">
      <c r="A2451" s="1">
        <v>250105</v>
      </c>
      <c r="B2451" s="1" t="s">
        <v>3169</v>
      </c>
      <c r="C2451" s="1" t="s">
        <v>821</v>
      </c>
      <c r="D2451" s="1" t="s">
        <v>3170</v>
      </c>
      <c r="E2451" s="1" t="s">
        <v>32</v>
      </c>
      <c r="F2451" s="1" t="s">
        <v>40</v>
      </c>
      <c r="G2451" s="1" t="s">
        <v>3175</v>
      </c>
      <c r="H2451" s="1">
        <v>13529</v>
      </c>
      <c r="I2451" s="1" t="s">
        <v>87</v>
      </c>
      <c r="J2451" s="1">
        <v>14</v>
      </c>
      <c r="K2451" s="1" t="s">
        <v>35</v>
      </c>
      <c r="L2451" s="1">
        <v>50</v>
      </c>
      <c r="M2451" s="1" t="str">
        <f>IF(L2451&lt;=45,"Joven","Mayor")</f>
        <v>Mayor</v>
      </c>
      <c r="N2451" s="1">
        <v>47</v>
      </c>
      <c r="O2451" s="1" t="s">
        <v>36</v>
      </c>
      <c r="P2451" s="1">
        <v>0.35699999999999998</v>
      </c>
      <c r="Q2451" s="1">
        <v>90.822999999999993</v>
      </c>
      <c r="R2451" s="1">
        <v>3.9308282999999999</v>
      </c>
      <c r="S2451" s="1">
        <v>6.0865030000000004</v>
      </c>
      <c r="T2451" s="1">
        <v>2.8759614999999998</v>
      </c>
      <c r="U2451" s="1">
        <v>13.21</v>
      </c>
      <c r="V2451" s="1">
        <v>95</v>
      </c>
      <c r="W2451" s="1">
        <v>169</v>
      </c>
      <c r="X2451" s="1">
        <v>1.7789473684210526</v>
      </c>
      <c r="Y2451" s="1">
        <v>101</v>
      </c>
      <c r="Z2451" s="1">
        <v>169</v>
      </c>
      <c r="AA2451" s="1">
        <v>1.6732673267326732</v>
      </c>
      <c r="AB2451" s="1">
        <v>99.016354943317538</v>
      </c>
      <c r="AC2451" s="1">
        <v>169.48957866415731</v>
      </c>
      <c r="AD2451" s="1">
        <v>1.7117331653056969</v>
      </c>
      <c r="AE2451" t="s">
        <v>4816</v>
      </c>
      <c r="AF2451" t="str">
        <f>IF(X2451&lt;$AF$1,"Bajo","Alto")</f>
        <v>Alto</v>
      </c>
      <c r="AG2451" t="str">
        <f>LEFT(AE2451,1)</f>
        <v>D</v>
      </c>
      <c r="AH2451" t="str">
        <f>K2451</f>
        <v>M</v>
      </c>
      <c r="AI2451" t="str">
        <f>LEFT(AF2451,1)</f>
        <v>A</v>
      </c>
      <c r="AJ2451" t="str">
        <f>LEFT(M2451,1)</f>
        <v>M</v>
      </c>
      <c r="AK2451" t="str">
        <f>_xlfn.CONCAT(AG2451,AH2451,AI2451,AJ2451)</f>
        <v>DMAM</v>
      </c>
    </row>
    <row r="2452" spans="1:37" ht="15.75" hidden="1" customHeight="1" x14ac:dyDescent="0.2">
      <c r="A2452" s="1">
        <v>600703</v>
      </c>
      <c r="B2452" s="1" t="s">
        <v>4700</v>
      </c>
      <c r="C2452" s="1" t="s">
        <v>1458</v>
      </c>
      <c r="D2452" s="1" t="s">
        <v>4712</v>
      </c>
      <c r="E2452" s="1" t="s">
        <v>43</v>
      </c>
      <c r="F2452" s="1" t="s">
        <v>63</v>
      </c>
      <c r="G2452" s="1" t="s">
        <v>4714</v>
      </c>
      <c r="H2452" s="1">
        <v>65</v>
      </c>
      <c r="I2452" s="1" t="s">
        <v>48</v>
      </c>
      <c r="J2452" s="1">
        <v>4</v>
      </c>
      <c r="K2452" s="1" t="s">
        <v>49</v>
      </c>
      <c r="L2452" s="1">
        <v>36</v>
      </c>
      <c r="M2452" s="1" t="str">
        <f>IF(L2452&lt;=45,"Joven","Mayor")</f>
        <v>Joven</v>
      </c>
      <c r="N2452" s="1">
        <v>52</v>
      </c>
      <c r="O2452" s="1" t="s">
        <v>50</v>
      </c>
      <c r="P2452" s="1">
        <v>17.334</v>
      </c>
      <c r="Q2452" s="1">
        <v>86.462999999999994</v>
      </c>
      <c r="R2452" s="1">
        <v>-1.6066644000000001</v>
      </c>
      <c r="S2452" s="1">
        <v>2.9020317000000002</v>
      </c>
      <c r="T2452" s="1">
        <v>-2.4267256000000001</v>
      </c>
      <c r="U2452" s="1">
        <v>2.726</v>
      </c>
      <c r="V2452" s="1">
        <v>84</v>
      </c>
      <c r="W2452" s="1">
        <v>147</v>
      </c>
      <c r="X2452" s="1">
        <v>1.75</v>
      </c>
      <c r="Y2452" s="1">
        <v>84</v>
      </c>
      <c r="Z2452" s="1">
        <v>147</v>
      </c>
      <c r="AA2452" s="1">
        <v>1.75</v>
      </c>
      <c r="AB2452" s="1">
        <v>85.533652044925475</v>
      </c>
      <c r="AC2452" s="1">
        <v>147.12221885082181</v>
      </c>
      <c r="AD2452" s="1">
        <v>1.7200507090887189</v>
      </c>
      <c r="AE2452" t="s">
        <v>4817</v>
      </c>
      <c r="AF2452" t="str">
        <f>IF(X2452&lt;$AF$1,"Bajo","Alto")</f>
        <v>Bajo</v>
      </c>
      <c r="AG2452" t="str">
        <f>LEFT(AE2452,1)</f>
        <v>C</v>
      </c>
      <c r="AH2452" t="str">
        <f>K2452</f>
        <v>F</v>
      </c>
      <c r="AI2452" t="str">
        <f>LEFT(AF2452,1)</f>
        <v>B</v>
      </c>
      <c r="AJ2452" t="str">
        <f>LEFT(M2452,1)</f>
        <v>J</v>
      </c>
      <c r="AK2452" t="str">
        <f>_xlfn.CONCAT(AG2452,AH2452,AI2452,AJ2452)</f>
        <v>CFBJ</v>
      </c>
    </row>
    <row r="2453" spans="1:37" ht="15.75" hidden="1" customHeight="1" x14ac:dyDescent="0.2">
      <c r="A2453" s="1">
        <v>250106</v>
      </c>
      <c r="B2453" s="1" t="s">
        <v>3169</v>
      </c>
      <c r="C2453" s="1" t="s">
        <v>821</v>
      </c>
      <c r="D2453" s="1" t="s">
        <v>3170</v>
      </c>
      <c r="E2453" s="1" t="s">
        <v>32</v>
      </c>
      <c r="F2453" s="1" t="s">
        <v>88</v>
      </c>
      <c r="G2453" s="1" t="s">
        <v>3176</v>
      </c>
      <c r="H2453" s="1">
        <v>10335</v>
      </c>
      <c r="I2453" s="1" t="s">
        <v>65</v>
      </c>
      <c r="J2453" s="1">
        <v>2</v>
      </c>
      <c r="K2453" s="1" t="s">
        <v>35</v>
      </c>
      <c r="L2453" s="1">
        <v>45</v>
      </c>
      <c r="M2453" s="1" t="str">
        <f>IF(L2453&lt;=45,"Joven","Mayor")</f>
        <v>Joven</v>
      </c>
      <c r="N2453" s="1">
        <v>48</v>
      </c>
      <c r="O2453" s="1" t="s">
        <v>36</v>
      </c>
      <c r="P2453" s="1">
        <v>1.0149999999999999</v>
      </c>
      <c r="Q2453" s="1">
        <v>90.840999999999994</v>
      </c>
      <c r="R2453" s="1">
        <v>5.0401100000000003</v>
      </c>
      <c r="S2453" s="1">
        <v>1.9077069</v>
      </c>
      <c r="T2453" s="1">
        <v>-2.0442572000000001</v>
      </c>
      <c r="U2453" s="1">
        <v>2.2229999999999999</v>
      </c>
      <c r="V2453" s="1">
        <v>108</v>
      </c>
      <c r="W2453" s="1">
        <v>189</v>
      </c>
      <c r="X2453" s="1">
        <v>1.75</v>
      </c>
      <c r="Y2453" s="1">
        <v>110</v>
      </c>
      <c r="Z2453" s="1">
        <v>189</v>
      </c>
      <c r="AA2453" s="1">
        <v>1.7181818181818183</v>
      </c>
      <c r="AB2453" s="1">
        <v>109.6791667297323</v>
      </c>
      <c r="AC2453" s="1">
        <v>189.05807222779501</v>
      </c>
      <c r="AD2453" s="1">
        <v>1.7237373137021137</v>
      </c>
      <c r="AE2453" t="s">
        <v>4817</v>
      </c>
      <c r="AF2453" t="str">
        <f>IF(X2453&lt;$AF$1,"Bajo","Alto")</f>
        <v>Bajo</v>
      </c>
      <c r="AG2453" t="str">
        <f>LEFT(AE2453,1)</f>
        <v>C</v>
      </c>
      <c r="AH2453" t="str">
        <f>K2453</f>
        <v>M</v>
      </c>
      <c r="AI2453" t="str">
        <f>LEFT(AF2453,1)</f>
        <v>B</v>
      </c>
      <c r="AJ2453" t="str">
        <f>LEFT(M2453,1)</f>
        <v>J</v>
      </c>
      <c r="AK2453" t="str">
        <f>_xlfn.CONCAT(AG2453,AH2453,AI2453,AJ2453)</f>
        <v>CMBJ</v>
      </c>
    </row>
    <row r="2454" spans="1:37" ht="15.75" hidden="1" customHeight="1" x14ac:dyDescent="0.2">
      <c r="A2454" s="1">
        <v>1072804</v>
      </c>
      <c r="B2454" s="1" t="s">
        <v>1067</v>
      </c>
      <c r="C2454" s="1" t="s">
        <v>1068</v>
      </c>
      <c r="D2454" s="1" t="s">
        <v>705</v>
      </c>
      <c r="E2454" s="1" t="s">
        <v>561</v>
      </c>
      <c r="F2454" s="1" t="s">
        <v>61</v>
      </c>
      <c r="G2454" s="1" t="s">
        <v>1338</v>
      </c>
      <c r="H2454" s="1">
        <v>871</v>
      </c>
      <c r="I2454" s="1" t="s">
        <v>48</v>
      </c>
      <c r="J2454" s="1">
        <v>4</v>
      </c>
      <c r="K2454" s="1" t="s">
        <v>49</v>
      </c>
      <c r="L2454" s="1">
        <v>47</v>
      </c>
      <c r="M2454" s="1" t="str">
        <f>IF(L2454&lt;=45,"Joven","Mayor")</f>
        <v>Mayor</v>
      </c>
      <c r="N2454" s="1">
        <v>63</v>
      </c>
      <c r="O2454" s="1" t="s">
        <v>50</v>
      </c>
      <c r="P2454" s="1">
        <v>1.1120000000000001</v>
      </c>
      <c r="Q2454" s="1">
        <v>90.710999999999999</v>
      </c>
      <c r="R2454" s="1">
        <v>-5.4728246</v>
      </c>
      <c r="S2454" s="1">
        <v>-0.29016352000000001</v>
      </c>
      <c r="T2454" s="1">
        <v>-1.4006075</v>
      </c>
      <c r="U2454" s="1">
        <v>67.353999999999999</v>
      </c>
      <c r="V2454" s="1">
        <v>68</v>
      </c>
      <c r="W2454" s="1">
        <v>121</v>
      </c>
      <c r="X2454" s="1">
        <v>1.7794117647058822</v>
      </c>
      <c r="Y2454" s="1">
        <v>70</v>
      </c>
      <c r="Z2454" s="1">
        <v>121</v>
      </c>
      <c r="AA2454" s="1">
        <v>1.7285714285714286</v>
      </c>
      <c r="AB2454" s="1">
        <v>69.416902256343064</v>
      </c>
      <c r="AC2454" s="1">
        <v>121.1349483565418</v>
      </c>
      <c r="AD2454" s="1">
        <v>1.7450353504570701</v>
      </c>
      <c r="AE2454" t="s">
        <v>4817</v>
      </c>
      <c r="AF2454" t="str">
        <f>IF(X2454&lt;$AF$1,"Bajo","Alto")</f>
        <v>Alto</v>
      </c>
      <c r="AG2454" t="str">
        <f>LEFT(AE2454,1)</f>
        <v>C</v>
      </c>
      <c r="AH2454" t="str">
        <f>K2454</f>
        <v>F</v>
      </c>
      <c r="AI2454" t="str">
        <f>LEFT(AF2454,1)</f>
        <v>A</v>
      </c>
      <c r="AJ2454" t="str">
        <f>LEFT(M2454,1)</f>
        <v>M</v>
      </c>
      <c r="AK2454" t="str">
        <f>_xlfn.CONCAT(AG2454,AH2454,AI2454,AJ2454)</f>
        <v>CFAM</v>
      </c>
    </row>
    <row r="2455" spans="1:37" ht="15.75" hidden="1" customHeight="1" x14ac:dyDescent="0.2">
      <c r="A2455" s="1">
        <v>1073402</v>
      </c>
      <c r="B2455" s="1" t="s">
        <v>1067</v>
      </c>
      <c r="C2455" s="1" t="s">
        <v>1068</v>
      </c>
      <c r="D2455" s="1" t="s">
        <v>1437</v>
      </c>
      <c r="E2455" s="1" t="s">
        <v>634</v>
      </c>
      <c r="F2455" s="1" t="s">
        <v>37</v>
      </c>
      <c r="G2455" s="1" t="s">
        <v>1439</v>
      </c>
      <c r="H2455" s="1">
        <v>417</v>
      </c>
      <c r="I2455" s="1" t="s">
        <v>48</v>
      </c>
      <c r="J2455" s="1">
        <v>4</v>
      </c>
      <c r="K2455" s="1" t="s">
        <v>35</v>
      </c>
      <c r="L2455" s="1">
        <v>47</v>
      </c>
      <c r="M2455" s="1" t="str">
        <f>IF(L2455&lt;=45,"Joven","Mayor")</f>
        <v>Mayor</v>
      </c>
      <c r="N2455" s="1">
        <v>41</v>
      </c>
      <c r="O2455" s="1" t="s">
        <v>36</v>
      </c>
      <c r="P2455" s="1">
        <v>0.35899999999999999</v>
      </c>
      <c r="Q2455" s="1">
        <v>68.754000000000005</v>
      </c>
      <c r="R2455" s="1">
        <v>12.667339</v>
      </c>
      <c r="S2455" s="1">
        <v>5.2691283000000002</v>
      </c>
      <c r="T2455" s="1">
        <v>-8.8244380000000007</v>
      </c>
      <c r="U2455" s="1">
        <v>12.93</v>
      </c>
      <c r="V2455" s="1">
        <v>80</v>
      </c>
      <c r="W2455" s="1">
        <v>143</v>
      </c>
      <c r="X2455" s="1">
        <v>1.7875000000000001</v>
      </c>
      <c r="Y2455" s="1">
        <v>88</v>
      </c>
      <c r="Z2455" s="1">
        <v>143</v>
      </c>
      <c r="AA2455" s="1">
        <v>1.625</v>
      </c>
      <c r="AB2455" s="1">
        <v>86.570002086760724</v>
      </c>
      <c r="AC2455" s="1">
        <v>143.455017198306</v>
      </c>
      <c r="AD2455" s="1">
        <v>1.6570984606715722</v>
      </c>
      <c r="AE2455" t="s">
        <v>4817</v>
      </c>
      <c r="AF2455" t="str">
        <f>IF(X2455&lt;$AF$1,"Bajo","Alto")</f>
        <v>Alto</v>
      </c>
      <c r="AG2455" t="str">
        <f>LEFT(AE2455,1)</f>
        <v>C</v>
      </c>
      <c r="AH2455" t="str">
        <f>K2455</f>
        <v>M</v>
      </c>
      <c r="AI2455" t="str">
        <f>LEFT(AF2455,1)</f>
        <v>A</v>
      </c>
      <c r="AJ2455" t="str">
        <f>LEFT(M2455,1)</f>
        <v>M</v>
      </c>
      <c r="AK2455" t="str">
        <f>_xlfn.CONCAT(AG2455,AH2455,AI2455,AJ2455)</f>
        <v>CMAM</v>
      </c>
    </row>
    <row r="2456" spans="1:37" ht="15.75" hidden="1" customHeight="1" x14ac:dyDescent="0.2">
      <c r="A2456" s="1">
        <v>2832004</v>
      </c>
      <c r="B2456" s="1" t="s">
        <v>1775</v>
      </c>
      <c r="C2456" s="1" t="s">
        <v>561</v>
      </c>
      <c r="D2456" s="1" t="s">
        <v>3846</v>
      </c>
      <c r="E2456" s="1" t="s">
        <v>3847</v>
      </c>
      <c r="F2456" s="1" t="s">
        <v>61</v>
      </c>
      <c r="G2456" s="1" t="s">
        <v>3851</v>
      </c>
      <c r="H2456" s="1">
        <v>42</v>
      </c>
      <c r="I2456" s="1" t="s">
        <v>91</v>
      </c>
      <c r="J2456" s="1">
        <v>6</v>
      </c>
      <c r="K2456" s="1" t="s">
        <v>35</v>
      </c>
      <c r="L2456" s="1">
        <v>43</v>
      </c>
      <c r="M2456" s="1" t="str">
        <f>IF(L2456&lt;=45,"Joven","Mayor")</f>
        <v>Joven</v>
      </c>
      <c r="N2456" s="1">
        <v>47</v>
      </c>
      <c r="O2456" s="1" t="s">
        <v>36</v>
      </c>
      <c r="P2456" s="1">
        <v>0.35499999999999998</v>
      </c>
      <c r="Q2456" s="1">
        <v>91.302999999999997</v>
      </c>
      <c r="R2456" s="1">
        <v>-2.456188</v>
      </c>
      <c r="S2456" s="1">
        <v>8.0623090000000008</v>
      </c>
      <c r="T2456" s="1">
        <v>-2.9271750000000001</v>
      </c>
      <c r="U2456" s="1">
        <v>1.8140000000000001</v>
      </c>
      <c r="V2456" s="1">
        <v>84</v>
      </c>
      <c r="W2456" s="1">
        <v>147</v>
      </c>
      <c r="X2456" s="1">
        <v>1.75</v>
      </c>
      <c r="Y2456" s="1">
        <v>87</v>
      </c>
      <c r="Z2456" s="1">
        <v>147</v>
      </c>
      <c r="AA2456" s="1">
        <v>1.6896551724137931</v>
      </c>
      <c r="AB2456" s="1">
        <v>86.188398821587271</v>
      </c>
      <c r="AC2456" s="1">
        <v>147.1656679389707</v>
      </c>
      <c r="AD2456" s="1">
        <v>1.7074881300859099</v>
      </c>
      <c r="AE2456" t="s">
        <v>4817</v>
      </c>
      <c r="AF2456" t="str">
        <f>IF(X2456&lt;$AF$1,"Bajo","Alto")</f>
        <v>Bajo</v>
      </c>
      <c r="AG2456" t="str">
        <f>LEFT(AE2456,1)</f>
        <v>C</v>
      </c>
      <c r="AH2456" t="str">
        <f>K2456</f>
        <v>M</v>
      </c>
      <c r="AI2456" t="str">
        <f>LEFT(AF2456,1)</f>
        <v>B</v>
      </c>
      <c r="AJ2456" t="str">
        <f>LEFT(M2456,1)</f>
        <v>J</v>
      </c>
      <c r="AK2456" t="str">
        <f>_xlfn.CONCAT(AG2456,AH2456,AI2456,AJ2456)</f>
        <v>CMBJ</v>
      </c>
    </row>
    <row r="2457" spans="1:37" ht="15.75" hidden="1" customHeight="1" x14ac:dyDescent="0.2">
      <c r="A2457" s="1">
        <v>210803</v>
      </c>
      <c r="B2457" s="1" t="s">
        <v>2816</v>
      </c>
      <c r="C2457" s="1" t="s">
        <v>2817</v>
      </c>
      <c r="D2457" s="1" t="s">
        <v>2821</v>
      </c>
      <c r="E2457" s="1" t="s">
        <v>46</v>
      </c>
      <c r="F2457" s="1" t="s">
        <v>63</v>
      </c>
      <c r="G2457" s="1" t="s">
        <v>2823</v>
      </c>
      <c r="H2457" s="1">
        <v>3163</v>
      </c>
      <c r="I2457" s="1" t="s">
        <v>2824</v>
      </c>
      <c r="J2457" s="1">
        <v>2522</v>
      </c>
      <c r="K2457" s="1" t="s">
        <v>49</v>
      </c>
      <c r="L2457" s="1">
        <v>48</v>
      </c>
      <c r="M2457" s="1" t="str">
        <f>IF(L2457&lt;=45,"Joven","Mayor")</f>
        <v>Mayor</v>
      </c>
      <c r="N2457" s="1">
        <v>60</v>
      </c>
      <c r="O2457" s="1" t="s">
        <v>50</v>
      </c>
      <c r="P2457" s="1">
        <v>0.36699999999999999</v>
      </c>
      <c r="Q2457" s="1">
        <v>94.884</v>
      </c>
      <c r="R2457" s="1">
        <v>-9.1331579999999996E-2</v>
      </c>
      <c r="S2457" s="1">
        <v>3.8216613000000003E-2</v>
      </c>
      <c r="T2457" s="1">
        <v>-4.183522</v>
      </c>
      <c r="U2457" s="1">
        <v>0.42199999999999999</v>
      </c>
      <c r="V2457" s="1">
        <v>77</v>
      </c>
      <c r="W2457" s="1">
        <v>137</v>
      </c>
      <c r="X2457" s="1">
        <v>1.7792207792207793</v>
      </c>
      <c r="Y2457" s="1">
        <v>81</v>
      </c>
      <c r="Z2457" s="1">
        <v>137</v>
      </c>
      <c r="AA2457" s="1">
        <v>1.691358024691358</v>
      </c>
      <c r="AB2457" s="1">
        <v>79.858791004644672</v>
      </c>
      <c r="AC2457" s="1">
        <v>136.9997202109175</v>
      </c>
      <c r="AD2457" s="1">
        <v>1.7155245964461125</v>
      </c>
      <c r="AE2457" t="s">
        <v>4817</v>
      </c>
      <c r="AF2457" t="str">
        <f>IF(X2457&lt;$AF$1,"Bajo","Alto")</f>
        <v>Alto</v>
      </c>
      <c r="AG2457" t="str">
        <f>LEFT(AE2457,1)</f>
        <v>C</v>
      </c>
      <c r="AH2457" t="str">
        <f>K2457</f>
        <v>F</v>
      </c>
      <c r="AI2457" t="str">
        <f>LEFT(AF2457,1)</f>
        <v>A</v>
      </c>
      <c r="AJ2457" t="str">
        <f>LEFT(M2457,1)</f>
        <v>M</v>
      </c>
      <c r="AK2457" t="str">
        <f>_xlfn.CONCAT(AG2457,AH2457,AI2457,AJ2457)</f>
        <v>CFAM</v>
      </c>
    </row>
    <row r="2458" spans="1:37" ht="15.75" hidden="1" customHeight="1" x14ac:dyDescent="0.2">
      <c r="A2458" s="1">
        <v>1520503</v>
      </c>
      <c r="B2458" s="1" t="s">
        <v>2077</v>
      </c>
      <c r="C2458" s="1" t="s">
        <v>57</v>
      </c>
      <c r="D2458" s="1" t="s">
        <v>2235</v>
      </c>
      <c r="E2458" s="1" t="s">
        <v>364</v>
      </c>
      <c r="F2458" s="1" t="s">
        <v>63</v>
      </c>
      <c r="G2458" s="1" t="s">
        <v>2236</v>
      </c>
      <c r="H2458" s="1">
        <v>631</v>
      </c>
      <c r="I2458" s="1" t="s">
        <v>134</v>
      </c>
      <c r="J2458" s="1">
        <v>8</v>
      </c>
      <c r="K2458" s="1" t="s">
        <v>35</v>
      </c>
      <c r="L2458" s="1">
        <v>37</v>
      </c>
      <c r="M2458" s="1" t="str">
        <f>IF(L2458&lt;=45,"Joven","Mayor")</f>
        <v>Joven</v>
      </c>
      <c r="N2458" s="1">
        <v>56</v>
      </c>
      <c r="O2458" s="1" t="s">
        <v>36</v>
      </c>
      <c r="P2458" s="1">
        <v>0.34100000000000003</v>
      </c>
      <c r="Q2458" s="1">
        <v>93.204999999999998</v>
      </c>
      <c r="R2458" s="1">
        <v>-0.67725252999999996</v>
      </c>
      <c r="S2458" s="1">
        <v>6.3871593000000004</v>
      </c>
      <c r="T2458" s="1">
        <v>-9.7699023999999995E-2</v>
      </c>
      <c r="U2458" s="1">
        <v>36.171999999999997</v>
      </c>
      <c r="V2458" s="1">
        <v>67</v>
      </c>
      <c r="W2458" s="1">
        <v>120</v>
      </c>
      <c r="X2458" s="1">
        <v>1.791044776119403</v>
      </c>
      <c r="Y2458" s="1">
        <v>68</v>
      </c>
      <c r="Z2458" s="1">
        <v>120</v>
      </c>
      <c r="AA2458" s="1">
        <v>1.7647058823529411</v>
      </c>
      <c r="AB2458" s="1">
        <v>68.045940699602625</v>
      </c>
      <c r="AC2458" s="1">
        <v>119.99471003737609</v>
      </c>
      <c r="AD2458" s="1">
        <v>1.7634367135448661</v>
      </c>
      <c r="AE2458" t="s">
        <v>4817</v>
      </c>
      <c r="AF2458" t="str">
        <f>IF(X2458&lt;$AF$1,"Bajo","Alto")</f>
        <v>Alto</v>
      </c>
      <c r="AG2458" t="str">
        <f>LEFT(AE2458,1)</f>
        <v>C</v>
      </c>
      <c r="AH2458" t="str">
        <f>K2458</f>
        <v>M</v>
      </c>
      <c r="AI2458" t="str">
        <f>LEFT(AF2458,1)</f>
        <v>A</v>
      </c>
      <c r="AJ2458" t="str">
        <f>LEFT(M2458,1)</f>
        <v>J</v>
      </c>
      <c r="AK2458" t="str">
        <f>_xlfn.CONCAT(AG2458,AH2458,AI2458,AJ2458)</f>
        <v>CMAJ</v>
      </c>
    </row>
    <row r="2459" spans="1:37" ht="15.75" hidden="1" customHeight="1" x14ac:dyDescent="0.2">
      <c r="A2459" s="1">
        <v>1090101</v>
      </c>
      <c r="B2459" s="1" t="s">
        <v>719</v>
      </c>
      <c r="C2459" s="1" t="s">
        <v>98</v>
      </c>
      <c r="D2459" s="1" t="s">
        <v>1532</v>
      </c>
      <c r="E2459" s="1" t="s">
        <v>32</v>
      </c>
      <c r="F2459" s="1" t="s">
        <v>32</v>
      </c>
      <c r="G2459" s="1" t="s">
        <v>1533</v>
      </c>
      <c r="H2459" s="1">
        <v>54289</v>
      </c>
      <c r="I2459" s="1" t="s">
        <v>65</v>
      </c>
      <c r="J2459" s="1">
        <v>2</v>
      </c>
      <c r="K2459" s="1" t="s">
        <v>35</v>
      </c>
      <c r="L2459" s="1">
        <v>59</v>
      </c>
      <c r="M2459" s="1" t="str">
        <f>IF(L2459&lt;=45,"Joven","Mayor")</f>
        <v>Mayor</v>
      </c>
      <c r="N2459" s="1">
        <v>53</v>
      </c>
      <c r="O2459" s="1" t="s">
        <v>36</v>
      </c>
      <c r="P2459" s="1">
        <v>0.35699999999999998</v>
      </c>
      <c r="Q2459" s="1">
        <v>93.45</v>
      </c>
      <c r="R2459" s="1">
        <v>1.5473195</v>
      </c>
      <c r="S2459" s="1">
        <v>-3.8218321999999998</v>
      </c>
      <c r="T2459" s="1">
        <v>-3.0493746000000002</v>
      </c>
      <c r="U2459" s="1">
        <v>3.0630000000000002</v>
      </c>
      <c r="V2459" s="1">
        <v>80</v>
      </c>
      <c r="W2459" s="1">
        <v>143</v>
      </c>
      <c r="X2459" s="1">
        <v>1.7875000000000001</v>
      </c>
      <c r="Y2459" s="1">
        <v>83</v>
      </c>
      <c r="Z2459" s="1">
        <v>143</v>
      </c>
      <c r="AA2459" s="1">
        <v>1.7228915662650603</v>
      </c>
      <c r="AB2459" s="1">
        <v>82.067781785767465</v>
      </c>
      <c r="AC2459" s="1">
        <v>143.0635036039275</v>
      </c>
      <c r="AD2459" s="1">
        <v>1.7432359019692447</v>
      </c>
      <c r="AE2459" t="s">
        <v>4817</v>
      </c>
      <c r="AF2459" t="str">
        <f>IF(X2459&lt;$AF$1,"Bajo","Alto")</f>
        <v>Alto</v>
      </c>
      <c r="AG2459" t="str">
        <f>LEFT(AE2459,1)</f>
        <v>C</v>
      </c>
      <c r="AH2459" t="str">
        <f>K2459</f>
        <v>M</v>
      </c>
      <c r="AI2459" t="str">
        <f>LEFT(AF2459,1)</f>
        <v>A</v>
      </c>
      <c r="AJ2459" t="str">
        <f>LEFT(M2459,1)</f>
        <v>M</v>
      </c>
      <c r="AK2459" t="str">
        <f>_xlfn.CONCAT(AG2459,AH2459,AI2459,AJ2459)</f>
        <v>CMAM</v>
      </c>
    </row>
    <row r="2460" spans="1:37" ht="15.75" hidden="1" customHeight="1" x14ac:dyDescent="0.2">
      <c r="A2460" s="1">
        <v>1054305</v>
      </c>
      <c r="B2460" s="1" t="s">
        <v>694</v>
      </c>
      <c r="C2460" s="1" t="s">
        <v>879</v>
      </c>
      <c r="D2460" s="1" t="s">
        <v>990</v>
      </c>
      <c r="E2460" s="1" t="s">
        <v>665</v>
      </c>
      <c r="F2460" s="1" t="s">
        <v>40</v>
      </c>
      <c r="G2460" s="1" t="s">
        <v>993</v>
      </c>
      <c r="H2460" s="1">
        <v>216</v>
      </c>
      <c r="I2460" s="1" t="s">
        <v>134</v>
      </c>
      <c r="J2460" s="1">
        <v>8</v>
      </c>
      <c r="K2460" s="1" t="s">
        <v>35</v>
      </c>
      <c r="L2460" s="1">
        <v>56</v>
      </c>
      <c r="M2460" s="1" t="str">
        <f>IF(L2460&lt;=45,"Joven","Mayor")</f>
        <v>Mayor</v>
      </c>
      <c r="N2460" s="1">
        <v>45</v>
      </c>
      <c r="O2460" s="1" t="s">
        <v>36</v>
      </c>
      <c r="P2460" s="1">
        <v>0.39800000000000002</v>
      </c>
      <c r="Q2460" s="1">
        <v>88.72</v>
      </c>
      <c r="R2460" s="1">
        <v>7.0169110000000003</v>
      </c>
      <c r="S2460" s="1">
        <v>-0.71209670000000003</v>
      </c>
      <c r="T2460" s="1">
        <v>-2.3403944999999999</v>
      </c>
      <c r="U2460" s="1">
        <v>29.222000000000001</v>
      </c>
      <c r="V2460" s="1">
        <v>108</v>
      </c>
      <c r="W2460" s="1">
        <v>189</v>
      </c>
      <c r="X2460" s="1">
        <v>1.75</v>
      </c>
      <c r="Y2460" s="1">
        <v>112</v>
      </c>
      <c r="Z2460" s="1">
        <v>189</v>
      </c>
      <c r="AA2460" s="1">
        <v>1.6875</v>
      </c>
      <c r="AB2460" s="1">
        <v>113.82587844122121</v>
      </c>
      <c r="AC2460" s="1">
        <v>188.59732886459781</v>
      </c>
      <c r="AD2460" s="1">
        <v>1.6568932429718783</v>
      </c>
      <c r="AE2460" t="s">
        <v>4817</v>
      </c>
      <c r="AF2460" t="str">
        <f>IF(X2460&lt;$AF$1,"Bajo","Alto")</f>
        <v>Bajo</v>
      </c>
      <c r="AG2460" t="str">
        <f>LEFT(AE2460,1)</f>
        <v>C</v>
      </c>
      <c r="AH2460" t="str">
        <f>K2460</f>
        <v>M</v>
      </c>
      <c r="AI2460" t="str">
        <f>LEFT(AF2460,1)</f>
        <v>B</v>
      </c>
      <c r="AJ2460" t="str">
        <f>LEFT(M2460,1)</f>
        <v>M</v>
      </c>
      <c r="AK2460" t="str">
        <f>_xlfn.CONCAT(AG2460,AH2460,AI2460,AJ2460)</f>
        <v>CMBM</v>
      </c>
    </row>
    <row r="2461" spans="1:37" ht="15.75" customHeight="1" x14ac:dyDescent="0.2">
      <c r="A2461" s="1">
        <v>317905</v>
      </c>
      <c r="B2461" s="1" t="s">
        <v>4122</v>
      </c>
      <c r="C2461" s="1" t="s">
        <v>628</v>
      </c>
      <c r="D2461" s="1" t="s">
        <v>4259</v>
      </c>
      <c r="E2461" s="1" t="s">
        <v>739</v>
      </c>
      <c r="F2461" s="1" t="s">
        <v>40</v>
      </c>
      <c r="G2461" s="1" t="s">
        <v>4263</v>
      </c>
      <c r="H2461" s="1">
        <v>61281</v>
      </c>
      <c r="I2461" s="1" t="s">
        <v>4264</v>
      </c>
      <c r="J2461" s="1">
        <v>3095</v>
      </c>
      <c r="K2461" s="1" t="s">
        <v>35</v>
      </c>
      <c r="L2461" s="1">
        <v>31</v>
      </c>
      <c r="M2461" s="1" t="str">
        <f>IF(L2461&lt;=45,"Joven","Mayor")</f>
        <v>Joven</v>
      </c>
      <c r="N2461" s="1">
        <v>27</v>
      </c>
      <c r="O2461" s="1" t="s">
        <v>36</v>
      </c>
      <c r="P2461" s="1">
        <v>0.38300000000000001</v>
      </c>
      <c r="Q2461" s="1">
        <v>88.227000000000004</v>
      </c>
      <c r="R2461" s="1">
        <v>6.5077480000000003</v>
      </c>
      <c r="S2461" s="1">
        <v>4.4171180000000003</v>
      </c>
      <c r="T2461" s="1">
        <v>-10.284271</v>
      </c>
      <c r="U2461" s="1">
        <v>4.7539999999999996</v>
      </c>
      <c r="V2461" s="1">
        <v>91</v>
      </c>
      <c r="W2461" s="1">
        <v>166</v>
      </c>
      <c r="X2461" s="1">
        <v>1.8241758241758241</v>
      </c>
      <c r="Y2461" s="1">
        <v>102</v>
      </c>
      <c r="Z2461" s="1">
        <v>166</v>
      </c>
      <c r="AA2461" s="1">
        <v>1.6274509803921569</v>
      </c>
      <c r="AB2461" s="1">
        <v>98.28607520367359</v>
      </c>
      <c r="AC2461" s="1">
        <v>166.18957205245991</v>
      </c>
      <c r="AD2461" s="1">
        <v>1.6908760646721634</v>
      </c>
      <c r="AE2461" t="s">
        <v>4818</v>
      </c>
      <c r="AF2461" t="str">
        <f>IF(X2461&lt;$AF$1,"Bajo","Alto")</f>
        <v>Alto</v>
      </c>
      <c r="AG2461" t="str">
        <f>LEFT(AE2461,1)</f>
        <v>S</v>
      </c>
      <c r="AH2461" t="str">
        <f>K2461</f>
        <v>M</v>
      </c>
      <c r="AI2461" t="str">
        <f>LEFT(AF2461,1)</f>
        <v>A</v>
      </c>
      <c r="AJ2461" t="str">
        <f>LEFT(M2461,1)</f>
        <v>J</v>
      </c>
      <c r="AK2461" t="str">
        <f>_xlfn.CONCAT(AG2461,AH2461,AI2461,AJ2461)</f>
        <v>SMAJ</v>
      </c>
    </row>
    <row r="2462" spans="1:37" ht="15.75" hidden="1" customHeight="1" x14ac:dyDescent="0.2">
      <c r="A2462" s="1">
        <v>525005</v>
      </c>
      <c r="B2462" s="1" t="s">
        <v>4529</v>
      </c>
      <c r="C2462" s="1" t="s">
        <v>685</v>
      </c>
      <c r="D2462" s="1" t="s">
        <v>4268</v>
      </c>
      <c r="E2462" s="1" t="s">
        <v>1001</v>
      </c>
      <c r="F2462" s="1" t="s">
        <v>40</v>
      </c>
      <c r="G2462" s="1" t="s">
        <v>4649</v>
      </c>
      <c r="H2462" s="1">
        <v>5462</v>
      </c>
      <c r="I2462" s="1" t="s">
        <v>4650</v>
      </c>
      <c r="J2462" s="1">
        <v>4013</v>
      </c>
      <c r="K2462" s="1" t="s">
        <v>49</v>
      </c>
      <c r="L2462" s="1">
        <v>53</v>
      </c>
      <c r="M2462" s="1" t="str">
        <f>IF(L2462&lt;=45,"Joven","Mayor")</f>
        <v>Mayor</v>
      </c>
      <c r="N2462" s="1">
        <v>52</v>
      </c>
      <c r="O2462" s="1" t="s">
        <v>50</v>
      </c>
      <c r="P2462" s="1">
        <v>0.35</v>
      </c>
      <c r="Q2462" s="1">
        <v>36.582999999999998</v>
      </c>
      <c r="R2462" s="1">
        <v>17.771339999999999</v>
      </c>
      <c r="S2462" s="1">
        <v>-0.78709470000000004</v>
      </c>
      <c r="T2462" s="1">
        <v>-10.139336</v>
      </c>
      <c r="U2462" s="1">
        <v>46.674999999999997</v>
      </c>
      <c r="V2462" s="1">
        <v>86</v>
      </c>
      <c r="W2462" s="1">
        <v>153</v>
      </c>
      <c r="X2462" s="1">
        <v>1.7790697674418605</v>
      </c>
      <c r="Y2462" s="1">
        <v>96</v>
      </c>
      <c r="Z2462" s="1">
        <v>153</v>
      </c>
      <c r="AA2462" s="1">
        <v>1.59375</v>
      </c>
      <c r="AB2462" s="1">
        <v>91.874645520726745</v>
      </c>
      <c r="AC2462" s="1">
        <v>152.37095621822351</v>
      </c>
      <c r="AD2462" s="1">
        <v>1.6584657862309675</v>
      </c>
      <c r="AE2462" t="s">
        <v>4817</v>
      </c>
      <c r="AF2462" t="str">
        <f>IF(X2462&lt;$AF$1,"Bajo","Alto")</f>
        <v>Alto</v>
      </c>
      <c r="AG2462" t="str">
        <f>LEFT(AE2462,1)</f>
        <v>C</v>
      </c>
      <c r="AH2462" t="str">
        <f>K2462</f>
        <v>F</v>
      </c>
      <c r="AI2462" t="str">
        <f>LEFT(AF2462,1)</f>
        <v>A</v>
      </c>
      <c r="AJ2462" t="str">
        <f>LEFT(M2462,1)</f>
        <v>M</v>
      </c>
      <c r="AK2462" t="str">
        <f>_xlfn.CONCAT(AG2462,AH2462,AI2462,AJ2462)</f>
        <v>CFAM</v>
      </c>
    </row>
    <row r="2463" spans="1:37" ht="15.75" hidden="1" customHeight="1" x14ac:dyDescent="0.2">
      <c r="A2463" s="1">
        <v>258505</v>
      </c>
      <c r="B2463" s="1" t="s">
        <v>3169</v>
      </c>
      <c r="C2463" s="1" t="s">
        <v>821</v>
      </c>
      <c r="D2463" s="1" t="s">
        <v>3334</v>
      </c>
      <c r="E2463" s="1" t="s">
        <v>755</v>
      </c>
      <c r="F2463" s="1" t="s">
        <v>40</v>
      </c>
      <c r="G2463" s="1" t="s">
        <v>3337</v>
      </c>
      <c r="H2463" s="1">
        <v>3026</v>
      </c>
      <c r="I2463" s="1" t="s">
        <v>91</v>
      </c>
      <c r="J2463" s="1">
        <v>6</v>
      </c>
      <c r="K2463" s="1" t="s">
        <v>35</v>
      </c>
      <c r="L2463" s="1">
        <v>67</v>
      </c>
      <c r="M2463" s="1" t="str">
        <f>IF(L2463&lt;=45,"Joven","Mayor")</f>
        <v>Mayor</v>
      </c>
      <c r="N2463" s="1">
        <v>59</v>
      </c>
      <c r="O2463" s="1" t="s">
        <v>36</v>
      </c>
      <c r="P2463" s="1">
        <v>0.78400000000000003</v>
      </c>
      <c r="Q2463" s="1">
        <v>81.99</v>
      </c>
      <c r="R2463" s="1">
        <v>9.8928809999999991</v>
      </c>
      <c r="S2463" s="1">
        <v>1.2932722999999999</v>
      </c>
      <c r="T2463" s="1">
        <v>-6.9034709999999997</v>
      </c>
      <c r="U2463" s="1">
        <v>55.807000000000002</v>
      </c>
      <c r="V2463" s="1">
        <v>80</v>
      </c>
      <c r="W2463" s="1">
        <v>143</v>
      </c>
      <c r="X2463" s="1">
        <v>1.7875000000000001</v>
      </c>
      <c r="Y2463" s="1">
        <v>86</v>
      </c>
      <c r="Z2463" s="1">
        <v>143</v>
      </c>
      <c r="AA2463" s="1">
        <v>1.6627906976744187</v>
      </c>
      <c r="AB2463" s="1">
        <v>84.949066064366207</v>
      </c>
      <c r="AC2463" s="1">
        <v>143.04503171274749</v>
      </c>
      <c r="AD2463" s="1">
        <v>1.6838917523161674</v>
      </c>
      <c r="AE2463" t="s">
        <v>4817</v>
      </c>
      <c r="AF2463" t="str">
        <f>IF(X2463&lt;$AF$1,"Bajo","Alto")</f>
        <v>Alto</v>
      </c>
      <c r="AG2463" t="str">
        <f>LEFT(AE2463,1)</f>
        <v>C</v>
      </c>
      <c r="AH2463" t="str">
        <f>K2463</f>
        <v>M</v>
      </c>
      <c r="AI2463" t="str">
        <f>LEFT(AF2463,1)</f>
        <v>A</v>
      </c>
      <c r="AJ2463" t="str">
        <f>LEFT(M2463,1)</f>
        <v>M</v>
      </c>
      <c r="AK2463" t="str">
        <f>_xlfn.CONCAT(AG2463,AH2463,AI2463,AJ2463)</f>
        <v>CMAM</v>
      </c>
    </row>
    <row r="2464" spans="1:37" ht="15.75" hidden="1" customHeight="1" x14ac:dyDescent="0.2">
      <c r="A2464" s="1">
        <v>317302</v>
      </c>
      <c r="B2464" s="1" t="s">
        <v>4122</v>
      </c>
      <c r="C2464" s="1" t="s">
        <v>628</v>
      </c>
      <c r="D2464" s="1" t="s">
        <v>1133</v>
      </c>
      <c r="E2464" s="1" t="s">
        <v>1021</v>
      </c>
      <c r="F2464" s="1" t="s">
        <v>37</v>
      </c>
      <c r="G2464" s="1" t="s">
        <v>4253</v>
      </c>
      <c r="H2464" s="1">
        <v>2031</v>
      </c>
      <c r="I2464" s="1" t="s">
        <v>134</v>
      </c>
      <c r="J2464" s="1">
        <v>8</v>
      </c>
      <c r="K2464" s="1" t="s">
        <v>49</v>
      </c>
      <c r="L2464" s="1">
        <v>55</v>
      </c>
      <c r="M2464" s="1" t="str">
        <f>IF(L2464&lt;=45,"Joven","Mayor")</f>
        <v>Mayor</v>
      </c>
      <c r="N2464" s="1">
        <v>48</v>
      </c>
      <c r="O2464" s="1" t="s">
        <v>50</v>
      </c>
      <c r="P2464" s="1">
        <v>0.35399999999999998</v>
      </c>
      <c r="Q2464" s="1">
        <v>91.926000000000002</v>
      </c>
      <c r="R2464" s="1">
        <v>0.57430959999999998</v>
      </c>
      <c r="S2464" s="1">
        <v>9.5806140000000006</v>
      </c>
      <c r="T2464" s="1">
        <v>4.9123570000000001</v>
      </c>
      <c r="U2464" s="1">
        <v>37.813000000000002</v>
      </c>
      <c r="V2464" s="1">
        <v>95</v>
      </c>
      <c r="W2464" s="1">
        <v>169</v>
      </c>
      <c r="X2464" s="1">
        <v>1.7789473684210526</v>
      </c>
      <c r="Y2464" s="1">
        <v>99</v>
      </c>
      <c r="Z2464" s="1">
        <v>169</v>
      </c>
      <c r="AA2464" s="1">
        <v>1.707070707070707</v>
      </c>
      <c r="AB2464" s="1">
        <v>98.418850200698216</v>
      </c>
      <c r="AC2464" s="1">
        <v>169.49245128229629</v>
      </c>
      <c r="AD2464" s="1">
        <v>1.7221543529177894</v>
      </c>
      <c r="AE2464" t="s">
        <v>4817</v>
      </c>
      <c r="AF2464" t="str">
        <f>IF(X2464&lt;$AF$1,"Bajo","Alto")</f>
        <v>Alto</v>
      </c>
      <c r="AG2464" t="str">
        <f>LEFT(AE2464,1)</f>
        <v>C</v>
      </c>
      <c r="AH2464" t="str">
        <f>K2464</f>
        <v>F</v>
      </c>
      <c r="AI2464" t="str">
        <f>LEFT(AF2464,1)</f>
        <v>A</v>
      </c>
      <c r="AJ2464" t="str">
        <f>LEFT(M2464,1)</f>
        <v>M</v>
      </c>
      <c r="AK2464" t="str">
        <f>_xlfn.CONCAT(AG2464,AH2464,AI2464,AJ2464)</f>
        <v>CFAM</v>
      </c>
    </row>
    <row r="2465" spans="1:37" ht="15.75" hidden="1" customHeight="1" x14ac:dyDescent="0.2">
      <c r="A2465" s="1">
        <v>1525005</v>
      </c>
      <c r="B2465" s="1" t="s">
        <v>2077</v>
      </c>
      <c r="C2465" s="1" t="s">
        <v>57</v>
      </c>
      <c r="D2465" s="1" t="s">
        <v>2310</v>
      </c>
      <c r="E2465" s="1" t="s">
        <v>500</v>
      </c>
      <c r="F2465" s="1" t="s">
        <v>40</v>
      </c>
      <c r="G2465" s="1" t="s">
        <v>2312</v>
      </c>
      <c r="H2465" s="1">
        <v>1451</v>
      </c>
      <c r="I2465" s="1" t="s">
        <v>2313</v>
      </c>
      <c r="J2465" s="1">
        <v>4116</v>
      </c>
      <c r="K2465" s="1" t="s">
        <v>35</v>
      </c>
      <c r="L2465" s="1">
        <v>52</v>
      </c>
      <c r="M2465" s="1" t="str">
        <f>IF(L2465&lt;=45,"Joven","Mayor")</f>
        <v>Mayor</v>
      </c>
      <c r="N2465" s="1">
        <v>48</v>
      </c>
      <c r="O2465" s="1" t="s">
        <v>36</v>
      </c>
      <c r="P2465" s="1">
        <v>1.444</v>
      </c>
      <c r="Q2465" s="1">
        <v>91.503</v>
      </c>
      <c r="R2465" s="1">
        <v>2.4783263</v>
      </c>
      <c r="S2465" s="1">
        <v>6.7932863000000001</v>
      </c>
      <c r="T2465" s="1">
        <v>-1.8613495</v>
      </c>
      <c r="U2465" s="1">
        <v>0.64700000000000002</v>
      </c>
      <c r="V2465" s="1">
        <v>92</v>
      </c>
      <c r="W2465" s="1">
        <v>161</v>
      </c>
      <c r="X2465" s="1">
        <v>1.75</v>
      </c>
      <c r="Y2465" s="1">
        <v>95</v>
      </c>
      <c r="Z2465" s="1">
        <v>161</v>
      </c>
      <c r="AA2465" s="1">
        <v>1.6947368421052631</v>
      </c>
      <c r="AB2465" s="1">
        <v>93.618154164446196</v>
      </c>
      <c r="AC2465" s="1">
        <v>160.98001097000221</v>
      </c>
      <c r="AD2465" s="1">
        <v>1.719538399435121</v>
      </c>
      <c r="AE2465" t="s">
        <v>4817</v>
      </c>
      <c r="AF2465" t="str">
        <f>IF(X2465&lt;$AF$1,"Bajo","Alto")</f>
        <v>Bajo</v>
      </c>
      <c r="AG2465" t="str">
        <f>LEFT(AE2465,1)</f>
        <v>C</v>
      </c>
      <c r="AH2465" t="str">
        <f>K2465</f>
        <v>M</v>
      </c>
      <c r="AI2465" t="str">
        <f>LEFT(AF2465,1)</f>
        <v>B</v>
      </c>
      <c r="AJ2465" t="str">
        <f>LEFT(M2465,1)</f>
        <v>M</v>
      </c>
      <c r="AK2465" t="str">
        <f>_xlfn.CONCAT(AG2465,AH2465,AI2465,AJ2465)</f>
        <v>CMBM</v>
      </c>
    </row>
    <row r="2466" spans="1:37" ht="15.75" hidden="1" customHeight="1" x14ac:dyDescent="0.2">
      <c r="A2466" s="1">
        <v>273403</v>
      </c>
      <c r="B2466" s="1" t="s">
        <v>3409</v>
      </c>
      <c r="C2466" s="1" t="s">
        <v>973</v>
      </c>
      <c r="D2466" s="1" t="s">
        <v>3666</v>
      </c>
      <c r="E2466" s="1" t="s">
        <v>634</v>
      </c>
      <c r="F2466" s="1" t="s">
        <v>63</v>
      </c>
      <c r="G2466" s="1" t="s">
        <v>3667</v>
      </c>
      <c r="H2466" s="1">
        <v>849</v>
      </c>
      <c r="I2466" s="1" t="s">
        <v>108</v>
      </c>
      <c r="J2466" s="1">
        <v>3</v>
      </c>
      <c r="K2466" s="1" t="s">
        <v>35</v>
      </c>
      <c r="L2466" s="1">
        <v>53</v>
      </c>
      <c r="M2466" s="1" t="str">
        <f>IF(L2466&lt;=45,"Joven","Mayor")</f>
        <v>Mayor</v>
      </c>
      <c r="N2466" s="1">
        <v>61</v>
      </c>
      <c r="O2466" s="1" t="s">
        <v>36</v>
      </c>
      <c r="P2466" s="1">
        <v>1.135</v>
      </c>
      <c r="Q2466" s="1">
        <v>81.995000000000005</v>
      </c>
      <c r="R2466" s="1">
        <v>8.491835</v>
      </c>
      <c r="S2466" s="1">
        <v>7.4531793999999998</v>
      </c>
      <c r="T2466" s="1">
        <v>-5.5407440000000001</v>
      </c>
      <c r="U2466" s="1">
        <v>1.5720000000000001</v>
      </c>
      <c r="V2466" s="1">
        <v>96</v>
      </c>
      <c r="W2466" s="1">
        <v>168</v>
      </c>
      <c r="X2466" s="1">
        <v>1.75</v>
      </c>
      <c r="Y2466" s="1">
        <v>101</v>
      </c>
      <c r="Z2466" s="1">
        <v>168</v>
      </c>
      <c r="AA2466" s="1">
        <v>1.6633663366336633</v>
      </c>
      <c r="AB2466" s="1">
        <v>100.2825927542369</v>
      </c>
      <c r="AC2466" s="1">
        <v>168.08405071990501</v>
      </c>
      <c r="AD2466" s="1">
        <v>1.6761039588578399</v>
      </c>
      <c r="AE2466" t="s">
        <v>4817</v>
      </c>
      <c r="AF2466" t="str">
        <f>IF(X2466&lt;$AF$1,"Bajo","Alto")</f>
        <v>Bajo</v>
      </c>
      <c r="AG2466" t="str">
        <f>LEFT(AE2466,1)</f>
        <v>C</v>
      </c>
      <c r="AH2466" t="str">
        <f>K2466</f>
        <v>M</v>
      </c>
      <c r="AI2466" t="str">
        <f>LEFT(AF2466,1)</f>
        <v>B</v>
      </c>
      <c r="AJ2466" t="str">
        <f>LEFT(M2466,1)</f>
        <v>M</v>
      </c>
      <c r="AK2466" t="str">
        <f>_xlfn.CONCAT(AG2466,AH2466,AI2466,AJ2466)</f>
        <v>CMBM</v>
      </c>
    </row>
    <row r="2467" spans="1:37" ht="15.75" hidden="1" customHeight="1" x14ac:dyDescent="0.2">
      <c r="A2467" s="1">
        <v>480107</v>
      </c>
      <c r="B2467" s="1" t="s">
        <v>4465</v>
      </c>
      <c r="C2467" s="1" t="s">
        <v>2650</v>
      </c>
      <c r="D2467" s="1" t="s">
        <v>4466</v>
      </c>
      <c r="E2467" s="1" t="s">
        <v>32</v>
      </c>
      <c r="F2467" s="1" t="s">
        <v>43</v>
      </c>
      <c r="G2467" s="1" t="s">
        <v>4468</v>
      </c>
      <c r="H2467" s="1">
        <v>8294</v>
      </c>
      <c r="I2467" s="1" t="s">
        <v>4469</v>
      </c>
      <c r="J2467" s="1">
        <v>1371</v>
      </c>
      <c r="K2467" s="1" t="s">
        <v>35</v>
      </c>
      <c r="L2467" s="1">
        <v>38</v>
      </c>
      <c r="M2467" s="1" t="str">
        <f>IF(L2467&lt;=45,"Joven","Mayor")</f>
        <v>Joven</v>
      </c>
      <c r="N2467" s="1">
        <v>29</v>
      </c>
      <c r="O2467" s="1" t="s">
        <v>36</v>
      </c>
      <c r="P2467" s="1">
        <v>0.35499999999999998</v>
      </c>
      <c r="Q2467" s="1">
        <v>85.596000000000004</v>
      </c>
      <c r="R2467" s="1">
        <v>6.8678793999999996</v>
      </c>
      <c r="S2467" s="1">
        <v>8.0232740000000007</v>
      </c>
      <c r="T2467" s="1">
        <v>-10.339085000000001</v>
      </c>
      <c r="U2467" s="1">
        <v>39.646000000000001</v>
      </c>
      <c r="V2467" s="1">
        <v>96</v>
      </c>
      <c r="W2467" s="1">
        <v>168</v>
      </c>
      <c r="X2467" s="1">
        <v>1.75</v>
      </c>
      <c r="Y2467" s="1">
        <v>105</v>
      </c>
      <c r="Z2467" s="1">
        <v>168</v>
      </c>
      <c r="AA2467" s="1">
        <v>1.6</v>
      </c>
      <c r="AB2467" s="1">
        <v>104.1327928364897</v>
      </c>
      <c r="AC2467" s="1">
        <v>168.14373008653001</v>
      </c>
      <c r="AD2467" s="1">
        <v>1.6147048927281811</v>
      </c>
      <c r="AE2467" t="s">
        <v>4817</v>
      </c>
      <c r="AF2467" t="str">
        <f>IF(X2467&lt;$AF$1,"Bajo","Alto")</f>
        <v>Bajo</v>
      </c>
      <c r="AG2467" t="str">
        <f>LEFT(AE2467,1)</f>
        <v>C</v>
      </c>
      <c r="AH2467" t="str">
        <f>K2467</f>
        <v>M</v>
      </c>
      <c r="AI2467" t="str">
        <f>LEFT(AF2467,1)</f>
        <v>B</v>
      </c>
      <c r="AJ2467" t="str">
        <f>LEFT(M2467,1)</f>
        <v>J</v>
      </c>
      <c r="AK2467" t="str">
        <f>_xlfn.CONCAT(AG2467,AH2467,AI2467,AJ2467)</f>
        <v>CMBJ</v>
      </c>
    </row>
    <row r="2468" spans="1:37" ht="15.75" hidden="1" customHeight="1" x14ac:dyDescent="0.2">
      <c r="A2468" s="1">
        <v>110705</v>
      </c>
      <c r="B2468" s="1" t="s">
        <v>1648</v>
      </c>
      <c r="C2468" s="1" t="s">
        <v>51</v>
      </c>
      <c r="D2468" s="1" t="s">
        <v>694</v>
      </c>
      <c r="E2468" s="1" t="s">
        <v>43</v>
      </c>
      <c r="F2468" s="1" t="s">
        <v>40</v>
      </c>
      <c r="G2468" s="1" t="s">
        <v>1667</v>
      </c>
      <c r="H2468" s="1">
        <v>2038</v>
      </c>
      <c r="I2468" s="1" t="s">
        <v>91</v>
      </c>
      <c r="J2468" s="1">
        <v>6</v>
      </c>
      <c r="K2468" s="1" t="s">
        <v>35</v>
      </c>
      <c r="L2468" s="1">
        <v>41</v>
      </c>
      <c r="M2468" s="1" t="str">
        <f>IF(L2468&lt;=45,"Joven","Mayor")</f>
        <v>Joven</v>
      </c>
      <c r="N2468" s="1">
        <v>38</v>
      </c>
      <c r="O2468" s="1" t="s">
        <v>36</v>
      </c>
      <c r="P2468" s="1">
        <v>0.36099999999999999</v>
      </c>
      <c r="Q2468" s="1">
        <v>90.668999999999997</v>
      </c>
      <c r="R2468" s="1">
        <v>4.6008399999999998</v>
      </c>
      <c r="S2468" s="1">
        <v>4.6698079999999997</v>
      </c>
      <c r="T2468" s="1">
        <v>-0.54640716</v>
      </c>
      <c r="U2468" s="1">
        <v>56.963000000000001</v>
      </c>
      <c r="V2468" s="1">
        <v>86</v>
      </c>
      <c r="W2468" s="1">
        <v>154</v>
      </c>
      <c r="X2468" s="1">
        <v>1.7906976744186047</v>
      </c>
      <c r="Y2468" s="1">
        <v>86</v>
      </c>
      <c r="Z2468" s="1">
        <v>154</v>
      </c>
      <c r="AA2468" s="1">
        <v>1.7906976744186047</v>
      </c>
      <c r="AB2468" s="1">
        <v>86.368011234920004</v>
      </c>
      <c r="AC2468" s="1">
        <v>153.95485131047511</v>
      </c>
      <c r="AD2468" s="1">
        <v>1.7825448231257712</v>
      </c>
      <c r="AE2468" t="s">
        <v>4817</v>
      </c>
      <c r="AF2468" t="str">
        <f>IF(X2468&lt;$AF$1,"Bajo","Alto")</f>
        <v>Alto</v>
      </c>
      <c r="AG2468" t="str">
        <f>LEFT(AE2468,1)</f>
        <v>C</v>
      </c>
      <c r="AH2468" t="str">
        <f>K2468</f>
        <v>M</v>
      </c>
      <c r="AI2468" t="str">
        <f>LEFT(AF2468,1)</f>
        <v>A</v>
      </c>
      <c r="AJ2468" t="str">
        <f>LEFT(M2468,1)</f>
        <v>J</v>
      </c>
      <c r="AK2468" t="str">
        <f>_xlfn.CONCAT(AG2468,AH2468,AI2468,AJ2468)</f>
        <v>CMAJ</v>
      </c>
    </row>
    <row r="2469" spans="1:37" ht="15.75" hidden="1" customHeight="1" x14ac:dyDescent="0.2">
      <c r="A2469" s="1">
        <v>2910502</v>
      </c>
      <c r="B2469" s="1" t="s">
        <v>3890</v>
      </c>
      <c r="C2469" s="1" t="s">
        <v>1695</v>
      </c>
      <c r="D2469" s="1" t="s">
        <v>3931</v>
      </c>
      <c r="E2469" s="1" t="s">
        <v>879</v>
      </c>
      <c r="F2469" s="1" t="s">
        <v>37</v>
      </c>
      <c r="G2469" s="1" t="s">
        <v>3933</v>
      </c>
      <c r="H2469" s="1">
        <v>2724</v>
      </c>
      <c r="I2469" s="1" t="s">
        <v>65</v>
      </c>
      <c r="J2469" s="1">
        <v>2</v>
      </c>
      <c r="K2469" s="1" t="s">
        <v>35</v>
      </c>
      <c r="L2469" s="1">
        <v>63</v>
      </c>
      <c r="M2469" s="1" t="str">
        <f>IF(L2469&lt;=45,"Joven","Mayor")</f>
        <v>Mayor</v>
      </c>
      <c r="N2469" s="1">
        <v>69</v>
      </c>
      <c r="O2469" s="1" t="s">
        <v>36</v>
      </c>
      <c r="P2469" s="1">
        <v>0.35699999999999998</v>
      </c>
      <c r="Q2469" s="1">
        <v>93.599000000000004</v>
      </c>
      <c r="R2469" s="1">
        <v>-1.6557907000000001</v>
      </c>
      <c r="S2469" s="1">
        <v>2.9327337999999998</v>
      </c>
      <c r="T2469" s="1">
        <v>7.2813400000000001</v>
      </c>
      <c r="U2469" s="1">
        <v>9.3989999999999991</v>
      </c>
      <c r="V2469" s="1">
        <v>88</v>
      </c>
      <c r="W2469" s="1">
        <v>154</v>
      </c>
      <c r="X2469" s="1">
        <v>1.75</v>
      </c>
      <c r="Y2469" s="1">
        <v>94</v>
      </c>
      <c r="Z2469" s="1">
        <v>154</v>
      </c>
      <c r="AA2469" s="1">
        <v>1.6382978723404256</v>
      </c>
      <c r="AB2469" s="1">
        <v>93.500684551182076</v>
      </c>
      <c r="AC2469" s="1">
        <v>153.64529985979109</v>
      </c>
      <c r="AD2469" s="1">
        <v>1.6432532082231546</v>
      </c>
      <c r="AE2469" t="s">
        <v>4817</v>
      </c>
      <c r="AF2469" t="str">
        <f>IF(X2469&lt;$AF$1,"Bajo","Alto")</f>
        <v>Bajo</v>
      </c>
      <c r="AG2469" t="str">
        <f>LEFT(AE2469,1)</f>
        <v>C</v>
      </c>
      <c r="AH2469" t="str">
        <f>K2469</f>
        <v>M</v>
      </c>
      <c r="AI2469" t="str">
        <f>LEFT(AF2469,1)</f>
        <v>B</v>
      </c>
      <c r="AJ2469" t="str">
        <f>LEFT(M2469,1)</f>
        <v>M</v>
      </c>
      <c r="AK2469" t="str">
        <f>_xlfn.CONCAT(AG2469,AH2469,AI2469,AJ2469)</f>
        <v>CMBM</v>
      </c>
    </row>
    <row r="2470" spans="1:37" ht="15.75" hidden="1" customHeight="1" x14ac:dyDescent="0.2">
      <c r="A2470" s="1">
        <v>262002</v>
      </c>
      <c r="B2470" s="1" t="s">
        <v>3358</v>
      </c>
      <c r="C2470" s="1" t="s">
        <v>968</v>
      </c>
      <c r="D2470" s="1" t="s">
        <v>3372</v>
      </c>
      <c r="E2470" s="1" t="s">
        <v>1983</v>
      </c>
      <c r="F2470" s="1" t="s">
        <v>37</v>
      </c>
      <c r="G2470" s="1" t="s">
        <v>3374</v>
      </c>
      <c r="H2470" s="1">
        <v>196</v>
      </c>
      <c r="I2470" s="1" t="s">
        <v>45</v>
      </c>
      <c r="J2470" s="1">
        <v>17</v>
      </c>
      <c r="K2470" s="1" t="s">
        <v>35</v>
      </c>
      <c r="L2470" s="1">
        <v>59</v>
      </c>
      <c r="M2470" s="1" t="str">
        <f>IF(L2470&lt;=45,"Joven","Mayor")</f>
        <v>Mayor</v>
      </c>
      <c r="N2470" s="1">
        <v>60</v>
      </c>
      <c r="O2470" s="1" t="s">
        <v>36</v>
      </c>
      <c r="P2470" s="1">
        <v>0.32600000000000001</v>
      </c>
      <c r="Q2470" s="1">
        <v>92.171000000000006</v>
      </c>
      <c r="R2470" s="1">
        <v>-2.6385421999999998</v>
      </c>
      <c r="S2470" s="1">
        <v>5.6149982999999999</v>
      </c>
      <c r="T2470" s="1">
        <v>3.2316967999999999</v>
      </c>
      <c r="U2470" s="1">
        <v>4.5579999999999998</v>
      </c>
      <c r="V2470" s="1">
        <v>89</v>
      </c>
      <c r="W2470" s="1">
        <v>159</v>
      </c>
      <c r="X2470" s="1">
        <v>1.7865168539325842</v>
      </c>
      <c r="Y2470" s="1">
        <v>93</v>
      </c>
      <c r="Z2470" s="1">
        <v>159</v>
      </c>
      <c r="AA2470" s="1">
        <v>1.7096774193548387</v>
      </c>
      <c r="AB2470" s="1">
        <v>95.219806496410683</v>
      </c>
      <c r="AC2470" s="1">
        <v>158.4089040157869</v>
      </c>
      <c r="AD2470" s="1">
        <v>1.6636129587362491</v>
      </c>
      <c r="AE2470" t="s">
        <v>4817</v>
      </c>
      <c r="AF2470" t="str">
        <f>IF(X2470&lt;$AF$1,"Bajo","Alto")</f>
        <v>Alto</v>
      </c>
      <c r="AG2470" t="str">
        <f>LEFT(AE2470,1)</f>
        <v>C</v>
      </c>
      <c r="AH2470" t="str">
        <f>K2470</f>
        <v>M</v>
      </c>
      <c r="AI2470" t="str">
        <f>LEFT(AF2470,1)</f>
        <v>A</v>
      </c>
      <c r="AJ2470" t="str">
        <f>LEFT(M2470,1)</f>
        <v>M</v>
      </c>
      <c r="AK2470" t="str">
        <f>_xlfn.CONCAT(AG2470,AH2470,AI2470,AJ2470)</f>
        <v>CMAM</v>
      </c>
    </row>
    <row r="2471" spans="1:37" ht="15.75" hidden="1" customHeight="1" x14ac:dyDescent="0.2">
      <c r="A2471" s="1">
        <v>500103</v>
      </c>
      <c r="B2471" s="1" t="s">
        <v>4525</v>
      </c>
      <c r="C2471" s="1" t="s">
        <v>1001</v>
      </c>
      <c r="D2471" s="1" t="s">
        <v>4526</v>
      </c>
      <c r="E2471" s="1" t="s">
        <v>32</v>
      </c>
      <c r="F2471" s="1" t="s">
        <v>63</v>
      </c>
      <c r="G2471" s="1" t="s">
        <v>4528</v>
      </c>
      <c r="H2471" s="1">
        <v>678</v>
      </c>
      <c r="I2471" s="1" t="s">
        <v>65</v>
      </c>
      <c r="J2471" s="1">
        <v>2</v>
      </c>
      <c r="K2471" s="1" t="s">
        <v>35</v>
      </c>
      <c r="L2471" s="1">
        <v>51</v>
      </c>
      <c r="M2471" s="1" t="str">
        <f>IF(L2471&lt;=45,"Joven","Mayor")</f>
        <v>Mayor</v>
      </c>
      <c r="N2471" s="1">
        <v>50</v>
      </c>
      <c r="O2471" s="1" t="s">
        <v>36</v>
      </c>
      <c r="P2471" s="1">
        <v>0.23699999999999999</v>
      </c>
      <c r="Q2471" s="1">
        <v>88.363</v>
      </c>
      <c r="R2471" s="1">
        <v>7.2523289999999996</v>
      </c>
      <c r="S2471" s="1">
        <v>0.8303682</v>
      </c>
      <c r="T2471" s="1">
        <v>-3.0645815999999999</v>
      </c>
      <c r="U2471" s="1">
        <v>17.454000000000001</v>
      </c>
      <c r="V2471" s="1">
        <v>88</v>
      </c>
      <c r="W2471" s="1">
        <v>154</v>
      </c>
      <c r="X2471" s="1">
        <v>1.75</v>
      </c>
      <c r="Y2471" s="1">
        <v>92</v>
      </c>
      <c r="Z2471" s="1">
        <v>154</v>
      </c>
      <c r="AA2471" s="1">
        <v>1.673913043478261</v>
      </c>
      <c r="AB2471" s="1">
        <v>93.739585542077521</v>
      </c>
      <c r="AC2471" s="1">
        <v>153.56591987592401</v>
      </c>
      <c r="AD2471" s="1">
        <v>1.6382184643540145</v>
      </c>
      <c r="AE2471" t="s">
        <v>4817</v>
      </c>
      <c r="AF2471" t="str">
        <f>IF(X2471&lt;$AF$1,"Bajo","Alto")</f>
        <v>Bajo</v>
      </c>
      <c r="AG2471" t="str">
        <f>LEFT(AE2471,1)</f>
        <v>C</v>
      </c>
      <c r="AH2471" t="str">
        <f>K2471</f>
        <v>M</v>
      </c>
      <c r="AI2471" t="str">
        <f>LEFT(AF2471,1)</f>
        <v>B</v>
      </c>
      <c r="AJ2471" t="str">
        <f>LEFT(M2471,1)</f>
        <v>M</v>
      </c>
      <c r="AK2471" t="str">
        <f>_xlfn.CONCAT(AG2471,AH2471,AI2471,AJ2471)</f>
        <v>CMBM</v>
      </c>
    </row>
    <row r="2472" spans="1:37" ht="15.75" hidden="1" customHeight="1" x14ac:dyDescent="0.2">
      <c r="A2472" s="1">
        <v>133404</v>
      </c>
      <c r="B2472" s="1" t="s">
        <v>956</v>
      </c>
      <c r="C2472" s="1" t="s">
        <v>163</v>
      </c>
      <c r="D2472" s="1" t="s">
        <v>2028</v>
      </c>
      <c r="E2472" s="1" t="s">
        <v>634</v>
      </c>
      <c r="F2472" s="1" t="s">
        <v>61</v>
      </c>
      <c r="G2472" s="1" t="s">
        <v>2030</v>
      </c>
      <c r="H2472" s="1">
        <v>5155</v>
      </c>
      <c r="I2472" s="1" t="s">
        <v>73</v>
      </c>
      <c r="J2472" s="1">
        <v>5</v>
      </c>
      <c r="K2472" s="1" t="s">
        <v>35</v>
      </c>
      <c r="L2472" s="1">
        <v>30</v>
      </c>
      <c r="M2472" s="1" t="str">
        <f>IF(L2472&lt;=45,"Joven","Mayor")</f>
        <v>Joven</v>
      </c>
      <c r="N2472" s="1">
        <v>31</v>
      </c>
      <c r="O2472" s="1" t="s">
        <v>36</v>
      </c>
      <c r="P2472" s="1">
        <v>0.45700000000000002</v>
      </c>
      <c r="Q2472" s="1">
        <v>89.123999999999995</v>
      </c>
      <c r="R2472" s="1">
        <v>5.5985990000000001</v>
      </c>
      <c r="S2472" s="1">
        <v>5.3593450000000002</v>
      </c>
      <c r="T2472" s="1">
        <v>-2.3516092</v>
      </c>
      <c r="U2472" s="1">
        <v>69.926000000000002</v>
      </c>
      <c r="V2472" s="1">
        <v>86</v>
      </c>
      <c r="W2472" s="1">
        <v>154</v>
      </c>
      <c r="X2472" s="1">
        <v>1.7906976744186047</v>
      </c>
      <c r="Y2472" s="1">
        <v>86</v>
      </c>
      <c r="Z2472" s="1">
        <v>154</v>
      </c>
      <c r="AA2472" s="1">
        <v>1.7906976744186047</v>
      </c>
      <c r="AB2472" s="1">
        <v>87.527814566298275</v>
      </c>
      <c r="AC2472" s="1">
        <v>153.74721211727959</v>
      </c>
      <c r="AD2472" s="1">
        <v>1.756552621347848</v>
      </c>
      <c r="AE2472" t="s">
        <v>4817</v>
      </c>
      <c r="AF2472" t="str">
        <f>IF(X2472&lt;$AF$1,"Bajo","Alto")</f>
        <v>Alto</v>
      </c>
      <c r="AG2472" t="str">
        <f>LEFT(AE2472,1)</f>
        <v>C</v>
      </c>
      <c r="AH2472" t="str">
        <f>K2472</f>
        <v>M</v>
      </c>
      <c r="AI2472" t="str">
        <f>LEFT(AF2472,1)</f>
        <v>A</v>
      </c>
      <c r="AJ2472" t="str">
        <f>LEFT(M2472,1)</f>
        <v>J</v>
      </c>
      <c r="AK2472" t="str">
        <f>_xlfn.CONCAT(AG2472,AH2472,AI2472,AJ2472)</f>
        <v>CMAJ</v>
      </c>
    </row>
    <row r="2473" spans="1:37" ht="15.75" hidden="1" customHeight="1" x14ac:dyDescent="0.2">
      <c r="A2473" s="1">
        <v>279402</v>
      </c>
      <c r="B2473" s="1" t="s">
        <v>3409</v>
      </c>
      <c r="C2473" s="1" t="s">
        <v>973</v>
      </c>
      <c r="D2473" s="1" t="s">
        <v>3760</v>
      </c>
      <c r="E2473" s="1" t="s">
        <v>775</v>
      </c>
      <c r="F2473" s="1" t="s">
        <v>37</v>
      </c>
      <c r="G2473" s="1" t="s">
        <v>3762</v>
      </c>
      <c r="H2473" s="1">
        <v>1625</v>
      </c>
      <c r="I2473" s="1" t="s">
        <v>39</v>
      </c>
      <c r="J2473" s="1">
        <v>11</v>
      </c>
      <c r="K2473" s="1" t="s">
        <v>35</v>
      </c>
      <c r="L2473" s="1">
        <v>44</v>
      </c>
      <c r="M2473" s="1" t="str">
        <f>IF(L2473&lt;=45,"Joven","Mayor")</f>
        <v>Joven</v>
      </c>
      <c r="N2473" s="1">
        <v>49</v>
      </c>
      <c r="O2473" s="1" t="s">
        <v>36</v>
      </c>
      <c r="P2473" s="1">
        <v>0.69</v>
      </c>
      <c r="Q2473" s="1">
        <v>89.947000000000003</v>
      </c>
      <c r="R2473" s="1">
        <v>-5.7224646000000003</v>
      </c>
      <c r="S2473" s="1">
        <v>2.5128504999999999</v>
      </c>
      <c r="T2473" s="1">
        <v>-0.85058659999999997</v>
      </c>
      <c r="U2473" s="1">
        <v>0.35799999999999998</v>
      </c>
      <c r="V2473" s="1">
        <v>104</v>
      </c>
      <c r="W2473" s="1">
        <v>180</v>
      </c>
      <c r="X2473" s="1">
        <v>1.7307692307692308</v>
      </c>
      <c r="Y2473" s="1">
        <v>108</v>
      </c>
      <c r="Z2473" s="1">
        <v>180</v>
      </c>
      <c r="AA2473" s="1">
        <v>1.6666666666666667</v>
      </c>
      <c r="AB2473" s="1">
        <v>107.2606945797074</v>
      </c>
      <c r="AC2473" s="1">
        <v>180.0543902250183</v>
      </c>
      <c r="AD2473" s="1">
        <v>1.6786614232785575</v>
      </c>
      <c r="AE2473" t="s">
        <v>4816</v>
      </c>
      <c r="AF2473" t="str">
        <f>IF(X2473&lt;$AF$1,"Bajo","Alto")</f>
        <v>Bajo</v>
      </c>
      <c r="AG2473" t="str">
        <f>LEFT(AE2473,1)</f>
        <v>D</v>
      </c>
      <c r="AH2473" t="str">
        <f>K2473</f>
        <v>M</v>
      </c>
      <c r="AI2473" t="str">
        <f>LEFT(AF2473,1)</f>
        <v>B</v>
      </c>
      <c r="AJ2473" t="str">
        <f>LEFT(M2473,1)</f>
        <v>J</v>
      </c>
      <c r="AK2473" t="str">
        <f>_xlfn.CONCAT(AG2473,AH2473,AI2473,AJ2473)</f>
        <v>DMBJ</v>
      </c>
    </row>
    <row r="2474" spans="1:37" ht="15.75" hidden="1" customHeight="1" x14ac:dyDescent="0.2">
      <c r="A2474" s="1">
        <v>1011001</v>
      </c>
      <c r="B2474" s="1" t="s">
        <v>29</v>
      </c>
      <c r="C2474" s="1" t="s">
        <v>30</v>
      </c>
      <c r="D2474" s="1" t="s">
        <v>74</v>
      </c>
      <c r="E2474" s="1" t="s">
        <v>75</v>
      </c>
      <c r="F2474" s="1" t="s">
        <v>32</v>
      </c>
      <c r="G2474" s="1" t="s">
        <v>76</v>
      </c>
      <c r="H2474" s="1">
        <v>800</v>
      </c>
      <c r="I2474" s="1" t="s">
        <v>39</v>
      </c>
      <c r="J2474" s="1">
        <v>11</v>
      </c>
      <c r="K2474" s="1" t="s">
        <v>35</v>
      </c>
      <c r="L2474" s="1">
        <v>60</v>
      </c>
      <c r="M2474" s="1" t="str">
        <f>IF(L2474&lt;=45,"Joven","Mayor")</f>
        <v>Mayor</v>
      </c>
      <c r="N2474" s="1">
        <v>59</v>
      </c>
      <c r="O2474" s="1" t="s">
        <v>36</v>
      </c>
      <c r="P2474" s="1">
        <v>0.186</v>
      </c>
      <c r="Q2474" s="1">
        <v>93.92</v>
      </c>
      <c r="R2474" s="1">
        <v>1.8792787</v>
      </c>
      <c r="S2474" s="1">
        <v>0.87260020000000005</v>
      </c>
      <c r="T2474" s="1">
        <v>2.0083782999999999</v>
      </c>
      <c r="U2474" s="1">
        <v>1.1299999999999999</v>
      </c>
      <c r="V2474" s="1">
        <v>113</v>
      </c>
      <c r="W2474" s="1">
        <v>199</v>
      </c>
      <c r="X2474" s="1">
        <v>1.7610619469026549</v>
      </c>
      <c r="Y2474" s="1">
        <v>119</v>
      </c>
      <c r="Z2474" s="1">
        <v>199</v>
      </c>
      <c r="AA2474" s="1">
        <v>1.6722689075630253</v>
      </c>
      <c r="AB2474" s="1">
        <v>116.9643442236261</v>
      </c>
      <c r="AC2474" s="1">
        <v>199.12307634386619</v>
      </c>
      <c r="AD2474" s="1">
        <v>1.7024254499572915</v>
      </c>
      <c r="AE2474" t="s">
        <v>4816</v>
      </c>
      <c r="AF2474" t="str">
        <f>IF(X2474&lt;$AF$1,"Bajo","Alto")</f>
        <v>Bajo</v>
      </c>
      <c r="AG2474" t="str">
        <f>LEFT(AE2474,1)</f>
        <v>D</v>
      </c>
      <c r="AH2474" t="str">
        <f>K2474</f>
        <v>M</v>
      </c>
      <c r="AI2474" t="str">
        <f>LEFT(AF2474,1)</f>
        <v>B</v>
      </c>
      <c r="AJ2474" t="str">
        <f>LEFT(M2474,1)</f>
        <v>M</v>
      </c>
      <c r="AK2474" t="str">
        <f>_xlfn.CONCAT(AG2474,AH2474,AI2474,AJ2474)</f>
        <v>DMBM</v>
      </c>
    </row>
    <row r="2475" spans="1:37" ht="15.75" hidden="1" customHeight="1" x14ac:dyDescent="0.2">
      <c r="A2475" s="1">
        <v>3110304</v>
      </c>
      <c r="B2475" s="1" t="s">
        <v>4122</v>
      </c>
      <c r="C2475" s="1" t="s">
        <v>628</v>
      </c>
      <c r="D2475" s="1" t="s">
        <v>4140</v>
      </c>
      <c r="E2475" s="1" t="s">
        <v>81</v>
      </c>
      <c r="F2475" s="1" t="s">
        <v>61</v>
      </c>
      <c r="G2475" s="1" t="s">
        <v>4144</v>
      </c>
      <c r="H2475" s="1">
        <v>1371</v>
      </c>
      <c r="I2475" s="1" t="s">
        <v>4145</v>
      </c>
      <c r="J2475" s="1">
        <v>3906</v>
      </c>
      <c r="K2475" s="1" t="s">
        <v>49</v>
      </c>
      <c r="L2475" s="1">
        <v>38</v>
      </c>
      <c r="M2475" s="1" t="str">
        <f>IF(L2475&lt;=45,"Joven","Mayor")</f>
        <v>Joven</v>
      </c>
      <c r="N2475" s="1">
        <v>38</v>
      </c>
      <c r="O2475" s="1" t="s">
        <v>50</v>
      </c>
      <c r="P2475" s="1">
        <v>0.29699999999999999</v>
      </c>
      <c r="Q2475" s="1">
        <v>36.097000000000001</v>
      </c>
      <c r="R2475" s="1">
        <v>17.672243000000002</v>
      </c>
      <c r="S2475" s="1">
        <v>3.0505276000000001</v>
      </c>
      <c r="T2475" s="1">
        <v>-7.8105460000000004</v>
      </c>
      <c r="U2475" s="1">
        <v>7.9669999999999996</v>
      </c>
      <c r="V2475" s="1">
        <v>97</v>
      </c>
      <c r="W2475" s="1">
        <v>170</v>
      </c>
      <c r="X2475" s="1">
        <v>1.7525773195876289</v>
      </c>
      <c r="Y2475" s="1">
        <v>108</v>
      </c>
      <c r="Z2475" s="1">
        <v>170</v>
      </c>
      <c r="AA2475" s="1">
        <v>1.5740740740740742</v>
      </c>
      <c r="AB2475" s="1">
        <v>102.895012303635</v>
      </c>
      <c r="AC2475" s="1">
        <v>170.18955648836479</v>
      </c>
      <c r="AD2475" s="1">
        <v>1.6540117220273898</v>
      </c>
      <c r="AE2475" t="s">
        <v>4817</v>
      </c>
      <c r="AF2475" t="str">
        <f>IF(X2475&lt;$AF$1,"Bajo","Alto")</f>
        <v>Bajo</v>
      </c>
      <c r="AG2475" t="str">
        <f>LEFT(AE2475,1)</f>
        <v>C</v>
      </c>
      <c r="AH2475" t="str">
        <f>K2475</f>
        <v>F</v>
      </c>
      <c r="AI2475" t="str">
        <f>LEFT(AF2475,1)</f>
        <v>B</v>
      </c>
      <c r="AJ2475" t="str">
        <f>LEFT(M2475,1)</f>
        <v>J</v>
      </c>
      <c r="AK2475" t="str">
        <f>_xlfn.CONCAT(AG2475,AH2475,AI2475,AJ2475)</f>
        <v>CFBJ</v>
      </c>
    </row>
    <row r="2476" spans="1:37" ht="15.75" hidden="1" customHeight="1" x14ac:dyDescent="0.2">
      <c r="A2476" s="1">
        <v>1057809</v>
      </c>
      <c r="B2476" s="1" t="s">
        <v>694</v>
      </c>
      <c r="C2476" s="1" t="s">
        <v>879</v>
      </c>
      <c r="D2476" s="1" t="s">
        <v>1031</v>
      </c>
      <c r="E2476" s="1" t="s">
        <v>732</v>
      </c>
      <c r="F2476" s="1" t="s">
        <v>189</v>
      </c>
      <c r="G2476" s="1" t="s">
        <v>1032</v>
      </c>
      <c r="H2476" s="1">
        <v>2762</v>
      </c>
      <c r="I2476" s="1" t="s">
        <v>100</v>
      </c>
      <c r="J2476" s="1">
        <v>1</v>
      </c>
      <c r="K2476" s="1" t="s">
        <v>35</v>
      </c>
      <c r="L2476" s="1">
        <v>45</v>
      </c>
      <c r="M2476" s="1" t="str">
        <f>IF(L2476&lt;=45,"Joven","Mayor")</f>
        <v>Joven</v>
      </c>
      <c r="N2476" s="1">
        <v>29</v>
      </c>
      <c r="O2476" s="1" t="s">
        <v>36</v>
      </c>
      <c r="P2476" s="1">
        <v>0.38500000000000001</v>
      </c>
      <c r="Q2476" s="1">
        <v>83.664000000000001</v>
      </c>
      <c r="R2476" s="1">
        <v>7.9134019999999996</v>
      </c>
      <c r="S2476" s="1">
        <v>7.6459820000000001</v>
      </c>
      <c r="T2476" s="1">
        <v>-3.6466102999999999</v>
      </c>
      <c r="U2476" s="1">
        <v>2.093</v>
      </c>
      <c r="V2476" s="1">
        <v>124</v>
      </c>
      <c r="W2476" s="1">
        <v>222</v>
      </c>
      <c r="X2476" s="1">
        <v>1.7903225806451613</v>
      </c>
      <c r="Y2476" s="1">
        <v>124</v>
      </c>
      <c r="Z2476" s="1">
        <v>222</v>
      </c>
      <c r="AA2476" s="1">
        <v>1.7903225806451613</v>
      </c>
      <c r="AB2476" s="1">
        <v>127.5014808195865</v>
      </c>
      <c r="AC2476" s="1">
        <v>221.8685325578117</v>
      </c>
      <c r="AD2476" s="1">
        <v>1.7401251431091516</v>
      </c>
      <c r="AE2476" t="s">
        <v>4817</v>
      </c>
      <c r="AF2476" t="str">
        <f>IF(X2476&lt;$AF$1,"Bajo","Alto")</f>
        <v>Alto</v>
      </c>
      <c r="AG2476" t="str">
        <f>LEFT(AE2476,1)</f>
        <v>C</v>
      </c>
      <c r="AH2476" t="str">
        <f>K2476</f>
        <v>M</v>
      </c>
      <c r="AI2476" t="str">
        <f>LEFT(AF2476,1)</f>
        <v>A</v>
      </c>
      <c r="AJ2476" t="str">
        <f>LEFT(M2476,1)</f>
        <v>J</v>
      </c>
      <c r="AK2476" t="str">
        <f>_xlfn.CONCAT(AG2476,AH2476,AI2476,AJ2476)</f>
        <v>CMAJ</v>
      </c>
    </row>
    <row r="2477" spans="1:37" ht="15.75" hidden="1" customHeight="1" x14ac:dyDescent="0.2">
      <c r="A2477" s="1">
        <v>133702</v>
      </c>
      <c r="B2477" s="1" t="s">
        <v>956</v>
      </c>
      <c r="C2477" s="1" t="s">
        <v>163</v>
      </c>
      <c r="D2477" s="1" t="s">
        <v>2032</v>
      </c>
      <c r="E2477" s="1" t="s">
        <v>647</v>
      </c>
      <c r="F2477" s="1" t="s">
        <v>37</v>
      </c>
      <c r="G2477" s="1" t="s">
        <v>2033</v>
      </c>
      <c r="H2477" s="1">
        <v>560</v>
      </c>
      <c r="I2477" s="1" t="s">
        <v>87</v>
      </c>
      <c r="J2477" s="1">
        <v>14</v>
      </c>
      <c r="K2477" s="1" t="s">
        <v>49</v>
      </c>
      <c r="L2477" s="1">
        <v>45</v>
      </c>
      <c r="M2477" s="1" t="str">
        <f>IF(L2477&lt;=45,"Joven","Mayor")</f>
        <v>Joven</v>
      </c>
      <c r="N2477" s="1">
        <v>35</v>
      </c>
      <c r="O2477" s="1" t="s">
        <v>50</v>
      </c>
      <c r="P2477" s="1">
        <v>1.248</v>
      </c>
      <c r="Q2477" s="1">
        <v>86.525999999999996</v>
      </c>
      <c r="R2477" s="1">
        <v>-7.4580500000000001</v>
      </c>
      <c r="S2477" s="1">
        <v>3.6580498000000001</v>
      </c>
      <c r="T2477" s="1">
        <v>10.769546500000001</v>
      </c>
      <c r="U2477" s="1">
        <v>39.72</v>
      </c>
      <c r="V2477" s="1">
        <v>71</v>
      </c>
      <c r="W2477" s="1">
        <v>127</v>
      </c>
      <c r="X2477" s="1">
        <v>1.7887323943661972</v>
      </c>
      <c r="Y2477" s="1">
        <v>82</v>
      </c>
      <c r="Z2477" s="1">
        <v>127</v>
      </c>
      <c r="AA2477" s="1">
        <v>1.5487804878048781</v>
      </c>
      <c r="AB2477" s="1">
        <v>76.102668670775302</v>
      </c>
      <c r="AC2477" s="1">
        <v>126.25798539333709</v>
      </c>
      <c r="AD2477" s="1">
        <v>1.6590480675459187</v>
      </c>
      <c r="AE2477" t="s">
        <v>4816</v>
      </c>
      <c r="AF2477" t="str">
        <f>IF(X2477&lt;$AF$1,"Bajo","Alto")</f>
        <v>Alto</v>
      </c>
      <c r="AG2477" t="str">
        <f>LEFT(AE2477,1)</f>
        <v>D</v>
      </c>
      <c r="AH2477" t="str">
        <f>K2477</f>
        <v>F</v>
      </c>
      <c r="AI2477" t="str">
        <f>LEFT(AF2477,1)</f>
        <v>A</v>
      </c>
      <c r="AJ2477" t="str">
        <f>LEFT(M2477,1)</f>
        <v>J</v>
      </c>
      <c r="AK2477" t="str">
        <f>_xlfn.CONCAT(AG2477,AH2477,AI2477,AJ2477)</f>
        <v>DFAJ</v>
      </c>
    </row>
    <row r="2478" spans="1:37" ht="15.75" hidden="1" customHeight="1" x14ac:dyDescent="0.2">
      <c r="A2478" s="1">
        <v>170203</v>
      </c>
      <c r="B2478" s="1" t="s">
        <v>2551</v>
      </c>
      <c r="C2478" s="1" t="s">
        <v>2552</v>
      </c>
      <c r="D2478" s="1" t="s">
        <v>2558</v>
      </c>
      <c r="E2478" s="1" t="s">
        <v>37</v>
      </c>
      <c r="F2478" s="1" t="s">
        <v>63</v>
      </c>
      <c r="G2478" s="1" t="s">
        <v>2561</v>
      </c>
      <c r="H2478" s="1">
        <v>1269</v>
      </c>
      <c r="I2478" s="1" t="s">
        <v>2562</v>
      </c>
      <c r="J2478" s="1">
        <v>3911</v>
      </c>
      <c r="K2478" s="1" t="s">
        <v>35</v>
      </c>
      <c r="L2478" s="1">
        <v>53</v>
      </c>
      <c r="M2478" s="1" t="str">
        <f>IF(L2478&lt;=45,"Joven","Mayor")</f>
        <v>Mayor</v>
      </c>
      <c r="N2478" s="1">
        <v>26</v>
      </c>
      <c r="O2478" s="1" t="s">
        <v>36</v>
      </c>
      <c r="P2478" s="1">
        <v>0.45400000000000001</v>
      </c>
      <c r="Q2478" s="1">
        <v>92.007999999999996</v>
      </c>
      <c r="R2478" s="1">
        <v>2.3470141999999998</v>
      </c>
      <c r="S2478" s="1">
        <v>6.5661079999999998</v>
      </c>
      <c r="T2478" s="1">
        <v>-3.5678481999999998</v>
      </c>
      <c r="U2478" s="1">
        <v>4.1719999999999997</v>
      </c>
      <c r="V2478" s="1">
        <v>103</v>
      </c>
      <c r="W2478" s="1">
        <v>184</v>
      </c>
      <c r="X2478" s="1">
        <v>1.7864077669902914</v>
      </c>
      <c r="Y2478" s="1">
        <v>105</v>
      </c>
      <c r="Z2478" s="1">
        <v>184</v>
      </c>
      <c r="AA2478" s="1">
        <v>1.7523809523809524</v>
      </c>
      <c r="AB2478" s="1">
        <v>106.6586547255974</v>
      </c>
      <c r="AC2478" s="1">
        <v>184.39013794059341</v>
      </c>
      <c r="AD2478" s="1">
        <v>1.7287873957812159</v>
      </c>
      <c r="AE2478" t="s">
        <v>4817</v>
      </c>
      <c r="AF2478" t="str">
        <f>IF(X2478&lt;$AF$1,"Bajo","Alto")</f>
        <v>Alto</v>
      </c>
      <c r="AG2478" t="str">
        <f>LEFT(AE2478,1)</f>
        <v>C</v>
      </c>
      <c r="AH2478" t="str">
        <f>K2478</f>
        <v>M</v>
      </c>
      <c r="AI2478" t="str">
        <f>LEFT(AF2478,1)</f>
        <v>A</v>
      </c>
      <c r="AJ2478" t="str">
        <f>LEFT(M2478,1)</f>
        <v>M</v>
      </c>
      <c r="AK2478" t="str">
        <f>_xlfn.CONCAT(AG2478,AH2478,AI2478,AJ2478)</f>
        <v>CMAM</v>
      </c>
    </row>
    <row r="2479" spans="1:37" ht="15.75" hidden="1" customHeight="1" x14ac:dyDescent="0.2">
      <c r="A2479" s="1">
        <v>10716604</v>
      </c>
      <c r="B2479" s="1" t="s">
        <v>1067</v>
      </c>
      <c r="C2479" s="1" t="s">
        <v>1068</v>
      </c>
      <c r="D2479" s="1" t="s">
        <v>1170</v>
      </c>
      <c r="E2479" s="1" t="s">
        <v>265</v>
      </c>
      <c r="F2479" s="1" t="s">
        <v>61</v>
      </c>
      <c r="G2479" s="1" t="s">
        <v>1175</v>
      </c>
      <c r="H2479" s="1">
        <v>1677</v>
      </c>
      <c r="I2479" s="1" t="s">
        <v>1176</v>
      </c>
      <c r="J2479" s="1">
        <v>4036</v>
      </c>
      <c r="K2479" s="1" t="s">
        <v>35</v>
      </c>
      <c r="L2479" s="1">
        <v>35</v>
      </c>
      <c r="M2479" s="1" t="str">
        <f>IF(L2479&lt;=45,"Joven","Mayor")</f>
        <v>Joven</v>
      </c>
      <c r="N2479" s="1">
        <v>25</v>
      </c>
      <c r="O2479" s="1" t="s">
        <v>36</v>
      </c>
      <c r="P2479" s="1">
        <v>0.36099999999999999</v>
      </c>
      <c r="Q2479" s="1">
        <v>62.835999999999999</v>
      </c>
      <c r="R2479" s="1">
        <v>13.934206</v>
      </c>
      <c r="S2479" s="1">
        <v>-3.8426874</v>
      </c>
      <c r="T2479" s="1">
        <v>-7.7456969999999998</v>
      </c>
      <c r="U2479" s="1">
        <v>9.6690000000000005</v>
      </c>
      <c r="V2479" s="1">
        <v>81</v>
      </c>
      <c r="W2479" s="1">
        <v>145</v>
      </c>
      <c r="X2479" s="1">
        <v>1.7901234567901234</v>
      </c>
      <c r="Y2479" s="1">
        <v>86</v>
      </c>
      <c r="Z2479" s="1">
        <v>145</v>
      </c>
      <c r="AA2479" s="1">
        <v>1.6860465116279071</v>
      </c>
      <c r="AB2479" s="1">
        <v>86.056347907777763</v>
      </c>
      <c r="AC2479" s="1">
        <v>144.75523531968199</v>
      </c>
      <c r="AD2479" s="1">
        <v>1.6820982860533293</v>
      </c>
      <c r="AE2479" t="s">
        <v>4817</v>
      </c>
      <c r="AF2479" t="str">
        <f>IF(X2479&lt;$AF$1,"Bajo","Alto")</f>
        <v>Alto</v>
      </c>
      <c r="AG2479" t="str">
        <f>LEFT(AE2479,1)</f>
        <v>C</v>
      </c>
      <c r="AH2479" t="str">
        <f>K2479</f>
        <v>M</v>
      </c>
      <c r="AI2479" t="str">
        <f>LEFT(AF2479,1)</f>
        <v>A</v>
      </c>
      <c r="AJ2479" t="str">
        <f>LEFT(M2479,1)</f>
        <v>J</v>
      </c>
      <c r="AK2479" t="str">
        <f>_xlfn.CONCAT(AG2479,AH2479,AI2479,AJ2479)</f>
        <v>CMAJ</v>
      </c>
    </row>
    <row r="2480" spans="1:37" ht="15.75" hidden="1" customHeight="1" x14ac:dyDescent="0.2">
      <c r="A2480" s="1">
        <v>522502</v>
      </c>
      <c r="B2480" s="1" t="s">
        <v>4529</v>
      </c>
      <c r="C2480" s="1" t="s">
        <v>685</v>
      </c>
      <c r="D2480" s="1" t="s">
        <v>4567</v>
      </c>
      <c r="E2480" s="1" t="s">
        <v>821</v>
      </c>
      <c r="F2480" s="1" t="s">
        <v>37</v>
      </c>
      <c r="G2480" s="1" t="s">
        <v>4568</v>
      </c>
      <c r="H2480" s="1">
        <v>629</v>
      </c>
      <c r="I2480" s="1" t="s">
        <v>4569</v>
      </c>
      <c r="J2480" s="1">
        <v>2665</v>
      </c>
      <c r="K2480" s="1" t="s">
        <v>35</v>
      </c>
      <c r="L2480" s="1">
        <v>36</v>
      </c>
      <c r="M2480" s="1" t="str">
        <f>IF(L2480&lt;=45,"Joven","Mayor")</f>
        <v>Joven</v>
      </c>
      <c r="N2480" s="1">
        <v>43</v>
      </c>
      <c r="O2480" s="1" t="s">
        <v>36</v>
      </c>
      <c r="P2480" s="1">
        <v>0.32700000000000001</v>
      </c>
      <c r="Q2480" s="1">
        <v>82.956999999999994</v>
      </c>
      <c r="R2480" s="1">
        <v>9.4269390000000008</v>
      </c>
      <c r="S2480" s="1">
        <v>2.6197556999999998</v>
      </c>
      <c r="T2480" s="1">
        <v>-13.090788999999999</v>
      </c>
      <c r="U2480" s="1">
        <v>51.9</v>
      </c>
      <c r="V2480" s="1">
        <v>56</v>
      </c>
      <c r="W2480" s="1">
        <v>98</v>
      </c>
      <c r="X2480" s="1">
        <v>1.75</v>
      </c>
      <c r="Y2480" s="1">
        <v>64</v>
      </c>
      <c r="Z2480" s="1">
        <v>98</v>
      </c>
      <c r="AA2480" s="1">
        <v>1.53125</v>
      </c>
      <c r="AB2480" s="1">
        <v>62.924998792524093</v>
      </c>
      <c r="AC2480" s="1">
        <v>98.850635272693125</v>
      </c>
      <c r="AD2480" s="1">
        <v>1.5709278850941708</v>
      </c>
      <c r="AE2480" t="s">
        <v>4817</v>
      </c>
      <c r="AF2480" t="str">
        <f>IF(X2480&lt;$AF$1,"Bajo","Alto")</f>
        <v>Bajo</v>
      </c>
      <c r="AG2480" t="str">
        <f>LEFT(AE2480,1)</f>
        <v>C</v>
      </c>
      <c r="AH2480" t="str">
        <f>K2480</f>
        <v>M</v>
      </c>
      <c r="AI2480" t="str">
        <f>LEFT(AF2480,1)</f>
        <v>B</v>
      </c>
      <c r="AJ2480" t="str">
        <f>LEFT(M2480,1)</f>
        <v>J</v>
      </c>
      <c r="AK2480" t="str">
        <f>_xlfn.CONCAT(AG2480,AH2480,AI2480,AJ2480)</f>
        <v>CMBJ</v>
      </c>
    </row>
    <row r="2481" spans="1:37" ht="15.75" hidden="1" customHeight="1" x14ac:dyDescent="0.2">
      <c r="A2481" s="1">
        <v>442202</v>
      </c>
      <c r="B2481" s="1" t="s">
        <v>4314</v>
      </c>
      <c r="C2481" s="1" t="s">
        <v>995</v>
      </c>
      <c r="D2481" s="1" t="s">
        <v>4363</v>
      </c>
      <c r="E2481" s="1" t="s">
        <v>418</v>
      </c>
      <c r="F2481" s="1" t="s">
        <v>37</v>
      </c>
      <c r="G2481" s="1" t="s">
        <v>4364</v>
      </c>
      <c r="H2481" s="1">
        <v>1385</v>
      </c>
      <c r="I2481" s="1" t="s">
        <v>4365</v>
      </c>
      <c r="J2481" s="1">
        <v>2908</v>
      </c>
      <c r="K2481" s="1" t="s">
        <v>35</v>
      </c>
      <c r="L2481" s="1">
        <v>47</v>
      </c>
      <c r="M2481" s="1" t="str">
        <f>IF(L2481&lt;=45,"Joven","Mayor")</f>
        <v>Mayor</v>
      </c>
      <c r="N2481" s="1">
        <v>62</v>
      </c>
      <c r="O2481" s="1" t="s">
        <v>36</v>
      </c>
      <c r="P2481" s="1">
        <v>0.27900000000000003</v>
      </c>
      <c r="Q2481" s="1">
        <v>93.712000000000003</v>
      </c>
      <c r="R2481" s="1">
        <v>1.2556362999999999</v>
      </c>
      <c r="S2481" s="1">
        <v>3.5240898000000001</v>
      </c>
      <c r="T2481" s="1">
        <v>-0.19036643</v>
      </c>
      <c r="U2481" s="1">
        <v>1.583</v>
      </c>
      <c r="V2481" s="1">
        <v>84</v>
      </c>
      <c r="W2481" s="1">
        <v>150</v>
      </c>
      <c r="X2481" s="1">
        <v>1.7857142857142858</v>
      </c>
      <c r="Y2481" s="1">
        <v>86</v>
      </c>
      <c r="Z2481" s="1">
        <v>150</v>
      </c>
      <c r="AA2481" s="1">
        <v>1.7441860465116279</v>
      </c>
      <c r="AB2481" s="1">
        <v>85.87326975189012</v>
      </c>
      <c r="AC2481" s="1">
        <v>149.99252703508091</v>
      </c>
      <c r="AD2481" s="1">
        <v>1.7466730621583149</v>
      </c>
      <c r="AE2481" t="s">
        <v>4817</v>
      </c>
      <c r="AF2481" t="str">
        <f>IF(X2481&lt;$AF$1,"Bajo","Alto")</f>
        <v>Alto</v>
      </c>
      <c r="AG2481" t="str">
        <f>LEFT(AE2481,1)</f>
        <v>C</v>
      </c>
      <c r="AH2481" t="str">
        <f>K2481</f>
        <v>M</v>
      </c>
      <c r="AI2481" t="str">
        <f>LEFT(AF2481,1)</f>
        <v>A</v>
      </c>
      <c r="AJ2481" t="str">
        <f>LEFT(M2481,1)</f>
        <v>M</v>
      </c>
      <c r="AK2481" t="str">
        <f>_xlfn.CONCAT(AG2481,AH2481,AI2481,AJ2481)</f>
        <v>CMAM</v>
      </c>
    </row>
    <row r="2482" spans="1:37" ht="15.75" hidden="1" customHeight="1" x14ac:dyDescent="0.2">
      <c r="A2482" s="1">
        <v>1076707</v>
      </c>
      <c r="B2482" s="1" t="s">
        <v>1067</v>
      </c>
      <c r="C2482" s="1" t="s">
        <v>1068</v>
      </c>
      <c r="D2482" s="1" t="s">
        <v>1467</v>
      </c>
      <c r="E2482" s="1" t="s">
        <v>715</v>
      </c>
      <c r="F2482" s="1" t="s">
        <v>43</v>
      </c>
      <c r="G2482" s="1" t="s">
        <v>1474</v>
      </c>
      <c r="H2482" s="1">
        <v>7356</v>
      </c>
      <c r="I2482" s="1" t="s">
        <v>1475</v>
      </c>
      <c r="J2482" s="1">
        <v>3087</v>
      </c>
      <c r="K2482" s="1" t="s">
        <v>35</v>
      </c>
      <c r="L2482" s="1">
        <v>44</v>
      </c>
      <c r="M2482" s="1" t="str">
        <f>IF(L2482&lt;=45,"Joven","Mayor")</f>
        <v>Joven</v>
      </c>
      <c r="N2482" s="1">
        <v>45</v>
      </c>
      <c r="O2482" s="1" t="s">
        <v>36</v>
      </c>
      <c r="P2482" s="1">
        <v>0.32800000000000001</v>
      </c>
      <c r="Q2482" s="1">
        <v>79.92</v>
      </c>
      <c r="R2482" s="1">
        <v>-10.229323000000001</v>
      </c>
      <c r="S2482" s="1">
        <v>-3.845469</v>
      </c>
      <c r="T2482" s="1">
        <v>1.6508025</v>
      </c>
      <c r="U2482" s="1">
        <v>40.978000000000002</v>
      </c>
      <c r="V2482" s="1">
        <v>81</v>
      </c>
      <c r="W2482" s="1">
        <v>145</v>
      </c>
      <c r="X2482" s="1">
        <v>1.7901234567901234</v>
      </c>
      <c r="Y2482" s="1">
        <v>81</v>
      </c>
      <c r="Z2482" s="1">
        <v>145</v>
      </c>
      <c r="AA2482" s="1">
        <v>1.7901234567901234</v>
      </c>
      <c r="AB2482" s="1">
        <v>81.859428686374486</v>
      </c>
      <c r="AC2482" s="1">
        <v>144.70935627338349</v>
      </c>
      <c r="AD2482" s="1">
        <v>1.7677787225684656</v>
      </c>
      <c r="AE2482" t="s">
        <v>4817</v>
      </c>
      <c r="AF2482" t="str">
        <f>IF(X2482&lt;$AF$1,"Bajo","Alto")</f>
        <v>Alto</v>
      </c>
      <c r="AG2482" t="str">
        <f>LEFT(AE2482,1)</f>
        <v>C</v>
      </c>
      <c r="AH2482" t="str">
        <f>K2482</f>
        <v>M</v>
      </c>
      <c r="AI2482" t="str">
        <f>LEFT(AF2482,1)</f>
        <v>A</v>
      </c>
      <c r="AJ2482" t="str">
        <f>LEFT(M2482,1)</f>
        <v>J</v>
      </c>
      <c r="AK2482" t="str">
        <f>_xlfn.CONCAT(AG2482,AH2482,AI2482,AJ2482)</f>
        <v>CMAJ</v>
      </c>
    </row>
    <row r="2483" spans="1:37" ht="15.75" hidden="1" customHeight="1" x14ac:dyDescent="0.2">
      <c r="A2483" s="1">
        <v>10112101</v>
      </c>
      <c r="B2483" s="1" t="s">
        <v>29</v>
      </c>
      <c r="C2483" s="1" t="s">
        <v>30</v>
      </c>
      <c r="D2483" s="1" t="s">
        <v>135</v>
      </c>
      <c r="E2483" s="1" t="s">
        <v>136</v>
      </c>
      <c r="F2483" s="1" t="s">
        <v>32</v>
      </c>
      <c r="G2483" s="1" t="s">
        <v>137</v>
      </c>
      <c r="H2483" s="1">
        <v>26353</v>
      </c>
      <c r="I2483" s="1" t="s">
        <v>39</v>
      </c>
      <c r="J2483" s="1">
        <v>11</v>
      </c>
      <c r="K2483" s="1" t="s">
        <v>35</v>
      </c>
      <c r="L2483" s="1">
        <v>41</v>
      </c>
      <c r="M2483" s="1" t="str">
        <f>IF(L2483&lt;=45,"Joven","Mayor")</f>
        <v>Joven</v>
      </c>
      <c r="N2483" s="1">
        <v>43</v>
      </c>
      <c r="O2483" s="1" t="s">
        <v>36</v>
      </c>
      <c r="P2483" s="1">
        <v>0.34</v>
      </c>
      <c r="Q2483" s="1">
        <v>80.715999999999994</v>
      </c>
      <c r="R2483" s="1">
        <v>9.153689</v>
      </c>
      <c r="S2483" s="1">
        <v>7.3672347</v>
      </c>
      <c r="T2483" s="1">
        <v>-5.8168069999999998</v>
      </c>
      <c r="U2483" s="1">
        <v>2.827</v>
      </c>
      <c r="V2483" s="1">
        <v>102</v>
      </c>
      <c r="W2483" s="1">
        <v>177</v>
      </c>
      <c r="X2483" s="1">
        <v>1.7352941176470589</v>
      </c>
      <c r="Y2483" s="1">
        <v>104</v>
      </c>
      <c r="Z2483" s="1">
        <v>177</v>
      </c>
      <c r="AA2483" s="1">
        <v>1.7019230769230769</v>
      </c>
      <c r="AB2483" s="1">
        <v>106.9476032338944</v>
      </c>
      <c r="AC2483" s="1">
        <v>176.4940234839064</v>
      </c>
      <c r="AD2483" s="1">
        <v>1.6502849820571854</v>
      </c>
      <c r="AE2483" t="s">
        <v>4816</v>
      </c>
      <c r="AF2483" t="str">
        <f>IF(X2483&lt;$AF$1,"Bajo","Alto")</f>
        <v>Bajo</v>
      </c>
      <c r="AG2483" t="str">
        <f>LEFT(AE2483,1)</f>
        <v>D</v>
      </c>
      <c r="AH2483" t="str">
        <f>K2483</f>
        <v>M</v>
      </c>
      <c r="AI2483" t="str">
        <f>LEFT(AF2483,1)</f>
        <v>B</v>
      </c>
      <c r="AJ2483" t="str">
        <f>LEFT(M2483,1)</f>
        <v>J</v>
      </c>
      <c r="AK2483" t="str">
        <f>_xlfn.CONCAT(AG2483,AH2483,AI2483,AJ2483)</f>
        <v>DMBJ</v>
      </c>
    </row>
    <row r="2484" spans="1:37" ht="15.75" hidden="1" customHeight="1" x14ac:dyDescent="0.2">
      <c r="A2484" s="1">
        <v>258203</v>
      </c>
      <c r="B2484" s="1" t="s">
        <v>3169</v>
      </c>
      <c r="C2484" s="1" t="s">
        <v>821</v>
      </c>
      <c r="D2484" s="1" t="s">
        <v>3331</v>
      </c>
      <c r="E2484" s="1" t="s">
        <v>752</v>
      </c>
      <c r="F2484" s="1" t="s">
        <v>63</v>
      </c>
      <c r="G2484" s="1" t="s">
        <v>3332</v>
      </c>
      <c r="H2484" s="1">
        <v>1875</v>
      </c>
      <c r="I2484" s="1" t="s">
        <v>3333</v>
      </c>
      <c r="J2484" s="1">
        <v>2981</v>
      </c>
      <c r="K2484" s="1" t="s">
        <v>35</v>
      </c>
      <c r="L2484" s="1">
        <v>56</v>
      </c>
      <c r="M2484" s="1" t="str">
        <f>IF(L2484&lt;=45,"Joven","Mayor")</f>
        <v>Mayor</v>
      </c>
      <c r="N2484" s="1">
        <v>58</v>
      </c>
      <c r="O2484" s="1" t="s">
        <v>36</v>
      </c>
      <c r="P2484" s="1">
        <v>0.121</v>
      </c>
      <c r="Q2484" s="1">
        <v>92.356999999999999</v>
      </c>
      <c r="R2484" s="1">
        <v>3.3863846999999998</v>
      </c>
      <c r="S2484" s="1">
        <v>3.2724948</v>
      </c>
      <c r="T2484" s="1">
        <v>0.102769375</v>
      </c>
      <c r="U2484" s="1">
        <v>1.355</v>
      </c>
      <c r="V2484" s="1">
        <v>107</v>
      </c>
      <c r="W2484" s="1">
        <v>191</v>
      </c>
      <c r="X2484" s="1">
        <v>1.7850467289719627</v>
      </c>
      <c r="Y2484" s="1">
        <v>113</v>
      </c>
      <c r="Z2484" s="1">
        <v>191</v>
      </c>
      <c r="AA2484" s="1">
        <v>1.6902654867256637</v>
      </c>
      <c r="AB2484" s="1">
        <v>113.08591405063569</v>
      </c>
      <c r="AC2484" s="1">
        <v>190.99789909157519</v>
      </c>
      <c r="AD2484" s="1">
        <v>1.6889627739671751</v>
      </c>
      <c r="AE2484" t="s">
        <v>4817</v>
      </c>
      <c r="AF2484" t="str">
        <f>IF(X2484&lt;$AF$1,"Bajo","Alto")</f>
        <v>Alto</v>
      </c>
      <c r="AG2484" t="str">
        <f>LEFT(AE2484,1)</f>
        <v>C</v>
      </c>
      <c r="AH2484" t="str">
        <f>K2484</f>
        <v>M</v>
      </c>
      <c r="AI2484" t="str">
        <f>LEFT(AF2484,1)</f>
        <v>A</v>
      </c>
      <c r="AJ2484" t="str">
        <f>LEFT(M2484,1)</f>
        <v>M</v>
      </c>
      <c r="AK2484" t="str">
        <f>_xlfn.CONCAT(AG2484,AH2484,AI2484,AJ2484)</f>
        <v>CMAM</v>
      </c>
    </row>
    <row r="2485" spans="1:37" ht="15.75" hidden="1" customHeight="1" x14ac:dyDescent="0.2">
      <c r="A2485" s="1">
        <v>10910907</v>
      </c>
      <c r="B2485" s="1" t="s">
        <v>719</v>
      </c>
      <c r="C2485" s="1" t="s">
        <v>98</v>
      </c>
      <c r="D2485" s="1" t="s">
        <v>1550</v>
      </c>
      <c r="E2485" s="1" t="s">
        <v>98</v>
      </c>
      <c r="F2485" s="1" t="s">
        <v>43</v>
      </c>
      <c r="G2485" s="1" t="s">
        <v>1555</v>
      </c>
      <c r="H2485" s="1">
        <v>3783</v>
      </c>
      <c r="I2485" s="1" t="s">
        <v>1556</v>
      </c>
      <c r="J2485" s="1">
        <v>2072</v>
      </c>
      <c r="K2485" s="1" t="s">
        <v>35</v>
      </c>
      <c r="L2485" s="1">
        <v>34</v>
      </c>
      <c r="M2485" s="1" t="str">
        <f>IF(L2485&lt;=45,"Joven","Mayor")</f>
        <v>Joven</v>
      </c>
      <c r="N2485" s="1">
        <v>33</v>
      </c>
      <c r="O2485" s="1" t="s">
        <v>36</v>
      </c>
      <c r="P2485" s="1">
        <v>0.36199999999999999</v>
      </c>
      <c r="Q2485" s="1">
        <v>90.200999999999993</v>
      </c>
      <c r="R2485" s="1">
        <v>5.8391247000000002</v>
      </c>
      <c r="S2485" s="1">
        <v>1.5410493999999999</v>
      </c>
      <c r="T2485" s="1">
        <v>4.209238</v>
      </c>
      <c r="U2485" s="1">
        <v>2.0950000000000002</v>
      </c>
      <c r="V2485" s="1">
        <v>129</v>
      </c>
      <c r="W2485" s="1">
        <v>226</v>
      </c>
      <c r="X2485" s="1">
        <v>1.751937984496124</v>
      </c>
      <c r="Y2485" s="1">
        <v>148</v>
      </c>
      <c r="Z2485" s="1">
        <v>226</v>
      </c>
      <c r="AA2485" s="1">
        <v>1.527027027027027</v>
      </c>
      <c r="AB2485" s="1">
        <v>144.591434195273</v>
      </c>
      <c r="AC2485" s="1">
        <v>227.5923701137385</v>
      </c>
      <c r="AD2485" s="1">
        <v>1.5740377110193917</v>
      </c>
      <c r="AE2485" t="s">
        <v>4817</v>
      </c>
      <c r="AF2485" t="str">
        <f>IF(X2485&lt;$AF$1,"Bajo","Alto")</f>
        <v>Bajo</v>
      </c>
      <c r="AG2485" t="str">
        <f>LEFT(AE2485,1)</f>
        <v>C</v>
      </c>
      <c r="AH2485" t="str">
        <f>K2485</f>
        <v>M</v>
      </c>
      <c r="AI2485" t="str">
        <f>LEFT(AF2485,1)</f>
        <v>B</v>
      </c>
      <c r="AJ2485" t="str">
        <f>LEFT(M2485,1)</f>
        <v>J</v>
      </c>
      <c r="AK2485" t="str">
        <f>_xlfn.CONCAT(AG2485,AH2485,AI2485,AJ2485)</f>
        <v>CMBJ</v>
      </c>
    </row>
    <row r="2486" spans="1:37" ht="15.75" hidden="1" customHeight="1" x14ac:dyDescent="0.2">
      <c r="A2486" s="1">
        <v>1057604</v>
      </c>
      <c r="B2486" s="1" t="s">
        <v>694</v>
      </c>
      <c r="C2486" s="1" t="s">
        <v>879</v>
      </c>
      <c r="D2486" s="1" t="s">
        <v>1024</v>
      </c>
      <c r="E2486" s="1" t="s">
        <v>727</v>
      </c>
      <c r="F2486" s="1" t="s">
        <v>61</v>
      </c>
      <c r="G2486" s="1" t="s">
        <v>1027</v>
      </c>
      <c r="H2486" s="1">
        <v>274</v>
      </c>
      <c r="I2486" s="1" t="s">
        <v>42</v>
      </c>
      <c r="J2486" s="1">
        <v>15</v>
      </c>
      <c r="K2486" s="1" t="s">
        <v>35</v>
      </c>
      <c r="L2486" s="1">
        <v>31</v>
      </c>
      <c r="M2486" s="1" t="str">
        <f>IF(L2486&lt;=45,"Joven","Mayor")</f>
        <v>Joven</v>
      </c>
      <c r="N2486" s="1">
        <v>30</v>
      </c>
      <c r="O2486" s="1" t="s">
        <v>36</v>
      </c>
      <c r="P2486" s="1">
        <v>0.54500000000000004</v>
      </c>
      <c r="Q2486" s="1">
        <v>94.093000000000004</v>
      </c>
      <c r="R2486" s="1">
        <v>1.5892074</v>
      </c>
      <c r="S2486" s="1">
        <v>0.31270740000000002</v>
      </c>
      <c r="T2486" s="1">
        <v>1.0155419000000001</v>
      </c>
      <c r="U2486" s="1">
        <v>79.445999999999998</v>
      </c>
      <c r="V2486" s="1">
        <v>117</v>
      </c>
      <c r="W2486" s="1">
        <v>205</v>
      </c>
      <c r="X2486" s="1">
        <v>1.7521367521367521</v>
      </c>
      <c r="Y2486" s="1">
        <v>118</v>
      </c>
      <c r="Z2486" s="1">
        <v>205</v>
      </c>
      <c r="AA2486" s="1">
        <v>1.7372881355932204</v>
      </c>
      <c r="AB2486" s="1">
        <v>119.0094351295777</v>
      </c>
      <c r="AC2486" s="1">
        <v>204.95007585532079</v>
      </c>
      <c r="AD2486" s="1">
        <v>1.7221330025822807</v>
      </c>
      <c r="AE2486" t="s">
        <v>4817</v>
      </c>
      <c r="AF2486" t="str">
        <f>IF(X2486&lt;$AF$1,"Bajo","Alto")</f>
        <v>Bajo</v>
      </c>
      <c r="AG2486" t="str">
        <f>LEFT(AE2486,1)</f>
        <v>C</v>
      </c>
      <c r="AH2486" t="str">
        <f>K2486</f>
        <v>M</v>
      </c>
      <c r="AI2486" t="str">
        <f>LEFT(AF2486,1)</f>
        <v>B</v>
      </c>
      <c r="AJ2486" t="str">
        <f>LEFT(M2486,1)</f>
        <v>J</v>
      </c>
      <c r="AK2486" t="str">
        <f>_xlfn.CONCAT(AG2486,AH2486,AI2486,AJ2486)</f>
        <v>CMBJ</v>
      </c>
    </row>
    <row r="2487" spans="1:37" ht="15.75" hidden="1" customHeight="1" x14ac:dyDescent="0.2">
      <c r="A2487" s="1">
        <v>10117002</v>
      </c>
      <c r="B2487" s="1" t="s">
        <v>29</v>
      </c>
      <c r="C2487" s="1" t="s">
        <v>30</v>
      </c>
      <c r="D2487" s="1" t="s">
        <v>285</v>
      </c>
      <c r="E2487" s="1" t="s">
        <v>286</v>
      </c>
      <c r="F2487" s="1" t="s">
        <v>37</v>
      </c>
      <c r="G2487" s="1" t="s">
        <v>287</v>
      </c>
      <c r="H2487" s="1">
        <v>1944</v>
      </c>
      <c r="I2487" s="1" t="s">
        <v>39</v>
      </c>
      <c r="J2487" s="1">
        <v>11</v>
      </c>
      <c r="K2487" s="1" t="s">
        <v>35</v>
      </c>
      <c r="L2487" s="1">
        <v>44</v>
      </c>
      <c r="M2487" s="1" t="str">
        <f>IF(L2487&lt;=45,"Joven","Mayor")</f>
        <v>Joven</v>
      </c>
      <c r="N2487" s="1">
        <v>52</v>
      </c>
      <c r="O2487" s="1" t="s">
        <v>36</v>
      </c>
      <c r="P2487" s="1">
        <v>0.378</v>
      </c>
      <c r="Q2487" s="1">
        <v>89.611999999999995</v>
      </c>
      <c r="R2487" s="1">
        <v>4.286346</v>
      </c>
      <c r="S2487" s="1">
        <v>7.8004119999999997</v>
      </c>
      <c r="T2487" s="1">
        <v>-5.4081162999999997</v>
      </c>
      <c r="U2487" s="1">
        <v>1.0329999999999999</v>
      </c>
      <c r="V2487" s="1">
        <v>81</v>
      </c>
      <c r="W2487" s="1">
        <v>146</v>
      </c>
      <c r="X2487" s="1">
        <v>1.8024691358024691</v>
      </c>
      <c r="Y2487" s="1">
        <v>87</v>
      </c>
      <c r="Z2487" s="1">
        <v>146</v>
      </c>
      <c r="AA2487" s="1">
        <v>1.6781609195402298</v>
      </c>
      <c r="AB2487" s="1">
        <v>84.786409464679537</v>
      </c>
      <c r="AC2487" s="1">
        <v>145.91559508361891</v>
      </c>
      <c r="AD2487" s="1">
        <v>1.7209785861306544</v>
      </c>
      <c r="AE2487" t="s">
        <v>4816</v>
      </c>
      <c r="AF2487" t="str">
        <f>IF(X2487&lt;$AF$1,"Bajo","Alto")</f>
        <v>Alto</v>
      </c>
      <c r="AG2487" t="str">
        <f>LEFT(AE2487,1)</f>
        <v>D</v>
      </c>
      <c r="AH2487" t="str">
        <f>K2487</f>
        <v>M</v>
      </c>
      <c r="AI2487" t="str">
        <f>LEFT(AF2487,1)</f>
        <v>A</v>
      </c>
      <c r="AJ2487" t="str">
        <f>LEFT(M2487,1)</f>
        <v>J</v>
      </c>
      <c r="AK2487" t="str">
        <f>_xlfn.CONCAT(AG2487,AH2487,AI2487,AJ2487)</f>
        <v>DMAJ</v>
      </c>
    </row>
    <row r="2488" spans="1:37" ht="15.75" hidden="1" customHeight="1" x14ac:dyDescent="0.2">
      <c r="A2488" s="1">
        <v>4686505</v>
      </c>
      <c r="B2488" s="1" t="s">
        <v>4382</v>
      </c>
      <c r="C2488" s="1" t="s">
        <v>669</v>
      </c>
      <c r="D2488" s="1" t="s">
        <v>4452</v>
      </c>
      <c r="E2488" s="1" t="s">
        <v>4453</v>
      </c>
      <c r="F2488" s="1" t="s">
        <v>40</v>
      </c>
      <c r="G2488" s="1" t="s">
        <v>4456</v>
      </c>
      <c r="H2488" s="1">
        <v>118</v>
      </c>
      <c r="I2488" s="1" t="s">
        <v>91</v>
      </c>
      <c r="J2488" s="1">
        <v>6</v>
      </c>
      <c r="K2488" s="1" t="s">
        <v>35</v>
      </c>
      <c r="L2488" s="1">
        <v>43</v>
      </c>
      <c r="M2488" s="1" t="str">
        <f>IF(L2488&lt;=45,"Joven","Mayor")</f>
        <v>Joven</v>
      </c>
      <c r="N2488" s="1">
        <v>38</v>
      </c>
      <c r="O2488" s="1" t="s">
        <v>36</v>
      </c>
      <c r="P2488" s="1">
        <v>0.42299999999999999</v>
      </c>
      <c r="Q2488" s="1">
        <v>85.004999999999995</v>
      </c>
      <c r="R2488" s="1">
        <v>8.531841</v>
      </c>
      <c r="S2488" s="1">
        <v>2.9039450000000002</v>
      </c>
      <c r="T2488" s="1">
        <v>-4.2949900000000003</v>
      </c>
      <c r="U2488" s="1">
        <v>2.9510000000000001</v>
      </c>
      <c r="V2488" s="1">
        <v>105</v>
      </c>
      <c r="W2488" s="1">
        <v>184</v>
      </c>
      <c r="X2488" s="1">
        <v>1.7523809523809524</v>
      </c>
      <c r="Y2488" s="1">
        <v>106</v>
      </c>
      <c r="Z2488" s="1">
        <v>184</v>
      </c>
      <c r="AA2488" s="1">
        <v>1.7358490566037736</v>
      </c>
      <c r="AB2488" s="1">
        <v>108.39841384875081</v>
      </c>
      <c r="AC2488" s="1">
        <v>183.0339210205716</v>
      </c>
      <c r="AD2488" s="1">
        <v>1.6885295136879062</v>
      </c>
      <c r="AE2488" t="s">
        <v>4817</v>
      </c>
      <c r="AF2488" t="str">
        <f>IF(X2488&lt;$AF$1,"Bajo","Alto")</f>
        <v>Bajo</v>
      </c>
      <c r="AG2488" t="str">
        <f>LEFT(AE2488,1)</f>
        <v>C</v>
      </c>
      <c r="AH2488" t="str">
        <f>K2488</f>
        <v>M</v>
      </c>
      <c r="AI2488" t="str">
        <f>LEFT(AF2488,1)</f>
        <v>B</v>
      </c>
      <c r="AJ2488" t="str">
        <f>LEFT(M2488,1)</f>
        <v>J</v>
      </c>
      <c r="AK2488" t="str">
        <f>_xlfn.CONCAT(AG2488,AH2488,AI2488,AJ2488)</f>
        <v>CMBJ</v>
      </c>
    </row>
    <row r="2489" spans="1:37" ht="15.75" hidden="1" customHeight="1" x14ac:dyDescent="0.2">
      <c r="A2489" s="1">
        <v>10114501</v>
      </c>
      <c r="B2489" s="1" t="s">
        <v>29</v>
      </c>
      <c r="C2489" s="1" t="s">
        <v>30</v>
      </c>
      <c r="D2489" s="1" t="s">
        <v>192</v>
      </c>
      <c r="E2489" s="1" t="s">
        <v>193</v>
      </c>
      <c r="F2489" s="1" t="s">
        <v>32</v>
      </c>
      <c r="G2489" s="1" t="s">
        <v>194</v>
      </c>
      <c r="H2489" s="1">
        <v>1676</v>
      </c>
      <c r="I2489" s="1" t="s">
        <v>39</v>
      </c>
      <c r="J2489" s="1">
        <v>11</v>
      </c>
      <c r="K2489" s="1" t="s">
        <v>35</v>
      </c>
      <c r="L2489" s="1">
        <v>50</v>
      </c>
      <c r="M2489" s="1" t="str">
        <f>IF(L2489&lt;=45,"Joven","Mayor")</f>
        <v>Mayor</v>
      </c>
      <c r="N2489" s="1">
        <v>53</v>
      </c>
      <c r="O2489" s="1" t="s">
        <v>36</v>
      </c>
      <c r="P2489" s="1">
        <v>0.35499999999999998</v>
      </c>
      <c r="Q2489" s="1">
        <v>93.156999999999996</v>
      </c>
      <c r="R2489" s="1">
        <v>0.70243113999999995</v>
      </c>
      <c r="S2489" s="1">
        <v>6.4752296999999999</v>
      </c>
      <c r="T2489" s="1">
        <v>-3.666585</v>
      </c>
      <c r="U2489" s="1">
        <v>3.3919999999999999</v>
      </c>
      <c r="V2489" s="1">
        <v>111</v>
      </c>
      <c r="W2489" s="1">
        <v>196</v>
      </c>
      <c r="X2489" s="1">
        <v>1.7657657657657657</v>
      </c>
      <c r="Y2489" s="1">
        <v>113</v>
      </c>
      <c r="Z2489" s="1">
        <v>196</v>
      </c>
      <c r="AA2489" s="1">
        <v>1.7345132743362832</v>
      </c>
      <c r="AB2489" s="1">
        <v>116.0941146629818</v>
      </c>
      <c r="AC2489" s="1">
        <v>195.4709038257588</v>
      </c>
      <c r="AD2489" s="1">
        <v>1.6837279339543245</v>
      </c>
      <c r="AE2489" t="s">
        <v>4816</v>
      </c>
      <c r="AF2489" t="str">
        <f>IF(X2489&lt;$AF$1,"Bajo","Alto")</f>
        <v>Bajo</v>
      </c>
      <c r="AG2489" t="str">
        <f>LEFT(AE2489,1)</f>
        <v>D</v>
      </c>
      <c r="AH2489" t="str">
        <f>K2489</f>
        <v>M</v>
      </c>
      <c r="AI2489" t="str">
        <f>LEFT(AF2489,1)</f>
        <v>B</v>
      </c>
      <c r="AJ2489" t="str">
        <f>LEFT(M2489,1)</f>
        <v>M</v>
      </c>
      <c r="AK2489" t="str">
        <f>_xlfn.CONCAT(AG2489,AH2489,AI2489,AJ2489)</f>
        <v>DMBM</v>
      </c>
    </row>
    <row r="2490" spans="1:37" ht="15.75" hidden="1" customHeight="1" x14ac:dyDescent="0.2">
      <c r="A2490" s="1">
        <v>2313302</v>
      </c>
      <c r="B2490" s="1" t="s">
        <v>319</v>
      </c>
      <c r="C2490" s="1" t="s">
        <v>1989</v>
      </c>
      <c r="D2490" s="1" t="s">
        <v>2974</v>
      </c>
      <c r="E2490" s="1" t="s">
        <v>169</v>
      </c>
      <c r="F2490" s="1" t="s">
        <v>37</v>
      </c>
      <c r="G2490" s="1" t="s">
        <v>2976</v>
      </c>
      <c r="H2490" s="1">
        <v>329</v>
      </c>
      <c r="I2490" s="1" t="s">
        <v>85</v>
      </c>
      <c r="J2490" s="1">
        <v>12</v>
      </c>
      <c r="K2490" s="1" t="s">
        <v>49</v>
      </c>
      <c r="L2490" s="1">
        <v>34</v>
      </c>
      <c r="M2490" s="1" t="str">
        <f>IF(L2490&lt;=45,"Joven","Mayor")</f>
        <v>Joven</v>
      </c>
      <c r="N2490" s="1">
        <v>41</v>
      </c>
      <c r="O2490" s="1" t="s">
        <v>50</v>
      </c>
      <c r="P2490" s="1">
        <v>0.36799999999999999</v>
      </c>
      <c r="Q2490" s="1">
        <v>90.363</v>
      </c>
      <c r="R2490" s="1">
        <v>3.6897150999999999</v>
      </c>
      <c r="S2490" s="1">
        <v>7.6242859999999997</v>
      </c>
      <c r="T2490" s="1">
        <v>-8.1180760000000003</v>
      </c>
      <c r="U2490" s="1">
        <v>94.185000000000002</v>
      </c>
      <c r="V2490" s="1">
        <v>75</v>
      </c>
      <c r="W2490" s="1">
        <v>131</v>
      </c>
      <c r="X2490" s="1">
        <v>1.7466666666666666</v>
      </c>
      <c r="Y2490" s="1">
        <v>79</v>
      </c>
      <c r="Z2490" s="1">
        <v>131</v>
      </c>
      <c r="AA2490" s="1">
        <v>1.6582278481012658</v>
      </c>
      <c r="AB2490" s="1">
        <v>79.332124985891596</v>
      </c>
      <c r="AC2490" s="1">
        <v>130.534550831459</v>
      </c>
      <c r="AD2490" s="1">
        <v>1.6454185596903301</v>
      </c>
      <c r="AE2490" t="s">
        <v>4815</v>
      </c>
      <c r="AF2490" t="str">
        <f>IF(X2490&lt;$AF$1,"Bajo","Alto")</f>
        <v>Bajo</v>
      </c>
      <c r="AG2490" t="str">
        <f>LEFT(AE2490,1)</f>
        <v>I</v>
      </c>
      <c r="AH2490" t="str">
        <f>K2490</f>
        <v>F</v>
      </c>
      <c r="AI2490" t="str">
        <f>LEFT(AF2490,1)</f>
        <v>B</v>
      </c>
      <c r="AJ2490" t="str">
        <f>LEFT(M2490,1)</f>
        <v>J</v>
      </c>
      <c r="AK2490" t="str">
        <f>_xlfn.CONCAT(AG2490,AH2490,AI2490,AJ2490)</f>
        <v>IFBJ</v>
      </c>
    </row>
    <row r="2491" spans="1:37" ht="15.75" hidden="1" customHeight="1" x14ac:dyDescent="0.2">
      <c r="A2491" s="1">
        <v>295501</v>
      </c>
      <c r="B2491" s="1" t="s">
        <v>3890</v>
      </c>
      <c r="C2491" s="1" t="s">
        <v>1695</v>
      </c>
      <c r="D2491" s="1" t="s">
        <v>4030</v>
      </c>
      <c r="E2491" s="1" t="s">
        <v>690</v>
      </c>
      <c r="F2491" s="1" t="s">
        <v>32</v>
      </c>
      <c r="G2491" s="1" t="s">
        <v>4031</v>
      </c>
      <c r="H2491" s="1">
        <v>4209</v>
      </c>
      <c r="I2491" s="1" t="s">
        <v>39</v>
      </c>
      <c r="J2491" s="1">
        <v>11</v>
      </c>
      <c r="K2491" s="1" t="s">
        <v>35</v>
      </c>
      <c r="L2491" s="1">
        <v>40</v>
      </c>
      <c r="M2491" s="1" t="str">
        <f>IF(L2491&lt;=45,"Joven","Mayor")</f>
        <v>Joven</v>
      </c>
      <c r="N2491" s="1">
        <v>44</v>
      </c>
      <c r="O2491" s="1" t="s">
        <v>36</v>
      </c>
      <c r="P2491" s="1">
        <v>0.32700000000000001</v>
      </c>
      <c r="Q2491" s="1">
        <v>89.430999999999997</v>
      </c>
      <c r="R2491" s="1">
        <v>4.7093762999999997</v>
      </c>
      <c r="S2491" s="1">
        <v>7.2220760000000004</v>
      </c>
      <c r="T2491" s="1">
        <v>-2.468601</v>
      </c>
      <c r="U2491" s="1">
        <v>49.436999999999998</v>
      </c>
      <c r="V2491" s="1">
        <v>105</v>
      </c>
      <c r="W2491" s="1">
        <v>183</v>
      </c>
      <c r="X2491" s="1">
        <v>1.7428571428571429</v>
      </c>
      <c r="Y2491" s="1">
        <v>107</v>
      </c>
      <c r="Z2491" s="1">
        <v>183</v>
      </c>
      <c r="AA2491" s="1">
        <v>1.7102803738317758</v>
      </c>
      <c r="AB2491" s="1">
        <v>107.01307988515261</v>
      </c>
      <c r="AC2491" s="1">
        <v>182.9163153228196</v>
      </c>
      <c r="AD2491" s="1">
        <v>1.7092893272404366</v>
      </c>
      <c r="AE2491" t="s">
        <v>4816</v>
      </c>
      <c r="AF2491" t="str">
        <f>IF(X2491&lt;$AF$1,"Bajo","Alto")</f>
        <v>Bajo</v>
      </c>
      <c r="AG2491" t="str">
        <f>LEFT(AE2491,1)</f>
        <v>D</v>
      </c>
      <c r="AH2491" t="str">
        <f>K2491</f>
        <v>M</v>
      </c>
      <c r="AI2491" t="str">
        <f>LEFT(AF2491,1)</f>
        <v>B</v>
      </c>
      <c r="AJ2491" t="str">
        <f>LEFT(M2491,1)</f>
        <v>J</v>
      </c>
      <c r="AK2491" t="str">
        <f>_xlfn.CONCAT(AG2491,AH2491,AI2491,AJ2491)</f>
        <v>DMBJ</v>
      </c>
    </row>
    <row r="2492" spans="1:37" ht="15.75" hidden="1" customHeight="1" x14ac:dyDescent="0.2">
      <c r="A2492" s="1">
        <v>4680001</v>
      </c>
      <c r="B2492" s="1" t="s">
        <v>4382</v>
      </c>
      <c r="C2492" s="1" t="s">
        <v>669</v>
      </c>
      <c r="D2492" s="1" t="s">
        <v>403</v>
      </c>
      <c r="E2492" s="1" t="s">
        <v>1923</v>
      </c>
      <c r="F2492" s="1" t="s">
        <v>32</v>
      </c>
      <c r="G2492" s="1" t="s">
        <v>4434</v>
      </c>
      <c r="H2492" s="1">
        <v>1359</v>
      </c>
      <c r="I2492" s="1" t="s">
        <v>108</v>
      </c>
      <c r="J2492" s="1">
        <v>3</v>
      </c>
      <c r="K2492" s="1" t="s">
        <v>35</v>
      </c>
      <c r="L2492" s="1">
        <v>40</v>
      </c>
      <c r="M2492" s="1" t="str">
        <f>IF(L2492&lt;=45,"Joven","Mayor")</f>
        <v>Joven</v>
      </c>
      <c r="N2492" s="1">
        <v>40</v>
      </c>
      <c r="O2492" s="1" t="s">
        <v>36</v>
      </c>
      <c r="P2492" s="1">
        <v>0.36099999999999999</v>
      </c>
      <c r="Q2492" s="1">
        <v>93.382999999999996</v>
      </c>
      <c r="R2492" s="1">
        <v>2.5535060999999999</v>
      </c>
      <c r="S2492" s="1">
        <v>-1.259334</v>
      </c>
      <c r="T2492" s="1">
        <v>-9.5129929999999998</v>
      </c>
      <c r="U2492" s="1">
        <v>10.795</v>
      </c>
      <c r="V2492" s="1">
        <v>81</v>
      </c>
      <c r="W2492" s="1">
        <v>145</v>
      </c>
      <c r="X2492" s="1">
        <v>1.7901234567901234</v>
      </c>
      <c r="Y2492" s="1">
        <v>92</v>
      </c>
      <c r="Z2492" s="1">
        <v>145</v>
      </c>
      <c r="AA2492" s="1">
        <v>1.576086956521739</v>
      </c>
      <c r="AB2492" s="1">
        <v>87.984391855358808</v>
      </c>
      <c r="AC2492" s="1">
        <v>146.14613547530689</v>
      </c>
      <c r="AD2492" s="1">
        <v>1.6610461514078836</v>
      </c>
      <c r="AE2492" t="s">
        <v>4817</v>
      </c>
      <c r="AF2492" t="str">
        <f>IF(X2492&lt;$AF$1,"Bajo","Alto")</f>
        <v>Alto</v>
      </c>
      <c r="AG2492" t="str">
        <f>LEFT(AE2492,1)</f>
        <v>C</v>
      </c>
      <c r="AH2492" t="str">
        <f>K2492</f>
        <v>M</v>
      </c>
      <c r="AI2492" t="str">
        <f>LEFT(AF2492,1)</f>
        <v>A</v>
      </c>
      <c r="AJ2492" t="str">
        <f>LEFT(M2492,1)</f>
        <v>J</v>
      </c>
      <c r="AK2492" t="str">
        <f>_xlfn.CONCAT(AG2492,AH2492,AI2492,AJ2492)</f>
        <v>CMAJ</v>
      </c>
    </row>
    <row r="2493" spans="1:37" ht="15.75" hidden="1" customHeight="1" x14ac:dyDescent="0.2">
      <c r="A2493" s="1">
        <v>1014907</v>
      </c>
      <c r="B2493" s="1" t="s">
        <v>29</v>
      </c>
      <c r="C2493" s="1" t="s">
        <v>30</v>
      </c>
      <c r="D2493" s="1" t="s">
        <v>672</v>
      </c>
      <c r="E2493" s="1" t="s">
        <v>673</v>
      </c>
      <c r="F2493" s="1" t="s">
        <v>43</v>
      </c>
      <c r="G2493" s="1" t="s">
        <v>678</v>
      </c>
      <c r="H2493" s="1">
        <v>5029</v>
      </c>
      <c r="I2493" s="1" t="s">
        <v>91</v>
      </c>
      <c r="J2493" s="1">
        <v>6</v>
      </c>
      <c r="K2493" s="1" t="s">
        <v>35</v>
      </c>
      <c r="L2493" s="1">
        <v>62</v>
      </c>
      <c r="M2493" s="1" t="str">
        <f>IF(L2493&lt;=45,"Joven","Mayor")</f>
        <v>Mayor</v>
      </c>
      <c r="N2493" s="1">
        <v>67</v>
      </c>
      <c r="O2493" s="1" t="s">
        <v>36</v>
      </c>
      <c r="P2493" s="1">
        <v>0.74099999999999999</v>
      </c>
      <c r="Q2493" s="1">
        <v>82.980999999999995</v>
      </c>
      <c r="R2493" s="1">
        <v>-9.425834</v>
      </c>
      <c r="S2493" s="1">
        <v>-2.0915531999999999</v>
      </c>
      <c r="T2493" s="1">
        <v>0.83836734000000002</v>
      </c>
      <c r="U2493" s="1">
        <v>18.408000000000001</v>
      </c>
      <c r="V2493" s="1">
        <v>93</v>
      </c>
      <c r="W2493" s="1">
        <v>166</v>
      </c>
      <c r="X2493" s="1">
        <v>1.7849462365591398</v>
      </c>
      <c r="Y2493" s="1">
        <v>96</v>
      </c>
      <c r="Z2493" s="1">
        <v>166</v>
      </c>
      <c r="AA2493" s="1">
        <v>1.7291666666666667</v>
      </c>
      <c r="AB2493" s="1">
        <v>95.19960881530028</v>
      </c>
      <c r="AC2493" s="1">
        <v>165.87980750197039</v>
      </c>
      <c r="AD2493" s="1">
        <v>1.7424421125910188</v>
      </c>
      <c r="AE2493" t="s">
        <v>4817</v>
      </c>
      <c r="AF2493" t="str">
        <f>IF(X2493&lt;$AF$1,"Bajo","Alto")</f>
        <v>Alto</v>
      </c>
      <c r="AG2493" t="str">
        <f>LEFT(AE2493,1)</f>
        <v>C</v>
      </c>
      <c r="AH2493" t="str">
        <f>K2493</f>
        <v>M</v>
      </c>
      <c r="AI2493" t="str">
        <f>LEFT(AF2493,1)</f>
        <v>A</v>
      </c>
      <c r="AJ2493" t="str">
        <f>LEFT(M2493,1)</f>
        <v>M</v>
      </c>
      <c r="AK2493" t="str">
        <f>_xlfn.CONCAT(AG2493,AH2493,AI2493,AJ2493)</f>
        <v>CMAM</v>
      </c>
    </row>
    <row r="2494" spans="1:37" ht="15.75" hidden="1" customHeight="1" x14ac:dyDescent="0.2">
      <c r="A2494" s="1">
        <v>1010403</v>
      </c>
      <c r="B2494" s="1" t="s">
        <v>29</v>
      </c>
      <c r="C2494" s="1" t="s">
        <v>30</v>
      </c>
      <c r="D2494" s="1" t="s">
        <v>60</v>
      </c>
      <c r="E2494" s="1" t="s">
        <v>61</v>
      </c>
      <c r="F2494" s="1" t="s">
        <v>63</v>
      </c>
      <c r="G2494" s="1" t="s">
        <v>64</v>
      </c>
      <c r="H2494" s="1">
        <v>1543</v>
      </c>
      <c r="I2494" s="1" t="s">
        <v>65</v>
      </c>
      <c r="J2494" s="1">
        <v>2</v>
      </c>
      <c r="K2494" s="1" t="s">
        <v>35</v>
      </c>
      <c r="L2494" s="1">
        <v>42</v>
      </c>
      <c r="M2494" s="1" t="str">
        <f>IF(L2494&lt;=45,"Joven","Mayor")</f>
        <v>Joven</v>
      </c>
      <c r="N2494" s="1">
        <v>43</v>
      </c>
      <c r="O2494" s="1" t="s">
        <v>36</v>
      </c>
      <c r="P2494" s="1">
        <v>0.32700000000000001</v>
      </c>
      <c r="Q2494" s="1">
        <v>82.072000000000003</v>
      </c>
      <c r="R2494" s="1">
        <v>9.8765649999999994</v>
      </c>
      <c r="S2494" s="1">
        <v>1.7973796</v>
      </c>
      <c r="T2494" s="1">
        <v>-7.1570377000000001</v>
      </c>
      <c r="U2494" s="1">
        <v>3.073</v>
      </c>
      <c r="V2494" s="1">
        <v>100</v>
      </c>
      <c r="W2494" s="1">
        <v>179</v>
      </c>
      <c r="X2494" s="1">
        <v>1.79</v>
      </c>
      <c r="Y2494" s="1">
        <v>108</v>
      </c>
      <c r="Z2494" s="1">
        <v>179</v>
      </c>
      <c r="AA2494" s="1">
        <v>1.6574074074074074</v>
      </c>
      <c r="AB2494" s="1">
        <v>106.0732504075356</v>
      </c>
      <c r="AC2494" s="1">
        <v>178.72660735959431</v>
      </c>
      <c r="AD2494" s="1">
        <v>1.6849357087948473</v>
      </c>
      <c r="AE2494" t="s">
        <v>4817</v>
      </c>
      <c r="AF2494" t="str">
        <f>IF(X2494&lt;$AF$1,"Bajo","Alto")</f>
        <v>Alto</v>
      </c>
      <c r="AG2494" t="str">
        <f>LEFT(AE2494,1)</f>
        <v>C</v>
      </c>
      <c r="AH2494" t="str">
        <f>K2494</f>
        <v>M</v>
      </c>
      <c r="AI2494" t="str">
        <f>LEFT(AF2494,1)</f>
        <v>A</v>
      </c>
      <c r="AJ2494" t="str">
        <f>LEFT(M2494,1)</f>
        <v>J</v>
      </c>
      <c r="AK2494" t="str">
        <f>_xlfn.CONCAT(AG2494,AH2494,AI2494,AJ2494)</f>
        <v>CMAJ</v>
      </c>
    </row>
    <row r="2495" spans="1:37" ht="15.75" hidden="1" customHeight="1" x14ac:dyDescent="0.2">
      <c r="A2495" s="1">
        <v>119701</v>
      </c>
      <c r="B2495" s="1" t="s">
        <v>1648</v>
      </c>
      <c r="C2495" s="1" t="s">
        <v>51</v>
      </c>
      <c r="D2495" s="1" t="s">
        <v>1792</v>
      </c>
      <c r="E2495" s="1" t="s">
        <v>781</v>
      </c>
      <c r="F2495" s="1" t="s">
        <v>32</v>
      </c>
      <c r="G2495" s="1" t="s">
        <v>1793</v>
      </c>
      <c r="H2495" s="1">
        <v>3020</v>
      </c>
      <c r="I2495" s="1" t="s">
        <v>1794</v>
      </c>
      <c r="J2495" s="1">
        <v>2994</v>
      </c>
      <c r="K2495" s="1" t="s">
        <v>35</v>
      </c>
      <c r="L2495" s="1">
        <v>45</v>
      </c>
      <c r="M2495" s="1" t="str">
        <f>IF(L2495&lt;=45,"Joven","Mayor")</f>
        <v>Joven</v>
      </c>
      <c r="N2495" s="1">
        <v>50</v>
      </c>
      <c r="O2495" s="1" t="s">
        <v>36</v>
      </c>
      <c r="P2495" s="1">
        <v>0.38100000000000001</v>
      </c>
      <c r="Q2495" s="1">
        <v>93.834000000000003</v>
      </c>
      <c r="R2495" s="1">
        <v>-2.0780756</v>
      </c>
      <c r="S2495" s="1">
        <v>-0.40782975999999999</v>
      </c>
      <c r="T2495" s="1">
        <v>-3.477163</v>
      </c>
      <c r="U2495" s="1">
        <v>0.86199999999999999</v>
      </c>
      <c r="V2495" s="1">
        <v>101</v>
      </c>
      <c r="W2495" s="1">
        <v>177</v>
      </c>
      <c r="X2495" s="1">
        <v>1.7524752475247525</v>
      </c>
      <c r="Y2495" s="1">
        <v>103</v>
      </c>
      <c r="Z2495" s="1">
        <v>177</v>
      </c>
      <c r="AA2495" s="1">
        <v>1.7184466019417475</v>
      </c>
      <c r="AB2495" s="1">
        <v>103.725297713188</v>
      </c>
      <c r="AC2495" s="1">
        <v>176.91675497798269</v>
      </c>
      <c r="AD2495" s="1">
        <v>1.7056278350453833</v>
      </c>
      <c r="AE2495" t="s">
        <v>4817</v>
      </c>
      <c r="AF2495" t="str">
        <f>IF(X2495&lt;$AF$1,"Bajo","Alto")</f>
        <v>Bajo</v>
      </c>
      <c r="AG2495" t="str">
        <f>LEFT(AE2495,1)</f>
        <v>C</v>
      </c>
      <c r="AH2495" t="str">
        <f>K2495</f>
        <v>M</v>
      </c>
      <c r="AI2495" t="str">
        <f>LEFT(AF2495,1)</f>
        <v>B</v>
      </c>
      <c r="AJ2495" t="str">
        <f>LEFT(M2495,1)</f>
        <v>J</v>
      </c>
      <c r="AK2495" t="str">
        <f>_xlfn.CONCAT(AG2495,AH2495,AI2495,AJ2495)</f>
        <v>CMBJ</v>
      </c>
    </row>
    <row r="2496" spans="1:37" ht="15.75" hidden="1" customHeight="1" x14ac:dyDescent="0.2">
      <c r="A2496" s="1">
        <v>190401</v>
      </c>
      <c r="B2496" s="1" t="s">
        <v>2656</v>
      </c>
      <c r="C2496" s="1" t="s">
        <v>323</v>
      </c>
      <c r="D2496" s="1" t="s">
        <v>2668</v>
      </c>
      <c r="E2496" s="1" t="s">
        <v>61</v>
      </c>
      <c r="F2496" s="1" t="s">
        <v>32</v>
      </c>
      <c r="G2496" s="1" t="s">
        <v>2669</v>
      </c>
      <c r="H2496" s="1">
        <v>450</v>
      </c>
      <c r="I2496" s="1" t="s">
        <v>39</v>
      </c>
      <c r="J2496" s="1">
        <v>11</v>
      </c>
      <c r="K2496" s="1" t="s">
        <v>35</v>
      </c>
      <c r="L2496" s="1">
        <v>40</v>
      </c>
      <c r="M2496" s="1" t="str">
        <f>IF(L2496&lt;=45,"Joven","Mayor")</f>
        <v>Joven</v>
      </c>
      <c r="N2496" s="1">
        <v>58</v>
      </c>
      <c r="O2496" s="1" t="s">
        <v>36</v>
      </c>
      <c r="P2496" s="1">
        <v>0.35899999999999999</v>
      </c>
      <c r="Q2496" s="1">
        <v>93.26</v>
      </c>
      <c r="R2496" s="1">
        <v>2.5629029999999999</v>
      </c>
      <c r="S2496" s="1">
        <v>1.837156</v>
      </c>
      <c r="T2496" s="1">
        <v>-2.1675789999999999</v>
      </c>
      <c r="U2496" s="1">
        <v>2.0619999999999998</v>
      </c>
      <c r="V2496" s="1">
        <v>102</v>
      </c>
      <c r="W2496" s="1">
        <v>179</v>
      </c>
      <c r="X2496" s="1">
        <v>1.7549019607843137</v>
      </c>
      <c r="Y2496" s="1">
        <v>104</v>
      </c>
      <c r="Z2496" s="1">
        <v>179</v>
      </c>
      <c r="AA2496" s="1">
        <v>1.7211538461538463</v>
      </c>
      <c r="AB2496" s="1">
        <v>105.62759225142641</v>
      </c>
      <c r="AC2496" s="1">
        <v>178.6449874140321</v>
      </c>
      <c r="AD2496" s="1">
        <v>1.6912719830704999</v>
      </c>
      <c r="AE2496" t="s">
        <v>4816</v>
      </c>
      <c r="AF2496" t="str">
        <f>IF(X2496&lt;$AF$1,"Bajo","Alto")</f>
        <v>Bajo</v>
      </c>
      <c r="AG2496" t="str">
        <f>LEFT(AE2496,1)</f>
        <v>D</v>
      </c>
      <c r="AH2496" t="str">
        <f>K2496</f>
        <v>M</v>
      </c>
      <c r="AI2496" t="str">
        <f>LEFT(AF2496,1)</f>
        <v>B</v>
      </c>
      <c r="AJ2496" t="str">
        <f>LEFT(M2496,1)</f>
        <v>J</v>
      </c>
      <c r="AK2496" t="str">
        <f>_xlfn.CONCAT(AG2496,AH2496,AI2496,AJ2496)</f>
        <v>DMBJ</v>
      </c>
    </row>
    <row r="2497" spans="1:37" ht="15.75" hidden="1" customHeight="1" x14ac:dyDescent="0.2">
      <c r="A2497" s="1">
        <v>524906</v>
      </c>
      <c r="B2497" s="1" t="s">
        <v>4529</v>
      </c>
      <c r="C2497" s="1" t="s">
        <v>685</v>
      </c>
      <c r="D2497" s="1" t="s">
        <v>4341</v>
      </c>
      <c r="E2497" s="1" t="s">
        <v>673</v>
      </c>
      <c r="F2497" s="1" t="s">
        <v>88</v>
      </c>
      <c r="G2497" s="1" t="s">
        <v>4645</v>
      </c>
      <c r="H2497" s="1">
        <v>2380</v>
      </c>
      <c r="I2497" s="1" t="s">
        <v>108</v>
      </c>
      <c r="J2497" s="1">
        <v>3</v>
      </c>
      <c r="K2497" s="1" t="s">
        <v>35</v>
      </c>
      <c r="L2497" s="1">
        <v>46</v>
      </c>
      <c r="M2497" s="1" t="str">
        <f>IF(L2497&lt;=45,"Joven","Mayor")</f>
        <v>Mayor</v>
      </c>
      <c r="N2497" s="1">
        <v>36</v>
      </c>
      <c r="O2497" s="1" t="s">
        <v>36</v>
      </c>
      <c r="P2497" s="1">
        <v>0.36299999999999999</v>
      </c>
      <c r="Q2497" s="1">
        <v>92.144000000000005</v>
      </c>
      <c r="R2497" s="1">
        <v>-2.1320043000000002</v>
      </c>
      <c r="S2497" s="1">
        <v>6.7043533000000002</v>
      </c>
      <c r="T2497" s="1">
        <v>5.6678423999999996</v>
      </c>
      <c r="U2497" s="1">
        <v>1.0509999999999999</v>
      </c>
      <c r="V2497" s="1">
        <v>80</v>
      </c>
      <c r="W2497" s="1">
        <v>140</v>
      </c>
      <c r="X2497" s="1">
        <v>1.75</v>
      </c>
      <c r="Y2497" s="1">
        <v>82</v>
      </c>
      <c r="Z2497" s="1">
        <v>140</v>
      </c>
      <c r="AA2497" s="1">
        <v>1.7073170731707317</v>
      </c>
      <c r="AB2497" s="1">
        <v>83.065536425808205</v>
      </c>
      <c r="AC2497" s="1">
        <v>139.9081295046949</v>
      </c>
      <c r="AD2497" s="1">
        <v>1.6843101907811899</v>
      </c>
      <c r="AE2497" t="s">
        <v>4817</v>
      </c>
      <c r="AF2497" t="str">
        <f>IF(X2497&lt;$AF$1,"Bajo","Alto")</f>
        <v>Bajo</v>
      </c>
      <c r="AG2497" t="str">
        <f>LEFT(AE2497,1)</f>
        <v>C</v>
      </c>
      <c r="AH2497" t="str">
        <f>K2497</f>
        <v>M</v>
      </c>
      <c r="AI2497" t="str">
        <f>LEFT(AF2497,1)</f>
        <v>B</v>
      </c>
      <c r="AJ2497" t="str">
        <f>LEFT(M2497,1)</f>
        <v>M</v>
      </c>
      <c r="AK2497" t="str">
        <f>_xlfn.CONCAT(AG2497,AH2497,AI2497,AJ2497)</f>
        <v>CMBM</v>
      </c>
    </row>
    <row r="2498" spans="1:37" ht="15.75" hidden="1" customHeight="1" x14ac:dyDescent="0.2">
      <c r="A2498" s="1">
        <v>643006</v>
      </c>
      <c r="B2498" s="1" t="s">
        <v>4718</v>
      </c>
      <c r="C2498" s="1" t="s">
        <v>710</v>
      </c>
      <c r="D2498" s="1" t="s">
        <v>4783</v>
      </c>
      <c r="E2498" s="1" t="s">
        <v>2381</v>
      </c>
      <c r="F2498" s="1" t="s">
        <v>88</v>
      </c>
      <c r="G2498" s="1" t="s">
        <v>4789</v>
      </c>
      <c r="H2498" s="1">
        <v>941</v>
      </c>
      <c r="I2498" s="1" t="s">
        <v>4790</v>
      </c>
      <c r="J2498" s="1">
        <v>4537</v>
      </c>
      <c r="K2498" s="1" t="s">
        <v>49</v>
      </c>
      <c r="L2498" s="1">
        <v>45</v>
      </c>
      <c r="M2498" s="1" t="str">
        <f>IF(L2498&lt;=45,"Joven","Mayor")</f>
        <v>Joven</v>
      </c>
      <c r="N2498" s="1">
        <v>47</v>
      </c>
      <c r="O2498" s="1" t="s">
        <v>50</v>
      </c>
      <c r="P2498" s="1">
        <v>0.35399999999999998</v>
      </c>
      <c r="Q2498" s="1">
        <v>88.775000000000006</v>
      </c>
      <c r="R2498" s="1">
        <v>-6.1527323999999997</v>
      </c>
      <c r="S2498" s="1">
        <v>4.43377</v>
      </c>
      <c r="T2498" s="1">
        <v>11.258687999999999</v>
      </c>
      <c r="U2498" s="1">
        <v>52.912999999999997</v>
      </c>
      <c r="V2498" s="1">
        <v>93</v>
      </c>
      <c r="W2498" s="1">
        <v>163</v>
      </c>
      <c r="X2498" s="1">
        <v>1.7526881720430108</v>
      </c>
      <c r="Y2498" s="1">
        <v>108</v>
      </c>
      <c r="Z2498" s="1">
        <v>163</v>
      </c>
      <c r="AA2498" s="1">
        <v>1.5092592592592593</v>
      </c>
      <c r="AB2498" s="1">
        <v>102.5341432102732</v>
      </c>
      <c r="AC2498" s="1">
        <v>164.54891391104141</v>
      </c>
      <c r="AD2498" s="1">
        <v>1.6048206846922262</v>
      </c>
      <c r="AE2498" t="s">
        <v>4817</v>
      </c>
      <c r="AF2498" t="str">
        <f>IF(X2498&lt;$AF$1,"Bajo","Alto")</f>
        <v>Bajo</v>
      </c>
      <c r="AG2498" t="str">
        <f>LEFT(AE2498,1)</f>
        <v>C</v>
      </c>
      <c r="AH2498" t="str">
        <f>K2498</f>
        <v>F</v>
      </c>
      <c r="AI2498" t="str">
        <f>LEFT(AF2498,1)</f>
        <v>B</v>
      </c>
      <c r="AJ2498" t="str">
        <f>LEFT(M2498,1)</f>
        <v>J</v>
      </c>
      <c r="AK2498" t="str">
        <f>_xlfn.CONCAT(AG2498,AH2498,AI2498,AJ2498)</f>
        <v>CFBJ</v>
      </c>
    </row>
    <row r="2499" spans="1:37" ht="15.75" hidden="1" customHeight="1" x14ac:dyDescent="0.2">
      <c r="A2499" s="1">
        <v>153704</v>
      </c>
      <c r="B2499" s="1" t="s">
        <v>2077</v>
      </c>
      <c r="C2499" s="1" t="s">
        <v>57</v>
      </c>
      <c r="D2499" s="1" t="s">
        <v>2450</v>
      </c>
      <c r="E2499" s="1" t="s">
        <v>647</v>
      </c>
      <c r="F2499" s="1" t="s">
        <v>61</v>
      </c>
      <c r="G2499" s="1" t="s">
        <v>2451</v>
      </c>
      <c r="H2499" s="1">
        <v>2083</v>
      </c>
      <c r="I2499" s="1" t="s">
        <v>2205</v>
      </c>
      <c r="J2499" s="1">
        <v>4456</v>
      </c>
      <c r="K2499" s="1" t="s">
        <v>49</v>
      </c>
      <c r="L2499" s="1">
        <v>41</v>
      </c>
      <c r="M2499" s="1" t="str">
        <f>IF(L2499&lt;=45,"Joven","Mayor")</f>
        <v>Joven</v>
      </c>
      <c r="N2499" s="1">
        <v>36</v>
      </c>
      <c r="O2499" s="1" t="s">
        <v>50</v>
      </c>
      <c r="P2499" s="1">
        <v>0.35599999999999998</v>
      </c>
      <c r="Q2499" s="1">
        <v>80.197999999999993</v>
      </c>
      <c r="R2499" s="1">
        <v>9.4108839999999994</v>
      </c>
      <c r="S2499" s="1">
        <v>7.0670276000000003</v>
      </c>
      <c r="T2499" s="1">
        <v>-2.5042243000000002</v>
      </c>
      <c r="U2499" s="1">
        <v>49.366</v>
      </c>
      <c r="V2499" s="1">
        <v>81</v>
      </c>
      <c r="W2499" s="1">
        <v>142</v>
      </c>
      <c r="X2499" s="1">
        <v>1.7530864197530864</v>
      </c>
      <c r="Y2499" s="1">
        <v>81</v>
      </c>
      <c r="Z2499" s="1">
        <v>142</v>
      </c>
      <c r="AA2499" s="1">
        <v>1.7530864197530864</v>
      </c>
      <c r="AB2499" s="1">
        <v>82.626673990491781</v>
      </c>
      <c r="AC2499" s="1">
        <v>141.95177650166619</v>
      </c>
      <c r="AD2499" s="1">
        <v>1.7179897198573091</v>
      </c>
      <c r="AE2499" t="s">
        <v>4817</v>
      </c>
      <c r="AF2499" t="str">
        <f>IF(X2499&lt;$AF$1,"Bajo","Alto")</f>
        <v>Bajo</v>
      </c>
      <c r="AG2499" t="str">
        <f>LEFT(AE2499,1)</f>
        <v>C</v>
      </c>
      <c r="AH2499" t="str">
        <f>K2499</f>
        <v>F</v>
      </c>
      <c r="AI2499" t="str">
        <f>LEFT(AF2499,1)</f>
        <v>B</v>
      </c>
      <c r="AJ2499" t="str">
        <f>LEFT(M2499,1)</f>
        <v>J</v>
      </c>
      <c r="AK2499" t="str">
        <f>_xlfn.CONCAT(AG2499,AH2499,AI2499,AJ2499)</f>
        <v>CFBJ</v>
      </c>
    </row>
    <row r="2500" spans="1:37" ht="15.75" hidden="1" customHeight="1" x14ac:dyDescent="0.2">
      <c r="A2500" s="1">
        <v>213004</v>
      </c>
      <c r="B2500" s="1" t="s">
        <v>2816</v>
      </c>
      <c r="C2500" s="1" t="s">
        <v>2817</v>
      </c>
      <c r="D2500" s="1" t="s">
        <v>2858</v>
      </c>
      <c r="E2500" s="1" t="s">
        <v>2381</v>
      </c>
      <c r="F2500" s="1" t="s">
        <v>61</v>
      </c>
      <c r="G2500" s="1" t="s">
        <v>2861</v>
      </c>
      <c r="H2500" s="1">
        <v>2806</v>
      </c>
      <c r="I2500" s="1" t="s">
        <v>45</v>
      </c>
      <c r="J2500" s="1">
        <v>17</v>
      </c>
      <c r="K2500" s="1" t="s">
        <v>35</v>
      </c>
      <c r="L2500" s="1">
        <v>42</v>
      </c>
      <c r="M2500" s="1" t="str">
        <f>IF(L2500&lt;=45,"Joven","Mayor")</f>
        <v>Joven</v>
      </c>
      <c r="N2500" s="1">
        <v>52</v>
      </c>
      <c r="O2500" s="1" t="s">
        <v>36</v>
      </c>
      <c r="P2500" s="1">
        <v>0.32900000000000001</v>
      </c>
      <c r="Q2500" s="1">
        <v>89.031999999999996</v>
      </c>
      <c r="R2500" s="1">
        <v>5.1545734000000003</v>
      </c>
      <c r="S2500" s="1">
        <v>6.8942722999999999</v>
      </c>
      <c r="T2500" s="1">
        <v>-5.5229100000000004</v>
      </c>
      <c r="U2500" s="1">
        <v>3.2610000000000001</v>
      </c>
      <c r="V2500" s="1">
        <v>100</v>
      </c>
      <c r="W2500" s="1">
        <v>179</v>
      </c>
      <c r="X2500" s="1">
        <v>1.79</v>
      </c>
      <c r="Y2500" s="1">
        <v>103</v>
      </c>
      <c r="Z2500" s="1">
        <v>179</v>
      </c>
      <c r="AA2500" s="1">
        <v>1.7378640776699028</v>
      </c>
      <c r="AB2500" s="1">
        <v>107.0453094924749</v>
      </c>
      <c r="AC2500" s="1">
        <v>177.97655767928791</v>
      </c>
      <c r="AD2500" s="1">
        <v>1.6626282694974071</v>
      </c>
      <c r="AE2500" t="s">
        <v>4817</v>
      </c>
      <c r="AF2500" t="str">
        <f>IF(X2500&lt;$AF$1,"Bajo","Alto")</f>
        <v>Alto</v>
      </c>
      <c r="AG2500" t="str">
        <f>LEFT(AE2500,1)</f>
        <v>C</v>
      </c>
      <c r="AH2500" t="str">
        <f>K2500</f>
        <v>M</v>
      </c>
      <c r="AI2500" t="str">
        <f>LEFT(AF2500,1)</f>
        <v>A</v>
      </c>
      <c r="AJ2500" t="str">
        <f>LEFT(M2500,1)</f>
        <v>J</v>
      </c>
      <c r="AK2500" t="str">
        <f>_xlfn.CONCAT(AG2500,AH2500,AI2500,AJ2500)</f>
        <v>CMAJ</v>
      </c>
    </row>
    <row r="2501" spans="1:37" ht="15.75" hidden="1" customHeight="1" x14ac:dyDescent="0.2">
      <c r="A2501" s="1">
        <v>313405</v>
      </c>
      <c r="B2501" s="1" t="s">
        <v>4122</v>
      </c>
      <c r="C2501" s="1" t="s">
        <v>628</v>
      </c>
      <c r="D2501" s="1" t="s">
        <v>4206</v>
      </c>
      <c r="E2501" s="1" t="s">
        <v>634</v>
      </c>
      <c r="F2501" s="1" t="s">
        <v>40</v>
      </c>
      <c r="G2501" s="1" t="s">
        <v>4209</v>
      </c>
      <c r="H2501" s="1">
        <v>17623</v>
      </c>
      <c r="I2501" s="1" t="s">
        <v>91</v>
      </c>
      <c r="J2501" s="1">
        <v>6</v>
      </c>
      <c r="K2501" s="1" t="s">
        <v>35</v>
      </c>
      <c r="L2501" s="1">
        <v>34</v>
      </c>
      <c r="M2501" s="1" t="str">
        <f>IF(L2501&lt;=45,"Joven","Mayor")</f>
        <v>Joven</v>
      </c>
      <c r="N2501" s="1">
        <v>38</v>
      </c>
      <c r="O2501" s="1" t="s">
        <v>36</v>
      </c>
      <c r="P2501" s="1">
        <v>0.36099999999999999</v>
      </c>
      <c r="Q2501" s="1">
        <v>90.120999999999995</v>
      </c>
      <c r="R2501" s="1">
        <v>4.9342427000000004</v>
      </c>
      <c r="S2501" s="1">
        <v>5.0979590000000004</v>
      </c>
      <c r="T2501" s="1">
        <v>-1.6390450999999999</v>
      </c>
      <c r="U2501" s="1">
        <v>5.5270000000000001</v>
      </c>
      <c r="V2501" s="1">
        <v>95</v>
      </c>
      <c r="W2501" s="1">
        <v>170</v>
      </c>
      <c r="X2501" s="1">
        <v>1.7894736842105263</v>
      </c>
      <c r="Y2501" s="1">
        <v>96</v>
      </c>
      <c r="Z2501" s="1">
        <v>170</v>
      </c>
      <c r="AA2501" s="1">
        <v>1.7708333333333333</v>
      </c>
      <c r="AB2501" s="1">
        <v>97.305055214945924</v>
      </c>
      <c r="AC2501" s="1">
        <v>169.90184256891641</v>
      </c>
      <c r="AD2501" s="1">
        <v>1.7460741602130012</v>
      </c>
      <c r="AE2501" t="s">
        <v>4817</v>
      </c>
      <c r="AF2501" t="str">
        <f>IF(X2501&lt;$AF$1,"Bajo","Alto")</f>
        <v>Alto</v>
      </c>
      <c r="AG2501" t="str">
        <f>LEFT(AE2501,1)</f>
        <v>C</v>
      </c>
      <c r="AH2501" t="str">
        <f>K2501</f>
        <v>M</v>
      </c>
      <c r="AI2501" t="str">
        <f>LEFT(AF2501,1)</f>
        <v>A</v>
      </c>
      <c r="AJ2501" t="str">
        <f>LEFT(M2501,1)</f>
        <v>J</v>
      </c>
      <c r="AK2501" t="str">
        <f>_xlfn.CONCAT(AG2501,AH2501,AI2501,AJ2501)</f>
        <v>CMAJ</v>
      </c>
    </row>
    <row r="2502" spans="1:37" ht="15.75" hidden="1" customHeight="1" x14ac:dyDescent="0.2">
      <c r="A2502" s="1">
        <v>274601</v>
      </c>
      <c r="B2502" s="1" t="s">
        <v>3409</v>
      </c>
      <c r="C2502" s="1" t="s">
        <v>973</v>
      </c>
      <c r="D2502" s="1" t="s">
        <v>780</v>
      </c>
      <c r="E2502" s="1" t="s">
        <v>669</v>
      </c>
      <c r="F2502" s="1" t="s">
        <v>32</v>
      </c>
      <c r="G2502" s="1" t="s">
        <v>3688</v>
      </c>
      <c r="H2502" s="1">
        <v>129</v>
      </c>
      <c r="I2502" s="1" t="s">
        <v>108</v>
      </c>
      <c r="J2502" s="1">
        <v>3</v>
      </c>
      <c r="K2502" s="1" t="s">
        <v>35</v>
      </c>
      <c r="L2502" s="1">
        <v>45</v>
      </c>
      <c r="M2502" s="1" t="str">
        <f>IF(L2502&lt;=45,"Joven","Mayor")</f>
        <v>Joven</v>
      </c>
      <c r="N2502" s="1">
        <v>49</v>
      </c>
      <c r="O2502" s="1" t="s">
        <v>36</v>
      </c>
      <c r="P2502" s="1">
        <v>0.06</v>
      </c>
      <c r="Q2502" s="1">
        <v>92.692999999999998</v>
      </c>
      <c r="R2502" s="1">
        <v>2.8481709999999998</v>
      </c>
      <c r="S2502" s="1">
        <v>-3.6647968</v>
      </c>
      <c r="T2502" s="1">
        <v>-4.3637290000000002</v>
      </c>
      <c r="U2502" s="1">
        <v>11.965</v>
      </c>
      <c r="V2502" s="1">
        <v>109</v>
      </c>
      <c r="W2502" s="1">
        <v>195</v>
      </c>
      <c r="X2502" s="1">
        <v>1.7889908256880733</v>
      </c>
      <c r="Y2502" s="1">
        <v>110</v>
      </c>
      <c r="Z2502" s="1">
        <v>195</v>
      </c>
      <c r="AA2502" s="1">
        <v>1.7727272727272727</v>
      </c>
      <c r="AB2502" s="1">
        <v>112.48841351185089</v>
      </c>
      <c r="AC2502" s="1">
        <v>194.43471826253469</v>
      </c>
      <c r="AD2502" s="1">
        <v>1.7284866253540911</v>
      </c>
      <c r="AE2502" t="s">
        <v>4817</v>
      </c>
      <c r="AF2502" t="str">
        <f>IF(X2502&lt;$AF$1,"Bajo","Alto")</f>
        <v>Alto</v>
      </c>
      <c r="AG2502" t="str">
        <f>LEFT(AE2502,1)</f>
        <v>C</v>
      </c>
      <c r="AH2502" t="str">
        <f>K2502</f>
        <v>M</v>
      </c>
      <c r="AI2502" t="str">
        <f>LEFT(AF2502,1)</f>
        <v>A</v>
      </c>
      <c r="AJ2502" t="str">
        <f>LEFT(M2502,1)</f>
        <v>J</v>
      </c>
      <c r="AK2502" t="str">
        <f>_xlfn.CONCAT(AG2502,AH2502,AI2502,AJ2502)</f>
        <v>CMAJ</v>
      </c>
    </row>
    <row r="2503" spans="1:37" ht="15.75" hidden="1" customHeight="1" x14ac:dyDescent="0.2">
      <c r="A2503" s="1">
        <v>314002</v>
      </c>
      <c r="B2503" s="1" t="s">
        <v>4122</v>
      </c>
      <c r="C2503" s="1" t="s">
        <v>628</v>
      </c>
      <c r="D2503" s="1" t="s">
        <v>4214</v>
      </c>
      <c r="E2503" s="1" t="s">
        <v>657</v>
      </c>
      <c r="F2503" s="1" t="s">
        <v>37</v>
      </c>
      <c r="G2503" s="1" t="s">
        <v>4215</v>
      </c>
      <c r="H2503" s="1">
        <v>2542</v>
      </c>
      <c r="I2503" s="1" t="s">
        <v>39</v>
      </c>
      <c r="J2503" s="1">
        <v>11</v>
      </c>
      <c r="K2503" s="1" t="s">
        <v>35</v>
      </c>
      <c r="L2503" s="1">
        <v>41</v>
      </c>
      <c r="M2503" s="1" t="str">
        <f>IF(L2503&lt;=45,"Joven","Mayor")</f>
        <v>Joven</v>
      </c>
      <c r="N2503" s="1">
        <v>37</v>
      </c>
      <c r="O2503" s="1" t="s">
        <v>36</v>
      </c>
      <c r="P2503" s="1">
        <v>0.316</v>
      </c>
      <c r="Q2503" s="1">
        <v>81.846999999999994</v>
      </c>
      <c r="R2503" s="1">
        <v>9.8603240000000003</v>
      </c>
      <c r="S2503" s="1">
        <v>2.3981518999999998</v>
      </c>
      <c r="T2503" s="1">
        <v>-0.49543354000000001</v>
      </c>
      <c r="U2503" s="1">
        <v>2.2970000000000002</v>
      </c>
      <c r="V2503" s="1">
        <v>96</v>
      </c>
      <c r="W2503" s="1">
        <v>173</v>
      </c>
      <c r="X2503" s="1">
        <v>1.8020833333333333</v>
      </c>
      <c r="Y2503" s="1">
        <v>97</v>
      </c>
      <c r="Z2503" s="1">
        <v>173</v>
      </c>
      <c r="AA2503" s="1">
        <v>1.7835051546391754</v>
      </c>
      <c r="AB2503" s="1">
        <v>96.529444400795228</v>
      </c>
      <c r="AC2503" s="1">
        <v>172.94165143019521</v>
      </c>
      <c r="AD2503" s="1">
        <v>1.7915948082341857</v>
      </c>
      <c r="AE2503" t="s">
        <v>4816</v>
      </c>
      <c r="AF2503" t="str">
        <f>IF(X2503&lt;$AF$1,"Bajo","Alto")</f>
        <v>Alto</v>
      </c>
      <c r="AG2503" t="str">
        <f>LEFT(AE2503,1)</f>
        <v>D</v>
      </c>
      <c r="AH2503" t="str">
        <f>K2503</f>
        <v>M</v>
      </c>
      <c r="AI2503" t="str">
        <f>LEFT(AF2503,1)</f>
        <v>A</v>
      </c>
      <c r="AJ2503" t="str">
        <f>LEFT(M2503,1)</f>
        <v>J</v>
      </c>
      <c r="AK2503" t="str">
        <f>_xlfn.CONCAT(AG2503,AH2503,AI2503,AJ2503)</f>
        <v>DMAJ</v>
      </c>
    </row>
    <row r="2504" spans="1:37" ht="15.75" hidden="1" customHeight="1" x14ac:dyDescent="0.2">
      <c r="A2504" s="1">
        <v>111602</v>
      </c>
      <c r="B2504" s="1" t="s">
        <v>1648</v>
      </c>
      <c r="C2504" s="1" t="s">
        <v>51</v>
      </c>
      <c r="D2504" s="1" t="s">
        <v>1674</v>
      </c>
      <c r="E2504" s="1" t="s">
        <v>244</v>
      </c>
      <c r="F2504" s="1" t="s">
        <v>37</v>
      </c>
      <c r="G2504" s="1" t="s">
        <v>1676</v>
      </c>
      <c r="H2504" s="1">
        <v>6025</v>
      </c>
      <c r="I2504" s="1" t="s">
        <v>85</v>
      </c>
      <c r="J2504" s="1">
        <v>12</v>
      </c>
      <c r="K2504" s="1" t="s">
        <v>35</v>
      </c>
      <c r="L2504" s="1">
        <v>49</v>
      </c>
      <c r="M2504" s="1" t="str">
        <f>IF(L2504&lt;=45,"Joven","Mayor")</f>
        <v>Mayor</v>
      </c>
      <c r="N2504" s="1">
        <v>48</v>
      </c>
      <c r="O2504" s="1" t="s">
        <v>36</v>
      </c>
      <c r="P2504" s="1">
        <v>1.887</v>
      </c>
      <c r="Q2504" s="1">
        <v>93.634</v>
      </c>
      <c r="R2504" s="1">
        <v>-0.64766840000000003</v>
      </c>
      <c r="S2504" s="1">
        <v>3.5462216999999998</v>
      </c>
      <c r="T2504" s="1">
        <v>-1.0635641</v>
      </c>
      <c r="U2504" s="1">
        <v>47.167000000000002</v>
      </c>
      <c r="V2504" s="1">
        <v>95</v>
      </c>
      <c r="W2504" s="1">
        <v>166</v>
      </c>
      <c r="X2504" s="1">
        <v>1.7473684210526317</v>
      </c>
      <c r="Y2504" s="1">
        <v>95</v>
      </c>
      <c r="Z2504" s="1">
        <v>166</v>
      </c>
      <c r="AA2504" s="1">
        <v>1.7473684210526317</v>
      </c>
      <c r="AB2504" s="1">
        <v>95.911714687853646</v>
      </c>
      <c r="AC2504" s="1">
        <v>166.02708609554159</v>
      </c>
      <c r="AD2504" s="1">
        <v>1.7310407455010022</v>
      </c>
      <c r="AE2504" t="s">
        <v>4815</v>
      </c>
      <c r="AF2504" t="str">
        <f>IF(X2504&lt;$AF$1,"Bajo","Alto")</f>
        <v>Bajo</v>
      </c>
      <c r="AG2504" t="str">
        <f>LEFT(AE2504,1)</f>
        <v>I</v>
      </c>
      <c r="AH2504" t="str">
        <f>K2504</f>
        <v>M</v>
      </c>
      <c r="AI2504" t="str">
        <f>LEFT(AF2504,1)</f>
        <v>B</v>
      </c>
      <c r="AJ2504" t="str">
        <f>LEFT(M2504,1)</f>
        <v>M</v>
      </c>
      <c r="AK2504" t="str">
        <f>_xlfn.CONCAT(AG2504,AH2504,AI2504,AJ2504)</f>
        <v>IMBM</v>
      </c>
    </row>
    <row r="2505" spans="1:37" ht="15.75" hidden="1" customHeight="1" x14ac:dyDescent="0.2">
      <c r="A2505" s="1">
        <v>10715704</v>
      </c>
      <c r="B2505" s="1" t="s">
        <v>1067</v>
      </c>
      <c r="C2505" s="1" t="s">
        <v>1068</v>
      </c>
      <c r="D2505" s="1" t="s">
        <v>1146</v>
      </c>
      <c r="E2505" s="1" t="s">
        <v>229</v>
      </c>
      <c r="F2505" s="1" t="s">
        <v>61</v>
      </c>
      <c r="G2505" s="1" t="s">
        <v>1150</v>
      </c>
      <c r="H2505" s="1">
        <v>539</v>
      </c>
      <c r="I2505" s="1" t="s">
        <v>1151</v>
      </c>
      <c r="J2505" s="1">
        <v>3644</v>
      </c>
      <c r="K2505" s="1" t="s">
        <v>35</v>
      </c>
      <c r="L2505" s="1">
        <v>34</v>
      </c>
      <c r="M2505" s="1" t="str">
        <f>IF(L2505&lt;=45,"Joven","Mayor")</f>
        <v>Joven</v>
      </c>
      <c r="N2505" s="1">
        <v>37</v>
      </c>
      <c r="O2505" s="1" t="s">
        <v>36</v>
      </c>
      <c r="P2505" s="1">
        <v>1.524</v>
      </c>
      <c r="Q2505" s="1">
        <v>88.504999999999995</v>
      </c>
      <c r="R2505" s="1">
        <v>-6.5547449999999996</v>
      </c>
      <c r="S2505" s="1">
        <v>-2.3001130000000001</v>
      </c>
      <c r="T2505" s="1">
        <v>3.7899769999999999</v>
      </c>
      <c r="U2505" s="1">
        <v>6.69</v>
      </c>
      <c r="V2505" s="1">
        <v>93</v>
      </c>
      <c r="W2505" s="1">
        <v>163</v>
      </c>
      <c r="X2505" s="1">
        <v>1.7526881720430108</v>
      </c>
      <c r="Y2505" s="1">
        <v>96</v>
      </c>
      <c r="Z2505" s="1">
        <v>163</v>
      </c>
      <c r="AA2505" s="1">
        <v>1.6979166666666667</v>
      </c>
      <c r="AB2505" s="1">
        <v>98.103529711423107</v>
      </c>
      <c r="AC2505" s="1">
        <v>162.77572529610691</v>
      </c>
      <c r="AD2505" s="1">
        <v>1.6592239420428663</v>
      </c>
      <c r="AE2505" t="s">
        <v>4817</v>
      </c>
      <c r="AF2505" t="str">
        <f>IF(X2505&lt;$AF$1,"Bajo","Alto")</f>
        <v>Bajo</v>
      </c>
      <c r="AG2505" t="str">
        <f>LEFT(AE2505,1)</f>
        <v>C</v>
      </c>
      <c r="AH2505" t="str">
        <f>K2505</f>
        <v>M</v>
      </c>
      <c r="AI2505" t="str">
        <f>LEFT(AF2505,1)</f>
        <v>B</v>
      </c>
      <c r="AJ2505" t="str">
        <f>LEFT(M2505,1)</f>
        <v>J</v>
      </c>
      <c r="AK2505" t="str">
        <f>_xlfn.CONCAT(AG2505,AH2505,AI2505,AJ2505)</f>
        <v>CMBJ</v>
      </c>
    </row>
    <row r="2506" spans="1:37" ht="15.75" hidden="1" customHeight="1" x14ac:dyDescent="0.2">
      <c r="A2506" s="1">
        <v>10117805</v>
      </c>
      <c r="B2506" s="1" t="s">
        <v>29</v>
      </c>
      <c r="C2506" s="1" t="s">
        <v>30</v>
      </c>
      <c r="D2506" s="1" t="s">
        <v>299</v>
      </c>
      <c r="E2506" s="1" t="s">
        <v>300</v>
      </c>
      <c r="F2506" s="1" t="s">
        <v>40</v>
      </c>
      <c r="G2506" s="1" t="s">
        <v>303</v>
      </c>
      <c r="H2506" s="1">
        <v>3891</v>
      </c>
      <c r="I2506" s="1" t="s">
        <v>304</v>
      </c>
      <c r="J2506" s="1">
        <v>182</v>
      </c>
      <c r="K2506" s="1" t="s">
        <v>35</v>
      </c>
      <c r="L2506" s="1">
        <v>26</v>
      </c>
      <c r="M2506" s="1" t="str">
        <f>IF(L2506&lt;=45,"Joven","Mayor")</f>
        <v>Joven</v>
      </c>
      <c r="N2506" s="1">
        <v>36</v>
      </c>
      <c r="O2506" s="1" t="s">
        <v>36</v>
      </c>
      <c r="P2506" s="1">
        <v>0.54100000000000004</v>
      </c>
      <c r="Q2506" s="1">
        <v>92.783000000000001</v>
      </c>
      <c r="R2506" s="1">
        <v>2.8086011000000002</v>
      </c>
      <c r="S2506" s="1">
        <v>-2.9280149999999998</v>
      </c>
      <c r="T2506" s="1">
        <v>0.51908410000000005</v>
      </c>
      <c r="U2506" s="1">
        <v>3.4369999999999998</v>
      </c>
      <c r="V2506" s="1">
        <v>104</v>
      </c>
      <c r="W2506" s="1">
        <v>186</v>
      </c>
      <c r="X2506" s="1">
        <v>1.7884615384615385</v>
      </c>
      <c r="Y2506" s="1">
        <v>108</v>
      </c>
      <c r="Z2506" s="1">
        <v>186</v>
      </c>
      <c r="AA2506" s="1">
        <v>1.7222222222222223</v>
      </c>
      <c r="AB2506" s="1">
        <v>108.47572672676731</v>
      </c>
      <c r="AC2506" s="1">
        <v>185.9561283272387</v>
      </c>
      <c r="AD2506" s="1">
        <v>1.7142648769307802</v>
      </c>
      <c r="AE2506" t="s">
        <v>4817</v>
      </c>
      <c r="AF2506" t="str">
        <f>IF(X2506&lt;$AF$1,"Bajo","Alto")</f>
        <v>Alto</v>
      </c>
      <c r="AG2506" t="str">
        <f>LEFT(AE2506,1)</f>
        <v>C</v>
      </c>
      <c r="AH2506" t="str">
        <f>K2506</f>
        <v>M</v>
      </c>
      <c r="AI2506" t="str">
        <f>LEFT(AF2506,1)</f>
        <v>A</v>
      </c>
      <c r="AJ2506" t="str">
        <f>LEFT(M2506,1)</f>
        <v>J</v>
      </c>
      <c r="AK2506" t="str">
        <f>_xlfn.CONCAT(AG2506,AH2506,AI2506,AJ2506)</f>
        <v>CMAJ</v>
      </c>
    </row>
    <row r="2507" spans="1:37" ht="15.75" hidden="1" customHeight="1" x14ac:dyDescent="0.2">
      <c r="A2507" s="1">
        <v>154307</v>
      </c>
      <c r="B2507" s="1" t="s">
        <v>2077</v>
      </c>
      <c r="C2507" s="1" t="s">
        <v>57</v>
      </c>
      <c r="D2507" s="1" t="s">
        <v>2457</v>
      </c>
      <c r="E2507" s="1" t="s">
        <v>665</v>
      </c>
      <c r="F2507" s="1" t="s">
        <v>43</v>
      </c>
      <c r="G2507" s="1" t="s">
        <v>2462</v>
      </c>
      <c r="H2507" s="1">
        <v>3350</v>
      </c>
      <c r="I2507" s="1" t="s">
        <v>2463</v>
      </c>
      <c r="J2507" s="1">
        <v>3156</v>
      </c>
      <c r="K2507" s="1" t="s">
        <v>35</v>
      </c>
      <c r="L2507" s="1">
        <v>34</v>
      </c>
      <c r="M2507" s="1" t="str">
        <f>IF(L2507&lt;=45,"Joven","Mayor")</f>
        <v>Joven</v>
      </c>
      <c r="N2507" s="1">
        <v>38</v>
      </c>
      <c r="O2507" s="1" t="s">
        <v>36</v>
      </c>
      <c r="P2507" s="1">
        <v>0.19</v>
      </c>
      <c r="Q2507" s="1">
        <v>94.046999999999997</v>
      </c>
      <c r="R2507" s="1">
        <v>0.85019803000000005</v>
      </c>
      <c r="S2507" s="1">
        <v>3.0925908</v>
      </c>
      <c r="T2507" s="1">
        <v>-2.9668554999999999</v>
      </c>
      <c r="U2507" s="1">
        <v>4.6219999999999999</v>
      </c>
      <c r="V2507" s="1">
        <v>93</v>
      </c>
      <c r="W2507" s="1">
        <v>163</v>
      </c>
      <c r="X2507" s="1">
        <v>1.7526881720430108</v>
      </c>
      <c r="Y2507" s="1">
        <v>97</v>
      </c>
      <c r="Z2507" s="1">
        <v>163</v>
      </c>
      <c r="AA2507" s="1">
        <v>1.6804123711340206</v>
      </c>
      <c r="AB2507" s="1">
        <v>95.204468483383152</v>
      </c>
      <c r="AC2507" s="1">
        <v>163.29910440559431</v>
      </c>
      <c r="AD2507" s="1">
        <v>1.7152462169787366</v>
      </c>
      <c r="AE2507" t="s">
        <v>4817</v>
      </c>
      <c r="AF2507" t="str">
        <f>IF(X2507&lt;$AF$1,"Bajo","Alto")</f>
        <v>Bajo</v>
      </c>
      <c r="AG2507" t="str">
        <f>LEFT(AE2507,1)</f>
        <v>C</v>
      </c>
      <c r="AH2507" t="str">
        <f>K2507</f>
        <v>M</v>
      </c>
      <c r="AI2507" t="str">
        <f>LEFT(AF2507,1)</f>
        <v>B</v>
      </c>
      <c r="AJ2507" t="str">
        <f>LEFT(M2507,1)</f>
        <v>J</v>
      </c>
      <c r="AK2507" t="str">
        <f>_xlfn.CONCAT(AG2507,AH2507,AI2507,AJ2507)</f>
        <v>CMBJ</v>
      </c>
    </row>
    <row r="2508" spans="1:37" ht="15.75" hidden="1" customHeight="1" x14ac:dyDescent="0.2">
      <c r="A2508" s="1">
        <v>193401</v>
      </c>
      <c r="B2508" s="1" t="s">
        <v>2656</v>
      </c>
      <c r="C2508" s="1" t="s">
        <v>323</v>
      </c>
      <c r="D2508" s="1" t="s">
        <v>2702</v>
      </c>
      <c r="E2508" s="1" t="s">
        <v>634</v>
      </c>
      <c r="F2508" s="1" t="s">
        <v>32</v>
      </c>
      <c r="G2508" s="1" t="s">
        <v>2703</v>
      </c>
      <c r="H2508" s="1">
        <v>14098</v>
      </c>
      <c r="I2508" s="1" t="s">
        <v>39</v>
      </c>
      <c r="J2508" s="1">
        <v>11</v>
      </c>
      <c r="K2508" s="1" t="s">
        <v>35</v>
      </c>
      <c r="L2508" s="1">
        <v>43</v>
      </c>
      <c r="M2508" s="1" t="str">
        <f>IF(L2508&lt;=45,"Joven","Mayor")</f>
        <v>Joven</v>
      </c>
      <c r="N2508" s="1">
        <v>35</v>
      </c>
      <c r="O2508" s="1" t="s">
        <v>36</v>
      </c>
      <c r="P2508" s="1">
        <v>0.39300000000000002</v>
      </c>
      <c r="Q2508" s="1">
        <v>21.312999999999999</v>
      </c>
      <c r="R2508" s="1">
        <v>19.668555999999999</v>
      </c>
      <c r="S2508" s="1">
        <v>2.6392755999999999</v>
      </c>
      <c r="T2508" s="1">
        <v>-2.7149047999999998</v>
      </c>
      <c r="U2508" s="1">
        <v>16.73</v>
      </c>
      <c r="V2508" s="1">
        <v>90</v>
      </c>
      <c r="W2508" s="1">
        <v>162</v>
      </c>
      <c r="X2508" s="1">
        <v>1.8</v>
      </c>
      <c r="Y2508" s="1">
        <v>92</v>
      </c>
      <c r="Z2508" s="1">
        <v>162</v>
      </c>
      <c r="AA2508" s="1">
        <v>1.7608695652173914</v>
      </c>
      <c r="AB2508" s="1">
        <v>91.888367352227078</v>
      </c>
      <c r="AC2508" s="1">
        <v>161.8181690929878</v>
      </c>
      <c r="AD2508" s="1">
        <v>1.7610299731706556</v>
      </c>
      <c r="AE2508" t="s">
        <v>4816</v>
      </c>
      <c r="AF2508" t="str">
        <f>IF(X2508&lt;$AF$1,"Bajo","Alto")</f>
        <v>Alto</v>
      </c>
      <c r="AG2508" t="str">
        <f>LEFT(AE2508,1)</f>
        <v>D</v>
      </c>
      <c r="AH2508" t="str">
        <f>K2508</f>
        <v>M</v>
      </c>
      <c r="AI2508" t="str">
        <f>LEFT(AF2508,1)</f>
        <v>A</v>
      </c>
      <c r="AJ2508" t="str">
        <f>LEFT(M2508,1)</f>
        <v>J</v>
      </c>
      <c r="AK2508" t="str">
        <f>_xlfn.CONCAT(AG2508,AH2508,AI2508,AJ2508)</f>
        <v>DMAJ</v>
      </c>
    </row>
    <row r="2509" spans="1:37" ht="15.75" hidden="1" customHeight="1" x14ac:dyDescent="0.2">
      <c r="A2509" s="1">
        <v>284003</v>
      </c>
      <c r="B2509" s="1" t="s">
        <v>1775</v>
      </c>
      <c r="C2509" s="1" t="s">
        <v>561</v>
      </c>
      <c r="D2509" s="1" t="s">
        <v>3852</v>
      </c>
      <c r="E2509" s="1" t="s">
        <v>657</v>
      </c>
      <c r="F2509" s="1" t="s">
        <v>63</v>
      </c>
      <c r="G2509" s="1" t="s">
        <v>3853</v>
      </c>
      <c r="H2509" s="1">
        <v>2462</v>
      </c>
      <c r="I2509" s="1" t="s">
        <v>91</v>
      </c>
      <c r="J2509" s="1">
        <v>6</v>
      </c>
      <c r="K2509" s="1" t="s">
        <v>35</v>
      </c>
      <c r="L2509" s="1">
        <v>40</v>
      </c>
      <c r="M2509" s="1" t="str">
        <f>IF(L2509&lt;=45,"Joven","Mayor")</f>
        <v>Joven</v>
      </c>
      <c r="N2509" s="1">
        <v>35</v>
      </c>
      <c r="O2509" s="1" t="s">
        <v>36</v>
      </c>
      <c r="P2509" s="1">
        <v>0.39700000000000002</v>
      </c>
      <c r="Q2509" s="1">
        <v>93.793999999999997</v>
      </c>
      <c r="R2509" s="1">
        <v>1.4889786</v>
      </c>
      <c r="S2509" s="1">
        <v>2.44008</v>
      </c>
      <c r="T2509" s="1">
        <v>-6.5162810000000002E-2</v>
      </c>
      <c r="U2509" s="1">
        <v>21.553999999999998</v>
      </c>
      <c r="V2509" s="1">
        <v>89</v>
      </c>
      <c r="W2509" s="1">
        <v>156</v>
      </c>
      <c r="X2509" s="1">
        <v>1.752808988764045</v>
      </c>
      <c r="Y2509" s="1">
        <v>90</v>
      </c>
      <c r="Z2509" s="1">
        <v>156</v>
      </c>
      <c r="AA2509" s="1">
        <v>1.7333333333333334</v>
      </c>
      <c r="AB2509" s="1">
        <v>89.955586885898811</v>
      </c>
      <c r="AC2509" s="1">
        <v>155.99989910981961</v>
      </c>
      <c r="AD2509" s="1">
        <v>1.7341879977693051</v>
      </c>
      <c r="AE2509" t="s">
        <v>4817</v>
      </c>
      <c r="AF2509" t="str">
        <f>IF(X2509&lt;$AF$1,"Bajo","Alto")</f>
        <v>Bajo</v>
      </c>
      <c r="AG2509" t="str">
        <f>LEFT(AE2509,1)</f>
        <v>C</v>
      </c>
      <c r="AH2509" t="str">
        <f>K2509</f>
        <v>M</v>
      </c>
      <c r="AI2509" t="str">
        <f>LEFT(AF2509,1)</f>
        <v>B</v>
      </c>
      <c r="AJ2509" t="str">
        <f>LEFT(M2509,1)</f>
        <v>J</v>
      </c>
      <c r="AK2509" t="str">
        <f>_xlfn.CONCAT(AG2509,AH2509,AI2509,AJ2509)</f>
        <v>CMBJ</v>
      </c>
    </row>
    <row r="2510" spans="1:37" ht="15.75" hidden="1" customHeight="1" x14ac:dyDescent="0.2">
      <c r="A2510" s="1">
        <v>271005</v>
      </c>
      <c r="B2510" s="1" t="s">
        <v>3409</v>
      </c>
      <c r="C2510" s="1" t="s">
        <v>973</v>
      </c>
      <c r="D2510" s="1" t="s">
        <v>3427</v>
      </c>
      <c r="E2510" s="1" t="s">
        <v>75</v>
      </c>
      <c r="F2510" s="1" t="s">
        <v>40</v>
      </c>
      <c r="G2510" s="1" t="s">
        <v>3432</v>
      </c>
      <c r="H2510" s="1">
        <v>24</v>
      </c>
      <c r="I2510" s="1" t="s">
        <v>134</v>
      </c>
      <c r="J2510" s="1">
        <v>8</v>
      </c>
      <c r="K2510" s="1" t="s">
        <v>35</v>
      </c>
      <c r="L2510" s="1">
        <v>47</v>
      </c>
      <c r="M2510" s="1" t="str">
        <f>IF(L2510&lt;=45,"Joven","Mayor")</f>
        <v>Mayor</v>
      </c>
      <c r="N2510" s="1">
        <v>57</v>
      </c>
      <c r="O2510" s="1" t="s">
        <v>36</v>
      </c>
      <c r="P2510" s="1">
        <v>0.35699999999999998</v>
      </c>
      <c r="Q2510" s="1">
        <v>91.072999999999993</v>
      </c>
      <c r="R2510" s="1">
        <v>4.2808976000000003</v>
      </c>
      <c r="S2510" s="1">
        <v>-4.4994459999999998</v>
      </c>
      <c r="T2510" s="1">
        <v>-1.7575442999999999</v>
      </c>
      <c r="U2510" s="1">
        <v>22.195</v>
      </c>
      <c r="V2510" s="1">
        <v>137</v>
      </c>
      <c r="W2510" s="1">
        <v>240</v>
      </c>
      <c r="X2510" s="1">
        <v>1.7518248175182483</v>
      </c>
      <c r="Y2510" s="1">
        <v>141</v>
      </c>
      <c r="Z2510" s="1">
        <v>240</v>
      </c>
      <c r="AA2510" s="1">
        <v>1.7021276595744681</v>
      </c>
      <c r="AB2510" s="1">
        <v>139.21614114527009</v>
      </c>
      <c r="AC2510" s="1">
        <v>240.13245565398529</v>
      </c>
      <c r="AD2510" s="1">
        <v>1.7248894681214475</v>
      </c>
      <c r="AE2510" t="s">
        <v>4817</v>
      </c>
      <c r="AF2510" t="str">
        <f>IF(X2510&lt;$AF$1,"Bajo","Alto")</f>
        <v>Bajo</v>
      </c>
      <c r="AG2510" t="str">
        <f>LEFT(AE2510,1)</f>
        <v>C</v>
      </c>
      <c r="AH2510" t="str">
        <f>K2510</f>
        <v>M</v>
      </c>
      <c r="AI2510" t="str">
        <f>LEFT(AF2510,1)</f>
        <v>B</v>
      </c>
      <c r="AJ2510" t="str">
        <f>LEFT(M2510,1)</f>
        <v>M</v>
      </c>
      <c r="AK2510" t="str">
        <f>_xlfn.CONCAT(AG2510,AH2510,AI2510,AJ2510)</f>
        <v>CMBM</v>
      </c>
    </row>
    <row r="2511" spans="1:37" ht="15.75" hidden="1" customHeight="1" x14ac:dyDescent="0.2">
      <c r="A2511" s="1">
        <v>159404</v>
      </c>
      <c r="B2511" s="1" t="s">
        <v>2077</v>
      </c>
      <c r="C2511" s="1" t="s">
        <v>57</v>
      </c>
      <c r="D2511" s="1" t="s">
        <v>2539</v>
      </c>
      <c r="E2511" s="1" t="s">
        <v>775</v>
      </c>
      <c r="F2511" s="1" t="s">
        <v>61</v>
      </c>
      <c r="G2511" s="1" t="s">
        <v>2541</v>
      </c>
      <c r="H2511" s="1">
        <v>13836</v>
      </c>
      <c r="I2511" s="1" t="s">
        <v>48</v>
      </c>
      <c r="J2511" s="1">
        <v>4</v>
      </c>
      <c r="K2511" s="1" t="s">
        <v>35</v>
      </c>
      <c r="L2511" s="1">
        <v>28</v>
      </c>
      <c r="M2511" s="1" t="str">
        <f>IF(L2511&lt;=45,"Joven","Mayor")</f>
        <v>Joven</v>
      </c>
      <c r="N2511" s="1">
        <v>36</v>
      </c>
      <c r="O2511" s="1" t="s">
        <v>36</v>
      </c>
      <c r="P2511" s="1">
        <v>0.70599999999999996</v>
      </c>
      <c r="Q2511" s="1">
        <v>92.26</v>
      </c>
      <c r="R2511" s="1">
        <v>3.9861119</v>
      </c>
      <c r="S2511" s="1">
        <v>0.83497953000000003</v>
      </c>
      <c r="T2511" s="1">
        <v>-0.42834162999999997</v>
      </c>
      <c r="U2511" s="1">
        <v>33.823</v>
      </c>
      <c r="V2511" s="1">
        <v>81</v>
      </c>
      <c r="W2511" s="1">
        <v>142</v>
      </c>
      <c r="X2511" s="1">
        <v>1.7530864197530864</v>
      </c>
      <c r="Y2511" s="1">
        <v>82</v>
      </c>
      <c r="Z2511" s="1">
        <v>142</v>
      </c>
      <c r="AA2511" s="1">
        <v>1.7317073170731707</v>
      </c>
      <c r="AB2511" s="1">
        <v>81.751003744134323</v>
      </c>
      <c r="AC2511" s="1">
        <v>142.02593542607059</v>
      </c>
      <c r="AD2511" s="1">
        <v>1.7372989800906393</v>
      </c>
      <c r="AE2511" t="s">
        <v>4817</v>
      </c>
      <c r="AF2511" t="str">
        <f>IF(X2511&lt;$AF$1,"Bajo","Alto")</f>
        <v>Bajo</v>
      </c>
      <c r="AG2511" t="str">
        <f>LEFT(AE2511,1)</f>
        <v>C</v>
      </c>
      <c r="AH2511" t="str">
        <f>K2511</f>
        <v>M</v>
      </c>
      <c r="AI2511" t="str">
        <f>LEFT(AF2511,1)</f>
        <v>B</v>
      </c>
      <c r="AJ2511" t="str">
        <f>LEFT(M2511,1)</f>
        <v>J</v>
      </c>
      <c r="AK2511" t="str">
        <f>_xlfn.CONCAT(AG2511,AH2511,AI2511,AJ2511)</f>
        <v>CMBJ</v>
      </c>
    </row>
    <row r="2512" spans="1:37" ht="15.75" hidden="1" customHeight="1" x14ac:dyDescent="0.2">
      <c r="A2512" s="1">
        <v>10129203</v>
      </c>
      <c r="B2512" s="1" t="s">
        <v>29</v>
      </c>
      <c r="C2512" s="1" t="s">
        <v>30</v>
      </c>
      <c r="D2512" s="1" t="s">
        <v>593</v>
      </c>
      <c r="E2512" s="1" t="s">
        <v>594</v>
      </c>
      <c r="F2512" s="1" t="s">
        <v>63</v>
      </c>
      <c r="G2512" s="1" t="s">
        <v>597</v>
      </c>
      <c r="H2512" s="1">
        <v>2825</v>
      </c>
      <c r="I2512" s="1" t="s">
        <v>598</v>
      </c>
      <c r="J2512" s="1">
        <v>3462</v>
      </c>
      <c r="K2512" s="1" t="s">
        <v>49</v>
      </c>
      <c r="L2512" s="1">
        <v>39</v>
      </c>
      <c r="M2512" s="1" t="str">
        <f>IF(L2512&lt;=45,"Joven","Mayor")</f>
        <v>Joven</v>
      </c>
      <c r="N2512" s="1">
        <v>51</v>
      </c>
      <c r="O2512" s="1" t="s">
        <v>50</v>
      </c>
      <c r="P2512" s="1">
        <v>0.32900000000000001</v>
      </c>
      <c r="Q2512" s="1">
        <v>92.933999999999997</v>
      </c>
      <c r="R2512" s="1">
        <v>3.3872886000000002</v>
      </c>
      <c r="S2512" s="1">
        <v>-0.49031708000000002</v>
      </c>
      <c r="T2512" s="1">
        <v>5.3312989999999996</v>
      </c>
      <c r="U2512" s="1">
        <v>3.6840000000000002</v>
      </c>
      <c r="V2512" s="1">
        <v>82</v>
      </c>
      <c r="W2512" s="1">
        <v>147</v>
      </c>
      <c r="X2512" s="1">
        <v>1.7926829268292683</v>
      </c>
      <c r="Y2512" s="1">
        <v>86</v>
      </c>
      <c r="Z2512" s="1">
        <v>147</v>
      </c>
      <c r="AA2512" s="1">
        <v>1.7093023255813953</v>
      </c>
      <c r="AB2512" s="1">
        <v>85.547684771447848</v>
      </c>
      <c r="AC2512" s="1">
        <v>147.0144928329405</v>
      </c>
      <c r="AD2512" s="1">
        <v>1.7185093112187606</v>
      </c>
      <c r="AE2512" t="s">
        <v>4817</v>
      </c>
      <c r="AF2512" t="str">
        <f>IF(X2512&lt;$AF$1,"Bajo","Alto")</f>
        <v>Alto</v>
      </c>
      <c r="AG2512" t="str">
        <f>LEFT(AE2512,1)</f>
        <v>C</v>
      </c>
      <c r="AH2512" t="str">
        <f>K2512</f>
        <v>F</v>
      </c>
      <c r="AI2512" t="str">
        <f>LEFT(AF2512,1)</f>
        <v>A</v>
      </c>
      <c r="AJ2512" t="str">
        <f>LEFT(M2512,1)</f>
        <v>J</v>
      </c>
      <c r="AK2512" t="str">
        <f>_xlfn.CONCAT(AG2512,AH2512,AI2512,AJ2512)</f>
        <v>CFAJ</v>
      </c>
    </row>
    <row r="2513" spans="1:37" ht="15.75" hidden="1" customHeight="1" x14ac:dyDescent="0.2">
      <c r="A2513" s="1">
        <v>1513303</v>
      </c>
      <c r="B2513" s="1" t="s">
        <v>2077</v>
      </c>
      <c r="C2513" s="1" t="s">
        <v>57</v>
      </c>
      <c r="D2513" s="1" t="s">
        <v>2149</v>
      </c>
      <c r="E2513" s="1" t="s">
        <v>169</v>
      </c>
      <c r="F2513" s="1" t="s">
        <v>63</v>
      </c>
      <c r="G2513" s="1" t="s">
        <v>2152</v>
      </c>
      <c r="H2513" s="1">
        <v>15</v>
      </c>
      <c r="I2513" s="1" t="s">
        <v>65</v>
      </c>
      <c r="J2513" s="1">
        <v>2</v>
      </c>
      <c r="K2513" s="1" t="s">
        <v>35</v>
      </c>
      <c r="L2513" s="1">
        <v>46</v>
      </c>
      <c r="M2513" s="1" t="str">
        <f>IF(L2513&lt;=45,"Joven","Mayor")</f>
        <v>Mayor</v>
      </c>
      <c r="N2513" s="1">
        <v>55</v>
      </c>
      <c r="O2513" s="1" t="s">
        <v>36</v>
      </c>
      <c r="P2513" s="1">
        <v>0.47699999999999998</v>
      </c>
      <c r="Q2513" s="1">
        <v>93.295000000000002</v>
      </c>
      <c r="R2513" s="1">
        <v>2.0693355000000002</v>
      </c>
      <c r="S2513" s="1">
        <v>3.0050854999999999</v>
      </c>
      <c r="T2513" s="1">
        <v>-3.6616654</v>
      </c>
      <c r="U2513" s="1">
        <v>1.3009999999999999</v>
      </c>
      <c r="V2513" s="1">
        <v>105</v>
      </c>
      <c r="W2513" s="1">
        <v>184</v>
      </c>
      <c r="X2513" s="1">
        <v>1.7523809523809524</v>
      </c>
      <c r="Y2513" s="1">
        <v>108</v>
      </c>
      <c r="Z2513" s="1">
        <v>184</v>
      </c>
      <c r="AA2513" s="1">
        <v>1.7037037037037037</v>
      </c>
      <c r="AB2513" s="1">
        <v>110.9727568646242</v>
      </c>
      <c r="AC2513" s="1">
        <v>183.6882417278521</v>
      </c>
      <c r="AD2513" s="1">
        <v>1.6552552799236446</v>
      </c>
      <c r="AE2513" t="s">
        <v>4817</v>
      </c>
      <c r="AF2513" t="str">
        <f>IF(X2513&lt;$AF$1,"Bajo","Alto")</f>
        <v>Bajo</v>
      </c>
      <c r="AG2513" t="str">
        <f>LEFT(AE2513,1)</f>
        <v>C</v>
      </c>
      <c r="AH2513" t="str">
        <f>K2513</f>
        <v>M</v>
      </c>
      <c r="AI2513" t="str">
        <f>LEFT(AF2513,1)</f>
        <v>B</v>
      </c>
      <c r="AJ2513" t="str">
        <f>LEFT(M2513,1)</f>
        <v>M</v>
      </c>
      <c r="AK2513" t="str">
        <f>_xlfn.CONCAT(AG2513,AH2513,AI2513,AJ2513)</f>
        <v>CMBM</v>
      </c>
    </row>
    <row r="2514" spans="1:37" ht="15.75" hidden="1" customHeight="1" x14ac:dyDescent="0.2">
      <c r="A2514" s="1">
        <v>115302</v>
      </c>
      <c r="B2514" s="1" t="s">
        <v>1648</v>
      </c>
      <c r="C2514" s="1" t="s">
        <v>51</v>
      </c>
      <c r="D2514" s="1" t="s">
        <v>1726</v>
      </c>
      <c r="E2514" s="1" t="s">
        <v>1727</v>
      </c>
      <c r="F2514" s="1" t="s">
        <v>37</v>
      </c>
      <c r="G2514" s="1" t="s">
        <v>1728</v>
      </c>
      <c r="H2514" s="1">
        <v>45</v>
      </c>
      <c r="I2514" s="1" t="s">
        <v>39</v>
      </c>
      <c r="J2514" s="1">
        <v>11</v>
      </c>
      <c r="K2514" s="1" t="s">
        <v>35</v>
      </c>
      <c r="L2514" s="1">
        <v>58</v>
      </c>
      <c r="M2514" s="1" t="str">
        <f>IF(L2514&lt;=45,"Joven","Mayor")</f>
        <v>Mayor</v>
      </c>
      <c r="N2514" s="1">
        <v>67</v>
      </c>
      <c r="O2514" s="1" t="s">
        <v>36</v>
      </c>
      <c r="P2514" s="1">
        <v>0.38200000000000001</v>
      </c>
      <c r="Q2514" s="1">
        <v>93.98</v>
      </c>
      <c r="R2514" s="1">
        <v>0.34454121999999998</v>
      </c>
      <c r="S2514" s="1">
        <v>-4.2690352999999996</v>
      </c>
      <c r="T2514" s="1">
        <v>-4.7182729999999999E-2</v>
      </c>
      <c r="U2514" s="1">
        <v>0.21199999999999999</v>
      </c>
      <c r="V2514" s="1">
        <v>77</v>
      </c>
      <c r="W2514" s="1">
        <v>136</v>
      </c>
      <c r="X2514" s="1">
        <v>1.7662337662337662</v>
      </c>
      <c r="Y2514" s="1">
        <v>78</v>
      </c>
      <c r="Z2514" s="1">
        <v>136</v>
      </c>
      <c r="AA2514" s="1">
        <v>1.7435897435897436</v>
      </c>
      <c r="AB2514" s="1">
        <v>77.971151266107199</v>
      </c>
      <c r="AC2514" s="1">
        <v>135.99913039242711</v>
      </c>
      <c r="AD2514" s="1">
        <v>1.7442237056148706</v>
      </c>
      <c r="AE2514" t="s">
        <v>4816</v>
      </c>
      <c r="AF2514" t="str">
        <f>IF(X2514&lt;$AF$1,"Bajo","Alto")</f>
        <v>Bajo</v>
      </c>
      <c r="AG2514" t="str">
        <f>LEFT(AE2514,1)</f>
        <v>D</v>
      </c>
      <c r="AH2514" t="str">
        <f>K2514</f>
        <v>M</v>
      </c>
      <c r="AI2514" t="str">
        <f>LEFT(AF2514,1)</f>
        <v>B</v>
      </c>
      <c r="AJ2514" t="str">
        <f>LEFT(M2514,1)</f>
        <v>M</v>
      </c>
      <c r="AK2514" t="str">
        <f>_xlfn.CONCAT(AG2514,AH2514,AI2514,AJ2514)</f>
        <v>DMBM</v>
      </c>
    </row>
    <row r="2515" spans="1:37" ht="15.75" hidden="1" customHeight="1" x14ac:dyDescent="0.2">
      <c r="A2515" s="1">
        <v>1076802</v>
      </c>
      <c r="B2515" s="1" t="s">
        <v>1067</v>
      </c>
      <c r="C2515" s="1" t="s">
        <v>1068</v>
      </c>
      <c r="D2515" s="1" t="s">
        <v>1478</v>
      </c>
      <c r="E2515" s="1" t="s">
        <v>1479</v>
      </c>
      <c r="F2515" s="1" t="s">
        <v>37</v>
      </c>
      <c r="G2515" s="1" t="s">
        <v>1481</v>
      </c>
      <c r="H2515" s="1">
        <v>1990</v>
      </c>
      <c r="I2515" s="1" t="s">
        <v>48</v>
      </c>
      <c r="J2515" s="1">
        <v>4</v>
      </c>
      <c r="K2515" s="1" t="s">
        <v>35</v>
      </c>
      <c r="L2515" s="1">
        <v>39</v>
      </c>
      <c r="M2515" s="1" t="str">
        <f>IF(L2515&lt;=45,"Joven","Mayor")</f>
        <v>Joven</v>
      </c>
      <c r="N2515" s="1">
        <v>44</v>
      </c>
      <c r="O2515" s="1" t="s">
        <v>36</v>
      </c>
      <c r="P2515" s="1">
        <v>0.36399999999999999</v>
      </c>
      <c r="Q2515" s="1">
        <v>91.629000000000005</v>
      </c>
      <c r="R2515" s="1">
        <v>-3.8546369999999999</v>
      </c>
      <c r="S2515" s="1">
        <v>4.0868073000000003</v>
      </c>
      <c r="T2515" s="1">
        <v>-0.40705567999999998</v>
      </c>
      <c r="U2515" s="1">
        <v>2.548</v>
      </c>
      <c r="V2515" s="1">
        <v>57</v>
      </c>
      <c r="W2515" s="1">
        <v>100</v>
      </c>
      <c r="X2515" s="1">
        <v>1.7543859649122806</v>
      </c>
      <c r="Y2515" s="1">
        <v>59</v>
      </c>
      <c r="Z2515" s="1">
        <v>100</v>
      </c>
      <c r="AA2515" s="1">
        <v>1.6949152542372881</v>
      </c>
      <c r="AB2515" s="1">
        <v>58.813796587245413</v>
      </c>
      <c r="AC2515" s="1">
        <v>100.032998352156</v>
      </c>
      <c r="AD2515" s="1">
        <v>1.7008423899954377</v>
      </c>
      <c r="AE2515" t="s">
        <v>4817</v>
      </c>
      <c r="AF2515" t="str">
        <f>IF(X2515&lt;$AF$1,"Bajo","Alto")</f>
        <v>Bajo</v>
      </c>
      <c r="AG2515" t="str">
        <f>LEFT(AE2515,1)</f>
        <v>C</v>
      </c>
      <c r="AH2515" t="str">
        <f>K2515</f>
        <v>M</v>
      </c>
      <c r="AI2515" t="str">
        <f>LEFT(AF2515,1)</f>
        <v>B</v>
      </c>
      <c r="AJ2515" t="str">
        <f>LEFT(M2515,1)</f>
        <v>J</v>
      </c>
      <c r="AK2515" t="str">
        <f>_xlfn.CONCAT(AG2515,AH2515,AI2515,AJ2515)</f>
        <v>CMBJ</v>
      </c>
    </row>
    <row r="2516" spans="1:37" ht="15.75" hidden="1" customHeight="1" x14ac:dyDescent="0.2">
      <c r="A2516" s="1">
        <v>540104</v>
      </c>
      <c r="B2516" s="1" t="s">
        <v>4677</v>
      </c>
      <c r="C2516" s="1" t="s">
        <v>3148</v>
      </c>
      <c r="D2516" s="1" t="s">
        <v>4678</v>
      </c>
      <c r="E2516" s="1" t="s">
        <v>32</v>
      </c>
      <c r="F2516" s="1" t="s">
        <v>61</v>
      </c>
      <c r="G2516" s="1" t="s">
        <v>4681</v>
      </c>
      <c r="H2516" s="1">
        <v>1474</v>
      </c>
      <c r="I2516" s="1" t="s">
        <v>1151</v>
      </c>
      <c r="J2516" s="1">
        <v>2063</v>
      </c>
      <c r="K2516" s="1" t="s">
        <v>49</v>
      </c>
      <c r="L2516" s="1">
        <v>37</v>
      </c>
      <c r="M2516" s="1" t="str">
        <f>IF(L2516&lt;=45,"Joven","Mayor")</f>
        <v>Joven</v>
      </c>
      <c r="N2516" s="1">
        <v>31</v>
      </c>
      <c r="O2516" s="1" t="s">
        <v>50</v>
      </c>
      <c r="P2516" s="1">
        <v>0.45800000000000002</v>
      </c>
      <c r="Q2516" s="1">
        <v>89.936000000000007</v>
      </c>
      <c r="R2516" s="1">
        <v>-4.6997600000000004</v>
      </c>
      <c r="S2516" s="1">
        <v>-6.1032715</v>
      </c>
      <c r="T2516" s="1">
        <v>-2.1242549999999998</v>
      </c>
      <c r="U2516" s="1">
        <v>13.579000000000001</v>
      </c>
      <c r="V2516" s="1">
        <v>86</v>
      </c>
      <c r="W2516" s="1">
        <v>151</v>
      </c>
      <c r="X2516" s="1">
        <v>1.7558139534883721</v>
      </c>
      <c r="Y2516" s="1">
        <v>90</v>
      </c>
      <c r="Z2516" s="1">
        <v>151</v>
      </c>
      <c r="AA2516" s="1">
        <v>1.6777777777777778</v>
      </c>
      <c r="AB2516" s="1">
        <v>88.752015245443545</v>
      </c>
      <c r="AC2516" s="1">
        <v>151.22983232851669</v>
      </c>
      <c r="AD2516" s="1">
        <v>1.7039594189528076</v>
      </c>
      <c r="AE2516" t="s">
        <v>4817</v>
      </c>
      <c r="AF2516" t="str">
        <f>IF(X2516&lt;$AF$1,"Bajo","Alto")</f>
        <v>Bajo</v>
      </c>
      <c r="AG2516" t="str">
        <f>LEFT(AE2516,1)</f>
        <v>C</v>
      </c>
      <c r="AH2516" t="str">
        <f>K2516</f>
        <v>F</v>
      </c>
      <c r="AI2516" t="str">
        <f>LEFT(AF2516,1)</f>
        <v>B</v>
      </c>
      <c r="AJ2516" t="str">
        <f>LEFT(M2516,1)</f>
        <v>J</v>
      </c>
      <c r="AK2516" t="str">
        <f>_xlfn.CONCAT(AG2516,AH2516,AI2516,AJ2516)</f>
        <v>CFBJ</v>
      </c>
    </row>
    <row r="2517" spans="1:37" ht="15.75" hidden="1" customHeight="1" x14ac:dyDescent="0.2">
      <c r="A2517" s="1">
        <v>642804</v>
      </c>
      <c r="B2517" s="1" t="s">
        <v>4718</v>
      </c>
      <c r="C2517" s="1" t="s">
        <v>710</v>
      </c>
      <c r="D2517" s="1" t="s">
        <v>4775</v>
      </c>
      <c r="E2517" s="1" t="s">
        <v>561</v>
      </c>
      <c r="F2517" s="1" t="s">
        <v>61</v>
      </c>
      <c r="G2517" s="1" t="s">
        <v>4778</v>
      </c>
      <c r="H2517" s="1">
        <v>3190</v>
      </c>
      <c r="I2517" s="1" t="s">
        <v>73</v>
      </c>
      <c r="J2517" s="1">
        <v>5</v>
      </c>
      <c r="K2517" s="1" t="s">
        <v>35</v>
      </c>
      <c r="L2517" s="1">
        <v>42</v>
      </c>
      <c r="M2517" s="1" t="str">
        <f>IF(L2517&lt;=45,"Joven","Mayor")</f>
        <v>Joven</v>
      </c>
      <c r="N2517" s="1">
        <v>48</v>
      </c>
      <c r="O2517" s="1" t="s">
        <v>36</v>
      </c>
      <c r="P2517" s="1">
        <v>0.38</v>
      </c>
      <c r="Q2517" s="1">
        <v>93.549000000000007</v>
      </c>
      <c r="R2517" s="1">
        <v>-1.9580753</v>
      </c>
      <c r="S2517" s="1">
        <v>2.3034026999999999</v>
      </c>
      <c r="T2517" s="1">
        <v>-5.9306850000000004</v>
      </c>
      <c r="U2517" s="1">
        <v>1.6060000000000001</v>
      </c>
      <c r="V2517" s="1">
        <v>102</v>
      </c>
      <c r="W2517" s="1">
        <v>179</v>
      </c>
      <c r="X2517" s="1">
        <v>1.7549019607843137</v>
      </c>
      <c r="Y2517" s="1">
        <v>103</v>
      </c>
      <c r="Z2517" s="1">
        <v>179</v>
      </c>
      <c r="AA2517" s="1">
        <v>1.7378640776699028</v>
      </c>
      <c r="AB2517" s="1">
        <v>106.8916905121894</v>
      </c>
      <c r="AC2517" s="1">
        <v>178.4552255616895</v>
      </c>
      <c r="AD2517" s="1">
        <v>1.6694957737742893</v>
      </c>
      <c r="AE2517" t="s">
        <v>4817</v>
      </c>
      <c r="AF2517" t="str">
        <f>IF(X2517&lt;$AF$1,"Bajo","Alto")</f>
        <v>Bajo</v>
      </c>
      <c r="AG2517" t="str">
        <f>LEFT(AE2517,1)</f>
        <v>C</v>
      </c>
      <c r="AH2517" t="str">
        <f>K2517</f>
        <v>M</v>
      </c>
      <c r="AI2517" t="str">
        <f>LEFT(AF2517,1)</f>
        <v>B</v>
      </c>
      <c r="AJ2517" t="str">
        <f>LEFT(M2517,1)</f>
        <v>J</v>
      </c>
      <c r="AK2517" t="str">
        <f>_xlfn.CONCAT(AG2517,AH2517,AI2517,AJ2517)</f>
        <v>CMBJ</v>
      </c>
    </row>
    <row r="2518" spans="1:37" ht="15.75" hidden="1" customHeight="1" x14ac:dyDescent="0.2">
      <c r="A2518" s="1">
        <v>2720205</v>
      </c>
      <c r="B2518" s="1" t="s">
        <v>3409</v>
      </c>
      <c r="C2518" s="1" t="s">
        <v>973</v>
      </c>
      <c r="D2518" s="1" t="s">
        <v>3620</v>
      </c>
      <c r="E2518" s="1" t="s">
        <v>358</v>
      </c>
      <c r="F2518" s="1" t="s">
        <v>40</v>
      </c>
      <c r="G2518" s="1" t="s">
        <v>3622</v>
      </c>
      <c r="H2518" s="1">
        <v>176</v>
      </c>
      <c r="I2518" s="1" t="s">
        <v>3623</v>
      </c>
      <c r="J2518" s="1">
        <v>3904</v>
      </c>
      <c r="K2518" s="1" t="s">
        <v>35</v>
      </c>
      <c r="L2518" s="1">
        <v>61</v>
      </c>
      <c r="M2518" s="1" t="str">
        <f>IF(L2518&lt;=45,"Joven","Mayor")</f>
        <v>Mayor</v>
      </c>
      <c r="N2518" s="1">
        <v>52</v>
      </c>
      <c r="O2518" s="1" t="s">
        <v>36</v>
      </c>
      <c r="P2518" s="1">
        <v>0.115</v>
      </c>
      <c r="Q2518" s="1">
        <v>93.33</v>
      </c>
      <c r="R2518" s="1">
        <v>2.8236922999999998</v>
      </c>
      <c r="S2518" s="1">
        <v>0.89604220000000001</v>
      </c>
      <c r="T2518" s="1">
        <v>-4.9438849999999999</v>
      </c>
      <c r="U2518" s="1">
        <v>4.4580000000000002</v>
      </c>
      <c r="V2518" s="1">
        <v>101</v>
      </c>
      <c r="W2518" s="1">
        <v>177</v>
      </c>
      <c r="X2518" s="1">
        <v>1.7524752475247525</v>
      </c>
      <c r="Y2518" s="1">
        <v>102</v>
      </c>
      <c r="Z2518" s="1">
        <v>177</v>
      </c>
      <c r="AA2518" s="1">
        <v>1.7352941176470589</v>
      </c>
      <c r="AB2518" s="1">
        <v>105.1055994659218</v>
      </c>
      <c r="AC2518" s="1">
        <v>176.77238582356989</v>
      </c>
      <c r="AD2518" s="1">
        <v>1.6818550745327749</v>
      </c>
      <c r="AE2518" t="s">
        <v>4817</v>
      </c>
      <c r="AF2518" t="str">
        <f>IF(X2518&lt;$AF$1,"Bajo","Alto")</f>
        <v>Bajo</v>
      </c>
      <c r="AG2518" t="str">
        <f>LEFT(AE2518,1)</f>
        <v>C</v>
      </c>
      <c r="AH2518" t="str">
        <f>K2518</f>
        <v>M</v>
      </c>
      <c r="AI2518" t="str">
        <f>LEFT(AF2518,1)</f>
        <v>B</v>
      </c>
      <c r="AJ2518" t="str">
        <f>LEFT(M2518,1)</f>
        <v>M</v>
      </c>
      <c r="AK2518" t="str">
        <f>_xlfn.CONCAT(AG2518,AH2518,AI2518,AJ2518)</f>
        <v>CMBM</v>
      </c>
    </row>
    <row r="2519" spans="1:37" ht="15.75" hidden="1" customHeight="1" x14ac:dyDescent="0.2">
      <c r="A2519" s="1">
        <v>1019102</v>
      </c>
      <c r="B2519" s="1" t="s">
        <v>29</v>
      </c>
      <c r="C2519" s="1" t="s">
        <v>30</v>
      </c>
      <c r="D2519" s="1" t="s">
        <v>769</v>
      </c>
      <c r="E2519" s="1" t="s">
        <v>770</v>
      </c>
      <c r="F2519" s="1" t="s">
        <v>37</v>
      </c>
      <c r="G2519" s="1" t="s">
        <v>772</v>
      </c>
      <c r="H2519" s="1">
        <v>4223</v>
      </c>
      <c r="I2519" s="1" t="s">
        <v>773</v>
      </c>
      <c r="J2519" s="1">
        <v>3807</v>
      </c>
      <c r="K2519" s="1" t="s">
        <v>35</v>
      </c>
      <c r="L2519" s="1">
        <v>42</v>
      </c>
      <c r="M2519" s="1" t="str">
        <f>IF(L2519&lt;=45,"Joven","Mayor")</f>
        <v>Joven</v>
      </c>
      <c r="N2519" s="1">
        <v>37</v>
      </c>
      <c r="O2519" s="1" t="s">
        <v>36</v>
      </c>
      <c r="P2519" s="1">
        <v>5.0999999999999997E-2</v>
      </c>
      <c r="Q2519" s="1">
        <v>89.587000000000003</v>
      </c>
      <c r="R2519" s="1">
        <v>-5.9842314999999999</v>
      </c>
      <c r="S2519" s="1">
        <v>3.2451512999999998</v>
      </c>
      <c r="T2519" s="1">
        <v>0.11872362</v>
      </c>
      <c r="U2519" s="1">
        <v>4.4790000000000001</v>
      </c>
      <c r="V2519" s="1">
        <v>85</v>
      </c>
      <c r="W2519" s="1">
        <v>152</v>
      </c>
      <c r="X2519" s="1">
        <v>1.7882352941176471</v>
      </c>
      <c r="Y2519" s="1">
        <v>86</v>
      </c>
      <c r="Z2519" s="1">
        <v>152</v>
      </c>
      <c r="AA2519" s="1">
        <v>1.7674418604651163</v>
      </c>
      <c r="AB2519" s="1">
        <v>85.912786475500297</v>
      </c>
      <c r="AC2519" s="1">
        <v>151.99345733118841</v>
      </c>
      <c r="AD2519" s="1">
        <v>1.7691599070009481</v>
      </c>
      <c r="AE2519" t="s">
        <v>4817</v>
      </c>
      <c r="AF2519" t="str">
        <f>IF(X2519&lt;$AF$1,"Bajo","Alto")</f>
        <v>Alto</v>
      </c>
      <c r="AG2519" t="str">
        <f>LEFT(AE2519,1)</f>
        <v>C</v>
      </c>
      <c r="AH2519" t="str">
        <f>K2519</f>
        <v>M</v>
      </c>
      <c r="AI2519" t="str">
        <f>LEFT(AF2519,1)</f>
        <v>A</v>
      </c>
      <c r="AJ2519" t="str">
        <f>LEFT(M2519,1)</f>
        <v>J</v>
      </c>
      <c r="AK2519" t="str">
        <f>_xlfn.CONCAT(AG2519,AH2519,AI2519,AJ2519)</f>
        <v>CMAJ</v>
      </c>
    </row>
    <row r="2520" spans="1:37" ht="15.75" hidden="1" customHeight="1" x14ac:dyDescent="0.2">
      <c r="A2520" s="1">
        <v>294901</v>
      </c>
      <c r="B2520" s="1" t="s">
        <v>3890</v>
      </c>
      <c r="C2520" s="1" t="s">
        <v>1695</v>
      </c>
      <c r="D2520" s="1" t="s">
        <v>4022</v>
      </c>
      <c r="E2520" s="1" t="s">
        <v>673</v>
      </c>
      <c r="F2520" s="1" t="s">
        <v>32</v>
      </c>
      <c r="G2520" s="1" t="s">
        <v>4023</v>
      </c>
      <c r="H2520" s="1">
        <v>1796</v>
      </c>
      <c r="I2520" s="1" t="s">
        <v>4024</v>
      </c>
      <c r="J2520" s="1">
        <v>1748</v>
      </c>
      <c r="K2520" s="1" t="s">
        <v>49</v>
      </c>
      <c r="L2520" s="1">
        <v>36</v>
      </c>
      <c r="M2520" s="1" t="str">
        <f>IF(L2520&lt;=45,"Joven","Mayor")</f>
        <v>Joven</v>
      </c>
      <c r="N2520" s="1">
        <v>48</v>
      </c>
      <c r="O2520" s="1" t="s">
        <v>50</v>
      </c>
      <c r="P2520" s="1">
        <v>0.36799999999999999</v>
      </c>
      <c r="Q2520" s="1">
        <v>22.92</v>
      </c>
      <c r="R2520" s="1">
        <v>19.565470000000001</v>
      </c>
      <c r="S2520" s="1">
        <v>-0.33047953000000002</v>
      </c>
      <c r="T2520" s="1">
        <v>-9.9425229999999996</v>
      </c>
      <c r="U2520" s="1">
        <v>34.283999999999999</v>
      </c>
      <c r="V2520" s="1">
        <v>94</v>
      </c>
      <c r="W2520" s="1">
        <v>168</v>
      </c>
      <c r="X2520" s="1">
        <v>1.7872340425531914</v>
      </c>
      <c r="Y2520" s="1">
        <v>105</v>
      </c>
      <c r="Z2520" s="1">
        <v>168</v>
      </c>
      <c r="AA2520" s="1">
        <v>1.6</v>
      </c>
      <c r="AB2520" s="1">
        <v>101.3939253185786</v>
      </c>
      <c r="AC2520" s="1">
        <v>167.5488064321539</v>
      </c>
      <c r="AD2520" s="1">
        <v>1.6524540884053693</v>
      </c>
      <c r="AE2520" t="s">
        <v>4817</v>
      </c>
      <c r="AF2520" t="str">
        <f>IF(X2520&lt;$AF$1,"Bajo","Alto")</f>
        <v>Alto</v>
      </c>
      <c r="AG2520" t="str">
        <f>LEFT(AE2520,1)</f>
        <v>C</v>
      </c>
      <c r="AH2520" t="str">
        <f>K2520</f>
        <v>F</v>
      </c>
      <c r="AI2520" t="str">
        <f>LEFT(AF2520,1)</f>
        <v>A</v>
      </c>
      <c r="AJ2520" t="str">
        <f>LEFT(M2520,1)</f>
        <v>J</v>
      </c>
      <c r="AK2520" t="str">
        <f>_xlfn.CONCAT(AG2520,AH2520,AI2520,AJ2520)</f>
        <v>CFAJ</v>
      </c>
    </row>
    <row r="2521" spans="1:37" ht="15.75" hidden="1" customHeight="1" x14ac:dyDescent="0.2">
      <c r="A2521" s="1">
        <v>1034305</v>
      </c>
      <c r="B2521" s="1" t="s">
        <v>783</v>
      </c>
      <c r="C2521" s="1" t="s">
        <v>81</v>
      </c>
      <c r="D2521" s="1" t="s">
        <v>844</v>
      </c>
      <c r="E2521" s="1" t="s">
        <v>665</v>
      </c>
      <c r="F2521" s="1" t="s">
        <v>40</v>
      </c>
      <c r="G2521" s="1" t="s">
        <v>849</v>
      </c>
      <c r="H2521" s="1">
        <v>5424</v>
      </c>
      <c r="I2521" s="1" t="s">
        <v>134</v>
      </c>
      <c r="J2521" s="1">
        <v>8</v>
      </c>
      <c r="K2521" s="1" t="s">
        <v>35</v>
      </c>
      <c r="L2521" s="1">
        <v>38</v>
      </c>
      <c r="M2521" s="1" t="str">
        <f>IF(L2521&lt;=45,"Joven","Mayor")</f>
        <v>Joven</v>
      </c>
      <c r="N2521" s="1">
        <v>44</v>
      </c>
      <c r="O2521" s="1" t="s">
        <v>36</v>
      </c>
      <c r="P2521" s="1">
        <v>0.375</v>
      </c>
      <c r="Q2521" s="1">
        <v>91.036000000000001</v>
      </c>
      <c r="R2521" s="1">
        <v>-4.5948450000000003</v>
      </c>
      <c r="S2521" s="1">
        <v>3.6140810000000001</v>
      </c>
      <c r="T2521" s="1">
        <v>2.5324854999999999</v>
      </c>
      <c r="U2521" s="1">
        <v>1.931</v>
      </c>
      <c r="V2521" s="1">
        <v>85</v>
      </c>
      <c r="W2521" s="1">
        <v>152</v>
      </c>
      <c r="X2521" s="1">
        <v>1.7882352941176471</v>
      </c>
      <c r="Y2521" s="1">
        <v>92</v>
      </c>
      <c r="Z2521" s="1">
        <v>152</v>
      </c>
      <c r="AA2521" s="1">
        <v>1.6521739130434783</v>
      </c>
      <c r="AB2521" s="1">
        <v>90.010156091496356</v>
      </c>
      <c r="AC2521" s="1">
        <v>152.20503267589629</v>
      </c>
      <c r="AD2521" s="1">
        <v>1.6909762107420203</v>
      </c>
      <c r="AE2521" t="s">
        <v>4817</v>
      </c>
      <c r="AF2521" t="str">
        <f>IF(X2521&lt;$AF$1,"Bajo","Alto")</f>
        <v>Alto</v>
      </c>
      <c r="AG2521" t="str">
        <f>LEFT(AE2521,1)</f>
        <v>C</v>
      </c>
      <c r="AH2521" t="str">
        <f>K2521</f>
        <v>M</v>
      </c>
      <c r="AI2521" t="str">
        <f>LEFT(AF2521,1)</f>
        <v>A</v>
      </c>
      <c r="AJ2521" t="str">
        <f>LEFT(M2521,1)</f>
        <v>J</v>
      </c>
      <c r="AK2521" t="str">
        <f>_xlfn.CONCAT(AG2521,AH2521,AI2521,AJ2521)</f>
        <v>CMAJ</v>
      </c>
    </row>
    <row r="2522" spans="1:37" ht="15.75" hidden="1" customHeight="1" x14ac:dyDescent="0.2">
      <c r="A2522" s="1">
        <v>2313304</v>
      </c>
      <c r="B2522" s="1" t="s">
        <v>319</v>
      </c>
      <c r="C2522" s="1" t="s">
        <v>1989</v>
      </c>
      <c r="D2522" s="1" t="s">
        <v>2974</v>
      </c>
      <c r="E2522" s="1" t="s">
        <v>169</v>
      </c>
      <c r="F2522" s="1" t="s">
        <v>61</v>
      </c>
      <c r="G2522" s="1" t="s">
        <v>2978</v>
      </c>
      <c r="H2522" s="1">
        <v>3163</v>
      </c>
      <c r="I2522" s="1" t="s">
        <v>108</v>
      </c>
      <c r="J2522" s="1">
        <v>3</v>
      </c>
      <c r="K2522" s="1" t="s">
        <v>35</v>
      </c>
      <c r="L2522" s="1">
        <v>36</v>
      </c>
      <c r="M2522" s="1" t="str">
        <f>IF(L2522&lt;=45,"Joven","Mayor")</f>
        <v>Joven</v>
      </c>
      <c r="N2522" s="1">
        <v>47</v>
      </c>
      <c r="O2522" s="1" t="s">
        <v>36</v>
      </c>
      <c r="P2522" s="1">
        <v>0.41499999999999998</v>
      </c>
      <c r="Q2522" s="1">
        <v>94.141000000000005</v>
      </c>
      <c r="R2522" s="1">
        <v>-0.59633440000000004</v>
      </c>
      <c r="S2522" s="1">
        <v>3.0023884999999999</v>
      </c>
      <c r="T2522" s="1">
        <v>3.3629026</v>
      </c>
      <c r="U2522" s="1">
        <v>15.097</v>
      </c>
      <c r="V2522" s="1">
        <v>99</v>
      </c>
      <c r="W2522" s="1">
        <v>177</v>
      </c>
      <c r="X2522" s="1">
        <v>1.7878787878787878</v>
      </c>
      <c r="Y2522" s="1">
        <v>100</v>
      </c>
      <c r="Z2522" s="1">
        <v>177</v>
      </c>
      <c r="AA2522" s="1">
        <v>1.77</v>
      </c>
      <c r="AB2522" s="1">
        <v>102.8194632712737</v>
      </c>
      <c r="AC2522" s="1">
        <v>176.81252922346309</v>
      </c>
      <c r="AD2522" s="1">
        <v>1.7196406555534121</v>
      </c>
      <c r="AE2522" t="s">
        <v>4817</v>
      </c>
      <c r="AF2522" t="str">
        <f>IF(X2522&lt;$AF$1,"Bajo","Alto")</f>
        <v>Alto</v>
      </c>
      <c r="AG2522" t="str">
        <f>LEFT(AE2522,1)</f>
        <v>C</v>
      </c>
      <c r="AH2522" t="str">
        <f>K2522</f>
        <v>M</v>
      </c>
      <c r="AI2522" t="str">
        <f>LEFT(AF2522,1)</f>
        <v>A</v>
      </c>
      <c r="AJ2522" t="str">
        <f>LEFT(M2522,1)</f>
        <v>J</v>
      </c>
      <c r="AK2522" t="str">
        <f>_xlfn.CONCAT(AG2522,AH2522,AI2522,AJ2522)</f>
        <v>CMAJ</v>
      </c>
    </row>
    <row r="2523" spans="1:37" ht="15.75" hidden="1" customHeight="1" x14ac:dyDescent="0.2">
      <c r="A2523" s="1">
        <v>10117003</v>
      </c>
      <c r="B2523" s="1" t="s">
        <v>29</v>
      </c>
      <c r="C2523" s="1" t="s">
        <v>30</v>
      </c>
      <c r="D2523" s="1" t="s">
        <v>285</v>
      </c>
      <c r="E2523" s="1" t="s">
        <v>286</v>
      </c>
      <c r="F2523" s="1" t="s">
        <v>63</v>
      </c>
      <c r="G2523" s="1" t="s">
        <v>288</v>
      </c>
      <c r="H2523" s="1">
        <v>2475</v>
      </c>
      <c r="I2523" s="1" t="s">
        <v>65</v>
      </c>
      <c r="J2523" s="1">
        <v>2</v>
      </c>
      <c r="K2523" s="1" t="s">
        <v>49</v>
      </c>
      <c r="L2523" s="1">
        <v>38</v>
      </c>
      <c r="M2523" s="1" t="str">
        <f>IF(L2523&lt;=45,"Joven","Mayor")</f>
        <v>Joven</v>
      </c>
      <c r="N2523" s="1">
        <v>22</v>
      </c>
      <c r="O2523" s="1" t="s">
        <v>50</v>
      </c>
      <c r="P2523" s="1">
        <v>0.85099999999999998</v>
      </c>
      <c r="Q2523" s="1">
        <v>87.647000000000006</v>
      </c>
      <c r="R2523" s="1">
        <v>-6.8442945000000002</v>
      </c>
      <c r="S2523" s="1">
        <v>-4.0295370000000004</v>
      </c>
      <c r="T2523" s="1">
        <v>-0.45721927000000001</v>
      </c>
      <c r="U2523" s="1">
        <v>41.43</v>
      </c>
      <c r="V2523" s="1">
        <v>108</v>
      </c>
      <c r="W2523" s="1">
        <v>193</v>
      </c>
      <c r="X2523" s="1">
        <v>1.787037037037037</v>
      </c>
      <c r="Y2523" s="1">
        <v>116</v>
      </c>
      <c r="Z2523" s="1">
        <v>193</v>
      </c>
      <c r="AA2523" s="1">
        <v>1.6637931034482758</v>
      </c>
      <c r="AB2523" s="1">
        <v>115.6372112096778</v>
      </c>
      <c r="AC2523" s="1">
        <v>193.12153325378449</v>
      </c>
      <c r="AD2523" s="1">
        <v>1.6700639113789173</v>
      </c>
      <c r="AE2523" t="s">
        <v>4817</v>
      </c>
      <c r="AF2523" t="str">
        <f>IF(X2523&lt;$AF$1,"Bajo","Alto")</f>
        <v>Alto</v>
      </c>
      <c r="AG2523" t="str">
        <f>LEFT(AE2523,1)</f>
        <v>C</v>
      </c>
      <c r="AH2523" t="str">
        <f>K2523</f>
        <v>F</v>
      </c>
      <c r="AI2523" t="str">
        <f>LEFT(AF2523,1)</f>
        <v>A</v>
      </c>
      <c r="AJ2523" t="str">
        <f>LEFT(M2523,1)</f>
        <v>J</v>
      </c>
      <c r="AK2523" t="str">
        <f>_xlfn.CONCAT(AG2523,AH2523,AI2523,AJ2523)</f>
        <v>CFAJ</v>
      </c>
    </row>
    <row r="2524" spans="1:37" ht="15.75" hidden="1" customHeight="1" x14ac:dyDescent="0.2">
      <c r="A2524" s="1">
        <v>173804</v>
      </c>
      <c r="B2524" s="1" t="s">
        <v>2551</v>
      </c>
      <c r="C2524" s="1" t="s">
        <v>2552</v>
      </c>
      <c r="D2524" s="1" t="s">
        <v>2636</v>
      </c>
      <c r="E2524" s="1" t="s">
        <v>2637</v>
      </c>
      <c r="F2524" s="1" t="s">
        <v>61</v>
      </c>
      <c r="G2524" s="1" t="s">
        <v>2641</v>
      </c>
      <c r="H2524" s="1">
        <v>852</v>
      </c>
      <c r="I2524" s="1" t="s">
        <v>91</v>
      </c>
      <c r="J2524" s="1">
        <v>6</v>
      </c>
      <c r="K2524" s="1" t="s">
        <v>35</v>
      </c>
      <c r="L2524" s="1">
        <v>63</v>
      </c>
      <c r="M2524" s="1" t="str">
        <f>IF(L2524&lt;=45,"Joven","Mayor")</f>
        <v>Mayor</v>
      </c>
      <c r="N2524" s="1">
        <v>58</v>
      </c>
      <c r="O2524" s="1" t="s">
        <v>36</v>
      </c>
      <c r="P2524" s="1">
        <v>0.372</v>
      </c>
      <c r="Q2524" s="1">
        <v>90.784000000000006</v>
      </c>
      <c r="R2524" s="1">
        <v>2.2934527</v>
      </c>
      <c r="S2524" s="1">
        <v>-9.317736</v>
      </c>
      <c r="T2524" s="1">
        <v>-2.9139382999999999</v>
      </c>
      <c r="U2524" s="1">
        <v>5.9530000000000003</v>
      </c>
      <c r="V2524" s="1">
        <v>93</v>
      </c>
      <c r="W2524" s="1">
        <v>166</v>
      </c>
      <c r="X2524" s="1">
        <v>1.7849462365591398</v>
      </c>
      <c r="Y2524" s="1">
        <v>96</v>
      </c>
      <c r="Z2524" s="1">
        <v>166</v>
      </c>
      <c r="AA2524" s="1">
        <v>1.7291666666666667</v>
      </c>
      <c r="AB2524" s="1">
        <v>95.116532288784128</v>
      </c>
      <c r="AC2524" s="1">
        <v>165.83620120411479</v>
      </c>
      <c r="AD2524" s="1">
        <v>1.7435055422396819</v>
      </c>
      <c r="AE2524" t="s">
        <v>4817</v>
      </c>
      <c r="AF2524" t="str">
        <f>IF(X2524&lt;$AF$1,"Bajo","Alto")</f>
        <v>Alto</v>
      </c>
      <c r="AG2524" t="str">
        <f>LEFT(AE2524,1)</f>
        <v>C</v>
      </c>
      <c r="AH2524" t="str">
        <f>K2524</f>
        <v>M</v>
      </c>
      <c r="AI2524" t="str">
        <f>LEFT(AF2524,1)</f>
        <v>A</v>
      </c>
      <c r="AJ2524" t="str">
        <f>LEFT(M2524,1)</f>
        <v>M</v>
      </c>
      <c r="AK2524" t="str">
        <f>_xlfn.CONCAT(AG2524,AH2524,AI2524,AJ2524)</f>
        <v>CMAM</v>
      </c>
    </row>
    <row r="2525" spans="1:37" ht="15.75" hidden="1" customHeight="1" x14ac:dyDescent="0.2">
      <c r="A2525" s="1">
        <v>10723205</v>
      </c>
      <c r="B2525" s="1" t="s">
        <v>1067</v>
      </c>
      <c r="C2525" s="1" t="s">
        <v>1068</v>
      </c>
      <c r="D2525" s="1" t="s">
        <v>1250</v>
      </c>
      <c r="E2525" s="1" t="s">
        <v>461</v>
      </c>
      <c r="F2525" s="1" t="s">
        <v>40</v>
      </c>
      <c r="G2525" s="1" t="s">
        <v>1255</v>
      </c>
      <c r="H2525" s="1">
        <v>600</v>
      </c>
      <c r="I2525" s="1" t="s">
        <v>1256</v>
      </c>
      <c r="J2525" s="1">
        <v>2963</v>
      </c>
      <c r="K2525" s="1" t="s">
        <v>35</v>
      </c>
      <c r="L2525" s="1">
        <v>32</v>
      </c>
      <c r="M2525" s="1" t="str">
        <f>IF(L2525&lt;=45,"Joven","Mayor")</f>
        <v>Joven</v>
      </c>
      <c r="N2525" s="1">
        <v>41</v>
      </c>
      <c r="O2525" s="1" t="s">
        <v>36</v>
      </c>
      <c r="P2525" s="1">
        <v>0.35699999999999998</v>
      </c>
      <c r="Q2525" s="1">
        <v>88.968999999999994</v>
      </c>
      <c r="R2525" s="1">
        <v>4.0612079999999997</v>
      </c>
      <c r="S2525" s="1">
        <v>9.3469479999999994</v>
      </c>
      <c r="T2525" s="1">
        <v>-4.9501229999999996</v>
      </c>
      <c r="U2525" s="1">
        <v>21.024000000000001</v>
      </c>
      <c r="V2525" s="1">
        <v>80</v>
      </c>
      <c r="W2525" s="1">
        <v>143</v>
      </c>
      <c r="X2525" s="1">
        <v>1.7875000000000001</v>
      </c>
      <c r="Y2525" s="1">
        <v>81</v>
      </c>
      <c r="Z2525" s="1">
        <v>143</v>
      </c>
      <c r="AA2525" s="1">
        <v>1.7654320987654322</v>
      </c>
      <c r="AB2525" s="1">
        <v>82.98057847314908</v>
      </c>
      <c r="AC2525" s="1">
        <v>142.89807987219001</v>
      </c>
      <c r="AD2525" s="1">
        <v>1.7220665666777568</v>
      </c>
      <c r="AE2525" t="s">
        <v>4817</v>
      </c>
      <c r="AF2525" t="str">
        <f>IF(X2525&lt;$AF$1,"Bajo","Alto")</f>
        <v>Alto</v>
      </c>
      <c r="AG2525" t="str">
        <f>LEFT(AE2525,1)</f>
        <v>C</v>
      </c>
      <c r="AH2525" t="str">
        <f>K2525</f>
        <v>M</v>
      </c>
      <c r="AI2525" t="str">
        <f>LEFT(AF2525,1)</f>
        <v>A</v>
      </c>
      <c r="AJ2525" t="str">
        <f>LEFT(M2525,1)</f>
        <v>J</v>
      </c>
      <c r="AK2525" t="str">
        <f>_xlfn.CONCAT(AG2525,AH2525,AI2525,AJ2525)</f>
        <v>CMAJ</v>
      </c>
    </row>
    <row r="2526" spans="1:37" ht="15.75" hidden="1" customHeight="1" x14ac:dyDescent="0.2">
      <c r="A2526" s="1">
        <v>198202</v>
      </c>
      <c r="B2526" s="1" t="s">
        <v>2656</v>
      </c>
      <c r="C2526" s="1" t="s">
        <v>323</v>
      </c>
      <c r="D2526" s="1" t="s">
        <v>2799</v>
      </c>
      <c r="E2526" s="1" t="s">
        <v>752</v>
      </c>
      <c r="F2526" s="1" t="s">
        <v>37</v>
      </c>
      <c r="G2526" s="1" t="s">
        <v>2800</v>
      </c>
      <c r="H2526" s="1">
        <v>3486</v>
      </c>
      <c r="I2526" s="1" t="s">
        <v>2801</v>
      </c>
      <c r="J2526" s="1">
        <v>4052</v>
      </c>
      <c r="K2526" s="1" t="s">
        <v>35</v>
      </c>
      <c r="L2526" s="1">
        <v>34</v>
      </c>
      <c r="M2526" s="1" t="str">
        <f>IF(L2526&lt;=45,"Joven","Mayor")</f>
        <v>Joven</v>
      </c>
      <c r="N2526" s="1">
        <v>37</v>
      </c>
      <c r="O2526" s="1" t="s">
        <v>36</v>
      </c>
      <c r="P2526" s="1">
        <v>0.35799999999999998</v>
      </c>
      <c r="Q2526" s="1">
        <v>86.256</v>
      </c>
      <c r="R2526" s="1">
        <v>-6.3583125999999996</v>
      </c>
      <c r="S2526" s="1">
        <v>8.4086289999999995</v>
      </c>
      <c r="T2526" s="1">
        <v>14.128427500000001</v>
      </c>
      <c r="U2526" s="1">
        <v>5.7640000000000002</v>
      </c>
      <c r="V2526" s="1">
        <v>94</v>
      </c>
      <c r="W2526" s="1">
        <v>165</v>
      </c>
      <c r="X2526" s="1">
        <v>1.7553191489361701</v>
      </c>
      <c r="Y2526" s="1">
        <v>106</v>
      </c>
      <c r="Z2526" s="1">
        <v>165</v>
      </c>
      <c r="AA2526" s="1">
        <v>1.5566037735849056</v>
      </c>
      <c r="AB2526" s="1">
        <v>105.55827143693681</v>
      </c>
      <c r="AC2526" s="1">
        <v>164.64674675999231</v>
      </c>
      <c r="AD2526" s="1">
        <v>1.5597711531147653</v>
      </c>
      <c r="AE2526" t="s">
        <v>4817</v>
      </c>
      <c r="AF2526" t="str">
        <f>IF(X2526&lt;$AF$1,"Bajo","Alto")</f>
        <v>Bajo</v>
      </c>
      <c r="AG2526" t="str">
        <f>LEFT(AE2526,1)</f>
        <v>C</v>
      </c>
      <c r="AH2526" t="str">
        <f>K2526</f>
        <v>M</v>
      </c>
      <c r="AI2526" t="str">
        <f>LEFT(AF2526,1)</f>
        <v>B</v>
      </c>
      <c r="AJ2526" t="str">
        <f>LEFT(M2526,1)</f>
        <v>J</v>
      </c>
      <c r="AK2526" t="str">
        <f>_xlfn.CONCAT(AG2526,AH2526,AI2526,AJ2526)</f>
        <v>CMBJ</v>
      </c>
    </row>
    <row r="2527" spans="1:37" ht="15.75" hidden="1" customHeight="1" x14ac:dyDescent="0.2">
      <c r="A2527" s="1">
        <v>1527101</v>
      </c>
      <c r="B2527" s="1" t="s">
        <v>2077</v>
      </c>
      <c r="C2527" s="1" t="s">
        <v>57</v>
      </c>
      <c r="D2527" s="1" t="s">
        <v>2328</v>
      </c>
      <c r="E2527" s="1" t="s">
        <v>546</v>
      </c>
      <c r="F2527" s="1" t="s">
        <v>32</v>
      </c>
      <c r="G2527" s="1" t="s">
        <v>2329</v>
      </c>
      <c r="H2527" s="1">
        <v>378</v>
      </c>
      <c r="I2527" s="1" t="s">
        <v>39</v>
      </c>
      <c r="J2527" s="1">
        <v>11</v>
      </c>
      <c r="K2527" s="1" t="s">
        <v>49</v>
      </c>
      <c r="L2527" s="1">
        <v>54</v>
      </c>
      <c r="M2527" s="1" t="str">
        <f>IF(L2527&lt;=45,"Joven","Mayor")</f>
        <v>Mayor</v>
      </c>
      <c r="N2527" s="1">
        <v>59</v>
      </c>
      <c r="O2527" s="1" t="s">
        <v>50</v>
      </c>
      <c r="P2527" s="1">
        <v>0.68799999999999994</v>
      </c>
      <c r="Q2527" s="1">
        <v>73.781999999999996</v>
      </c>
      <c r="R2527" s="1">
        <v>12.051634</v>
      </c>
      <c r="S2527" s="1">
        <v>-2.0459805000000002</v>
      </c>
      <c r="T2527" s="1">
        <v>-0.11608674400000001</v>
      </c>
      <c r="U2527" s="1">
        <v>77.206000000000003</v>
      </c>
      <c r="V2527" s="1">
        <v>78</v>
      </c>
      <c r="W2527" s="1">
        <v>135</v>
      </c>
      <c r="X2527" s="1">
        <v>1.7307692307692308</v>
      </c>
      <c r="Y2527" s="1">
        <v>85</v>
      </c>
      <c r="Z2527" s="1">
        <v>135</v>
      </c>
      <c r="AA2527" s="1">
        <v>1.588235294117647</v>
      </c>
      <c r="AB2527" s="1">
        <v>85.042373519618877</v>
      </c>
      <c r="AC2527" s="1">
        <v>134.96730539600179</v>
      </c>
      <c r="AD2527" s="1">
        <v>1.587059483527532</v>
      </c>
      <c r="AE2527" t="s">
        <v>4816</v>
      </c>
      <c r="AF2527" t="str">
        <f>IF(X2527&lt;$AF$1,"Bajo","Alto")</f>
        <v>Bajo</v>
      </c>
      <c r="AG2527" t="str">
        <f>LEFT(AE2527,1)</f>
        <v>D</v>
      </c>
      <c r="AH2527" t="str">
        <f>K2527</f>
        <v>F</v>
      </c>
      <c r="AI2527" t="str">
        <f>LEFT(AF2527,1)</f>
        <v>B</v>
      </c>
      <c r="AJ2527" t="str">
        <f>LEFT(M2527,1)</f>
        <v>M</v>
      </c>
      <c r="AK2527" t="str">
        <f>_xlfn.CONCAT(AG2527,AH2527,AI2527,AJ2527)</f>
        <v>DFBM</v>
      </c>
    </row>
    <row r="2528" spans="1:37" ht="15.75" hidden="1" customHeight="1" x14ac:dyDescent="0.2">
      <c r="A2528" s="1">
        <v>247004</v>
      </c>
      <c r="B2528" s="1" t="s">
        <v>1548</v>
      </c>
      <c r="C2528" s="1" t="s">
        <v>1993</v>
      </c>
      <c r="D2528" s="1" t="s">
        <v>3154</v>
      </c>
      <c r="E2528" s="1" t="s">
        <v>720</v>
      </c>
      <c r="F2528" s="1" t="s">
        <v>61</v>
      </c>
      <c r="G2528" s="1" t="s">
        <v>3158</v>
      </c>
      <c r="H2528" s="1">
        <v>31</v>
      </c>
      <c r="I2528" s="1" t="s">
        <v>108</v>
      </c>
      <c r="J2528" s="1">
        <v>3</v>
      </c>
      <c r="K2528" s="1" t="s">
        <v>35</v>
      </c>
      <c r="L2528" s="1">
        <v>45</v>
      </c>
      <c r="M2528" s="1" t="str">
        <f>IF(L2528&lt;=45,"Joven","Mayor")</f>
        <v>Joven</v>
      </c>
      <c r="N2528" s="1">
        <v>51</v>
      </c>
      <c r="O2528" s="1" t="s">
        <v>36</v>
      </c>
      <c r="P2528" s="1">
        <v>0.379</v>
      </c>
      <c r="Q2528" s="1">
        <v>92.834999999999994</v>
      </c>
      <c r="R2528" s="1">
        <v>-0.52295599999999998</v>
      </c>
      <c r="S2528" s="1">
        <v>7.6173076999999996</v>
      </c>
      <c r="T2528" s="1">
        <v>1.0208900999999999</v>
      </c>
      <c r="U2528" s="1">
        <v>1.292</v>
      </c>
      <c r="V2528" s="1">
        <v>94</v>
      </c>
      <c r="W2528" s="1">
        <v>165</v>
      </c>
      <c r="X2528" s="1">
        <v>1.7553191489361701</v>
      </c>
      <c r="Y2528" s="1">
        <v>95</v>
      </c>
      <c r="Z2528" s="1">
        <v>165</v>
      </c>
      <c r="AA2528" s="1">
        <v>1.736842105263158</v>
      </c>
      <c r="AB2528" s="1">
        <v>95.768866059418542</v>
      </c>
      <c r="AC2528" s="1">
        <v>164.95599186241219</v>
      </c>
      <c r="AD2528" s="1">
        <v>1.7224386029596237</v>
      </c>
      <c r="AE2528" t="s">
        <v>4817</v>
      </c>
      <c r="AF2528" t="str">
        <f>IF(X2528&lt;$AF$1,"Bajo","Alto")</f>
        <v>Bajo</v>
      </c>
      <c r="AG2528" t="str">
        <f>LEFT(AE2528,1)</f>
        <v>C</v>
      </c>
      <c r="AH2528" t="str">
        <f>K2528</f>
        <v>M</v>
      </c>
      <c r="AI2528" t="str">
        <f>LEFT(AF2528,1)</f>
        <v>B</v>
      </c>
      <c r="AJ2528" t="str">
        <f>LEFT(M2528,1)</f>
        <v>J</v>
      </c>
      <c r="AK2528" t="str">
        <f>_xlfn.CONCAT(AG2528,AH2528,AI2528,AJ2528)</f>
        <v>CMBJ</v>
      </c>
    </row>
    <row r="2529" spans="1:37" ht="15.75" hidden="1" customHeight="1" x14ac:dyDescent="0.2">
      <c r="A2529" s="1">
        <v>10713604</v>
      </c>
      <c r="B2529" s="1" t="s">
        <v>1067</v>
      </c>
      <c r="C2529" s="1" t="s">
        <v>1068</v>
      </c>
      <c r="D2529" s="1" t="s">
        <v>1129</v>
      </c>
      <c r="E2529" s="1" t="s">
        <v>1130</v>
      </c>
      <c r="F2529" s="1" t="s">
        <v>61</v>
      </c>
      <c r="G2529" s="1" t="s">
        <v>1132</v>
      </c>
      <c r="H2529" s="1">
        <v>394</v>
      </c>
      <c r="I2529" s="1" t="s">
        <v>156</v>
      </c>
      <c r="J2529" s="1">
        <v>3663</v>
      </c>
      <c r="K2529" s="1" t="s">
        <v>35</v>
      </c>
      <c r="L2529" s="1">
        <v>37</v>
      </c>
      <c r="M2529" s="1" t="str">
        <f>IF(L2529&lt;=45,"Joven","Mayor")</f>
        <v>Joven</v>
      </c>
      <c r="N2529" s="1">
        <v>52</v>
      </c>
      <c r="O2529" s="1" t="s">
        <v>36</v>
      </c>
      <c r="P2529" s="1">
        <v>0.48399999999999999</v>
      </c>
      <c r="Q2529" s="1">
        <v>87.483999999999995</v>
      </c>
      <c r="R2529" s="1">
        <v>6.8900759999999996</v>
      </c>
      <c r="S2529" s="1">
        <v>4.5708302999999999</v>
      </c>
      <c r="T2529" s="1">
        <v>-6.9116759999999999</v>
      </c>
      <c r="U2529" s="1">
        <v>2.266</v>
      </c>
      <c r="V2529" s="1">
        <v>90</v>
      </c>
      <c r="W2529" s="1">
        <v>158</v>
      </c>
      <c r="X2529" s="1">
        <v>1.7555555555555555</v>
      </c>
      <c r="Y2529" s="1">
        <v>92</v>
      </c>
      <c r="Z2529" s="1">
        <v>158</v>
      </c>
      <c r="AA2529" s="1">
        <v>1.7173913043478262</v>
      </c>
      <c r="AB2529" s="1">
        <v>94.640877916320051</v>
      </c>
      <c r="AC2529" s="1">
        <v>157.3331451852996</v>
      </c>
      <c r="AD2529" s="1">
        <v>1.6624227146794965</v>
      </c>
      <c r="AE2529" t="s">
        <v>4817</v>
      </c>
      <c r="AF2529" t="str">
        <f>IF(X2529&lt;$AF$1,"Bajo","Alto")</f>
        <v>Bajo</v>
      </c>
      <c r="AG2529" t="str">
        <f>LEFT(AE2529,1)</f>
        <v>C</v>
      </c>
      <c r="AH2529" t="str">
        <f>K2529</f>
        <v>M</v>
      </c>
      <c r="AI2529" t="str">
        <f>LEFT(AF2529,1)</f>
        <v>B</v>
      </c>
      <c r="AJ2529" t="str">
        <f>LEFT(M2529,1)</f>
        <v>J</v>
      </c>
      <c r="AK2529" t="str">
        <f>_xlfn.CONCAT(AG2529,AH2529,AI2529,AJ2529)</f>
        <v>CMBJ</v>
      </c>
    </row>
    <row r="2530" spans="1:37" ht="15.75" hidden="1" customHeight="1" x14ac:dyDescent="0.2">
      <c r="A2530" s="1">
        <v>2310902</v>
      </c>
      <c r="B2530" s="1" t="s">
        <v>319</v>
      </c>
      <c r="C2530" s="1" t="s">
        <v>1989</v>
      </c>
      <c r="D2530" s="1" t="s">
        <v>2253</v>
      </c>
      <c r="E2530" s="1" t="s">
        <v>98</v>
      </c>
      <c r="F2530" s="1" t="s">
        <v>37</v>
      </c>
      <c r="G2530" s="1" t="s">
        <v>2936</v>
      </c>
      <c r="H2530" s="1">
        <v>75</v>
      </c>
      <c r="I2530" s="1" t="s">
        <v>42</v>
      </c>
      <c r="J2530" s="1">
        <v>15</v>
      </c>
      <c r="K2530" s="1" t="s">
        <v>35</v>
      </c>
      <c r="L2530" s="1">
        <v>50</v>
      </c>
      <c r="M2530" s="1" t="str">
        <f>IF(L2530&lt;=45,"Joven","Mayor")</f>
        <v>Mayor</v>
      </c>
      <c r="N2530" s="1">
        <v>60</v>
      </c>
      <c r="O2530" s="1" t="s">
        <v>36</v>
      </c>
      <c r="P2530" s="1">
        <v>0.33</v>
      </c>
      <c r="Q2530" s="1">
        <v>92.930999999999997</v>
      </c>
      <c r="R2530" s="1">
        <v>3.3977217999999998</v>
      </c>
      <c r="S2530" s="1">
        <v>0.46139464000000002</v>
      </c>
      <c r="T2530" s="1">
        <v>0.36894076999999997</v>
      </c>
      <c r="U2530" s="1">
        <v>1.577</v>
      </c>
      <c r="V2530" s="1">
        <v>73</v>
      </c>
      <c r="W2530" s="1">
        <v>128</v>
      </c>
      <c r="X2530" s="1">
        <v>1.7534246575342465</v>
      </c>
      <c r="Y2530" s="1">
        <v>73</v>
      </c>
      <c r="Z2530" s="1">
        <v>128</v>
      </c>
      <c r="AA2530" s="1">
        <v>1.7534246575342465</v>
      </c>
      <c r="AB2530" s="1">
        <v>73.198101367398749</v>
      </c>
      <c r="AC2530" s="1">
        <v>127.978028772437</v>
      </c>
      <c r="AD2530" s="1">
        <v>1.7483790751632302</v>
      </c>
      <c r="AE2530" t="s">
        <v>4817</v>
      </c>
      <c r="AF2530" t="str">
        <f>IF(X2530&lt;$AF$1,"Bajo","Alto")</f>
        <v>Bajo</v>
      </c>
      <c r="AG2530" t="str">
        <f>LEFT(AE2530,1)</f>
        <v>C</v>
      </c>
      <c r="AH2530" t="str">
        <f>K2530</f>
        <v>M</v>
      </c>
      <c r="AI2530" t="str">
        <f>LEFT(AF2530,1)</f>
        <v>B</v>
      </c>
      <c r="AJ2530" t="str">
        <f>LEFT(M2530,1)</f>
        <v>M</v>
      </c>
      <c r="AK2530" t="str">
        <f>_xlfn.CONCAT(AG2530,AH2530,AI2530,AJ2530)</f>
        <v>CMBM</v>
      </c>
    </row>
    <row r="2531" spans="1:37" ht="15.75" hidden="1" customHeight="1" x14ac:dyDescent="0.2">
      <c r="A2531" s="1">
        <v>2713303</v>
      </c>
      <c r="B2531" s="1" t="s">
        <v>3409</v>
      </c>
      <c r="C2531" s="1" t="s">
        <v>973</v>
      </c>
      <c r="D2531" s="1" t="s">
        <v>3490</v>
      </c>
      <c r="E2531" s="1" t="s">
        <v>169</v>
      </c>
      <c r="F2531" s="1" t="s">
        <v>63</v>
      </c>
      <c r="G2531" s="1" t="s">
        <v>3492</v>
      </c>
      <c r="H2531" s="1">
        <v>155</v>
      </c>
      <c r="I2531" s="1" t="s">
        <v>93</v>
      </c>
      <c r="J2531" s="1">
        <v>9</v>
      </c>
      <c r="K2531" s="1" t="s">
        <v>35</v>
      </c>
      <c r="L2531" s="1">
        <v>69</v>
      </c>
      <c r="M2531" s="1" t="str">
        <f>IF(L2531&lt;=45,"Joven","Mayor")</f>
        <v>Mayor</v>
      </c>
      <c r="N2531" s="1">
        <v>77</v>
      </c>
      <c r="O2531" s="1" t="s">
        <v>36</v>
      </c>
      <c r="P2531" s="1">
        <v>0.86599999999999999</v>
      </c>
      <c r="Q2531" s="1">
        <v>90.715000000000003</v>
      </c>
      <c r="R2531" s="1">
        <v>4.5291475999999999</v>
      </c>
      <c r="S2531" s="1">
        <v>-4.2854549999999998</v>
      </c>
      <c r="T2531" s="1">
        <v>8.5876614000000004E-2</v>
      </c>
      <c r="U2531" s="1">
        <v>3.1259999999999999</v>
      </c>
      <c r="V2531" s="1">
        <v>125</v>
      </c>
      <c r="W2531" s="1">
        <v>219</v>
      </c>
      <c r="X2531" s="1">
        <v>1.752</v>
      </c>
      <c r="Y2531" s="1">
        <v>129</v>
      </c>
      <c r="Z2531" s="1">
        <v>219</v>
      </c>
      <c r="AA2531" s="1">
        <v>1.6976744186046511</v>
      </c>
      <c r="AB2531" s="1">
        <v>128.91592067159809</v>
      </c>
      <c r="AC2531" s="1">
        <v>219.01324347128369</v>
      </c>
      <c r="AD2531" s="1">
        <v>1.698884376191212</v>
      </c>
      <c r="AE2531" t="s">
        <v>4815</v>
      </c>
      <c r="AF2531" t="str">
        <f>IF(X2531&lt;$AF$1,"Bajo","Alto")</f>
        <v>Bajo</v>
      </c>
      <c r="AG2531" t="str">
        <f>LEFT(AE2531,1)</f>
        <v>I</v>
      </c>
      <c r="AH2531" t="str">
        <f>K2531</f>
        <v>M</v>
      </c>
      <c r="AI2531" t="str">
        <f>LEFT(AF2531,1)</f>
        <v>B</v>
      </c>
      <c r="AJ2531" t="str">
        <f>LEFT(M2531,1)</f>
        <v>M</v>
      </c>
      <c r="AK2531" t="str">
        <f>_xlfn.CONCAT(AG2531,AH2531,AI2531,AJ2531)</f>
        <v>IMBM</v>
      </c>
    </row>
    <row r="2532" spans="1:37" ht="15.75" hidden="1" customHeight="1" x14ac:dyDescent="0.2">
      <c r="A2532" s="1">
        <v>10117803</v>
      </c>
      <c r="B2532" s="1" t="s">
        <v>29</v>
      </c>
      <c r="C2532" s="1" t="s">
        <v>30</v>
      </c>
      <c r="D2532" s="1" t="s">
        <v>299</v>
      </c>
      <c r="E2532" s="1" t="s">
        <v>300</v>
      </c>
      <c r="F2532" s="1" t="s">
        <v>63</v>
      </c>
      <c r="G2532" s="1" t="s">
        <v>302</v>
      </c>
      <c r="H2532" s="1">
        <v>1316</v>
      </c>
      <c r="I2532" s="1" t="s">
        <v>91</v>
      </c>
      <c r="J2532" s="1">
        <v>6</v>
      </c>
      <c r="K2532" s="1" t="s">
        <v>49</v>
      </c>
      <c r="L2532" s="1">
        <v>39</v>
      </c>
      <c r="M2532" s="1" t="str">
        <f>IF(L2532&lt;=45,"Joven","Mayor")</f>
        <v>Joven</v>
      </c>
      <c r="N2532" s="1">
        <v>32</v>
      </c>
      <c r="O2532" s="1" t="s">
        <v>50</v>
      </c>
      <c r="P2532" s="1">
        <v>0.16200000000000001</v>
      </c>
      <c r="Q2532" s="1">
        <v>87.272000000000006</v>
      </c>
      <c r="R2532" s="1">
        <v>7.6436349999999997</v>
      </c>
      <c r="S2532" s="1">
        <v>-2.1387558000000002</v>
      </c>
      <c r="T2532" s="1">
        <v>1.193886</v>
      </c>
      <c r="U2532" s="1">
        <v>36.445</v>
      </c>
      <c r="V2532" s="1">
        <v>75</v>
      </c>
      <c r="W2532" s="1">
        <v>134</v>
      </c>
      <c r="X2532" s="1">
        <v>1.7866666666666666</v>
      </c>
      <c r="Y2532" s="1">
        <v>77</v>
      </c>
      <c r="Z2532" s="1">
        <v>134</v>
      </c>
      <c r="AA2532" s="1">
        <v>1.7402597402597402</v>
      </c>
      <c r="AB2532" s="1">
        <v>76.399883720661819</v>
      </c>
      <c r="AC2532" s="1">
        <v>134.13759614976519</v>
      </c>
      <c r="AD2532" s="1">
        <v>1.755730370483386</v>
      </c>
      <c r="AE2532" t="s">
        <v>4817</v>
      </c>
      <c r="AF2532" t="str">
        <f>IF(X2532&lt;$AF$1,"Bajo","Alto")</f>
        <v>Alto</v>
      </c>
      <c r="AG2532" t="str">
        <f>LEFT(AE2532,1)</f>
        <v>C</v>
      </c>
      <c r="AH2532" t="str">
        <f>K2532</f>
        <v>F</v>
      </c>
      <c r="AI2532" t="str">
        <f>LEFT(AF2532,1)</f>
        <v>A</v>
      </c>
      <c r="AJ2532" t="str">
        <f>LEFT(M2532,1)</f>
        <v>J</v>
      </c>
      <c r="AK2532" t="str">
        <f>_xlfn.CONCAT(AG2532,AH2532,AI2532,AJ2532)</f>
        <v>CFAJ</v>
      </c>
    </row>
    <row r="2533" spans="1:37" ht="15.75" hidden="1" customHeight="1" x14ac:dyDescent="0.2">
      <c r="A2533" s="1">
        <v>213003</v>
      </c>
      <c r="B2533" s="1" t="s">
        <v>2816</v>
      </c>
      <c r="C2533" s="1" t="s">
        <v>2817</v>
      </c>
      <c r="D2533" s="1" t="s">
        <v>2858</v>
      </c>
      <c r="E2533" s="1" t="s">
        <v>2381</v>
      </c>
      <c r="F2533" s="1" t="s">
        <v>63</v>
      </c>
      <c r="G2533" s="1" t="s">
        <v>2860</v>
      </c>
      <c r="H2533" s="1">
        <v>895</v>
      </c>
      <c r="I2533" s="1" t="s">
        <v>39</v>
      </c>
      <c r="J2533" s="1">
        <v>11</v>
      </c>
      <c r="K2533" s="1" t="s">
        <v>35</v>
      </c>
      <c r="L2533" s="1">
        <v>39</v>
      </c>
      <c r="M2533" s="1" t="str">
        <f>IF(L2533&lt;=45,"Joven","Mayor")</f>
        <v>Joven</v>
      </c>
      <c r="N2533" s="1">
        <v>76</v>
      </c>
      <c r="O2533" s="1" t="s">
        <v>36</v>
      </c>
      <c r="P2533" s="1">
        <v>0.35599999999999998</v>
      </c>
      <c r="Q2533" s="1">
        <v>92.725999999999999</v>
      </c>
      <c r="R2533" s="1">
        <v>2.0676100000000002</v>
      </c>
      <c r="S2533" s="1">
        <v>5.1899632999999996</v>
      </c>
      <c r="T2533" s="1">
        <v>-1.8259396999999999</v>
      </c>
      <c r="U2533" s="1">
        <v>26.491</v>
      </c>
      <c r="V2533" s="1">
        <v>77</v>
      </c>
      <c r="W2533" s="1">
        <v>138</v>
      </c>
      <c r="X2533" s="1">
        <v>1.7922077922077921</v>
      </c>
      <c r="Y2533" s="1">
        <v>79</v>
      </c>
      <c r="Z2533" s="1">
        <v>138</v>
      </c>
      <c r="AA2533" s="1">
        <v>1.7468354430379747</v>
      </c>
      <c r="AB2533" s="1">
        <v>78.20356962666483</v>
      </c>
      <c r="AC2533" s="1">
        <v>137.92992873919371</v>
      </c>
      <c r="AD2533" s="1">
        <v>1.7637293207670175</v>
      </c>
      <c r="AE2533" t="s">
        <v>4816</v>
      </c>
      <c r="AF2533" t="str">
        <f>IF(X2533&lt;$AF$1,"Bajo","Alto")</f>
        <v>Alto</v>
      </c>
      <c r="AG2533" t="str">
        <f>LEFT(AE2533,1)</f>
        <v>D</v>
      </c>
      <c r="AH2533" t="str">
        <f>K2533</f>
        <v>M</v>
      </c>
      <c r="AI2533" t="str">
        <f>LEFT(AF2533,1)</f>
        <v>A</v>
      </c>
      <c r="AJ2533" t="str">
        <f>LEFT(M2533,1)</f>
        <v>J</v>
      </c>
      <c r="AK2533" t="str">
        <f>_xlfn.CONCAT(AG2533,AH2533,AI2533,AJ2533)</f>
        <v>DMAJ</v>
      </c>
    </row>
    <row r="2534" spans="1:37" ht="15.75" hidden="1" customHeight="1" x14ac:dyDescent="0.2">
      <c r="A2534" s="1">
        <v>401502</v>
      </c>
      <c r="B2534" s="1" t="s">
        <v>4287</v>
      </c>
      <c r="C2534" s="1" t="s">
        <v>657</v>
      </c>
      <c r="D2534" s="1" t="s">
        <v>4296</v>
      </c>
      <c r="E2534" s="1" t="s">
        <v>57</v>
      </c>
      <c r="F2534" s="1" t="s">
        <v>37</v>
      </c>
      <c r="G2534" s="1" t="s">
        <v>4298</v>
      </c>
      <c r="H2534" s="1">
        <v>180</v>
      </c>
      <c r="I2534" s="1" t="s">
        <v>39</v>
      </c>
      <c r="J2534" s="1">
        <v>11</v>
      </c>
      <c r="K2534" s="1" t="s">
        <v>35</v>
      </c>
      <c r="L2534" s="1">
        <v>40</v>
      </c>
      <c r="M2534" s="1" t="str">
        <f>IF(L2534&lt;=45,"Joven","Mayor")</f>
        <v>Joven</v>
      </c>
      <c r="N2534" s="1">
        <v>39</v>
      </c>
      <c r="O2534" s="1" t="s">
        <v>36</v>
      </c>
      <c r="P2534" s="1">
        <v>0.217</v>
      </c>
      <c r="Q2534" s="1">
        <v>86.622</v>
      </c>
      <c r="R2534" s="1">
        <v>6.8265852999999996</v>
      </c>
      <c r="S2534" s="1">
        <v>6.6541810000000003</v>
      </c>
      <c r="T2534" s="1">
        <v>1.8247578</v>
      </c>
      <c r="U2534" s="1">
        <v>4.0720000000000001</v>
      </c>
      <c r="V2534" s="1">
        <v>111</v>
      </c>
      <c r="W2534" s="1">
        <v>195</v>
      </c>
      <c r="X2534" s="1">
        <v>1.7567567567567568</v>
      </c>
      <c r="Y2534" s="1">
        <v>112</v>
      </c>
      <c r="Z2534" s="1">
        <v>195</v>
      </c>
      <c r="AA2534" s="1">
        <v>1.7410714285714286</v>
      </c>
      <c r="AB2534" s="1">
        <v>113.7582351004194</v>
      </c>
      <c r="AC2534" s="1">
        <v>195.0921702776773</v>
      </c>
      <c r="AD2534" s="1">
        <v>1.7149718445039241</v>
      </c>
      <c r="AE2534" t="s">
        <v>4816</v>
      </c>
      <c r="AF2534" t="str">
        <f>IF(X2534&lt;$AF$1,"Bajo","Alto")</f>
        <v>Bajo</v>
      </c>
      <c r="AG2534" t="str">
        <f>LEFT(AE2534,1)</f>
        <v>D</v>
      </c>
      <c r="AH2534" t="str">
        <f>K2534</f>
        <v>M</v>
      </c>
      <c r="AI2534" t="str">
        <f>LEFT(AF2534,1)</f>
        <v>B</v>
      </c>
      <c r="AJ2534" t="str">
        <f>LEFT(M2534,1)</f>
        <v>J</v>
      </c>
      <c r="AK2534" t="str">
        <f>_xlfn.CONCAT(AG2534,AH2534,AI2534,AJ2534)</f>
        <v>DMBJ</v>
      </c>
    </row>
    <row r="2535" spans="1:37" ht="15.75" hidden="1" customHeight="1" x14ac:dyDescent="0.2">
      <c r="A2535" s="1">
        <v>298905</v>
      </c>
      <c r="B2535" s="1" t="s">
        <v>3890</v>
      </c>
      <c r="C2535" s="1" t="s">
        <v>1695</v>
      </c>
      <c r="D2535" s="1" t="s">
        <v>4099</v>
      </c>
      <c r="E2535" s="1" t="s">
        <v>4100</v>
      </c>
      <c r="F2535" s="1" t="s">
        <v>40</v>
      </c>
      <c r="G2535" s="1" t="s">
        <v>4105</v>
      </c>
      <c r="H2535" s="1">
        <v>373</v>
      </c>
      <c r="I2535" s="1" t="s">
        <v>65</v>
      </c>
      <c r="J2535" s="1">
        <v>2</v>
      </c>
      <c r="K2535" s="1" t="s">
        <v>49</v>
      </c>
      <c r="L2535" s="1">
        <v>60</v>
      </c>
      <c r="M2535" s="1" t="str">
        <f>IF(L2535&lt;=45,"Joven","Mayor")</f>
        <v>Mayor</v>
      </c>
      <c r="N2535" s="1">
        <v>60</v>
      </c>
      <c r="O2535" s="1" t="s">
        <v>50</v>
      </c>
      <c r="P2535" s="1">
        <v>0.15</v>
      </c>
      <c r="Q2535" s="1">
        <v>84.900999999999996</v>
      </c>
      <c r="R2535" s="1">
        <v>8.8397210000000008</v>
      </c>
      <c r="S2535" s="1">
        <v>1.7730845</v>
      </c>
      <c r="T2535" s="1">
        <v>-2.8785036000000002</v>
      </c>
      <c r="U2535" s="1">
        <v>10.635</v>
      </c>
      <c r="V2535" s="1">
        <v>85</v>
      </c>
      <c r="W2535" s="1">
        <v>149</v>
      </c>
      <c r="X2535" s="1">
        <v>1.7529411764705882</v>
      </c>
      <c r="Y2535" s="1">
        <v>86</v>
      </c>
      <c r="Z2535" s="1">
        <v>149</v>
      </c>
      <c r="AA2535" s="1">
        <v>1.7325581395348837</v>
      </c>
      <c r="AB2535" s="1">
        <v>86.700609248177216</v>
      </c>
      <c r="AC2535" s="1">
        <v>148.66134730461411</v>
      </c>
      <c r="AD2535" s="1">
        <v>1.714651703070236</v>
      </c>
      <c r="AE2535" t="s">
        <v>4817</v>
      </c>
      <c r="AF2535" t="str">
        <f>IF(X2535&lt;$AF$1,"Bajo","Alto")</f>
        <v>Bajo</v>
      </c>
      <c r="AG2535" t="str">
        <f>LEFT(AE2535,1)</f>
        <v>C</v>
      </c>
      <c r="AH2535" t="str">
        <f>K2535</f>
        <v>F</v>
      </c>
      <c r="AI2535" t="str">
        <f>LEFT(AF2535,1)</f>
        <v>B</v>
      </c>
      <c r="AJ2535" t="str">
        <f>LEFT(M2535,1)</f>
        <v>M</v>
      </c>
      <c r="AK2535" t="str">
        <f>_xlfn.CONCAT(AG2535,AH2535,AI2535,AJ2535)</f>
        <v>CFBM</v>
      </c>
    </row>
    <row r="2536" spans="1:37" ht="15.75" hidden="1" customHeight="1" x14ac:dyDescent="0.2">
      <c r="A2536" s="1">
        <v>440404</v>
      </c>
      <c r="B2536" s="1" t="s">
        <v>4314</v>
      </c>
      <c r="C2536" s="1" t="s">
        <v>995</v>
      </c>
      <c r="D2536" s="1" t="s">
        <v>4329</v>
      </c>
      <c r="E2536" s="1" t="s">
        <v>61</v>
      </c>
      <c r="F2536" s="1" t="s">
        <v>61</v>
      </c>
      <c r="G2536" s="1" t="s">
        <v>4332</v>
      </c>
      <c r="H2536" s="1">
        <v>2427</v>
      </c>
      <c r="I2536" s="1" t="s">
        <v>65</v>
      </c>
      <c r="J2536" s="1">
        <v>2</v>
      </c>
      <c r="K2536" s="1" t="s">
        <v>35</v>
      </c>
      <c r="L2536" s="1">
        <v>32</v>
      </c>
      <c r="M2536" s="1" t="str">
        <f>IF(L2536&lt;=45,"Joven","Mayor")</f>
        <v>Joven</v>
      </c>
      <c r="N2536" s="1">
        <v>35</v>
      </c>
      <c r="O2536" s="1" t="s">
        <v>36</v>
      </c>
      <c r="P2536" s="1">
        <v>0.34699999999999998</v>
      </c>
      <c r="Q2536" s="1">
        <v>92.789000000000001</v>
      </c>
      <c r="R2536" s="1">
        <v>2.3090700000000002</v>
      </c>
      <c r="S2536" s="1">
        <v>4.4367219999999996</v>
      </c>
      <c r="T2536" s="1">
        <v>-3.0229240000000002</v>
      </c>
      <c r="U2536" s="1">
        <v>49.613</v>
      </c>
      <c r="V2536" s="1">
        <v>90</v>
      </c>
      <c r="W2536" s="1">
        <v>158</v>
      </c>
      <c r="X2536" s="1">
        <v>1.7555555555555555</v>
      </c>
      <c r="Y2536" s="1">
        <v>93</v>
      </c>
      <c r="Z2536" s="1">
        <v>158</v>
      </c>
      <c r="AA2536" s="1">
        <v>1.6989247311827957</v>
      </c>
      <c r="AB2536" s="1">
        <v>92.142393001166283</v>
      </c>
      <c r="AC2536" s="1">
        <v>158.14929392998971</v>
      </c>
      <c r="AD2536" s="1">
        <v>1.7163575720025845</v>
      </c>
      <c r="AE2536" t="s">
        <v>4817</v>
      </c>
      <c r="AF2536" t="str">
        <f>IF(X2536&lt;$AF$1,"Bajo","Alto")</f>
        <v>Bajo</v>
      </c>
      <c r="AG2536" t="str">
        <f>LEFT(AE2536,1)</f>
        <v>C</v>
      </c>
      <c r="AH2536" t="str">
        <f>K2536</f>
        <v>M</v>
      </c>
      <c r="AI2536" t="str">
        <f>LEFT(AF2536,1)</f>
        <v>B</v>
      </c>
      <c r="AJ2536" t="str">
        <f>LEFT(M2536,1)</f>
        <v>J</v>
      </c>
      <c r="AK2536" t="str">
        <f>_xlfn.CONCAT(AG2536,AH2536,AI2536,AJ2536)</f>
        <v>CMBJ</v>
      </c>
    </row>
    <row r="2537" spans="1:37" ht="15.75" hidden="1" customHeight="1" x14ac:dyDescent="0.2">
      <c r="A2537" s="1">
        <v>2719302</v>
      </c>
      <c r="B2537" s="1" t="s">
        <v>3409</v>
      </c>
      <c r="C2537" s="1" t="s">
        <v>973</v>
      </c>
      <c r="D2537" s="1" t="s">
        <v>3604</v>
      </c>
      <c r="E2537" s="1" t="s">
        <v>342</v>
      </c>
      <c r="F2537" s="1" t="s">
        <v>37</v>
      </c>
      <c r="G2537" s="1" t="s">
        <v>3606</v>
      </c>
      <c r="H2537" s="1">
        <v>75</v>
      </c>
      <c r="I2537" s="1" t="s">
        <v>87</v>
      </c>
      <c r="J2537" s="1">
        <v>14</v>
      </c>
      <c r="K2537" s="1" t="s">
        <v>35</v>
      </c>
      <c r="L2537" s="1">
        <v>58</v>
      </c>
      <c r="M2537" s="1" t="str">
        <f>IF(L2537&lt;=45,"Joven","Mayor")</f>
        <v>Mayor</v>
      </c>
      <c r="N2537" s="1">
        <v>69</v>
      </c>
      <c r="O2537" s="1" t="s">
        <v>36</v>
      </c>
      <c r="P2537" s="1">
        <v>3.6999999999999998E-2</v>
      </c>
      <c r="Q2537" s="1">
        <v>89.366</v>
      </c>
      <c r="R2537" s="1">
        <v>1.4814202000000001</v>
      </c>
      <c r="S2537" s="1">
        <v>12.566824</v>
      </c>
      <c r="T2537" s="1">
        <v>-2.2282236000000002</v>
      </c>
      <c r="U2537" s="1">
        <v>0.54100000000000004</v>
      </c>
      <c r="V2537" s="1">
        <v>108</v>
      </c>
      <c r="W2537" s="1">
        <v>192</v>
      </c>
      <c r="X2537" s="1">
        <v>1.7777777777777777</v>
      </c>
      <c r="Y2537" s="1">
        <v>112</v>
      </c>
      <c r="Z2537" s="1">
        <v>192</v>
      </c>
      <c r="AA2537" s="1">
        <v>1.7142857142857142</v>
      </c>
      <c r="AB2537" s="1">
        <v>114.1314772369963</v>
      </c>
      <c r="AC2537" s="1">
        <v>192.08810624068289</v>
      </c>
      <c r="AD2537" s="1">
        <v>1.6830423200587168</v>
      </c>
      <c r="AE2537" t="s">
        <v>4816</v>
      </c>
      <c r="AF2537" t="str">
        <f>IF(X2537&lt;$AF$1,"Bajo","Alto")</f>
        <v>Alto</v>
      </c>
      <c r="AG2537" t="str">
        <f>LEFT(AE2537,1)</f>
        <v>D</v>
      </c>
      <c r="AH2537" t="str">
        <f>K2537</f>
        <v>M</v>
      </c>
      <c r="AI2537" t="str">
        <f>LEFT(AF2537,1)</f>
        <v>A</v>
      </c>
      <c r="AJ2537" t="str">
        <f>LEFT(M2537,1)</f>
        <v>M</v>
      </c>
      <c r="AK2537" t="str">
        <f>_xlfn.CONCAT(AG2537,AH2537,AI2537,AJ2537)</f>
        <v>DMAM</v>
      </c>
    </row>
    <row r="2538" spans="1:37" ht="15.75" hidden="1" customHeight="1" x14ac:dyDescent="0.2">
      <c r="A2538" s="1">
        <v>10114502</v>
      </c>
      <c r="B2538" s="1" t="s">
        <v>29</v>
      </c>
      <c r="C2538" s="1" t="s">
        <v>30</v>
      </c>
      <c r="D2538" s="1" t="s">
        <v>192</v>
      </c>
      <c r="E2538" s="1" t="s">
        <v>193</v>
      </c>
      <c r="F2538" s="1" t="s">
        <v>37</v>
      </c>
      <c r="G2538" s="1" t="s">
        <v>195</v>
      </c>
      <c r="H2538" s="1">
        <v>138</v>
      </c>
      <c r="I2538" s="1" t="s">
        <v>65</v>
      </c>
      <c r="J2538" s="1">
        <v>2</v>
      </c>
      <c r="K2538" s="1" t="s">
        <v>49</v>
      </c>
      <c r="L2538" s="1">
        <v>43</v>
      </c>
      <c r="M2538" s="1" t="str">
        <f>IF(L2538&lt;=45,"Joven","Mayor")</f>
        <v>Joven</v>
      </c>
      <c r="N2538" s="1">
        <v>36</v>
      </c>
      <c r="O2538" s="1" t="s">
        <v>50</v>
      </c>
      <c r="P2538" s="1">
        <v>0.35</v>
      </c>
      <c r="Q2538" s="1">
        <v>71.606999999999999</v>
      </c>
      <c r="R2538" s="1">
        <v>-11.830864</v>
      </c>
      <c r="S2538" s="1">
        <v>6.5836835000000002</v>
      </c>
      <c r="T2538" s="1">
        <v>18.435424999999999</v>
      </c>
      <c r="U2538" s="1">
        <v>78.653999999999996</v>
      </c>
      <c r="V2538" s="1">
        <v>66</v>
      </c>
      <c r="W2538" s="1">
        <v>116</v>
      </c>
      <c r="X2538" s="1">
        <v>1.7575757575757576</v>
      </c>
      <c r="Y2538" s="1">
        <v>83</v>
      </c>
      <c r="Z2538" s="1">
        <v>116</v>
      </c>
      <c r="AA2538" s="1">
        <v>1.3975903614457832</v>
      </c>
      <c r="AB2538" s="1">
        <v>76.527292829616272</v>
      </c>
      <c r="AC2538" s="1">
        <v>118.2690846175005</v>
      </c>
      <c r="AD2538" s="1">
        <v>1.5454497375311576</v>
      </c>
      <c r="AE2538" t="s">
        <v>4817</v>
      </c>
      <c r="AF2538" t="str">
        <f>IF(X2538&lt;$AF$1,"Bajo","Alto")</f>
        <v>Bajo</v>
      </c>
      <c r="AG2538" t="str">
        <f>LEFT(AE2538,1)</f>
        <v>C</v>
      </c>
      <c r="AH2538" t="str">
        <f>K2538</f>
        <v>F</v>
      </c>
      <c r="AI2538" t="str">
        <f>LEFT(AF2538,1)</f>
        <v>B</v>
      </c>
      <c r="AJ2538" t="str">
        <f>LEFT(M2538,1)</f>
        <v>J</v>
      </c>
      <c r="AK2538" t="str">
        <f>_xlfn.CONCAT(AG2538,AH2538,AI2538,AJ2538)</f>
        <v>CFBJ</v>
      </c>
    </row>
    <row r="2539" spans="1:37" ht="15.75" hidden="1" customHeight="1" x14ac:dyDescent="0.2">
      <c r="A2539" s="1">
        <v>1050108</v>
      </c>
      <c r="B2539" s="1" t="s">
        <v>694</v>
      </c>
      <c r="C2539" s="1" t="s">
        <v>879</v>
      </c>
      <c r="D2539" s="1" t="s">
        <v>880</v>
      </c>
      <c r="E2539" s="1" t="s">
        <v>32</v>
      </c>
      <c r="F2539" s="1" t="s">
        <v>46</v>
      </c>
      <c r="G2539" s="1" t="s">
        <v>883</v>
      </c>
      <c r="H2539" s="1">
        <v>1785</v>
      </c>
      <c r="I2539" s="1" t="s">
        <v>73</v>
      </c>
      <c r="J2539" s="1">
        <v>5</v>
      </c>
      <c r="K2539" s="1" t="s">
        <v>35</v>
      </c>
      <c r="L2539" s="1">
        <v>63</v>
      </c>
      <c r="M2539" s="1" t="str">
        <f>IF(L2539&lt;=45,"Joven","Mayor")</f>
        <v>Mayor</v>
      </c>
      <c r="N2539" s="1">
        <v>59</v>
      </c>
      <c r="O2539" s="1" t="s">
        <v>36</v>
      </c>
      <c r="P2539" s="1">
        <v>3.6999999999999998E-2</v>
      </c>
      <c r="Q2539" s="1">
        <v>91.974000000000004</v>
      </c>
      <c r="R2539" s="1">
        <v>3.1771896000000002</v>
      </c>
      <c r="S2539" s="1">
        <v>5.1667139999999998</v>
      </c>
      <c r="T2539" s="1">
        <v>0.14005153000000001</v>
      </c>
      <c r="U2539" s="1">
        <v>1.353</v>
      </c>
      <c r="V2539" s="1">
        <v>122</v>
      </c>
      <c r="W2539" s="1">
        <v>214</v>
      </c>
      <c r="X2539" s="1">
        <v>1.7540983606557377</v>
      </c>
      <c r="Y2539" s="1">
        <v>125</v>
      </c>
      <c r="Z2539" s="1">
        <v>214</v>
      </c>
      <c r="AA2539" s="1">
        <v>1.712</v>
      </c>
      <c r="AB2539" s="1">
        <v>125.1071783161201</v>
      </c>
      <c r="AC2539" s="1">
        <v>213.9822501810909</v>
      </c>
      <c r="AD2539" s="1">
        <v>1.7103914664305016</v>
      </c>
      <c r="AE2539" t="s">
        <v>4817</v>
      </c>
      <c r="AF2539" t="str">
        <f>IF(X2539&lt;$AF$1,"Bajo","Alto")</f>
        <v>Bajo</v>
      </c>
      <c r="AG2539" t="str">
        <f>LEFT(AE2539,1)</f>
        <v>C</v>
      </c>
      <c r="AH2539" t="str">
        <f>K2539</f>
        <v>M</v>
      </c>
      <c r="AI2539" t="str">
        <f>LEFT(AF2539,1)</f>
        <v>B</v>
      </c>
      <c r="AJ2539" t="str">
        <f>LEFT(M2539,1)</f>
        <v>M</v>
      </c>
      <c r="AK2539" t="str">
        <f>_xlfn.CONCAT(AG2539,AH2539,AI2539,AJ2539)</f>
        <v>CMBM</v>
      </c>
    </row>
    <row r="2540" spans="1:37" ht="15.75" hidden="1" customHeight="1" x14ac:dyDescent="0.2">
      <c r="A2540" s="1">
        <v>217901</v>
      </c>
      <c r="B2540" s="1" t="s">
        <v>2816</v>
      </c>
      <c r="C2540" s="1" t="s">
        <v>2817</v>
      </c>
      <c r="D2540" s="1" t="s">
        <v>2905</v>
      </c>
      <c r="E2540" s="1" t="s">
        <v>739</v>
      </c>
      <c r="F2540" s="1" t="s">
        <v>32</v>
      </c>
      <c r="G2540" s="1" t="s">
        <v>2906</v>
      </c>
      <c r="H2540" s="1">
        <v>1314</v>
      </c>
      <c r="I2540" s="1" t="s">
        <v>100</v>
      </c>
      <c r="J2540" s="1">
        <v>1</v>
      </c>
      <c r="K2540" s="1" t="s">
        <v>35</v>
      </c>
      <c r="L2540" s="1">
        <v>60</v>
      </c>
      <c r="M2540" s="1" t="str">
        <f>IF(L2540&lt;=45,"Joven","Mayor")</f>
        <v>Mayor</v>
      </c>
      <c r="N2540" s="1">
        <v>62</v>
      </c>
      <c r="O2540" s="1" t="s">
        <v>36</v>
      </c>
      <c r="P2540" s="1">
        <v>1.139</v>
      </c>
      <c r="Q2540" s="1">
        <v>85.334000000000003</v>
      </c>
      <c r="R2540" s="1">
        <v>-7.1975429999999996</v>
      </c>
      <c r="S2540" s="1">
        <v>-6.9008669999999999</v>
      </c>
      <c r="T2540" s="1">
        <v>3.5417573</v>
      </c>
      <c r="U2540" s="1">
        <v>0.221</v>
      </c>
      <c r="V2540" s="1">
        <v>93</v>
      </c>
      <c r="W2540" s="1">
        <v>166</v>
      </c>
      <c r="X2540" s="1">
        <v>1.7849462365591398</v>
      </c>
      <c r="Y2540" s="1">
        <v>99</v>
      </c>
      <c r="Z2540" s="1">
        <v>166</v>
      </c>
      <c r="AA2540" s="1">
        <v>1.6767676767676767</v>
      </c>
      <c r="AB2540" s="1">
        <v>95.722115748116721</v>
      </c>
      <c r="AC2540" s="1">
        <v>165.55939487750541</v>
      </c>
      <c r="AD2540" s="1">
        <v>1.7295835302382845</v>
      </c>
      <c r="AE2540" t="s">
        <v>4817</v>
      </c>
      <c r="AF2540" t="str">
        <f>IF(X2540&lt;$AF$1,"Bajo","Alto")</f>
        <v>Alto</v>
      </c>
      <c r="AG2540" t="str">
        <f>LEFT(AE2540,1)</f>
        <v>C</v>
      </c>
      <c r="AH2540" t="str">
        <f>K2540</f>
        <v>M</v>
      </c>
      <c r="AI2540" t="str">
        <f>LEFT(AF2540,1)</f>
        <v>A</v>
      </c>
      <c r="AJ2540" t="str">
        <f>LEFT(M2540,1)</f>
        <v>M</v>
      </c>
      <c r="AK2540" t="str">
        <f>_xlfn.CONCAT(AG2540,AH2540,AI2540,AJ2540)</f>
        <v>CMAM</v>
      </c>
    </row>
    <row r="2541" spans="1:37" ht="15.75" hidden="1" customHeight="1" x14ac:dyDescent="0.2">
      <c r="A2541" s="1">
        <v>10119601</v>
      </c>
      <c r="B2541" s="1" t="s">
        <v>29</v>
      </c>
      <c r="C2541" s="1" t="s">
        <v>30</v>
      </c>
      <c r="D2541" s="1" t="s">
        <v>345</v>
      </c>
      <c r="E2541" s="1" t="s">
        <v>346</v>
      </c>
      <c r="F2541" s="1" t="s">
        <v>32</v>
      </c>
      <c r="G2541" s="1" t="s">
        <v>347</v>
      </c>
      <c r="H2541" s="1">
        <v>1276</v>
      </c>
      <c r="I2541" s="1" t="s">
        <v>39</v>
      </c>
      <c r="J2541" s="1">
        <v>11</v>
      </c>
      <c r="K2541" s="1" t="s">
        <v>35</v>
      </c>
      <c r="L2541" s="1">
        <v>34</v>
      </c>
      <c r="M2541" s="1" t="str">
        <f>IF(L2541&lt;=45,"Joven","Mayor")</f>
        <v>Joven</v>
      </c>
      <c r="N2541" s="1">
        <v>37</v>
      </c>
      <c r="O2541" s="1" t="s">
        <v>36</v>
      </c>
      <c r="P2541" s="1">
        <v>9.6000000000000002E-2</v>
      </c>
      <c r="Q2541" s="1">
        <v>93.718000000000004</v>
      </c>
      <c r="R2541" s="1">
        <v>-0.11041769</v>
      </c>
      <c r="S2541" s="1">
        <v>5.8947609999999999</v>
      </c>
      <c r="T2541" s="1">
        <v>0.94190779999999996</v>
      </c>
      <c r="U2541" s="1">
        <v>4.226</v>
      </c>
      <c r="V2541" s="1">
        <v>90</v>
      </c>
      <c r="W2541" s="1">
        <v>161</v>
      </c>
      <c r="X2541" s="1">
        <v>1.788888888888889</v>
      </c>
      <c r="Y2541" s="1">
        <v>91</v>
      </c>
      <c r="Z2541" s="1">
        <v>161</v>
      </c>
      <c r="AA2541" s="1">
        <v>1.7692307692307692</v>
      </c>
      <c r="AB2541" s="1">
        <v>90.694700892748415</v>
      </c>
      <c r="AC2541" s="1">
        <v>160.96180642154511</v>
      </c>
      <c r="AD2541" s="1">
        <v>1.7747652821733377</v>
      </c>
      <c r="AE2541" t="s">
        <v>4816</v>
      </c>
      <c r="AF2541" t="str">
        <f>IF(X2541&lt;$AF$1,"Bajo","Alto")</f>
        <v>Alto</v>
      </c>
      <c r="AG2541" t="str">
        <f>LEFT(AE2541,1)</f>
        <v>D</v>
      </c>
      <c r="AH2541" t="str">
        <f>K2541</f>
        <v>M</v>
      </c>
      <c r="AI2541" t="str">
        <f>LEFT(AF2541,1)</f>
        <v>A</v>
      </c>
      <c r="AJ2541" t="str">
        <f>LEFT(M2541,1)</f>
        <v>J</v>
      </c>
      <c r="AK2541" t="str">
        <f>_xlfn.CONCAT(AG2541,AH2541,AI2541,AJ2541)</f>
        <v>DMAJ</v>
      </c>
    </row>
    <row r="2542" spans="1:37" ht="15.75" hidden="1" customHeight="1" x14ac:dyDescent="0.2">
      <c r="A2542" s="1">
        <v>1076701</v>
      </c>
      <c r="B2542" s="1" t="s">
        <v>1067</v>
      </c>
      <c r="C2542" s="1" t="s">
        <v>1068</v>
      </c>
      <c r="D2542" s="1" t="s">
        <v>1467</v>
      </c>
      <c r="E2542" s="1" t="s">
        <v>715</v>
      </c>
      <c r="F2542" s="1" t="s">
        <v>32</v>
      </c>
      <c r="G2542" s="1" t="s">
        <v>1468</v>
      </c>
      <c r="H2542" s="1">
        <v>1637</v>
      </c>
      <c r="I2542" s="1" t="s">
        <v>39</v>
      </c>
      <c r="J2542" s="1">
        <v>11</v>
      </c>
      <c r="K2542" s="1" t="s">
        <v>35</v>
      </c>
      <c r="L2542" s="1">
        <v>57</v>
      </c>
      <c r="M2542" s="1" t="str">
        <f>IF(L2542&lt;=45,"Joven","Mayor")</f>
        <v>Mayor</v>
      </c>
      <c r="N2542" s="1">
        <v>64</v>
      </c>
      <c r="O2542" s="1" t="s">
        <v>36</v>
      </c>
      <c r="P2542" s="1">
        <v>3.2000000000000001E-2</v>
      </c>
      <c r="Q2542" s="1">
        <v>82.022000000000006</v>
      </c>
      <c r="R2542" s="1">
        <v>9.5109169999999992</v>
      </c>
      <c r="S2542" s="1">
        <v>4.2608924000000004</v>
      </c>
      <c r="T2542" s="1">
        <v>-8.3031769999999998</v>
      </c>
      <c r="U2542" s="1">
        <v>0.84299999999999997</v>
      </c>
      <c r="V2542" s="1">
        <v>76</v>
      </c>
      <c r="W2542" s="1">
        <v>135</v>
      </c>
      <c r="X2542" s="1">
        <v>1.7763157894736843</v>
      </c>
      <c r="Y2542" s="1">
        <v>81</v>
      </c>
      <c r="Z2542" s="1">
        <v>135</v>
      </c>
      <c r="AA2542" s="1">
        <v>1.6666666666666667</v>
      </c>
      <c r="AB2542" s="1">
        <v>81.557438558051217</v>
      </c>
      <c r="AC2542" s="1">
        <v>135.02901141289291</v>
      </c>
      <c r="AD2542" s="1">
        <v>1.6556308510937543</v>
      </c>
      <c r="AE2542" t="s">
        <v>4816</v>
      </c>
      <c r="AF2542" t="str">
        <f>IF(X2542&lt;$AF$1,"Bajo","Alto")</f>
        <v>Alto</v>
      </c>
      <c r="AG2542" t="str">
        <f>LEFT(AE2542,1)</f>
        <v>D</v>
      </c>
      <c r="AH2542" t="str">
        <f>K2542</f>
        <v>M</v>
      </c>
      <c r="AI2542" t="str">
        <f>LEFT(AF2542,1)</f>
        <v>A</v>
      </c>
      <c r="AJ2542" t="str">
        <f>LEFT(M2542,1)</f>
        <v>M</v>
      </c>
      <c r="AK2542" t="str">
        <f>_xlfn.CONCAT(AG2542,AH2542,AI2542,AJ2542)</f>
        <v>DMAM</v>
      </c>
    </row>
    <row r="2543" spans="1:37" ht="15.75" hidden="1" customHeight="1" x14ac:dyDescent="0.2">
      <c r="A2543" s="1">
        <v>524601</v>
      </c>
      <c r="B2543" s="1" t="s">
        <v>4529</v>
      </c>
      <c r="C2543" s="1" t="s">
        <v>685</v>
      </c>
      <c r="D2543" s="1" t="s">
        <v>4626</v>
      </c>
      <c r="E2543" s="1" t="s">
        <v>669</v>
      </c>
      <c r="F2543" s="1" t="s">
        <v>32</v>
      </c>
      <c r="G2543" s="1" t="s">
        <v>4627</v>
      </c>
      <c r="H2543" s="1">
        <v>34</v>
      </c>
      <c r="I2543" s="1" t="s">
        <v>87</v>
      </c>
      <c r="J2543" s="1">
        <v>14</v>
      </c>
      <c r="K2543" s="1" t="s">
        <v>49</v>
      </c>
      <c r="L2543" s="1">
        <v>45</v>
      </c>
      <c r="M2543" s="1" t="str">
        <f>IF(L2543&lt;=45,"Joven","Mayor")</f>
        <v>Joven</v>
      </c>
      <c r="N2543" s="1">
        <v>52</v>
      </c>
      <c r="O2543" s="1" t="s">
        <v>50</v>
      </c>
      <c r="P2543" s="1">
        <v>0.41399999999999998</v>
      </c>
      <c r="Q2543" s="1">
        <v>92.506</v>
      </c>
      <c r="R2543" s="1">
        <v>3.9443510000000002</v>
      </c>
      <c r="S2543" s="1">
        <v>0.20960142000000001</v>
      </c>
      <c r="T2543" s="1">
        <v>-4.0207724999999996</v>
      </c>
      <c r="U2543" s="1">
        <v>54.338000000000001</v>
      </c>
      <c r="V2543" s="1">
        <v>60</v>
      </c>
      <c r="W2543" s="1">
        <v>103</v>
      </c>
      <c r="X2543" s="1">
        <v>1.7166666666666666</v>
      </c>
      <c r="Y2543" s="1">
        <v>62</v>
      </c>
      <c r="Z2543" s="1">
        <v>103</v>
      </c>
      <c r="AA2543" s="1">
        <v>1.6612903225806452</v>
      </c>
      <c r="AB2543" s="1">
        <v>61.675393173148223</v>
      </c>
      <c r="AC2543" s="1">
        <v>102.6763674086114</v>
      </c>
      <c r="AD2543" s="1">
        <v>1.6647865887187223</v>
      </c>
      <c r="AE2543" t="s">
        <v>4816</v>
      </c>
      <c r="AF2543" t="str">
        <f>IF(X2543&lt;$AF$1,"Bajo","Alto")</f>
        <v>Bajo</v>
      </c>
      <c r="AG2543" t="str">
        <f>LEFT(AE2543,1)</f>
        <v>D</v>
      </c>
      <c r="AH2543" t="str">
        <f>K2543</f>
        <v>F</v>
      </c>
      <c r="AI2543" t="str">
        <f>LEFT(AF2543,1)</f>
        <v>B</v>
      </c>
      <c r="AJ2543" t="str">
        <f>LEFT(M2543,1)</f>
        <v>J</v>
      </c>
      <c r="AK2543" t="str">
        <f>_xlfn.CONCAT(AG2543,AH2543,AI2543,AJ2543)</f>
        <v>DFBJ</v>
      </c>
    </row>
    <row r="2544" spans="1:37" ht="15.75" hidden="1" customHeight="1" x14ac:dyDescent="0.2">
      <c r="A2544" s="1">
        <v>195601</v>
      </c>
      <c r="B2544" s="1" t="s">
        <v>2656</v>
      </c>
      <c r="C2544" s="1" t="s">
        <v>323</v>
      </c>
      <c r="D2544" s="1" t="s">
        <v>1639</v>
      </c>
      <c r="E2544" s="1" t="s">
        <v>2751</v>
      </c>
      <c r="F2544" s="1" t="s">
        <v>32</v>
      </c>
      <c r="G2544" s="1" t="s">
        <v>2752</v>
      </c>
      <c r="H2544" s="1">
        <v>1825</v>
      </c>
      <c r="I2544" s="1" t="s">
        <v>100</v>
      </c>
      <c r="J2544" s="1">
        <v>1</v>
      </c>
      <c r="K2544" s="1" t="s">
        <v>35</v>
      </c>
      <c r="L2544" s="1">
        <v>38</v>
      </c>
      <c r="M2544" s="1" t="str">
        <f>IF(L2544&lt;=45,"Joven","Mayor")</f>
        <v>Joven</v>
      </c>
      <c r="N2544" s="1">
        <v>39</v>
      </c>
      <c r="O2544" s="1" t="s">
        <v>36</v>
      </c>
      <c r="P2544" s="1">
        <v>33.008000000000003</v>
      </c>
      <c r="Q2544" s="1">
        <v>47.603000000000002</v>
      </c>
      <c r="R2544" s="1">
        <v>6.1690415999999999</v>
      </c>
      <c r="S2544" s="1">
        <v>9.7176419999999997</v>
      </c>
      <c r="T2544" s="1">
        <v>-1.3688323</v>
      </c>
      <c r="U2544" s="1">
        <v>5.593</v>
      </c>
      <c r="V2544" s="1">
        <v>131</v>
      </c>
      <c r="W2544" s="1">
        <v>230</v>
      </c>
      <c r="X2544" s="1">
        <v>1.7557251908396947</v>
      </c>
      <c r="Y2544" s="1">
        <v>132</v>
      </c>
      <c r="Z2544" s="1">
        <v>230</v>
      </c>
      <c r="AA2544" s="1">
        <v>1.7424242424242424</v>
      </c>
      <c r="AB2544" s="1">
        <v>132.25258818218839</v>
      </c>
      <c r="AC2544" s="1">
        <v>229.91047710774771</v>
      </c>
      <c r="AD2544" s="1">
        <v>1.7384194915794606</v>
      </c>
      <c r="AE2544" t="s">
        <v>4817</v>
      </c>
      <c r="AF2544" t="str">
        <f>IF(X2544&lt;$AF$1,"Bajo","Alto")</f>
        <v>Bajo</v>
      </c>
      <c r="AG2544" t="str">
        <f>LEFT(AE2544,1)</f>
        <v>C</v>
      </c>
      <c r="AH2544" t="str">
        <f>K2544</f>
        <v>M</v>
      </c>
      <c r="AI2544" t="str">
        <f>LEFT(AF2544,1)</f>
        <v>B</v>
      </c>
      <c r="AJ2544" t="str">
        <f>LEFT(M2544,1)</f>
        <v>J</v>
      </c>
      <c r="AK2544" t="str">
        <f>_xlfn.CONCAT(AG2544,AH2544,AI2544,AJ2544)</f>
        <v>CMBJ</v>
      </c>
    </row>
    <row r="2545" spans="1:37" ht="15.75" hidden="1" customHeight="1" x14ac:dyDescent="0.2">
      <c r="A2545" s="1">
        <v>1076702</v>
      </c>
      <c r="B2545" s="1" t="s">
        <v>1067</v>
      </c>
      <c r="C2545" s="1" t="s">
        <v>1068</v>
      </c>
      <c r="D2545" s="1" t="s">
        <v>1467</v>
      </c>
      <c r="E2545" s="1" t="s">
        <v>715</v>
      </c>
      <c r="F2545" s="1" t="s">
        <v>37</v>
      </c>
      <c r="G2545" s="1" t="s">
        <v>1469</v>
      </c>
      <c r="H2545" s="1">
        <v>646</v>
      </c>
      <c r="I2545" s="1" t="s">
        <v>87</v>
      </c>
      <c r="J2545" s="1">
        <v>14</v>
      </c>
      <c r="K2545" s="1" t="s">
        <v>49</v>
      </c>
      <c r="L2545" s="1">
        <v>41</v>
      </c>
      <c r="M2545" s="1" t="str">
        <f>IF(L2545&lt;=45,"Joven","Mayor")</f>
        <v>Joven</v>
      </c>
      <c r="N2545" s="1">
        <v>38</v>
      </c>
      <c r="O2545" s="1" t="s">
        <v>50</v>
      </c>
      <c r="P2545" s="1">
        <v>0.18099999999999999</v>
      </c>
      <c r="Q2545" s="1">
        <v>35.555</v>
      </c>
      <c r="R2545" s="1">
        <v>17.660011000000001</v>
      </c>
      <c r="S2545" s="1">
        <v>-4.0981730000000001</v>
      </c>
      <c r="T2545" s="1">
        <v>-3.7930839999999999</v>
      </c>
      <c r="U2545" s="1">
        <v>2.4039999999999999</v>
      </c>
      <c r="V2545" s="1">
        <v>52</v>
      </c>
      <c r="W2545" s="1">
        <v>93</v>
      </c>
      <c r="X2545" s="1">
        <v>1.7884615384615385</v>
      </c>
      <c r="Y2545" s="1">
        <v>54</v>
      </c>
      <c r="Z2545" s="1">
        <v>93</v>
      </c>
      <c r="AA2545" s="1">
        <v>1.7222222222222223</v>
      </c>
      <c r="AB2545" s="1">
        <v>55.072473130057233</v>
      </c>
      <c r="AC2545" s="1">
        <v>92.267052182664429</v>
      </c>
      <c r="AD2545" s="1">
        <v>1.6753751364092506</v>
      </c>
      <c r="AE2545" t="s">
        <v>4816</v>
      </c>
      <c r="AF2545" t="str">
        <f>IF(X2545&lt;$AF$1,"Bajo","Alto")</f>
        <v>Alto</v>
      </c>
      <c r="AG2545" t="str">
        <f>LEFT(AE2545,1)</f>
        <v>D</v>
      </c>
      <c r="AH2545" t="str">
        <f>K2545</f>
        <v>F</v>
      </c>
      <c r="AI2545" t="str">
        <f>LEFT(AF2545,1)</f>
        <v>A</v>
      </c>
      <c r="AJ2545" t="str">
        <f>LEFT(M2545,1)</f>
        <v>J</v>
      </c>
      <c r="AK2545" t="str">
        <f>_xlfn.CONCAT(AG2545,AH2545,AI2545,AJ2545)</f>
        <v>DFAJ</v>
      </c>
    </row>
    <row r="2546" spans="1:37" ht="15.75" hidden="1" customHeight="1" x14ac:dyDescent="0.2">
      <c r="A2546" s="1">
        <v>2720801</v>
      </c>
      <c r="B2546" s="1" t="s">
        <v>3409</v>
      </c>
      <c r="C2546" s="1" t="s">
        <v>973</v>
      </c>
      <c r="D2546" s="1" t="s">
        <v>3627</v>
      </c>
      <c r="E2546" s="1" t="s">
        <v>378</v>
      </c>
      <c r="F2546" s="1" t="s">
        <v>32</v>
      </c>
      <c r="G2546" s="1" t="s">
        <v>3628</v>
      </c>
      <c r="H2546" s="1">
        <v>1513</v>
      </c>
      <c r="I2546" s="1" t="s">
        <v>3629</v>
      </c>
      <c r="J2546" s="1">
        <v>3940</v>
      </c>
      <c r="K2546" s="1" t="s">
        <v>49</v>
      </c>
      <c r="L2546" s="1">
        <v>49</v>
      </c>
      <c r="M2546" s="1" t="str">
        <f>IF(L2546&lt;=45,"Joven","Mayor")</f>
        <v>Mayor</v>
      </c>
      <c r="N2546" s="1">
        <v>56</v>
      </c>
      <c r="O2546" s="1" t="s">
        <v>50</v>
      </c>
      <c r="P2546" s="1">
        <v>8.2000000000000003E-2</v>
      </c>
      <c r="Q2546" s="1">
        <v>24.045999999999999</v>
      </c>
      <c r="R2546" s="1">
        <v>18.955673000000001</v>
      </c>
      <c r="S2546" s="1">
        <v>-6.7998075</v>
      </c>
      <c r="T2546" s="1">
        <v>-9.1027550000000002</v>
      </c>
      <c r="U2546" s="1">
        <v>5.2409999999999997</v>
      </c>
      <c r="V2546" s="1">
        <v>81</v>
      </c>
      <c r="W2546" s="1">
        <v>142</v>
      </c>
      <c r="X2546" s="1">
        <v>1.7530864197530864</v>
      </c>
      <c r="Y2546" s="1">
        <v>86</v>
      </c>
      <c r="Z2546" s="1">
        <v>142</v>
      </c>
      <c r="AA2546" s="1">
        <v>1.6511627906976745</v>
      </c>
      <c r="AB2546" s="1">
        <v>84.726068632993702</v>
      </c>
      <c r="AC2546" s="1">
        <v>140.52809160006751</v>
      </c>
      <c r="AD2546" s="1">
        <v>1.6586169270852207</v>
      </c>
      <c r="AE2546" t="s">
        <v>4817</v>
      </c>
      <c r="AF2546" t="str">
        <f>IF(X2546&lt;$AF$1,"Bajo","Alto")</f>
        <v>Bajo</v>
      </c>
      <c r="AG2546" t="str">
        <f>LEFT(AE2546,1)</f>
        <v>C</v>
      </c>
      <c r="AH2546" t="str">
        <f>K2546</f>
        <v>F</v>
      </c>
      <c r="AI2546" t="str">
        <f>LEFT(AF2546,1)</f>
        <v>B</v>
      </c>
      <c r="AJ2546" t="str">
        <f>LEFT(M2546,1)</f>
        <v>M</v>
      </c>
      <c r="AK2546" t="str">
        <f>_xlfn.CONCAT(AG2546,AH2546,AI2546,AJ2546)</f>
        <v>CFBM</v>
      </c>
    </row>
    <row r="2547" spans="1:37" ht="15.75" hidden="1" customHeight="1" x14ac:dyDescent="0.2">
      <c r="A2547" s="1">
        <v>259101</v>
      </c>
      <c r="B2547" s="1" t="s">
        <v>3169</v>
      </c>
      <c r="C2547" s="1" t="s">
        <v>821</v>
      </c>
      <c r="D2547" s="1" t="s">
        <v>3342</v>
      </c>
      <c r="E2547" s="1" t="s">
        <v>770</v>
      </c>
      <c r="F2547" s="1" t="s">
        <v>32</v>
      </c>
      <c r="G2547" s="1" t="s">
        <v>3343</v>
      </c>
      <c r="H2547" s="1">
        <v>3208</v>
      </c>
      <c r="I2547" s="1" t="s">
        <v>91</v>
      </c>
      <c r="J2547" s="1">
        <v>6</v>
      </c>
      <c r="K2547" s="1" t="s">
        <v>35</v>
      </c>
      <c r="L2547" s="1">
        <v>40</v>
      </c>
      <c r="M2547" s="1" t="str">
        <f>IF(L2547&lt;=45,"Joven","Mayor")</f>
        <v>Joven</v>
      </c>
      <c r="N2547" s="1">
        <v>40</v>
      </c>
      <c r="O2547" s="1" t="s">
        <v>36</v>
      </c>
      <c r="P2547" s="1">
        <v>0.112</v>
      </c>
      <c r="Q2547" s="1">
        <v>89.680999999999997</v>
      </c>
      <c r="R2547" s="1">
        <v>6.3241806</v>
      </c>
      <c r="S2547" s="1">
        <v>1.3860717</v>
      </c>
      <c r="T2547" s="1">
        <v>-0.47275165000000002</v>
      </c>
      <c r="U2547" s="1">
        <v>2.9289999999999998</v>
      </c>
      <c r="V2547" s="1">
        <v>86</v>
      </c>
      <c r="W2547" s="1">
        <v>151</v>
      </c>
      <c r="X2547" s="1">
        <v>1.7558139534883721</v>
      </c>
      <c r="Y2547" s="1">
        <v>94</v>
      </c>
      <c r="Z2547" s="1">
        <v>151</v>
      </c>
      <c r="AA2547" s="1">
        <v>1.6063829787234043</v>
      </c>
      <c r="AB2547" s="1">
        <v>93.658510100815647</v>
      </c>
      <c r="AC2547" s="1">
        <v>151.01136193226739</v>
      </c>
      <c r="AD2547" s="1">
        <v>1.6123613515708946</v>
      </c>
      <c r="AE2547" t="s">
        <v>4817</v>
      </c>
      <c r="AF2547" t="str">
        <f>IF(X2547&lt;$AF$1,"Bajo","Alto")</f>
        <v>Bajo</v>
      </c>
      <c r="AG2547" t="str">
        <f>LEFT(AE2547,1)</f>
        <v>C</v>
      </c>
      <c r="AH2547" t="str">
        <f>K2547</f>
        <v>M</v>
      </c>
      <c r="AI2547" t="str">
        <f>LEFT(AF2547,1)</f>
        <v>B</v>
      </c>
      <c r="AJ2547" t="str">
        <f>LEFT(M2547,1)</f>
        <v>J</v>
      </c>
      <c r="AK2547" t="str">
        <f>_xlfn.CONCAT(AG2547,AH2547,AI2547,AJ2547)</f>
        <v>CMBJ</v>
      </c>
    </row>
    <row r="2548" spans="1:37" ht="15.75" hidden="1" customHeight="1" x14ac:dyDescent="0.2">
      <c r="A2548" s="1">
        <v>2810006</v>
      </c>
      <c r="B2548" s="1" t="s">
        <v>1775</v>
      </c>
      <c r="C2548" s="1" t="s">
        <v>561</v>
      </c>
      <c r="D2548" s="1" t="s">
        <v>3775</v>
      </c>
      <c r="E2548" s="1" t="s">
        <v>70</v>
      </c>
      <c r="F2548" s="1" t="s">
        <v>88</v>
      </c>
      <c r="G2548" s="1" t="s">
        <v>3778</v>
      </c>
      <c r="H2548" s="1">
        <v>6155</v>
      </c>
      <c r="I2548" s="1" t="s">
        <v>108</v>
      </c>
      <c r="J2548" s="1">
        <v>3</v>
      </c>
      <c r="K2548" s="1" t="s">
        <v>35</v>
      </c>
      <c r="L2548" s="1">
        <v>38</v>
      </c>
      <c r="M2548" s="1" t="str">
        <f>IF(L2548&lt;=45,"Joven","Mayor")</f>
        <v>Joven</v>
      </c>
      <c r="N2548" s="1">
        <v>34</v>
      </c>
      <c r="O2548" s="1" t="s">
        <v>36</v>
      </c>
      <c r="P2548" s="1">
        <v>0.36099999999999999</v>
      </c>
      <c r="Q2548" s="1">
        <v>93.218999999999994</v>
      </c>
      <c r="R2548" s="1">
        <v>2.8676276000000001</v>
      </c>
      <c r="S2548" s="1">
        <v>0.98115324999999998</v>
      </c>
      <c r="T2548" s="1">
        <v>-0.70531679999999997</v>
      </c>
      <c r="U2548" s="1">
        <v>1.3620000000000001</v>
      </c>
      <c r="V2548" s="1">
        <v>86</v>
      </c>
      <c r="W2548" s="1">
        <v>151</v>
      </c>
      <c r="X2548" s="1">
        <v>1.7558139534883721</v>
      </c>
      <c r="Y2548" s="1">
        <v>89</v>
      </c>
      <c r="Z2548" s="1">
        <v>151</v>
      </c>
      <c r="AA2548" s="1">
        <v>1.696629213483146</v>
      </c>
      <c r="AB2548" s="1">
        <v>88.513174827287685</v>
      </c>
      <c r="AC2548" s="1">
        <v>151.01317856129569</v>
      </c>
      <c r="AD2548" s="1">
        <v>1.7061096142575591</v>
      </c>
      <c r="AE2548" t="s">
        <v>4817</v>
      </c>
      <c r="AF2548" t="str">
        <f>IF(X2548&lt;$AF$1,"Bajo","Alto")</f>
        <v>Bajo</v>
      </c>
      <c r="AG2548" t="str">
        <f>LEFT(AE2548,1)</f>
        <v>C</v>
      </c>
      <c r="AH2548" t="str">
        <f>K2548</f>
        <v>M</v>
      </c>
      <c r="AI2548" t="str">
        <f>LEFT(AF2548,1)</f>
        <v>B</v>
      </c>
      <c r="AJ2548" t="str">
        <f>LEFT(M2548,1)</f>
        <v>J</v>
      </c>
      <c r="AK2548" t="str">
        <f>_xlfn.CONCAT(AG2548,AH2548,AI2548,AJ2548)</f>
        <v>CMBJ</v>
      </c>
    </row>
    <row r="2549" spans="1:37" ht="15.75" hidden="1" customHeight="1" x14ac:dyDescent="0.2">
      <c r="A2549" s="1">
        <v>481603</v>
      </c>
      <c r="B2549" s="1" t="s">
        <v>4465</v>
      </c>
      <c r="C2549" s="1" t="s">
        <v>2650</v>
      </c>
      <c r="D2549" s="1" t="s">
        <v>4511</v>
      </c>
      <c r="E2549" s="1" t="s">
        <v>244</v>
      </c>
      <c r="F2549" s="1" t="s">
        <v>63</v>
      </c>
      <c r="G2549" s="1" t="s">
        <v>4512</v>
      </c>
      <c r="H2549" s="1">
        <v>23847</v>
      </c>
      <c r="I2549" s="1" t="s">
        <v>4513</v>
      </c>
      <c r="J2549" s="1">
        <v>1499</v>
      </c>
      <c r="K2549" s="1" t="s">
        <v>35</v>
      </c>
      <c r="L2549" s="1">
        <v>33</v>
      </c>
      <c r="M2549" s="1" t="str">
        <f>IF(L2549&lt;=45,"Joven","Mayor")</f>
        <v>Joven</v>
      </c>
      <c r="N2549" s="1">
        <v>46</v>
      </c>
      <c r="O2549" s="1" t="s">
        <v>36</v>
      </c>
      <c r="P2549" s="1">
        <v>0.24</v>
      </c>
      <c r="Q2549" s="1">
        <v>91.435000000000002</v>
      </c>
      <c r="R2549" s="1">
        <v>3.9319413000000001</v>
      </c>
      <c r="S2549" s="1">
        <v>4.5668397000000001</v>
      </c>
      <c r="T2549" s="1">
        <v>-5.0467240000000002</v>
      </c>
      <c r="U2549" s="1">
        <v>0.79700000000000004</v>
      </c>
      <c r="V2549" s="1">
        <v>80</v>
      </c>
      <c r="W2549" s="1">
        <v>143</v>
      </c>
      <c r="X2549" s="1">
        <v>1.7875000000000001</v>
      </c>
      <c r="Y2549" s="1">
        <v>81</v>
      </c>
      <c r="Z2549" s="1">
        <v>143</v>
      </c>
      <c r="AA2549" s="1">
        <v>1.7654320987654322</v>
      </c>
      <c r="AB2549" s="1">
        <v>84.116742513819645</v>
      </c>
      <c r="AC2549" s="1">
        <v>142.5335989147666</v>
      </c>
      <c r="AD2549" s="1">
        <v>1.6944735929514814</v>
      </c>
      <c r="AE2549" t="s">
        <v>4817</v>
      </c>
      <c r="AF2549" t="str">
        <f>IF(X2549&lt;$AF$1,"Bajo","Alto")</f>
        <v>Alto</v>
      </c>
      <c r="AG2549" t="str">
        <f>LEFT(AE2549,1)</f>
        <v>C</v>
      </c>
      <c r="AH2549" t="str">
        <f>K2549</f>
        <v>M</v>
      </c>
      <c r="AI2549" t="str">
        <f>LEFT(AF2549,1)</f>
        <v>A</v>
      </c>
      <c r="AJ2549" t="str">
        <f>LEFT(M2549,1)</f>
        <v>J</v>
      </c>
      <c r="AK2549" t="str">
        <f>_xlfn.CONCAT(AG2549,AH2549,AI2549,AJ2549)</f>
        <v>CMAJ</v>
      </c>
    </row>
    <row r="2550" spans="1:37" ht="15.75" hidden="1" customHeight="1" x14ac:dyDescent="0.2">
      <c r="A2550" s="1">
        <v>254002</v>
      </c>
      <c r="B2550" s="1" t="s">
        <v>3169</v>
      </c>
      <c r="C2550" s="1" t="s">
        <v>821</v>
      </c>
      <c r="D2550" s="1" t="s">
        <v>3248</v>
      </c>
      <c r="E2550" s="1" t="s">
        <v>657</v>
      </c>
      <c r="F2550" s="1" t="s">
        <v>37</v>
      </c>
      <c r="G2550" s="1" t="s">
        <v>3249</v>
      </c>
      <c r="H2550" s="1">
        <v>1022</v>
      </c>
      <c r="I2550" s="1" t="s">
        <v>65</v>
      </c>
      <c r="J2550" s="1">
        <v>2</v>
      </c>
      <c r="K2550" s="1" t="s">
        <v>35</v>
      </c>
      <c r="L2550" s="1">
        <v>34</v>
      </c>
      <c r="M2550" s="1" t="str">
        <f>IF(L2550&lt;=45,"Joven","Mayor")</f>
        <v>Joven</v>
      </c>
      <c r="N2550" s="1">
        <v>32</v>
      </c>
      <c r="O2550" s="1" t="s">
        <v>36</v>
      </c>
      <c r="P2550" s="1">
        <v>1.732</v>
      </c>
      <c r="Q2550" s="1">
        <v>92.436999999999998</v>
      </c>
      <c r="R2550" s="1">
        <v>-3.2220395000000002</v>
      </c>
      <c r="S2550" s="1">
        <v>1.6153995000000001</v>
      </c>
      <c r="T2550" s="1">
        <v>-1.2583016</v>
      </c>
      <c r="U2550" s="1">
        <v>13.206</v>
      </c>
      <c r="V2550" s="1">
        <v>94</v>
      </c>
      <c r="W2550" s="1">
        <v>168</v>
      </c>
      <c r="X2550" s="1">
        <v>1.7872340425531914</v>
      </c>
      <c r="Y2550" s="1">
        <v>96</v>
      </c>
      <c r="Z2550" s="1">
        <v>168</v>
      </c>
      <c r="AA2550" s="1">
        <v>1.75</v>
      </c>
      <c r="AB2550" s="1">
        <v>95.18629949805586</v>
      </c>
      <c r="AC2550" s="1">
        <v>168.15712544323469</v>
      </c>
      <c r="AD2550" s="1">
        <v>1.766610597638258</v>
      </c>
      <c r="AE2550" t="s">
        <v>4817</v>
      </c>
      <c r="AF2550" t="str">
        <f>IF(X2550&lt;$AF$1,"Bajo","Alto")</f>
        <v>Alto</v>
      </c>
      <c r="AG2550" t="str">
        <f>LEFT(AE2550,1)</f>
        <v>C</v>
      </c>
      <c r="AH2550" t="str">
        <f>K2550</f>
        <v>M</v>
      </c>
      <c r="AI2550" t="str">
        <f>LEFT(AF2550,1)</f>
        <v>A</v>
      </c>
      <c r="AJ2550" t="str">
        <f>LEFT(M2550,1)</f>
        <v>J</v>
      </c>
      <c r="AK2550" t="str">
        <f>_xlfn.CONCAT(AG2550,AH2550,AI2550,AJ2550)</f>
        <v>CMAJ</v>
      </c>
    </row>
    <row r="2551" spans="1:37" ht="15.75" hidden="1" customHeight="1" x14ac:dyDescent="0.2">
      <c r="A2551" s="1">
        <v>118501</v>
      </c>
      <c r="B2551" s="1" t="s">
        <v>1648</v>
      </c>
      <c r="C2551" s="1" t="s">
        <v>51</v>
      </c>
      <c r="D2551" s="1" t="s">
        <v>1770</v>
      </c>
      <c r="E2551" s="1" t="s">
        <v>755</v>
      </c>
      <c r="F2551" s="1" t="s">
        <v>32</v>
      </c>
      <c r="G2551" s="1" t="s">
        <v>1771</v>
      </c>
      <c r="H2551" s="1">
        <v>2274</v>
      </c>
      <c r="I2551" s="1" t="s">
        <v>1772</v>
      </c>
      <c r="J2551" s="1">
        <v>2734</v>
      </c>
      <c r="K2551" s="1" t="s">
        <v>35</v>
      </c>
      <c r="L2551" s="1">
        <v>62</v>
      </c>
      <c r="M2551" s="1" t="str">
        <f>IF(L2551&lt;=45,"Joven","Mayor")</f>
        <v>Mayor</v>
      </c>
      <c r="N2551" s="1">
        <v>73</v>
      </c>
      <c r="O2551" s="1" t="s">
        <v>36</v>
      </c>
      <c r="P2551" s="1">
        <v>0.31</v>
      </c>
      <c r="Q2551" s="1">
        <v>89.423000000000002</v>
      </c>
      <c r="R2551" s="1">
        <v>-5.8684564000000004</v>
      </c>
      <c r="S2551" s="1">
        <v>3.8677049999999999</v>
      </c>
      <c r="T2551" s="1">
        <v>2.3602010999999998</v>
      </c>
      <c r="U2551" s="1">
        <v>2.8519999999999999</v>
      </c>
      <c r="V2551" s="1">
        <v>130</v>
      </c>
      <c r="W2551" s="1">
        <v>232</v>
      </c>
      <c r="X2551" s="1">
        <v>1.7846153846153847</v>
      </c>
      <c r="Y2551" s="1">
        <v>134</v>
      </c>
      <c r="Z2551" s="1">
        <v>232</v>
      </c>
      <c r="AA2551" s="1">
        <v>1.7313432835820894</v>
      </c>
      <c r="AB2551" s="1">
        <v>132.1135260658568</v>
      </c>
      <c r="AC2551" s="1">
        <v>231.67964412468791</v>
      </c>
      <c r="AD2551" s="1">
        <v>1.7536406076180175</v>
      </c>
      <c r="AE2551" t="s">
        <v>4817</v>
      </c>
      <c r="AF2551" t="str">
        <f>IF(X2551&lt;$AF$1,"Bajo","Alto")</f>
        <v>Alto</v>
      </c>
      <c r="AG2551" t="str">
        <f>LEFT(AE2551,1)</f>
        <v>C</v>
      </c>
      <c r="AH2551" t="str">
        <f>K2551</f>
        <v>M</v>
      </c>
      <c r="AI2551" t="str">
        <f>LEFT(AF2551,1)</f>
        <v>A</v>
      </c>
      <c r="AJ2551" t="str">
        <f>LEFT(M2551,1)</f>
        <v>M</v>
      </c>
      <c r="AK2551" t="str">
        <f>_xlfn.CONCAT(AG2551,AH2551,AI2551,AJ2551)</f>
        <v>CMAM</v>
      </c>
    </row>
    <row r="2552" spans="1:37" ht="15.75" hidden="1" customHeight="1" x14ac:dyDescent="0.2">
      <c r="A2552" s="1">
        <v>1050401</v>
      </c>
      <c r="B2552" s="1" t="s">
        <v>694</v>
      </c>
      <c r="C2552" s="1" t="s">
        <v>879</v>
      </c>
      <c r="D2552" s="1" t="s">
        <v>886</v>
      </c>
      <c r="E2552" s="1" t="s">
        <v>61</v>
      </c>
      <c r="F2552" s="1" t="s">
        <v>32</v>
      </c>
      <c r="G2552" s="1" t="s">
        <v>887</v>
      </c>
      <c r="H2552" s="1">
        <v>5854</v>
      </c>
      <c r="I2552" s="1" t="s">
        <v>100</v>
      </c>
      <c r="J2552" s="1">
        <v>1</v>
      </c>
      <c r="K2552" s="1" t="s">
        <v>35</v>
      </c>
      <c r="L2552" s="1">
        <v>34</v>
      </c>
      <c r="M2552" s="1" t="str">
        <f>IF(L2552&lt;=45,"Joven","Mayor")</f>
        <v>Joven</v>
      </c>
      <c r="N2552" s="1">
        <v>25</v>
      </c>
      <c r="O2552" s="1" t="s">
        <v>36</v>
      </c>
      <c r="P2552" s="1">
        <v>0.38</v>
      </c>
      <c r="Q2552" s="1">
        <v>82.233000000000004</v>
      </c>
      <c r="R2552" s="1">
        <v>7.7936953999999998</v>
      </c>
      <c r="S2552" s="1">
        <v>9.6789810000000003</v>
      </c>
      <c r="T2552" s="1">
        <v>-3.2299859999999998</v>
      </c>
      <c r="U2552" s="1">
        <v>60.356999999999999</v>
      </c>
      <c r="V2552" s="1">
        <v>108</v>
      </c>
      <c r="W2552" s="1">
        <v>193</v>
      </c>
      <c r="X2552" s="1">
        <v>1.787037037037037</v>
      </c>
      <c r="Y2552" s="1">
        <v>108</v>
      </c>
      <c r="Z2552" s="1">
        <v>193</v>
      </c>
      <c r="AA2552" s="1">
        <v>1.787037037037037</v>
      </c>
      <c r="AB2552" s="1">
        <v>110.58929035595609</v>
      </c>
      <c r="AC2552" s="1">
        <v>192.749746747621</v>
      </c>
      <c r="AD2552" s="1">
        <v>1.7429332092394598</v>
      </c>
      <c r="AE2552" t="s">
        <v>4817</v>
      </c>
      <c r="AF2552" t="str">
        <f>IF(X2552&lt;$AF$1,"Bajo","Alto")</f>
        <v>Alto</v>
      </c>
      <c r="AG2552" t="str">
        <f>LEFT(AE2552,1)</f>
        <v>C</v>
      </c>
      <c r="AH2552" t="str">
        <f>K2552</f>
        <v>M</v>
      </c>
      <c r="AI2552" t="str">
        <f>LEFT(AF2552,1)</f>
        <v>A</v>
      </c>
      <c r="AJ2552" t="str">
        <f>LEFT(M2552,1)</f>
        <v>J</v>
      </c>
      <c r="AK2552" t="str">
        <f>_xlfn.CONCAT(AG2552,AH2552,AI2552,AJ2552)</f>
        <v>CMAJ</v>
      </c>
    </row>
    <row r="2553" spans="1:37" ht="15.75" hidden="1" customHeight="1" x14ac:dyDescent="0.2">
      <c r="A2553" s="1">
        <v>1241506</v>
      </c>
      <c r="B2553" s="1" t="s">
        <v>1798</v>
      </c>
      <c r="C2553" s="1" t="s">
        <v>54</v>
      </c>
      <c r="D2553" s="1" t="s">
        <v>1844</v>
      </c>
      <c r="E2553" s="1" t="s">
        <v>1845</v>
      </c>
      <c r="F2553" s="1" t="s">
        <v>88</v>
      </c>
      <c r="G2553" s="1" t="s">
        <v>1849</v>
      </c>
      <c r="H2553" s="1">
        <v>3103</v>
      </c>
      <c r="I2553" s="1" t="s">
        <v>294</v>
      </c>
      <c r="J2553" s="1">
        <v>16</v>
      </c>
      <c r="K2553" s="1" t="s">
        <v>35</v>
      </c>
      <c r="L2553" s="1">
        <v>27</v>
      </c>
      <c r="M2553" s="1" t="str">
        <f>IF(L2553&lt;=45,"Joven","Mayor")</f>
        <v>Joven</v>
      </c>
      <c r="N2553" s="1">
        <v>24</v>
      </c>
      <c r="O2553" s="1" t="s">
        <v>36</v>
      </c>
      <c r="P2553" s="1">
        <v>0.372</v>
      </c>
      <c r="Q2553" s="1">
        <v>93.29</v>
      </c>
      <c r="R2553" s="1">
        <v>2.2980418</v>
      </c>
      <c r="S2553" s="1">
        <v>2.4989579000000002</v>
      </c>
      <c r="T2553" s="1">
        <v>-1.5615977999999999</v>
      </c>
      <c r="U2553" s="1">
        <v>26.785</v>
      </c>
      <c r="V2553" s="1">
        <v>108</v>
      </c>
      <c r="W2553" s="1">
        <v>193</v>
      </c>
      <c r="X2553" s="1">
        <v>1.787037037037037</v>
      </c>
      <c r="Y2553" s="1">
        <v>109</v>
      </c>
      <c r="Z2553" s="1">
        <v>193</v>
      </c>
      <c r="AA2553" s="1">
        <v>1.7706422018348624</v>
      </c>
      <c r="AB2553" s="1">
        <v>109.4587300178964</v>
      </c>
      <c r="AC2553" s="1">
        <v>192.98282403334949</v>
      </c>
      <c r="AD2553" s="1">
        <v>1.7630647094279002</v>
      </c>
      <c r="AE2553" t="s">
        <v>4817</v>
      </c>
      <c r="AF2553" t="str">
        <f>IF(X2553&lt;$AF$1,"Bajo","Alto")</f>
        <v>Alto</v>
      </c>
      <c r="AG2553" t="str">
        <f>LEFT(AE2553,1)</f>
        <v>C</v>
      </c>
      <c r="AH2553" t="str">
        <f>K2553</f>
        <v>M</v>
      </c>
      <c r="AI2553" t="str">
        <f>LEFT(AF2553,1)</f>
        <v>A</v>
      </c>
      <c r="AJ2553" t="str">
        <f>LEFT(M2553,1)</f>
        <v>J</v>
      </c>
      <c r="AK2553" t="str">
        <f>_xlfn.CONCAT(AG2553,AH2553,AI2553,AJ2553)</f>
        <v>CMAJ</v>
      </c>
    </row>
    <row r="2554" spans="1:37" ht="15.75" hidden="1" customHeight="1" x14ac:dyDescent="0.2">
      <c r="A2554" s="1">
        <v>1070706</v>
      </c>
      <c r="B2554" s="1" t="s">
        <v>1067</v>
      </c>
      <c r="C2554" s="1" t="s">
        <v>1068</v>
      </c>
      <c r="D2554" s="1" t="s">
        <v>1078</v>
      </c>
      <c r="E2554" s="1" t="s">
        <v>43</v>
      </c>
      <c r="F2554" s="1" t="s">
        <v>88</v>
      </c>
      <c r="G2554" s="1" t="s">
        <v>1081</v>
      </c>
      <c r="H2554" s="1">
        <v>575</v>
      </c>
      <c r="I2554" s="1" t="s">
        <v>134</v>
      </c>
      <c r="J2554" s="1">
        <v>8</v>
      </c>
      <c r="K2554" s="1" t="s">
        <v>35</v>
      </c>
      <c r="L2554" s="1">
        <v>51</v>
      </c>
      <c r="M2554" s="1" t="str">
        <f>IF(L2554&lt;=45,"Joven","Mayor")</f>
        <v>Mayor</v>
      </c>
      <c r="N2554" s="1">
        <v>61</v>
      </c>
      <c r="O2554" s="1" t="s">
        <v>36</v>
      </c>
      <c r="P2554" s="1">
        <v>0.32200000000000001</v>
      </c>
      <c r="Q2554" s="1">
        <v>91.38</v>
      </c>
      <c r="R2554" s="1">
        <v>-4.7430786999999999</v>
      </c>
      <c r="S2554" s="1">
        <v>1.955203</v>
      </c>
      <c r="T2554" s="1">
        <v>-2.1178956000000002</v>
      </c>
      <c r="U2554" s="1">
        <v>1.6040000000000001</v>
      </c>
      <c r="V2554" s="1">
        <v>114</v>
      </c>
      <c r="W2554" s="1">
        <v>200</v>
      </c>
      <c r="X2554" s="1">
        <v>1.7543859649122806</v>
      </c>
      <c r="Y2554" s="1">
        <v>115</v>
      </c>
      <c r="Z2554" s="1">
        <v>200</v>
      </c>
      <c r="AA2554" s="1">
        <v>1.7391304347826086</v>
      </c>
      <c r="AB2554" s="1">
        <v>115.6590507936592</v>
      </c>
      <c r="AC2554" s="1">
        <v>199.82642413433629</v>
      </c>
      <c r="AD2554" s="1">
        <v>1.727719731081274</v>
      </c>
      <c r="AE2554" t="s">
        <v>4817</v>
      </c>
      <c r="AF2554" t="str">
        <f>IF(X2554&lt;$AF$1,"Bajo","Alto")</f>
        <v>Bajo</v>
      </c>
      <c r="AG2554" t="str">
        <f>LEFT(AE2554,1)</f>
        <v>C</v>
      </c>
      <c r="AH2554" t="str">
        <f>K2554</f>
        <v>M</v>
      </c>
      <c r="AI2554" t="str">
        <f>LEFT(AF2554,1)</f>
        <v>B</v>
      </c>
      <c r="AJ2554" t="str">
        <f>LEFT(M2554,1)</f>
        <v>M</v>
      </c>
      <c r="AK2554" t="str">
        <f>_xlfn.CONCAT(AG2554,AH2554,AI2554,AJ2554)</f>
        <v>CMBM</v>
      </c>
    </row>
    <row r="2555" spans="1:37" ht="15.75" hidden="1" customHeight="1" x14ac:dyDescent="0.2">
      <c r="A2555" s="1">
        <v>1516302</v>
      </c>
      <c r="B2555" s="1" t="s">
        <v>2077</v>
      </c>
      <c r="C2555" s="1" t="s">
        <v>57</v>
      </c>
      <c r="D2555" s="1" t="s">
        <v>2187</v>
      </c>
      <c r="E2555" s="1" t="s">
        <v>251</v>
      </c>
      <c r="F2555" s="1" t="s">
        <v>37</v>
      </c>
      <c r="G2555" s="1" t="s">
        <v>2189</v>
      </c>
      <c r="H2555" s="1">
        <v>1496</v>
      </c>
      <c r="I2555" s="1" t="s">
        <v>2190</v>
      </c>
      <c r="J2555" s="1">
        <v>3064</v>
      </c>
      <c r="K2555" s="1" t="s">
        <v>35</v>
      </c>
      <c r="L2555" s="1">
        <v>54</v>
      </c>
      <c r="M2555" s="1" t="str">
        <f>IF(L2555&lt;=45,"Joven","Mayor")</f>
        <v>Mayor</v>
      </c>
      <c r="N2555" s="1">
        <v>61</v>
      </c>
      <c r="O2555" s="1" t="s">
        <v>36</v>
      </c>
      <c r="P2555" s="1">
        <v>0.32100000000000001</v>
      </c>
      <c r="Q2555" s="1">
        <v>86.905000000000001</v>
      </c>
      <c r="R2555" s="1">
        <v>6.9899740000000001</v>
      </c>
      <c r="S2555" s="1">
        <v>5.5332723000000001</v>
      </c>
      <c r="T2555" s="1">
        <v>-4.2725676999999997</v>
      </c>
      <c r="U2555" s="1">
        <v>1.956</v>
      </c>
      <c r="V2555" s="1">
        <v>106</v>
      </c>
      <c r="W2555" s="1">
        <v>186</v>
      </c>
      <c r="X2555" s="1">
        <v>1.7547169811320755</v>
      </c>
      <c r="Y2555" s="1">
        <v>107</v>
      </c>
      <c r="Z2555" s="1">
        <v>186</v>
      </c>
      <c r="AA2555" s="1">
        <v>1.7383177570093458</v>
      </c>
      <c r="AB2555" s="1">
        <v>109.2069775454668</v>
      </c>
      <c r="AC2555" s="1">
        <v>185.5575920003989</v>
      </c>
      <c r="AD2555" s="1">
        <v>1.699136778354154</v>
      </c>
      <c r="AE2555" t="s">
        <v>4817</v>
      </c>
      <c r="AF2555" t="str">
        <f>IF(X2555&lt;$AF$1,"Bajo","Alto")</f>
        <v>Bajo</v>
      </c>
      <c r="AG2555" t="str">
        <f>LEFT(AE2555,1)</f>
        <v>C</v>
      </c>
      <c r="AH2555" t="str">
        <f>K2555</f>
        <v>M</v>
      </c>
      <c r="AI2555" t="str">
        <f>LEFT(AF2555,1)</f>
        <v>B</v>
      </c>
      <c r="AJ2555" t="str">
        <f>LEFT(M2555,1)</f>
        <v>M</v>
      </c>
      <c r="AK2555" t="str">
        <f>_xlfn.CONCAT(AG2555,AH2555,AI2555,AJ2555)</f>
        <v>CMBM</v>
      </c>
    </row>
    <row r="2556" spans="1:37" ht="15.75" hidden="1" customHeight="1" x14ac:dyDescent="0.2">
      <c r="A2556" s="1">
        <v>720202</v>
      </c>
      <c r="B2556" s="1" t="s">
        <v>4798</v>
      </c>
      <c r="C2556" s="1" t="s">
        <v>1016</v>
      </c>
      <c r="D2556" s="1" t="s">
        <v>4804</v>
      </c>
      <c r="E2556" s="1" t="s">
        <v>37</v>
      </c>
      <c r="F2556" s="1" t="s">
        <v>37</v>
      </c>
      <c r="G2556" s="1" t="s">
        <v>4805</v>
      </c>
      <c r="H2556" s="1">
        <v>924</v>
      </c>
      <c r="I2556" s="1" t="s">
        <v>85</v>
      </c>
      <c r="J2556" s="1">
        <v>12</v>
      </c>
      <c r="K2556" s="1" t="s">
        <v>35</v>
      </c>
      <c r="L2556" s="1">
        <v>37</v>
      </c>
      <c r="M2556" s="1" t="str">
        <f>IF(L2556&lt;=45,"Joven","Mayor")</f>
        <v>Joven</v>
      </c>
      <c r="N2556" s="1">
        <v>49</v>
      </c>
      <c r="O2556" s="1" t="s">
        <v>36</v>
      </c>
      <c r="P2556" s="1">
        <v>0.36399999999999999</v>
      </c>
      <c r="Q2556" s="1">
        <v>76.463999999999999</v>
      </c>
      <c r="R2556" s="1">
        <v>10.298107</v>
      </c>
      <c r="S2556" s="1">
        <v>-7.9860899999999999</v>
      </c>
      <c r="T2556" s="1">
        <v>-6.0336765999999997</v>
      </c>
      <c r="U2556" s="1">
        <v>8.11</v>
      </c>
      <c r="V2556" s="1">
        <v>111</v>
      </c>
      <c r="W2556" s="1">
        <v>195</v>
      </c>
      <c r="X2556" s="1">
        <v>1.7567567567567568</v>
      </c>
      <c r="Y2556" s="1">
        <v>115</v>
      </c>
      <c r="Z2556" s="1">
        <v>195</v>
      </c>
      <c r="AA2556" s="1">
        <v>1.6956521739130435</v>
      </c>
      <c r="AB2556" s="1">
        <v>115.74585428769591</v>
      </c>
      <c r="AC2556" s="1">
        <v>194.44532056744131</v>
      </c>
      <c r="AD2556" s="1">
        <v>1.6799333484906627</v>
      </c>
      <c r="AE2556" t="s">
        <v>4815</v>
      </c>
      <c r="AF2556" t="str">
        <f>IF(X2556&lt;$AF$1,"Bajo","Alto")</f>
        <v>Bajo</v>
      </c>
      <c r="AG2556" t="str">
        <f>LEFT(AE2556,1)</f>
        <v>I</v>
      </c>
      <c r="AH2556" t="str">
        <f>K2556</f>
        <v>M</v>
      </c>
      <c r="AI2556" t="str">
        <f>LEFT(AF2556,1)</f>
        <v>B</v>
      </c>
      <c r="AJ2556" t="str">
        <f>LEFT(M2556,1)</f>
        <v>J</v>
      </c>
      <c r="AK2556" t="str">
        <f>_xlfn.CONCAT(AG2556,AH2556,AI2556,AJ2556)</f>
        <v>IMBJ</v>
      </c>
    </row>
    <row r="2557" spans="1:37" ht="15.75" hidden="1" customHeight="1" x14ac:dyDescent="0.2">
      <c r="A2557" s="1">
        <v>171001</v>
      </c>
      <c r="B2557" s="1" t="s">
        <v>2551</v>
      </c>
      <c r="C2557" s="1" t="s">
        <v>2552</v>
      </c>
      <c r="D2557" s="1" t="s">
        <v>2577</v>
      </c>
      <c r="E2557" s="1" t="s">
        <v>75</v>
      </c>
      <c r="F2557" s="1" t="s">
        <v>32</v>
      </c>
      <c r="G2557" s="1" t="s">
        <v>2578</v>
      </c>
      <c r="H2557" s="1">
        <v>42</v>
      </c>
      <c r="I2557" s="1" t="s">
        <v>100</v>
      </c>
      <c r="J2557" s="1">
        <v>1</v>
      </c>
      <c r="K2557" s="1" t="s">
        <v>35</v>
      </c>
      <c r="L2557" s="1">
        <v>44</v>
      </c>
      <c r="M2557" s="1" t="str">
        <f>IF(L2557&lt;=45,"Joven","Mayor")</f>
        <v>Joven</v>
      </c>
      <c r="N2557" s="1">
        <v>47</v>
      </c>
      <c r="O2557" s="1" t="s">
        <v>36</v>
      </c>
      <c r="P2557" s="1">
        <v>6.718</v>
      </c>
      <c r="Q2557" s="1">
        <v>90.055000000000007</v>
      </c>
      <c r="R2557" s="1">
        <v>-3.9306467</v>
      </c>
      <c r="S2557" s="1">
        <v>1.5181998000000001</v>
      </c>
      <c r="T2557" s="1">
        <v>11.95119</v>
      </c>
      <c r="U2557" s="1">
        <v>3.6749999999999998</v>
      </c>
      <c r="V2557" s="1">
        <v>75</v>
      </c>
      <c r="W2557" s="1">
        <v>134</v>
      </c>
      <c r="X2557" s="1">
        <v>1.7866666666666666</v>
      </c>
      <c r="Y2557" s="1">
        <v>89</v>
      </c>
      <c r="Z2557" s="1">
        <v>134</v>
      </c>
      <c r="AA2557" s="1">
        <v>1.5056179775280898</v>
      </c>
      <c r="AB2557" s="1">
        <v>82.692852486379252</v>
      </c>
      <c r="AC2557" s="1">
        <v>134.40871825633531</v>
      </c>
      <c r="AD2557" s="1">
        <v>1.6253970472051913</v>
      </c>
      <c r="AE2557" t="s">
        <v>4817</v>
      </c>
      <c r="AF2557" t="str">
        <f>IF(X2557&lt;$AF$1,"Bajo","Alto")</f>
        <v>Alto</v>
      </c>
      <c r="AG2557" t="str">
        <f>LEFT(AE2557,1)</f>
        <v>C</v>
      </c>
      <c r="AH2557" t="str">
        <f>K2557</f>
        <v>M</v>
      </c>
      <c r="AI2557" t="str">
        <f>LEFT(AF2557,1)</f>
        <v>A</v>
      </c>
      <c r="AJ2557" t="str">
        <f>LEFT(M2557,1)</f>
        <v>J</v>
      </c>
      <c r="AK2557" t="str">
        <f>_xlfn.CONCAT(AG2557,AH2557,AI2557,AJ2557)</f>
        <v>CMAJ</v>
      </c>
    </row>
    <row r="2558" spans="1:37" ht="15.75" hidden="1" customHeight="1" x14ac:dyDescent="0.2">
      <c r="A2558" s="1">
        <v>132503</v>
      </c>
      <c r="B2558" s="1" t="s">
        <v>956</v>
      </c>
      <c r="C2558" s="1" t="s">
        <v>163</v>
      </c>
      <c r="D2558" s="1" t="s">
        <v>1998</v>
      </c>
      <c r="E2558" s="1" t="s">
        <v>821</v>
      </c>
      <c r="F2558" s="1" t="s">
        <v>63</v>
      </c>
      <c r="G2558" s="1" t="s">
        <v>1999</v>
      </c>
      <c r="H2558" s="1">
        <v>131</v>
      </c>
      <c r="I2558" s="1" t="s">
        <v>87</v>
      </c>
      <c r="J2558" s="1">
        <v>14</v>
      </c>
      <c r="K2558" s="1" t="s">
        <v>35</v>
      </c>
      <c r="L2558" s="1">
        <v>38</v>
      </c>
      <c r="M2558" s="1" t="str">
        <f>IF(L2558&lt;=45,"Joven","Mayor")</f>
        <v>Joven</v>
      </c>
      <c r="N2558" s="1">
        <v>36</v>
      </c>
      <c r="O2558" s="1" t="s">
        <v>36</v>
      </c>
      <c r="P2558" s="1">
        <v>0.32</v>
      </c>
      <c r="Q2558" s="1">
        <v>92.831999999999994</v>
      </c>
      <c r="R2558" s="1">
        <v>3.3411984000000001</v>
      </c>
      <c r="S2558" s="1">
        <v>1.2022071999999999</v>
      </c>
      <c r="T2558" s="1">
        <v>-2.6447430000000001</v>
      </c>
      <c r="U2558" s="1">
        <v>10.372</v>
      </c>
      <c r="V2558" s="1">
        <v>70</v>
      </c>
      <c r="W2558" s="1">
        <v>123</v>
      </c>
      <c r="X2558" s="1">
        <v>1.7571428571428571</v>
      </c>
      <c r="Y2558" s="1">
        <v>73</v>
      </c>
      <c r="Z2558" s="1">
        <v>123</v>
      </c>
      <c r="AA2558" s="1">
        <v>1.6849315068493151</v>
      </c>
      <c r="AB2558" s="1">
        <v>71.540446751133459</v>
      </c>
      <c r="AC2558" s="1">
        <v>123.19198698258791</v>
      </c>
      <c r="AD2558" s="1">
        <v>1.7219907419803204</v>
      </c>
      <c r="AE2558" t="s">
        <v>4816</v>
      </c>
      <c r="AF2558" t="str">
        <f>IF(X2558&lt;$AF$1,"Bajo","Alto")</f>
        <v>Bajo</v>
      </c>
      <c r="AG2558" t="str">
        <f>LEFT(AE2558,1)</f>
        <v>D</v>
      </c>
      <c r="AH2558" t="str">
        <f>K2558</f>
        <v>M</v>
      </c>
      <c r="AI2558" t="str">
        <f>LEFT(AF2558,1)</f>
        <v>B</v>
      </c>
      <c r="AJ2558" t="str">
        <f>LEFT(M2558,1)</f>
        <v>J</v>
      </c>
      <c r="AK2558" t="str">
        <f>_xlfn.CONCAT(AG2558,AH2558,AI2558,AJ2558)</f>
        <v>DMBJ</v>
      </c>
    </row>
    <row r="2559" spans="1:37" ht="15.75" hidden="1" customHeight="1" x14ac:dyDescent="0.2">
      <c r="A2559" s="1">
        <v>10113903</v>
      </c>
      <c r="B2559" s="1" t="s">
        <v>29</v>
      </c>
      <c r="C2559" s="1" t="s">
        <v>30</v>
      </c>
      <c r="D2559" s="1" t="s">
        <v>175</v>
      </c>
      <c r="E2559" s="1" t="s">
        <v>176</v>
      </c>
      <c r="F2559" s="1" t="s">
        <v>63</v>
      </c>
      <c r="G2559" s="1" t="s">
        <v>179</v>
      </c>
      <c r="H2559" s="1">
        <v>1908</v>
      </c>
      <c r="I2559" s="1" t="s">
        <v>65</v>
      </c>
      <c r="J2559" s="1">
        <v>2393</v>
      </c>
      <c r="K2559" s="1" t="s">
        <v>35</v>
      </c>
      <c r="L2559" s="1">
        <v>30</v>
      </c>
      <c r="M2559" s="1" t="str">
        <f>IF(L2559&lt;=45,"Joven","Mayor")</f>
        <v>Joven</v>
      </c>
      <c r="N2559" s="1">
        <v>21</v>
      </c>
      <c r="O2559" s="1" t="s">
        <v>36</v>
      </c>
      <c r="P2559" s="1">
        <v>0.433</v>
      </c>
      <c r="Q2559" s="1">
        <v>82.650999999999996</v>
      </c>
      <c r="R2559" s="1">
        <v>-7.1270623000000004</v>
      </c>
      <c r="S2559" s="1">
        <v>10.786955000000001</v>
      </c>
      <c r="T2559" s="1">
        <v>-3.7610432999999999</v>
      </c>
      <c r="U2559" s="1">
        <v>69.594999999999999</v>
      </c>
      <c r="V2559" s="1">
        <v>103</v>
      </c>
      <c r="W2559" s="1">
        <v>184</v>
      </c>
      <c r="X2559" s="1">
        <v>1.7864077669902914</v>
      </c>
      <c r="Y2559" s="1">
        <v>108</v>
      </c>
      <c r="Z2559" s="1">
        <v>184</v>
      </c>
      <c r="AA2559" s="1">
        <v>1.7037037037037037</v>
      </c>
      <c r="AB2559" s="1">
        <v>106.77949166839841</v>
      </c>
      <c r="AC2559" s="1">
        <v>184.9156281207174</v>
      </c>
      <c r="AD2559" s="1">
        <v>1.7317522796883995</v>
      </c>
      <c r="AE2559" t="s">
        <v>4817</v>
      </c>
      <c r="AF2559" t="str">
        <f>IF(X2559&lt;$AF$1,"Bajo","Alto")</f>
        <v>Alto</v>
      </c>
      <c r="AG2559" t="str">
        <f>LEFT(AE2559,1)</f>
        <v>C</v>
      </c>
      <c r="AH2559" t="str">
        <f>K2559</f>
        <v>M</v>
      </c>
      <c r="AI2559" t="str">
        <f>LEFT(AF2559,1)</f>
        <v>A</v>
      </c>
      <c r="AJ2559" t="str">
        <f>LEFT(M2559,1)</f>
        <v>J</v>
      </c>
      <c r="AK2559" t="str">
        <f>_xlfn.CONCAT(AG2559,AH2559,AI2559,AJ2559)</f>
        <v>CMAJ</v>
      </c>
    </row>
    <row r="2560" spans="1:37" ht="15.75" hidden="1" customHeight="1" x14ac:dyDescent="0.2">
      <c r="A2560" s="1">
        <v>157609</v>
      </c>
      <c r="B2560" s="1" t="s">
        <v>2077</v>
      </c>
      <c r="C2560" s="1" t="s">
        <v>57</v>
      </c>
      <c r="D2560" s="1" t="s">
        <v>2513</v>
      </c>
      <c r="E2560" s="1" t="s">
        <v>727</v>
      </c>
      <c r="F2560" s="1" t="s">
        <v>189</v>
      </c>
      <c r="G2560" s="1" t="s">
        <v>2520</v>
      </c>
      <c r="H2560" s="1">
        <v>3200</v>
      </c>
      <c r="I2560" s="1" t="s">
        <v>156</v>
      </c>
      <c r="J2560" s="1">
        <v>3331</v>
      </c>
      <c r="K2560" s="1" t="s">
        <v>49</v>
      </c>
      <c r="L2560" s="1">
        <v>46</v>
      </c>
      <c r="M2560" s="1" t="str">
        <f>IF(L2560&lt;=45,"Joven","Mayor")</f>
        <v>Mayor</v>
      </c>
      <c r="N2560" s="1">
        <v>35</v>
      </c>
      <c r="O2560" s="1" t="s">
        <v>50</v>
      </c>
      <c r="P2560" s="1">
        <v>2.9430000000000001</v>
      </c>
      <c r="Q2560" s="1">
        <v>9.3859999999999992</v>
      </c>
      <c r="R2560" s="1">
        <v>-21.561824999999999</v>
      </c>
      <c r="S2560" s="1">
        <v>5.2067075000000003</v>
      </c>
      <c r="T2560" s="1">
        <v>13.856387</v>
      </c>
      <c r="U2560" s="1">
        <v>15.391</v>
      </c>
      <c r="V2560" s="1">
        <v>72</v>
      </c>
      <c r="W2560" s="1">
        <v>128</v>
      </c>
      <c r="X2560" s="1">
        <v>1.7777777777777777</v>
      </c>
      <c r="Y2560" s="1">
        <v>82</v>
      </c>
      <c r="Z2560" s="1">
        <v>128</v>
      </c>
      <c r="AA2560" s="1">
        <v>1.5609756097560976</v>
      </c>
      <c r="AB2560" s="1">
        <v>77.328893551406964</v>
      </c>
      <c r="AC2560" s="1">
        <v>125.7120140696411</v>
      </c>
      <c r="AD2560" s="1">
        <v>1.6256797206864191</v>
      </c>
      <c r="AE2560" t="s">
        <v>4817</v>
      </c>
      <c r="AF2560" t="str">
        <f>IF(X2560&lt;$AF$1,"Bajo","Alto")</f>
        <v>Alto</v>
      </c>
      <c r="AG2560" t="str">
        <f>LEFT(AE2560,1)</f>
        <v>C</v>
      </c>
      <c r="AH2560" t="str">
        <f>K2560</f>
        <v>F</v>
      </c>
      <c r="AI2560" t="str">
        <f>LEFT(AF2560,1)</f>
        <v>A</v>
      </c>
      <c r="AJ2560" t="str">
        <f>LEFT(M2560,1)</f>
        <v>M</v>
      </c>
      <c r="AK2560" t="str">
        <f>_xlfn.CONCAT(AG2560,AH2560,AI2560,AJ2560)</f>
        <v>CFAM</v>
      </c>
    </row>
    <row r="2561" spans="1:37" ht="15.75" hidden="1" customHeight="1" x14ac:dyDescent="0.2">
      <c r="A2561" s="1">
        <v>10723703</v>
      </c>
      <c r="B2561" s="1" t="s">
        <v>1067</v>
      </c>
      <c r="C2561" s="1" t="s">
        <v>1068</v>
      </c>
      <c r="D2561" s="1" t="s">
        <v>1261</v>
      </c>
      <c r="E2561" s="1" t="s">
        <v>473</v>
      </c>
      <c r="F2561" s="1" t="s">
        <v>63</v>
      </c>
      <c r="G2561" s="1" t="s">
        <v>1264</v>
      </c>
      <c r="H2561" s="1">
        <v>719</v>
      </c>
      <c r="I2561" s="1" t="s">
        <v>1265</v>
      </c>
      <c r="J2561" s="1">
        <v>3744</v>
      </c>
      <c r="K2561" s="1" t="s">
        <v>35</v>
      </c>
      <c r="L2561" s="1">
        <v>50</v>
      </c>
      <c r="M2561" s="1" t="str">
        <f>IF(L2561&lt;=45,"Joven","Mayor")</f>
        <v>Mayor</v>
      </c>
      <c r="N2561" s="1">
        <v>55</v>
      </c>
      <c r="O2561" s="1" t="s">
        <v>36</v>
      </c>
      <c r="P2561" s="1">
        <v>0.54500000000000004</v>
      </c>
      <c r="Q2561" s="1">
        <v>88.549000000000007</v>
      </c>
      <c r="R2561" s="1">
        <v>5.6514259999999998</v>
      </c>
      <c r="S2561" s="1">
        <v>6.3360595999999996</v>
      </c>
      <c r="T2561" s="1">
        <v>-3.7016284000000002</v>
      </c>
      <c r="U2561" s="1">
        <v>38.962000000000003</v>
      </c>
      <c r="V2561" s="1">
        <v>102</v>
      </c>
      <c r="W2561" s="1">
        <v>179</v>
      </c>
      <c r="X2561" s="1">
        <v>1.7549019607843137</v>
      </c>
      <c r="Y2561" s="1">
        <v>102</v>
      </c>
      <c r="Z2561" s="1">
        <v>179</v>
      </c>
      <c r="AA2561" s="1">
        <v>1.7549019607843137</v>
      </c>
      <c r="AB2561" s="1">
        <v>104.4987540846093</v>
      </c>
      <c r="AC2561" s="1">
        <v>178.62656730023309</v>
      </c>
      <c r="AD2561" s="1">
        <v>1.7093655217707655</v>
      </c>
      <c r="AE2561" t="s">
        <v>4817</v>
      </c>
      <c r="AF2561" t="str">
        <f>IF(X2561&lt;$AF$1,"Bajo","Alto")</f>
        <v>Bajo</v>
      </c>
      <c r="AG2561" t="str">
        <f>LEFT(AE2561,1)</f>
        <v>C</v>
      </c>
      <c r="AH2561" t="str">
        <f>K2561</f>
        <v>M</v>
      </c>
      <c r="AI2561" t="str">
        <f>LEFT(AF2561,1)</f>
        <v>B</v>
      </c>
      <c r="AJ2561" t="str">
        <f>LEFT(M2561,1)</f>
        <v>M</v>
      </c>
      <c r="AK2561" t="str">
        <f>_xlfn.CONCAT(AG2561,AH2561,AI2561,AJ2561)</f>
        <v>CMBM</v>
      </c>
    </row>
    <row r="2562" spans="1:37" ht="15.75" hidden="1" customHeight="1" x14ac:dyDescent="0.2">
      <c r="A2562" s="1">
        <v>153402</v>
      </c>
      <c r="B2562" s="1" t="s">
        <v>2077</v>
      </c>
      <c r="C2562" s="1" t="s">
        <v>57</v>
      </c>
      <c r="D2562" s="1" t="s">
        <v>2444</v>
      </c>
      <c r="E2562" s="1" t="s">
        <v>634</v>
      </c>
      <c r="F2562" s="1" t="s">
        <v>37</v>
      </c>
      <c r="G2562" s="1" t="s">
        <v>2446</v>
      </c>
      <c r="H2562" s="1">
        <v>1786</v>
      </c>
      <c r="I2562" s="1" t="s">
        <v>65</v>
      </c>
      <c r="J2562" s="1">
        <v>2</v>
      </c>
      <c r="K2562" s="1" t="s">
        <v>35</v>
      </c>
      <c r="L2562" s="1">
        <v>61</v>
      </c>
      <c r="M2562" s="1" t="str">
        <f>IF(L2562&lt;=45,"Joven","Mayor")</f>
        <v>Mayor</v>
      </c>
      <c r="N2562" s="1">
        <v>65</v>
      </c>
      <c r="O2562" s="1" t="s">
        <v>36</v>
      </c>
      <c r="P2562" s="1">
        <v>0.373</v>
      </c>
      <c r="Q2562" s="1">
        <v>40.646000000000001</v>
      </c>
      <c r="R2562" s="1">
        <v>16.885505999999999</v>
      </c>
      <c r="S2562" s="1">
        <v>5.146725</v>
      </c>
      <c r="T2562" s="1">
        <v>-2.9366314</v>
      </c>
      <c r="U2562" s="1">
        <v>2.1139999999999999</v>
      </c>
      <c r="V2562" s="1">
        <v>90</v>
      </c>
      <c r="W2562" s="1">
        <v>158</v>
      </c>
      <c r="X2562" s="1">
        <v>1.7555555555555555</v>
      </c>
      <c r="Y2562" s="1">
        <v>93</v>
      </c>
      <c r="Z2562" s="1">
        <v>158</v>
      </c>
      <c r="AA2562" s="1">
        <v>1.6989247311827957</v>
      </c>
      <c r="AB2562" s="1">
        <v>94.414816540153424</v>
      </c>
      <c r="AC2562" s="1">
        <v>157.2289695705085</v>
      </c>
      <c r="AD2562" s="1">
        <v>1.6652997414197275</v>
      </c>
      <c r="AE2562" t="s">
        <v>4817</v>
      </c>
      <c r="AF2562" t="str">
        <f>IF(X2562&lt;$AF$1,"Bajo","Alto")</f>
        <v>Bajo</v>
      </c>
      <c r="AG2562" t="str">
        <f>LEFT(AE2562,1)</f>
        <v>C</v>
      </c>
      <c r="AH2562" t="str">
        <f>K2562</f>
        <v>M</v>
      </c>
      <c r="AI2562" t="str">
        <f>LEFT(AF2562,1)</f>
        <v>B</v>
      </c>
      <c r="AJ2562" t="str">
        <f>LEFT(M2562,1)</f>
        <v>M</v>
      </c>
      <c r="AK2562" t="str">
        <f>_xlfn.CONCAT(AG2562,AH2562,AI2562,AJ2562)</f>
        <v>CMBM</v>
      </c>
    </row>
    <row r="2563" spans="1:37" ht="15.75" hidden="1" customHeight="1" x14ac:dyDescent="0.2">
      <c r="A2563" s="1">
        <v>10120502</v>
      </c>
      <c r="B2563" s="1" t="s">
        <v>29</v>
      </c>
      <c r="C2563" s="1" t="s">
        <v>30</v>
      </c>
      <c r="D2563" s="1" t="s">
        <v>363</v>
      </c>
      <c r="E2563" s="1" t="s">
        <v>364</v>
      </c>
      <c r="F2563" s="1" t="s">
        <v>37</v>
      </c>
      <c r="G2563" s="1" t="s">
        <v>366</v>
      </c>
      <c r="H2563" s="1">
        <v>26</v>
      </c>
      <c r="I2563" s="1" t="s">
        <v>34</v>
      </c>
      <c r="J2563" s="1">
        <v>10</v>
      </c>
      <c r="K2563" s="1" t="s">
        <v>35</v>
      </c>
      <c r="L2563" s="1">
        <v>39</v>
      </c>
      <c r="M2563" s="1" t="str">
        <f>IF(L2563&lt;=45,"Joven","Mayor")</f>
        <v>Joven</v>
      </c>
      <c r="N2563" s="1">
        <v>35</v>
      </c>
      <c r="O2563" s="1" t="s">
        <v>36</v>
      </c>
      <c r="P2563" s="1">
        <v>6.2E-2</v>
      </c>
      <c r="Q2563" s="1">
        <v>91.644999999999996</v>
      </c>
      <c r="R2563" s="1">
        <v>2.685066</v>
      </c>
      <c r="S2563" s="1">
        <v>7.0851550000000003</v>
      </c>
      <c r="T2563" s="1">
        <v>-1.8502388000000001</v>
      </c>
      <c r="U2563" s="1">
        <v>2.246</v>
      </c>
      <c r="V2563" s="1">
        <v>99</v>
      </c>
      <c r="W2563" s="1">
        <v>174</v>
      </c>
      <c r="X2563" s="1">
        <v>1.7575757575757576</v>
      </c>
      <c r="Y2563" s="1">
        <v>102</v>
      </c>
      <c r="Z2563" s="1">
        <v>174</v>
      </c>
      <c r="AA2563" s="1">
        <v>1.7058823529411764</v>
      </c>
      <c r="AB2563" s="1">
        <v>103.4320294332895</v>
      </c>
      <c r="AC2563" s="1">
        <v>173.87699519850551</v>
      </c>
      <c r="AD2563" s="1">
        <v>1.6810749644108149</v>
      </c>
      <c r="AE2563" t="s">
        <v>4815</v>
      </c>
      <c r="AF2563" t="str">
        <f>IF(X2563&lt;$AF$1,"Bajo","Alto")</f>
        <v>Bajo</v>
      </c>
      <c r="AG2563" t="str">
        <f>LEFT(AE2563,1)</f>
        <v>I</v>
      </c>
      <c r="AH2563" t="str">
        <f>K2563</f>
        <v>M</v>
      </c>
      <c r="AI2563" t="str">
        <f>LEFT(AF2563,1)</f>
        <v>B</v>
      </c>
      <c r="AJ2563" t="str">
        <f>LEFT(M2563,1)</f>
        <v>J</v>
      </c>
      <c r="AK2563" t="str">
        <f>_xlfn.CONCAT(AG2563,AH2563,AI2563,AJ2563)</f>
        <v>IMBJ</v>
      </c>
    </row>
    <row r="2564" spans="1:37" ht="15.75" hidden="1" customHeight="1" x14ac:dyDescent="0.2">
      <c r="A2564" s="1">
        <v>10716303</v>
      </c>
      <c r="B2564" s="1" t="s">
        <v>1067</v>
      </c>
      <c r="C2564" s="1" t="s">
        <v>1068</v>
      </c>
      <c r="D2564" s="1" t="s">
        <v>1166</v>
      </c>
      <c r="E2564" s="1" t="s">
        <v>251</v>
      </c>
      <c r="F2564" s="1" t="s">
        <v>63</v>
      </c>
      <c r="G2564" s="1" t="s">
        <v>1168</v>
      </c>
      <c r="H2564" s="1">
        <v>2773</v>
      </c>
      <c r="I2564" s="1" t="s">
        <v>1169</v>
      </c>
      <c r="J2564" s="1">
        <v>3662</v>
      </c>
      <c r="K2564" s="1" t="s">
        <v>35</v>
      </c>
      <c r="L2564" s="1">
        <v>41</v>
      </c>
      <c r="M2564" s="1" t="str">
        <f>IF(L2564&lt;=45,"Joven","Mayor")</f>
        <v>Joven</v>
      </c>
      <c r="N2564" s="1">
        <v>49</v>
      </c>
      <c r="O2564" s="1" t="s">
        <v>36</v>
      </c>
      <c r="P2564" s="1">
        <v>9.9990000000000006</v>
      </c>
      <c r="Q2564" s="1">
        <v>90.992000000000004</v>
      </c>
      <c r="R2564" s="1">
        <v>-0.66027089999999999</v>
      </c>
      <c r="S2564" s="1">
        <v>3.5275717000000002</v>
      </c>
      <c r="T2564" s="1">
        <v>0.85111300000000001</v>
      </c>
      <c r="U2564" s="1">
        <v>53.091999999999999</v>
      </c>
      <c r="V2564" s="1">
        <v>117</v>
      </c>
      <c r="W2564" s="1">
        <v>209</v>
      </c>
      <c r="X2564" s="1">
        <v>1.7863247863247864</v>
      </c>
      <c r="Y2564" s="1">
        <v>123</v>
      </c>
      <c r="Z2564" s="1">
        <v>209</v>
      </c>
      <c r="AA2564" s="1">
        <v>1.6991869918699187</v>
      </c>
      <c r="AB2564" s="1">
        <v>122.2734289487958</v>
      </c>
      <c r="AC2564" s="1">
        <v>209.12548293679629</v>
      </c>
      <c r="AD2564" s="1">
        <v>1.710310119988304</v>
      </c>
      <c r="AE2564" t="s">
        <v>4817</v>
      </c>
      <c r="AF2564" t="str">
        <f>IF(X2564&lt;$AF$1,"Bajo","Alto")</f>
        <v>Alto</v>
      </c>
      <c r="AG2564" t="str">
        <f>LEFT(AE2564,1)</f>
        <v>C</v>
      </c>
      <c r="AH2564" t="str">
        <f>K2564</f>
        <v>M</v>
      </c>
      <c r="AI2564" t="str">
        <f>LEFT(AF2564,1)</f>
        <v>A</v>
      </c>
      <c r="AJ2564" t="str">
        <f>LEFT(M2564,1)</f>
        <v>J</v>
      </c>
      <c r="AK2564" t="str">
        <f>_xlfn.CONCAT(AG2564,AH2564,AI2564,AJ2564)</f>
        <v>CMAJ</v>
      </c>
    </row>
    <row r="2565" spans="1:37" ht="15.75" hidden="1" customHeight="1" x14ac:dyDescent="0.2">
      <c r="A2565" s="1">
        <v>10120807</v>
      </c>
      <c r="B2565" s="1" t="s">
        <v>29</v>
      </c>
      <c r="C2565" s="1" t="s">
        <v>30</v>
      </c>
      <c r="D2565" s="1" t="s">
        <v>377</v>
      </c>
      <c r="E2565" s="1" t="s">
        <v>378</v>
      </c>
      <c r="F2565" s="1" t="s">
        <v>43</v>
      </c>
      <c r="G2565" s="1" t="s">
        <v>384</v>
      </c>
      <c r="H2565" s="1">
        <v>554</v>
      </c>
      <c r="I2565" s="1" t="s">
        <v>385</v>
      </c>
      <c r="J2565" s="1">
        <v>4086</v>
      </c>
      <c r="K2565" s="1" t="s">
        <v>35</v>
      </c>
      <c r="L2565" s="1">
        <v>64</v>
      </c>
      <c r="M2565" s="1" t="str">
        <f>IF(L2565&lt;=45,"Joven","Mayor")</f>
        <v>Mayor</v>
      </c>
      <c r="N2565" s="1">
        <v>53</v>
      </c>
      <c r="O2565" s="1" t="s">
        <v>36</v>
      </c>
      <c r="P2565" s="1">
        <v>0.36099999999999999</v>
      </c>
      <c r="Q2565" s="1">
        <v>70.834000000000003</v>
      </c>
      <c r="R2565" s="1">
        <v>11.512981</v>
      </c>
      <c r="S2565" s="1">
        <v>-8.6817810000000009</v>
      </c>
      <c r="T2565" s="1">
        <v>-3.7369289999999999</v>
      </c>
      <c r="U2565" s="1">
        <v>3.4159999999999999</v>
      </c>
      <c r="V2565" s="1">
        <v>88</v>
      </c>
      <c r="W2565" s="1">
        <v>157</v>
      </c>
      <c r="X2565" s="1">
        <v>1.7840909090909092</v>
      </c>
      <c r="Y2565" s="1">
        <v>92</v>
      </c>
      <c r="Z2565" s="1">
        <v>157</v>
      </c>
      <c r="AA2565" s="1">
        <v>1.7065217391304348</v>
      </c>
      <c r="AB2565" s="1">
        <v>90.419915327644276</v>
      </c>
      <c r="AC2565" s="1">
        <v>156.66618939740781</v>
      </c>
      <c r="AD2565" s="1">
        <v>1.7326513614806485</v>
      </c>
      <c r="AE2565" t="s">
        <v>4817</v>
      </c>
      <c r="AF2565" t="str">
        <f>IF(X2565&lt;$AF$1,"Bajo","Alto")</f>
        <v>Alto</v>
      </c>
      <c r="AG2565" t="str">
        <f>LEFT(AE2565,1)</f>
        <v>C</v>
      </c>
      <c r="AH2565" t="str">
        <f>K2565</f>
        <v>M</v>
      </c>
      <c r="AI2565" t="str">
        <f>LEFT(AF2565,1)</f>
        <v>A</v>
      </c>
      <c r="AJ2565" t="str">
        <f>LEFT(M2565,1)</f>
        <v>M</v>
      </c>
      <c r="AK2565" t="str">
        <f>_xlfn.CONCAT(AG2565,AH2565,AI2565,AJ2565)</f>
        <v>CMAM</v>
      </c>
    </row>
    <row r="2566" spans="1:37" ht="15.75" hidden="1" customHeight="1" x14ac:dyDescent="0.2">
      <c r="A2566" s="1">
        <v>194005</v>
      </c>
      <c r="B2566" s="1" t="s">
        <v>2656</v>
      </c>
      <c r="C2566" s="1" t="s">
        <v>323</v>
      </c>
      <c r="D2566" s="1" t="s">
        <v>2715</v>
      </c>
      <c r="E2566" s="1" t="s">
        <v>657</v>
      </c>
      <c r="F2566" s="1" t="s">
        <v>40</v>
      </c>
      <c r="G2566" s="1" t="s">
        <v>2720</v>
      </c>
      <c r="H2566" s="1">
        <v>2854</v>
      </c>
      <c r="I2566" s="1" t="s">
        <v>2721</v>
      </c>
      <c r="J2566" s="1">
        <v>3862</v>
      </c>
      <c r="K2566" s="1" t="s">
        <v>35</v>
      </c>
      <c r="L2566" s="1">
        <v>42</v>
      </c>
      <c r="M2566" s="1" t="str">
        <f>IF(L2566&lt;=45,"Joven","Mayor")</f>
        <v>Joven</v>
      </c>
      <c r="N2566" s="1">
        <v>59</v>
      </c>
      <c r="O2566" s="1" t="s">
        <v>36</v>
      </c>
      <c r="P2566" s="1">
        <v>0.27700000000000002</v>
      </c>
      <c r="Q2566" s="1">
        <v>92.465999999999994</v>
      </c>
      <c r="R2566" s="1">
        <v>3.6204398000000002</v>
      </c>
      <c r="S2566" s="1">
        <v>-1.8924277</v>
      </c>
      <c r="T2566" s="1">
        <v>-4.1218553</v>
      </c>
      <c r="U2566" s="1">
        <v>5.4909999999999997</v>
      </c>
      <c r="V2566" s="1">
        <v>112</v>
      </c>
      <c r="W2566" s="1">
        <v>200</v>
      </c>
      <c r="X2566" s="1">
        <v>1.7857142857142858</v>
      </c>
      <c r="Y2566" s="1">
        <v>114</v>
      </c>
      <c r="Z2566" s="1">
        <v>200</v>
      </c>
      <c r="AA2566" s="1">
        <v>1.7543859649122806</v>
      </c>
      <c r="AB2566" s="1">
        <v>115.304200536171</v>
      </c>
      <c r="AC2566" s="1">
        <v>199.9139550362147</v>
      </c>
      <c r="AD2566" s="1">
        <v>1.7337959424427176</v>
      </c>
      <c r="AE2566" t="s">
        <v>4817</v>
      </c>
      <c r="AF2566" t="str">
        <f>IF(X2566&lt;$AF$1,"Bajo","Alto")</f>
        <v>Alto</v>
      </c>
      <c r="AG2566" t="str">
        <f>LEFT(AE2566,1)</f>
        <v>C</v>
      </c>
      <c r="AH2566" t="str">
        <f>K2566</f>
        <v>M</v>
      </c>
      <c r="AI2566" t="str">
        <f>LEFT(AF2566,1)</f>
        <v>A</v>
      </c>
      <c r="AJ2566" t="str">
        <f>LEFT(M2566,1)</f>
        <v>J</v>
      </c>
      <c r="AK2566" t="str">
        <f>_xlfn.CONCAT(AG2566,AH2566,AI2566,AJ2566)</f>
        <v>CMAJ</v>
      </c>
    </row>
    <row r="2567" spans="1:37" ht="15.75" hidden="1" customHeight="1" x14ac:dyDescent="0.2">
      <c r="A2567" s="1">
        <v>234604</v>
      </c>
      <c r="B2567" s="1" t="s">
        <v>319</v>
      </c>
      <c r="C2567" s="1" t="s">
        <v>1989</v>
      </c>
      <c r="D2567" s="1" t="s">
        <v>3040</v>
      </c>
      <c r="E2567" s="1" t="s">
        <v>669</v>
      </c>
      <c r="F2567" s="1" t="s">
        <v>61</v>
      </c>
      <c r="G2567" s="1" t="s">
        <v>3044</v>
      </c>
      <c r="H2567" s="1">
        <v>4729</v>
      </c>
      <c r="I2567" s="1" t="s">
        <v>3045</v>
      </c>
      <c r="J2567" s="1">
        <v>2721</v>
      </c>
      <c r="K2567" s="1" t="s">
        <v>35</v>
      </c>
      <c r="L2567" s="1">
        <v>30</v>
      </c>
      <c r="M2567" s="1" t="str">
        <f>IF(L2567&lt;=45,"Joven","Mayor")</f>
        <v>Joven</v>
      </c>
      <c r="N2567" s="1">
        <v>28</v>
      </c>
      <c r="O2567" s="1" t="s">
        <v>36</v>
      </c>
      <c r="P2567" s="1">
        <v>0.20300000000000001</v>
      </c>
      <c r="Q2567" s="1">
        <v>72.495999999999995</v>
      </c>
      <c r="R2567" s="1">
        <v>12.134888999999999</v>
      </c>
      <c r="S2567" s="1">
        <v>3.9675392999999999</v>
      </c>
      <c r="T2567" s="1">
        <v>-10.540309000000001</v>
      </c>
      <c r="U2567" s="1">
        <v>2.2349999999999999</v>
      </c>
      <c r="V2567" s="1">
        <v>98</v>
      </c>
      <c r="W2567" s="1">
        <v>175</v>
      </c>
      <c r="X2567" s="1">
        <v>1.7857142857142858</v>
      </c>
      <c r="Y2567" s="1">
        <v>106</v>
      </c>
      <c r="Z2567" s="1">
        <v>175</v>
      </c>
      <c r="AA2567" s="1">
        <v>1.6509433962264151</v>
      </c>
      <c r="AB2567" s="1">
        <v>105.6756812402286</v>
      </c>
      <c r="AC2567" s="1">
        <v>174.24225667605791</v>
      </c>
      <c r="AD2567" s="1">
        <v>1.6488396822345479</v>
      </c>
      <c r="AE2567" t="s">
        <v>4817</v>
      </c>
      <c r="AF2567" t="str">
        <f>IF(X2567&lt;$AF$1,"Bajo","Alto")</f>
        <v>Alto</v>
      </c>
      <c r="AG2567" t="str">
        <f>LEFT(AE2567,1)</f>
        <v>C</v>
      </c>
      <c r="AH2567" t="str">
        <f>K2567</f>
        <v>M</v>
      </c>
      <c r="AI2567" t="str">
        <f>LEFT(AF2567,1)</f>
        <v>A</v>
      </c>
      <c r="AJ2567" t="str">
        <f>LEFT(M2567,1)</f>
        <v>J</v>
      </c>
      <c r="AK2567" t="str">
        <f>_xlfn.CONCAT(AG2567,AH2567,AI2567,AJ2567)</f>
        <v>CMAJ</v>
      </c>
    </row>
    <row r="2568" spans="1:37" ht="15.75" hidden="1" customHeight="1" x14ac:dyDescent="0.2">
      <c r="A2568" s="1">
        <v>170609</v>
      </c>
      <c r="B2568" s="1" t="s">
        <v>2551</v>
      </c>
      <c r="C2568" s="1" t="s">
        <v>2552</v>
      </c>
      <c r="D2568" s="1" t="s">
        <v>2570</v>
      </c>
      <c r="E2568" s="1" t="s">
        <v>88</v>
      </c>
      <c r="F2568" s="1" t="s">
        <v>189</v>
      </c>
      <c r="G2568" s="1" t="s">
        <v>2572</v>
      </c>
      <c r="H2568" s="1">
        <v>1</v>
      </c>
      <c r="I2568" s="1" t="s">
        <v>91</v>
      </c>
      <c r="J2568" s="1">
        <v>6</v>
      </c>
      <c r="K2568" s="1" t="s">
        <v>35</v>
      </c>
      <c r="L2568" s="1">
        <v>60</v>
      </c>
      <c r="M2568" s="1" t="str">
        <f>IF(L2568&lt;=45,"Joven","Mayor")</f>
        <v>Mayor</v>
      </c>
      <c r="N2568" s="1">
        <v>50</v>
      </c>
      <c r="O2568" s="1" t="s">
        <v>36</v>
      </c>
      <c r="P2568" s="1">
        <v>0.25800000000000001</v>
      </c>
      <c r="Q2568" s="1">
        <v>92.296000000000006</v>
      </c>
      <c r="R2568" s="1">
        <v>4.2706869999999997</v>
      </c>
      <c r="S2568" s="1">
        <v>2.4583557999999998E-2</v>
      </c>
      <c r="T2568" s="1">
        <v>-2.0253692000000001</v>
      </c>
      <c r="U2568" s="1">
        <v>4.5869999999999997</v>
      </c>
      <c r="V2568" s="1">
        <v>90</v>
      </c>
      <c r="W2568" s="1">
        <v>158</v>
      </c>
      <c r="X2568" s="1">
        <v>1.7555555555555555</v>
      </c>
      <c r="Y2568" s="1">
        <v>90</v>
      </c>
      <c r="Z2568" s="1">
        <v>158</v>
      </c>
      <c r="AA2568" s="1">
        <v>1.7555555555555555</v>
      </c>
      <c r="AB2568" s="1">
        <v>91.32211286001143</v>
      </c>
      <c r="AC2568" s="1">
        <v>158.00731966876859</v>
      </c>
      <c r="AD2568" s="1">
        <v>1.7302197104328891</v>
      </c>
      <c r="AE2568" t="s">
        <v>4817</v>
      </c>
      <c r="AF2568" t="str">
        <f>IF(X2568&lt;$AF$1,"Bajo","Alto")</f>
        <v>Bajo</v>
      </c>
      <c r="AG2568" t="str">
        <f>LEFT(AE2568,1)</f>
        <v>C</v>
      </c>
      <c r="AH2568" t="str">
        <f>K2568</f>
        <v>M</v>
      </c>
      <c r="AI2568" t="str">
        <f>LEFT(AF2568,1)</f>
        <v>B</v>
      </c>
      <c r="AJ2568" t="str">
        <f>LEFT(M2568,1)</f>
        <v>M</v>
      </c>
      <c r="AK2568" t="str">
        <f>_xlfn.CONCAT(AG2568,AH2568,AI2568,AJ2568)</f>
        <v>CMBM</v>
      </c>
    </row>
    <row r="2569" spans="1:37" ht="15.75" hidden="1" customHeight="1" x14ac:dyDescent="0.2">
      <c r="A2569" s="1">
        <v>313107</v>
      </c>
      <c r="B2569" s="1" t="s">
        <v>4122</v>
      </c>
      <c r="C2569" s="1" t="s">
        <v>628</v>
      </c>
      <c r="D2569" s="1" t="s">
        <v>798</v>
      </c>
      <c r="E2569" s="1" t="s">
        <v>628</v>
      </c>
      <c r="F2569" s="1" t="s">
        <v>43</v>
      </c>
      <c r="G2569" s="1" t="s">
        <v>4203</v>
      </c>
      <c r="H2569" s="1">
        <v>3556</v>
      </c>
      <c r="I2569" s="1" t="s">
        <v>91</v>
      </c>
      <c r="J2569" s="1">
        <v>6</v>
      </c>
      <c r="K2569" s="1" t="s">
        <v>49</v>
      </c>
      <c r="L2569" s="1">
        <v>41</v>
      </c>
      <c r="M2569" s="1" t="str">
        <f>IF(L2569&lt;=45,"Joven","Mayor")</f>
        <v>Joven</v>
      </c>
      <c r="N2569" s="1">
        <v>49</v>
      </c>
      <c r="O2569" s="1" t="s">
        <v>50</v>
      </c>
      <c r="P2569" s="1">
        <v>0.36099999999999999</v>
      </c>
      <c r="Q2569" s="1">
        <v>73.911000000000001</v>
      </c>
      <c r="R2569" s="1">
        <v>-6.3103185000000002</v>
      </c>
      <c r="S2569" s="1">
        <v>17.375</v>
      </c>
      <c r="T2569" s="1">
        <v>10.373182999999999</v>
      </c>
      <c r="U2569" s="1">
        <v>5.4290000000000003</v>
      </c>
      <c r="V2569" s="1">
        <v>108</v>
      </c>
      <c r="W2569" s="1">
        <v>190</v>
      </c>
      <c r="X2569" s="1">
        <v>1.7592592592592593</v>
      </c>
      <c r="Y2569" s="1">
        <v>120</v>
      </c>
      <c r="Z2569" s="1">
        <v>190</v>
      </c>
      <c r="AA2569" s="1">
        <v>1.5833333333333333</v>
      </c>
      <c r="AB2569" s="1">
        <v>116.4981821290542</v>
      </c>
      <c r="AC2569" s="1">
        <v>189.95561137580941</v>
      </c>
      <c r="AD2569" s="1">
        <v>1.6305457124247711</v>
      </c>
      <c r="AE2569" t="s">
        <v>4817</v>
      </c>
      <c r="AF2569" t="str">
        <f>IF(X2569&lt;$AF$1,"Bajo","Alto")</f>
        <v>Bajo</v>
      </c>
      <c r="AG2569" t="str">
        <f>LEFT(AE2569,1)</f>
        <v>C</v>
      </c>
      <c r="AH2569" t="str">
        <f>K2569</f>
        <v>F</v>
      </c>
      <c r="AI2569" t="str">
        <f>LEFT(AF2569,1)</f>
        <v>B</v>
      </c>
      <c r="AJ2569" t="str">
        <f>LEFT(M2569,1)</f>
        <v>J</v>
      </c>
      <c r="AK2569" t="str">
        <f>_xlfn.CONCAT(AG2569,AH2569,AI2569,AJ2569)</f>
        <v>CFBJ</v>
      </c>
    </row>
    <row r="2570" spans="1:37" ht="15.75" hidden="1" customHeight="1" x14ac:dyDescent="0.2">
      <c r="A2570" s="1">
        <v>400102</v>
      </c>
      <c r="B2570" s="1" t="s">
        <v>4287</v>
      </c>
      <c r="C2570" s="1" t="s">
        <v>657</v>
      </c>
      <c r="D2570" s="1" t="s">
        <v>4287</v>
      </c>
      <c r="E2570" s="1" t="s">
        <v>32</v>
      </c>
      <c r="F2570" s="1" t="s">
        <v>37</v>
      </c>
      <c r="G2570" s="1" t="s">
        <v>4288</v>
      </c>
      <c r="H2570" s="1">
        <v>1158</v>
      </c>
      <c r="I2570" s="1" t="s">
        <v>87</v>
      </c>
      <c r="J2570" s="1">
        <v>14</v>
      </c>
      <c r="K2570" s="1" t="s">
        <v>49</v>
      </c>
      <c r="L2570" s="1">
        <v>38</v>
      </c>
      <c r="M2570" s="1" t="str">
        <f>IF(L2570&lt;=45,"Joven","Mayor")</f>
        <v>Joven</v>
      </c>
      <c r="N2570" s="1">
        <v>42</v>
      </c>
      <c r="O2570" s="1" t="s">
        <v>50</v>
      </c>
      <c r="P2570" s="1">
        <v>0.40200000000000002</v>
      </c>
      <c r="Q2570" s="1">
        <v>80.087999999999994</v>
      </c>
      <c r="R2570" s="1">
        <v>-10.180781</v>
      </c>
      <c r="S2570" s="1">
        <v>3.7518053</v>
      </c>
      <c r="T2570" s="1">
        <v>1.6296998</v>
      </c>
      <c r="U2570" s="1">
        <v>42.533000000000001</v>
      </c>
      <c r="V2570" s="1">
        <v>80</v>
      </c>
      <c r="W2570" s="1">
        <v>143</v>
      </c>
      <c r="X2570" s="1">
        <v>1.7875000000000001</v>
      </c>
      <c r="Y2570" s="1">
        <v>81</v>
      </c>
      <c r="Z2570" s="1">
        <v>143</v>
      </c>
      <c r="AA2570" s="1">
        <v>1.7654320987654322</v>
      </c>
      <c r="AB2570" s="1">
        <v>81.820429856013561</v>
      </c>
      <c r="AC2570" s="1">
        <v>142.77151879162281</v>
      </c>
      <c r="AD2570" s="1">
        <v>1.7449372857472163</v>
      </c>
      <c r="AE2570" t="s">
        <v>4816</v>
      </c>
      <c r="AF2570" t="str">
        <f>IF(X2570&lt;$AF$1,"Bajo","Alto")</f>
        <v>Alto</v>
      </c>
      <c r="AG2570" t="str">
        <f>LEFT(AE2570,1)</f>
        <v>D</v>
      </c>
      <c r="AH2570" t="str">
        <f>K2570</f>
        <v>F</v>
      </c>
      <c r="AI2570" t="str">
        <f>LEFT(AF2570,1)</f>
        <v>A</v>
      </c>
      <c r="AJ2570" t="str">
        <f>LEFT(M2570,1)</f>
        <v>J</v>
      </c>
      <c r="AK2570" t="str">
        <f>_xlfn.CONCAT(AG2570,AH2570,AI2570,AJ2570)</f>
        <v>DFAJ</v>
      </c>
    </row>
    <row r="2571" spans="1:37" ht="15.75" hidden="1" customHeight="1" x14ac:dyDescent="0.2">
      <c r="A2571" s="1">
        <v>680401</v>
      </c>
      <c r="B2571" s="1" t="s">
        <v>4791</v>
      </c>
      <c r="C2571" s="1" t="s">
        <v>1479</v>
      </c>
      <c r="D2571" s="1" t="s">
        <v>4792</v>
      </c>
      <c r="E2571" s="1" t="s">
        <v>61</v>
      </c>
      <c r="F2571" s="1" t="s">
        <v>32</v>
      </c>
      <c r="G2571" s="1" t="s">
        <v>4793</v>
      </c>
      <c r="H2571" s="1">
        <v>595</v>
      </c>
      <c r="I2571" s="1" t="s">
        <v>100</v>
      </c>
      <c r="J2571" s="1">
        <v>1</v>
      </c>
      <c r="K2571" s="1" t="s">
        <v>49</v>
      </c>
      <c r="L2571" s="1">
        <v>35</v>
      </c>
      <c r="M2571" s="1" t="str">
        <f>IF(L2571&lt;=45,"Joven","Mayor")</f>
        <v>Joven</v>
      </c>
      <c r="N2571" s="1">
        <v>49</v>
      </c>
      <c r="O2571" s="1" t="s">
        <v>50</v>
      </c>
      <c r="P2571" s="1">
        <v>0.39300000000000002</v>
      </c>
      <c r="Q2571" s="1">
        <v>89.119</v>
      </c>
      <c r="R2571" s="1">
        <v>-6.5960936999999999</v>
      </c>
      <c r="S2571" s="1">
        <v>-1.5933158000000001</v>
      </c>
      <c r="T2571" s="1">
        <v>6.910272</v>
      </c>
      <c r="U2571" s="1">
        <v>53.896999999999998</v>
      </c>
      <c r="V2571" s="1">
        <v>56</v>
      </c>
      <c r="W2571" s="1">
        <v>100</v>
      </c>
      <c r="X2571" s="1">
        <v>1.7857142857142858</v>
      </c>
      <c r="Y2571" s="1">
        <v>63</v>
      </c>
      <c r="Z2571" s="1">
        <v>100</v>
      </c>
      <c r="AA2571" s="1">
        <v>1.5873015873015872</v>
      </c>
      <c r="AB2571" s="1">
        <v>60.136058259256288</v>
      </c>
      <c r="AC2571" s="1">
        <v>100.8376714241863</v>
      </c>
      <c r="AD2571" s="1">
        <v>1.6768254245973151</v>
      </c>
      <c r="AE2571" t="s">
        <v>4817</v>
      </c>
      <c r="AF2571" t="str">
        <f>IF(X2571&lt;$AF$1,"Bajo","Alto")</f>
        <v>Alto</v>
      </c>
      <c r="AG2571" t="str">
        <f>LEFT(AE2571,1)</f>
        <v>C</v>
      </c>
      <c r="AH2571" t="str">
        <f>K2571</f>
        <v>F</v>
      </c>
      <c r="AI2571" t="str">
        <f>LEFT(AF2571,1)</f>
        <v>A</v>
      </c>
      <c r="AJ2571" t="str">
        <f>LEFT(M2571,1)</f>
        <v>J</v>
      </c>
      <c r="AK2571" t="str">
        <f>_xlfn.CONCAT(AG2571,AH2571,AI2571,AJ2571)</f>
        <v>CFAJ</v>
      </c>
    </row>
    <row r="2572" spans="1:37" ht="15.75" hidden="1" customHeight="1" x14ac:dyDescent="0.2">
      <c r="A2572" s="1">
        <v>2719904</v>
      </c>
      <c r="B2572" s="1" t="s">
        <v>3409</v>
      </c>
      <c r="C2572" s="1" t="s">
        <v>973</v>
      </c>
      <c r="D2572" s="1" t="s">
        <v>3616</v>
      </c>
      <c r="E2572" s="1" t="s">
        <v>355</v>
      </c>
      <c r="F2572" s="1" t="s">
        <v>61</v>
      </c>
      <c r="G2572" s="1" t="s">
        <v>3618</v>
      </c>
      <c r="H2572" s="1">
        <v>7702</v>
      </c>
      <c r="I2572" s="1" t="s">
        <v>3619</v>
      </c>
      <c r="J2572" s="1">
        <v>1767</v>
      </c>
      <c r="K2572" s="1" t="s">
        <v>49</v>
      </c>
      <c r="L2572" s="1">
        <v>40</v>
      </c>
      <c r="M2572" s="1" t="str">
        <f>IF(L2572&lt;=45,"Joven","Mayor")</f>
        <v>Joven</v>
      </c>
      <c r="N2572" s="1">
        <v>40</v>
      </c>
      <c r="O2572" s="1" t="s">
        <v>50</v>
      </c>
      <c r="P2572" s="1">
        <v>0.35199999999999998</v>
      </c>
      <c r="Q2572" s="1">
        <v>91.94</v>
      </c>
      <c r="R2572" s="1">
        <v>4.0887612999999998</v>
      </c>
      <c r="S2572" s="1">
        <v>2.2570684000000001</v>
      </c>
      <c r="T2572" s="1">
        <v>-0.97013163999999996</v>
      </c>
      <c r="U2572" s="1">
        <v>72.397999999999996</v>
      </c>
      <c r="V2572" s="1">
        <v>107</v>
      </c>
      <c r="W2572" s="1">
        <v>191</v>
      </c>
      <c r="X2572" s="1">
        <v>1.7850467289719627</v>
      </c>
      <c r="Y2572" s="1">
        <v>107</v>
      </c>
      <c r="Z2572" s="1">
        <v>191</v>
      </c>
      <c r="AA2572" s="1">
        <v>1.7850467289719627</v>
      </c>
      <c r="AB2572" s="1">
        <v>107.7973590754011</v>
      </c>
      <c r="AC2572" s="1">
        <v>190.93875917214251</v>
      </c>
      <c r="AD2572" s="1">
        <v>1.7712749255627536</v>
      </c>
      <c r="AE2572" t="s">
        <v>4817</v>
      </c>
      <c r="AF2572" t="str">
        <f>IF(X2572&lt;$AF$1,"Bajo","Alto")</f>
        <v>Alto</v>
      </c>
      <c r="AG2572" t="str">
        <f>LEFT(AE2572,1)</f>
        <v>C</v>
      </c>
      <c r="AH2572" t="str">
        <f>K2572</f>
        <v>F</v>
      </c>
      <c r="AI2572" t="str">
        <f>LEFT(AF2572,1)</f>
        <v>A</v>
      </c>
      <c r="AJ2572" t="str">
        <f>LEFT(M2572,1)</f>
        <v>J</v>
      </c>
      <c r="AK2572" t="str">
        <f>_xlfn.CONCAT(AG2572,AH2572,AI2572,AJ2572)</f>
        <v>CFAJ</v>
      </c>
    </row>
    <row r="2573" spans="1:37" ht="15.75" hidden="1" customHeight="1" x14ac:dyDescent="0.2">
      <c r="A2573" s="1">
        <v>402005</v>
      </c>
      <c r="B2573" s="1" t="s">
        <v>4287</v>
      </c>
      <c r="C2573" s="1" t="s">
        <v>657</v>
      </c>
      <c r="D2573" s="1" t="s">
        <v>4302</v>
      </c>
      <c r="E2573" s="1" t="s">
        <v>1983</v>
      </c>
      <c r="F2573" s="1" t="s">
        <v>40</v>
      </c>
      <c r="G2573" s="1" t="s">
        <v>4305</v>
      </c>
      <c r="H2573" s="1">
        <v>838</v>
      </c>
      <c r="I2573" s="1" t="s">
        <v>4306</v>
      </c>
      <c r="J2573" s="1">
        <v>2174</v>
      </c>
      <c r="K2573" s="1" t="s">
        <v>35</v>
      </c>
      <c r="L2573" s="1">
        <v>44</v>
      </c>
      <c r="M2573" s="1" t="str">
        <f>IF(L2573&lt;=45,"Joven","Mayor")</f>
        <v>Joven</v>
      </c>
      <c r="N2573" s="1">
        <v>44</v>
      </c>
      <c r="O2573" s="1" t="s">
        <v>36</v>
      </c>
      <c r="P2573" s="1">
        <v>0.217</v>
      </c>
      <c r="Q2573" s="1">
        <v>88.619</v>
      </c>
      <c r="R2573" s="1">
        <v>7.0011340000000004</v>
      </c>
      <c r="S2573" s="1">
        <v>-1.3850998999999999</v>
      </c>
      <c r="T2573" s="1">
        <v>1.1073120999999999</v>
      </c>
      <c r="U2573" s="1">
        <v>21.279</v>
      </c>
      <c r="V2573" s="1">
        <v>82</v>
      </c>
      <c r="W2573" s="1">
        <v>144</v>
      </c>
      <c r="X2573" s="1">
        <v>1.7560975609756098</v>
      </c>
      <c r="Y2573" s="1">
        <v>83</v>
      </c>
      <c r="Z2573" s="1">
        <v>144</v>
      </c>
      <c r="AA2573" s="1">
        <v>1.7349397590361446</v>
      </c>
      <c r="AB2573" s="1">
        <v>82.777013424544748</v>
      </c>
      <c r="AC2573" s="1">
        <v>143.9537835367482</v>
      </c>
      <c r="AD2573" s="1">
        <v>1.739055053828066</v>
      </c>
      <c r="AE2573" t="s">
        <v>4817</v>
      </c>
      <c r="AF2573" t="str">
        <f>IF(X2573&lt;$AF$1,"Bajo","Alto")</f>
        <v>Bajo</v>
      </c>
      <c r="AG2573" t="str">
        <f>LEFT(AE2573,1)</f>
        <v>C</v>
      </c>
      <c r="AH2573" t="str">
        <f>K2573</f>
        <v>M</v>
      </c>
      <c r="AI2573" t="str">
        <f>LEFT(AF2573,1)</f>
        <v>B</v>
      </c>
      <c r="AJ2573" t="str">
        <f>LEFT(M2573,1)</f>
        <v>J</v>
      </c>
      <c r="AK2573" t="str">
        <f>_xlfn.CONCAT(AG2573,AH2573,AI2573,AJ2573)</f>
        <v>CMBJ</v>
      </c>
    </row>
    <row r="2574" spans="1:37" ht="15.75" hidden="1" customHeight="1" x14ac:dyDescent="0.2">
      <c r="A2574" s="1">
        <v>10119605</v>
      </c>
      <c r="B2574" s="1" t="s">
        <v>29</v>
      </c>
      <c r="C2574" s="1" t="s">
        <v>30</v>
      </c>
      <c r="D2574" s="1" t="s">
        <v>345</v>
      </c>
      <c r="E2574" s="1" t="s">
        <v>346</v>
      </c>
      <c r="F2574" s="1" t="s">
        <v>40</v>
      </c>
      <c r="G2574" s="1" t="s">
        <v>351</v>
      </c>
      <c r="H2574" s="1">
        <v>3836</v>
      </c>
      <c r="I2574" s="1" t="s">
        <v>134</v>
      </c>
      <c r="J2574" s="1">
        <v>8</v>
      </c>
      <c r="K2574" s="1" t="s">
        <v>49</v>
      </c>
      <c r="L2574" s="1">
        <v>43</v>
      </c>
      <c r="M2574" s="1" t="str">
        <f>IF(L2574&lt;=45,"Joven","Mayor")</f>
        <v>Joven</v>
      </c>
      <c r="N2574" s="1">
        <v>32</v>
      </c>
      <c r="O2574" s="1" t="s">
        <v>50</v>
      </c>
      <c r="P2574" s="1">
        <v>0.34899999999999998</v>
      </c>
      <c r="Q2574" s="1">
        <v>76.942999999999998</v>
      </c>
      <c r="R2574" s="1">
        <v>-11.3727865</v>
      </c>
      <c r="S2574" s="1">
        <v>1.8781669999999999</v>
      </c>
      <c r="T2574" s="1">
        <v>2.6008737000000002</v>
      </c>
      <c r="U2574" s="1">
        <v>5.5330000000000004</v>
      </c>
      <c r="V2574" s="1">
        <v>79</v>
      </c>
      <c r="W2574" s="1">
        <v>139</v>
      </c>
      <c r="X2574" s="1">
        <v>1.759493670886076</v>
      </c>
      <c r="Y2574" s="1">
        <v>79</v>
      </c>
      <c r="Z2574" s="1">
        <v>139</v>
      </c>
      <c r="AA2574" s="1">
        <v>1.759493670886076</v>
      </c>
      <c r="AB2574" s="1">
        <v>80.325345219429437</v>
      </c>
      <c r="AC2574" s="1">
        <v>138.53916548366851</v>
      </c>
      <c r="AD2574" s="1">
        <v>1.7247254288819174</v>
      </c>
      <c r="AE2574" t="s">
        <v>4817</v>
      </c>
      <c r="AF2574" t="str">
        <f>IF(X2574&lt;$AF$1,"Bajo","Alto")</f>
        <v>Bajo</v>
      </c>
      <c r="AG2574" t="str">
        <f>LEFT(AE2574,1)</f>
        <v>C</v>
      </c>
      <c r="AH2574" t="str">
        <f>K2574</f>
        <v>F</v>
      </c>
      <c r="AI2574" t="str">
        <f>LEFT(AF2574,1)</f>
        <v>B</v>
      </c>
      <c r="AJ2574" t="str">
        <f>LEFT(M2574,1)</f>
        <v>J</v>
      </c>
      <c r="AK2574" t="str">
        <f>_xlfn.CONCAT(AG2574,AH2574,AI2574,AJ2574)</f>
        <v>CFBJ</v>
      </c>
    </row>
    <row r="2575" spans="1:37" ht="15.75" hidden="1" customHeight="1" x14ac:dyDescent="0.2">
      <c r="A2575" s="1">
        <v>2711901</v>
      </c>
      <c r="B2575" s="1" t="s">
        <v>3409</v>
      </c>
      <c r="C2575" s="1" t="s">
        <v>973</v>
      </c>
      <c r="D2575" s="1" t="s">
        <v>3456</v>
      </c>
      <c r="E2575" s="1" t="s">
        <v>3457</v>
      </c>
      <c r="F2575" s="1" t="s">
        <v>32</v>
      </c>
      <c r="G2575" s="1" t="s">
        <v>3458</v>
      </c>
      <c r="H2575" s="1">
        <v>2915</v>
      </c>
      <c r="I2575" s="1" t="s">
        <v>39</v>
      </c>
      <c r="J2575" s="1">
        <v>11</v>
      </c>
      <c r="K2575" s="1" t="s">
        <v>35</v>
      </c>
      <c r="L2575" s="1">
        <v>36</v>
      </c>
      <c r="M2575" s="1" t="str">
        <f>IF(L2575&lt;=45,"Joven","Mayor")</f>
        <v>Joven</v>
      </c>
      <c r="N2575" s="1">
        <v>43</v>
      </c>
      <c r="O2575" s="1" t="s">
        <v>36</v>
      </c>
      <c r="P2575" s="1">
        <v>1.022</v>
      </c>
      <c r="Q2575" s="1">
        <v>89.611000000000004</v>
      </c>
      <c r="R2575" s="1">
        <v>-5.6071315000000004</v>
      </c>
      <c r="S2575" s="1">
        <v>-3.5919530000000002</v>
      </c>
      <c r="T2575" s="1">
        <v>11.151168</v>
      </c>
      <c r="U2575" s="1">
        <v>0.74099999999999999</v>
      </c>
      <c r="V2575" s="1">
        <v>79</v>
      </c>
      <c r="W2575" s="1">
        <v>141</v>
      </c>
      <c r="X2575" s="1">
        <v>1.7848101265822784</v>
      </c>
      <c r="Y2575" s="1">
        <v>92</v>
      </c>
      <c r="Z2575" s="1">
        <v>141</v>
      </c>
      <c r="AA2575" s="1">
        <v>1.5326086956521738</v>
      </c>
      <c r="AB2575" s="1">
        <v>86.211427425502507</v>
      </c>
      <c r="AC2575" s="1">
        <v>140.27195040513931</v>
      </c>
      <c r="AD2575" s="1">
        <v>1.6270691089803828</v>
      </c>
      <c r="AE2575" t="s">
        <v>4816</v>
      </c>
      <c r="AF2575" t="str">
        <f>IF(X2575&lt;$AF$1,"Bajo","Alto")</f>
        <v>Alto</v>
      </c>
      <c r="AG2575" t="str">
        <f>LEFT(AE2575,1)</f>
        <v>D</v>
      </c>
      <c r="AH2575" t="str">
        <f>K2575</f>
        <v>M</v>
      </c>
      <c r="AI2575" t="str">
        <f>LEFT(AF2575,1)</f>
        <v>A</v>
      </c>
      <c r="AJ2575" t="str">
        <f>LEFT(M2575,1)</f>
        <v>J</v>
      </c>
      <c r="AK2575" t="str">
        <f>_xlfn.CONCAT(AG2575,AH2575,AI2575,AJ2575)</f>
        <v>DMAJ</v>
      </c>
    </row>
    <row r="2576" spans="1:37" ht="15.75" hidden="1" customHeight="1" x14ac:dyDescent="0.2">
      <c r="A2576" s="1">
        <v>247002</v>
      </c>
      <c r="B2576" s="1" t="s">
        <v>1548</v>
      </c>
      <c r="C2576" s="1" t="s">
        <v>1993</v>
      </c>
      <c r="D2576" s="1" t="s">
        <v>3154</v>
      </c>
      <c r="E2576" s="1" t="s">
        <v>720</v>
      </c>
      <c r="F2576" s="1" t="s">
        <v>37</v>
      </c>
      <c r="G2576" s="1" t="s">
        <v>3156</v>
      </c>
      <c r="H2576" s="1">
        <v>4451</v>
      </c>
      <c r="I2576" s="1" t="s">
        <v>85</v>
      </c>
      <c r="J2576" s="1">
        <v>12</v>
      </c>
      <c r="K2576" s="1" t="s">
        <v>35</v>
      </c>
      <c r="L2576" s="1">
        <v>40</v>
      </c>
      <c r="M2576" s="1" t="str">
        <f>IF(L2576&lt;=45,"Joven","Mayor")</f>
        <v>Joven</v>
      </c>
      <c r="N2576" s="1">
        <v>47</v>
      </c>
      <c r="O2576" s="1" t="s">
        <v>36</v>
      </c>
      <c r="P2576" s="1">
        <v>9.7000000000000003E-2</v>
      </c>
      <c r="Q2576" s="1">
        <v>94.813000000000002</v>
      </c>
      <c r="R2576" s="1">
        <v>7.0101640000000007E-2</v>
      </c>
      <c r="S2576" s="1">
        <v>0.97729160000000004</v>
      </c>
      <c r="T2576" s="1">
        <v>-1.7300241999999999</v>
      </c>
      <c r="U2576" s="1">
        <v>2.157</v>
      </c>
      <c r="V2576" s="1">
        <v>71</v>
      </c>
      <c r="W2576" s="1">
        <v>125</v>
      </c>
      <c r="X2576" s="1">
        <v>1.7605633802816902</v>
      </c>
      <c r="Y2576" s="1">
        <v>72</v>
      </c>
      <c r="Z2576" s="1">
        <v>125</v>
      </c>
      <c r="AA2576" s="1">
        <v>1.7361111111111112</v>
      </c>
      <c r="AB2576" s="1">
        <v>72.963451760433827</v>
      </c>
      <c r="AC2576" s="1">
        <v>124.943022142781</v>
      </c>
      <c r="AD2576" s="1">
        <v>1.7124055829076652</v>
      </c>
      <c r="AE2576" t="s">
        <v>4815</v>
      </c>
      <c r="AF2576" t="str">
        <f>IF(X2576&lt;$AF$1,"Bajo","Alto")</f>
        <v>Bajo</v>
      </c>
      <c r="AG2576" t="str">
        <f>LEFT(AE2576,1)</f>
        <v>I</v>
      </c>
      <c r="AH2576" t="str">
        <f>K2576</f>
        <v>M</v>
      </c>
      <c r="AI2576" t="str">
        <f>LEFT(AF2576,1)</f>
        <v>B</v>
      </c>
      <c r="AJ2576" t="str">
        <f>LEFT(M2576,1)</f>
        <v>J</v>
      </c>
      <c r="AK2576" t="str">
        <f>_xlfn.CONCAT(AG2576,AH2576,AI2576,AJ2576)</f>
        <v>IMBJ</v>
      </c>
    </row>
    <row r="2577" spans="1:37" ht="15.75" hidden="1" customHeight="1" x14ac:dyDescent="0.2">
      <c r="A2577" s="1">
        <v>233401</v>
      </c>
      <c r="B2577" s="1" t="s">
        <v>319</v>
      </c>
      <c r="C2577" s="1" t="s">
        <v>1989</v>
      </c>
      <c r="D2577" s="1" t="s">
        <v>3019</v>
      </c>
      <c r="E2577" s="1" t="s">
        <v>634</v>
      </c>
      <c r="F2577" s="1" t="s">
        <v>32</v>
      </c>
      <c r="G2577" s="1" t="s">
        <v>3020</v>
      </c>
      <c r="H2577" s="1">
        <v>3728</v>
      </c>
      <c r="I2577" s="1" t="s">
        <v>65</v>
      </c>
      <c r="J2577" s="1">
        <v>2</v>
      </c>
      <c r="K2577" s="1" t="s">
        <v>35</v>
      </c>
      <c r="L2577" s="1">
        <v>45</v>
      </c>
      <c r="M2577" s="1" t="str">
        <f>IF(L2577&lt;=45,"Joven","Mayor")</f>
        <v>Joven</v>
      </c>
      <c r="N2577" s="1">
        <v>53</v>
      </c>
      <c r="O2577" s="1" t="s">
        <v>36</v>
      </c>
      <c r="P2577" s="1">
        <v>0.35599999999999998</v>
      </c>
      <c r="Q2577" s="1">
        <v>94.036000000000001</v>
      </c>
      <c r="R2577" s="1">
        <v>1.2603244</v>
      </c>
      <c r="S2577" s="1">
        <v>1.9127713</v>
      </c>
      <c r="T2577" s="1">
        <v>0.17532144</v>
      </c>
      <c r="U2577" s="1">
        <v>49.286000000000001</v>
      </c>
      <c r="V2577" s="1">
        <v>78</v>
      </c>
      <c r="W2577" s="1">
        <v>137</v>
      </c>
      <c r="X2577" s="1">
        <v>1.7564102564102564</v>
      </c>
      <c r="Y2577" s="1">
        <v>81</v>
      </c>
      <c r="Z2577" s="1">
        <v>137</v>
      </c>
      <c r="AA2577" s="1">
        <v>1.691358024691358</v>
      </c>
      <c r="AB2577" s="1">
        <v>81.109778327944468</v>
      </c>
      <c r="AC2577" s="1">
        <v>136.99629868897</v>
      </c>
      <c r="AD2577" s="1">
        <v>1.6890232165974388</v>
      </c>
      <c r="AE2577" t="s">
        <v>4817</v>
      </c>
      <c r="AF2577" t="str">
        <f>IF(X2577&lt;$AF$1,"Bajo","Alto")</f>
        <v>Bajo</v>
      </c>
      <c r="AG2577" t="str">
        <f>LEFT(AE2577,1)</f>
        <v>C</v>
      </c>
      <c r="AH2577" t="str">
        <f>K2577</f>
        <v>M</v>
      </c>
      <c r="AI2577" t="str">
        <f>LEFT(AF2577,1)</f>
        <v>B</v>
      </c>
      <c r="AJ2577" t="str">
        <f>LEFT(M2577,1)</f>
        <v>J</v>
      </c>
      <c r="AK2577" t="str">
        <f>_xlfn.CONCAT(AG2577,AH2577,AI2577,AJ2577)</f>
        <v>CMBJ</v>
      </c>
    </row>
    <row r="2578" spans="1:37" ht="15.75" hidden="1" customHeight="1" x14ac:dyDescent="0.2">
      <c r="A2578" s="1">
        <v>1513902</v>
      </c>
      <c r="B2578" s="1" t="s">
        <v>2077</v>
      </c>
      <c r="C2578" s="1" t="s">
        <v>57</v>
      </c>
      <c r="D2578" s="1" t="s">
        <v>2159</v>
      </c>
      <c r="E2578" s="1" t="s">
        <v>176</v>
      </c>
      <c r="F2578" s="1" t="s">
        <v>37</v>
      </c>
      <c r="G2578" s="1" t="s">
        <v>2160</v>
      </c>
      <c r="H2578" s="1">
        <v>738</v>
      </c>
      <c r="I2578" s="1" t="s">
        <v>39</v>
      </c>
      <c r="J2578" s="1">
        <v>11</v>
      </c>
      <c r="K2578" s="1" t="s">
        <v>35</v>
      </c>
      <c r="L2578" s="1">
        <v>38</v>
      </c>
      <c r="M2578" s="1" t="str">
        <f>IF(L2578&lt;=45,"Joven","Mayor")</f>
        <v>Joven</v>
      </c>
      <c r="N2578" s="1">
        <v>52</v>
      </c>
      <c r="O2578" s="1" t="s">
        <v>36</v>
      </c>
      <c r="P2578" s="1">
        <v>0.60899999999999999</v>
      </c>
      <c r="Q2578" s="1">
        <v>90.456000000000003</v>
      </c>
      <c r="R2578" s="1">
        <v>-2.8139124</v>
      </c>
      <c r="S2578" s="1">
        <v>8.9227489999999996</v>
      </c>
      <c r="T2578" s="1">
        <v>-1.2283314000000001</v>
      </c>
      <c r="U2578" s="1">
        <v>0.71</v>
      </c>
      <c r="V2578" s="1">
        <v>78</v>
      </c>
      <c r="W2578" s="1">
        <v>139</v>
      </c>
      <c r="X2578" s="1">
        <v>1.7820512820512822</v>
      </c>
      <c r="Y2578" s="1">
        <v>79</v>
      </c>
      <c r="Z2578" s="1">
        <v>139</v>
      </c>
      <c r="AA2578" s="1">
        <v>1.759493670886076</v>
      </c>
      <c r="AB2578" s="1">
        <v>79.796444084478708</v>
      </c>
      <c r="AC2578" s="1">
        <v>139.01093216525351</v>
      </c>
      <c r="AD2578" s="1">
        <v>1.7420692583504818</v>
      </c>
      <c r="AE2578" t="s">
        <v>4816</v>
      </c>
      <c r="AF2578" t="str">
        <f>IF(X2578&lt;$AF$1,"Bajo","Alto")</f>
        <v>Alto</v>
      </c>
      <c r="AG2578" t="str">
        <f>LEFT(AE2578,1)</f>
        <v>D</v>
      </c>
      <c r="AH2578" t="str">
        <f>K2578</f>
        <v>M</v>
      </c>
      <c r="AI2578" t="str">
        <f>LEFT(AF2578,1)</f>
        <v>A</v>
      </c>
      <c r="AJ2578" t="str">
        <f>LEFT(M2578,1)</f>
        <v>J</v>
      </c>
      <c r="AK2578" t="str">
        <f>_xlfn.CONCAT(AG2578,AH2578,AI2578,AJ2578)</f>
        <v>DMAJ</v>
      </c>
    </row>
    <row r="2579" spans="1:37" ht="15.75" hidden="1" customHeight="1" x14ac:dyDescent="0.2">
      <c r="A2579" s="1">
        <v>10912002</v>
      </c>
      <c r="B2579" s="1" t="s">
        <v>719</v>
      </c>
      <c r="C2579" s="1" t="s">
        <v>98</v>
      </c>
      <c r="D2579" s="1" t="s">
        <v>1563</v>
      </c>
      <c r="E2579" s="1" t="s">
        <v>1564</v>
      </c>
      <c r="F2579" s="1" t="s">
        <v>37</v>
      </c>
      <c r="G2579" s="1" t="s">
        <v>1566</v>
      </c>
      <c r="H2579" s="1">
        <v>102</v>
      </c>
      <c r="I2579" s="1" t="s">
        <v>48</v>
      </c>
      <c r="J2579" s="1">
        <v>4</v>
      </c>
      <c r="K2579" s="1" t="s">
        <v>49</v>
      </c>
      <c r="L2579" s="1">
        <v>47</v>
      </c>
      <c r="M2579" s="1" t="str">
        <f>IF(L2579&lt;=45,"Joven","Mayor")</f>
        <v>Mayor</v>
      </c>
      <c r="N2579" s="1">
        <v>54</v>
      </c>
      <c r="O2579" s="1" t="s">
        <v>50</v>
      </c>
      <c r="P2579" s="1">
        <v>0.34899999999999998</v>
      </c>
      <c r="Q2579" s="1">
        <v>87.923000000000002</v>
      </c>
      <c r="R2579" s="1">
        <v>6.3315089999999996</v>
      </c>
      <c r="S2579" s="1">
        <v>5.6979100000000003</v>
      </c>
      <c r="T2579" s="1">
        <v>-15.682411</v>
      </c>
      <c r="U2579" s="1">
        <v>7.5679999999999996</v>
      </c>
      <c r="V2579" s="1">
        <v>98</v>
      </c>
      <c r="W2579" s="1">
        <v>174</v>
      </c>
      <c r="X2579" s="1">
        <v>1.7755102040816326</v>
      </c>
      <c r="Y2579" s="1">
        <v>118</v>
      </c>
      <c r="Z2579" s="1">
        <v>174</v>
      </c>
      <c r="AA2579" s="1">
        <v>1.4745762711864407</v>
      </c>
      <c r="AB2579" s="1">
        <v>112.4623559422282</v>
      </c>
      <c r="AC2579" s="1">
        <v>177.7943964729661</v>
      </c>
      <c r="AD2579" s="1">
        <v>1.5809236342541046</v>
      </c>
      <c r="AE2579" t="s">
        <v>4817</v>
      </c>
      <c r="AF2579" t="str">
        <f>IF(X2579&lt;$AF$1,"Bajo","Alto")</f>
        <v>Alto</v>
      </c>
      <c r="AG2579" t="str">
        <f>LEFT(AE2579,1)</f>
        <v>C</v>
      </c>
      <c r="AH2579" t="str">
        <f>K2579</f>
        <v>F</v>
      </c>
      <c r="AI2579" t="str">
        <f>LEFT(AF2579,1)</f>
        <v>A</v>
      </c>
      <c r="AJ2579" t="str">
        <f>LEFT(M2579,1)</f>
        <v>M</v>
      </c>
      <c r="AK2579" t="str">
        <f>_xlfn.CONCAT(AG2579,AH2579,AI2579,AJ2579)</f>
        <v>CFAM</v>
      </c>
    </row>
    <row r="2580" spans="1:37" ht="15.75" hidden="1" customHeight="1" x14ac:dyDescent="0.2">
      <c r="A2580" s="1">
        <v>1272003</v>
      </c>
      <c r="B2580" s="1" t="s">
        <v>1798</v>
      </c>
      <c r="C2580" s="1" t="s">
        <v>54</v>
      </c>
      <c r="D2580" s="1" t="s">
        <v>1899</v>
      </c>
      <c r="E2580" s="1" t="s">
        <v>1900</v>
      </c>
      <c r="F2580" s="1" t="s">
        <v>63</v>
      </c>
      <c r="G2580" s="1" t="s">
        <v>1902</v>
      </c>
      <c r="H2580" s="1">
        <v>18</v>
      </c>
      <c r="I2580" s="1" t="s">
        <v>1903</v>
      </c>
      <c r="J2580" s="1">
        <v>2854</v>
      </c>
      <c r="K2580" s="1" t="s">
        <v>35</v>
      </c>
      <c r="L2580" s="1">
        <v>56</v>
      </c>
      <c r="M2580" s="1" t="str">
        <f>IF(L2580&lt;=45,"Joven","Mayor")</f>
        <v>Mayor</v>
      </c>
      <c r="N2580" s="1">
        <v>50</v>
      </c>
      <c r="O2580" s="1" t="s">
        <v>36</v>
      </c>
      <c r="P2580" s="1">
        <v>0.47099999999999997</v>
      </c>
      <c r="Q2580" s="1">
        <v>47.890999999999998</v>
      </c>
      <c r="R2580" s="1">
        <v>15.808101000000001</v>
      </c>
      <c r="S2580" s="1">
        <v>6.0814870000000001</v>
      </c>
      <c r="T2580" s="1">
        <v>-3.2528383999999999</v>
      </c>
      <c r="U2580" s="1">
        <v>2.2970000000000002</v>
      </c>
      <c r="V2580" s="1">
        <v>89</v>
      </c>
      <c r="W2580" s="1">
        <v>156</v>
      </c>
      <c r="X2580" s="1">
        <v>1.752808988764045</v>
      </c>
      <c r="Y2580" s="1">
        <v>96</v>
      </c>
      <c r="Z2580" s="1">
        <v>156</v>
      </c>
      <c r="AA2580" s="1">
        <v>1.625</v>
      </c>
      <c r="AB2580" s="1">
        <v>93.518898500209616</v>
      </c>
      <c r="AC2580" s="1">
        <v>155.97563127441711</v>
      </c>
      <c r="AD2580" s="1">
        <v>1.6678514586446664</v>
      </c>
      <c r="AE2580" t="s">
        <v>4815</v>
      </c>
      <c r="AF2580" t="str">
        <f>IF(X2580&lt;$AF$1,"Bajo","Alto")</f>
        <v>Bajo</v>
      </c>
      <c r="AG2580" t="str">
        <f>LEFT(AE2580,1)</f>
        <v>I</v>
      </c>
      <c r="AH2580" t="str">
        <f>K2580</f>
        <v>M</v>
      </c>
      <c r="AI2580" t="str">
        <f>LEFT(AF2580,1)</f>
        <v>B</v>
      </c>
      <c r="AJ2580" t="str">
        <f>LEFT(M2580,1)</f>
        <v>M</v>
      </c>
      <c r="AK2580" t="str">
        <f>_xlfn.CONCAT(AG2580,AH2580,AI2580,AJ2580)</f>
        <v>IMBM</v>
      </c>
    </row>
    <row r="2581" spans="1:37" ht="15.75" hidden="1" customHeight="1" x14ac:dyDescent="0.2">
      <c r="A2581" s="1">
        <v>440303</v>
      </c>
      <c r="B2581" s="1" t="s">
        <v>4314</v>
      </c>
      <c r="C2581" s="1" t="s">
        <v>995</v>
      </c>
      <c r="D2581" s="1" t="s">
        <v>4321</v>
      </c>
      <c r="E2581" s="1" t="s">
        <v>63</v>
      </c>
      <c r="F2581" s="1" t="s">
        <v>63</v>
      </c>
      <c r="G2581" s="1" t="s">
        <v>4323</v>
      </c>
      <c r="H2581" s="1">
        <v>3464</v>
      </c>
      <c r="I2581" s="1" t="s">
        <v>4324</v>
      </c>
      <c r="J2581" s="1">
        <v>2901</v>
      </c>
      <c r="K2581" s="1" t="s">
        <v>35</v>
      </c>
      <c r="L2581" s="1">
        <v>39</v>
      </c>
      <c r="M2581" s="1" t="str">
        <f>IF(L2581&lt;=45,"Joven","Mayor")</f>
        <v>Joven</v>
      </c>
      <c r="N2581" s="1">
        <v>43</v>
      </c>
      <c r="O2581" s="1" t="s">
        <v>36</v>
      </c>
      <c r="P2581" s="1">
        <v>0.35599999999999998</v>
      </c>
      <c r="Q2581" s="1">
        <v>92.918999999999997</v>
      </c>
      <c r="R2581" s="1">
        <v>3.2868029999999999</v>
      </c>
      <c r="S2581" s="1">
        <v>0.93217735999999995</v>
      </c>
      <c r="T2581" s="1">
        <v>-4.3758216000000001</v>
      </c>
      <c r="U2581" s="1">
        <v>1.8340000000000001</v>
      </c>
      <c r="V2581" s="1">
        <v>98</v>
      </c>
      <c r="W2581" s="1">
        <v>175</v>
      </c>
      <c r="X2581" s="1">
        <v>1.7857142857142858</v>
      </c>
      <c r="Y2581" s="1">
        <v>101</v>
      </c>
      <c r="Z2581" s="1">
        <v>175</v>
      </c>
      <c r="AA2581" s="1">
        <v>1.7326732673267327</v>
      </c>
      <c r="AB2581" s="1">
        <v>101.6818439167475</v>
      </c>
      <c r="AC2581" s="1">
        <v>174.71877652272499</v>
      </c>
      <c r="AD2581" s="1">
        <v>1.718288829083163</v>
      </c>
      <c r="AE2581" t="s">
        <v>4817</v>
      </c>
      <c r="AF2581" t="str">
        <f>IF(X2581&lt;$AF$1,"Bajo","Alto")</f>
        <v>Alto</v>
      </c>
      <c r="AG2581" t="str">
        <f>LEFT(AE2581,1)</f>
        <v>C</v>
      </c>
      <c r="AH2581" t="str">
        <f>K2581</f>
        <v>M</v>
      </c>
      <c r="AI2581" t="str">
        <f>LEFT(AF2581,1)</f>
        <v>A</v>
      </c>
      <c r="AJ2581" t="str">
        <f>LEFT(M2581,1)</f>
        <v>J</v>
      </c>
      <c r="AK2581" t="str">
        <f>_xlfn.CONCAT(AG2581,AH2581,AI2581,AJ2581)</f>
        <v>CMAJ</v>
      </c>
    </row>
    <row r="2582" spans="1:37" ht="15.75" hidden="1" customHeight="1" x14ac:dyDescent="0.2">
      <c r="A2582" s="1">
        <v>283004</v>
      </c>
      <c r="B2582" s="1" t="s">
        <v>1775</v>
      </c>
      <c r="C2582" s="1" t="s">
        <v>561</v>
      </c>
      <c r="D2582" s="1" t="s">
        <v>3842</v>
      </c>
      <c r="E2582" s="1" t="s">
        <v>2381</v>
      </c>
      <c r="F2582" s="1" t="s">
        <v>61</v>
      </c>
      <c r="G2582" s="1" t="s">
        <v>3843</v>
      </c>
      <c r="H2582" s="1">
        <v>1764</v>
      </c>
      <c r="I2582" s="1" t="s">
        <v>65</v>
      </c>
      <c r="J2582" s="1">
        <v>2</v>
      </c>
      <c r="K2582" s="1" t="s">
        <v>35</v>
      </c>
      <c r="L2582" s="1">
        <v>44</v>
      </c>
      <c r="M2582" s="1" t="str">
        <f>IF(L2582&lt;=45,"Joven","Mayor")</f>
        <v>Joven</v>
      </c>
      <c r="N2582" s="1">
        <v>49</v>
      </c>
      <c r="O2582" s="1" t="s">
        <v>36</v>
      </c>
      <c r="P2582" s="1">
        <v>0.35499999999999998</v>
      </c>
      <c r="Q2582" s="1">
        <v>53.792000000000002</v>
      </c>
      <c r="R2582" s="1">
        <v>15.630898999999999</v>
      </c>
      <c r="S2582" s="1">
        <v>-0.24738773999999999</v>
      </c>
      <c r="T2582" s="1">
        <v>-10.929883</v>
      </c>
      <c r="U2582" s="1">
        <v>4.1310000000000002</v>
      </c>
      <c r="V2582" s="1">
        <v>78</v>
      </c>
      <c r="W2582" s="1">
        <v>137</v>
      </c>
      <c r="X2582" s="1">
        <v>1.7564102564102564</v>
      </c>
      <c r="Y2582" s="1">
        <v>87</v>
      </c>
      <c r="Z2582" s="1">
        <v>137</v>
      </c>
      <c r="AA2582" s="1">
        <v>1.5747126436781609</v>
      </c>
      <c r="AB2582" s="1">
        <v>84.358986642763966</v>
      </c>
      <c r="AC2582" s="1">
        <v>136.79010462753331</v>
      </c>
      <c r="AD2582" s="1">
        <v>1.6215238005027259</v>
      </c>
      <c r="AE2582" t="s">
        <v>4817</v>
      </c>
      <c r="AF2582" t="str">
        <f>IF(X2582&lt;$AF$1,"Bajo","Alto")</f>
        <v>Bajo</v>
      </c>
      <c r="AG2582" t="str">
        <f>LEFT(AE2582,1)</f>
        <v>C</v>
      </c>
      <c r="AH2582" t="str">
        <f>K2582</f>
        <v>M</v>
      </c>
      <c r="AI2582" t="str">
        <f>LEFT(AF2582,1)</f>
        <v>B</v>
      </c>
      <c r="AJ2582" t="str">
        <f>LEFT(M2582,1)</f>
        <v>J</v>
      </c>
      <c r="AK2582" t="str">
        <f>_xlfn.CONCAT(AG2582,AH2582,AI2582,AJ2582)</f>
        <v>CMBJ</v>
      </c>
    </row>
    <row r="2583" spans="1:37" ht="15.75" hidden="1" customHeight="1" x14ac:dyDescent="0.2">
      <c r="A2583" s="1">
        <v>1090403</v>
      </c>
      <c r="B2583" s="1" t="s">
        <v>719</v>
      </c>
      <c r="C2583" s="1" t="s">
        <v>98</v>
      </c>
      <c r="D2583" s="1" t="s">
        <v>1537</v>
      </c>
      <c r="E2583" s="1" t="s">
        <v>61</v>
      </c>
      <c r="F2583" s="1" t="s">
        <v>63</v>
      </c>
      <c r="G2583" s="1" t="s">
        <v>1539</v>
      </c>
      <c r="H2583" s="1">
        <v>3215</v>
      </c>
      <c r="I2583" s="1" t="s">
        <v>65</v>
      </c>
      <c r="J2583" s="1">
        <v>2</v>
      </c>
      <c r="K2583" s="1" t="s">
        <v>35</v>
      </c>
      <c r="L2583" s="1">
        <v>56</v>
      </c>
      <c r="M2583" s="1" t="str">
        <f>IF(L2583&lt;=45,"Joven","Mayor")</f>
        <v>Mayor</v>
      </c>
      <c r="N2583" s="1">
        <v>61</v>
      </c>
      <c r="O2583" s="1" t="s">
        <v>36</v>
      </c>
      <c r="P2583" s="1">
        <v>0.35799999999999998</v>
      </c>
      <c r="Q2583" s="1">
        <v>30.248999999999999</v>
      </c>
      <c r="R2583" s="1">
        <v>18.39039</v>
      </c>
      <c r="S2583" s="1">
        <v>-3.3594002999999999</v>
      </c>
      <c r="T2583" s="1">
        <v>0.47200233000000003</v>
      </c>
      <c r="U2583" s="1">
        <v>2.37</v>
      </c>
      <c r="V2583" s="1">
        <v>88</v>
      </c>
      <c r="W2583" s="1">
        <v>157</v>
      </c>
      <c r="X2583" s="1">
        <v>1.7840909090909092</v>
      </c>
      <c r="Y2583" s="1">
        <v>94</v>
      </c>
      <c r="Z2583" s="1">
        <v>157</v>
      </c>
      <c r="AA2583" s="1">
        <v>1.6702127659574468</v>
      </c>
      <c r="AB2583" s="1">
        <v>93.716721730877907</v>
      </c>
      <c r="AC2583" s="1">
        <v>157.0935274810781</v>
      </c>
      <c r="AD2583" s="1">
        <v>1.6762593118888272</v>
      </c>
      <c r="AE2583" t="s">
        <v>4817</v>
      </c>
      <c r="AF2583" t="str">
        <f>IF(X2583&lt;$AF$1,"Bajo","Alto")</f>
        <v>Alto</v>
      </c>
      <c r="AG2583" t="str">
        <f>LEFT(AE2583,1)</f>
        <v>C</v>
      </c>
      <c r="AH2583" t="str">
        <f>K2583</f>
        <v>M</v>
      </c>
      <c r="AI2583" t="str">
        <f>LEFT(AF2583,1)</f>
        <v>A</v>
      </c>
      <c r="AJ2583" t="str">
        <f>LEFT(M2583,1)</f>
        <v>M</v>
      </c>
      <c r="AK2583" t="str">
        <f>_xlfn.CONCAT(AG2583,AH2583,AI2583,AJ2583)</f>
        <v>CMAM</v>
      </c>
    </row>
    <row r="2584" spans="1:37" ht="15.75" hidden="1" customHeight="1" x14ac:dyDescent="0.2">
      <c r="A2584" s="1">
        <v>1014006</v>
      </c>
      <c r="B2584" s="1" t="s">
        <v>29</v>
      </c>
      <c r="C2584" s="1" t="s">
        <v>30</v>
      </c>
      <c r="D2584" s="1" t="s">
        <v>656</v>
      </c>
      <c r="E2584" s="1" t="s">
        <v>657</v>
      </c>
      <c r="F2584" s="1" t="s">
        <v>88</v>
      </c>
      <c r="G2584" s="1" t="s">
        <v>662</v>
      </c>
      <c r="H2584" s="1">
        <v>487</v>
      </c>
      <c r="I2584" s="1" t="s">
        <v>663</v>
      </c>
      <c r="J2584" s="1">
        <v>4181</v>
      </c>
      <c r="K2584" s="1" t="s">
        <v>35</v>
      </c>
      <c r="L2584" s="1">
        <v>43</v>
      </c>
      <c r="M2584" s="1" t="str">
        <f>IF(L2584&lt;=45,"Joven","Mayor")</f>
        <v>Joven</v>
      </c>
      <c r="N2584" s="1">
        <v>46</v>
      </c>
      <c r="O2584" s="1" t="s">
        <v>36</v>
      </c>
      <c r="P2584" s="1">
        <v>0.83399999999999996</v>
      </c>
      <c r="Q2584" s="1">
        <v>77.284999999999997</v>
      </c>
      <c r="R2584" s="1">
        <v>11.391019999999999</v>
      </c>
      <c r="S2584" s="1">
        <v>0.37413809999999997</v>
      </c>
      <c r="T2584" s="1">
        <v>-2.7975764000000001</v>
      </c>
      <c r="U2584" s="1">
        <v>1.5980000000000001</v>
      </c>
      <c r="V2584" s="1">
        <v>103</v>
      </c>
      <c r="W2584" s="1">
        <v>181</v>
      </c>
      <c r="X2584" s="1">
        <v>1.7572815533980584</v>
      </c>
      <c r="Y2584" s="1">
        <v>107</v>
      </c>
      <c r="Z2584" s="1">
        <v>181</v>
      </c>
      <c r="AA2584" s="1">
        <v>1.691588785046729</v>
      </c>
      <c r="AB2584" s="1">
        <v>109.21523867952941</v>
      </c>
      <c r="AC2584" s="1">
        <v>180.44263206061939</v>
      </c>
      <c r="AD2584" s="1">
        <v>1.6521744972795667</v>
      </c>
      <c r="AE2584" t="s">
        <v>4817</v>
      </c>
      <c r="AF2584" t="str">
        <f>IF(X2584&lt;$AF$1,"Bajo","Alto")</f>
        <v>Bajo</v>
      </c>
      <c r="AG2584" t="str">
        <f>LEFT(AE2584,1)</f>
        <v>C</v>
      </c>
      <c r="AH2584" t="str">
        <f>K2584</f>
        <v>M</v>
      </c>
      <c r="AI2584" t="str">
        <f>LEFT(AF2584,1)</f>
        <v>B</v>
      </c>
      <c r="AJ2584" t="str">
        <f>LEFT(M2584,1)</f>
        <v>J</v>
      </c>
      <c r="AK2584" t="str">
        <f>_xlfn.CONCAT(AG2584,AH2584,AI2584,AJ2584)</f>
        <v>CMBJ</v>
      </c>
    </row>
    <row r="2585" spans="1:37" ht="15.75" hidden="1" customHeight="1" x14ac:dyDescent="0.2">
      <c r="A2585" s="1">
        <v>10115102</v>
      </c>
      <c r="B2585" s="1" t="s">
        <v>29</v>
      </c>
      <c r="C2585" s="1" t="s">
        <v>30</v>
      </c>
      <c r="D2585" s="1" t="s">
        <v>214</v>
      </c>
      <c r="E2585" s="1" t="s">
        <v>215</v>
      </c>
      <c r="F2585" s="1" t="s">
        <v>37</v>
      </c>
      <c r="G2585" s="1" t="s">
        <v>216</v>
      </c>
      <c r="H2585" s="1">
        <v>23496</v>
      </c>
      <c r="I2585" s="1" t="s">
        <v>39</v>
      </c>
      <c r="J2585" s="1">
        <v>11</v>
      </c>
      <c r="K2585" s="1" t="s">
        <v>49</v>
      </c>
      <c r="L2585" s="1">
        <v>48</v>
      </c>
      <c r="M2585" s="1" t="str">
        <f>IF(L2585&lt;=45,"Joven","Mayor")</f>
        <v>Mayor</v>
      </c>
      <c r="N2585" s="1">
        <v>45</v>
      </c>
      <c r="O2585" s="1" t="s">
        <v>50</v>
      </c>
      <c r="P2585" s="1">
        <v>0.35199999999999998</v>
      </c>
      <c r="Q2585" s="1">
        <v>93.963999999999999</v>
      </c>
      <c r="R2585" s="1">
        <v>0.48154965</v>
      </c>
      <c r="S2585" s="1">
        <v>4.0912559999999996</v>
      </c>
      <c r="T2585" s="1">
        <v>0.32428843000000002</v>
      </c>
      <c r="U2585" s="1">
        <v>0.76700000000000002</v>
      </c>
      <c r="V2585" s="1">
        <v>87</v>
      </c>
      <c r="W2585" s="1">
        <v>152</v>
      </c>
      <c r="X2585" s="1">
        <v>1.7471264367816093</v>
      </c>
      <c r="Y2585" s="1">
        <v>93</v>
      </c>
      <c r="Z2585" s="1">
        <v>152</v>
      </c>
      <c r="AA2585" s="1">
        <v>1.6344086021505377</v>
      </c>
      <c r="AB2585" s="1">
        <v>92.783435317558997</v>
      </c>
      <c r="AC2585" s="1">
        <v>152.02020486866101</v>
      </c>
      <c r="AD2585" s="1">
        <v>1.6384412190425939</v>
      </c>
      <c r="AE2585" t="s">
        <v>4816</v>
      </c>
      <c r="AF2585" t="str">
        <f>IF(X2585&lt;$AF$1,"Bajo","Alto")</f>
        <v>Bajo</v>
      </c>
      <c r="AG2585" t="str">
        <f>LEFT(AE2585,1)</f>
        <v>D</v>
      </c>
      <c r="AH2585" t="str">
        <f>K2585</f>
        <v>F</v>
      </c>
      <c r="AI2585" t="str">
        <f>LEFT(AF2585,1)</f>
        <v>B</v>
      </c>
      <c r="AJ2585" t="str">
        <f>LEFT(M2585,1)</f>
        <v>M</v>
      </c>
      <c r="AK2585" t="str">
        <f>_xlfn.CONCAT(AG2585,AH2585,AI2585,AJ2585)</f>
        <v>DFBM</v>
      </c>
    </row>
    <row r="2586" spans="1:37" ht="15.75" hidden="1" customHeight="1" x14ac:dyDescent="0.2">
      <c r="A2586" s="1">
        <v>197903</v>
      </c>
      <c r="B2586" s="1" t="s">
        <v>2656</v>
      </c>
      <c r="C2586" s="1" t="s">
        <v>323</v>
      </c>
      <c r="D2586" s="1" t="s">
        <v>2793</v>
      </c>
      <c r="E2586" s="1" t="s">
        <v>739</v>
      </c>
      <c r="F2586" s="1" t="s">
        <v>63</v>
      </c>
      <c r="G2586" s="1" t="s">
        <v>2795</v>
      </c>
      <c r="H2586" s="1">
        <v>3337</v>
      </c>
      <c r="I2586" s="1" t="s">
        <v>2796</v>
      </c>
      <c r="J2586" s="1">
        <v>2213</v>
      </c>
      <c r="K2586" s="1" t="s">
        <v>35</v>
      </c>
      <c r="L2586" s="1">
        <v>55</v>
      </c>
      <c r="M2586" s="1" t="str">
        <f>IF(L2586&lt;=45,"Joven","Mayor")</f>
        <v>Mayor</v>
      </c>
      <c r="N2586" s="1">
        <v>54</v>
      </c>
      <c r="O2586" s="1" t="s">
        <v>36</v>
      </c>
      <c r="P2586" s="1">
        <v>0.34399999999999997</v>
      </c>
      <c r="Q2586" s="1">
        <v>91.328999999999994</v>
      </c>
      <c r="R2586" s="1">
        <v>3.0691600000000001</v>
      </c>
      <c r="S2586" s="1">
        <v>6.8436446000000002</v>
      </c>
      <c r="T2586" s="1">
        <v>-3.9229371999999998</v>
      </c>
      <c r="U2586" s="1">
        <v>2.948</v>
      </c>
      <c r="V2586" s="1">
        <v>90</v>
      </c>
      <c r="W2586" s="1">
        <v>158</v>
      </c>
      <c r="X2586" s="1">
        <v>1.7555555555555555</v>
      </c>
      <c r="Y2586" s="1">
        <v>90</v>
      </c>
      <c r="Z2586" s="1">
        <v>158</v>
      </c>
      <c r="AA2586" s="1">
        <v>1.7555555555555555</v>
      </c>
      <c r="AB2586" s="1">
        <v>92.7993735954567</v>
      </c>
      <c r="AC2586" s="1">
        <v>157.698216003384</v>
      </c>
      <c r="AD2586" s="1">
        <v>1.6993456948410333</v>
      </c>
      <c r="AE2586" t="s">
        <v>4817</v>
      </c>
      <c r="AF2586" t="str">
        <f>IF(X2586&lt;$AF$1,"Bajo","Alto")</f>
        <v>Bajo</v>
      </c>
      <c r="AG2586" t="str">
        <f>LEFT(AE2586,1)</f>
        <v>C</v>
      </c>
      <c r="AH2586" t="str">
        <f>K2586</f>
        <v>M</v>
      </c>
      <c r="AI2586" t="str">
        <f>LEFT(AF2586,1)</f>
        <v>B</v>
      </c>
      <c r="AJ2586" t="str">
        <f>LEFT(M2586,1)</f>
        <v>M</v>
      </c>
      <c r="AK2586" t="str">
        <f>_xlfn.CONCAT(AG2586,AH2586,AI2586,AJ2586)</f>
        <v>CMBM</v>
      </c>
    </row>
    <row r="2587" spans="1:37" ht="15.75" hidden="1" customHeight="1" x14ac:dyDescent="0.2">
      <c r="A2587" s="1">
        <v>10117802</v>
      </c>
      <c r="B2587" s="1" t="s">
        <v>29</v>
      </c>
      <c r="C2587" s="1" t="s">
        <v>30</v>
      </c>
      <c r="D2587" s="1" t="s">
        <v>299</v>
      </c>
      <c r="E2587" s="1" t="s">
        <v>300</v>
      </c>
      <c r="F2587" s="1" t="s">
        <v>37</v>
      </c>
      <c r="G2587" s="1" t="s">
        <v>301</v>
      </c>
      <c r="H2587" s="1">
        <v>1804</v>
      </c>
      <c r="I2587" s="1" t="s">
        <v>48</v>
      </c>
      <c r="J2587" s="1">
        <v>4</v>
      </c>
      <c r="K2587" s="1" t="s">
        <v>35</v>
      </c>
      <c r="L2587" s="1">
        <v>42</v>
      </c>
      <c r="M2587" s="1" t="str">
        <f>IF(L2587&lt;=45,"Joven","Mayor")</f>
        <v>Joven</v>
      </c>
      <c r="N2587" s="1">
        <v>51</v>
      </c>
      <c r="O2587" s="1" t="s">
        <v>36</v>
      </c>
      <c r="P2587" s="1">
        <v>0.29099999999999998</v>
      </c>
      <c r="Q2587" s="1">
        <v>65.828000000000003</v>
      </c>
      <c r="R2587" s="1">
        <v>13.831353999999999</v>
      </c>
      <c r="S2587" s="1">
        <v>0.35153699999999999</v>
      </c>
      <c r="T2587" s="1">
        <v>-8.4203080000000003</v>
      </c>
      <c r="U2587" s="1">
        <v>51.218000000000004</v>
      </c>
      <c r="V2587" s="1">
        <v>79</v>
      </c>
      <c r="W2587" s="1">
        <v>141</v>
      </c>
      <c r="X2587" s="1">
        <v>1.7848101265822784</v>
      </c>
      <c r="Y2587" s="1">
        <v>85</v>
      </c>
      <c r="Z2587" s="1">
        <v>141</v>
      </c>
      <c r="AA2587" s="1">
        <v>1.6588235294117648</v>
      </c>
      <c r="AB2587" s="1">
        <v>84.884367233954436</v>
      </c>
      <c r="AC2587" s="1">
        <v>140.3586914557568</v>
      </c>
      <c r="AD2587" s="1">
        <v>1.6535281587115629</v>
      </c>
      <c r="AE2587" t="s">
        <v>4817</v>
      </c>
      <c r="AF2587" t="str">
        <f>IF(X2587&lt;$AF$1,"Bajo","Alto")</f>
        <v>Alto</v>
      </c>
      <c r="AG2587" t="str">
        <f>LEFT(AE2587,1)</f>
        <v>C</v>
      </c>
      <c r="AH2587" t="str">
        <f>K2587</f>
        <v>M</v>
      </c>
      <c r="AI2587" t="str">
        <f>LEFT(AF2587,1)</f>
        <v>A</v>
      </c>
      <c r="AJ2587" t="str">
        <f>LEFT(M2587,1)</f>
        <v>J</v>
      </c>
      <c r="AK2587" t="str">
        <f>_xlfn.CONCAT(AG2587,AH2587,AI2587,AJ2587)</f>
        <v>CMAJ</v>
      </c>
    </row>
    <row r="2588" spans="1:37" ht="15.75" hidden="1" customHeight="1" x14ac:dyDescent="0.2">
      <c r="A2588" s="1">
        <v>1017001</v>
      </c>
      <c r="B2588" s="1" t="s">
        <v>29</v>
      </c>
      <c r="C2588" s="1" t="s">
        <v>30</v>
      </c>
      <c r="D2588" s="1" t="s">
        <v>719</v>
      </c>
      <c r="E2588" s="1" t="s">
        <v>720</v>
      </c>
      <c r="F2588" s="1" t="s">
        <v>32</v>
      </c>
      <c r="G2588" s="1" t="s">
        <v>721</v>
      </c>
      <c r="H2588" s="1">
        <v>6634</v>
      </c>
      <c r="I2588" s="1" t="s">
        <v>100</v>
      </c>
      <c r="J2588" s="1">
        <v>1</v>
      </c>
      <c r="K2588" s="1" t="s">
        <v>35</v>
      </c>
      <c r="L2588" s="1">
        <v>31</v>
      </c>
      <c r="M2588" s="1" t="str">
        <f>IF(L2588&lt;=45,"Joven","Mayor")</f>
        <v>Joven</v>
      </c>
      <c r="N2588" s="1">
        <v>36</v>
      </c>
      <c r="O2588" s="1" t="s">
        <v>36</v>
      </c>
      <c r="P2588" s="1">
        <v>0.38200000000000001</v>
      </c>
      <c r="Q2588" s="1">
        <v>84.738</v>
      </c>
      <c r="R2588" s="1">
        <v>8.0712340000000005</v>
      </c>
      <c r="S2588" s="1">
        <v>5.4883249999999997</v>
      </c>
      <c r="T2588" s="1">
        <v>-4.6139789999999996</v>
      </c>
      <c r="U2588" s="1">
        <v>41.247</v>
      </c>
      <c r="V2588" s="1">
        <v>79</v>
      </c>
      <c r="W2588" s="1">
        <v>141</v>
      </c>
      <c r="X2588" s="1">
        <v>1.7848101265822784</v>
      </c>
      <c r="Y2588" s="1">
        <v>82</v>
      </c>
      <c r="Z2588" s="1">
        <v>141</v>
      </c>
      <c r="AA2588" s="1">
        <v>1.7195121951219512</v>
      </c>
      <c r="AB2588" s="1">
        <v>81.881225778771068</v>
      </c>
      <c r="AC2588" s="1">
        <v>140.62350086207971</v>
      </c>
      <c r="AD2588" s="1">
        <v>1.7174083500168906</v>
      </c>
      <c r="AE2588" t="s">
        <v>4817</v>
      </c>
      <c r="AF2588" t="str">
        <f>IF(X2588&lt;$AF$1,"Bajo","Alto")</f>
        <v>Alto</v>
      </c>
      <c r="AG2588" t="str">
        <f>LEFT(AE2588,1)</f>
        <v>C</v>
      </c>
      <c r="AH2588" t="str">
        <f>K2588</f>
        <v>M</v>
      </c>
      <c r="AI2588" t="str">
        <f>LEFT(AF2588,1)</f>
        <v>A</v>
      </c>
      <c r="AJ2588" t="str">
        <f>LEFT(M2588,1)</f>
        <v>J</v>
      </c>
      <c r="AK2588" t="str">
        <f>_xlfn.CONCAT(AG2588,AH2588,AI2588,AJ2588)</f>
        <v>CMAJ</v>
      </c>
    </row>
    <row r="2589" spans="1:37" ht="15.75" hidden="1" customHeight="1" x14ac:dyDescent="0.2">
      <c r="A2589" s="1">
        <v>10125903</v>
      </c>
      <c r="B2589" s="1" t="s">
        <v>29</v>
      </c>
      <c r="C2589" s="1" t="s">
        <v>30</v>
      </c>
      <c r="D2589" s="1" t="s">
        <v>516</v>
      </c>
      <c r="E2589" s="1" t="s">
        <v>517</v>
      </c>
      <c r="F2589" s="1" t="s">
        <v>63</v>
      </c>
      <c r="G2589" s="1" t="s">
        <v>519</v>
      </c>
      <c r="H2589" s="1">
        <v>419</v>
      </c>
      <c r="I2589" s="1" t="s">
        <v>91</v>
      </c>
      <c r="J2589" s="1">
        <v>6</v>
      </c>
      <c r="K2589" s="1" t="s">
        <v>35</v>
      </c>
      <c r="L2589" s="1">
        <v>49</v>
      </c>
      <c r="M2589" s="1" t="str">
        <f>IF(L2589&lt;=45,"Joven","Mayor")</f>
        <v>Mayor</v>
      </c>
      <c r="N2589" s="1">
        <v>50</v>
      </c>
      <c r="O2589" s="1" t="s">
        <v>36</v>
      </c>
      <c r="P2589" s="1">
        <v>0.11</v>
      </c>
      <c r="Q2589" s="1">
        <v>91.370999999999995</v>
      </c>
      <c r="R2589" s="1">
        <v>4.9300017</v>
      </c>
      <c r="S2589" s="1">
        <v>1.4817634</v>
      </c>
      <c r="T2589" s="1">
        <v>0.49441089999999999</v>
      </c>
      <c r="U2589" s="1">
        <v>5.0590000000000002</v>
      </c>
      <c r="V2589" s="1">
        <v>115</v>
      </c>
      <c r="W2589" s="1">
        <v>202</v>
      </c>
      <c r="X2589" s="1">
        <v>1.7565217391304349</v>
      </c>
      <c r="Y2589" s="1">
        <v>120</v>
      </c>
      <c r="Z2589" s="1">
        <v>202</v>
      </c>
      <c r="AA2589" s="1">
        <v>1.6833333333333333</v>
      </c>
      <c r="AB2589" s="1">
        <v>120.5046428151929</v>
      </c>
      <c r="AC2589" s="1">
        <v>201.98385046102069</v>
      </c>
      <c r="AD2589" s="1">
        <v>1.6761499452828976</v>
      </c>
      <c r="AE2589" t="s">
        <v>4817</v>
      </c>
      <c r="AF2589" t="str">
        <f>IF(X2589&lt;$AF$1,"Bajo","Alto")</f>
        <v>Bajo</v>
      </c>
      <c r="AG2589" t="str">
        <f>LEFT(AE2589,1)</f>
        <v>C</v>
      </c>
      <c r="AH2589" t="str">
        <f>K2589</f>
        <v>M</v>
      </c>
      <c r="AI2589" t="str">
        <f>LEFT(AF2589,1)</f>
        <v>B</v>
      </c>
      <c r="AJ2589" t="str">
        <f>LEFT(M2589,1)</f>
        <v>M</v>
      </c>
      <c r="AK2589" t="str">
        <f>_xlfn.CONCAT(AG2589,AH2589,AI2589,AJ2589)</f>
        <v>CMBM</v>
      </c>
    </row>
    <row r="2590" spans="1:37" ht="15.75" hidden="1" customHeight="1" x14ac:dyDescent="0.2">
      <c r="A2590" s="1">
        <v>1241512</v>
      </c>
      <c r="B2590" s="1" t="s">
        <v>1798</v>
      </c>
      <c r="C2590" s="1" t="s">
        <v>54</v>
      </c>
      <c r="D2590" s="1" t="s">
        <v>1844</v>
      </c>
      <c r="E2590" s="1" t="s">
        <v>1845</v>
      </c>
      <c r="F2590" s="1" t="s">
        <v>54</v>
      </c>
      <c r="G2590" s="1" t="s">
        <v>1855</v>
      </c>
      <c r="H2590" s="1">
        <v>159</v>
      </c>
      <c r="I2590" s="1" t="s">
        <v>93</v>
      </c>
      <c r="J2590" s="1">
        <v>9</v>
      </c>
      <c r="K2590" s="1" t="s">
        <v>35</v>
      </c>
      <c r="L2590" s="1">
        <v>44</v>
      </c>
      <c r="M2590" s="1" t="str">
        <f>IF(L2590&lt;=45,"Joven","Mayor")</f>
        <v>Joven</v>
      </c>
      <c r="N2590" s="1">
        <v>49</v>
      </c>
      <c r="O2590" s="1" t="s">
        <v>36</v>
      </c>
      <c r="P2590" s="1">
        <v>0.495</v>
      </c>
      <c r="Q2590" s="1">
        <v>78.504999999999995</v>
      </c>
      <c r="R2590" s="1">
        <v>8.9300730000000001</v>
      </c>
      <c r="S2590" s="1">
        <v>10.249117999999999</v>
      </c>
      <c r="T2590" s="1">
        <v>-1.7933587</v>
      </c>
      <c r="U2590" s="1">
        <v>0.504</v>
      </c>
      <c r="V2590" s="1">
        <v>106</v>
      </c>
      <c r="W2590" s="1">
        <v>187</v>
      </c>
      <c r="X2590" s="1">
        <v>1.7641509433962264</v>
      </c>
      <c r="Y2590" s="1">
        <v>108</v>
      </c>
      <c r="Z2590" s="1">
        <v>187</v>
      </c>
      <c r="AA2590" s="1">
        <v>1.7314814814814814</v>
      </c>
      <c r="AB2590" s="1">
        <v>109.4805512837293</v>
      </c>
      <c r="AC2590" s="1">
        <v>186.78322676725469</v>
      </c>
      <c r="AD2590" s="1">
        <v>1.7060859173351084</v>
      </c>
      <c r="AE2590" t="s">
        <v>4815</v>
      </c>
      <c r="AF2590" t="str">
        <f>IF(X2590&lt;$AF$1,"Bajo","Alto")</f>
        <v>Bajo</v>
      </c>
      <c r="AG2590" t="str">
        <f>LEFT(AE2590,1)</f>
        <v>I</v>
      </c>
      <c r="AH2590" t="str">
        <f>K2590</f>
        <v>M</v>
      </c>
      <c r="AI2590" t="str">
        <f>LEFT(AF2590,1)</f>
        <v>B</v>
      </c>
      <c r="AJ2590" t="str">
        <f>LEFT(M2590,1)</f>
        <v>J</v>
      </c>
      <c r="AK2590" t="str">
        <f>_xlfn.CONCAT(AG2590,AH2590,AI2590,AJ2590)</f>
        <v>IMBJ</v>
      </c>
    </row>
    <row r="2591" spans="1:37" ht="15.75" hidden="1" customHeight="1" x14ac:dyDescent="0.2">
      <c r="A2591" s="1">
        <v>282003</v>
      </c>
      <c r="B2591" s="1" t="s">
        <v>1775</v>
      </c>
      <c r="C2591" s="1" t="s">
        <v>561</v>
      </c>
      <c r="D2591" s="1" t="s">
        <v>3809</v>
      </c>
      <c r="E2591" s="1" t="s">
        <v>1983</v>
      </c>
      <c r="F2591" s="1" t="s">
        <v>63</v>
      </c>
      <c r="G2591" s="1" t="s">
        <v>3812</v>
      </c>
      <c r="H2591" s="1">
        <v>15</v>
      </c>
      <c r="I2591" s="1" t="s">
        <v>87</v>
      </c>
      <c r="J2591" s="1">
        <v>14</v>
      </c>
      <c r="K2591" s="1" t="s">
        <v>35</v>
      </c>
      <c r="L2591" s="1">
        <v>31</v>
      </c>
      <c r="M2591" s="1" t="str">
        <f>IF(L2591&lt;=45,"Joven","Mayor")</f>
        <v>Joven</v>
      </c>
      <c r="N2591" s="1">
        <v>32</v>
      </c>
      <c r="O2591" s="1" t="s">
        <v>36</v>
      </c>
      <c r="P2591" s="1">
        <v>3.532</v>
      </c>
      <c r="Q2591" s="1">
        <v>87.040999999999997</v>
      </c>
      <c r="R2591" s="1">
        <v>-3.1571199999999999</v>
      </c>
      <c r="S2591" s="1">
        <v>11.533118999999999</v>
      </c>
      <c r="T2591" s="1">
        <v>-0.13780590000000001</v>
      </c>
      <c r="U2591" s="1">
        <v>12.555</v>
      </c>
      <c r="V2591" s="1">
        <v>99</v>
      </c>
      <c r="W2591" s="1">
        <v>176</v>
      </c>
      <c r="X2591" s="1">
        <v>1.7777777777777777</v>
      </c>
      <c r="Y2591" s="1">
        <v>106</v>
      </c>
      <c r="Z2591" s="1">
        <v>176</v>
      </c>
      <c r="AA2591" s="1">
        <v>1.6603773584905661</v>
      </c>
      <c r="AB2591" s="1">
        <v>105.9082971584678</v>
      </c>
      <c r="AC2591" s="1">
        <v>176.03075807223101</v>
      </c>
      <c r="AD2591" s="1">
        <v>1.6621054515572167</v>
      </c>
      <c r="AE2591" t="s">
        <v>4816</v>
      </c>
      <c r="AF2591" t="str">
        <f>IF(X2591&lt;$AF$1,"Bajo","Alto")</f>
        <v>Alto</v>
      </c>
      <c r="AG2591" t="str">
        <f>LEFT(AE2591,1)</f>
        <v>D</v>
      </c>
      <c r="AH2591" t="str">
        <f>K2591</f>
        <v>M</v>
      </c>
      <c r="AI2591" t="str">
        <f>LEFT(AF2591,1)</f>
        <v>A</v>
      </c>
      <c r="AJ2591" t="str">
        <f>LEFT(M2591,1)</f>
        <v>J</v>
      </c>
      <c r="AK2591" t="str">
        <f>_xlfn.CONCAT(AG2591,AH2591,AI2591,AJ2591)</f>
        <v>DMAJ</v>
      </c>
    </row>
    <row r="2592" spans="1:37" ht="15.75" hidden="1" customHeight="1" x14ac:dyDescent="0.2">
      <c r="A2592" s="1">
        <v>195604</v>
      </c>
      <c r="B2592" s="1" t="s">
        <v>2656</v>
      </c>
      <c r="C2592" s="1" t="s">
        <v>323</v>
      </c>
      <c r="D2592" s="1" t="s">
        <v>1639</v>
      </c>
      <c r="E2592" s="1" t="s">
        <v>2751</v>
      </c>
      <c r="F2592" s="1" t="s">
        <v>61</v>
      </c>
      <c r="G2592" s="1" t="s">
        <v>2755</v>
      </c>
      <c r="H2592" s="1">
        <v>428</v>
      </c>
      <c r="I2592" s="1" t="s">
        <v>91</v>
      </c>
      <c r="J2592" s="1">
        <v>6</v>
      </c>
      <c r="K2592" s="1" t="s">
        <v>35</v>
      </c>
      <c r="L2592" s="1">
        <v>40</v>
      </c>
      <c r="M2592" s="1" t="str">
        <f>IF(L2592&lt;=45,"Joven","Mayor")</f>
        <v>Joven</v>
      </c>
      <c r="N2592" s="1">
        <v>48</v>
      </c>
      <c r="O2592" s="1" t="s">
        <v>36</v>
      </c>
      <c r="P2592" s="1">
        <v>0.34799999999999998</v>
      </c>
      <c r="Q2592" s="1">
        <v>71.799000000000007</v>
      </c>
      <c r="R2592" s="1">
        <v>12.687669</v>
      </c>
      <c r="S2592" s="1">
        <v>0.66622513999999999</v>
      </c>
      <c r="T2592" s="1">
        <v>-5.0520535000000004</v>
      </c>
      <c r="U2592" s="1">
        <v>12.648</v>
      </c>
      <c r="V2592" s="1">
        <v>79</v>
      </c>
      <c r="W2592" s="1">
        <v>141</v>
      </c>
      <c r="X2592" s="1">
        <v>1.7848101265822784</v>
      </c>
      <c r="Y2592" s="1">
        <v>83</v>
      </c>
      <c r="Z2592" s="1">
        <v>141</v>
      </c>
      <c r="AA2592" s="1">
        <v>1.6987951807228916</v>
      </c>
      <c r="AB2592" s="1">
        <v>81.687158991421484</v>
      </c>
      <c r="AC2592" s="1">
        <v>140.4522298836323</v>
      </c>
      <c r="AD2592" s="1">
        <v>1.7193917822308171</v>
      </c>
      <c r="AE2592" t="s">
        <v>4817</v>
      </c>
      <c r="AF2592" t="str">
        <f>IF(X2592&lt;$AF$1,"Bajo","Alto")</f>
        <v>Alto</v>
      </c>
      <c r="AG2592" t="str">
        <f>LEFT(AE2592,1)</f>
        <v>C</v>
      </c>
      <c r="AH2592" t="str">
        <f>K2592</f>
        <v>M</v>
      </c>
      <c r="AI2592" t="str">
        <f>LEFT(AF2592,1)</f>
        <v>A</v>
      </c>
      <c r="AJ2592" t="str">
        <f>LEFT(M2592,1)</f>
        <v>J</v>
      </c>
      <c r="AK2592" t="str">
        <f>_xlfn.CONCAT(AG2592,AH2592,AI2592,AJ2592)</f>
        <v>CMAJ</v>
      </c>
    </row>
    <row r="2593" spans="1:37" ht="15.75" hidden="1" customHeight="1" x14ac:dyDescent="0.2">
      <c r="A2593" s="1">
        <v>10716605</v>
      </c>
      <c r="B2593" s="1" t="s">
        <v>1067</v>
      </c>
      <c r="C2593" s="1" t="s">
        <v>1068</v>
      </c>
      <c r="D2593" s="1" t="s">
        <v>1170</v>
      </c>
      <c r="E2593" s="1" t="s">
        <v>265</v>
      </c>
      <c r="F2593" s="1" t="s">
        <v>40</v>
      </c>
      <c r="G2593" s="1" t="s">
        <v>1177</v>
      </c>
      <c r="H2593" s="1">
        <v>2509</v>
      </c>
      <c r="I2593" s="1" t="s">
        <v>1178</v>
      </c>
      <c r="J2593" s="1">
        <v>4322</v>
      </c>
      <c r="K2593" s="1" t="s">
        <v>35</v>
      </c>
      <c r="L2593" s="1">
        <v>42</v>
      </c>
      <c r="M2593" s="1" t="str">
        <f>IF(L2593&lt;=45,"Joven","Mayor")</f>
        <v>Joven</v>
      </c>
      <c r="N2593" s="1">
        <v>51</v>
      </c>
      <c r="O2593" s="1" t="s">
        <v>36</v>
      </c>
      <c r="P2593" s="1">
        <v>0.64600000000000002</v>
      </c>
      <c r="Q2593" s="1">
        <v>87.519000000000005</v>
      </c>
      <c r="R2593" s="1">
        <v>0.7675613</v>
      </c>
      <c r="S2593" s="1">
        <v>14.810082</v>
      </c>
      <c r="T2593" s="1">
        <v>-2.28776</v>
      </c>
      <c r="U2593" s="1">
        <v>0.93799999999999994</v>
      </c>
      <c r="V2593" s="1">
        <v>103</v>
      </c>
      <c r="W2593" s="1">
        <v>181</v>
      </c>
      <c r="X2593" s="1">
        <v>1.7572815533980584</v>
      </c>
      <c r="Y2593" s="1">
        <v>105</v>
      </c>
      <c r="Z2593" s="1">
        <v>181</v>
      </c>
      <c r="AA2593" s="1">
        <v>1.7238095238095239</v>
      </c>
      <c r="AB2593" s="1">
        <v>106.75255271731881</v>
      </c>
      <c r="AC2593" s="1">
        <v>180.93556982459361</v>
      </c>
      <c r="AD2593" s="1">
        <v>1.6949062595600102</v>
      </c>
      <c r="AE2593" t="s">
        <v>4817</v>
      </c>
      <c r="AF2593" t="str">
        <f>IF(X2593&lt;$AF$1,"Bajo","Alto")</f>
        <v>Bajo</v>
      </c>
      <c r="AG2593" t="str">
        <f>LEFT(AE2593,1)</f>
        <v>C</v>
      </c>
      <c r="AH2593" t="str">
        <f>K2593</f>
        <v>M</v>
      </c>
      <c r="AI2593" t="str">
        <f>LEFT(AF2593,1)</f>
        <v>B</v>
      </c>
      <c r="AJ2593" t="str">
        <f>LEFT(M2593,1)</f>
        <v>J</v>
      </c>
      <c r="AK2593" t="str">
        <f>_xlfn.CONCAT(AG2593,AH2593,AI2593,AJ2593)</f>
        <v>CMBJ</v>
      </c>
    </row>
    <row r="2594" spans="1:37" ht="15.75" hidden="1" customHeight="1" x14ac:dyDescent="0.2">
      <c r="A2594" s="1">
        <v>4654012</v>
      </c>
      <c r="B2594" s="1" t="s">
        <v>4382</v>
      </c>
      <c r="C2594" s="1" t="s">
        <v>669</v>
      </c>
      <c r="D2594" s="1" t="s">
        <v>4407</v>
      </c>
      <c r="E2594" s="1" t="s">
        <v>4408</v>
      </c>
      <c r="F2594" s="1" t="s">
        <v>54</v>
      </c>
      <c r="G2594" s="1" t="s">
        <v>4415</v>
      </c>
      <c r="H2594" s="1">
        <v>1126</v>
      </c>
      <c r="I2594" s="1" t="s">
        <v>4416</v>
      </c>
      <c r="J2594" s="1">
        <v>739</v>
      </c>
      <c r="K2594" s="1" t="s">
        <v>35</v>
      </c>
      <c r="L2594" s="1">
        <v>43</v>
      </c>
      <c r="M2594" s="1" t="str">
        <f>IF(L2594&lt;=45,"Joven","Mayor")</f>
        <v>Joven</v>
      </c>
      <c r="N2594" s="1">
        <v>50</v>
      </c>
      <c r="O2594" s="1" t="s">
        <v>36</v>
      </c>
      <c r="P2594" s="1">
        <v>0.36599999999999999</v>
      </c>
      <c r="Q2594" s="1">
        <v>85.962000000000003</v>
      </c>
      <c r="R2594" s="1">
        <v>8.4487670000000001</v>
      </c>
      <c r="S2594" s="1">
        <v>1.0101131999999999</v>
      </c>
      <c r="T2594" s="1">
        <v>-6.4764337999999997</v>
      </c>
      <c r="U2594" s="1">
        <v>0.65700000000000003</v>
      </c>
      <c r="V2594" s="1">
        <v>79</v>
      </c>
      <c r="W2594" s="1">
        <v>141</v>
      </c>
      <c r="X2594" s="1">
        <v>1.7848101265822784</v>
      </c>
      <c r="Y2594" s="1">
        <v>84</v>
      </c>
      <c r="Z2594" s="1">
        <v>141</v>
      </c>
      <c r="AA2594" s="1">
        <v>1.6785714285714286</v>
      </c>
      <c r="AB2594" s="1">
        <v>83.346013542388846</v>
      </c>
      <c r="AC2594" s="1">
        <v>140.77695219446599</v>
      </c>
      <c r="AD2594" s="1">
        <v>1.6890664137507718</v>
      </c>
      <c r="AE2594" t="s">
        <v>4817</v>
      </c>
      <c r="AF2594" t="str">
        <f>IF(X2594&lt;$AF$1,"Bajo","Alto")</f>
        <v>Alto</v>
      </c>
      <c r="AG2594" t="str">
        <f>LEFT(AE2594,1)</f>
        <v>C</v>
      </c>
      <c r="AH2594" t="str">
        <f>K2594</f>
        <v>M</v>
      </c>
      <c r="AI2594" t="str">
        <f>LEFT(AF2594,1)</f>
        <v>A</v>
      </c>
      <c r="AJ2594" t="str">
        <f>LEFT(M2594,1)</f>
        <v>J</v>
      </c>
      <c r="AK2594" t="str">
        <f>_xlfn.CONCAT(AG2594,AH2594,AI2594,AJ2594)</f>
        <v>CMAJ</v>
      </c>
    </row>
    <row r="2595" spans="1:37" ht="15.75" hidden="1" customHeight="1" x14ac:dyDescent="0.2">
      <c r="A2595" s="1">
        <v>10720204</v>
      </c>
      <c r="B2595" s="1" t="s">
        <v>1067</v>
      </c>
      <c r="C2595" s="1" t="s">
        <v>1068</v>
      </c>
      <c r="D2595" s="1" t="s">
        <v>1213</v>
      </c>
      <c r="E2595" s="1" t="s">
        <v>358</v>
      </c>
      <c r="F2595" s="1" t="s">
        <v>61</v>
      </c>
      <c r="G2595" s="1" t="s">
        <v>1214</v>
      </c>
      <c r="H2595" s="1">
        <v>716</v>
      </c>
      <c r="I2595" s="1" t="s">
        <v>1215</v>
      </c>
      <c r="J2595" s="1">
        <v>2926</v>
      </c>
      <c r="K2595" s="1" t="s">
        <v>35</v>
      </c>
      <c r="L2595" s="1">
        <v>35</v>
      </c>
      <c r="M2595" s="1" t="str">
        <f>IF(L2595&lt;=45,"Joven","Mayor")</f>
        <v>Joven</v>
      </c>
      <c r="N2595" s="1">
        <v>29</v>
      </c>
      <c r="O2595" s="1" t="s">
        <v>36</v>
      </c>
      <c r="P2595" s="1">
        <v>0.39800000000000002</v>
      </c>
      <c r="Q2595" s="1">
        <v>92.614000000000004</v>
      </c>
      <c r="R2595" s="1">
        <v>3.5446529999999998</v>
      </c>
      <c r="S2595" s="1">
        <v>1.3597258000000001</v>
      </c>
      <c r="T2595" s="1">
        <v>-4.0096189999999998</v>
      </c>
      <c r="U2595" s="1">
        <v>8.75</v>
      </c>
      <c r="V2595" s="1">
        <v>88</v>
      </c>
      <c r="W2595" s="1">
        <v>157</v>
      </c>
      <c r="X2595" s="1">
        <v>1.7840909090909092</v>
      </c>
      <c r="Y2595" s="1">
        <v>88</v>
      </c>
      <c r="Z2595" s="1">
        <v>157</v>
      </c>
      <c r="AA2595" s="1">
        <v>1.7840909090909092</v>
      </c>
      <c r="AB2595" s="1">
        <v>90.301866715844426</v>
      </c>
      <c r="AC2595" s="1">
        <v>156.40594322479549</v>
      </c>
      <c r="AD2595" s="1">
        <v>1.7320344408489665</v>
      </c>
      <c r="AE2595" t="s">
        <v>4817</v>
      </c>
      <c r="AF2595" t="str">
        <f>IF(X2595&lt;$AF$1,"Bajo","Alto")</f>
        <v>Alto</v>
      </c>
      <c r="AG2595" t="str">
        <f>LEFT(AE2595,1)</f>
        <v>C</v>
      </c>
      <c r="AH2595" t="str">
        <f>K2595</f>
        <v>M</v>
      </c>
      <c r="AI2595" t="str">
        <f>LEFT(AF2595,1)</f>
        <v>A</v>
      </c>
      <c r="AJ2595" t="str">
        <f>LEFT(M2595,1)</f>
        <v>J</v>
      </c>
      <c r="AK2595" t="str">
        <f>_xlfn.CONCAT(AG2595,AH2595,AI2595,AJ2595)</f>
        <v>CMAJ</v>
      </c>
    </row>
    <row r="2596" spans="1:37" ht="15.75" hidden="1" customHeight="1" x14ac:dyDescent="0.2">
      <c r="A2596" s="1">
        <v>112204</v>
      </c>
      <c r="B2596" s="1" t="s">
        <v>1648</v>
      </c>
      <c r="C2596" s="1" t="s">
        <v>51</v>
      </c>
      <c r="D2596" s="1" t="s">
        <v>1681</v>
      </c>
      <c r="E2596" s="1" t="s">
        <v>418</v>
      </c>
      <c r="F2596" s="1" t="s">
        <v>61</v>
      </c>
      <c r="G2596" s="1" t="s">
        <v>1683</v>
      </c>
      <c r="H2596" s="1">
        <v>462</v>
      </c>
      <c r="I2596" s="1" t="s">
        <v>108</v>
      </c>
      <c r="J2596" s="1">
        <v>3</v>
      </c>
      <c r="K2596" s="1" t="s">
        <v>35</v>
      </c>
      <c r="L2596" s="1">
        <v>57</v>
      </c>
      <c r="M2596" s="1" t="str">
        <f>IF(L2596&lt;=45,"Joven","Mayor")</f>
        <v>Mayor</v>
      </c>
      <c r="N2596" s="1">
        <v>57</v>
      </c>
      <c r="O2596" s="1" t="s">
        <v>36</v>
      </c>
      <c r="P2596" s="1">
        <v>0.433</v>
      </c>
      <c r="Q2596" s="1">
        <v>91.983999999999995</v>
      </c>
      <c r="R2596" s="1">
        <v>4.4832162999999996</v>
      </c>
      <c r="S2596" s="1">
        <v>-0.33578150000000001</v>
      </c>
      <c r="T2596" s="1">
        <v>-7.9858996000000002E-2</v>
      </c>
      <c r="U2596" s="1">
        <v>2.653</v>
      </c>
      <c r="V2596" s="1">
        <v>74</v>
      </c>
      <c r="W2596" s="1">
        <v>132</v>
      </c>
      <c r="X2596" s="1">
        <v>1.7837837837837838</v>
      </c>
      <c r="Y2596" s="1">
        <v>81</v>
      </c>
      <c r="Z2596" s="1">
        <v>132</v>
      </c>
      <c r="AA2596" s="1">
        <v>1.6296296296296295</v>
      </c>
      <c r="AB2596" s="1">
        <v>81.047310588115579</v>
      </c>
      <c r="AC2596" s="1">
        <v>131.99150897100159</v>
      </c>
      <c r="AD2596" s="1">
        <v>1.6285735826792043</v>
      </c>
      <c r="AE2596" t="s">
        <v>4817</v>
      </c>
      <c r="AF2596" t="str">
        <f>IF(X2596&lt;$AF$1,"Bajo","Alto")</f>
        <v>Alto</v>
      </c>
      <c r="AG2596" t="str">
        <f>LEFT(AE2596,1)</f>
        <v>C</v>
      </c>
      <c r="AH2596" t="str">
        <f>K2596</f>
        <v>M</v>
      </c>
      <c r="AI2596" t="str">
        <f>LEFT(AF2596,1)</f>
        <v>A</v>
      </c>
      <c r="AJ2596" t="str">
        <f>LEFT(M2596,1)</f>
        <v>M</v>
      </c>
      <c r="AK2596" t="str">
        <f>_xlfn.CONCAT(AG2596,AH2596,AI2596,AJ2596)</f>
        <v>CMAM</v>
      </c>
    </row>
    <row r="2597" spans="1:37" ht="15.75" hidden="1" customHeight="1" x14ac:dyDescent="0.2">
      <c r="A2597" s="1">
        <v>111001</v>
      </c>
      <c r="B2597" s="1" t="s">
        <v>1648</v>
      </c>
      <c r="C2597" s="1" t="s">
        <v>51</v>
      </c>
      <c r="D2597" s="1" t="s">
        <v>1668</v>
      </c>
      <c r="E2597" s="1" t="s">
        <v>75</v>
      </c>
      <c r="F2597" s="1" t="s">
        <v>32</v>
      </c>
      <c r="G2597" s="1" t="s">
        <v>1669</v>
      </c>
      <c r="H2597" s="1">
        <v>4149</v>
      </c>
      <c r="I2597" s="1" t="s">
        <v>100</v>
      </c>
      <c r="J2597" s="1">
        <v>1</v>
      </c>
      <c r="K2597" s="1" t="s">
        <v>35</v>
      </c>
      <c r="L2597" s="1">
        <v>57</v>
      </c>
      <c r="M2597" s="1" t="str">
        <f>IF(L2597&lt;=45,"Joven","Mayor")</f>
        <v>Mayor</v>
      </c>
      <c r="N2597" s="1">
        <v>56</v>
      </c>
      <c r="O2597" s="1" t="s">
        <v>36</v>
      </c>
      <c r="P2597" s="1">
        <v>1.2250000000000001</v>
      </c>
      <c r="Q2597" s="1">
        <v>91.284000000000006</v>
      </c>
      <c r="R2597" s="1">
        <v>4.2186060000000003</v>
      </c>
      <c r="S2597" s="1">
        <v>-3.1766874999999999</v>
      </c>
      <c r="T2597" s="1">
        <v>-1.1836152</v>
      </c>
      <c r="U2597" s="1">
        <v>2.585</v>
      </c>
      <c r="V2597" s="1">
        <v>97</v>
      </c>
      <c r="W2597" s="1">
        <v>173</v>
      </c>
      <c r="X2597" s="1">
        <v>1.7835051546391754</v>
      </c>
      <c r="Y2597" s="1">
        <v>98</v>
      </c>
      <c r="Z2597" s="1">
        <v>173</v>
      </c>
      <c r="AA2597" s="1">
        <v>1.7653061224489797</v>
      </c>
      <c r="AB2597" s="1">
        <v>99.011915536265406</v>
      </c>
      <c r="AC2597" s="1">
        <v>172.9424307315148</v>
      </c>
      <c r="AD2597" s="1">
        <v>1.7466830107753106</v>
      </c>
      <c r="AE2597" t="s">
        <v>4817</v>
      </c>
      <c r="AF2597" t="str">
        <f>IF(X2597&lt;$AF$1,"Bajo","Alto")</f>
        <v>Alto</v>
      </c>
      <c r="AG2597" t="str">
        <f>LEFT(AE2597,1)</f>
        <v>C</v>
      </c>
      <c r="AH2597" t="str">
        <f>K2597</f>
        <v>M</v>
      </c>
      <c r="AI2597" t="str">
        <f>LEFT(AF2597,1)</f>
        <v>A</v>
      </c>
      <c r="AJ2597" t="str">
        <f>LEFT(M2597,1)</f>
        <v>M</v>
      </c>
      <c r="AK2597" t="str">
        <f>_xlfn.CONCAT(AG2597,AH2597,AI2597,AJ2597)</f>
        <v>CMAM</v>
      </c>
    </row>
    <row r="2598" spans="1:37" ht="15.75" hidden="1" customHeight="1" x14ac:dyDescent="0.2">
      <c r="A2598" s="1">
        <v>237801</v>
      </c>
      <c r="B2598" s="1" t="s">
        <v>319</v>
      </c>
      <c r="C2598" s="1" t="s">
        <v>1989</v>
      </c>
      <c r="D2598" s="1" t="s">
        <v>3078</v>
      </c>
      <c r="E2598" s="1" t="s">
        <v>732</v>
      </c>
      <c r="F2598" s="1" t="s">
        <v>32</v>
      </c>
      <c r="G2598" s="1" t="s">
        <v>3079</v>
      </c>
      <c r="H2598" s="1">
        <v>2710</v>
      </c>
      <c r="I2598" s="1" t="s">
        <v>65</v>
      </c>
      <c r="J2598" s="1">
        <v>2</v>
      </c>
      <c r="K2598" s="1" t="s">
        <v>35</v>
      </c>
      <c r="L2598" s="1">
        <v>37</v>
      </c>
      <c r="M2598" s="1" t="str">
        <f>IF(L2598&lt;=45,"Joven","Mayor")</f>
        <v>Joven</v>
      </c>
      <c r="N2598" s="1">
        <v>39</v>
      </c>
      <c r="O2598" s="1" t="s">
        <v>36</v>
      </c>
      <c r="P2598" s="1">
        <v>0.36499999999999999</v>
      </c>
      <c r="Q2598" s="1">
        <v>93.47</v>
      </c>
      <c r="R2598" s="1">
        <v>1.7617166</v>
      </c>
      <c r="S2598" s="1">
        <v>3.2062292000000001</v>
      </c>
      <c r="T2598" s="1">
        <v>-3.5736379999999999</v>
      </c>
      <c r="U2598" s="1">
        <v>9.0190000000000001</v>
      </c>
      <c r="V2598" s="1">
        <v>99</v>
      </c>
      <c r="W2598" s="1">
        <v>174</v>
      </c>
      <c r="X2598" s="1">
        <v>1.7575757575757576</v>
      </c>
      <c r="Y2598" s="1">
        <v>99</v>
      </c>
      <c r="Z2598" s="1">
        <v>174</v>
      </c>
      <c r="AA2598" s="1">
        <v>1.7575757575757576</v>
      </c>
      <c r="AB2598" s="1">
        <v>101.6747363680477</v>
      </c>
      <c r="AC2598" s="1">
        <v>173.59932793420739</v>
      </c>
      <c r="AD2598" s="1">
        <v>1.7073988498559087</v>
      </c>
      <c r="AE2598" t="s">
        <v>4817</v>
      </c>
      <c r="AF2598" t="str">
        <f>IF(X2598&lt;$AF$1,"Bajo","Alto")</f>
        <v>Bajo</v>
      </c>
      <c r="AG2598" t="str">
        <f>LEFT(AE2598,1)</f>
        <v>C</v>
      </c>
      <c r="AH2598" t="str">
        <f>K2598</f>
        <v>M</v>
      </c>
      <c r="AI2598" t="str">
        <f>LEFT(AF2598,1)</f>
        <v>B</v>
      </c>
      <c r="AJ2598" t="str">
        <f>LEFT(M2598,1)</f>
        <v>J</v>
      </c>
      <c r="AK2598" t="str">
        <f>_xlfn.CONCAT(AG2598,AH2598,AI2598,AJ2598)</f>
        <v>CMBJ</v>
      </c>
    </row>
    <row r="2599" spans="1:37" ht="15.75" hidden="1" customHeight="1" x14ac:dyDescent="0.2">
      <c r="A2599" s="1">
        <v>2819007</v>
      </c>
      <c r="B2599" s="1" t="s">
        <v>1775</v>
      </c>
      <c r="C2599" s="1" t="s">
        <v>561</v>
      </c>
      <c r="D2599" s="1" t="s">
        <v>3795</v>
      </c>
      <c r="E2599" s="1" t="s">
        <v>320</v>
      </c>
      <c r="F2599" s="1" t="s">
        <v>43</v>
      </c>
      <c r="G2599" s="1" t="s">
        <v>3799</v>
      </c>
      <c r="H2599" s="1">
        <v>1109</v>
      </c>
      <c r="I2599" s="1" t="s">
        <v>91</v>
      </c>
      <c r="J2599" s="1">
        <v>6</v>
      </c>
      <c r="K2599" s="1" t="s">
        <v>35</v>
      </c>
      <c r="L2599" s="1">
        <v>34</v>
      </c>
      <c r="M2599" s="1" t="str">
        <f>IF(L2599&lt;=45,"Joven","Mayor")</f>
        <v>Joven</v>
      </c>
      <c r="N2599" s="1">
        <v>40</v>
      </c>
      <c r="O2599" s="1" t="s">
        <v>36</v>
      </c>
      <c r="P2599" s="1">
        <v>0.36499999999999999</v>
      </c>
      <c r="Q2599" s="1">
        <v>93.659000000000006</v>
      </c>
      <c r="R2599" s="1">
        <v>1.790225</v>
      </c>
      <c r="S2599" s="1">
        <v>-2.2834064999999999</v>
      </c>
      <c r="T2599" s="1">
        <v>-8.0270190000000005E-2</v>
      </c>
      <c r="U2599" s="1">
        <v>5.6580000000000004</v>
      </c>
      <c r="V2599" s="1">
        <v>88</v>
      </c>
      <c r="W2599" s="1">
        <v>157</v>
      </c>
      <c r="X2599" s="1">
        <v>1.7840909090909092</v>
      </c>
      <c r="Y2599" s="1">
        <v>88</v>
      </c>
      <c r="Z2599" s="1">
        <v>157</v>
      </c>
      <c r="AA2599" s="1">
        <v>1.7840909090909092</v>
      </c>
      <c r="AB2599" s="1">
        <v>88.05875474257914</v>
      </c>
      <c r="AC2599" s="1">
        <v>156.99564298879699</v>
      </c>
      <c r="AD2599" s="1">
        <v>1.7828510458470601</v>
      </c>
      <c r="AE2599" t="s">
        <v>4817</v>
      </c>
      <c r="AF2599" t="str">
        <f>IF(X2599&lt;$AF$1,"Bajo","Alto")</f>
        <v>Alto</v>
      </c>
      <c r="AG2599" t="str">
        <f>LEFT(AE2599,1)</f>
        <v>C</v>
      </c>
      <c r="AH2599" t="str">
        <f>K2599</f>
        <v>M</v>
      </c>
      <c r="AI2599" t="str">
        <f>LEFT(AF2599,1)</f>
        <v>A</v>
      </c>
      <c r="AJ2599" t="str">
        <f>LEFT(M2599,1)</f>
        <v>J</v>
      </c>
      <c r="AK2599" t="str">
        <f>_xlfn.CONCAT(AG2599,AH2599,AI2599,AJ2599)</f>
        <v>CMAJ</v>
      </c>
    </row>
    <row r="2600" spans="1:37" ht="15.75" hidden="1" customHeight="1" x14ac:dyDescent="0.2">
      <c r="A2600" s="1">
        <v>291906</v>
      </c>
      <c r="B2600" s="1" t="s">
        <v>3890</v>
      </c>
      <c r="C2600" s="1" t="s">
        <v>1695</v>
      </c>
      <c r="D2600" s="1" t="s">
        <v>3971</v>
      </c>
      <c r="E2600" s="1" t="s">
        <v>323</v>
      </c>
      <c r="F2600" s="1" t="s">
        <v>88</v>
      </c>
      <c r="G2600" s="1" t="s">
        <v>3977</v>
      </c>
      <c r="H2600" s="1">
        <v>3062</v>
      </c>
      <c r="I2600" s="1" t="s">
        <v>3978</v>
      </c>
      <c r="J2600" s="1">
        <v>2685</v>
      </c>
      <c r="K2600" s="1" t="s">
        <v>35</v>
      </c>
      <c r="L2600" s="1">
        <v>52</v>
      </c>
      <c r="M2600" s="1" t="str">
        <f>IF(L2600&lt;=45,"Joven","Mayor")</f>
        <v>Mayor</v>
      </c>
      <c r="N2600" s="1">
        <v>62</v>
      </c>
      <c r="O2600" s="1" t="s">
        <v>36</v>
      </c>
      <c r="P2600" s="1">
        <v>0.251</v>
      </c>
      <c r="Q2600" s="1">
        <v>89.915000000000006</v>
      </c>
      <c r="R2600" s="1">
        <v>4.206785</v>
      </c>
      <c r="S2600" s="1">
        <v>7.4868930000000002</v>
      </c>
      <c r="T2600" s="1">
        <v>-4.3783254999999999</v>
      </c>
      <c r="U2600" s="1">
        <v>82.921000000000006</v>
      </c>
      <c r="V2600" s="1">
        <v>97</v>
      </c>
      <c r="W2600" s="1">
        <v>173</v>
      </c>
      <c r="X2600" s="1">
        <v>1.7835051546391754</v>
      </c>
      <c r="Y2600" s="1">
        <v>97</v>
      </c>
      <c r="Z2600" s="1">
        <v>173</v>
      </c>
      <c r="AA2600" s="1">
        <v>1.7835051546391754</v>
      </c>
      <c r="AB2600" s="1">
        <v>100.3049919644418</v>
      </c>
      <c r="AC2600" s="1">
        <v>172.95318570169911</v>
      </c>
      <c r="AD2600" s="1">
        <v>1.7242729630346929</v>
      </c>
      <c r="AE2600" t="s">
        <v>4817</v>
      </c>
      <c r="AF2600" t="str">
        <f>IF(X2600&lt;$AF$1,"Bajo","Alto")</f>
        <v>Alto</v>
      </c>
      <c r="AG2600" t="str">
        <f>LEFT(AE2600,1)</f>
        <v>C</v>
      </c>
      <c r="AH2600" t="str">
        <f>K2600</f>
        <v>M</v>
      </c>
      <c r="AI2600" t="str">
        <f>LEFT(AF2600,1)</f>
        <v>A</v>
      </c>
      <c r="AJ2600" t="str">
        <f>LEFT(M2600,1)</f>
        <v>M</v>
      </c>
      <c r="AK2600" t="str">
        <f>_xlfn.CONCAT(AG2600,AH2600,AI2600,AJ2600)</f>
        <v>CMAM</v>
      </c>
    </row>
    <row r="2601" spans="1:37" ht="15.75" hidden="1" customHeight="1" x14ac:dyDescent="0.2">
      <c r="A2601" s="1">
        <v>441203</v>
      </c>
      <c r="B2601" s="1" t="s">
        <v>4314</v>
      </c>
      <c r="C2601" s="1" t="s">
        <v>995</v>
      </c>
      <c r="D2601" s="1" t="s">
        <v>4346</v>
      </c>
      <c r="E2601" s="1" t="s">
        <v>54</v>
      </c>
      <c r="F2601" s="1" t="s">
        <v>63</v>
      </c>
      <c r="G2601" s="1" t="s">
        <v>4349</v>
      </c>
      <c r="H2601" s="1">
        <v>0</v>
      </c>
      <c r="I2601" s="1" t="s">
        <v>42</v>
      </c>
      <c r="J2601" s="1">
        <v>15</v>
      </c>
      <c r="K2601" s="1" t="s">
        <v>35</v>
      </c>
      <c r="L2601" s="1">
        <v>40</v>
      </c>
      <c r="M2601" s="1" t="str">
        <f>IF(L2601&lt;=45,"Joven","Mayor")</f>
        <v>Joven</v>
      </c>
      <c r="N2601" s="1">
        <v>46</v>
      </c>
      <c r="O2601" s="1" t="s">
        <v>36</v>
      </c>
      <c r="P2601" s="1">
        <v>0.376</v>
      </c>
      <c r="Q2601" s="1">
        <v>93.986999999999995</v>
      </c>
      <c r="R2601" s="1">
        <v>-1.7004591</v>
      </c>
      <c r="S2601" s="1">
        <v>0.82143010000000005</v>
      </c>
      <c r="T2601" s="1">
        <v>-4.5182000000000002</v>
      </c>
      <c r="U2601" s="1">
        <v>0.41699999999999998</v>
      </c>
      <c r="V2601" s="1">
        <v>99</v>
      </c>
      <c r="W2601" s="1">
        <v>174</v>
      </c>
      <c r="X2601" s="1">
        <v>1.7575757575757576</v>
      </c>
      <c r="Y2601" s="1">
        <v>104</v>
      </c>
      <c r="Z2601" s="1">
        <v>174</v>
      </c>
      <c r="AA2601" s="1">
        <v>1.6730769230769231</v>
      </c>
      <c r="AB2601" s="1">
        <v>102.70990761678971</v>
      </c>
      <c r="AC2601" s="1">
        <v>174.0107011361392</v>
      </c>
      <c r="AD2601" s="1">
        <v>1.6941958684781657</v>
      </c>
      <c r="AE2601" t="s">
        <v>4817</v>
      </c>
      <c r="AF2601" t="str">
        <f>IF(X2601&lt;$AF$1,"Bajo","Alto")</f>
        <v>Bajo</v>
      </c>
      <c r="AG2601" t="str">
        <f>LEFT(AE2601,1)</f>
        <v>C</v>
      </c>
      <c r="AH2601" t="str">
        <f>K2601</f>
        <v>M</v>
      </c>
      <c r="AI2601" t="str">
        <f>LEFT(AF2601,1)</f>
        <v>B</v>
      </c>
      <c r="AJ2601" t="str">
        <f>LEFT(M2601,1)</f>
        <v>J</v>
      </c>
      <c r="AK2601" t="str">
        <f>_xlfn.CONCAT(AG2601,AH2601,AI2601,AJ2601)</f>
        <v>CMBJ</v>
      </c>
    </row>
    <row r="2602" spans="1:37" ht="15.75" hidden="1" customHeight="1" x14ac:dyDescent="0.2">
      <c r="A2602" s="1">
        <v>2717404</v>
      </c>
      <c r="B2602" s="1" t="s">
        <v>3409</v>
      </c>
      <c r="C2602" s="1" t="s">
        <v>973</v>
      </c>
      <c r="D2602" s="1" t="s">
        <v>3563</v>
      </c>
      <c r="E2602" s="1" t="s">
        <v>3564</v>
      </c>
      <c r="F2602" s="1" t="s">
        <v>61</v>
      </c>
      <c r="G2602" s="1" t="s">
        <v>3565</v>
      </c>
      <c r="H2602" s="1">
        <v>879</v>
      </c>
      <c r="I2602" s="1" t="s">
        <v>294</v>
      </c>
      <c r="J2602" s="1">
        <v>16</v>
      </c>
      <c r="K2602" s="1" t="s">
        <v>35</v>
      </c>
      <c r="L2602" s="1">
        <v>66</v>
      </c>
      <c r="M2602" s="1" t="str">
        <f>IF(L2602&lt;=45,"Joven","Mayor")</f>
        <v>Mayor</v>
      </c>
      <c r="N2602" s="1">
        <v>68</v>
      </c>
      <c r="O2602" s="1" t="s">
        <v>36</v>
      </c>
      <c r="P2602" s="1">
        <v>6.9000000000000006E-2</v>
      </c>
      <c r="Q2602" s="1">
        <v>91.456999999999994</v>
      </c>
      <c r="R2602" s="1">
        <v>3.7067212999999999</v>
      </c>
      <c r="S2602" s="1">
        <v>-5.2643880000000003</v>
      </c>
      <c r="T2602" s="1">
        <v>0.66885227000000003</v>
      </c>
      <c r="U2602" s="1">
        <v>0.55300000000000005</v>
      </c>
      <c r="V2602" s="1">
        <v>106</v>
      </c>
      <c r="W2602" s="1">
        <v>189</v>
      </c>
      <c r="X2602" s="1">
        <v>1.7830188679245282</v>
      </c>
      <c r="Y2602" s="1">
        <v>115</v>
      </c>
      <c r="Z2602" s="1">
        <v>189</v>
      </c>
      <c r="AA2602" s="1">
        <v>1.6434782608695653</v>
      </c>
      <c r="AB2602" s="1">
        <v>114.4551874728234</v>
      </c>
      <c r="AC2602" s="1">
        <v>189.0921828723917</v>
      </c>
      <c r="AD2602" s="1">
        <v>1.6521067069790119</v>
      </c>
      <c r="AE2602" t="s">
        <v>4817</v>
      </c>
      <c r="AF2602" t="str">
        <f>IF(X2602&lt;$AF$1,"Bajo","Alto")</f>
        <v>Alto</v>
      </c>
      <c r="AG2602" t="str">
        <f>LEFT(AE2602,1)</f>
        <v>C</v>
      </c>
      <c r="AH2602" t="str">
        <f>K2602</f>
        <v>M</v>
      </c>
      <c r="AI2602" t="str">
        <f>LEFT(AF2602,1)</f>
        <v>A</v>
      </c>
      <c r="AJ2602" t="str">
        <f>LEFT(M2602,1)</f>
        <v>M</v>
      </c>
      <c r="AK2602" t="str">
        <f>_xlfn.CONCAT(AG2602,AH2602,AI2602,AJ2602)</f>
        <v>CMAM</v>
      </c>
    </row>
    <row r="2603" spans="1:37" ht="15.75" hidden="1" customHeight="1" x14ac:dyDescent="0.2">
      <c r="A2603" s="1">
        <v>10122604</v>
      </c>
      <c r="B2603" s="1" t="s">
        <v>29</v>
      </c>
      <c r="C2603" s="1" t="s">
        <v>30</v>
      </c>
      <c r="D2603" s="1" t="s">
        <v>430</v>
      </c>
      <c r="E2603" s="1" t="s">
        <v>431</v>
      </c>
      <c r="F2603" s="1" t="s">
        <v>61</v>
      </c>
      <c r="G2603" s="1" t="s">
        <v>434</v>
      </c>
      <c r="H2603" s="1">
        <v>510</v>
      </c>
      <c r="I2603" s="1" t="s">
        <v>435</v>
      </c>
      <c r="J2603" s="1">
        <v>407</v>
      </c>
      <c r="K2603" s="1" t="s">
        <v>35</v>
      </c>
      <c r="L2603" s="1">
        <v>49</v>
      </c>
      <c r="M2603" s="1" t="str">
        <f>IF(L2603&lt;=45,"Joven","Mayor")</f>
        <v>Mayor</v>
      </c>
      <c r="N2603" s="1">
        <v>51</v>
      </c>
      <c r="O2603" s="1" t="s">
        <v>36</v>
      </c>
      <c r="P2603" s="1">
        <v>0.437</v>
      </c>
      <c r="Q2603" s="1">
        <v>90.010999999999996</v>
      </c>
      <c r="R2603" s="1">
        <v>-4.9877224</v>
      </c>
      <c r="S2603" s="1">
        <v>-5.1429777000000003</v>
      </c>
      <c r="T2603" s="1">
        <v>9.0490969999999997</v>
      </c>
      <c r="U2603" s="1">
        <v>4.2779999999999996</v>
      </c>
      <c r="V2603" s="1">
        <v>103</v>
      </c>
      <c r="W2603" s="1">
        <v>181</v>
      </c>
      <c r="X2603" s="1">
        <v>1.7572815533980584</v>
      </c>
      <c r="Y2603" s="1">
        <v>109</v>
      </c>
      <c r="Z2603" s="1">
        <v>181</v>
      </c>
      <c r="AA2603" s="1">
        <v>1.6605504587155964</v>
      </c>
      <c r="AB2603" s="1">
        <v>108.952969695194</v>
      </c>
      <c r="AC2603" s="1">
        <v>178.90454184265451</v>
      </c>
      <c r="AD2603" s="1">
        <v>1.6420345617302263</v>
      </c>
      <c r="AE2603" t="s">
        <v>4817</v>
      </c>
      <c r="AF2603" t="str">
        <f>IF(X2603&lt;$AF$1,"Bajo","Alto")</f>
        <v>Bajo</v>
      </c>
      <c r="AG2603" t="str">
        <f>LEFT(AE2603,1)</f>
        <v>C</v>
      </c>
      <c r="AH2603" t="str">
        <f>K2603</f>
        <v>M</v>
      </c>
      <c r="AI2603" t="str">
        <f>LEFT(AF2603,1)</f>
        <v>B</v>
      </c>
      <c r="AJ2603" t="str">
        <f>LEFT(M2603,1)</f>
        <v>M</v>
      </c>
      <c r="AK2603" t="str">
        <f>_xlfn.CONCAT(AG2603,AH2603,AI2603,AJ2603)</f>
        <v>CMBM</v>
      </c>
    </row>
    <row r="2604" spans="1:37" ht="15.75" hidden="1" customHeight="1" x14ac:dyDescent="0.2">
      <c r="A2604" s="1">
        <v>401504</v>
      </c>
      <c r="B2604" s="1" t="s">
        <v>4287</v>
      </c>
      <c r="C2604" s="1" t="s">
        <v>657</v>
      </c>
      <c r="D2604" s="1" t="s">
        <v>4296</v>
      </c>
      <c r="E2604" s="1" t="s">
        <v>57</v>
      </c>
      <c r="F2604" s="1" t="s">
        <v>61</v>
      </c>
      <c r="G2604" s="1" t="s">
        <v>4299</v>
      </c>
      <c r="H2604" s="1">
        <v>1</v>
      </c>
      <c r="I2604" s="1" t="s">
        <v>294</v>
      </c>
      <c r="J2604" s="1">
        <v>16</v>
      </c>
      <c r="K2604" s="1" t="s">
        <v>35</v>
      </c>
      <c r="L2604" s="1">
        <v>60</v>
      </c>
      <c r="M2604" s="1" t="str">
        <f>IF(L2604&lt;=45,"Joven","Mayor")</f>
        <v>Mayor</v>
      </c>
      <c r="N2604" s="1">
        <v>65</v>
      </c>
      <c r="O2604" s="1" t="s">
        <v>36</v>
      </c>
      <c r="P2604" s="1">
        <v>0.23100000000000001</v>
      </c>
      <c r="Q2604" s="1">
        <v>89.055999999999997</v>
      </c>
      <c r="R2604" s="1">
        <v>-2.8008513000000002</v>
      </c>
      <c r="S2604" s="1">
        <v>11.285489</v>
      </c>
      <c r="T2604" s="1">
        <v>-0.14425231999999999</v>
      </c>
      <c r="U2604" s="1">
        <v>0.93799999999999994</v>
      </c>
      <c r="V2604" s="1">
        <v>101</v>
      </c>
      <c r="W2604" s="1">
        <v>180</v>
      </c>
      <c r="X2604" s="1">
        <v>1.7821782178217822</v>
      </c>
      <c r="Y2604" s="1">
        <v>107</v>
      </c>
      <c r="Z2604" s="1">
        <v>180</v>
      </c>
      <c r="AA2604" s="1">
        <v>1.6822429906542056</v>
      </c>
      <c r="AB2604" s="1">
        <v>107.1003678907252</v>
      </c>
      <c r="AC2604" s="1">
        <v>179.98935881599249</v>
      </c>
      <c r="AD2604" s="1">
        <v>1.6805671386641372</v>
      </c>
      <c r="AE2604" t="s">
        <v>4817</v>
      </c>
      <c r="AF2604" t="str">
        <f>IF(X2604&lt;$AF$1,"Bajo","Alto")</f>
        <v>Alto</v>
      </c>
      <c r="AG2604" t="str">
        <f>LEFT(AE2604,1)</f>
        <v>C</v>
      </c>
      <c r="AH2604" t="str">
        <f>K2604</f>
        <v>M</v>
      </c>
      <c r="AI2604" t="str">
        <f>LEFT(AF2604,1)</f>
        <v>A</v>
      </c>
      <c r="AJ2604" t="str">
        <f>LEFT(M2604,1)</f>
        <v>M</v>
      </c>
      <c r="AK2604" t="str">
        <f>_xlfn.CONCAT(AG2604,AH2604,AI2604,AJ2604)</f>
        <v>CMAM</v>
      </c>
    </row>
    <row r="2605" spans="1:37" ht="15.75" hidden="1" customHeight="1" x14ac:dyDescent="0.2">
      <c r="A2605" s="1">
        <v>10112105</v>
      </c>
      <c r="B2605" s="1" t="s">
        <v>29</v>
      </c>
      <c r="C2605" s="1" t="s">
        <v>30</v>
      </c>
      <c r="D2605" s="1" t="s">
        <v>135</v>
      </c>
      <c r="E2605" s="1" t="s">
        <v>136</v>
      </c>
      <c r="F2605" s="1" t="s">
        <v>40</v>
      </c>
      <c r="G2605" s="1" t="s">
        <v>142</v>
      </c>
      <c r="H2605" s="1">
        <v>11635</v>
      </c>
      <c r="I2605" s="1" t="s">
        <v>143</v>
      </c>
      <c r="J2605" s="1">
        <v>4496</v>
      </c>
      <c r="K2605" s="1" t="s">
        <v>35</v>
      </c>
      <c r="L2605" s="1">
        <v>44</v>
      </c>
      <c r="M2605" s="1" t="str">
        <f>IF(L2605&lt;=45,"Joven","Mayor")</f>
        <v>Joven</v>
      </c>
      <c r="N2605" s="1">
        <v>43</v>
      </c>
      <c r="O2605" s="1" t="s">
        <v>36</v>
      </c>
      <c r="P2605" s="1">
        <v>0.35299999999999998</v>
      </c>
      <c r="Q2605" s="1">
        <v>88.433000000000007</v>
      </c>
      <c r="R2605" s="1">
        <v>-6.1519279999999998</v>
      </c>
      <c r="S2605" s="1">
        <v>5.2148349999999999</v>
      </c>
      <c r="T2605" s="1">
        <v>1.5380541000000001</v>
      </c>
      <c r="U2605" s="1">
        <v>21.099</v>
      </c>
      <c r="V2605" s="1">
        <v>185</v>
      </c>
      <c r="W2605" s="1">
        <v>330</v>
      </c>
      <c r="X2605" s="1">
        <v>1.7837837837837838</v>
      </c>
      <c r="Y2605" s="1">
        <v>195.99999999999989</v>
      </c>
      <c r="Z2605" s="1">
        <v>330</v>
      </c>
      <c r="AA2605" s="1">
        <v>1.683673469387756</v>
      </c>
      <c r="AB2605" s="1">
        <v>193.701591447743</v>
      </c>
      <c r="AC2605" s="1">
        <v>330.01531154777098</v>
      </c>
      <c r="AD2605" s="1">
        <v>1.703730511872448</v>
      </c>
      <c r="AE2605" t="s">
        <v>4817</v>
      </c>
      <c r="AF2605" t="str">
        <f>IF(X2605&lt;$AF$1,"Bajo","Alto")</f>
        <v>Alto</v>
      </c>
      <c r="AG2605" t="str">
        <f>LEFT(AE2605,1)</f>
        <v>C</v>
      </c>
      <c r="AH2605" t="str">
        <f>K2605</f>
        <v>M</v>
      </c>
      <c r="AI2605" t="str">
        <f>LEFT(AF2605,1)</f>
        <v>A</v>
      </c>
      <c r="AJ2605" t="str">
        <f>LEFT(M2605,1)</f>
        <v>J</v>
      </c>
      <c r="AK2605" t="str">
        <f>_xlfn.CONCAT(AG2605,AH2605,AI2605,AJ2605)</f>
        <v>CMAJ</v>
      </c>
    </row>
    <row r="2606" spans="1:37" ht="15.75" hidden="1" customHeight="1" x14ac:dyDescent="0.2">
      <c r="A2606" s="1">
        <v>1031002</v>
      </c>
      <c r="B2606" s="1" t="s">
        <v>783</v>
      </c>
      <c r="C2606" s="1" t="s">
        <v>81</v>
      </c>
      <c r="D2606" s="1" t="s">
        <v>798</v>
      </c>
      <c r="E2606" s="1" t="s">
        <v>75</v>
      </c>
      <c r="F2606" s="1" t="s">
        <v>37</v>
      </c>
      <c r="G2606" s="1" t="s">
        <v>800</v>
      </c>
      <c r="H2606" s="1">
        <v>29</v>
      </c>
      <c r="I2606" s="1" t="s">
        <v>85</v>
      </c>
      <c r="J2606" s="1">
        <v>12</v>
      </c>
      <c r="K2606" s="1" t="s">
        <v>35</v>
      </c>
      <c r="L2606" s="1">
        <v>55</v>
      </c>
      <c r="M2606" s="1" t="str">
        <f>IF(L2606&lt;=45,"Joven","Mayor")</f>
        <v>Mayor</v>
      </c>
      <c r="N2606" s="1">
        <v>58</v>
      </c>
      <c r="O2606" s="1" t="s">
        <v>36</v>
      </c>
      <c r="P2606" s="1">
        <v>0.20899999999999999</v>
      </c>
      <c r="Q2606" s="1">
        <v>92.844999999999999</v>
      </c>
      <c r="R2606" s="1">
        <v>3.4509650000000001</v>
      </c>
      <c r="S2606" s="1">
        <v>-0.86027854999999998</v>
      </c>
      <c r="T2606" s="1">
        <v>3.6246119000000001</v>
      </c>
      <c r="U2606" s="1">
        <v>0.501</v>
      </c>
      <c r="V2606" s="1">
        <v>92</v>
      </c>
      <c r="W2606" s="1">
        <v>164</v>
      </c>
      <c r="X2606" s="1">
        <v>1.7826086956521738</v>
      </c>
      <c r="Y2606" s="1">
        <v>94</v>
      </c>
      <c r="Z2606" s="1">
        <v>164</v>
      </c>
      <c r="AA2606" s="1">
        <v>1.7446808510638299</v>
      </c>
      <c r="AB2606" s="1">
        <v>94.85049188995913</v>
      </c>
      <c r="AC2606" s="1">
        <v>163.98804104243621</v>
      </c>
      <c r="AD2606" s="1">
        <v>1.7289108129527369</v>
      </c>
      <c r="AE2606" t="s">
        <v>4815</v>
      </c>
      <c r="AF2606" t="str">
        <f>IF(X2606&lt;$AF$1,"Bajo","Alto")</f>
        <v>Alto</v>
      </c>
      <c r="AG2606" t="str">
        <f>LEFT(AE2606,1)</f>
        <v>I</v>
      </c>
      <c r="AH2606" t="str">
        <f>K2606</f>
        <v>M</v>
      </c>
      <c r="AI2606" t="str">
        <f>LEFT(AF2606,1)</f>
        <v>A</v>
      </c>
      <c r="AJ2606" t="str">
        <f>LEFT(M2606,1)</f>
        <v>M</v>
      </c>
      <c r="AK2606" t="str">
        <f>_xlfn.CONCAT(AG2606,AH2606,AI2606,AJ2606)</f>
        <v>IMAM</v>
      </c>
    </row>
    <row r="2607" spans="1:37" ht="15.75" hidden="1" customHeight="1" x14ac:dyDescent="0.2">
      <c r="A2607" s="1">
        <v>10913301</v>
      </c>
      <c r="B2607" s="1" t="s">
        <v>719</v>
      </c>
      <c r="C2607" s="1" t="s">
        <v>98</v>
      </c>
      <c r="D2607" s="1" t="s">
        <v>1590</v>
      </c>
      <c r="E2607" s="1" t="s">
        <v>169</v>
      </c>
      <c r="F2607" s="1" t="s">
        <v>32</v>
      </c>
      <c r="G2607" s="1" t="s">
        <v>1591</v>
      </c>
      <c r="H2607" s="1">
        <v>927</v>
      </c>
      <c r="I2607" s="1" t="s">
        <v>294</v>
      </c>
      <c r="J2607" s="1">
        <v>16</v>
      </c>
      <c r="K2607" s="1" t="s">
        <v>35</v>
      </c>
      <c r="L2607" s="1">
        <v>30</v>
      </c>
      <c r="M2607" s="1" t="str">
        <f>IF(L2607&lt;=45,"Joven","Mayor")</f>
        <v>Joven</v>
      </c>
      <c r="N2607" s="1">
        <v>25</v>
      </c>
      <c r="O2607" s="1" t="s">
        <v>36</v>
      </c>
      <c r="P2607" s="1">
        <v>0.34899999999999998</v>
      </c>
      <c r="Q2607" s="1">
        <v>92.63</v>
      </c>
      <c r="R2607" s="1">
        <v>3.8065633999999999</v>
      </c>
      <c r="S2607" s="1">
        <v>-0.27472642000000003</v>
      </c>
      <c r="T2607" s="1">
        <v>-8.9033940000000005</v>
      </c>
      <c r="U2607" s="1">
        <v>1.2869999999999999</v>
      </c>
      <c r="V2607" s="1">
        <v>106</v>
      </c>
      <c r="W2607" s="1">
        <v>189</v>
      </c>
      <c r="X2607" s="1">
        <v>1.7830188679245282</v>
      </c>
      <c r="Y2607" s="1">
        <v>114</v>
      </c>
      <c r="Z2607" s="1">
        <v>189</v>
      </c>
      <c r="AA2607" s="1">
        <v>1.6578947368421053</v>
      </c>
      <c r="AB2607" s="1">
        <v>113.69937088972939</v>
      </c>
      <c r="AC2607" s="1">
        <v>189.6632914891743</v>
      </c>
      <c r="AD2607" s="1">
        <v>1.6681120573052073</v>
      </c>
      <c r="AE2607" t="s">
        <v>4817</v>
      </c>
      <c r="AF2607" t="str">
        <f>IF(X2607&lt;$AF$1,"Bajo","Alto")</f>
        <v>Alto</v>
      </c>
      <c r="AG2607" t="str">
        <f>LEFT(AE2607,1)</f>
        <v>C</v>
      </c>
      <c r="AH2607" t="str">
        <f>K2607</f>
        <v>M</v>
      </c>
      <c r="AI2607" t="str">
        <f>LEFT(AF2607,1)</f>
        <v>A</v>
      </c>
      <c r="AJ2607" t="str">
        <f>LEFT(M2607,1)</f>
        <v>J</v>
      </c>
      <c r="AK2607" t="str">
        <f>_xlfn.CONCAT(AG2607,AH2607,AI2607,AJ2607)</f>
        <v>CMAJ</v>
      </c>
    </row>
    <row r="2608" spans="1:37" ht="15.75" hidden="1" customHeight="1" x14ac:dyDescent="0.2">
      <c r="A2608" s="1">
        <v>1011302</v>
      </c>
      <c r="B2608" s="1" t="s">
        <v>29</v>
      </c>
      <c r="C2608" s="1" t="s">
        <v>30</v>
      </c>
      <c r="D2608" s="1" t="s">
        <v>162</v>
      </c>
      <c r="E2608" s="1" t="s">
        <v>163</v>
      </c>
      <c r="F2608" s="1" t="s">
        <v>37</v>
      </c>
      <c r="G2608" s="1" t="s">
        <v>165</v>
      </c>
      <c r="H2608" s="1">
        <v>276</v>
      </c>
      <c r="I2608" s="1" t="s">
        <v>48</v>
      </c>
      <c r="J2608" s="1">
        <v>4</v>
      </c>
      <c r="K2608" s="1" t="s">
        <v>35</v>
      </c>
      <c r="L2608" s="1">
        <v>44</v>
      </c>
      <c r="M2608" s="1" t="str">
        <f>IF(L2608&lt;=45,"Joven","Mayor")</f>
        <v>Joven</v>
      </c>
      <c r="N2608" s="1">
        <v>42</v>
      </c>
      <c r="O2608" s="1" t="s">
        <v>36</v>
      </c>
      <c r="P2608" s="1">
        <v>2.9000000000000001E-2</v>
      </c>
      <c r="Q2608" s="1">
        <v>89.427999999999997</v>
      </c>
      <c r="R2608" s="1">
        <v>5.4772195999999997</v>
      </c>
      <c r="S2608" s="1">
        <v>5.4087253000000004</v>
      </c>
      <c r="T2608" s="1">
        <v>-0.36186388000000003</v>
      </c>
      <c r="U2608" s="1">
        <v>17.95</v>
      </c>
      <c r="V2608" s="1">
        <v>92</v>
      </c>
      <c r="W2608" s="1">
        <v>164</v>
      </c>
      <c r="X2608" s="1">
        <v>1.7826086956521738</v>
      </c>
      <c r="Y2608" s="1">
        <v>92</v>
      </c>
      <c r="Z2608" s="1">
        <v>164</v>
      </c>
      <c r="AA2608" s="1">
        <v>1.7826086956521738</v>
      </c>
      <c r="AB2608" s="1">
        <v>92.301317505478892</v>
      </c>
      <c r="AC2608" s="1">
        <v>164.0030448468556</v>
      </c>
      <c r="AD2608" s="1">
        <v>1.776822360494698</v>
      </c>
      <c r="AE2608" t="s">
        <v>4817</v>
      </c>
      <c r="AF2608" t="str">
        <f>IF(X2608&lt;$AF$1,"Bajo","Alto")</f>
        <v>Alto</v>
      </c>
      <c r="AG2608" t="str">
        <f>LEFT(AE2608,1)</f>
        <v>C</v>
      </c>
      <c r="AH2608" t="str">
        <f>K2608</f>
        <v>M</v>
      </c>
      <c r="AI2608" t="str">
        <f>LEFT(AF2608,1)</f>
        <v>A</v>
      </c>
      <c r="AJ2608" t="str">
        <f>LEFT(M2608,1)</f>
        <v>J</v>
      </c>
      <c r="AK2608" t="str">
        <f>_xlfn.CONCAT(AG2608,AH2608,AI2608,AJ2608)</f>
        <v>CMAJ</v>
      </c>
    </row>
    <row r="2609" spans="1:37" ht="15.75" hidden="1" customHeight="1" x14ac:dyDescent="0.2">
      <c r="A2609" s="1">
        <v>520507</v>
      </c>
      <c r="B2609" s="1" t="s">
        <v>4529</v>
      </c>
      <c r="C2609" s="1" t="s">
        <v>685</v>
      </c>
      <c r="D2609" s="1" t="s">
        <v>4539</v>
      </c>
      <c r="E2609" s="1" t="s">
        <v>40</v>
      </c>
      <c r="F2609" s="1" t="s">
        <v>43</v>
      </c>
      <c r="G2609" s="1" t="s">
        <v>4543</v>
      </c>
      <c r="H2609" s="1">
        <v>699</v>
      </c>
      <c r="I2609" s="1" t="s">
        <v>4544</v>
      </c>
      <c r="J2609" s="1">
        <v>567</v>
      </c>
      <c r="K2609" s="1" t="s">
        <v>35</v>
      </c>
      <c r="L2609" s="1">
        <v>60</v>
      </c>
      <c r="M2609" s="1" t="str">
        <f>IF(L2609&lt;=45,"Joven","Mayor")</f>
        <v>Mayor</v>
      </c>
      <c r="N2609" s="1">
        <v>55</v>
      </c>
      <c r="O2609" s="1" t="s">
        <v>36</v>
      </c>
      <c r="P2609" s="1">
        <v>0.35</v>
      </c>
      <c r="Q2609" s="1">
        <v>59.645000000000003</v>
      </c>
      <c r="R2609" s="1">
        <v>11.8603325</v>
      </c>
      <c r="S2609" s="1">
        <v>-14.538618</v>
      </c>
      <c r="T2609" s="1">
        <v>-1.3158143</v>
      </c>
      <c r="U2609" s="1">
        <v>6.5060000000000002</v>
      </c>
      <c r="V2609" s="1">
        <v>101</v>
      </c>
      <c r="W2609" s="1">
        <v>180</v>
      </c>
      <c r="X2609" s="1">
        <v>1.7821782178217822</v>
      </c>
      <c r="Y2609" s="1">
        <v>108</v>
      </c>
      <c r="Z2609" s="1">
        <v>180</v>
      </c>
      <c r="AA2609" s="1">
        <v>1.6666666666666667</v>
      </c>
      <c r="AB2609" s="1">
        <v>107.0300271976844</v>
      </c>
      <c r="AC2609" s="1">
        <v>180.11327858219241</v>
      </c>
      <c r="AD2609" s="1">
        <v>1.6828294199115101</v>
      </c>
      <c r="AE2609" t="s">
        <v>4817</v>
      </c>
      <c r="AF2609" t="str">
        <f>IF(X2609&lt;$AF$1,"Bajo","Alto")</f>
        <v>Alto</v>
      </c>
      <c r="AG2609" t="str">
        <f>LEFT(AE2609,1)</f>
        <v>C</v>
      </c>
      <c r="AH2609" t="str">
        <f>K2609</f>
        <v>M</v>
      </c>
      <c r="AI2609" t="str">
        <f>LEFT(AF2609,1)</f>
        <v>A</v>
      </c>
      <c r="AJ2609" t="str">
        <f>LEFT(M2609,1)</f>
        <v>M</v>
      </c>
      <c r="AK2609" t="str">
        <f>_xlfn.CONCAT(AG2609,AH2609,AI2609,AJ2609)</f>
        <v>CMAM</v>
      </c>
    </row>
    <row r="2610" spans="1:37" ht="15.75" hidden="1" customHeight="1" x14ac:dyDescent="0.2">
      <c r="A2610" s="1">
        <v>441205</v>
      </c>
      <c r="B2610" s="1" t="s">
        <v>4314</v>
      </c>
      <c r="C2610" s="1" t="s">
        <v>995</v>
      </c>
      <c r="D2610" s="1" t="s">
        <v>4346</v>
      </c>
      <c r="E2610" s="1" t="s">
        <v>54</v>
      </c>
      <c r="F2610" s="1" t="s">
        <v>40</v>
      </c>
      <c r="G2610" s="1" t="s">
        <v>4350</v>
      </c>
      <c r="H2610" s="1">
        <v>59</v>
      </c>
      <c r="I2610" s="1" t="s">
        <v>108</v>
      </c>
      <c r="J2610" s="1">
        <v>3</v>
      </c>
      <c r="K2610" s="1" t="s">
        <v>49</v>
      </c>
      <c r="L2610" s="1">
        <v>43</v>
      </c>
      <c r="M2610" s="1" t="str">
        <f>IF(L2610&lt;=45,"Joven","Mayor")</f>
        <v>Joven</v>
      </c>
      <c r="N2610" s="1">
        <v>46</v>
      </c>
      <c r="O2610" s="1" t="s">
        <v>50</v>
      </c>
      <c r="P2610" s="1">
        <v>0.16900000000000001</v>
      </c>
      <c r="Q2610" s="1">
        <v>91.108000000000004</v>
      </c>
      <c r="R2610" s="1">
        <v>5.1663575000000002</v>
      </c>
      <c r="S2610" s="1">
        <v>-1.4208364</v>
      </c>
      <c r="T2610" s="1">
        <v>-3.8443770000000002</v>
      </c>
      <c r="U2610" s="1">
        <v>72.088999999999999</v>
      </c>
      <c r="V2610" s="1">
        <v>75</v>
      </c>
      <c r="W2610" s="1">
        <v>132</v>
      </c>
      <c r="X2610" s="1">
        <v>1.76</v>
      </c>
      <c r="Y2610" s="1">
        <v>77</v>
      </c>
      <c r="Z2610" s="1">
        <v>132</v>
      </c>
      <c r="AA2610" s="1">
        <v>1.7142857142857142</v>
      </c>
      <c r="AB2610" s="1">
        <v>77.244919153663886</v>
      </c>
      <c r="AC2610" s="1">
        <v>131.9041187542384</v>
      </c>
      <c r="AD2610" s="1">
        <v>1.7076089948626985</v>
      </c>
      <c r="AE2610" t="s">
        <v>4817</v>
      </c>
      <c r="AF2610" t="str">
        <f>IF(X2610&lt;$AF$1,"Bajo","Alto")</f>
        <v>Bajo</v>
      </c>
      <c r="AG2610" t="str">
        <f>LEFT(AE2610,1)</f>
        <v>C</v>
      </c>
      <c r="AH2610" t="str">
        <f>K2610</f>
        <v>F</v>
      </c>
      <c r="AI2610" t="str">
        <f>LEFT(AF2610,1)</f>
        <v>B</v>
      </c>
      <c r="AJ2610" t="str">
        <f>LEFT(M2610,1)</f>
        <v>J</v>
      </c>
      <c r="AK2610" t="str">
        <f>_xlfn.CONCAT(AG2610,AH2610,AI2610,AJ2610)</f>
        <v>CFBJ</v>
      </c>
    </row>
    <row r="2611" spans="1:37" ht="15.75" hidden="1" customHeight="1" x14ac:dyDescent="0.2">
      <c r="A2611" s="1">
        <v>127506</v>
      </c>
      <c r="B2611" s="1" t="s">
        <v>1798</v>
      </c>
      <c r="C2611" s="1" t="s">
        <v>54</v>
      </c>
      <c r="D2611" s="1" t="s">
        <v>1911</v>
      </c>
      <c r="E2611" s="1" t="s">
        <v>1912</v>
      </c>
      <c r="F2611" s="1" t="s">
        <v>88</v>
      </c>
      <c r="G2611" s="1" t="s">
        <v>1916</v>
      </c>
      <c r="H2611" s="1">
        <v>55</v>
      </c>
      <c r="I2611" s="1" t="s">
        <v>1917</v>
      </c>
      <c r="J2611" s="1">
        <v>2996</v>
      </c>
      <c r="K2611" s="1" t="s">
        <v>35</v>
      </c>
      <c r="L2611" s="1">
        <v>36</v>
      </c>
      <c r="M2611" s="1" t="str">
        <f>IF(L2611&lt;=45,"Joven","Mayor")</f>
        <v>Joven</v>
      </c>
      <c r="N2611" s="1">
        <v>47</v>
      </c>
      <c r="O2611" s="1" t="s">
        <v>50</v>
      </c>
      <c r="P2611" s="1">
        <v>0.76300000000000001</v>
      </c>
      <c r="Q2611" s="1">
        <v>63.54</v>
      </c>
      <c r="R2611" s="1">
        <v>-11.848487</v>
      </c>
      <c r="S2611" s="1">
        <v>12.423005</v>
      </c>
      <c r="T2611" s="1">
        <v>1.8990412000000001</v>
      </c>
      <c r="U2611" s="1">
        <v>33.86</v>
      </c>
      <c r="V2611" s="1">
        <v>69</v>
      </c>
      <c r="W2611" s="1">
        <v>123</v>
      </c>
      <c r="X2611" s="1">
        <v>1.7826086956521738</v>
      </c>
      <c r="Y2611" s="1">
        <v>70</v>
      </c>
      <c r="Z2611" s="1">
        <v>123</v>
      </c>
      <c r="AA2611" s="1">
        <v>1.7571428571428571</v>
      </c>
      <c r="AB2611" s="1">
        <v>70.922569091593004</v>
      </c>
      <c r="AC2611" s="1">
        <v>122.6673371602769</v>
      </c>
      <c r="AD2611" s="1">
        <v>1.7295952294375867</v>
      </c>
      <c r="AE2611" t="s">
        <v>4817</v>
      </c>
      <c r="AF2611" t="str">
        <f>IF(X2611&lt;$AF$1,"Bajo","Alto")</f>
        <v>Alto</v>
      </c>
      <c r="AG2611" t="str">
        <f>LEFT(AE2611,1)</f>
        <v>C</v>
      </c>
      <c r="AH2611" t="str">
        <f>K2611</f>
        <v>M</v>
      </c>
      <c r="AI2611" t="str">
        <f>LEFT(AF2611,1)</f>
        <v>A</v>
      </c>
      <c r="AJ2611" t="str">
        <f>LEFT(M2611,1)</f>
        <v>J</v>
      </c>
      <c r="AK2611" t="str">
        <f>_xlfn.CONCAT(AG2611,AH2611,AI2611,AJ2611)</f>
        <v>CMAJ</v>
      </c>
    </row>
    <row r="2612" spans="1:37" ht="15.75" hidden="1" customHeight="1" x14ac:dyDescent="0.2">
      <c r="A2612" s="1">
        <v>135801</v>
      </c>
      <c r="B2612" s="1" t="s">
        <v>956</v>
      </c>
      <c r="C2612" s="1" t="s">
        <v>163</v>
      </c>
      <c r="D2612" s="1" t="s">
        <v>2065</v>
      </c>
      <c r="E2612" s="1" t="s">
        <v>695</v>
      </c>
      <c r="F2612" s="1" t="s">
        <v>32</v>
      </c>
      <c r="G2612" s="1" t="s">
        <v>2066</v>
      </c>
      <c r="H2612" s="1">
        <v>195</v>
      </c>
      <c r="I2612" s="1" t="s">
        <v>34</v>
      </c>
      <c r="J2612" s="1">
        <v>10</v>
      </c>
      <c r="K2612" s="1" t="s">
        <v>35</v>
      </c>
      <c r="L2612" s="1">
        <v>34</v>
      </c>
      <c r="M2612" s="1" t="str">
        <f>IF(L2612&lt;=45,"Joven","Mayor")</f>
        <v>Joven</v>
      </c>
      <c r="N2612" s="1">
        <v>47</v>
      </c>
      <c r="O2612" s="1" t="s">
        <v>36</v>
      </c>
      <c r="P2612" s="1">
        <v>0.36499999999999999</v>
      </c>
      <c r="Q2612" s="1">
        <v>92.137</v>
      </c>
      <c r="R2612" s="1">
        <v>3.4020153999999998</v>
      </c>
      <c r="S2612" s="1">
        <v>-3.750175</v>
      </c>
      <c r="T2612" s="1">
        <v>-3.5489522999999998</v>
      </c>
      <c r="U2612" s="1">
        <v>2.278</v>
      </c>
      <c r="V2612" s="1">
        <v>80</v>
      </c>
      <c r="W2612" s="1">
        <v>143</v>
      </c>
      <c r="X2612" s="1">
        <v>1.7875000000000001</v>
      </c>
      <c r="Y2612" s="1">
        <v>81</v>
      </c>
      <c r="Z2612" s="1">
        <v>143</v>
      </c>
      <c r="AA2612" s="1">
        <v>1.7654320987654322</v>
      </c>
      <c r="AB2612" s="1">
        <v>83.382617716712275</v>
      </c>
      <c r="AC2612" s="1">
        <v>142.84956800821959</v>
      </c>
      <c r="AD2612" s="1">
        <v>1.7131816189021902</v>
      </c>
      <c r="AE2612" t="s">
        <v>4815</v>
      </c>
      <c r="AF2612" t="str">
        <f>IF(X2612&lt;$AF$1,"Bajo","Alto")</f>
        <v>Alto</v>
      </c>
      <c r="AG2612" t="str">
        <f>LEFT(AE2612,1)</f>
        <v>I</v>
      </c>
      <c r="AH2612" t="str">
        <f>K2612</f>
        <v>M</v>
      </c>
      <c r="AI2612" t="str">
        <f>LEFT(AF2612,1)</f>
        <v>A</v>
      </c>
      <c r="AJ2612" t="str">
        <f>LEFT(M2612,1)</f>
        <v>J</v>
      </c>
      <c r="AK2612" t="str">
        <f>_xlfn.CONCAT(AG2612,AH2612,AI2612,AJ2612)</f>
        <v>IMAJ</v>
      </c>
    </row>
    <row r="2613" spans="1:37" ht="15.75" hidden="1" customHeight="1" x14ac:dyDescent="0.2">
      <c r="A2613" s="1">
        <v>10911501</v>
      </c>
      <c r="B2613" s="1" t="s">
        <v>719</v>
      </c>
      <c r="C2613" s="1" t="s">
        <v>98</v>
      </c>
      <c r="D2613" s="1" t="s">
        <v>1557</v>
      </c>
      <c r="E2613" s="1" t="s">
        <v>112</v>
      </c>
      <c r="F2613" s="1" t="s">
        <v>32</v>
      </c>
      <c r="G2613" s="1" t="s">
        <v>1558</v>
      </c>
      <c r="H2613" s="1">
        <v>133</v>
      </c>
      <c r="I2613" s="1" t="s">
        <v>91</v>
      </c>
      <c r="J2613" s="1">
        <v>6</v>
      </c>
      <c r="K2613" s="1" t="s">
        <v>35</v>
      </c>
      <c r="L2613" s="1">
        <v>51</v>
      </c>
      <c r="M2613" s="1" t="str">
        <f>IF(L2613&lt;=45,"Joven","Mayor")</f>
        <v>Mayor</v>
      </c>
      <c r="N2613" s="1">
        <v>68</v>
      </c>
      <c r="O2613" s="1" t="s">
        <v>36</v>
      </c>
      <c r="P2613" s="1">
        <v>0.17399999999999999</v>
      </c>
      <c r="Q2613" s="1">
        <v>86.343000000000004</v>
      </c>
      <c r="R2613" s="1">
        <v>7.2206340000000004</v>
      </c>
      <c r="S2613" s="1">
        <v>5.9069767000000004</v>
      </c>
      <c r="T2613" s="1">
        <v>-2.3920933999999998</v>
      </c>
      <c r="U2613" s="1">
        <v>1.716</v>
      </c>
      <c r="V2613" s="1">
        <v>87</v>
      </c>
      <c r="W2613" s="1">
        <v>155</v>
      </c>
      <c r="X2613" s="1">
        <v>1.7816091954022988</v>
      </c>
      <c r="Y2613" s="1">
        <v>89</v>
      </c>
      <c r="Z2613" s="1">
        <v>155</v>
      </c>
      <c r="AA2613" s="1">
        <v>1.7415730337078652</v>
      </c>
      <c r="AB2613" s="1">
        <v>88.885863710418107</v>
      </c>
      <c r="AC2613" s="1">
        <v>155.03188399906909</v>
      </c>
      <c r="AD2613" s="1">
        <v>1.7441680547105733</v>
      </c>
      <c r="AE2613" t="s">
        <v>4817</v>
      </c>
      <c r="AF2613" t="str">
        <f>IF(X2613&lt;$AF$1,"Bajo","Alto")</f>
        <v>Alto</v>
      </c>
      <c r="AG2613" t="str">
        <f>LEFT(AE2613,1)</f>
        <v>C</v>
      </c>
      <c r="AH2613" t="str">
        <f>K2613</f>
        <v>M</v>
      </c>
      <c r="AI2613" t="str">
        <f>LEFT(AF2613,1)</f>
        <v>A</v>
      </c>
      <c r="AJ2613" t="str">
        <f>LEFT(M2613,1)</f>
        <v>M</v>
      </c>
      <c r="AK2613" t="str">
        <f>_xlfn.CONCAT(AG2613,AH2613,AI2613,AJ2613)</f>
        <v>CMAM</v>
      </c>
    </row>
    <row r="2614" spans="1:37" ht="15.75" hidden="1" customHeight="1" x14ac:dyDescent="0.2">
      <c r="A2614" s="1">
        <v>1527701</v>
      </c>
      <c r="B2614" s="1" t="s">
        <v>2077</v>
      </c>
      <c r="C2614" s="1" t="s">
        <v>57</v>
      </c>
      <c r="D2614" s="1" t="s">
        <v>2340</v>
      </c>
      <c r="E2614" s="1" t="s">
        <v>550</v>
      </c>
      <c r="F2614" s="1" t="s">
        <v>32</v>
      </c>
      <c r="G2614" s="1" t="s">
        <v>2341</v>
      </c>
      <c r="H2614" s="1">
        <v>1730</v>
      </c>
      <c r="I2614" s="1" t="s">
        <v>2342</v>
      </c>
      <c r="J2614" s="1">
        <v>3172</v>
      </c>
      <c r="K2614" s="1" t="s">
        <v>35</v>
      </c>
      <c r="L2614" s="1">
        <v>69</v>
      </c>
      <c r="M2614" s="1" t="str">
        <f>IF(L2614&lt;=45,"Joven","Mayor")</f>
        <v>Mayor</v>
      </c>
      <c r="N2614" s="1">
        <v>66</v>
      </c>
      <c r="O2614" s="1" t="s">
        <v>36</v>
      </c>
      <c r="P2614" s="1">
        <v>0.42599999999999999</v>
      </c>
      <c r="Q2614" s="1">
        <v>90.825000000000003</v>
      </c>
      <c r="R2614" s="1">
        <v>2.7998881</v>
      </c>
      <c r="S2614" s="1">
        <v>-8.3742660000000004</v>
      </c>
      <c r="T2614" s="1">
        <v>-0.90562819999999999</v>
      </c>
      <c r="U2614" s="1">
        <v>2.0139999999999998</v>
      </c>
      <c r="V2614" s="1">
        <v>91</v>
      </c>
      <c r="W2614" s="1">
        <v>162</v>
      </c>
      <c r="X2614" s="1">
        <v>1.7802197802197801</v>
      </c>
      <c r="Y2614" s="1">
        <v>92</v>
      </c>
      <c r="Z2614" s="1">
        <v>162</v>
      </c>
      <c r="AA2614" s="1">
        <v>1.7608695652173914</v>
      </c>
      <c r="AB2614" s="1">
        <v>91.731492889050287</v>
      </c>
      <c r="AC2614" s="1">
        <v>162.02718033154679</v>
      </c>
      <c r="AD2614" s="1">
        <v>1.7663201069617334</v>
      </c>
      <c r="AE2614" t="s">
        <v>4817</v>
      </c>
      <c r="AF2614" t="str">
        <f>IF(X2614&lt;$AF$1,"Bajo","Alto")</f>
        <v>Alto</v>
      </c>
      <c r="AG2614" t="str">
        <f>LEFT(AE2614,1)</f>
        <v>C</v>
      </c>
      <c r="AH2614" t="str">
        <f>K2614</f>
        <v>M</v>
      </c>
      <c r="AI2614" t="str">
        <f>LEFT(AF2614,1)</f>
        <v>A</v>
      </c>
      <c r="AJ2614" t="str">
        <f>LEFT(M2614,1)</f>
        <v>M</v>
      </c>
      <c r="AK2614" t="str">
        <f>_xlfn.CONCAT(AG2614,AH2614,AI2614,AJ2614)</f>
        <v>CMAM</v>
      </c>
    </row>
    <row r="2615" spans="1:37" ht="15.75" hidden="1" customHeight="1" x14ac:dyDescent="0.2">
      <c r="A2615" s="1">
        <v>10114201</v>
      </c>
      <c r="B2615" s="1" t="s">
        <v>29</v>
      </c>
      <c r="C2615" s="1" t="s">
        <v>30</v>
      </c>
      <c r="D2615" s="1" t="s">
        <v>180</v>
      </c>
      <c r="E2615" s="1" t="s">
        <v>181</v>
      </c>
      <c r="F2615" s="1" t="s">
        <v>32</v>
      </c>
      <c r="G2615" s="1" t="s">
        <v>182</v>
      </c>
      <c r="H2615" s="1">
        <v>168</v>
      </c>
      <c r="I2615" s="1" t="s">
        <v>85</v>
      </c>
      <c r="J2615" s="1">
        <v>12</v>
      </c>
      <c r="K2615" s="1" t="s">
        <v>35</v>
      </c>
      <c r="L2615" s="1">
        <v>50</v>
      </c>
      <c r="M2615" s="1" t="str">
        <f>IF(L2615&lt;=45,"Joven","Mayor")</f>
        <v>Mayor</v>
      </c>
      <c r="N2615" s="1">
        <v>50</v>
      </c>
      <c r="O2615" s="1" t="s">
        <v>36</v>
      </c>
      <c r="P2615" s="1">
        <v>0.39300000000000002</v>
      </c>
      <c r="Q2615" s="1">
        <v>91.66</v>
      </c>
      <c r="R2615" s="1">
        <v>3.2416520000000002</v>
      </c>
      <c r="S2615" s="1">
        <v>-5.5885825000000002</v>
      </c>
      <c r="T2615" s="1">
        <v>-1.0796394</v>
      </c>
      <c r="U2615" s="1">
        <v>1.677</v>
      </c>
      <c r="V2615" s="1">
        <v>81</v>
      </c>
      <c r="W2615" s="1">
        <v>144</v>
      </c>
      <c r="X2615" s="1">
        <v>1.7777777777777777</v>
      </c>
      <c r="Y2615" s="1">
        <v>82</v>
      </c>
      <c r="Z2615" s="1">
        <v>144</v>
      </c>
      <c r="AA2615" s="1">
        <v>1.7560975609756098</v>
      </c>
      <c r="AB2615" s="1">
        <v>81.776990331300567</v>
      </c>
      <c r="AC2615" s="1">
        <v>144.06864655795329</v>
      </c>
      <c r="AD2615" s="1">
        <v>1.7617259570729185</v>
      </c>
      <c r="AE2615" t="s">
        <v>4815</v>
      </c>
      <c r="AF2615" t="str">
        <f>IF(X2615&lt;$AF$1,"Bajo","Alto")</f>
        <v>Alto</v>
      </c>
      <c r="AG2615" t="str">
        <f>LEFT(AE2615,1)</f>
        <v>I</v>
      </c>
      <c r="AH2615" t="str">
        <f>K2615</f>
        <v>M</v>
      </c>
      <c r="AI2615" t="str">
        <f>LEFT(AF2615,1)</f>
        <v>A</v>
      </c>
      <c r="AJ2615" t="str">
        <f>LEFT(M2615,1)</f>
        <v>M</v>
      </c>
      <c r="AK2615" t="str">
        <f>_xlfn.CONCAT(AG2615,AH2615,AI2615,AJ2615)</f>
        <v>IMAM</v>
      </c>
    </row>
    <row r="2616" spans="1:37" ht="15.75" hidden="1" customHeight="1" x14ac:dyDescent="0.2">
      <c r="A2616" s="1">
        <v>2715402</v>
      </c>
      <c r="B2616" s="1" t="s">
        <v>3409</v>
      </c>
      <c r="C2616" s="1" t="s">
        <v>973</v>
      </c>
      <c r="D2616" s="1" t="s">
        <v>3519</v>
      </c>
      <c r="E2616" s="1" t="s">
        <v>221</v>
      </c>
      <c r="F2616" s="1" t="s">
        <v>37</v>
      </c>
      <c r="G2616" s="1" t="s">
        <v>3521</v>
      </c>
      <c r="H2616" s="1">
        <v>309</v>
      </c>
      <c r="I2616" s="1" t="s">
        <v>3522</v>
      </c>
      <c r="J2616" s="1">
        <v>3239</v>
      </c>
      <c r="K2616" s="1" t="s">
        <v>35</v>
      </c>
      <c r="L2616" s="1">
        <v>53</v>
      </c>
      <c r="M2616" s="1" t="str">
        <f>IF(L2616&lt;=45,"Joven","Mayor")</f>
        <v>Mayor</v>
      </c>
      <c r="N2616" s="1">
        <v>47</v>
      </c>
      <c r="O2616" s="1" t="s">
        <v>36</v>
      </c>
      <c r="P2616" s="1">
        <v>0.34699999999999998</v>
      </c>
      <c r="Q2616" s="1">
        <v>88.162000000000006</v>
      </c>
      <c r="R2616" s="1">
        <v>6.7401432999999997</v>
      </c>
      <c r="S2616" s="1">
        <v>3.7188102999999999</v>
      </c>
      <c r="T2616" s="1">
        <v>-7.5544786000000004</v>
      </c>
      <c r="U2616" s="1">
        <v>20.669</v>
      </c>
      <c r="V2616" s="1">
        <v>103</v>
      </c>
      <c r="W2616" s="1">
        <v>181</v>
      </c>
      <c r="X2616" s="1">
        <v>1.7572815533980584</v>
      </c>
      <c r="Y2616" s="1">
        <v>104</v>
      </c>
      <c r="Z2616" s="1">
        <v>181</v>
      </c>
      <c r="AA2616" s="1">
        <v>1.7403846153846154</v>
      </c>
      <c r="AB2616" s="1">
        <v>108.2850263901494</v>
      </c>
      <c r="AC2616" s="1">
        <v>179.82338167145741</v>
      </c>
      <c r="AD2616" s="1">
        <v>1.6606486387467492</v>
      </c>
      <c r="AE2616" t="s">
        <v>4817</v>
      </c>
      <c r="AF2616" t="str">
        <f>IF(X2616&lt;$AF$1,"Bajo","Alto")</f>
        <v>Bajo</v>
      </c>
      <c r="AG2616" t="str">
        <f>LEFT(AE2616,1)</f>
        <v>C</v>
      </c>
      <c r="AH2616" t="str">
        <f>K2616</f>
        <v>M</v>
      </c>
      <c r="AI2616" t="str">
        <f>LEFT(AF2616,1)</f>
        <v>B</v>
      </c>
      <c r="AJ2616" t="str">
        <f>LEFT(M2616,1)</f>
        <v>M</v>
      </c>
      <c r="AK2616" t="str">
        <f>_xlfn.CONCAT(AG2616,AH2616,AI2616,AJ2616)</f>
        <v>CMBM</v>
      </c>
    </row>
    <row r="2617" spans="1:37" ht="15.75" hidden="1" customHeight="1" x14ac:dyDescent="0.2">
      <c r="A2617" s="1">
        <v>10732502</v>
      </c>
      <c r="B2617" s="1" t="s">
        <v>1067</v>
      </c>
      <c r="C2617" s="1" t="s">
        <v>1068</v>
      </c>
      <c r="D2617" s="1" t="s">
        <v>1411</v>
      </c>
      <c r="E2617" s="1" t="s">
        <v>1412</v>
      </c>
      <c r="F2617" s="1" t="s">
        <v>37</v>
      </c>
      <c r="G2617" s="1" t="s">
        <v>1414</v>
      </c>
      <c r="H2617" s="1">
        <v>639</v>
      </c>
      <c r="I2617" s="1" t="s">
        <v>39</v>
      </c>
      <c r="J2617" s="1">
        <v>11</v>
      </c>
      <c r="K2617" s="1" t="s">
        <v>35</v>
      </c>
      <c r="L2617" s="1">
        <v>60</v>
      </c>
      <c r="M2617" s="1" t="str">
        <f>IF(L2617&lt;=45,"Joven","Mayor")</f>
        <v>Mayor</v>
      </c>
      <c r="N2617" s="1">
        <v>63</v>
      </c>
      <c r="O2617" s="1" t="s">
        <v>36</v>
      </c>
      <c r="P2617" s="1">
        <v>0.379</v>
      </c>
      <c r="Q2617" s="1">
        <v>93.238</v>
      </c>
      <c r="R2617" s="1">
        <v>1.1941236</v>
      </c>
      <c r="S2617" s="1">
        <v>-5.3191233000000002</v>
      </c>
      <c r="T2617" s="1">
        <v>4.493716</v>
      </c>
      <c r="U2617" s="1">
        <v>3.24</v>
      </c>
      <c r="V2617" s="1">
        <v>79</v>
      </c>
      <c r="W2617" s="1">
        <v>140</v>
      </c>
      <c r="X2617" s="1">
        <v>1.7721518987341771</v>
      </c>
      <c r="Y2617" s="1">
        <v>81</v>
      </c>
      <c r="Z2617" s="1">
        <v>140</v>
      </c>
      <c r="AA2617" s="1">
        <v>1.728395061728395</v>
      </c>
      <c r="AB2617" s="1">
        <v>84.041690349493592</v>
      </c>
      <c r="AC2617" s="1">
        <v>139.80467987034629</v>
      </c>
      <c r="AD2617" s="1">
        <v>1.6635158013714166</v>
      </c>
      <c r="AE2617" t="s">
        <v>4816</v>
      </c>
      <c r="AF2617" t="str">
        <f>IF(X2617&lt;$AF$1,"Bajo","Alto")</f>
        <v>Alto</v>
      </c>
      <c r="AG2617" t="str">
        <f>LEFT(AE2617,1)</f>
        <v>D</v>
      </c>
      <c r="AH2617" t="str">
        <f>K2617</f>
        <v>M</v>
      </c>
      <c r="AI2617" t="str">
        <f>LEFT(AF2617,1)</f>
        <v>A</v>
      </c>
      <c r="AJ2617" t="str">
        <f>LEFT(M2617,1)</f>
        <v>M</v>
      </c>
      <c r="AK2617" t="str">
        <f>_xlfn.CONCAT(AG2617,AH2617,AI2617,AJ2617)</f>
        <v>DMAM</v>
      </c>
    </row>
    <row r="2618" spans="1:37" ht="15.75" hidden="1" customHeight="1" x14ac:dyDescent="0.2">
      <c r="A2618" s="1">
        <v>2311506</v>
      </c>
      <c r="B2618" s="1" t="s">
        <v>319</v>
      </c>
      <c r="C2618" s="1" t="s">
        <v>1989</v>
      </c>
      <c r="D2618" s="1" t="s">
        <v>2944</v>
      </c>
      <c r="E2618" s="1" t="s">
        <v>112</v>
      </c>
      <c r="F2618" s="1" t="s">
        <v>88</v>
      </c>
      <c r="G2618" s="1" t="s">
        <v>2945</v>
      </c>
      <c r="H2618" s="1">
        <v>4211</v>
      </c>
      <c r="I2618" s="1" t="s">
        <v>1364</v>
      </c>
      <c r="J2618" s="1">
        <v>2616</v>
      </c>
      <c r="K2618" s="1" t="s">
        <v>35</v>
      </c>
      <c r="L2618" s="1">
        <v>46</v>
      </c>
      <c r="M2618" s="1" t="str">
        <f>IF(L2618&lt;=45,"Joven","Mayor")</f>
        <v>Mayor</v>
      </c>
      <c r="N2618" s="1">
        <v>47</v>
      </c>
      <c r="O2618" s="1" t="s">
        <v>36</v>
      </c>
      <c r="P2618" s="1">
        <v>0.13800000000000001</v>
      </c>
      <c r="Q2618" s="1">
        <v>93.882000000000005</v>
      </c>
      <c r="R2618" s="1">
        <v>2.1925401999999998</v>
      </c>
      <c r="S2618" s="1">
        <v>-4.1755504999999998E-2</v>
      </c>
      <c r="T2618" s="1">
        <v>6.9281715999999998</v>
      </c>
      <c r="U2618" s="1">
        <v>47.052</v>
      </c>
      <c r="V2618" s="1">
        <v>66</v>
      </c>
      <c r="W2618" s="1">
        <v>116</v>
      </c>
      <c r="X2618" s="1">
        <v>1.7575757575757576</v>
      </c>
      <c r="Y2618" s="1">
        <v>70</v>
      </c>
      <c r="Z2618" s="1">
        <v>116</v>
      </c>
      <c r="AA2618" s="1">
        <v>1.6571428571428573</v>
      </c>
      <c r="AB2618" s="1">
        <v>69.37807645537805</v>
      </c>
      <c r="AC2618" s="1">
        <v>115.8767353556786</v>
      </c>
      <c r="AD2618" s="1">
        <v>1.6702212179406146</v>
      </c>
      <c r="AE2618" t="s">
        <v>4817</v>
      </c>
      <c r="AF2618" t="str">
        <f>IF(X2618&lt;$AF$1,"Bajo","Alto")</f>
        <v>Bajo</v>
      </c>
      <c r="AG2618" t="str">
        <f>LEFT(AE2618,1)</f>
        <v>C</v>
      </c>
      <c r="AH2618" t="str">
        <f>K2618</f>
        <v>M</v>
      </c>
      <c r="AI2618" t="str">
        <f>LEFT(AF2618,1)</f>
        <v>B</v>
      </c>
      <c r="AJ2618" t="str">
        <f>LEFT(M2618,1)</f>
        <v>M</v>
      </c>
      <c r="AK2618" t="str">
        <f>_xlfn.CONCAT(AG2618,AH2618,AI2618,AJ2618)</f>
        <v>CMBM</v>
      </c>
    </row>
    <row r="2619" spans="1:37" ht="15.75" hidden="1" customHeight="1" x14ac:dyDescent="0.2">
      <c r="A2619" s="1">
        <v>523508</v>
      </c>
      <c r="B2619" s="1" t="s">
        <v>4529</v>
      </c>
      <c r="C2619" s="1" t="s">
        <v>685</v>
      </c>
      <c r="D2619" s="1" t="s">
        <v>175</v>
      </c>
      <c r="E2619" s="1" t="s">
        <v>640</v>
      </c>
      <c r="F2619" s="1" t="s">
        <v>46</v>
      </c>
      <c r="G2619" s="1" t="s">
        <v>4594</v>
      </c>
      <c r="H2619" s="1">
        <v>5885</v>
      </c>
      <c r="I2619" s="1" t="s">
        <v>4595</v>
      </c>
      <c r="J2619" s="1">
        <v>4512</v>
      </c>
      <c r="K2619" s="1" t="s">
        <v>35</v>
      </c>
      <c r="L2619" s="1">
        <v>42</v>
      </c>
      <c r="M2619" s="1" t="str">
        <f>IF(L2619&lt;=45,"Joven","Mayor")</f>
        <v>Joven</v>
      </c>
      <c r="N2619" s="1">
        <v>52</v>
      </c>
      <c r="O2619" s="1" t="s">
        <v>50</v>
      </c>
      <c r="P2619" s="1">
        <v>8.4000000000000005E-2</v>
      </c>
      <c r="Q2619" s="1">
        <v>82.781999999999996</v>
      </c>
      <c r="R2619" s="1">
        <v>-8.8996879999999994</v>
      </c>
      <c r="S2619" s="1">
        <v>5.6779245999999999</v>
      </c>
      <c r="T2619" s="1">
        <v>2.6328130000000001</v>
      </c>
      <c r="U2619" s="1">
        <v>17.189</v>
      </c>
      <c r="V2619" s="1">
        <v>92</v>
      </c>
      <c r="W2619" s="1">
        <v>164</v>
      </c>
      <c r="X2619" s="1">
        <v>1.7826086956521738</v>
      </c>
      <c r="Y2619" s="1">
        <v>93</v>
      </c>
      <c r="Z2619" s="1">
        <v>164</v>
      </c>
      <c r="AA2619" s="1">
        <v>1.7634408602150538</v>
      </c>
      <c r="AB2619" s="1">
        <v>93.786225793302037</v>
      </c>
      <c r="AC2619" s="1">
        <v>163.6431456544683</v>
      </c>
      <c r="AD2619" s="1">
        <v>1.7448526611479791</v>
      </c>
      <c r="AE2619" t="s">
        <v>4817</v>
      </c>
      <c r="AF2619" t="str">
        <f>IF(X2619&lt;$AF$1,"Bajo","Alto")</f>
        <v>Alto</v>
      </c>
      <c r="AG2619" t="str">
        <f>LEFT(AE2619,1)</f>
        <v>C</v>
      </c>
      <c r="AH2619" t="str">
        <f>K2619</f>
        <v>M</v>
      </c>
      <c r="AI2619" t="str">
        <f>LEFT(AF2619,1)</f>
        <v>A</v>
      </c>
      <c r="AJ2619" t="str">
        <f>LEFT(M2619,1)</f>
        <v>J</v>
      </c>
      <c r="AK2619" t="str">
        <f>_xlfn.CONCAT(AG2619,AH2619,AI2619,AJ2619)</f>
        <v>CMAJ</v>
      </c>
    </row>
    <row r="2620" spans="1:37" ht="15.75" hidden="1" customHeight="1" x14ac:dyDescent="0.2">
      <c r="A2620" s="1">
        <v>232503</v>
      </c>
      <c r="B2620" s="1" t="s">
        <v>319</v>
      </c>
      <c r="C2620" s="1" t="s">
        <v>1989</v>
      </c>
      <c r="D2620" s="1" t="s">
        <v>3006</v>
      </c>
      <c r="E2620" s="1" t="s">
        <v>821</v>
      </c>
      <c r="F2620" s="1" t="s">
        <v>63</v>
      </c>
      <c r="G2620" s="1" t="s">
        <v>3008</v>
      </c>
      <c r="H2620" s="1">
        <v>1837</v>
      </c>
      <c r="I2620" s="1" t="s">
        <v>48</v>
      </c>
      <c r="J2620" s="1">
        <v>4</v>
      </c>
      <c r="K2620" s="1" t="s">
        <v>35</v>
      </c>
      <c r="L2620" s="1">
        <v>50</v>
      </c>
      <c r="M2620" s="1" t="str">
        <f>IF(L2620&lt;=45,"Joven","Mayor")</f>
        <v>Mayor</v>
      </c>
      <c r="N2620" s="1">
        <v>46</v>
      </c>
      <c r="O2620" s="1" t="s">
        <v>36</v>
      </c>
      <c r="P2620" s="1">
        <v>0.36</v>
      </c>
      <c r="Q2620" s="1">
        <v>93.38</v>
      </c>
      <c r="R2620" s="1">
        <v>1.1595287000000001</v>
      </c>
      <c r="S2620" s="1">
        <v>-4.9242460000000001</v>
      </c>
      <c r="T2620" s="1">
        <v>-1.7474054999999999</v>
      </c>
      <c r="U2620" s="1">
        <v>1.254</v>
      </c>
      <c r="V2620" s="1">
        <v>91</v>
      </c>
      <c r="W2620" s="1">
        <v>162</v>
      </c>
      <c r="X2620" s="1">
        <v>1.7802197802197801</v>
      </c>
      <c r="Y2620" s="1">
        <v>93</v>
      </c>
      <c r="Z2620" s="1">
        <v>162</v>
      </c>
      <c r="AA2620" s="1">
        <v>1.7419354838709677</v>
      </c>
      <c r="AB2620" s="1">
        <v>92.390865344724716</v>
      </c>
      <c r="AC2620" s="1">
        <v>161.98565207668619</v>
      </c>
      <c r="AD2620" s="1">
        <v>1.7532648002840159</v>
      </c>
      <c r="AE2620" t="s">
        <v>4817</v>
      </c>
      <c r="AF2620" t="str">
        <f>IF(X2620&lt;$AF$1,"Bajo","Alto")</f>
        <v>Alto</v>
      </c>
      <c r="AG2620" t="str">
        <f>LEFT(AE2620,1)</f>
        <v>C</v>
      </c>
      <c r="AH2620" t="str">
        <f>K2620</f>
        <v>M</v>
      </c>
      <c r="AI2620" t="str">
        <f>LEFT(AF2620,1)</f>
        <v>A</v>
      </c>
      <c r="AJ2620" t="str">
        <f>LEFT(M2620,1)</f>
        <v>M</v>
      </c>
      <c r="AK2620" t="str">
        <f>_xlfn.CONCAT(AG2620,AH2620,AI2620,AJ2620)</f>
        <v>CMAM</v>
      </c>
    </row>
    <row r="2621" spans="1:37" ht="15.75" hidden="1" customHeight="1" x14ac:dyDescent="0.2">
      <c r="A2621" s="1">
        <v>294305</v>
      </c>
      <c r="B2621" s="1" t="s">
        <v>3890</v>
      </c>
      <c r="C2621" s="1" t="s">
        <v>1695</v>
      </c>
      <c r="D2621" s="1" t="s">
        <v>4011</v>
      </c>
      <c r="E2621" s="1" t="s">
        <v>665</v>
      </c>
      <c r="F2621" s="1" t="s">
        <v>40</v>
      </c>
      <c r="G2621" s="1" t="s">
        <v>4016</v>
      </c>
      <c r="H2621" s="1">
        <v>720</v>
      </c>
      <c r="I2621" s="1" t="s">
        <v>48</v>
      </c>
      <c r="J2621" s="1">
        <v>4</v>
      </c>
      <c r="K2621" s="1" t="s">
        <v>35</v>
      </c>
      <c r="L2621" s="1">
        <v>46</v>
      </c>
      <c r="M2621" s="1" t="str">
        <f>IF(L2621&lt;=45,"Joven","Mayor")</f>
        <v>Mayor</v>
      </c>
      <c r="N2621" s="1">
        <v>28</v>
      </c>
      <c r="O2621" s="1" t="s">
        <v>36</v>
      </c>
      <c r="P2621" s="1">
        <v>0.39200000000000002</v>
      </c>
      <c r="Q2621" s="1">
        <v>94.375</v>
      </c>
      <c r="R2621" s="1">
        <v>-0.15230468</v>
      </c>
      <c r="S2621" s="1">
        <v>2.8950784000000001</v>
      </c>
      <c r="T2621" s="1">
        <v>-0.13824665999999999</v>
      </c>
      <c r="U2621" s="1">
        <v>11.226000000000001</v>
      </c>
      <c r="V2621" s="1">
        <v>99</v>
      </c>
      <c r="W2621" s="1">
        <v>174</v>
      </c>
      <c r="X2621" s="1">
        <v>1.7575757575757576</v>
      </c>
      <c r="Y2621" s="1">
        <v>102</v>
      </c>
      <c r="Z2621" s="1">
        <v>174</v>
      </c>
      <c r="AA2621" s="1">
        <v>1.7058823529411764</v>
      </c>
      <c r="AB2621" s="1">
        <v>102.10828165123441</v>
      </c>
      <c r="AC2621" s="1">
        <v>173.99225492460801</v>
      </c>
      <c r="AD2621" s="1">
        <v>1.7039974829750215</v>
      </c>
      <c r="AE2621" t="s">
        <v>4817</v>
      </c>
      <c r="AF2621" t="str">
        <f>IF(X2621&lt;$AF$1,"Bajo","Alto")</f>
        <v>Bajo</v>
      </c>
      <c r="AG2621" t="str">
        <f>LEFT(AE2621,1)</f>
        <v>C</v>
      </c>
      <c r="AH2621" t="str">
        <f>K2621</f>
        <v>M</v>
      </c>
      <c r="AI2621" t="str">
        <f>LEFT(AF2621,1)</f>
        <v>B</v>
      </c>
      <c r="AJ2621" t="str">
        <f>LEFT(M2621,1)</f>
        <v>M</v>
      </c>
      <c r="AK2621" t="str">
        <f>_xlfn.CONCAT(AG2621,AH2621,AI2621,AJ2621)</f>
        <v>CMBM</v>
      </c>
    </row>
    <row r="2622" spans="1:37" ht="15.75" hidden="1" customHeight="1" x14ac:dyDescent="0.2">
      <c r="A2622" s="1">
        <v>10912403</v>
      </c>
      <c r="B2622" s="1" t="s">
        <v>719</v>
      </c>
      <c r="C2622" s="1" t="s">
        <v>98</v>
      </c>
      <c r="D2622" s="1" t="s">
        <v>1570</v>
      </c>
      <c r="E2622" s="1" t="s">
        <v>145</v>
      </c>
      <c r="F2622" s="1" t="s">
        <v>63</v>
      </c>
      <c r="G2622" s="1" t="s">
        <v>1573</v>
      </c>
      <c r="H2622" s="1">
        <v>4741</v>
      </c>
      <c r="I2622" s="1" t="s">
        <v>1574</v>
      </c>
      <c r="J2622" s="1">
        <v>3439</v>
      </c>
      <c r="K2622" s="1" t="s">
        <v>35</v>
      </c>
      <c r="L2622" s="1">
        <v>40</v>
      </c>
      <c r="M2622" s="1" t="str">
        <f>IF(L2622&lt;=45,"Joven","Mayor")</f>
        <v>Joven</v>
      </c>
      <c r="N2622" s="1">
        <v>44</v>
      </c>
      <c r="O2622" s="1" t="s">
        <v>36</v>
      </c>
      <c r="P2622" s="1">
        <v>0.33700000000000002</v>
      </c>
      <c r="Q2622" s="1">
        <v>93.144000000000005</v>
      </c>
      <c r="R2622" s="1">
        <v>1.9523915999999999</v>
      </c>
      <c r="S2622" s="1">
        <v>4.0443935</v>
      </c>
      <c r="T2622" s="1">
        <v>0.84638990000000003</v>
      </c>
      <c r="U2622" s="1">
        <v>31.628</v>
      </c>
      <c r="V2622" s="1">
        <v>110</v>
      </c>
      <c r="W2622" s="1">
        <v>196</v>
      </c>
      <c r="X2622" s="1">
        <v>1.7818181818181817</v>
      </c>
      <c r="Y2622" s="1">
        <v>110</v>
      </c>
      <c r="Z2622" s="1">
        <v>196</v>
      </c>
      <c r="AA2622" s="1">
        <v>1.7818181818181817</v>
      </c>
      <c r="AB2622" s="1">
        <v>110.77090100916141</v>
      </c>
      <c r="AC2622" s="1">
        <v>196.00815827983021</v>
      </c>
      <c r="AD2622" s="1">
        <v>1.7694914142083145</v>
      </c>
      <c r="AE2622" t="s">
        <v>4817</v>
      </c>
      <c r="AF2622" t="str">
        <f>IF(X2622&lt;$AF$1,"Bajo","Alto")</f>
        <v>Alto</v>
      </c>
      <c r="AG2622" t="str">
        <f>LEFT(AE2622,1)</f>
        <v>C</v>
      </c>
      <c r="AH2622" t="str">
        <f>K2622</f>
        <v>M</v>
      </c>
      <c r="AI2622" t="str">
        <f>LEFT(AF2622,1)</f>
        <v>A</v>
      </c>
      <c r="AJ2622" t="str">
        <f>LEFT(M2622,1)</f>
        <v>J</v>
      </c>
      <c r="AK2622" t="str">
        <f>_xlfn.CONCAT(AG2622,AH2622,AI2622,AJ2622)</f>
        <v>CMAJ</v>
      </c>
    </row>
    <row r="2623" spans="1:37" ht="15.75" hidden="1" customHeight="1" x14ac:dyDescent="0.2">
      <c r="A2623" s="1">
        <v>520110</v>
      </c>
      <c r="B2623" s="1" t="s">
        <v>4529</v>
      </c>
      <c r="C2623" s="1" t="s">
        <v>685</v>
      </c>
      <c r="D2623" s="1" t="s">
        <v>4530</v>
      </c>
      <c r="E2623" s="1" t="s">
        <v>32</v>
      </c>
      <c r="F2623" s="1" t="s">
        <v>75</v>
      </c>
      <c r="G2623" s="1" t="s">
        <v>4535</v>
      </c>
      <c r="H2623" s="1">
        <v>44603</v>
      </c>
      <c r="I2623" s="1" t="s">
        <v>4536</v>
      </c>
      <c r="J2623" s="1">
        <v>543</v>
      </c>
      <c r="K2623" s="1" t="s">
        <v>35</v>
      </c>
      <c r="L2623" s="1">
        <v>47</v>
      </c>
      <c r="M2623" s="1" t="str">
        <f>IF(L2623&lt;=45,"Joven","Mayor")</f>
        <v>Mayor</v>
      </c>
      <c r="N2623" s="1">
        <v>51</v>
      </c>
      <c r="O2623" s="1" t="s">
        <v>36</v>
      </c>
      <c r="P2623" s="1">
        <v>0.377</v>
      </c>
      <c r="Q2623" s="1">
        <v>93.308000000000007</v>
      </c>
      <c r="R2623" s="1">
        <v>-0.25606122999999997</v>
      </c>
      <c r="S2623" s="1">
        <v>6.7255153999999999</v>
      </c>
      <c r="T2623" s="1">
        <v>-1.4361748000000001</v>
      </c>
      <c r="U2623" s="1">
        <v>3.944</v>
      </c>
      <c r="V2623" s="1">
        <v>95</v>
      </c>
      <c r="W2623" s="1">
        <v>167</v>
      </c>
      <c r="X2623" s="1">
        <v>1.7578947368421052</v>
      </c>
      <c r="Y2623" s="1">
        <v>104</v>
      </c>
      <c r="Z2623" s="1">
        <v>167</v>
      </c>
      <c r="AA2623" s="1">
        <v>1.6057692307692308</v>
      </c>
      <c r="AB2623" s="1">
        <v>104.9949274587416</v>
      </c>
      <c r="AC2623" s="1">
        <v>166.79715929665011</v>
      </c>
      <c r="AD2623" s="1">
        <v>1.5886211204078795</v>
      </c>
      <c r="AE2623" t="s">
        <v>4817</v>
      </c>
      <c r="AF2623" t="str">
        <f>IF(X2623&lt;$AF$1,"Bajo","Alto")</f>
        <v>Bajo</v>
      </c>
      <c r="AG2623" t="str">
        <f>LEFT(AE2623,1)</f>
        <v>C</v>
      </c>
      <c r="AH2623" t="str">
        <f>K2623</f>
        <v>M</v>
      </c>
      <c r="AI2623" t="str">
        <f>LEFT(AF2623,1)</f>
        <v>B</v>
      </c>
      <c r="AJ2623" t="str">
        <f>LEFT(M2623,1)</f>
        <v>M</v>
      </c>
      <c r="AK2623" t="str">
        <f>_xlfn.CONCAT(AG2623,AH2623,AI2623,AJ2623)</f>
        <v>CMBM</v>
      </c>
    </row>
    <row r="2624" spans="1:37" ht="15.75" hidden="1" customHeight="1" x14ac:dyDescent="0.2">
      <c r="A2624" s="1">
        <v>2712402</v>
      </c>
      <c r="B2624" s="1" t="s">
        <v>3409</v>
      </c>
      <c r="C2624" s="1" t="s">
        <v>973</v>
      </c>
      <c r="D2624" s="1" t="s">
        <v>3469</v>
      </c>
      <c r="E2624" s="1" t="s">
        <v>145</v>
      </c>
      <c r="F2624" s="1" t="s">
        <v>37</v>
      </c>
      <c r="G2624" s="1" t="s">
        <v>3471</v>
      </c>
      <c r="H2624" s="1">
        <v>407</v>
      </c>
      <c r="I2624" s="1" t="s">
        <v>73</v>
      </c>
      <c r="J2624" s="1">
        <v>5</v>
      </c>
      <c r="K2624" s="1" t="s">
        <v>35</v>
      </c>
      <c r="L2624" s="1">
        <v>55</v>
      </c>
      <c r="M2624" s="1" t="str">
        <f>IF(L2624&lt;=45,"Joven","Mayor")</f>
        <v>Mayor</v>
      </c>
      <c r="N2624" s="1">
        <v>62</v>
      </c>
      <c r="O2624" s="1" t="s">
        <v>36</v>
      </c>
      <c r="P2624" s="1">
        <v>0.36199999999999999</v>
      </c>
      <c r="Q2624" s="1">
        <v>94.605000000000004</v>
      </c>
      <c r="R2624" s="1">
        <v>0.13699140000000001</v>
      </c>
      <c r="S2624" s="1">
        <v>1.7421473000000001</v>
      </c>
      <c r="T2624" s="1">
        <v>-2.6656027</v>
      </c>
      <c r="U2624" s="1">
        <v>0.88</v>
      </c>
      <c r="V2624" s="1">
        <v>100</v>
      </c>
      <c r="W2624" s="1">
        <v>176</v>
      </c>
      <c r="X2624" s="1">
        <v>1.76</v>
      </c>
      <c r="Y2624" s="1">
        <v>101</v>
      </c>
      <c r="Z2624" s="1">
        <v>176</v>
      </c>
      <c r="AA2624" s="1">
        <v>1.7425742574257426</v>
      </c>
      <c r="AB2624" s="1">
        <v>102.98351980394069</v>
      </c>
      <c r="AC2624" s="1">
        <v>175.9025771477495</v>
      </c>
      <c r="AD2624" s="1">
        <v>1.7080653048432564</v>
      </c>
      <c r="AE2624" t="s">
        <v>4817</v>
      </c>
      <c r="AF2624" t="str">
        <f>IF(X2624&lt;$AF$1,"Bajo","Alto")</f>
        <v>Bajo</v>
      </c>
      <c r="AG2624" t="str">
        <f>LEFT(AE2624,1)</f>
        <v>C</v>
      </c>
      <c r="AH2624" t="str">
        <f>K2624</f>
        <v>M</v>
      </c>
      <c r="AI2624" t="str">
        <f>LEFT(AF2624,1)</f>
        <v>B</v>
      </c>
      <c r="AJ2624" t="str">
        <f>LEFT(M2624,1)</f>
        <v>M</v>
      </c>
      <c r="AK2624" t="str">
        <f>_xlfn.CONCAT(AG2624,AH2624,AI2624,AJ2624)</f>
        <v>CMBM</v>
      </c>
    </row>
    <row r="2625" spans="1:37" ht="15.75" hidden="1" customHeight="1" x14ac:dyDescent="0.2">
      <c r="A2625" s="1">
        <v>1034306</v>
      </c>
      <c r="B2625" s="1" t="s">
        <v>783</v>
      </c>
      <c r="C2625" s="1" t="s">
        <v>81</v>
      </c>
      <c r="D2625" s="1" t="s">
        <v>844</v>
      </c>
      <c r="E2625" s="1" t="s">
        <v>665</v>
      </c>
      <c r="F2625" s="1" t="s">
        <v>88</v>
      </c>
      <c r="G2625" s="1" t="s">
        <v>850</v>
      </c>
      <c r="H2625" s="1">
        <v>32</v>
      </c>
      <c r="I2625" s="1" t="s">
        <v>93</v>
      </c>
      <c r="J2625" s="1">
        <v>9</v>
      </c>
      <c r="K2625" s="1" t="s">
        <v>35</v>
      </c>
      <c r="L2625" s="1">
        <v>54</v>
      </c>
      <c r="M2625" s="1" t="str">
        <f>IF(L2625&lt;=45,"Joven","Mayor")</f>
        <v>Mayor</v>
      </c>
      <c r="N2625" s="1">
        <v>60</v>
      </c>
      <c r="O2625" s="1" t="s">
        <v>36</v>
      </c>
      <c r="P2625" s="1">
        <v>0.28999999999999998</v>
      </c>
      <c r="Q2625" s="1">
        <v>91.289000000000001</v>
      </c>
      <c r="R2625" s="1">
        <v>4.6303843999999996</v>
      </c>
      <c r="S2625" s="1">
        <v>-2.7533745999999999</v>
      </c>
      <c r="T2625" s="1">
        <v>-2.8475852000000001</v>
      </c>
      <c r="U2625" s="1">
        <v>0.96499999999999997</v>
      </c>
      <c r="V2625" s="1">
        <v>81</v>
      </c>
      <c r="W2625" s="1">
        <v>142</v>
      </c>
      <c r="X2625" s="1">
        <v>1.7530864197530864</v>
      </c>
      <c r="Y2625" s="1">
        <v>82</v>
      </c>
      <c r="Z2625" s="1">
        <v>142</v>
      </c>
      <c r="AA2625" s="1">
        <v>1.7317073170731707</v>
      </c>
      <c r="AB2625" s="1">
        <v>83.68720229476753</v>
      </c>
      <c r="AC2625" s="1">
        <v>141.72530299916801</v>
      </c>
      <c r="AD2625" s="1">
        <v>1.6935122588992231</v>
      </c>
      <c r="AE2625" t="s">
        <v>4815</v>
      </c>
      <c r="AF2625" t="str">
        <f>IF(X2625&lt;$AF$1,"Bajo","Alto")</f>
        <v>Bajo</v>
      </c>
      <c r="AG2625" t="str">
        <f>LEFT(AE2625,1)</f>
        <v>I</v>
      </c>
      <c r="AH2625" t="str">
        <f>K2625</f>
        <v>M</v>
      </c>
      <c r="AI2625" t="str">
        <f>LEFT(AF2625,1)</f>
        <v>B</v>
      </c>
      <c r="AJ2625" t="str">
        <f>LEFT(M2625,1)</f>
        <v>M</v>
      </c>
      <c r="AK2625" t="str">
        <f>_xlfn.CONCAT(AG2625,AH2625,AI2625,AJ2625)</f>
        <v>IMBM</v>
      </c>
    </row>
    <row r="2626" spans="1:37" ht="15.75" hidden="1" customHeight="1" x14ac:dyDescent="0.2">
      <c r="A2626" s="1">
        <v>1059513</v>
      </c>
      <c r="B2626" s="1" t="s">
        <v>694</v>
      </c>
      <c r="C2626" s="1" t="s">
        <v>879</v>
      </c>
      <c r="D2626" s="1" t="s">
        <v>1055</v>
      </c>
      <c r="E2626" s="1" t="s">
        <v>1056</v>
      </c>
      <c r="F2626" s="1" t="s">
        <v>163</v>
      </c>
      <c r="G2626" s="1" t="s">
        <v>1059</v>
      </c>
      <c r="H2626" s="1">
        <v>150</v>
      </c>
      <c r="I2626" s="1" t="s">
        <v>91</v>
      </c>
      <c r="J2626" s="1">
        <v>6</v>
      </c>
      <c r="K2626" s="1" t="s">
        <v>35</v>
      </c>
      <c r="L2626" s="1">
        <v>50</v>
      </c>
      <c r="M2626" s="1" t="str">
        <f>IF(L2626&lt;=45,"Joven","Mayor")</f>
        <v>Mayor</v>
      </c>
      <c r="N2626" s="1">
        <v>46</v>
      </c>
      <c r="O2626" s="1" t="s">
        <v>36</v>
      </c>
      <c r="P2626" s="1">
        <v>0.35899999999999999</v>
      </c>
      <c r="Q2626" s="1">
        <v>90.777000000000001</v>
      </c>
      <c r="R2626" s="1">
        <v>5.6547890000000001</v>
      </c>
      <c r="S2626" s="1">
        <v>-0.1653512</v>
      </c>
      <c r="T2626" s="1">
        <v>-4.6918597000000002</v>
      </c>
      <c r="U2626" s="1">
        <v>0.56100000000000005</v>
      </c>
      <c r="V2626" s="1">
        <v>100</v>
      </c>
      <c r="W2626" s="1">
        <v>178</v>
      </c>
      <c r="X2626" s="1">
        <v>1.78</v>
      </c>
      <c r="Y2626" s="1">
        <v>104</v>
      </c>
      <c r="Z2626" s="1">
        <v>178</v>
      </c>
      <c r="AA2626" s="1">
        <v>1.7115384615384615</v>
      </c>
      <c r="AB2626" s="1">
        <v>107.5777495947686</v>
      </c>
      <c r="AC2626" s="1">
        <v>177.2399314142958</v>
      </c>
      <c r="AD2626" s="1">
        <v>1.6475519527219669</v>
      </c>
      <c r="AE2626" t="s">
        <v>4817</v>
      </c>
      <c r="AF2626" t="str">
        <f>IF(X2626&lt;$AF$1,"Bajo","Alto")</f>
        <v>Alto</v>
      </c>
      <c r="AG2626" t="str">
        <f>LEFT(AE2626,1)</f>
        <v>C</v>
      </c>
      <c r="AH2626" t="str">
        <f>K2626</f>
        <v>M</v>
      </c>
      <c r="AI2626" t="str">
        <f>LEFT(AF2626,1)</f>
        <v>A</v>
      </c>
      <c r="AJ2626" t="str">
        <f>LEFT(M2626,1)</f>
        <v>M</v>
      </c>
      <c r="AK2626" t="str">
        <f>_xlfn.CONCAT(AG2626,AH2626,AI2626,AJ2626)</f>
        <v>CMAM</v>
      </c>
    </row>
    <row r="2627" spans="1:37" ht="15.75" hidden="1" customHeight="1" x14ac:dyDescent="0.2">
      <c r="A2627" s="1">
        <v>1053704</v>
      </c>
      <c r="B2627" s="1" t="s">
        <v>694</v>
      </c>
      <c r="C2627" s="1" t="s">
        <v>879</v>
      </c>
      <c r="D2627" s="1" t="s">
        <v>982</v>
      </c>
      <c r="E2627" s="1" t="s">
        <v>647</v>
      </c>
      <c r="F2627" s="1" t="s">
        <v>61</v>
      </c>
      <c r="G2627" s="1" t="s">
        <v>983</v>
      </c>
      <c r="H2627" s="1">
        <v>379</v>
      </c>
      <c r="I2627" s="1" t="s">
        <v>65</v>
      </c>
      <c r="J2627" s="1">
        <v>2</v>
      </c>
      <c r="K2627" s="1" t="s">
        <v>35</v>
      </c>
      <c r="L2627" s="1">
        <v>46</v>
      </c>
      <c r="M2627" s="1" t="str">
        <f>IF(L2627&lt;=45,"Joven","Mayor")</f>
        <v>Mayor</v>
      </c>
      <c r="N2627" s="1">
        <v>54</v>
      </c>
      <c r="O2627" s="1" t="s">
        <v>36</v>
      </c>
      <c r="P2627" s="1">
        <v>0.35299999999999998</v>
      </c>
      <c r="Q2627" s="1">
        <v>92.091999999999999</v>
      </c>
      <c r="R2627" s="1">
        <v>2.4261455999999999</v>
      </c>
      <c r="S2627" s="1">
        <v>-6.2652086999999996</v>
      </c>
      <c r="T2627" s="1">
        <v>-1.6243578000000001</v>
      </c>
      <c r="U2627" s="1">
        <v>1.264</v>
      </c>
      <c r="V2627" s="1">
        <v>77</v>
      </c>
      <c r="W2627" s="1">
        <v>137</v>
      </c>
      <c r="X2627" s="1">
        <v>1.7792207792207793</v>
      </c>
      <c r="Y2627" s="1">
        <v>81</v>
      </c>
      <c r="Z2627" s="1">
        <v>137</v>
      </c>
      <c r="AA2627" s="1">
        <v>1.691358024691358</v>
      </c>
      <c r="AB2627" s="1">
        <v>81.817848346555138</v>
      </c>
      <c r="AC2627" s="1">
        <v>136.88825398587369</v>
      </c>
      <c r="AD2627" s="1">
        <v>1.6730854789294547</v>
      </c>
      <c r="AE2627" t="s">
        <v>4817</v>
      </c>
      <c r="AF2627" t="str">
        <f>IF(X2627&lt;$AF$1,"Bajo","Alto")</f>
        <v>Alto</v>
      </c>
      <c r="AG2627" t="str">
        <f>LEFT(AE2627,1)</f>
        <v>C</v>
      </c>
      <c r="AH2627" t="str">
        <f>K2627</f>
        <v>M</v>
      </c>
      <c r="AI2627" t="str">
        <f>LEFT(AF2627,1)</f>
        <v>A</v>
      </c>
      <c r="AJ2627" t="str">
        <f>LEFT(M2627,1)</f>
        <v>M</v>
      </c>
      <c r="AK2627" t="str">
        <f>_xlfn.CONCAT(AG2627,AH2627,AI2627,AJ2627)</f>
        <v>CMAM</v>
      </c>
    </row>
    <row r="2628" spans="1:37" ht="15.75" hidden="1" customHeight="1" x14ac:dyDescent="0.2">
      <c r="A2628" s="1">
        <v>1517501</v>
      </c>
      <c r="B2628" s="1" t="s">
        <v>2077</v>
      </c>
      <c r="C2628" s="1" t="s">
        <v>57</v>
      </c>
      <c r="D2628" s="1" t="s">
        <v>2199</v>
      </c>
      <c r="E2628" s="1" t="s">
        <v>296</v>
      </c>
      <c r="F2628" s="1" t="s">
        <v>32</v>
      </c>
      <c r="G2628" s="1" t="s">
        <v>2200</v>
      </c>
      <c r="H2628" s="1">
        <v>1984</v>
      </c>
      <c r="I2628" s="1" t="s">
        <v>2201</v>
      </c>
      <c r="J2628" s="1">
        <v>2281</v>
      </c>
      <c r="K2628" s="1" t="s">
        <v>35</v>
      </c>
      <c r="L2628" s="1">
        <v>39</v>
      </c>
      <c r="M2628" s="1" t="str">
        <f>IF(L2628&lt;=45,"Joven","Mayor")</f>
        <v>Joven</v>
      </c>
      <c r="N2628" s="1">
        <v>46</v>
      </c>
      <c r="O2628" s="1" t="s">
        <v>36</v>
      </c>
      <c r="P2628" s="1">
        <v>1.1639999999999999</v>
      </c>
      <c r="Q2628" s="1">
        <v>88.537999999999997</v>
      </c>
      <c r="R2628" s="1">
        <v>5.6729339999999997</v>
      </c>
      <c r="S2628" s="1">
        <v>-5.7942770000000001</v>
      </c>
      <c r="T2628" s="1">
        <v>-0.6105237</v>
      </c>
      <c r="U2628" s="1">
        <v>3.456</v>
      </c>
      <c r="V2628" s="1">
        <v>96</v>
      </c>
      <c r="W2628" s="1">
        <v>171</v>
      </c>
      <c r="X2628" s="1">
        <v>1.78125</v>
      </c>
      <c r="Y2628" s="1">
        <v>104</v>
      </c>
      <c r="Z2628" s="1">
        <v>171</v>
      </c>
      <c r="AA2628" s="1">
        <v>1.6442307692307692</v>
      </c>
      <c r="AB2628" s="1">
        <v>104.3883473697158</v>
      </c>
      <c r="AC2628" s="1">
        <v>170.89439315445949</v>
      </c>
      <c r="AD2628" s="1">
        <v>1.6371022002024511</v>
      </c>
      <c r="AE2628" t="s">
        <v>4817</v>
      </c>
      <c r="AF2628" t="str">
        <f>IF(X2628&lt;$AF$1,"Bajo","Alto")</f>
        <v>Alto</v>
      </c>
      <c r="AG2628" t="str">
        <f>LEFT(AE2628,1)</f>
        <v>C</v>
      </c>
      <c r="AH2628" t="str">
        <f>K2628</f>
        <v>M</v>
      </c>
      <c r="AI2628" t="str">
        <f>LEFT(AF2628,1)</f>
        <v>A</v>
      </c>
      <c r="AJ2628" t="str">
        <f>LEFT(M2628,1)</f>
        <v>J</v>
      </c>
      <c r="AK2628" t="str">
        <f>_xlfn.CONCAT(AG2628,AH2628,AI2628,AJ2628)</f>
        <v>CMAJ</v>
      </c>
    </row>
    <row r="2629" spans="1:37" ht="15.75" hidden="1" customHeight="1" x14ac:dyDescent="0.2">
      <c r="A2629" s="1">
        <v>1514201</v>
      </c>
      <c r="B2629" s="1" t="s">
        <v>2077</v>
      </c>
      <c r="C2629" s="1" t="s">
        <v>57</v>
      </c>
      <c r="D2629" s="1" t="s">
        <v>2164</v>
      </c>
      <c r="E2629" s="1" t="s">
        <v>181</v>
      </c>
      <c r="F2629" s="1" t="s">
        <v>32</v>
      </c>
      <c r="G2629" s="1" t="s">
        <v>2165</v>
      </c>
      <c r="H2629" s="1">
        <v>579</v>
      </c>
      <c r="I2629" s="1" t="s">
        <v>87</v>
      </c>
      <c r="J2629" s="1">
        <v>14</v>
      </c>
      <c r="K2629" s="1" t="s">
        <v>35</v>
      </c>
      <c r="L2629" s="1">
        <v>35</v>
      </c>
      <c r="M2629" s="1" t="str">
        <f>IF(L2629&lt;=45,"Joven","Mayor")</f>
        <v>Joven</v>
      </c>
      <c r="N2629" s="1">
        <v>31</v>
      </c>
      <c r="O2629" s="1" t="s">
        <v>36</v>
      </c>
      <c r="P2629" s="1">
        <v>0.33</v>
      </c>
      <c r="Q2629" s="1">
        <v>93.878</v>
      </c>
      <c r="R2629" s="1">
        <v>2.0897816999999999E-2</v>
      </c>
      <c r="S2629" s="1">
        <v>5.2906810000000002</v>
      </c>
      <c r="T2629" s="1">
        <v>-1.2593292</v>
      </c>
      <c r="U2629" s="1">
        <v>1.61</v>
      </c>
      <c r="V2629" s="1">
        <v>85</v>
      </c>
      <c r="W2629" s="1">
        <v>151</v>
      </c>
      <c r="X2629" s="1">
        <v>1.776470588235294</v>
      </c>
      <c r="Y2629" s="1">
        <v>86</v>
      </c>
      <c r="Z2629" s="1">
        <v>151</v>
      </c>
      <c r="AA2629" s="1">
        <v>1.7558139534883721</v>
      </c>
      <c r="AB2629" s="1">
        <v>86.858334566029953</v>
      </c>
      <c r="AC2629" s="1">
        <v>150.8975947199724</v>
      </c>
      <c r="AD2629" s="1">
        <v>1.7372839978328116</v>
      </c>
      <c r="AE2629" t="s">
        <v>4816</v>
      </c>
      <c r="AF2629" t="str">
        <f>IF(X2629&lt;$AF$1,"Bajo","Alto")</f>
        <v>Alto</v>
      </c>
      <c r="AG2629" t="str">
        <f>LEFT(AE2629,1)</f>
        <v>D</v>
      </c>
      <c r="AH2629" t="str">
        <f>K2629</f>
        <v>M</v>
      </c>
      <c r="AI2629" t="str">
        <f>LEFT(AF2629,1)</f>
        <v>A</v>
      </c>
      <c r="AJ2629" t="str">
        <f>LEFT(M2629,1)</f>
        <v>J</v>
      </c>
      <c r="AK2629" t="str">
        <f>_xlfn.CONCAT(AG2629,AH2629,AI2629,AJ2629)</f>
        <v>DMAJ</v>
      </c>
    </row>
    <row r="2630" spans="1:37" ht="15.75" hidden="1" customHeight="1" x14ac:dyDescent="0.2">
      <c r="A2630" s="1">
        <v>2712004</v>
      </c>
      <c r="B2630" s="1" t="s">
        <v>3409</v>
      </c>
      <c r="C2630" s="1" t="s">
        <v>973</v>
      </c>
      <c r="D2630" s="1" t="s">
        <v>3459</v>
      </c>
      <c r="E2630" s="1" t="s">
        <v>1564</v>
      </c>
      <c r="F2630" s="1" t="s">
        <v>61</v>
      </c>
      <c r="G2630" s="1" t="s">
        <v>3462</v>
      </c>
      <c r="H2630" s="1">
        <v>2355</v>
      </c>
      <c r="I2630" s="1" t="s">
        <v>3463</v>
      </c>
      <c r="J2630" s="1">
        <v>4602</v>
      </c>
      <c r="K2630" s="1" t="s">
        <v>35</v>
      </c>
      <c r="L2630" s="1">
        <v>44</v>
      </c>
      <c r="M2630" s="1" t="str">
        <f>IF(L2630&lt;=45,"Joven","Mayor")</f>
        <v>Joven</v>
      </c>
      <c r="N2630" s="1">
        <v>45</v>
      </c>
      <c r="O2630" s="1" t="s">
        <v>36</v>
      </c>
      <c r="P2630" s="1">
        <v>0.24299999999999999</v>
      </c>
      <c r="Q2630" s="1">
        <v>90.801000000000002</v>
      </c>
      <c r="R2630" s="1">
        <v>4.9324409999999999</v>
      </c>
      <c r="S2630" s="1">
        <v>3.3306794000000002</v>
      </c>
      <c r="T2630" s="1">
        <v>-1.0350779999999999</v>
      </c>
      <c r="U2630" s="1">
        <v>4.88</v>
      </c>
      <c r="V2630" s="1">
        <v>96</v>
      </c>
      <c r="W2630" s="1">
        <v>171</v>
      </c>
      <c r="X2630" s="1">
        <v>1.78125</v>
      </c>
      <c r="Y2630" s="1">
        <v>96</v>
      </c>
      <c r="Z2630" s="1">
        <v>171</v>
      </c>
      <c r="AA2630" s="1">
        <v>1.78125</v>
      </c>
      <c r="AB2630" s="1">
        <v>96.869497290396339</v>
      </c>
      <c r="AC2630" s="1">
        <v>170.99016126050719</v>
      </c>
      <c r="AD2630" s="1">
        <v>1.7651599940475711</v>
      </c>
      <c r="AE2630" t="s">
        <v>4817</v>
      </c>
      <c r="AF2630" t="str">
        <f>IF(X2630&lt;$AF$1,"Bajo","Alto")</f>
        <v>Alto</v>
      </c>
      <c r="AG2630" t="str">
        <f>LEFT(AE2630,1)</f>
        <v>C</v>
      </c>
      <c r="AH2630" t="str">
        <f>K2630</f>
        <v>M</v>
      </c>
      <c r="AI2630" t="str">
        <f>LEFT(AF2630,1)</f>
        <v>A</v>
      </c>
      <c r="AJ2630" t="str">
        <f>LEFT(M2630,1)</f>
        <v>J</v>
      </c>
      <c r="AK2630" t="str">
        <f>_xlfn.CONCAT(AG2630,AH2630,AI2630,AJ2630)</f>
        <v>CMAJ</v>
      </c>
    </row>
    <row r="2631" spans="1:37" ht="15.75" hidden="1" customHeight="1" x14ac:dyDescent="0.2">
      <c r="A2631" s="1">
        <v>1526801</v>
      </c>
      <c r="B2631" s="1" t="s">
        <v>2077</v>
      </c>
      <c r="C2631" s="1" t="s">
        <v>57</v>
      </c>
      <c r="D2631" s="1" t="s">
        <v>2324</v>
      </c>
      <c r="E2631" s="1" t="s">
        <v>537</v>
      </c>
      <c r="F2631" s="1" t="s">
        <v>32</v>
      </c>
      <c r="G2631" s="1" t="s">
        <v>2325</v>
      </c>
      <c r="H2631" s="1">
        <v>186</v>
      </c>
      <c r="I2631" s="1" t="s">
        <v>134</v>
      </c>
      <c r="J2631" s="1">
        <v>8</v>
      </c>
      <c r="K2631" s="1" t="s">
        <v>35</v>
      </c>
      <c r="L2631" s="1">
        <v>63</v>
      </c>
      <c r="M2631" s="1" t="str">
        <f>IF(L2631&lt;=45,"Joven","Mayor")</f>
        <v>Mayor</v>
      </c>
      <c r="N2631" s="1">
        <v>45</v>
      </c>
      <c r="O2631" s="1" t="s">
        <v>36</v>
      </c>
      <c r="P2631" s="1">
        <v>0.98899999999999999</v>
      </c>
      <c r="Q2631" s="1">
        <v>91.317999999999998</v>
      </c>
      <c r="R2631" s="1">
        <v>3.2338697999999999</v>
      </c>
      <c r="S2631" s="1">
        <v>6.0047436000000003</v>
      </c>
      <c r="T2631" s="1">
        <v>-3.9799745</v>
      </c>
      <c r="U2631" s="1">
        <v>3.7370000000000001</v>
      </c>
      <c r="V2631" s="1">
        <v>86</v>
      </c>
      <c r="W2631" s="1">
        <v>153</v>
      </c>
      <c r="X2631" s="1">
        <v>1.7790697674418605</v>
      </c>
      <c r="Y2631" s="1">
        <v>91</v>
      </c>
      <c r="Z2631" s="1">
        <v>153</v>
      </c>
      <c r="AA2631" s="1">
        <v>1.6813186813186813</v>
      </c>
      <c r="AB2631" s="1">
        <v>88.985359076808663</v>
      </c>
      <c r="AC2631" s="1">
        <v>153.18628308637341</v>
      </c>
      <c r="AD2631" s="1">
        <v>1.7214773831968138</v>
      </c>
      <c r="AE2631" t="s">
        <v>4817</v>
      </c>
      <c r="AF2631" t="str">
        <f>IF(X2631&lt;$AF$1,"Bajo","Alto")</f>
        <v>Alto</v>
      </c>
      <c r="AG2631" t="str">
        <f>LEFT(AE2631,1)</f>
        <v>C</v>
      </c>
      <c r="AH2631" t="str">
        <f>K2631</f>
        <v>M</v>
      </c>
      <c r="AI2631" t="str">
        <f>LEFT(AF2631,1)</f>
        <v>A</v>
      </c>
      <c r="AJ2631" t="str">
        <f>LEFT(M2631,1)</f>
        <v>M</v>
      </c>
      <c r="AK2631" t="str">
        <f>_xlfn.CONCAT(AG2631,AH2631,AI2631,AJ2631)</f>
        <v>CMAM</v>
      </c>
    </row>
    <row r="2632" spans="1:37" ht="15.75" hidden="1" customHeight="1" x14ac:dyDescent="0.2">
      <c r="A2632" s="1">
        <v>253401</v>
      </c>
      <c r="B2632" s="1" t="s">
        <v>3169</v>
      </c>
      <c r="C2632" s="1" t="s">
        <v>821</v>
      </c>
      <c r="D2632" s="1" t="s">
        <v>3226</v>
      </c>
      <c r="E2632" s="1" t="s">
        <v>634</v>
      </c>
      <c r="F2632" s="1" t="s">
        <v>32</v>
      </c>
      <c r="G2632" s="1" t="s">
        <v>3227</v>
      </c>
      <c r="H2632" s="1">
        <v>91</v>
      </c>
      <c r="I2632" s="1" t="s">
        <v>294</v>
      </c>
      <c r="J2632" s="1">
        <v>16</v>
      </c>
      <c r="K2632" s="1" t="s">
        <v>35</v>
      </c>
      <c r="L2632" s="1">
        <v>31</v>
      </c>
      <c r="M2632" s="1" t="str">
        <f>IF(L2632&lt;=45,"Joven","Mayor")</f>
        <v>Joven</v>
      </c>
      <c r="N2632" s="1">
        <v>33</v>
      </c>
      <c r="O2632" s="1" t="s">
        <v>36</v>
      </c>
      <c r="P2632" s="1">
        <v>0.47899999999999998</v>
      </c>
      <c r="Q2632" s="1">
        <v>92.537999999999997</v>
      </c>
      <c r="R2632" s="1">
        <v>1.8012744000000001</v>
      </c>
      <c r="S2632" s="1">
        <v>6.1902299999999997</v>
      </c>
      <c r="T2632" s="1">
        <v>-0.98300019999999999</v>
      </c>
      <c r="U2632" s="1">
        <v>29.768999999999998</v>
      </c>
      <c r="V2632" s="1">
        <v>95</v>
      </c>
      <c r="W2632" s="1">
        <v>167</v>
      </c>
      <c r="X2632" s="1">
        <v>1.7578947368421052</v>
      </c>
      <c r="Y2632" s="1">
        <v>96</v>
      </c>
      <c r="Z2632" s="1">
        <v>167</v>
      </c>
      <c r="AA2632" s="1">
        <v>1.7395833333333333</v>
      </c>
      <c r="AB2632" s="1">
        <v>95.792338959202198</v>
      </c>
      <c r="AC2632" s="1">
        <v>167.00973399305849</v>
      </c>
      <c r="AD2632" s="1">
        <v>1.743456061389081</v>
      </c>
      <c r="AE2632" t="s">
        <v>4817</v>
      </c>
      <c r="AF2632" t="str">
        <f>IF(X2632&lt;$AF$1,"Bajo","Alto")</f>
        <v>Bajo</v>
      </c>
      <c r="AG2632" t="str">
        <f>LEFT(AE2632,1)</f>
        <v>C</v>
      </c>
      <c r="AH2632" t="str">
        <f>K2632</f>
        <v>M</v>
      </c>
      <c r="AI2632" t="str">
        <f>LEFT(AF2632,1)</f>
        <v>B</v>
      </c>
      <c r="AJ2632" t="str">
        <f>LEFT(M2632,1)</f>
        <v>J</v>
      </c>
      <c r="AK2632" t="str">
        <f>_xlfn.CONCAT(AG2632,AH2632,AI2632,AJ2632)</f>
        <v>CMBJ</v>
      </c>
    </row>
    <row r="2633" spans="1:37" ht="15.75" hidden="1" customHeight="1" x14ac:dyDescent="0.2">
      <c r="A2633" s="1">
        <v>272802</v>
      </c>
      <c r="B2633" s="1" t="s">
        <v>3409</v>
      </c>
      <c r="C2633" s="1" t="s">
        <v>973</v>
      </c>
      <c r="D2633" s="1" t="s">
        <v>3661</v>
      </c>
      <c r="E2633" s="1" t="s">
        <v>561</v>
      </c>
      <c r="F2633" s="1" t="s">
        <v>37</v>
      </c>
      <c r="G2633" s="1" t="s">
        <v>3662</v>
      </c>
      <c r="H2633" s="1">
        <v>683</v>
      </c>
      <c r="I2633" s="1" t="s">
        <v>65</v>
      </c>
      <c r="J2633" s="1">
        <v>2</v>
      </c>
      <c r="K2633" s="1" t="s">
        <v>35</v>
      </c>
      <c r="L2633" s="1">
        <v>44</v>
      </c>
      <c r="M2633" s="1" t="str">
        <f>IF(L2633&lt;=45,"Joven","Mayor")</f>
        <v>Joven</v>
      </c>
      <c r="N2633" s="1">
        <v>46</v>
      </c>
      <c r="O2633" s="1" t="s">
        <v>36</v>
      </c>
      <c r="P2633" s="1">
        <v>6.4000000000000001E-2</v>
      </c>
      <c r="Q2633" s="1">
        <v>84.194000000000003</v>
      </c>
      <c r="R2633" s="1">
        <v>-8.5548570000000002</v>
      </c>
      <c r="S2633" s="1">
        <v>4.7738943000000003</v>
      </c>
      <c r="T2633" s="1">
        <v>-2.0144340000000001</v>
      </c>
      <c r="U2633" s="1">
        <v>92.620999999999995</v>
      </c>
      <c r="V2633" s="1">
        <v>96</v>
      </c>
      <c r="W2633" s="1">
        <v>171</v>
      </c>
      <c r="X2633" s="1">
        <v>1.78125</v>
      </c>
      <c r="Y2633" s="1">
        <v>106</v>
      </c>
      <c r="Z2633" s="1">
        <v>171</v>
      </c>
      <c r="AA2633" s="1">
        <v>1.6132075471698113</v>
      </c>
      <c r="AB2633" s="1">
        <v>104.5635931048505</v>
      </c>
      <c r="AC2633" s="1">
        <v>171.45674278805291</v>
      </c>
      <c r="AD2633" s="1">
        <v>1.6397365248928057</v>
      </c>
      <c r="AE2633" t="s">
        <v>4817</v>
      </c>
      <c r="AF2633" t="str">
        <f>IF(X2633&lt;$AF$1,"Bajo","Alto")</f>
        <v>Alto</v>
      </c>
      <c r="AG2633" t="str">
        <f>LEFT(AE2633,1)</f>
        <v>C</v>
      </c>
      <c r="AH2633" t="str">
        <f>K2633</f>
        <v>M</v>
      </c>
      <c r="AI2633" t="str">
        <f>LEFT(AF2633,1)</f>
        <v>A</v>
      </c>
      <c r="AJ2633" t="str">
        <f>LEFT(M2633,1)</f>
        <v>J</v>
      </c>
      <c r="AK2633" t="str">
        <f>_xlfn.CONCAT(AG2633,AH2633,AI2633,AJ2633)</f>
        <v>CMAJ</v>
      </c>
    </row>
    <row r="2634" spans="1:37" ht="15.75" hidden="1" customHeight="1" x14ac:dyDescent="0.2">
      <c r="A2634" s="1">
        <v>1010702</v>
      </c>
      <c r="B2634" s="1" t="s">
        <v>29</v>
      </c>
      <c r="C2634" s="1" t="s">
        <v>30</v>
      </c>
      <c r="D2634" s="1" t="s">
        <v>67</v>
      </c>
      <c r="E2634" s="1" t="s">
        <v>43</v>
      </c>
      <c r="F2634" s="1" t="s">
        <v>37</v>
      </c>
      <c r="G2634" s="1" t="s">
        <v>68</v>
      </c>
      <c r="H2634" s="1">
        <v>762</v>
      </c>
      <c r="I2634" s="1" t="s">
        <v>65</v>
      </c>
      <c r="J2634" s="1">
        <v>2</v>
      </c>
      <c r="K2634" s="1" t="s">
        <v>35</v>
      </c>
      <c r="L2634" s="1">
        <v>31</v>
      </c>
      <c r="M2634" s="1" t="str">
        <f>IF(L2634&lt;=45,"Joven","Mayor")</f>
        <v>Joven</v>
      </c>
      <c r="N2634" s="1">
        <v>34</v>
      </c>
      <c r="O2634" s="1" t="s">
        <v>36</v>
      </c>
      <c r="P2634" s="1">
        <v>0.34300000000000003</v>
      </c>
      <c r="Q2634" s="1">
        <v>87.635999999999996</v>
      </c>
      <c r="R2634" s="1">
        <v>7.7343060000000001</v>
      </c>
      <c r="S2634" s="1">
        <v>-0.25431952000000002</v>
      </c>
      <c r="T2634" s="1">
        <v>-1.9441965999999999</v>
      </c>
      <c r="U2634" s="1">
        <v>1.6220000000000001</v>
      </c>
      <c r="V2634" s="1">
        <v>112</v>
      </c>
      <c r="W2634" s="1">
        <v>197</v>
      </c>
      <c r="X2634" s="1">
        <v>1.7589285714285714</v>
      </c>
      <c r="Y2634" s="1">
        <v>116</v>
      </c>
      <c r="Z2634" s="1">
        <v>197</v>
      </c>
      <c r="AA2634" s="1">
        <v>1.6982758620689655</v>
      </c>
      <c r="AB2634" s="1">
        <v>114.3386961782703</v>
      </c>
      <c r="AC2634" s="1">
        <v>196.9883740276191</v>
      </c>
      <c r="AD2634" s="1">
        <v>1.7228495742201415</v>
      </c>
      <c r="AE2634" t="s">
        <v>4817</v>
      </c>
      <c r="AF2634" t="str">
        <f>IF(X2634&lt;$AF$1,"Bajo","Alto")</f>
        <v>Bajo</v>
      </c>
      <c r="AG2634" t="str">
        <f>LEFT(AE2634,1)</f>
        <v>C</v>
      </c>
      <c r="AH2634" t="str">
        <f>K2634</f>
        <v>M</v>
      </c>
      <c r="AI2634" t="str">
        <f>LEFT(AF2634,1)</f>
        <v>B</v>
      </c>
      <c r="AJ2634" t="str">
        <f>LEFT(M2634,1)</f>
        <v>J</v>
      </c>
      <c r="AK2634" t="str">
        <f>_xlfn.CONCAT(AG2634,AH2634,AI2634,AJ2634)</f>
        <v>CMBJ</v>
      </c>
    </row>
    <row r="2635" spans="1:37" ht="15.75" hidden="1" customHeight="1" x14ac:dyDescent="0.2">
      <c r="A2635" s="1">
        <v>195802</v>
      </c>
      <c r="B2635" s="1" t="s">
        <v>2656</v>
      </c>
      <c r="C2635" s="1" t="s">
        <v>323</v>
      </c>
      <c r="D2635" s="1" t="s">
        <v>2756</v>
      </c>
      <c r="E2635" s="1" t="s">
        <v>695</v>
      </c>
      <c r="F2635" s="1" t="s">
        <v>37</v>
      </c>
      <c r="G2635" s="1" t="s">
        <v>2758</v>
      </c>
      <c r="H2635" s="1">
        <v>741</v>
      </c>
      <c r="I2635" s="1" t="s">
        <v>39</v>
      </c>
      <c r="J2635" s="1">
        <v>11</v>
      </c>
      <c r="K2635" s="1" t="s">
        <v>35</v>
      </c>
      <c r="L2635" s="1">
        <v>38</v>
      </c>
      <c r="M2635" s="1" t="str">
        <f>IF(L2635&lt;=45,"Joven","Mayor")</f>
        <v>Joven</v>
      </c>
      <c r="N2635" s="1">
        <v>41</v>
      </c>
      <c r="O2635" s="1" t="s">
        <v>36</v>
      </c>
      <c r="P2635" s="1">
        <v>3.5000000000000003E-2</v>
      </c>
      <c r="Q2635" s="1">
        <v>81.787000000000006</v>
      </c>
      <c r="R2635" s="1">
        <v>9.3792469999999994</v>
      </c>
      <c r="S2635" s="1">
        <v>5.2501829999999998</v>
      </c>
      <c r="T2635" s="1">
        <v>-5.5152923E-2</v>
      </c>
      <c r="U2635" s="1">
        <v>34.828000000000003</v>
      </c>
      <c r="V2635" s="1">
        <v>103</v>
      </c>
      <c r="W2635" s="1">
        <v>181</v>
      </c>
      <c r="X2635" s="1">
        <v>1.7572815533980584</v>
      </c>
      <c r="Y2635" s="1">
        <v>104</v>
      </c>
      <c r="Z2635" s="1">
        <v>181</v>
      </c>
      <c r="AA2635" s="1">
        <v>1.7403846153846154</v>
      </c>
      <c r="AB2635" s="1">
        <v>103.9498966194692</v>
      </c>
      <c r="AC2635" s="1">
        <v>180.99799094290211</v>
      </c>
      <c r="AD2635" s="1">
        <v>1.7412041457384408</v>
      </c>
      <c r="AE2635" t="s">
        <v>4816</v>
      </c>
      <c r="AF2635" t="str">
        <f>IF(X2635&lt;$AF$1,"Bajo","Alto")</f>
        <v>Bajo</v>
      </c>
      <c r="AG2635" t="str">
        <f>LEFT(AE2635,1)</f>
        <v>D</v>
      </c>
      <c r="AH2635" t="str">
        <f>K2635</f>
        <v>M</v>
      </c>
      <c r="AI2635" t="str">
        <f>LEFT(AF2635,1)</f>
        <v>B</v>
      </c>
      <c r="AJ2635" t="str">
        <f>LEFT(M2635,1)</f>
        <v>J</v>
      </c>
      <c r="AK2635" t="str">
        <f>_xlfn.CONCAT(AG2635,AH2635,AI2635,AJ2635)</f>
        <v>DMBJ</v>
      </c>
    </row>
    <row r="2636" spans="1:37" ht="15.75" hidden="1" customHeight="1" x14ac:dyDescent="0.2">
      <c r="A2636" s="1">
        <v>1090102</v>
      </c>
      <c r="B2636" s="1" t="s">
        <v>719</v>
      </c>
      <c r="C2636" s="1" t="s">
        <v>98</v>
      </c>
      <c r="D2636" s="1" t="s">
        <v>1532</v>
      </c>
      <c r="E2636" s="1" t="s">
        <v>32</v>
      </c>
      <c r="F2636" s="1" t="s">
        <v>37</v>
      </c>
      <c r="G2636" s="1" t="s">
        <v>1534</v>
      </c>
      <c r="H2636" s="1">
        <v>75697</v>
      </c>
      <c r="I2636" s="1" t="s">
        <v>48</v>
      </c>
      <c r="J2636" s="1">
        <v>4</v>
      </c>
      <c r="K2636" s="1" t="s">
        <v>35</v>
      </c>
      <c r="L2636" s="1">
        <v>28</v>
      </c>
      <c r="M2636" s="1" t="str">
        <f>IF(L2636&lt;=45,"Joven","Mayor")</f>
        <v>Joven</v>
      </c>
      <c r="N2636" s="1">
        <v>29</v>
      </c>
      <c r="O2636" s="1" t="s">
        <v>36</v>
      </c>
      <c r="P2636" s="1">
        <v>0.99299999999999999</v>
      </c>
      <c r="Q2636" s="1">
        <v>88.402000000000001</v>
      </c>
      <c r="R2636" s="1">
        <v>6.4240279999999998</v>
      </c>
      <c r="S2636" s="1">
        <v>-3.7148192</v>
      </c>
      <c r="T2636" s="1">
        <v>-5.7139160000000002</v>
      </c>
      <c r="U2636" s="1">
        <v>0.90800000000000003</v>
      </c>
      <c r="V2636" s="1">
        <v>82</v>
      </c>
      <c r="W2636" s="1">
        <v>146</v>
      </c>
      <c r="X2636" s="1">
        <v>1.7804878048780488</v>
      </c>
      <c r="Y2636" s="1">
        <v>82</v>
      </c>
      <c r="Z2636" s="1">
        <v>146</v>
      </c>
      <c r="AA2636" s="1">
        <v>1.7804878048780488</v>
      </c>
      <c r="AB2636" s="1">
        <v>85.575033299090137</v>
      </c>
      <c r="AC2636" s="1">
        <v>145.4737098549281</v>
      </c>
      <c r="AD2636" s="1">
        <v>1.6999550481796286</v>
      </c>
      <c r="AE2636" t="s">
        <v>4817</v>
      </c>
      <c r="AF2636" t="str">
        <f>IF(X2636&lt;$AF$1,"Bajo","Alto")</f>
        <v>Alto</v>
      </c>
      <c r="AG2636" t="str">
        <f>LEFT(AE2636,1)</f>
        <v>C</v>
      </c>
      <c r="AH2636" t="str">
        <f>K2636</f>
        <v>M</v>
      </c>
      <c r="AI2636" t="str">
        <f>LEFT(AF2636,1)</f>
        <v>A</v>
      </c>
      <c r="AJ2636" t="str">
        <f>LEFT(M2636,1)</f>
        <v>J</v>
      </c>
      <c r="AK2636" t="str">
        <f>_xlfn.CONCAT(AG2636,AH2636,AI2636,AJ2636)</f>
        <v>CMAJ</v>
      </c>
    </row>
    <row r="2637" spans="1:37" ht="15.75" hidden="1" customHeight="1" x14ac:dyDescent="0.2">
      <c r="A2637" s="1">
        <v>2714802</v>
      </c>
      <c r="B2637" s="1" t="s">
        <v>3409</v>
      </c>
      <c r="C2637" s="1" t="s">
        <v>973</v>
      </c>
      <c r="D2637" s="1" t="s">
        <v>3508</v>
      </c>
      <c r="E2637" s="1" t="s">
        <v>201</v>
      </c>
      <c r="F2637" s="1" t="s">
        <v>37</v>
      </c>
      <c r="G2637" s="1" t="s">
        <v>3511</v>
      </c>
      <c r="H2637" s="1">
        <v>451</v>
      </c>
      <c r="I2637" s="1" t="s">
        <v>3512</v>
      </c>
      <c r="J2637" s="1">
        <v>4230</v>
      </c>
      <c r="K2637" s="1" t="s">
        <v>35</v>
      </c>
      <c r="L2637" s="1">
        <v>36</v>
      </c>
      <c r="M2637" s="1" t="str">
        <f>IF(L2637&lt;=45,"Joven","Mayor")</f>
        <v>Joven</v>
      </c>
      <c r="N2637" s="1">
        <v>41</v>
      </c>
      <c r="O2637" s="1" t="s">
        <v>36</v>
      </c>
      <c r="P2637" s="1">
        <v>0.36399999999999999</v>
      </c>
      <c r="Q2637" s="1">
        <v>92.728999999999999</v>
      </c>
      <c r="R2637" s="1">
        <v>0.86384899999999998</v>
      </c>
      <c r="S2637" s="1">
        <v>7.3863320000000003</v>
      </c>
      <c r="T2637" s="1">
        <v>-4.2290150000000004</v>
      </c>
      <c r="U2637" s="1">
        <v>71.358000000000004</v>
      </c>
      <c r="V2637" s="1">
        <v>83</v>
      </c>
      <c r="W2637" s="1">
        <v>146</v>
      </c>
      <c r="X2637" s="1">
        <v>1.7590361445783131</v>
      </c>
      <c r="Y2637" s="1">
        <v>85</v>
      </c>
      <c r="Z2637" s="1">
        <v>146</v>
      </c>
      <c r="AA2637" s="1">
        <v>1.7176470588235293</v>
      </c>
      <c r="AB2637" s="1">
        <v>86.018715003447141</v>
      </c>
      <c r="AC2637" s="1">
        <v>146.0449395146934</v>
      </c>
      <c r="AD2637" s="1">
        <v>1.6978274961308215</v>
      </c>
      <c r="AE2637" t="s">
        <v>4817</v>
      </c>
      <c r="AF2637" t="str">
        <f>IF(X2637&lt;$AF$1,"Bajo","Alto")</f>
        <v>Bajo</v>
      </c>
      <c r="AG2637" t="str">
        <f>LEFT(AE2637,1)</f>
        <v>C</v>
      </c>
      <c r="AH2637" t="str">
        <f>K2637</f>
        <v>M</v>
      </c>
      <c r="AI2637" t="str">
        <f>LEFT(AF2637,1)</f>
        <v>B</v>
      </c>
      <c r="AJ2637" t="str">
        <f>LEFT(M2637,1)</f>
        <v>J</v>
      </c>
      <c r="AK2637" t="str">
        <f>_xlfn.CONCAT(AG2637,AH2637,AI2637,AJ2637)</f>
        <v>CMBJ</v>
      </c>
    </row>
    <row r="2638" spans="1:37" ht="15.75" hidden="1" customHeight="1" x14ac:dyDescent="0.2">
      <c r="A2638" s="1">
        <v>1034006</v>
      </c>
      <c r="B2638" s="1" t="s">
        <v>783</v>
      </c>
      <c r="C2638" s="1" t="s">
        <v>81</v>
      </c>
      <c r="D2638" s="1" t="s">
        <v>839</v>
      </c>
      <c r="E2638" s="1" t="s">
        <v>657</v>
      </c>
      <c r="F2638" s="1" t="s">
        <v>88</v>
      </c>
      <c r="G2638" s="1" t="s">
        <v>843</v>
      </c>
      <c r="H2638" s="1">
        <v>40</v>
      </c>
      <c r="I2638" s="1" t="s">
        <v>134</v>
      </c>
      <c r="J2638" s="1">
        <v>8</v>
      </c>
      <c r="K2638" s="1" t="s">
        <v>35</v>
      </c>
      <c r="L2638" s="1">
        <v>63</v>
      </c>
      <c r="M2638" s="1" t="str">
        <f>IF(L2638&lt;=45,"Joven","Mayor")</f>
        <v>Mayor</v>
      </c>
      <c r="N2638" s="1">
        <v>56</v>
      </c>
      <c r="O2638" s="1" t="s">
        <v>36</v>
      </c>
      <c r="P2638" s="1">
        <v>0.375</v>
      </c>
      <c r="Q2638" s="1">
        <v>69.855999999999995</v>
      </c>
      <c r="R2638" s="1">
        <v>12.405108</v>
      </c>
      <c r="S2638" s="1">
        <v>5.5004239999999998</v>
      </c>
      <c r="T2638" s="1">
        <v>-8.7160709999999995</v>
      </c>
      <c r="U2638" s="1">
        <v>13.082000000000001</v>
      </c>
      <c r="V2638" s="1">
        <v>95</v>
      </c>
      <c r="W2638" s="1">
        <v>169</v>
      </c>
      <c r="X2638" s="1">
        <v>1.7789473684210526</v>
      </c>
      <c r="Y2638" s="1">
        <v>102</v>
      </c>
      <c r="Z2638" s="1">
        <v>169</v>
      </c>
      <c r="AA2638" s="1">
        <v>1.6568627450980393</v>
      </c>
      <c r="AB2638" s="1">
        <v>101.0251746499403</v>
      </c>
      <c r="AC2638" s="1">
        <v>168.56367085144799</v>
      </c>
      <c r="AD2638" s="1">
        <v>1.668531348107376</v>
      </c>
      <c r="AE2638" t="s">
        <v>4817</v>
      </c>
      <c r="AF2638" t="str">
        <f>IF(X2638&lt;$AF$1,"Bajo","Alto")</f>
        <v>Alto</v>
      </c>
      <c r="AG2638" t="str">
        <f>LEFT(AE2638,1)</f>
        <v>C</v>
      </c>
      <c r="AH2638" t="str">
        <f>K2638</f>
        <v>M</v>
      </c>
      <c r="AI2638" t="str">
        <f>LEFT(AF2638,1)</f>
        <v>A</v>
      </c>
      <c r="AJ2638" t="str">
        <f>LEFT(M2638,1)</f>
        <v>M</v>
      </c>
      <c r="AK2638" t="str">
        <f>_xlfn.CONCAT(AG2638,AH2638,AI2638,AJ2638)</f>
        <v>CMAM</v>
      </c>
    </row>
    <row r="2639" spans="1:37" ht="15.75" hidden="1" customHeight="1" x14ac:dyDescent="0.2">
      <c r="A2639" s="1">
        <v>113706</v>
      </c>
      <c r="B2639" s="1" t="s">
        <v>1648</v>
      </c>
      <c r="C2639" s="1" t="s">
        <v>51</v>
      </c>
      <c r="D2639" s="1" t="s">
        <v>1706</v>
      </c>
      <c r="E2639" s="1" t="s">
        <v>647</v>
      </c>
      <c r="F2639" s="1" t="s">
        <v>88</v>
      </c>
      <c r="G2639" s="1" t="s">
        <v>1708</v>
      </c>
      <c r="H2639" s="1">
        <v>2475</v>
      </c>
      <c r="I2639" s="1" t="s">
        <v>1709</v>
      </c>
      <c r="J2639" s="1">
        <v>4076</v>
      </c>
      <c r="K2639" s="1" t="s">
        <v>35</v>
      </c>
      <c r="L2639" s="1">
        <v>45</v>
      </c>
      <c r="M2639" s="1" t="str">
        <f>IF(L2639&lt;=45,"Joven","Mayor")</f>
        <v>Joven</v>
      </c>
      <c r="N2639" s="1">
        <v>44</v>
      </c>
      <c r="O2639" s="1" t="s">
        <v>36</v>
      </c>
      <c r="P2639" s="1">
        <v>0.755</v>
      </c>
      <c r="Q2639" s="1">
        <v>28.024000000000001</v>
      </c>
      <c r="R2639" s="1">
        <v>18.450436</v>
      </c>
      <c r="S2639" s="1">
        <v>-5.6952090000000002</v>
      </c>
      <c r="T2639" s="1">
        <v>-9.3410910000000005</v>
      </c>
      <c r="U2639" s="1">
        <v>16.885000000000002</v>
      </c>
      <c r="V2639" s="1">
        <v>82</v>
      </c>
      <c r="W2639" s="1">
        <v>146</v>
      </c>
      <c r="X2639" s="1">
        <v>1.7804878048780488</v>
      </c>
      <c r="Y2639" s="1">
        <v>85</v>
      </c>
      <c r="Z2639" s="1">
        <v>146</v>
      </c>
      <c r="AA2639" s="1">
        <v>1.7176470588235293</v>
      </c>
      <c r="AB2639" s="1">
        <v>87.080482292645684</v>
      </c>
      <c r="AC2639" s="1">
        <v>144.7132225490036</v>
      </c>
      <c r="AD2639" s="1">
        <v>1.6618330392644742</v>
      </c>
      <c r="AE2639" t="s">
        <v>4817</v>
      </c>
      <c r="AF2639" t="str">
        <f>IF(X2639&lt;$AF$1,"Bajo","Alto")</f>
        <v>Alto</v>
      </c>
      <c r="AG2639" t="str">
        <f>LEFT(AE2639,1)</f>
        <v>C</v>
      </c>
      <c r="AH2639" t="str">
        <f>K2639</f>
        <v>M</v>
      </c>
      <c r="AI2639" t="str">
        <f>LEFT(AF2639,1)</f>
        <v>A</v>
      </c>
      <c r="AJ2639" t="str">
        <f>LEFT(M2639,1)</f>
        <v>J</v>
      </c>
      <c r="AK2639" t="str">
        <f>_xlfn.CONCAT(AG2639,AH2639,AI2639,AJ2639)</f>
        <v>CMAJ</v>
      </c>
    </row>
    <row r="2640" spans="1:37" ht="15.75" hidden="1" customHeight="1" x14ac:dyDescent="0.2">
      <c r="A2640" s="1">
        <v>10116602</v>
      </c>
      <c r="B2640" s="1" t="s">
        <v>29</v>
      </c>
      <c r="C2640" s="1" t="s">
        <v>30</v>
      </c>
      <c r="D2640" s="1" t="s">
        <v>264</v>
      </c>
      <c r="E2640" s="1" t="s">
        <v>265</v>
      </c>
      <c r="F2640" s="1" t="s">
        <v>37</v>
      </c>
      <c r="G2640" s="1" t="s">
        <v>267</v>
      </c>
      <c r="H2640" s="1">
        <v>981</v>
      </c>
      <c r="I2640" s="1" t="s">
        <v>48</v>
      </c>
      <c r="J2640" s="1">
        <v>4</v>
      </c>
      <c r="K2640" s="1" t="s">
        <v>35</v>
      </c>
      <c r="L2640" s="1">
        <v>57</v>
      </c>
      <c r="M2640" s="1" t="str">
        <f>IF(L2640&lt;=45,"Joven","Mayor")</f>
        <v>Mayor</v>
      </c>
      <c r="N2640" s="1">
        <v>58</v>
      </c>
      <c r="O2640" s="1" t="s">
        <v>36</v>
      </c>
      <c r="P2640" s="1">
        <v>0.192</v>
      </c>
      <c r="Q2640" s="1">
        <v>92.572999999999993</v>
      </c>
      <c r="R2640" s="1">
        <v>-3.9579295999999999</v>
      </c>
      <c r="S2640" s="1">
        <v>-0.12400635</v>
      </c>
      <c r="T2640" s="1">
        <v>-4.3034185999999996</v>
      </c>
      <c r="U2640" s="1">
        <v>10.952999999999999</v>
      </c>
      <c r="V2640" s="1">
        <v>104</v>
      </c>
      <c r="W2640" s="1">
        <v>185</v>
      </c>
      <c r="X2640" s="1">
        <v>1.7788461538461537</v>
      </c>
      <c r="Y2640" s="1">
        <v>108</v>
      </c>
      <c r="Z2640" s="1">
        <v>185</v>
      </c>
      <c r="AA2640" s="1">
        <v>1.712962962962963</v>
      </c>
      <c r="AB2640" s="1">
        <v>107.75885256721131</v>
      </c>
      <c r="AC2640" s="1">
        <v>185.07872754179519</v>
      </c>
      <c r="AD2640" s="1">
        <v>1.7175268957727436</v>
      </c>
      <c r="AE2640" t="s">
        <v>4817</v>
      </c>
      <c r="AF2640" t="str">
        <f>IF(X2640&lt;$AF$1,"Bajo","Alto")</f>
        <v>Alto</v>
      </c>
      <c r="AG2640" t="str">
        <f>LEFT(AE2640,1)</f>
        <v>C</v>
      </c>
      <c r="AH2640" t="str">
        <f>K2640</f>
        <v>M</v>
      </c>
      <c r="AI2640" t="str">
        <f>LEFT(AF2640,1)</f>
        <v>A</v>
      </c>
      <c r="AJ2640" t="str">
        <f>LEFT(M2640,1)</f>
        <v>M</v>
      </c>
      <c r="AK2640" t="str">
        <f>_xlfn.CONCAT(AG2640,AH2640,AI2640,AJ2640)</f>
        <v>CMAM</v>
      </c>
    </row>
    <row r="2641" spans="1:37" ht="15.75" hidden="1" customHeight="1" x14ac:dyDescent="0.2">
      <c r="A2641" s="1">
        <v>1241007</v>
      </c>
      <c r="B2641" s="1" t="s">
        <v>1798</v>
      </c>
      <c r="C2641" s="1" t="s">
        <v>54</v>
      </c>
      <c r="D2641" s="1" t="s">
        <v>1837</v>
      </c>
      <c r="E2641" s="1" t="s">
        <v>1838</v>
      </c>
      <c r="F2641" s="1" t="s">
        <v>43</v>
      </c>
      <c r="G2641" s="1" t="s">
        <v>1843</v>
      </c>
      <c r="H2641" s="1">
        <v>4581</v>
      </c>
      <c r="I2641" s="1" t="s">
        <v>1087</v>
      </c>
      <c r="J2641" s="1">
        <v>2615</v>
      </c>
      <c r="K2641" s="1" t="s">
        <v>35</v>
      </c>
      <c r="L2641" s="1">
        <v>32</v>
      </c>
      <c r="M2641" s="1" t="str">
        <f>IF(L2641&lt;=45,"Joven","Mayor")</f>
        <v>Joven</v>
      </c>
      <c r="N2641" s="1">
        <v>35</v>
      </c>
      <c r="O2641" s="1" t="s">
        <v>36</v>
      </c>
      <c r="P2641" s="1">
        <v>0.33400000000000002</v>
      </c>
      <c r="Q2641" s="1">
        <v>93.04</v>
      </c>
      <c r="R2641" s="1">
        <v>3.1845311999999999</v>
      </c>
      <c r="S2641" s="1">
        <v>-0.74060166000000005</v>
      </c>
      <c r="T2641" s="1">
        <v>-2.2103028</v>
      </c>
      <c r="U2641" s="1">
        <v>12.505000000000001</v>
      </c>
      <c r="V2641" s="1">
        <v>79</v>
      </c>
      <c r="W2641" s="1">
        <v>139</v>
      </c>
      <c r="X2641" s="1">
        <v>1.759493670886076</v>
      </c>
      <c r="Y2641" s="1">
        <v>80</v>
      </c>
      <c r="Z2641" s="1">
        <v>139</v>
      </c>
      <c r="AA2641" s="1">
        <v>1.7375</v>
      </c>
      <c r="AB2641" s="1">
        <v>80.52249104013049</v>
      </c>
      <c r="AC2641" s="1">
        <v>138.97371863222321</v>
      </c>
      <c r="AD2641" s="1">
        <v>1.725899395772071</v>
      </c>
      <c r="AE2641" t="s">
        <v>4817</v>
      </c>
      <c r="AF2641" t="str">
        <f>IF(X2641&lt;$AF$1,"Bajo","Alto")</f>
        <v>Bajo</v>
      </c>
      <c r="AG2641" t="str">
        <f>LEFT(AE2641,1)</f>
        <v>C</v>
      </c>
      <c r="AH2641" t="str">
        <f>K2641</f>
        <v>M</v>
      </c>
      <c r="AI2641" t="str">
        <f>LEFT(AF2641,1)</f>
        <v>B</v>
      </c>
      <c r="AJ2641" t="str">
        <f>LEFT(M2641,1)</f>
        <v>J</v>
      </c>
      <c r="AK2641" t="str">
        <f>_xlfn.CONCAT(AG2641,AH2641,AI2641,AJ2641)</f>
        <v>CMBJ</v>
      </c>
    </row>
    <row r="2642" spans="1:37" ht="15.75" hidden="1" customHeight="1" x14ac:dyDescent="0.2">
      <c r="A2642" s="1">
        <v>1017803</v>
      </c>
      <c r="B2642" s="1" t="s">
        <v>29</v>
      </c>
      <c r="C2642" s="1" t="s">
        <v>30</v>
      </c>
      <c r="D2642" s="1" t="s">
        <v>731</v>
      </c>
      <c r="E2642" s="1" t="s">
        <v>732</v>
      </c>
      <c r="F2642" s="1" t="s">
        <v>63</v>
      </c>
      <c r="G2642" s="1" t="s">
        <v>734</v>
      </c>
      <c r="H2642" s="1">
        <v>967</v>
      </c>
      <c r="I2642" s="1" t="s">
        <v>65</v>
      </c>
      <c r="J2642" s="1">
        <v>2</v>
      </c>
      <c r="K2642" s="1" t="s">
        <v>35</v>
      </c>
      <c r="L2642" s="1">
        <v>39</v>
      </c>
      <c r="M2642" s="1" t="str">
        <f>IF(L2642&lt;=45,"Joven","Mayor")</f>
        <v>Joven</v>
      </c>
      <c r="N2642" s="1">
        <v>43</v>
      </c>
      <c r="O2642" s="1" t="s">
        <v>36</v>
      </c>
      <c r="P2642" s="1">
        <v>4.5999999999999999E-2</v>
      </c>
      <c r="Q2642" s="1">
        <v>71.215000000000003</v>
      </c>
      <c r="R2642" s="1">
        <v>12.849679999999999</v>
      </c>
      <c r="S2642" s="1">
        <v>0.66291164999999996</v>
      </c>
      <c r="T2642" s="1">
        <v>-5.9744185999999999</v>
      </c>
      <c r="U2642" s="1">
        <v>7.0549999999999997</v>
      </c>
      <c r="V2642" s="1">
        <v>75</v>
      </c>
      <c r="W2642" s="1">
        <v>132</v>
      </c>
      <c r="X2642" s="1">
        <v>1.76</v>
      </c>
      <c r="Y2642" s="1">
        <v>77</v>
      </c>
      <c r="Z2642" s="1">
        <v>132</v>
      </c>
      <c r="AA2642" s="1">
        <v>1.7142857142857142</v>
      </c>
      <c r="AB2642" s="1">
        <v>77.819251946620625</v>
      </c>
      <c r="AC2642" s="1">
        <v>130.86669984538051</v>
      </c>
      <c r="AD2642" s="1">
        <v>1.6816751198681179</v>
      </c>
      <c r="AE2642" t="s">
        <v>4817</v>
      </c>
      <c r="AF2642" t="str">
        <f>IF(X2642&lt;$AF$1,"Bajo","Alto")</f>
        <v>Bajo</v>
      </c>
      <c r="AG2642" t="str">
        <f>LEFT(AE2642,1)</f>
        <v>C</v>
      </c>
      <c r="AH2642" t="str">
        <f>K2642</f>
        <v>M</v>
      </c>
      <c r="AI2642" t="str">
        <f>LEFT(AF2642,1)</f>
        <v>B</v>
      </c>
      <c r="AJ2642" t="str">
        <f>LEFT(M2642,1)</f>
        <v>J</v>
      </c>
      <c r="AK2642" t="str">
        <f>_xlfn.CONCAT(AG2642,AH2642,AI2642,AJ2642)</f>
        <v>CMBJ</v>
      </c>
    </row>
    <row r="2643" spans="1:37" ht="15.75" hidden="1" customHeight="1" x14ac:dyDescent="0.2">
      <c r="A2643" s="1">
        <v>262503</v>
      </c>
      <c r="B2643" s="1" t="s">
        <v>3358</v>
      </c>
      <c r="C2643" s="1" t="s">
        <v>968</v>
      </c>
      <c r="D2643" s="1" t="s">
        <v>956</v>
      </c>
      <c r="E2643" s="1" t="s">
        <v>821</v>
      </c>
      <c r="F2643" s="1" t="s">
        <v>63</v>
      </c>
      <c r="G2643" s="1" t="s">
        <v>3379</v>
      </c>
      <c r="H2643" s="1">
        <v>38</v>
      </c>
      <c r="I2643" s="1" t="s">
        <v>45</v>
      </c>
      <c r="J2643" s="1">
        <v>17</v>
      </c>
      <c r="K2643" s="1" t="s">
        <v>49</v>
      </c>
      <c r="L2643" s="1">
        <v>35</v>
      </c>
      <c r="M2643" s="1" t="str">
        <f>IF(L2643&lt;=45,"Joven","Mayor")</f>
        <v>Joven</v>
      </c>
      <c r="N2643" s="1">
        <v>50</v>
      </c>
      <c r="O2643" s="1" t="s">
        <v>50</v>
      </c>
      <c r="P2643" s="1">
        <v>0.34399999999999997</v>
      </c>
      <c r="Q2643" s="1">
        <v>90.911000000000001</v>
      </c>
      <c r="R2643" s="1">
        <v>3.5084366999999999</v>
      </c>
      <c r="S2643" s="1">
        <v>6.8660592999999999</v>
      </c>
      <c r="T2643" s="1">
        <v>-1.0752664000000001</v>
      </c>
      <c r="U2643" s="1">
        <v>49.698999999999998</v>
      </c>
      <c r="V2643" s="1">
        <v>113</v>
      </c>
      <c r="W2643" s="1">
        <v>199</v>
      </c>
      <c r="X2643" s="1">
        <v>1.7610619469026549</v>
      </c>
      <c r="Y2643" s="1">
        <v>117</v>
      </c>
      <c r="Z2643" s="1">
        <v>199</v>
      </c>
      <c r="AA2643" s="1">
        <v>1.7008547008547008</v>
      </c>
      <c r="AB2643" s="1">
        <v>115.92851012604839</v>
      </c>
      <c r="AC2643" s="1">
        <v>199.0024890023565</v>
      </c>
      <c r="AD2643" s="1">
        <v>1.7165966230910952</v>
      </c>
      <c r="AE2643" t="s">
        <v>4817</v>
      </c>
      <c r="AF2643" t="str">
        <f>IF(X2643&lt;$AF$1,"Bajo","Alto")</f>
        <v>Bajo</v>
      </c>
      <c r="AG2643" t="str">
        <f>LEFT(AE2643,1)</f>
        <v>C</v>
      </c>
      <c r="AH2643" t="str">
        <f>K2643</f>
        <v>F</v>
      </c>
      <c r="AI2643" t="str">
        <f>LEFT(AF2643,1)</f>
        <v>B</v>
      </c>
      <c r="AJ2643" t="str">
        <f>LEFT(M2643,1)</f>
        <v>J</v>
      </c>
      <c r="AK2643" t="str">
        <f>_xlfn.CONCAT(AG2643,AH2643,AI2643,AJ2643)</f>
        <v>CFBJ</v>
      </c>
    </row>
    <row r="2644" spans="1:37" ht="15.75" hidden="1" customHeight="1" x14ac:dyDescent="0.2">
      <c r="A2644" s="1">
        <v>1275002</v>
      </c>
      <c r="B2644" s="1" t="s">
        <v>1798</v>
      </c>
      <c r="C2644" s="1" t="s">
        <v>54</v>
      </c>
      <c r="D2644" s="1" t="s">
        <v>1906</v>
      </c>
      <c r="E2644" s="1" t="s">
        <v>1907</v>
      </c>
      <c r="F2644" s="1" t="s">
        <v>37</v>
      </c>
      <c r="G2644" s="1" t="s">
        <v>1909</v>
      </c>
      <c r="H2644" s="1">
        <v>5852</v>
      </c>
      <c r="I2644" s="1" t="s">
        <v>65</v>
      </c>
      <c r="J2644" s="1">
        <v>2</v>
      </c>
      <c r="K2644" s="1" t="s">
        <v>35</v>
      </c>
      <c r="L2644" s="1">
        <v>48</v>
      </c>
      <c r="M2644" s="1" t="str">
        <f>IF(L2644&lt;=45,"Joven","Mayor")</f>
        <v>Mayor</v>
      </c>
      <c r="N2644" s="1">
        <v>57</v>
      </c>
      <c r="O2644" s="1" t="s">
        <v>36</v>
      </c>
      <c r="P2644" s="1">
        <v>0.314</v>
      </c>
      <c r="Q2644" s="1">
        <v>17.748999999999999</v>
      </c>
      <c r="R2644" s="1">
        <v>20.330894000000001</v>
      </c>
      <c r="S2644" s="1">
        <v>-0.54861956999999995</v>
      </c>
      <c r="T2644" s="1">
        <v>-4.2659269999999996</v>
      </c>
      <c r="U2644" s="1">
        <v>0.43099999999999999</v>
      </c>
      <c r="V2644" s="1">
        <v>81</v>
      </c>
      <c r="W2644" s="1">
        <v>144</v>
      </c>
      <c r="X2644" s="1">
        <v>1.7777777777777777</v>
      </c>
      <c r="Y2644" s="1">
        <v>85</v>
      </c>
      <c r="Z2644" s="1">
        <v>144</v>
      </c>
      <c r="AA2644" s="1">
        <v>1.6941176470588235</v>
      </c>
      <c r="AB2644" s="1">
        <v>83.081549973098163</v>
      </c>
      <c r="AC2644" s="1">
        <v>143.60105462347249</v>
      </c>
      <c r="AD2644" s="1">
        <v>1.7284349493957512</v>
      </c>
      <c r="AE2644" t="s">
        <v>4817</v>
      </c>
      <c r="AF2644" t="str">
        <f>IF(X2644&lt;$AF$1,"Bajo","Alto")</f>
        <v>Alto</v>
      </c>
      <c r="AG2644" t="str">
        <f>LEFT(AE2644,1)</f>
        <v>C</v>
      </c>
      <c r="AH2644" t="str">
        <f>K2644</f>
        <v>M</v>
      </c>
      <c r="AI2644" t="str">
        <f>LEFT(AF2644,1)</f>
        <v>A</v>
      </c>
      <c r="AJ2644" t="str">
        <f>LEFT(M2644,1)</f>
        <v>M</v>
      </c>
      <c r="AK2644" t="str">
        <f>_xlfn.CONCAT(AG2644,AH2644,AI2644,AJ2644)</f>
        <v>CMAM</v>
      </c>
    </row>
    <row r="2645" spans="1:37" ht="15.75" hidden="1" customHeight="1" x14ac:dyDescent="0.2">
      <c r="A2645" s="1">
        <v>1013503</v>
      </c>
      <c r="B2645" s="1" t="s">
        <v>29</v>
      </c>
      <c r="C2645" s="1" t="s">
        <v>30</v>
      </c>
      <c r="D2645" s="1" t="s">
        <v>639</v>
      </c>
      <c r="E2645" s="1" t="s">
        <v>640</v>
      </c>
      <c r="F2645" s="1" t="s">
        <v>63</v>
      </c>
      <c r="G2645" s="1" t="s">
        <v>642</v>
      </c>
      <c r="H2645" s="1">
        <v>28188</v>
      </c>
      <c r="I2645" s="1" t="s">
        <v>643</v>
      </c>
      <c r="J2645" s="1">
        <v>2270</v>
      </c>
      <c r="K2645" s="1" t="s">
        <v>35</v>
      </c>
      <c r="L2645" s="1">
        <v>42</v>
      </c>
      <c r="M2645" s="1" t="str">
        <f>IF(L2645&lt;=45,"Joven","Mayor")</f>
        <v>Joven</v>
      </c>
      <c r="N2645" s="1">
        <v>47</v>
      </c>
      <c r="O2645" s="1" t="s">
        <v>36</v>
      </c>
      <c r="P2645" s="1">
        <v>7.0000000000000001E-3</v>
      </c>
      <c r="Q2645" s="1">
        <v>90.947999999999993</v>
      </c>
      <c r="R2645" s="1">
        <v>2.8422600999999998</v>
      </c>
      <c r="S2645" s="1">
        <v>8.3320030000000003</v>
      </c>
      <c r="T2645" s="1">
        <v>-2.0364776</v>
      </c>
      <c r="U2645" s="1">
        <v>2.0270000000000001</v>
      </c>
      <c r="V2645" s="1">
        <v>91</v>
      </c>
      <c r="W2645" s="1">
        <v>162</v>
      </c>
      <c r="X2645" s="1">
        <v>1.7802197802197801</v>
      </c>
      <c r="Y2645" s="1">
        <v>92</v>
      </c>
      <c r="Z2645" s="1">
        <v>162</v>
      </c>
      <c r="AA2645" s="1">
        <v>1.7608695652173914</v>
      </c>
      <c r="AB2645" s="1">
        <v>93.50546657523887</v>
      </c>
      <c r="AC2645" s="1">
        <v>161.7910744340511</v>
      </c>
      <c r="AD2645" s="1">
        <v>1.7302846599227055</v>
      </c>
      <c r="AE2645" t="s">
        <v>4817</v>
      </c>
      <c r="AF2645" t="str">
        <f>IF(X2645&lt;$AF$1,"Bajo","Alto")</f>
        <v>Alto</v>
      </c>
      <c r="AG2645" t="str">
        <f>LEFT(AE2645,1)</f>
        <v>C</v>
      </c>
      <c r="AH2645" t="str">
        <f>K2645</f>
        <v>M</v>
      </c>
      <c r="AI2645" t="str">
        <f>LEFT(AF2645,1)</f>
        <v>A</v>
      </c>
      <c r="AJ2645" t="str">
        <f>LEFT(M2645,1)</f>
        <v>J</v>
      </c>
      <c r="AK2645" t="str">
        <f>_xlfn.CONCAT(AG2645,AH2645,AI2645,AJ2645)</f>
        <v>CMAJ</v>
      </c>
    </row>
    <row r="2646" spans="1:37" ht="15.75" hidden="1" customHeight="1" x14ac:dyDescent="0.2">
      <c r="A2646" s="1">
        <v>1526201</v>
      </c>
      <c r="B2646" s="1" t="s">
        <v>2077</v>
      </c>
      <c r="C2646" s="1" t="s">
        <v>57</v>
      </c>
      <c r="D2646" s="1" t="s">
        <v>2318</v>
      </c>
      <c r="E2646" s="1" t="s">
        <v>523</v>
      </c>
      <c r="F2646" s="1" t="s">
        <v>32</v>
      </c>
      <c r="G2646" s="1" t="s">
        <v>2319</v>
      </c>
      <c r="H2646" s="1">
        <v>1994</v>
      </c>
      <c r="I2646" s="1" t="s">
        <v>2320</v>
      </c>
      <c r="J2646" s="1">
        <v>2815</v>
      </c>
      <c r="K2646" s="1" t="s">
        <v>35</v>
      </c>
      <c r="L2646" s="1">
        <v>61</v>
      </c>
      <c r="M2646" s="1" t="str">
        <f>IF(L2646&lt;=45,"Joven","Mayor")</f>
        <v>Mayor</v>
      </c>
      <c r="N2646" s="1">
        <v>54</v>
      </c>
      <c r="O2646" s="1" t="s">
        <v>36</v>
      </c>
      <c r="P2646" s="1">
        <v>0.38500000000000001</v>
      </c>
      <c r="Q2646" s="1">
        <v>88.081999999999994</v>
      </c>
      <c r="R2646" s="1">
        <v>-7.344042</v>
      </c>
      <c r="S2646" s="1">
        <v>1.0430348</v>
      </c>
      <c r="T2646" s="1">
        <v>4.7575526000000004</v>
      </c>
      <c r="U2646" s="1">
        <v>18.472000000000001</v>
      </c>
      <c r="V2646" s="1">
        <v>96</v>
      </c>
      <c r="W2646" s="1">
        <v>169</v>
      </c>
      <c r="X2646" s="1">
        <v>1.7604166666666667</v>
      </c>
      <c r="Y2646" s="1">
        <v>100</v>
      </c>
      <c r="Z2646" s="1">
        <v>169</v>
      </c>
      <c r="AA2646" s="1">
        <v>1.69</v>
      </c>
      <c r="AB2646" s="1">
        <v>98.986822383989647</v>
      </c>
      <c r="AC2646" s="1">
        <v>168.6665424395114</v>
      </c>
      <c r="AD2646" s="1">
        <v>1.7039292541912316</v>
      </c>
      <c r="AE2646" t="s">
        <v>4817</v>
      </c>
      <c r="AF2646" t="str">
        <f>IF(X2646&lt;$AF$1,"Bajo","Alto")</f>
        <v>Bajo</v>
      </c>
      <c r="AG2646" t="str">
        <f>LEFT(AE2646,1)</f>
        <v>C</v>
      </c>
      <c r="AH2646" t="str">
        <f>K2646</f>
        <v>M</v>
      </c>
      <c r="AI2646" t="str">
        <f>LEFT(AF2646,1)</f>
        <v>B</v>
      </c>
      <c r="AJ2646" t="str">
        <f>LEFT(M2646,1)</f>
        <v>M</v>
      </c>
      <c r="AK2646" t="str">
        <f>_xlfn.CONCAT(AG2646,AH2646,AI2646,AJ2646)</f>
        <v>CMBM</v>
      </c>
    </row>
    <row r="2647" spans="1:37" ht="15.75" hidden="1" customHeight="1" x14ac:dyDescent="0.2">
      <c r="A2647" s="1">
        <v>641904</v>
      </c>
      <c r="B2647" s="1" t="s">
        <v>4718</v>
      </c>
      <c r="C2647" s="1" t="s">
        <v>710</v>
      </c>
      <c r="D2647" s="1" t="s">
        <v>4754</v>
      </c>
      <c r="E2647" s="1" t="s">
        <v>323</v>
      </c>
      <c r="F2647" s="1" t="s">
        <v>61</v>
      </c>
      <c r="G2647" s="1" t="s">
        <v>4758</v>
      </c>
      <c r="H2647" s="1">
        <v>3474</v>
      </c>
      <c r="I2647" s="1" t="s">
        <v>4759</v>
      </c>
      <c r="J2647" s="1">
        <v>2248</v>
      </c>
      <c r="K2647" s="1" t="s">
        <v>35</v>
      </c>
      <c r="L2647" s="1">
        <v>39</v>
      </c>
      <c r="M2647" s="1" t="str">
        <f>IF(L2647&lt;=45,"Joven","Mayor")</f>
        <v>Joven</v>
      </c>
      <c r="N2647" s="1">
        <v>45</v>
      </c>
      <c r="O2647" s="1" t="s">
        <v>36</v>
      </c>
      <c r="P2647" s="1">
        <v>0.36299999999999999</v>
      </c>
      <c r="Q2647" s="1">
        <v>94.075999999999993</v>
      </c>
      <c r="R2647" s="1">
        <v>-1.4942371000000001</v>
      </c>
      <c r="S2647" s="1">
        <v>0.98788094999999998</v>
      </c>
      <c r="T2647" s="1">
        <v>-1.5526306999999999</v>
      </c>
      <c r="U2647" s="1">
        <v>2.86</v>
      </c>
      <c r="V2647" s="1">
        <v>100</v>
      </c>
      <c r="W2647" s="1">
        <v>176</v>
      </c>
      <c r="X2647" s="1">
        <v>1.76</v>
      </c>
      <c r="Y2647" s="1">
        <v>100</v>
      </c>
      <c r="Z2647" s="1">
        <v>176</v>
      </c>
      <c r="AA2647" s="1">
        <v>1.76</v>
      </c>
      <c r="AB2647" s="1">
        <v>101.2096650261942</v>
      </c>
      <c r="AC2647" s="1">
        <v>175.96247814508479</v>
      </c>
      <c r="AD2647" s="1">
        <v>1.7385936224523983</v>
      </c>
      <c r="AE2647" t="s">
        <v>4817</v>
      </c>
      <c r="AF2647" t="str">
        <f>IF(X2647&lt;$AF$1,"Bajo","Alto")</f>
        <v>Bajo</v>
      </c>
      <c r="AG2647" t="str">
        <f>LEFT(AE2647,1)</f>
        <v>C</v>
      </c>
      <c r="AH2647" t="str">
        <f>K2647</f>
        <v>M</v>
      </c>
      <c r="AI2647" t="str">
        <f>LEFT(AF2647,1)</f>
        <v>B</v>
      </c>
      <c r="AJ2647" t="str">
        <f>LEFT(M2647,1)</f>
        <v>J</v>
      </c>
      <c r="AK2647" t="str">
        <f>_xlfn.CONCAT(AG2647,AH2647,AI2647,AJ2647)</f>
        <v>CMBJ</v>
      </c>
    </row>
    <row r="2648" spans="1:37" ht="15.75" hidden="1" customHeight="1" x14ac:dyDescent="0.2">
      <c r="A2648" s="1">
        <v>237906</v>
      </c>
      <c r="B2648" s="1" t="s">
        <v>319</v>
      </c>
      <c r="C2648" s="1" t="s">
        <v>1989</v>
      </c>
      <c r="D2648" s="1" t="s">
        <v>278</v>
      </c>
      <c r="E2648" s="1" t="s">
        <v>739</v>
      </c>
      <c r="F2648" s="1" t="s">
        <v>88</v>
      </c>
      <c r="G2648" s="1" t="s">
        <v>3084</v>
      </c>
      <c r="H2648" s="1">
        <v>4683</v>
      </c>
      <c r="I2648" s="1" t="s">
        <v>3085</v>
      </c>
      <c r="J2648" s="1">
        <v>2303</v>
      </c>
      <c r="K2648" s="1" t="s">
        <v>35</v>
      </c>
      <c r="L2648" s="1">
        <v>43</v>
      </c>
      <c r="M2648" s="1" t="str">
        <f>IF(L2648&lt;=45,"Joven","Mayor")</f>
        <v>Joven</v>
      </c>
      <c r="N2648" s="1">
        <v>49</v>
      </c>
      <c r="O2648" s="1" t="s">
        <v>36</v>
      </c>
      <c r="P2648" s="1">
        <v>0.313</v>
      </c>
      <c r="Q2648" s="1">
        <v>94.299000000000007</v>
      </c>
      <c r="R2648" s="1">
        <v>-1.1439558000000001</v>
      </c>
      <c r="S2648" s="1">
        <v>-0.82912350000000001</v>
      </c>
      <c r="T2648" s="1">
        <v>-3.2834284</v>
      </c>
      <c r="U2648" s="1">
        <v>79.831999999999994</v>
      </c>
      <c r="V2648" s="1">
        <v>91</v>
      </c>
      <c r="W2648" s="1">
        <v>162</v>
      </c>
      <c r="X2648" s="1">
        <v>1.7802197802197801</v>
      </c>
      <c r="Y2648" s="1">
        <v>96</v>
      </c>
      <c r="Z2648" s="1">
        <v>162</v>
      </c>
      <c r="AA2648" s="1">
        <v>1.6875</v>
      </c>
      <c r="AB2648" s="1">
        <v>93.78049880191611</v>
      </c>
      <c r="AC2648" s="1">
        <v>162.30681744638699</v>
      </c>
      <c r="AD2648" s="1">
        <v>1.7307096839953122</v>
      </c>
      <c r="AE2648" t="s">
        <v>4817</v>
      </c>
      <c r="AF2648" t="str">
        <f>IF(X2648&lt;$AF$1,"Bajo","Alto")</f>
        <v>Alto</v>
      </c>
      <c r="AG2648" t="str">
        <f>LEFT(AE2648,1)</f>
        <v>C</v>
      </c>
      <c r="AH2648" t="str">
        <f>K2648</f>
        <v>M</v>
      </c>
      <c r="AI2648" t="str">
        <f>LEFT(AF2648,1)</f>
        <v>A</v>
      </c>
      <c r="AJ2648" t="str">
        <f>LEFT(M2648,1)</f>
        <v>J</v>
      </c>
      <c r="AK2648" t="str">
        <f>_xlfn.CONCAT(AG2648,AH2648,AI2648,AJ2648)</f>
        <v>CMAJ</v>
      </c>
    </row>
    <row r="2649" spans="1:37" ht="15.75" hidden="1" customHeight="1" x14ac:dyDescent="0.2">
      <c r="A2649" s="1">
        <v>255405</v>
      </c>
      <c r="B2649" s="1" t="s">
        <v>3169</v>
      </c>
      <c r="C2649" s="1" t="s">
        <v>821</v>
      </c>
      <c r="D2649" s="1" t="s">
        <v>3272</v>
      </c>
      <c r="E2649" s="1" t="s">
        <v>3148</v>
      </c>
      <c r="F2649" s="1" t="s">
        <v>40</v>
      </c>
      <c r="G2649" s="1" t="s">
        <v>3276</v>
      </c>
      <c r="H2649" s="1">
        <v>16111</v>
      </c>
      <c r="I2649" s="1" t="s">
        <v>521</v>
      </c>
      <c r="J2649" s="1">
        <v>3605</v>
      </c>
      <c r="K2649" s="1" t="s">
        <v>35</v>
      </c>
      <c r="L2649" s="1">
        <v>40</v>
      </c>
      <c r="M2649" s="1" t="str">
        <f>IF(L2649&lt;=45,"Joven","Mayor")</f>
        <v>Joven</v>
      </c>
      <c r="N2649" s="1">
        <v>37</v>
      </c>
      <c r="O2649" s="1" t="s">
        <v>50</v>
      </c>
      <c r="P2649" s="1">
        <v>3.6999999999999998E-2</v>
      </c>
      <c r="Q2649" s="1">
        <v>93.037999999999997</v>
      </c>
      <c r="R2649" s="1">
        <v>-1.1244335000000001</v>
      </c>
      <c r="S2649" s="1">
        <v>6.3516215999999996</v>
      </c>
      <c r="T2649" s="1">
        <v>-1.1531781000000001</v>
      </c>
      <c r="U2649" s="1">
        <v>1.32</v>
      </c>
      <c r="V2649" s="1">
        <v>100</v>
      </c>
      <c r="W2649" s="1">
        <v>178</v>
      </c>
      <c r="X2649" s="1">
        <v>1.78</v>
      </c>
      <c r="Y2649" s="1">
        <v>104</v>
      </c>
      <c r="Z2649" s="1">
        <v>178</v>
      </c>
      <c r="AA2649" s="1">
        <v>1.7115384615384615</v>
      </c>
      <c r="AB2649" s="1">
        <v>103.2141711820195</v>
      </c>
      <c r="AC2649" s="1">
        <v>178.26582947866021</v>
      </c>
      <c r="AD2649" s="1">
        <v>1.7271449011036106</v>
      </c>
      <c r="AE2649" t="s">
        <v>4817</v>
      </c>
      <c r="AF2649" t="str">
        <f>IF(X2649&lt;$AF$1,"Bajo","Alto")</f>
        <v>Alto</v>
      </c>
      <c r="AG2649" t="str">
        <f>LEFT(AE2649,1)</f>
        <v>C</v>
      </c>
      <c r="AH2649" t="str">
        <f>K2649</f>
        <v>M</v>
      </c>
      <c r="AI2649" t="str">
        <f>LEFT(AF2649,1)</f>
        <v>A</v>
      </c>
      <c r="AJ2649" t="str">
        <f>LEFT(M2649,1)</f>
        <v>J</v>
      </c>
      <c r="AK2649" t="str">
        <f>_xlfn.CONCAT(AG2649,AH2649,AI2649,AJ2649)</f>
        <v>CMAJ</v>
      </c>
    </row>
    <row r="2650" spans="1:37" ht="15.75" hidden="1" customHeight="1" x14ac:dyDescent="0.2">
      <c r="A2650" s="1">
        <v>10724803</v>
      </c>
      <c r="B2650" s="1" t="s">
        <v>1067</v>
      </c>
      <c r="C2650" s="1" t="s">
        <v>1068</v>
      </c>
      <c r="D2650" s="1" t="s">
        <v>1274</v>
      </c>
      <c r="E2650" s="1" t="s">
        <v>1275</v>
      </c>
      <c r="F2650" s="1" t="s">
        <v>63</v>
      </c>
      <c r="G2650" s="1" t="s">
        <v>1278</v>
      </c>
      <c r="H2650" s="1">
        <v>965</v>
      </c>
      <c r="I2650" s="1" t="s">
        <v>65</v>
      </c>
      <c r="J2650" s="1">
        <v>2</v>
      </c>
      <c r="K2650" s="1" t="s">
        <v>35</v>
      </c>
      <c r="L2650" s="1">
        <v>52</v>
      </c>
      <c r="M2650" s="1" t="str">
        <f>IF(L2650&lt;=45,"Joven","Mayor")</f>
        <v>Mayor</v>
      </c>
      <c r="N2650" s="1">
        <v>56</v>
      </c>
      <c r="O2650" s="1" t="s">
        <v>36</v>
      </c>
      <c r="P2650" s="1">
        <v>0.497</v>
      </c>
      <c r="Q2650" s="1">
        <v>94.509</v>
      </c>
      <c r="R2650" s="1">
        <v>0.71999670000000004</v>
      </c>
      <c r="S2650" s="1">
        <v>0.5479579</v>
      </c>
      <c r="T2650" s="1">
        <v>-4.2539395999999998</v>
      </c>
      <c r="U2650" s="1">
        <v>2.1789999999999998</v>
      </c>
      <c r="V2650" s="1">
        <v>71</v>
      </c>
      <c r="W2650" s="1">
        <v>125</v>
      </c>
      <c r="X2650" s="1">
        <v>1.7605633802816902</v>
      </c>
      <c r="Y2650" s="1">
        <v>73</v>
      </c>
      <c r="Z2650" s="1">
        <v>125</v>
      </c>
      <c r="AA2650" s="1">
        <v>1.7123287671232876</v>
      </c>
      <c r="AB2650" s="1">
        <v>73.697306522849658</v>
      </c>
      <c r="AC2650" s="1">
        <v>125.17487530919109</v>
      </c>
      <c r="AD2650" s="1">
        <v>1.6985000024441999</v>
      </c>
      <c r="AE2650" t="s">
        <v>4817</v>
      </c>
      <c r="AF2650" t="str">
        <f>IF(X2650&lt;$AF$1,"Bajo","Alto")</f>
        <v>Bajo</v>
      </c>
      <c r="AG2650" t="str">
        <f>LEFT(AE2650,1)</f>
        <v>C</v>
      </c>
      <c r="AH2650" t="str">
        <f>K2650</f>
        <v>M</v>
      </c>
      <c r="AI2650" t="str">
        <f>LEFT(AF2650,1)</f>
        <v>B</v>
      </c>
      <c r="AJ2650" t="str">
        <f>LEFT(M2650,1)</f>
        <v>M</v>
      </c>
      <c r="AK2650" t="str">
        <f>_xlfn.CONCAT(AG2650,AH2650,AI2650,AJ2650)</f>
        <v>CMBM</v>
      </c>
    </row>
    <row r="2651" spans="1:37" ht="15.75" hidden="1" customHeight="1" x14ac:dyDescent="0.2">
      <c r="A2651" s="1">
        <v>460106</v>
      </c>
      <c r="B2651" s="1" t="s">
        <v>4382</v>
      </c>
      <c r="C2651" s="1" t="s">
        <v>669</v>
      </c>
      <c r="D2651" s="1" t="s">
        <v>4383</v>
      </c>
      <c r="E2651" s="1" t="s">
        <v>32</v>
      </c>
      <c r="F2651" s="1" t="s">
        <v>88</v>
      </c>
      <c r="G2651" s="1" t="s">
        <v>4385</v>
      </c>
      <c r="H2651" s="1">
        <v>910</v>
      </c>
      <c r="I2651" s="1" t="s">
        <v>65</v>
      </c>
      <c r="J2651" s="1">
        <v>2</v>
      </c>
      <c r="K2651" s="1" t="s">
        <v>49</v>
      </c>
      <c r="L2651" s="1">
        <v>39</v>
      </c>
      <c r="M2651" s="1" t="str">
        <f>IF(L2651&lt;=45,"Joven","Mayor")</f>
        <v>Joven</v>
      </c>
      <c r="N2651" s="1">
        <v>39</v>
      </c>
      <c r="O2651" s="1" t="s">
        <v>50</v>
      </c>
      <c r="P2651" s="1">
        <v>0.318</v>
      </c>
      <c r="Q2651" s="1">
        <v>90.28</v>
      </c>
      <c r="R2651" s="1">
        <v>-4.8369749999999998</v>
      </c>
      <c r="S2651" s="1">
        <v>5.0247355000000002</v>
      </c>
      <c r="T2651" s="1">
        <v>-3.8286936000000001E-2</v>
      </c>
      <c r="U2651" s="1">
        <v>88.849000000000004</v>
      </c>
      <c r="V2651" s="1">
        <v>80</v>
      </c>
      <c r="W2651" s="1">
        <v>141</v>
      </c>
      <c r="X2651" s="1">
        <v>1.7625</v>
      </c>
      <c r="Y2651" s="1">
        <v>81</v>
      </c>
      <c r="Z2651" s="1">
        <v>141</v>
      </c>
      <c r="AA2651" s="1">
        <v>1.7407407407407407</v>
      </c>
      <c r="AB2651" s="1">
        <v>81.024706537941029</v>
      </c>
      <c r="AC2651" s="1">
        <v>141.0026414514264</v>
      </c>
      <c r="AD2651" s="1">
        <v>1.7402425442343294</v>
      </c>
      <c r="AE2651" t="s">
        <v>4817</v>
      </c>
      <c r="AF2651" t="str">
        <f>IF(X2651&lt;$AF$1,"Bajo","Alto")</f>
        <v>Bajo</v>
      </c>
      <c r="AG2651" t="str">
        <f>LEFT(AE2651,1)</f>
        <v>C</v>
      </c>
      <c r="AH2651" t="str">
        <f>K2651</f>
        <v>F</v>
      </c>
      <c r="AI2651" t="str">
        <f>LEFT(AF2651,1)</f>
        <v>B</v>
      </c>
      <c r="AJ2651" t="str">
        <f>LEFT(M2651,1)</f>
        <v>J</v>
      </c>
      <c r="AK2651" t="str">
        <f>_xlfn.CONCAT(AG2651,AH2651,AI2651,AJ2651)</f>
        <v>CFBJ</v>
      </c>
    </row>
    <row r="2652" spans="1:37" ht="15.75" hidden="1" customHeight="1" x14ac:dyDescent="0.2">
      <c r="A2652" s="1">
        <v>154601</v>
      </c>
      <c r="B2652" s="1" t="s">
        <v>2077</v>
      </c>
      <c r="C2652" s="1" t="s">
        <v>57</v>
      </c>
      <c r="D2652" s="1" t="s">
        <v>2464</v>
      </c>
      <c r="E2652" s="1" t="s">
        <v>669</v>
      </c>
      <c r="F2652" s="1" t="s">
        <v>32</v>
      </c>
      <c r="G2652" s="1" t="s">
        <v>2465</v>
      </c>
      <c r="H2652" s="1">
        <v>401</v>
      </c>
      <c r="I2652" s="1" t="s">
        <v>34</v>
      </c>
      <c r="J2652" s="1">
        <v>10</v>
      </c>
      <c r="K2652" s="1" t="s">
        <v>35</v>
      </c>
      <c r="L2652" s="1">
        <v>44</v>
      </c>
      <c r="M2652" s="1" t="str">
        <f>IF(L2652&lt;=45,"Joven","Mayor")</f>
        <v>Joven</v>
      </c>
      <c r="N2652" s="1">
        <v>49</v>
      </c>
      <c r="O2652" s="1" t="s">
        <v>36</v>
      </c>
      <c r="P2652" s="1">
        <v>0.98</v>
      </c>
      <c r="Q2652" s="1">
        <v>92.778999999999996</v>
      </c>
      <c r="R2652" s="1">
        <v>2.4200599999999999</v>
      </c>
      <c r="S2652" s="1">
        <v>3.5652332000000002</v>
      </c>
      <c r="T2652" s="1">
        <v>-2.4160957000000001</v>
      </c>
      <c r="U2652" s="1">
        <v>2.9580000000000002</v>
      </c>
      <c r="V2652" s="1">
        <v>64</v>
      </c>
      <c r="W2652" s="1">
        <v>113</v>
      </c>
      <c r="X2652" s="1">
        <v>1.765625</v>
      </c>
      <c r="Y2652" s="1">
        <v>68</v>
      </c>
      <c r="Z2652" s="1">
        <v>113</v>
      </c>
      <c r="AA2652" s="1">
        <v>1.661764705882353</v>
      </c>
      <c r="AB2652" s="1">
        <v>66.759172624007761</v>
      </c>
      <c r="AC2652" s="1">
        <v>113.06817134762881</v>
      </c>
      <c r="AD2652" s="1">
        <v>1.6936724483455854</v>
      </c>
      <c r="AE2652" t="s">
        <v>4815</v>
      </c>
      <c r="AF2652" t="str">
        <f>IF(X2652&lt;$AF$1,"Bajo","Alto")</f>
        <v>Bajo</v>
      </c>
      <c r="AG2652" t="str">
        <f>LEFT(AE2652,1)</f>
        <v>I</v>
      </c>
      <c r="AH2652" t="str">
        <f>K2652</f>
        <v>M</v>
      </c>
      <c r="AI2652" t="str">
        <f>LEFT(AF2652,1)</f>
        <v>B</v>
      </c>
      <c r="AJ2652" t="str">
        <f>LEFT(M2652,1)</f>
        <v>J</v>
      </c>
      <c r="AK2652" t="str">
        <f>_xlfn.CONCAT(AG2652,AH2652,AI2652,AJ2652)</f>
        <v>IMBJ</v>
      </c>
    </row>
    <row r="2653" spans="1:37" ht="15.75" hidden="1" customHeight="1" x14ac:dyDescent="0.2">
      <c r="A2653" s="1">
        <v>2717201</v>
      </c>
      <c r="B2653" s="1" t="s">
        <v>3409</v>
      </c>
      <c r="C2653" s="1" t="s">
        <v>973</v>
      </c>
      <c r="D2653" s="1" t="s">
        <v>391</v>
      </c>
      <c r="E2653" s="1" t="s">
        <v>291</v>
      </c>
      <c r="F2653" s="1" t="s">
        <v>32</v>
      </c>
      <c r="G2653" s="1" t="s">
        <v>3560</v>
      </c>
      <c r="H2653" s="1">
        <v>598</v>
      </c>
      <c r="I2653" s="1" t="s">
        <v>39</v>
      </c>
      <c r="J2653" s="1">
        <v>11</v>
      </c>
      <c r="K2653" s="1" t="s">
        <v>49</v>
      </c>
      <c r="L2653" s="1">
        <v>42</v>
      </c>
      <c r="M2653" s="1" t="str">
        <f>IF(L2653&lt;=45,"Joven","Mayor")</f>
        <v>Joven</v>
      </c>
      <c r="N2653" s="1">
        <v>45</v>
      </c>
      <c r="O2653" s="1" t="s">
        <v>50</v>
      </c>
      <c r="P2653" s="1">
        <v>0.53100000000000003</v>
      </c>
      <c r="Q2653" s="1">
        <v>90.99</v>
      </c>
      <c r="R2653" s="1">
        <v>2.8514621</v>
      </c>
      <c r="S2653" s="1">
        <v>7.8812680000000004</v>
      </c>
      <c r="T2653" s="1">
        <v>0.322718</v>
      </c>
      <c r="U2653" s="1">
        <v>0.98899999999999999</v>
      </c>
      <c r="V2653" s="1">
        <v>65</v>
      </c>
      <c r="W2653" s="1">
        <v>112</v>
      </c>
      <c r="X2653" s="1">
        <v>1.7230769230769232</v>
      </c>
      <c r="Y2653" s="1">
        <v>68</v>
      </c>
      <c r="Z2653" s="1">
        <v>112</v>
      </c>
      <c r="AA2653" s="1">
        <v>1.6470588235294117</v>
      </c>
      <c r="AB2653" s="1">
        <v>67.829947497923058</v>
      </c>
      <c r="AC2653" s="1">
        <v>112.0207532543059</v>
      </c>
      <c r="AD2653" s="1">
        <v>1.6514940286181994</v>
      </c>
      <c r="AE2653" t="s">
        <v>4816</v>
      </c>
      <c r="AF2653" t="str">
        <f>IF(X2653&lt;$AF$1,"Bajo","Alto")</f>
        <v>Bajo</v>
      </c>
      <c r="AG2653" t="str">
        <f>LEFT(AE2653,1)</f>
        <v>D</v>
      </c>
      <c r="AH2653" t="str">
        <f>K2653</f>
        <v>F</v>
      </c>
      <c r="AI2653" t="str">
        <f>LEFT(AF2653,1)</f>
        <v>B</v>
      </c>
      <c r="AJ2653" t="str">
        <f>LEFT(M2653,1)</f>
        <v>J</v>
      </c>
      <c r="AK2653" t="str">
        <f>_xlfn.CONCAT(AG2653,AH2653,AI2653,AJ2653)</f>
        <v>DFBJ</v>
      </c>
    </row>
    <row r="2654" spans="1:37" ht="15.75" hidden="1" customHeight="1" x14ac:dyDescent="0.2">
      <c r="A2654" s="1">
        <v>1534002</v>
      </c>
      <c r="B2654" s="1" t="s">
        <v>2077</v>
      </c>
      <c r="C2654" s="1" t="s">
        <v>57</v>
      </c>
      <c r="D2654" s="1" t="s">
        <v>2438</v>
      </c>
      <c r="E2654" s="1" t="s">
        <v>1433</v>
      </c>
      <c r="F2654" s="1" t="s">
        <v>37</v>
      </c>
      <c r="G2654" s="1" t="s">
        <v>2439</v>
      </c>
      <c r="H2654" s="1">
        <v>627</v>
      </c>
      <c r="I2654" s="1" t="s">
        <v>65</v>
      </c>
      <c r="J2654" s="1">
        <v>2</v>
      </c>
      <c r="K2654" s="1" t="s">
        <v>35</v>
      </c>
      <c r="L2654" s="1">
        <v>55</v>
      </c>
      <c r="M2654" s="1" t="str">
        <f>IF(L2654&lt;=45,"Joven","Mayor")</f>
        <v>Mayor</v>
      </c>
      <c r="N2654" s="1">
        <v>78</v>
      </c>
      <c r="O2654" s="1" t="s">
        <v>36</v>
      </c>
      <c r="P2654" s="1">
        <v>0.27</v>
      </c>
      <c r="Q2654" s="1">
        <v>88.578999999999994</v>
      </c>
      <c r="R2654" s="1">
        <v>-0.22302786999999999</v>
      </c>
      <c r="S2654" s="1">
        <v>14.421358</v>
      </c>
      <c r="T2654" s="1">
        <v>1.1523186000000001</v>
      </c>
      <c r="U2654" s="1">
        <v>1.0720000000000001</v>
      </c>
      <c r="V2654" s="1">
        <v>71</v>
      </c>
      <c r="W2654" s="1">
        <v>125</v>
      </c>
      <c r="X2654" s="1">
        <v>1.7605633802816902</v>
      </c>
      <c r="Y2654" s="1">
        <v>71</v>
      </c>
      <c r="Z2654" s="1">
        <v>125</v>
      </c>
      <c r="AA2654" s="1">
        <v>1.7605633802816902</v>
      </c>
      <c r="AB2654" s="1">
        <v>71.54873248949184</v>
      </c>
      <c r="AC2654" s="1">
        <v>124.8138375049834</v>
      </c>
      <c r="AD2654" s="1">
        <v>1.7444591002826564</v>
      </c>
      <c r="AE2654" t="s">
        <v>4817</v>
      </c>
      <c r="AF2654" t="str">
        <f>IF(X2654&lt;$AF$1,"Bajo","Alto")</f>
        <v>Bajo</v>
      </c>
      <c r="AG2654" t="str">
        <f>LEFT(AE2654,1)</f>
        <v>C</v>
      </c>
      <c r="AH2654" t="str">
        <f>K2654</f>
        <v>M</v>
      </c>
      <c r="AI2654" t="str">
        <f>LEFT(AF2654,1)</f>
        <v>B</v>
      </c>
      <c r="AJ2654" t="str">
        <f>LEFT(M2654,1)</f>
        <v>M</v>
      </c>
      <c r="AK2654" t="str">
        <f>_xlfn.CONCAT(AG2654,AH2654,AI2654,AJ2654)</f>
        <v>CMBM</v>
      </c>
    </row>
    <row r="2655" spans="1:37" ht="15.75" hidden="1" customHeight="1" x14ac:dyDescent="0.2">
      <c r="A2655" s="1">
        <v>2722301</v>
      </c>
      <c r="B2655" s="1" t="s">
        <v>3409</v>
      </c>
      <c r="C2655" s="1" t="s">
        <v>973</v>
      </c>
      <c r="D2655" s="1" t="s">
        <v>3654</v>
      </c>
      <c r="E2655" s="1" t="s">
        <v>423</v>
      </c>
      <c r="F2655" s="1" t="s">
        <v>32</v>
      </c>
      <c r="G2655" s="1" t="s">
        <v>3655</v>
      </c>
      <c r="H2655" s="1">
        <v>2629</v>
      </c>
      <c r="I2655" s="1" t="s">
        <v>294</v>
      </c>
      <c r="J2655" s="1">
        <v>16</v>
      </c>
      <c r="K2655" s="1" t="s">
        <v>35</v>
      </c>
      <c r="L2655" s="1">
        <v>60</v>
      </c>
      <c r="M2655" s="1" t="str">
        <f>IF(L2655&lt;=45,"Joven","Mayor")</f>
        <v>Mayor</v>
      </c>
      <c r="N2655" s="1">
        <v>60</v>
      </c>
      <c r="O2655" s="1" t="s">
        <v>36</v>
      </c>
      <c r="P2655" s="1">
        <v>0.36099999999999999</v>
      </c>
      <c r="Q2655" s="1">
        <v>88.58</v>
      </c>
      <c r="R2655" s="1">
        <v>6.8282284999999998</v>
      </c>
      <c r="S2655" s="1">
        <v>2.1926103000000001</v>
      </c>
      <c r="T2655" s="1">
        <v>-1.1905091999999999</v>
      </c>
      <c r="U2655" s="1">
        <v>3.0070000000000001</v>
      </c>
      <c r="V2655" s="1">
        <v>81</v>
      </c>
      <c r="W2655" s="1">
        <v>144</v>
      </c>
      <c r="X2655" s="1">
        <v>1.7777777777777777</v>
      </c>
      <c r="Y2655" s="1">
        <v>81</v>
      </c>
      <c r="Z2655" s="1">
        <v>144</v>
      </c>
      <c r="AA2655" s="1">
        <v>1.7777777777777777</v>
      </c>
      <c r="AB2655" s="1">
        <v>81.813587649905912</v>
      </c>
      <c r="AC2655" s="1">
        <v>143.98969279461929</v>
      </c>
      <c r="AD2655" s="1">
        <v>1.7599728471849367</v>
      </c>
      <c r="AE2655" t="s">
        <v>4817</v>
      </c>
      <c r="AF2655" t="str">
        <f>IF(X2655&lt;$AF$1,"Bajo","Alto")</f>
        <v>Alto</v>
      </c>
      <c r="AG2655" t="str">
        <f>LEFT(AE2655,1)</f>
        <v>C</v>
      </c>
      <c r="AH2655" t="str">
        <f>K2655</f>
        <v>M</v>
      </c>
      <c r="AI2655" t="str">
        <f>LEFT(AF2655,1)</f>
        <v>A</v>
      </c>
      <c r="AJ2655" t="str">
        <f>LEFT(M2655,1)</f>
        <v>M</v>
      </c>
      <c r="AK2655" t="str">
        <f>_xlfn.CONCAT(AG2655,AH2655,AI2655,AJ2655)</f>
        <v>CMAM</v>
      </c>
    </row>
    <row r="2656" spans="1:37" ht="15.75" hidden="1" customHeight="1" x14ac:dyDescent="0.2">
      <c r="A2656" s="1">
        <v>3111501</v>
      </c>
      <c r="B2656" s="1" t="s">
        <v>4122</v>
      </c>
      <c r="C2656" s="1" t="s">
        <v>628</v>
      </c>
      <c r="D2656" s="1" t="s">
        <v>4160</v>
      </c>
      <c r="E2656" s="1" t="s">
        <v>112</v>
      </c>
      <c r="F2656" s="1" t="s">
        <v>32</v>
      </c>
      <c r="G2656" s="1" t="s">
        <v>4161</v>
      </c>
      <c r="H2656" s="1">
        <v>2787</v>
      </c>
      <c r="I2656" s="1" t="s">
        <v>65</v>
      </c>
      <c r="J2656" s="1">
        <v>2</v>
      </c>
      <c r="K2656" s="1" t="s">
        <v>35</v>
      </c>
      <c r="L2656" s="1">
        <v>26</v>
      </c>
      <c r="M2656" s="1" t="str">
        <f>IF(L2656&lt;=45,"Joven","Mayor")</f>
        <v>Joven</v>
      </c>
      <c r="N2656" s="1">
        <v>25</v>
      </c>
      <c r="O2656" s="1" t="s">
        <v>36</v>
      </c>
      <c r="P2656" s="1">
        <v>0.78300000000000003</v>
      </c>
      <c r="Q2656" s="1">
        <v>89.73</v>
      </c>
      <c r="R2656" s="1">
        <v>6.1734859999999996</v>
      </c>
      <c r="S2656" s="1">
        <v>1.0762875000000001</v>
      </c>
      <c r="T2656" s="1">
        <v>-5.9046709999999996</v>
      </c>
      <c r="U2656" s="1">
        <v>2.99</v>
      </c>
      <c r="V2656" s="1">
        <v>59</v>
      </c>
      <c r="W2656" s="1">
        <v>105</v>
      </c>
      <c r="X2656" s="1">
        <v>1.7796610169491525</v>
      </c>
      <c r="Y2656" s="1">
        <v>59</v>
      </c>
      <c r="Z2656" s="1">
        <v>105</v>
      </c>
      <c r="AA2656" s="1">
        <v>1.7796610169491525</v>
      </c>
      <c r="AB2656" s="1">
        <v>61.258812312565396</v>
      </c>
      <c r="AC2656" s="1">
        <v>104.23716828264971</v>
      </c>
      <c r="AD2656" s="1">
        <v>1.7015865040084788</v>
      </c>
      <c r="AE2656" t="s">
        <v>4817</v>
      </c>
      <c r="AF2656" t="str">
        <f>IF(X2656&lt;$AF$1,"Bajo","Alto")</f>
        <v>Alto</v>
      </c>
      <c r="AG2656" t="str">
        <f>LEFT(AE2656,1)</f>
        <v>C</v>
      </c>
      <c r="AH2656" t="str">
        <f>K2656</f>
        <v>M</v>
      </c>
      <c r="AI2656" t="str">
        <f>LEFT(AF2656,1)</f>
        <v>A</v>
      </c>
      <c r="AJ2656" t="str">
        <f>LEFT(M2656,1)</f>
        <v>J</v>
      </c>
      <c r="AK2656" t="str">
        <f>_xlfn.CONCAT(AG2656,AH2656,AI2656,AJ2656)</f>
        <v>CMAJ</v>
      </c>
    </row>
    <row r="2657" spans="1:37" ht="15.75" hidden="1" customHeight="1" x14ac:dyDescent="0.2">
      <c r="A2657" s="1">
        <v>10512702</v>
      </c>
      <c r="B2657" s="1" t="s">
        <v>694</v>
      </c>
      <c r="C2657" s="1" t="s">
        <v>879</v>
      </c>
      <c r="D2657" s="1" t="s">
        <v>932</v>
      </c>
      <c r="E2657" s="1" t="s">
        <v>153</v>
      </c>
      <c r="F2657" s="1" t="s">
        <v>37</v>
      </c>
      <c r="G2657" s="1" t="s">
        <v>933</v>
      </c>
      <c r="H2657" s="1">
        <v>598</v>
      </c>
      <c r="I2657" s="1" t="s">
        <v>65</v>
      </c>
      <c r="J2657" s="1">
        <v>2</v>
      </c>
      <c r="K2657" s="1" t="s">
        <v>35</v>
      </c>
      <c r="L2657" s="1">
        <v>41</v>
      </c>
      <c r="M2657" s="1" t="str">
        <f>IF(L2657&lt;=45,"Joven","Mayor")</f>
        <v>Joven</v>
      </c>
      <c r="N2657" s="1">
        <v>44</v>
      </c>
      <c r="O2657" s="1" t="s">
        <v>36</v>
      </c>
      <c r="P2657" s="1">
        <v>0.38100000000000001</v>
      </c>
      <c r="Q2657" s="1">
        <v>94.067999999999998</v>
      </c>
      <c r="R2657" s="1">
        <v>-0.54446340000000004</v>
      </c>
      <c r="S2657" s="1">
        <v>3.4886575</v>
      </c>
      <c r="T2657" s="1">
        <v>-1.910426</v>
      </c>
      <c r="U2657" s="1">
        <v>2.2320000000000002</v>
      </c>
      <c r="V2657" s="1">
        <v>77</v>
      </c>
      <c r="W2657" s="1">
        <v>137</v>
      </c>
      <c r="X2657" s="1">
        <v>1.7792207792207793</v>
      </c>
      <c r="Y2657" s="1">
        <v>78</v>
      </c>
      <c r="Z2657" s="1">
        <v>137</v>
      </c>
      <c r="AA2657" s="1">
        <v>1.7564102564102564</v>
      </c>
      <c r="AB2657" s="1">
        <v>78.057323310514903</v>
      </c>
      <c r="AC2657" s="1">
        <v>136.92385077108341</v>
      </c>
      <c r="AD2657" s="1">
        <v>1.7541448382286349</v>
      </c>
      <c r="AE2657" t="s">
        <v>4817</v>
      </c>
      <c r="AF2657" t="str">
        <f>IF(X2657&lt;$AF$1,"Bajo","Alto")</f>
        <v>Alto</v>
      </c>
      <c r="AG2657" t="str">
        <f>LEFT(AE2657,1)</f>
        <v>C</v>
      </c>
      <c r="AH2657" t="str">
        <f>K2657</f>
        <v>M</v>
      </c>
      <c r="AI2657" t="str">
        <f>LEFT(AF2657,1)</f>
        <v>A</v>
      </c>
      <c r="AJ2657" t="str">
        <f>LEFT(M2657,1)</f>
        <v>J</v>
      </c>
      <c r="AK2657" t="str">
        <f>_xlfn.CONCAT(AG2657,AH2657,AI2657,AJ2657)</f>
        <v>CMAJ</v>
      </c>
    </row>
    <row r="2658" spans="1:37" ht="15.75" hidden="1" customHeight="1" x14ac:dyDescent="0.2">
      <c r="A2658" s="1">
        <v>1522601</v>
      </c>
      <c r="B2658" s="1" t="s">
        <v>2077</v>
      </c>
      <c r="C2658" s="1" t="s">
        <v>57</v>
      </c>
      <c r="D2658" s="1" t="s">
        <v>2266</v>
      </c>
      <c r="E2658" s="1" t="s">
        <v>431</v>
      </c>
      <c r="F2658" s="1" t="s">
        <v>32</v>
      </c>
      <c r="G2658" s="1" t="s">
        <v>2267</v>
      </c>
      <c r="H2658" s="1">
        <v>1946</v>
      </c>
      <c r="I2658" s="1" t="s">
        <v>2268</v>
      </c>
      <c r="J2658" s="1">
        <v>2343</v>
      </c>
      <c r="K2658" s="1" t="s">
        <v>35</v>
      </c>
      <c r="L2658" s="1">
        <v>41</v>
      </c>
      <c r="M2658" s="1" t="str">
        <f>IF(L2658&lt;=45,"Joven","Mayor")</f>
        <v>Joven</v>
      </c>
      <c r="N2658" s="1">
        <v>46</v>
      </c>
      <c r="O2658" s="1" t="s">
        <v>36</v>
      </c>
      <c r="P2658" s="1">
        <v>0.44800000000000001</v>
      </c>
      <c r="Q2658" s="1">
        <v>90.489000000000004</v>
      </c>
      <c r="R2658" s="1">
        <v>4.7243550000000001</v>
      </c>
      <c r="S2658" s="1">
        <v>4.7008910000000004</v>
      </c>
      <c r="T2658" s="1">
        <v>-6.7816609999999997</v>
      </c>
      <c r="U2658" s="1">
        <v>8.0359999999999996</v>
      </c>
      <c r="V2658" s="1">
        <v>131</v>
      </c>
      <c r="W2658" s="1">
        <v>233</v>
      </c>
      <c r="X2658" s="1">
        <v>1.7786259541984732</v>
      </c>
      <c r="Y2658" s="1">
        <v>133</v>
      </c>
      <c r="Z2658" s="1">
        <v>233</v>
      </c>
      <c r="AA2658" s="1">
        <v>1.7518796992481203</v>
      </c>
      <c r="AB2658" s="1">
        <v>138.7037276365472</v>
      </c>
      <c r="AC2658" s="1">
        <v>232.19638479726149</v>
      </c>
      <c r="AD2658" s="1">
        <v>1.6740457430653781</v>
      </c>
      <c r="AE2658" t="s">
        <v>4817</v>
      </c>
      <c r="AF2658" t="str">
        <f>IF(X2658&lt;$AF$1,"Bajo","Alto")</f>
        <v>Alto</v>
      </c>
      <c r="AG2658" t="str">
        <f>LEFT(AE2658,1)</f>
        <v>C</v>
      </c>
      <c r="AH2658" t="str">
        <f>K2658</f>
        <v>M</v>
      </c>
      <c r="AI2658" t="str">
        <f>LEFT(AF2658,1)</f>
        <v>A</v>
      </c>
      <c r="AJ2658" t="str">
        <f>LEFT(M2658,1)</f>
        <v>J</v>
      </c>
      <c r="AK2658" t="str">
        <f>_xlfn.CONCAT(AG2658,AH2658,AI2658,AJ2658)</f>
        <v>CMAJ</v>
      </c>
    </row>
    <row r="2659" spans="1:37" ht="15.75" hidden="1" customHeight="1" x14ac:dyDescent="0.2">
      <c r="A2659" s="1">
        <v>4676004</v>
      </c>
      <c r="B2659" s="1" t="s">
        <v>4382</v>
      </c>
      <c r="C2659" s="1" t="s">
        <v>669</v>
      </c>
      <c r="D2659" s="1" t="s">
        <v>4429</v>
      </c>
      <c r="E2659" s="1" t="s">
        <v>4430</v>
      </c>
      <c r="F2659" s="1" t="s">
        <v>61</v>
      </c>
      <c r="G2659" s="1" t="s">
        <v>4432</v>
      </c>
      <c r="H2659" s="1">
        <v>132</v>
      </c>
      <c r="I2659" s="1" t="s">
        <v>4433</v>
      </c>
      <c r="J2659" s="1">
        <v>2917</v>
      </c>
      <c r="K2659" s="1" t="s">
        <v>35</v>
      </c>
      <c r="L2659" s="1">
        <v>47</v>
      </c>
      <c r="M2659" s="1" t="str">
        <f>IF(L2659&lt;=45,"Joven","Mayor")</f>
        <v>Mayor</v>
      </c>
      <c r="N2659" s="1">
        <v>60</v>
      </c>
      <c r="O2659" s="1" t="s">
        <v>36</v>
      </c>
      <c r="P2659" s="1">
        <v>0.52700000000000002</v>
      </c>
      <c r="Q2659" s="1">
        <v>92.896000000000001</v>
      </c>
      <c r="R2659" s="1">
        <v>2.8658747999999998</v>
      </c>
      <c r="S2659" s="1">
        <v>2.3018540000000001</v>
      </c>
      <c r="T2659" s="1">
        <v>-3.6789230000000002</v>
      </c>
      <c r="U2659" s="1">
        <v>1.385</v>
      </c>
      <c r="V2659" s="1">
        <v>112</v>
      </c>
      <c r="W2659" s="1">
        <v>199</v>
      </c>
      <c r="X2659" s="1">
        <v>1.7767857142857142</v>
      </c>
      <c r="Y2659" s="1">
        <v>116</v>
      </c>
      <c r="Z2659" s="1">
        <v>199</v>
      </c>
      <c r="AA2659" s="1">
        <v>1.7155172413793103</v>
      </c>
      <c r="AB2659" s="1">
        <v>115.29828687673781</v>
      </c>
      <c r="AC2659" s="1">
        <v>198.9749099164051</v>
      </c>
      <c r="AD2659" s="1">
        <v>1.7257403844093855</v>
      </c>
      <c r="AE2659" t="s">
        <v>4817</v>
      </c>
      <c r="AF2659" t="str">
        <f>IF(X2659&lt;$AF$1,"Bajo","Alto")</f>
        <v>Alto</v>
      </c>
      <c r="AG2659" t="str">
        <f>LEFT(AE2659,1)</f>
        <v>C</v>
      </c>
      <c r="AH2659" t="str">
        <f>K2659</f>
        <v>M</v>
      </c>
      <c r="AI2659" t="str">
        <f>LEFT(AF2659,1)</f>
        <v>A</v>
      </c>
      <c r="AJ2659" t="str">
        <f>LEFT(M2659,1)</f>
        <v>M</v>
      </c>
      <c r="AK2659" t="str">
        <f>_xlfn.CONCAT(AG2659,AH2659,AI2659,AJ2659)</f>
        <v>CMAM</v>
      </c>
    </row>
    <row r="2660" spans="1:37" ht="15.75" hidden="1" customHeight="1" x14ac:dyDescent="0.2">
      <c r="A2660" s="1">
        <v>1051307</v>
      </c>
      <c r="B2660" s="1" t="s">
        <v>694</v>
      </c>
      <c r="C2660" s="1" t="s">
        <v>879</v>
      </c>
      <c r="D2660" s="1" t="s">
        <v>935</v>
      </c>
      <c r="E2660" s="1" t="s">
        <v>163</v>
      </c>
      <c r="F2660" s="1" t="s">
        <v>43</v>
      </c>
      <c r="G2660" s="1" t="s">
        <v>942</v>
      </c>
      <c r="H2660" s="1">
        <v>31</v>
      </c>
      <c r="I2660" s="1" t="s">
        <v>943</v>
      </c>
      <c r="J2660" s="1">
        <v>202</v>
      </c>
      <c r="K2660" s="1" t="s">
        <v>49</v>
      </c>
      <c r="L2660" s="1">
        <v>47</v>
      </c>
      <c r="M2660" s="1" t="str">
        <f>IF(L2660&lt;=45,"Joven","Mayor")</f>
        <v>Mayor</v>
      </c>
      <c r="N2660" s="1">
        <v>42</v>
      </c>
      <c r="O2660" s="1" t="s">
        <v>50</v>
      </c>
      <c r="P2660" s="1">
        <v>0.56200000000000006</v>
      </c>
      <c r="Q2660" s="1">
        <v>92.15</v>
      </c>
      <c r="R2660" s="1">
        <v>2.0412378000000002</v>
      </c>
      <c r="S2660" s="1">
        <v>6.7088510000000001</v>
      </c>
      <c r="T2660" s="1">
        <v>-4.7077445999999998</v>
      </c>
      <c r="U2660" s="1">
        <v>26.437999999999999</v>
      </c>
      <c r="V2660" s="1">
        <v>131</v>
      </c>
      <c r="W2660" s="1">
        <v>230</v>
      </c>
      <c r="X2660" s="1">
        <v>1.7557251908396947</v>
      </c>
      <c r="Y2660" s="1">
        <v>149</v>
      </c>
      <c r="Z2660" s="1">
        <v>230</v>
      </c>
      <c r="AA2660" s="1">
        <v>1.5436241610738255</v>
      </c>
      <c r="AB2660" s="1">
        <v>143.9832918085792</v>
      </c>
      <c r="AC2660" s="1">
        <v>231.35795327819051</v>
      </c>
      <c r="AD2660" s="1">
        <v>1.6068388934028046</v>
      </c>
      <c r="AE2660" t="s">
        <v>4817</v>
      </c>
      <c r="AF2660" t="str">
        <f>IF(X2660&lt;$AF$1,"Bajo","Alto")</f>
        <v>Bajo</v>
      </c>
      <c r="AG2660" t="str">
        <f>LEFT(AE2660,1)</f>
        <v>C</v>
      </c>
      <c r="AH2660" t="str">
        <f>K2660</f>
        <v>F</v>
      </c>
      <c r="AI2660" t="str">
        <f>LEFT(AF2660,1)</f>
        <v>B</v>
      </c>
      <c r="AJ2660" t="str">
        <f>LEFT(M2660,1)</f>
        <v>M</v>
      </c>
      <c r="AK2660" t="str">
        <f>_xlfn.CONCAT(AG2660,AH2660,AI2660,AJ2660)</f>
        <v>CFBM</v>
      </c>
    </row>
    <row r="2661" spans="1:37" ht="15.75" hidden="1" customHeight="1" x14ac:dyDescent="0.2">
      <c r="A2661" s="1">
        <v>116703</v>
      </c>
      <c r="B2661" s="1" t="s">
        <v>1648</v>
      </c>
      <c r="C2661" s="1" t="s">
        <v>51</v>
      </c>
      <c r="D2661" s="1" t="s">
        <v>1750</v>
      </c>
      <c r="E2661" s="1" t="s">
        <v>715</v>
      </c>
      <c r="F2661" s="1" t="s">
        <v>63</v>
      </c>
      <c r="G2661" s="1" t="s">
        <v>1752</v>
      </c>
      <c r="H2661" s="1">
        <v>49</v>
      </c>
      <c r="I2661" s="1" t="s">
        <v>48</v>
      </c>
      <c r="J2661" s="1">
        <v>4</v>
      </c>
      <c r="K2661" s="1" t="s">
        <v>35</v>
      </c>
      <c r="L2661" s="1">
        <v>49</v>
      </c>
      <c r="M2661" s="1" t="str">
        <f>IF(L2661&lt;=45,"Joven","Mayor")</f>
        <v>Mayor</v>
      </c>
      <c r="N2661" s="1">
        <v>63</v>
      </c>
      <c r="O2661" s="1" t="s">
        <v>36</v>
      </c>
      <c r="P2661" s="1">
        <v>0.129</v>
      </c>
      <c r="Q2661" s="1">
        <v>93.596000000000004</v>
      </c>
      <c r="R2661" s="1">
        <v>-2.3887996999999999</v>
      </c>
      <c r="S2661" s="1">
        <v>1.0138792999999999</v>
      </c>
      <c r="T2661" s="1">
        <v>-2.0008735999999998</v>
      </c>
      <c r="U2661" s="1">
        <v>1.9950000000000001</v>
      </c>
      <c r="V2661" s="1">
        <v>103</v>
      </c>
      <c r="W2661" s="1">
        <v>183</v>
      </c>
      <c r="X2661" s="1">
        <v>1.7766990291262137</v>
      </c>
      <c r="Y2661" s="1">
        <v>104</v>
      </c>
      <c r="Z2661" s="1">
        <v>183</v>
      </c>
      <c r="AA2661" s="1">
        <v>1.7596153846153846</v>
      </c>
      <c r="AB2661" s="1">
        <v>105.40300951095649</v>
      </c>
      <c r="AC2661" s="1">
        <v>183.097912353011</v>
      </c>
      <c r="AD2661" s="1">
        <v>1.7371222434970248</v>
      </c>
      <c r="AE2661" t="s">
        <v>4817</v>
      </c>
      <c r="AF2661" t="str">
        <f>IF(X2661&lt;$AF$1,"Bajo","Alto")</f>
        <v>Alto</v>
      </c>
      <c r="AG2661" t="str">
        <f>LEFT(AE2661,1)</f>
        <v>C</v>
      </c>
      <c r="AH2661" t="str">
        <f>K2661</f>
        <v>M</v>
      </c>
      <c r="AI2661" t="str">
        <f>LEFT(AF2661,1)</f>
        <v>A</v>
      </c>
      <c r="AJ2661" t="str">
        <f>LEFT(M2661,1)</f>
        <v>M</v>
      </c>
      <c r="AK2661" t="str">
        <f>_xlfn.CONCAT(AG2661,AH2661,AI2661,AJ2661)</f>
        <v>CMAM</v>
      </c>
    </row>
    <row r="2662" spans="1:37" ht="15.75" hidden="1" customHeight="1" x14ac:dyDescent="0.2">
      <c r="A2662" s="1">
        <v>297307</v>
      </c>
      <c r="B2662" s="1" t="s">
        <v>3890</v>
      </c>
      <c r="C2662" s="1" t="s">
        <v>1695</v>
      </c>
      <c r="D2662" s="1" t="s">
        <v>4055</v>
      </c>
      <c r="E2662" s="1" t="s">
        <v>1021</v>
      </c>
      <c r="F2662" s="1" t="s">
        <v>43</v>
      </c>
      <c r="G2662" s="1" t="s">
        <v>4062</v>
      </c>
      <c r="H2662" s="1">
        <v>3264</v>
      </c>
      <c r="I2662" s="1" t="s">
        <v>4063</v>
      </c>
      <c r="J2662" s="1">
        <v>2628</v>
      </c>
      <c r="K2662" s="1" t="s">
        <v>49</v>
      </c>
      <c r="L2662" s="1">
        <v>60</v>
      </c>
      <c r="M2662" s="1" t="str">
        <f>IF(L2662&lt;=45,"Joven","Mayor")</f>
        <v>Mayor</v>
      </c>
      <c r="N2662" s="1">
        <v>55</v>
      </c>
      <c r="O2662" s="1" t="s">
        <v>50</v>
      </c>
      <c r="P2662" s="1">
        <v>0.3</v>
      </c>
      <c r="Q2662" s="1">
        <v>94.234999999999999</v>
      </c>
      <c r="R2662" s="1">
        <v>-0.81059829999999999</v>
      </c>
      <c r="S2662" s="1">
        <v>2.1483335000000001</v>
      </c>
      <c r="T2662" s="1">
        <v>-7.9569970000000003</v>
      </c>
      <c r="U2662" s="1">
        <v>35.633000000000003</v>
      </c>
      <c r="V2662" s="1">
        <v>74</v>
      </c>
      <c r="W2662" s="1">
        <v>130</v>
      </c>
      <c r="X2662" s="1">
        <v>1.7567567567567568</v>
      </c>
      <c r="Y2662" s="1">
        <v>82</v>
      </c>
      <c r="Z2662" s="1">
        <v>130</v>
      </c>
      <c r="AA2662" s="1">
        <v>1.5853658536585367</v>
      </c>
      <c r="AB2662" s="1">
        <v>79.655317973493311</v>
      </c>
      <c r="AC2662" s="1">
        <v>131.1016988707506</v>
      </c>
      <c r="AD2662" s="1">
        <v>1.6458624760543541</v>
      </c>
      <c r="AE2662" t="s">
        <v>4817</v>
      </c>
      <c r="AF2662" t="str">
        <f>IF(X2662&lt;$AF$1,"Bajo","Alto")</f>
        <v>Bajo</v>
      </c>
      <c r="AG2662" t="str">
        <f>LEFT(AE2662,1)</f>
        <v>C</v>
      </c>
      <c r="AH2662" t="str">
        <f>K2662</f>
        <v>F</v>
      </c>
      <c r="AI2662" t="str">
        <f>LEFT(AF2662,1)</f>
        <v>B</v>
      </c>
      <c r="AJ2662" t="str">
        <f>LEFT(M2662,1)</f>
        <v>M</v>
      </c>
      <c r="AK2662" t="str">
        <f>_xlfn.CONCAT(AG2662,AH2662,AI2662,AJ2662)</f>
        <v>CFBM</v>
      </c>
    </row>
    <row r="2663" spans="1:37" ht="15.75" hidden="1" customHeight="1" x14ac:dyDescent="0.2">
      <c r="A2663" s="1">
        <v>172603</v>
      </c>
      <c r="B2663" s="1" t="s">
        <v>2551</v>
      </c>
      <c r="C2663" s="1" t="s">
        <v>2552</v>
      </c>
      <c r="D2663" s="1" t="s">
        <v>2608</v>
      </c>
      <c r="E2663" s="1" t="s">
        <v>968</v>
      </c>
      <c r="F2663" s="1" t="s">
        <v>63</v>
      </c>
      <c r="G2663" s="1" t="s">
        <v>2609</v>
      </c>
      <c r="H2663" s="1">
        <v>2967</v>
      </c>
      <c r="I2663" s="1" t="s">
        <v>108</v>
      </c>
      <c r="J2663" s="1">
        <v>3</v>
      </c>
      <c r="K2663" s="1" t="s">
        <v>35</v>
      </c>
      <c r="L2663" s="1">
        <v>40</v>
      </c>
      <c r="M2663" s="1" t="str">
        <f>IF(L2663&lt;=45,"Joven","Mayor")</f>
        <v>Joven</v>
      </c>
      <c r="N2663" s="1">
        <v>47</v>
      </c>
      <c r="O2663" s="1" t="s">
        <v>36</v>
      </c>
      <c r="P2663" s="1">
        <v>0.28100000000000003</v>
      </c>
      <c r="Q2663" s="1">
        <v>92.652000000000001</v>
      </c>
      <c r="R2663" s="1">
        <v>-3.6908829999999999</v>
      </c>
      <c r="S2663" s="1">
        <v>0.75627184000000003</v>
      </c>
      <c r="T2663" s="1">
        <v>4.2403917</v>
      </c>
      <c r="U2663" s="1">
        <v>0.40799999999999997</v>
      </c>
      <c r="V2663" s="1">
        <v>96</v>
      </c>
      <c r="W2663" s="1">
        <v>169</v>
      </c>
      <c r="X2663" s="1">
        <v>1.7604166666666667</v>
      </c>
      <c r="Y2663" s="1">
        <v>103</v>
      </c>
      <c r="Z2663" s="1">
        <v>169</v>
      </c>
      <c r="AA2663" s="1">
        <v>1.6407766990291262</v>
      </c>
      <c r="AB2663" s="1">
        <v>100.1301037937305</v>
      </c>
      <c r="AC2663" s="1">
        <v>169.64649800603681</v>
      </c>
      <c r="AD2663" s="1">
        <v>1.6942606826365736</v>
      </c>
      <c r="AE2663" t="s">
        <v>4817</v>
      </c>
      <c r="AF2663" t="str">
        <f>IF(X2663&lt;$AF$1,"Bajo","Alto")</f>
        <v>Bajo</v>
      </c>
      <c r="AG2663" t="str">
        <f>LEFT(AE2663,1)</f>
        <v>C</v>
      </c>
      <c r="AH2663" t="str">
        <f>K2663</f>
        <v>M</v>
      </c>
      <c r="AI2663" t="str">
        <f>LEFT(AF2663,1)</f>
        <v>B</v>
      </c>
      <c r="AJ2663" t="str">
        <f>LEFT(M2663,1)</f>
        <v>J</v>
      </c>
      <c r="AK2663" t="str">
        <f>_xlfn.CONCAT(AG2663,AH2663,AI2663,AJ2663)</f>
        <v>CMBJ</v>
      </c>
    </row>
    <row r="2664" spans="1:37" ht="15.75" hidden="1" customHeight="1" x14ac:dyDescent="0.2">
      <c r="A2664" s="1">
        <v>1513301</v>
      </c>
      <c r="B2664" s="1" t="s">
        <v>2077</v>
      </c>
      <c r="C2664" s="1" t="s">
        <v>57</v>
      </c>
      <c r="D2664" s="1" t="s">
        <v>2149</v>
      </c>
      <c r="E2664" s="1" t="s">
        <v>169</v>
      </c>
      <c r="F2664" s="1" t="s">
        <v>32</v>
      </c>
      <c r="G2664" s="1" t="s">
        <v>2150</v>
      </c>
      <c r="H2664" s="1">
        <v>15</v>
      </c>
      <c r="I2664" s="1" t="s">
        <v>39</v>
      </c>
      <c r="J2664" s="1">
        <v>11</v>
      </c>
      <c r="K2664" s="1" t="s">
        <v>49</v>
      </c>
      <c r="L2664" s="1">
        <v>37</v>
      </c>
      <c r="M2664" s="1" t="str">
        <f>IF(L2664&lt;=45,"Joven","Mayor")</f>
        <v>Joven</v>
      </c>
      <c r="N2664" s="1">
        <v>28</v>
      </c>
      <c r="O2664" s="1" t="s">
        <v>50</v>
      </c>
      <c r="P2664" s="1">
        <v>0.33500000000000002</v>
      </c>
      <c r="Q2664" s="1">
        <v>61.067</v>
      </c>
      <c r="R2664" s="1">
        <v>13.754657</v>
      </c>
      <c r="S2664" s="1">
        <v>6.9088859999999999</v>
      </c>
      <c r="T2664" s="1">
        <v>-4.4726242999999997</v>
      </c>
      <c r="U2664" s="1">
        <v>0.71099999999999997</v>
      </c>
      <c r="V2664" s="1">
        <v>77</v>
      </c>
      <c r="W2664" s="1">
        <v>133</v>
      </c>
      <c r="X2664" s="1">
        <v>1.7272727272727273</v>
      </c>
      <c r="Y2664" s="1">
        <v>82</v>
      </c>
      <c r="Z2664" s="1">
        <v>133</v>
      </c>
      <c r="AA2664" s="1">
        <v>1.6219512195121952</v>
      </c>
      <c r="AB2664" s="1">
        <v>79.572891957692718</v>
      </c>
      <c r="AC2664" s="1">
        <v>133.2968209549181</v>
      </c>
      <c r="AD2664" s="1">
        <v>1.6751536569236329</v>
      </c>
      <c r="AE2664" t="s">
        <v>4816</v>
      </c>
      <c r="AF2664" t="str">
        <f>IF(X2664&lt;$AF$1,"Bajo","Alto")</f>
        <v>Bajo</v>
      </c>
      <c r="AG2664" t="str">
        <f>LEFT(AE2664,1)</f>
        <v>D</v>
      </c>
      <c r="AH2664" t="str">
        <f>K2664</f>
        <v>F</v>
      </c>
      <c r="AI2664" t="str">
        <f>LEFT(AF2664,1)</f>
        <v>B</v>
      </c>
      <c r="AJ2664" t="str">
        <f>LEFT(M2664,1)</f>
        <v>J</v>
      </c>
      <c r="AK2664" t="str">
        <f>_xlfn.CONCAT(AG2664,AH2664,AI2664,AJ2664)</f>
        <v>DFBJ</v>
      </c>
    </row>
    <row r="2665" spans="1:37" ht="15.75" hidden="1" customHeight="1" x14ac:dyDescent="0.2">
      <c r="A2665" s="1">
        <v>1282504</v>
      </c>
      <c r="B2665" s="1" t="s">
        <v>1798</v>
      </c>
      <c r="C2665" s="1" t="s">
        <v>54</v>
      </c>
      <c r="D2665" s="1" t="s">
        <v>1925</v>
      </c>
      <c r="E2665" s="1" t="s">
        <v>1926</v>
      </c>
      <c r="F2665" s="1" t="s">
        <v>61</v>
      </c>
      <c r="G2665" s="1" t="s">
        <v>1930</v>
      </c>
      <c r="H2665" s="1">
        <v>5314</v>
      </c>
      <c r="I2665" s="1" t="s">
        <v>134</v>
      </c>
      <c r="J2665" s="1">
        <v>8</v>
      </c>
      <c r="K2665" s="1" t="s">
        <v>35</v>
      </c>
      <c r="L2665" s="1">
        <v>51</v>
      </c>
      <c r="M2665" s="1" t="str">
        <f>IF(L2665&lt;=45,"Joven","Mayor")</f>
        <v>Mayor</v>
      </c>
      <c r="N2665" s="1">
        <v>55</v>
      </c>
      <c r="O2665" s="1" t="s">
        <v>36</v>
      </c>
      <c r="P2665" s="1">
        <v>0.21</v>
      </c>
      <c r="Q2665" s="1">
        <v>89.941999999999993</v>
      </c>
      <c r="R2665" s="1">
        <v>-4.3698139999999999</v>
      </c>
      <c r="S2665" s="1">
        <v>7.0940799999999999</v>
      </c>
      <c r="T2665" s="1">
        <v>3.8160850000000002</v>
      </c>
      <c r="U2665" s="1">
        <v>3.452</v>
      </c>
      <c r="V2665" s="1">
        <v>109</v>
      </c>
      <c r="W2665" s="1">
        <v>192</v>
      </c>
      <c r="X2665" s="1">
        <v>1.761467889908257</v>
      </c>
      <c r="Y2665" s="1">
        <v>109</v>
      </c>
      <c r="Z2665" s="1">
        <v>192</v>
      </c>
      <c r="AA2665" s="1">
        <v>1.761467889908257</v>
      </c>
      <c r="AB2665" s="1">
        <v>112.0860285996603</v>
      </c>
      <c r="AC2665" s="1">
        <v>191.57430210986649</v>
      </c>
      <c r="AD2665" s="1">
        <v>1.7091720038910105</v>
      </c>
      <c r="AE2665" t="s">
        <v>4817</v>
      </c>
      <c r="AF2665" t="str">
        <f>IF(X2665&lt;$AF$1,"Bajo","Alto")</f>
        <v>Bajo</v>
      </c>
      <c r="AG2665" t="str">
        <f>LEFT(AE2665,1)</f>
        <v>C</v>
      </c>
      <c r="AH2665" t="str">
        <f>K2665</f>
        <v>M</v>
      </c>
      <c r="AI2665" t="str">
        <f>LEFT(AF2665,1)</f>
        <v>B</v>
      </c>
      <c r="AJ2665" t="str">
        <f>LEFT(M2665,1)</f>
        <v>M</v>
      </c>
      <c r="AK2665" t="str">
        <f>_xlfn.CONCAT(AG2665,AH2665,AI2665,AJ2665)</f>
        <v>CMBM</v>
      </c>
    </row>
    <row r="2666" spans="1:37" ht="15.75" hidden="1" customHeight="1" x14ac:dyDescent="0.2">
      <c r="A2666" s="1">
        <v>195602</v>
      </c>
      <c r="B2666" s="1" t="s">
        <v>2656</v>
      </c>
      <c r="C2666" s="1" t="s">
        <v>323</v>
      </c>
      <c r="D2666" s="1" t="s">
        <v>1639</v>
      </c>
      <c r="E2666" s="1" t="s">
        <v>2751</v>
      </c>
      <c r="F2666" s="1" t="s">
        <v>37</v>
      </c>
      <c r="G2666" s="1" t="s">
        <v>2753</v>
      </c>
      <c r="H2666" s="1">
        <v>1985</v>
      </c>
      <c r="I2666" s="1" t="s">
        <v>65</v>
      </c>
      <c r="J2666" s="1">
        <v>2</v>
      </c>
      <c r="K2666" s="1" t="s">
        <v>35</v>
      </c>
      <c r="L2666" s="1">
        <v>50</v>
      </c>
      <c r="M2666" s="1" t="str">
        <f>IF(L2666&lt;=45,"Joven","Mayor")</f>
        <v>Mayor</v>
      </c>
      <c r="N2666" s="1">
        <v>54</v>
      </c>
      <c r="O2666" s="1" t="s">
        <v>36</v>
      </c>
      <c r="P2666" s="1">
        <v>0.26600000000000001</v>
      </c>
      <c r="Q2666" s="1">
        <v>93.789000000000001</v>
      </c>
      <c r="R2666" s="1">
        <v>1.7002090000000001</v>
      </c>
      <c r="S2666" s="1">
        <v>2.0285959999999998</v>
      </c>
      <c r="T2666" s="1">
        <v>-1.0037894000000001</v>
      </c>
      <c r="U2666" s="1">
        <v>0.67700000000000005</v>
      </c>
      <c r="V2666" s="1">
        <v>103</v>
      </c>
      <c r="W2666" s="1">
        <v>183</v>
      </c>
      <c r="X2666" s="1">
        <v>1.7766990291262137</v>
      </c>
      <c r="Y2666" s="1">
        <v>106</v>
      </c>
      <c r="Z2666" s="1">
        <v>183</v>
      </c>
      <c r="AA2666" s="1">
        <v>1.7264150943396226</v>
      </c>
      <c r="AB2666" s="1">
        <v>106.7720671258357</v>
      </c>
      <c r="AC2666" s="1">
        <v>182.91936098261391</v>
      </c>
      <c r="AD2666" s="1">
        <v>1.713176169634659</v>
      </c>
      <c r="AE2666" t="s">
        <v>4817</v>
      </c>
      <c r="AF2666" t="str">
        <f>IF(X2666&lt;$AF$1,"Bajo","Alto")</f>
        <v>Alto</v>
      </c>
      <c r="AG2666" t="str">
        <f>LEFT(AE2666,1)</f>
        <v>C</v>
      </c>
      <c r="AH2666" t="str">
        <f>K2666</f>
        <v>M</v>
      </c>
      <c r="AI2666" t="str">
        <f>LEFT(AF2666,1)</f>
        <v>A</v>
      </c>
      <c r="AJ2666" t="str">
        <f>LEFT(M2666,1)</f>
        <v>M</v>
      </c>
      <c r="AK2666" t="str">
        <f>_xlfn.CONCAT(AG2666,AH2666,AI2666,AJ2666)</f>
        <v>CMAM</v>
      </c>
    </row>
    <row r="2667" spans="1:37" ht="15.75" hidden="1" customHeight="1" x14ac:dyDescent="0.2">
      <c r="A2667" s="1">
        <v>295805</v>
      </c>
      <c r="B2667" s="1" t="s">
        <v>3890</v>
      </c>
      <c r="C2667" s="1" t="s">
        <v>1695</v>
      </c>
      <c r="D2667" s="1" t="s">
        <v>4035</v>
      </c>
      <c r="E2667" s="1" t="s">
        <v>695</v>
      </c>
      <c r="F2667" s="1" t="s">
        <v>40</v>
      </c>
      <c r="G2667" s="1" t="s">
        <v>4040</v>
      </c>
      <c r="H2667" s="1">
        <v>4517</v>
      </c>
      <c r="I2667" s="1" t="s">
        <v>65</v>
      </c>
      <c r="J2667" s="1">
        <v>2</v>
      </c>
      <c r="K2667" s="1" t="s">
        <v>35</v>
      </c>
      <c r="L2667" s="1">
        <v>60</v>
      </c>
      <c r="M2667" s="1" t="str">
        <f>IF(L2667&lt;=45,"Joven","Mayor")</f>
        <v>Mayor</v>
      </c>
      <c r="N2667" s="1">
        <v>67</v>
      </c>
      <c r="O2667" s="1" t="s">
        <v>36</v>
      </c>
      <c r="P2667" s="1">
        <v>0.31</v>
      </c>
      <c r="Q2667" s="1">
        <v>93.18</v>
      </c>
      <c r="R2667" s="1">
        <v>-2.7271969999999999</v>
      </c>
      <c r="S2667" s="1">
        <v>-1.7349627000000001</v>
      </c>
      <c r="T2667" s="1">
        <v>1.3831971999999999</v>
      </c>
      <c r="U2667" s="1">
        <v>5.048</v>
      </c>
      <c r="V2667" s="1">
        <v>85</v>
      </c>
      <c r="W2667" s="1">
        <v>151</v>
      </c>
      <c r="X2667" s="1">
        <v>1.776470588235294</v>
      </c>
      <c r="Y2667" s="1">
        <v>85</v>
      </c>
      <c r="Z2667" s="1">
        <v>151</v>
      </c>
      <c r="AA2667" s="1">
        <v>1.776470588235294</v>
      </c>
      <c r="AB2667" s="1">
        <v>85.868375026560216</v>
      </c>
      <c r="AC2667" s="1">
        <v>151.02841739448331</v>
      </c>
      <c r="AD2667" s="1">
        <v>1.7588363276674124</v>
      </c>
      <c r="AE2667" t="s">
        <v>4817</v>
      </c>
      <c r="AF2667" t="str">
        <f>IF(X2667&lt;$AF$1,"Bajo","Alto")</f>
        <v>Alto</v>
      </c>
      <c r="AG2667" t="str">
        <f>LEFT(AE2667,1)</f>
        <v>C</v>
      </c>
      <c r="AH2667" t="str">
        <f>K2667</f>
        <v>M</v>
      </c>
      <c r="AI2667" t="str">
        <f>LEFT(AF2667,1)</f>
        <v>A</v>
      </c>
      <c r="AJ2667" t="str">
        <f>LEFT(M2667,1)</f>
        <v>M</v>
      </c>
      <c r="AK2667" t="str">
        <f>_xlfn.CONCAT(AG2667,AH2667,AI2667,AJ2667)</f>
        <v>CMAM</v>
      </c>
    </row>
    <row r="2668" spans="1:37" ht="15.75" hidden="1" customHeight="1" x14ac:dyDescent="0.2">
      <c r="A2668" s="1">
        <v>293702</v>
      </c>
      <c r="B2668" s="1" t="s">
        <v>3890</v>
      </c>
      <c r="C2668" s="1" t="s">
        <v>1695</v>
      </c>
      <c r="D2668" s="1" t="s">
        <v>4002</v>
      </c>
      <c r="E2668" s="1" t="s">
        <v>647</v>
      </c>
      <c r="F2668" s="1" t="s">
        <v>37</v>
      </c>
      <c r="G2668" s="1" t="s">
        <v>4004</v>
      </c>
      <c r="H2668" s="1">
        <v>1480</v>
      </c>
      <c r="I2668" s="1" t="s">
        <v>4005</v>
      </c>
      <c r="J2668" s="1">
        <v>3696</v>
      </c>
      <c r="K2668" s="1" t="s">
        <v>35</v>
      </c>
      <c r="L2668" s="1">
        <v>52</v>
      </c>
      <c r="M2668" s="1" t="str">
        <f>IF(L2668&lt;=45,"Joven","Mayor")</f>
        <v>Mayor</v>
      </c>
      <c r="N2668" s="1">
        <v>44</v>
      </c>
      <c r="O2668" s="1" t="s">
        <v>36</v>
      </c>
      <c r="P2668" s="1">
        <v>0.29699999999999999</v>
      </c>
      <c r="Q2668" s="1">
        <v>93.113</v>
      </c>
      <c r="R2668" s="1">
        <v>1.6033082000000001</v>
      </c>
      <c r="S2668" s="1">
        <v>4.9783090000000003</v>
      </c>
      <c r="T2668" s="1">
        <v>5.0823584000000004</v>
      </c>
      <c r="U2668" s="1">
        <v>5.7720000000000002</v>
      </c>
      <c r="V2668" s="1">
        <v>84</v>
      </c>
      <c r="W2668" s="1">
        <v>148</v>
      </c>
      <c r="X2668" s="1">
        <v>1.7619047619047619</v>
      </c>
      <c r="Y2668" s="1">
        <v>90</v>
      </c>
      <c r="Z2668" s="1">
        <v>148</v>
      </c>
      <c r="AA2668" s="1">
        <v>1.6444444444444444</v>
      </c>
      <c r="AB2668" s="1">
        <v>87.567599420326815</v>
      </c>
      <c r="AC2668" s="1">
        <v>148.30399766387151</v>
      </c>
      <c r="AD2668" s="1">
        <v>1.6935944190043211</v>
      </c>
      <c r="AE2668" t="s">
        <v>4817</v>
      </c>
      <c r="AF2668" t="str">
        <f>IF(X2668&lt;$AF$1,"Bajo","Alto")</f>
        <v>Bajo</v>
      </c>
      <c r="AG2668" t="str">
        <f>LEFT(AE2668,1)</f>
        <v>C</v>
      </c>
      <c r="AH2668" t="str">
        <f>K2668</f>
        <v>M</v>
      </c>
      <c r="AI2668" t="str">
        <f>LEFT(AF2668,1)</f>
        <v>B</v>
      </c>
      <c r="AJ2668" t="str">
        <f>LEFT(M2668,1)</f>
        <v>M</v>
      </c>
      <c r="AK2668" t="str">
        <f>_xlfn.CONCAT(AG2668,AH2668,AI2668,AJ2668)</f>
        <v>CMBM</v>
      </c>
    </row>
    <row r="2669" spans="1:37" ht="15.75" hidden="1" customHeight="1" x14ac:dyDescent="0.2">
      <c r="A2669" s="1">
        <v>1516601</v>
      </c>
      <c r="B2669" s="1" t="s">
        <v>2077</v>
      </c>
      <c r="C2669" s="1" t="s">
        <v>57</v>
      </c>
      <c r="D2669" s="1" t="s">
        <v>2191</v>
      </c>
      <c r="E2669" s="1" t="s">
        <v>265</v>
      </c>
      <c r="F2669" s="1" t="s">
        <v>32</v>
      </c>
      <c r="G2669" s="1" t="s">
        <v>2192</v>
      </c>
      <c r="H2669" s="1">
        <v>15</v>
      </c>
      <c r="I2669" s="1" t="s">
        <v>39</v>
      </c>
      <c r="J2669" s="1">
        <v>11</v>
      </c>
      <c r="K2669" s="1" t="s">
        <v>35</v>
      </c>
      <c r="L2669" s="1">
        <v>46</v>
      </c>
      <c r="M2669" s="1" t="str">
        <f>IF(L2669&lt;=45,"Joven","Mayor")</f>
        <v>Mayor</v>
      </c>
      <c r="N2669" s="1">
        <v>44</v>
      </c>
      <c r="O2669" s="1" t="s">
        <v>36</v>
      </c>
      <c r="P2669" s="1">
        <v>0.18</v>
      </c>
      <c r="Q2669" s="1">
        <v>88.861000000000004</v>
      </c>
      <c r="R2669" s="1">
        <v>-6.8316072999999999</v>
      </c>
      <c r="S2669" s="1">
        <v>-1.5223108999999999</v>
      </c>
      <c r="T2669" s="1">
        <v>5.3184265999999996</v>
      </c>
      <c r="U2669" s="1">
        <v>68.646000000000001</v>
      </c>
      <c r="V2669" s="1">
        <v>86</v>
      </c>
      <c r="W2669" s="1">
        <v>152</v>
      </c>
      <c r="X2669" s="1">
        <v>1.7674418604651163</v>
      </c>
      <c r="Y2669" s="1">
        <v>93</v>
      </c>
      <c r="Z2669" s="1">
        <v>152</v>
      </c>
      <c r="AA2669" s="1">
        <v>1.6344086021505377</v>
      </c>
      <c r="AB2669" s="1">
        <v>89.708160580286631</v>
      </c>
      <c r="AC2669" s="1">
        <v>152.08715735960189</v>
      </c>
      <c r="AD2669" s="1">
        <v>1.6953547634441526</v>
      </c>
      <c r="AE2669" t="s">
        <v>4816</v>
      </c>
      <c r="AF2669" t="str">
        <f>IF(X2669&lt;$AF$1,"Bajo","Alto")</f>
        <v>Bajo</v>
      </c>
      <c r="AG2669" t="str">
        <f>LEFT(AE2669,1)</f>
        <v>D</v>
      </c>
      <c r="AH2669" t="str">
        <f>K2669</f>
        <v>M</v>
      </c>
      <c r="AI2669" t="str">
        <f>LEFT(AF2669,1)</f>
        <v>B</v>
      </c>
      <c r="AJ2669" t="str">
        <f>LEFT(M2669,1)</f>
        <v>M</v>
      </c>
      <c r="AK2669" t="str">
        <f>_xlfn.CONCAT(AG2669,AH2669,AI2669,AJ2669)</f>
        <v>DMBM</v>
      </c>
    </row>
    <row r="2670" spans="1:37" ht="15.75" hidden="1" customHeight="1" x14ac:dyDescent="0.2">
      <c r="A2670" s="1">
        <v>10117503</v>
      </c>
      <c r="B2670" s="1" t="s">
        <v>29</v>
      </c>
      <c r="C2670" s="1" t="s">
        <v>30</v>
      </c>
      <c r="D2670" s="1" t="s">
        <v>295</v>
      </c>
      <c r="E2670" s="1" t="s">
        <v>296</v>
      </c>
      <c r="F2670" s="1" t="s">
        <v>63</v>
      </c>
      <c r="G2670" s="1" t="s">
        <v>298</v>
      </c>
      <c r="H2670" s="1">
        <v>1748</v>
      </c>
      <c r="I2670" s="1" t="s">
        <v>48</v>
      </c>
      <c r="J2670" s="1">
        <v>4</v>
      </c>
      <c r="K2670" s="1" t="s">
        <v>35</v>
      </c>
      <c r="L2670" s="1">
        <v>36</v>
      </c>
      <c r="M2670" s="1" t="str">
        <f>IF(L2670&lt;=45,"Joven","Mayor")</f>
        <v>Joven</v>
      </c>
      <c r="N2670" s="1">
        <v>44</v>
      </c>
      <c r="O2670" s="1" t="s">
        <v>36</v>
      </c>
      <c r="P2670" s="1">
        <v>0.39</v>
      </c>
      <c r="Q2670" s="1">
        <v>94.186000000000007</v>
      </c>
      <c r="R2670" s="1">
        <v>-1.3221700000000001</v>
      </c>
      <c r="S2670" s="1">
        <v>0.84486790000000001</v>
      </c>
      <c r="T2670" s="1">
        <v>-0.43048728000000003</v>
      </c>
      <c r="U2670" s="1">
        <v>15.891999999999999</v>
      </c>
      <c r="V2670" s="1">
        <v>81</v>
      </c>
      <c r="W2670" s="1">
        <v>144</v>
      </c>
      <c r="X2670" s="1">
        <v>1.7777777777777777</v>
      </c>
      <c r="Y2670" s="1">
        <v>82</v>
      </c>
      <c r="Z2670" s="1">
        <v>144</v>
      </c>
      <c r="AA2670" s="1">
        <v>1.7560975609756098</v>
      </c>
      <c r="AB2670" s="1">
        <v>82.27567944008365</v>
      </c>
      <c r="AC2670" s="1">
        <v>144.0034488618285</v>
      </c>
      <c r="AD2670" s="1">
        <v>1.7502553590784675</v>
      </c>
      <c r="AE2670" t="s">
        <v>4817</v>
      </c>
      <c r="AF2670" t="str">
        <f>IF(X2670&lt;$AF$1,"Bajo","Alto")</f>
        <v>Alto</v>
      </c>
      <c r="AG2670" t="str">
        <f>LEFT(AE2670,1)</f>
        <v>C</v>
      </c>
      <c r="AH2670" t="str">
        <f>K2670</f>
        <v>M</v>
      </c>
      <c r="AI2670" t="str">
        <f>LEFT(AF2670,1)</f>
        <v>A</v>
      </c>
      <c r="AJ2670" t="str">
        <f>LEFT(M2670,1)</f>
        <v>J</v>
      </c>
      <c r="AK2670" t="str">
        <f>_xlfn.CONCAT(AG2670,AH2670,AI2670,AJ2670)</f>
        <v>CMAJ</v>
      </c>
    </row>
    <row r="2671" spans="1:37" ht="15.75" hidden="1" customHeight="1" x14ac:dyDescent="0.2">
      <c r="A2671" s="1">
        <v>1220006</v>
      </c>
      <c r="B2671" s="1" t="s">
        <v>1798</v>
      </c>
      <c r="C2671" s="1" t="s">
        <v>54</v>
      </c>
      <c r="D2671" s="1" t="s">
        <v>1813</v>
      </c>
      <c r="E2671" s="1" t="s">
        <v>1814</v>
      </c>
      <c r="F2671" s="1" t="s">
        <v>88</v>
      </c>
      <c r="G2671" s="1" t="s">
        <v>1818</v>
      </c>
      <c r="H2671" s="1">
        <v>4107</v>
      </c>
      <c r="I2671" s="1" t="s">
        <v>1819</v>
      </c>
      <c r="J2671" s="1">
        <v>3516</v>
      </c>
      <c r="K2671" s="1" t="s">
        <v>49</v>
      </c>
      <c r="L2671" s="1">
        <v>44</v>
      </c>
      <c r="M2671" s="1" t="str">
        <f>IF(L2671&lt;=45,"Joven","Mayor")</f>
        <v>Joven</v>
      </c>
      <c r="N2671" s="1">
        <v>32</v>
      </c>
      <c r="O2671" s="1" t="s">
        <v>50</v>
      </c>
      <c r="P2671" s="1">
        <v>0.33100000000000002</v>
      </c>
      <c r="Q2671" s="1">
        <v>88.725999999999999</v>
      </c>
      <c r="R2671" s="1">
        <v>-4.291156</v>
      </c>
      <c r="S2671" s="1">
        <v>9.3062860000000001</v>
      </c>
      <c r="T2671" s="1">
        <v>2.2675109999999998</v>
      </c>
      <c r="U2671" s="1">
        <v>28.753</v>
      </c>
      <c r="V2671" s="1">
        <v>97</v>
      </c>
      <c r="W2671" s="1">
        <v>171</v>
      </c>
      <c r="X2671" s="1">
        <v>1.7628865979381443</v>
      </c>
      <c r="Y2671" s="1">
        <v>97</v>
      </c>
      <c r="Z2671" s="1">
        <v>171</v>
      </c>
      <c r="AA2671" s="1">
        <v>1.7628865979381443</v>
      </c>
      <c r="AB2671" s="1">
        <v>98.467091021500437</v>
      </c>
      <c r="AC2671" s="1">
        <v>170.74740981946979</v>
      </c>
      <c r="AD2671" s="1">
        <v>1.7340555920575214</v>
      </c>
      <c r="AE2671" t="s">
        <v>4817</v>
      </c>
      <c r="AF2671" t="str">
        <f>IF(X2671&lt;$AF$1,"Bajo","Alto")</f>
        <v>Bajo</v>
      </c>
      <c r="AG2671" t="str">
        <f>LEFT(AE2671,1)</f>
        <v>C</v>
      </c>
      <c r="AH2671" t="str">
        <f>K2671</f>
        <v>F</v>
      </c>
      <c r="AI2671" t="str">
        <f>LEFT(AF2671,1)</f>
        <v>B</v>
      </c>
      <c r="AJ2671" t="str">
        <f>LEFT(M2671,1)</f>
        <v>J</v>
      </c>
      <c r="AK2671" t="str">
        <f>_xlfn.CONCAT(AG2671,AH2671,AI2671,AJ2671)</f>
        <v>CFBJ</v>
      </c>
    </row>
    <row r="2672" spans="1:37" ht="15.75" hidden="1" customHeight="1" x14ac:dyDescent="0.2">
      <c r="A2672" s="1">
        <v>10716007</v>
      </c>
      <c r="B2672" s="1" t="s">
        <v>1067</v>
      </c>
      <c r="C2672" s="1" t="s">
        <v>1068</v>
      </c>
      <c r="D2672" s="1" t="s">
        <v>1152</v>
      </c>
      <c r="E2672" s="1" t="s">
        <v>234</v>
      </c>
      <c r="F2672" s="1" t="s">
        <v>43</v>
      </c>
      <c r="G2672" s="1" t="s">
        <v>1159</v>
      </c>
      <c r="H2672" s="1">
        <v>3764</v>
      </c>
      <c r="I2672" s="1" t="s">
        <v>1160</v>
      </c>
      <c r="J2672" s="1">
        <v>4545</v>
      </c>
      <c r="K2672" s="1" t="s">
        <v>35</v>
      </c>
      <c r="L2672" s="1">
        <v>45</v>
      </c>
      <c r="M2672" s="1" t="str">
        <f>IF(L2672&lt;=45,"Joven","Mayor")</f>
        <v>Joven</v>
      </c>
      <c r="N2672" s="1">
        <v>49</v>
      </c>
      <c r="O2672" s="1" t="s">
        <v>36</v>
      </c>
      <c r="P2672" s="1">
        <v>0.185</v>
      </c>
      <c r="Q2672" s="1">
        <v>78.954999999999998</v>
      </c>
      <c r="R2672" s="1">
        <v>10.095782</v>
      </c>
      <c r="S2672" s="1">
        <v>6.0402699999999996</v>
      </c>
      <c r="T2672" s="1">
        <v>-4.1337923999999999</v>
      </c>
      <c r="U2672" s="1">
        <v>12.879</v>
      </c>
      <c r="V2672" s="1">
        <v>99</v>
      </c>
      <c r="W2672" s="1">
        <v>176</v>
      </c>
      <c r="X2672" s="1">
        <v>1.7777777777777777</v>
      </c>
      <c r="Y2672" s="1">
        <v>102</v>
      </c>
      <c r="Z2672" s="1">
        <v>176</v>
      </c>
      <c r="AA2672" s="1">
        <v>1.7254901960784315</v>
      </c>
      <c r="AB2672" s="1">
        <v>102.4909026438195</v>
      </c>
      <c r="AC2672" s="1">
        <v>175.83046847320659</v>
      </c>
      <c r="AD2672" s="1">
        <v>1.7155714696382343</v>
      </c>
      <c r="AE2672" t="s">
        <v>4817</v>
      </c>
      <c r="AF2672" t="str">
        <f>IF(X2672&lt;$AF$1,"Bajo","Alto")</f>
        <v>Alto</v>
      </c>
      <c r="AG2672" t="str">
        <f>LEFT(AE2672,1)</f>
        <v>C</v>
      </c>
      <c r="AH2672" t="str">
        <f>K2672</f>
        <v>M</v>
      </c>
      <c r="AI2672" t="str">
        <f>LEFT(AF2672,1)</f>
        <v>A</v>
      </c>
      <c r="AJ2672" t="str">
        <f>LEFT(M2672,1)</f>
        <v>J</v>
      </c>
      <c r="AK2672" t="str">
        <f>_xlfn.CONCAT(AG2672,AH2672,AI2672,AJ2672)</f>
        <v>CMAJ</v>
      </c>
    </row>
    <row r="2673" spans="1:37" ht="15.75" hidden="1" customHeight="1" x14ac:dyDescent="0.2">
      <c r="A2673" s="1">
        <v>1220005</v>
      </c>
      <c r="B2673" s="1" t="s">
        <v>1798</v>
      </c>
      <c r="C2673" s="1" t="s">
        <v>54</v>
      </c>
      <c r="D2673" s="1" t="s">
        <v>1813</v>
      </c>
      <c r="E2673" s="1" t="s">
        <v>1814</v>
      </c>
      <c r="F2673" s="1" t="s">
        <v>40</v>
      </c>
      <c r="G2673" s="1" t="s">
        <v>1817</v>
      </c>
      <c r="H2673" s="1">
        <v>482</v>
      </c>
      <c r="I2673" s="1" t="s">
        <v>73</v>
      </c>
      <c r="J2673" s="1">
        <v>5</v>
      </c>
      <c r="K2673" s="1" t="s">
        <v>35</v>
      </c>
      <c r="L2673" s="1">
        <v>38</v>
      </c>
      <c r="M2673" s="1" t="str">
        <f>IF(L2673&lt;=45,"Joven","Mayor")</f>
        <v>Joven</v>
      </c>
      <c r="N2673" s="1">
        <v>33</v>
      </c>
      <c r="O2673" s="1" t="s">
        <v>36</v>
      </c>
      <c r="P2673" s="1">
        <v>0.38800000000000001</v>
      </c>
      <c r="Q2673" s="1">
        <v>92.775000000000006</v>
      </c>
      <c r="R2673" s="1">
        <v>-3.4331808000000001</v>
      </c>
      <c r="S2673" s="1">
        <v>1.0330037999999999</v>
      </c>
      <c r="T2673" s="1">
        <v>-1.6265959999999999</v>
      </c>
      <c r="U2673" s="1">
        <v>15.047000000000001</v>
      </c>
      <c r="V2673" s="1">
        <v>99</v>
      </c>
      <c r="W2673" s="1">
        <v>176</v>
      </c>
      <c r="X2673" s="1">
        <v>1.7777777777777777</v>
      </c>
      <c r="Y2673" s="1">
        <v>99</v>
      </c>
      <c r="Z2673" s="1">
        <v>176</v>
      </c>
      <c r="AA2673" s="1">
        <v>1.7777777777777777</v>
      </c>
      <c r="AB2673" s="1">
        <v>100.3226184393548</v>
      </c>
      <c r="AC2673" s="1">
        <v>176.0426227477046</v>
      </c>
      <c r="AD2673" s="1">
        <v>1.7547650319167325</v>
      </c>
      <c r="AE2673" t="s">
        <v>4817</v>
      </c>
      <c r="AF2673" t="str">
        <f>IF(X2673&lt;$AF$1,"Bajo","Alto")</f>
        <v>Alto</v>
      </c>
      <c r="AG2673" t="str">
        <f>LEFT(AE2673,1)</f>
        <v>C</v>
      </c>
      <c r="AH2673" t="str">
        <f>K2673</f>
        <v>M</v>
      </c>
      <c r="AI2673" t="str">
        <f>LEFT(AF2673,1)</f>
        <v>A</v>
      </c>
      <c r="AJ2673" t="str">
        <f>LEFT(M2673,1)</f>
        <v>J</v>
      </c>
      <c r="AK2673" t="str">
        <f>_xlfn.CONCAT(AG2673,AH2673,AI2673,AJ2673)</f>
        <v>CMAJ</v>
      </c>
    </row>
    <row r="2674" spans="1:37" ht="15.75" hidden="1" customHeight="1" x14ac:dyDescent="0.2">
      <c r="A2674" s="1">
        <v>1059512</v>
      </c>
      <c r="B2674" s="1" t="s">
        <v>694</v>
      </c>
      <c r="C2674" s="1" t="s">
        <v>879</v>
      </c>
      <c r="D2674" s="1" t="s">
        <v>1055</v>
      </c>
      <c r="E2674" s="1" t="s">
        <v>1056</v>
      </c>
      <c r="F2674" s="1" t="s">
        <v>54</v>
      </c>
      <c r="G2674" s="1" t="s">
        <v>1058</v>
      </c>
      <c r="H2674" s="1">
        <v>9124</v>
      </c>
      <c r="I2674" s="1" t="s">
        <v>39</v>
      </c>
      <c r="J2674" s="1">
        <v>11</v>
      </c>
      <c r="K2674" s="1" t="s">
        <v>35</v>
      </c>
      <c r="L2674" s="1">
        <v>37</v>
      </c>
      <c r="M2674" s="1" t="str">
        <f>IF(L2674&lt;=45,"Joven","Mayor")</f>
        <v>Joven</v>
      </c>
      <c r="N2674" s="1">
        <v>36</v>
      </c>
      <c r="O2674" s="1" t="s">
        <v>36</v>
      </c>
      <c r="P2674" s="1">
        <v>1.3779999999999999</v>
      </c>
      <c r="Q2674" s="1">
        <v>92.043999999999997</v>
      </c>
      <c r="R2674" s="1">
        <v>-3.7915429999999999</v>
      </c>
      <c r="S2674" s="1">
        <v>1.6733562</v>
      </c>
      <c r="T2674" s="1">
        <v>2.1314776000000002</v>
      </c>
      <c r="U2674" s="1">
        <v>1.56</v>
      </c>
      <c r="V2674" s="1">
        <v>98</v>
      </c>
      <c r="W2674" s="1">
        <v>174</v>
      </c>
      <c r="X2674" s="1">
        <v>1.7755102040816326</v>
      </c>
      <c r="Y2674" s="1">
        <v>100</v>
      </c>
      <c r="Z2674" s="1">
        <v>174</v>
      </c>
      <c r="AA2674" s="1">
        <v>1.74</v>
      </c>
      <c r="AB2674" s="1">
        <v>99.531481956829111</v>
      </c>
      <c r="AC2674" s="1">
        <v>173.95399682095061</v>
      </c>
      <c r="AD2674" s="1">
        <v>1.7477283910672765</v>
      </c>
      <c r="AE2674" t="s">
        <v>4816</v>
      </c>
      <c r="AF2674" t="str">
        <f>IF(X2674&lt;$AF$1,"Bajo","Alto")</f>
        <v>Alto</v>
      </c>
      <c r="AG2674" t="str">
        <f>LEFT(AE2674,1)</f>
        <v>D</v>
      </c>
      <c r="AH2674" t="str">
        <f>K2674</f>
        <v>M</v>
      </c>
      <c r="AI2674" t="str">
        <f>LEFT(AF2674,1)</f>
        <v>A</v>
      </c>
      <c r="AJ2674" t="str">
        <f>LEFT(M2674,1)</f>
        <v>J</v>
      </c>
      <c r="AK2674" t="str">
        <f>_xlfn.CONCAT(AG2674,AH2674,AI2674,AJ2674)</f>
        <v>DMAJ</v>
      </c>
    </row>
    <row r="2675" spans="1:37" ht="15.75" hidden="1" customHeight="1" x14ac:dyDescent="0.2">
      <c r="A2675" s="1">
        <v>190104</v>
      </c>
      <c r="B2675" s="1" t="s">
        <v>2656</v>
      </c>
      <c r="C2675" s="1" t="s">
        <v>323</v>
      </c>
      <c r="D2675" s="1" t="s">
        <v>2657</v>
      </c>
      <c r="E2675" s="1" t="s">
        <v>32</v>
      </c>
      <c r="F2675" s="1" t="s">
        <v>61</v>
      </c>
      <c r="G2675" s="1" t="s">
        <v>2659</v>
      </c>
      <c r="H2675" s="1">
        <v>6319</v>
      </c>
      <c r="I2675" s="1" t="s">
        <v>65</v>
      </c>
      <c r="J2675" s="1">
        <v>2</v>
      </c>
      <c r="K2675" s="1" t="s">
        <v>35</v>
      </c>
      <c r="L2675" s="1">
        <v>48</v>
      </c>
      <c r="M2675" s="1" t="str">
        <f>IF(L2675&lt;=45,"Joven","Mayor")</f>
        <v>Mayor</v>
      </c>
      <c r="N2675" s="1">
        <v>51</v>
      </c>
      <c r="O2675" s="1" t="s">
        <v>36</v>
      </c>
      <c r="P2675" s="1">
        <v>0.32800000000000001</v>
      </c>
      <c r="Q2675" s="1">
        <v>93.287000000000006</v>
      </c>
      <c r="R2675" s="1">
        <v>2.9157598</v>
      </c>
      <c r="S2675" s="1">
        <v>-0.47882439999999998</v>
      </c>
      <c r="T2675" s="1">
        <v>-0.64862215999999995</v>
      </c>
      <c r="U2675" s="1">
        <v>37.558</v>
      </c>
      <c r="V2675" s="1">
        <v>76</v>
      </c>
      <c r="W2675" s="1">
        <v>135</v>
      </c>
      <c r="X2675" s="1">
        <v>1.7763157894736843</v>
      </c>
      <c r="Y2675" s="1">
        <v>78</v>
      </c>
      <c r="Z2675" s="1">
        <v>135</v>
      </c>
      <c r="AA2675" s="1">
        <v>1.7307692307692308</v>
      </c>
      <c r="AB2675" s="1">
        <v>77.644071111447374</v>
      </c>
      <c r="AC2675" s="1">
        <v>135.03663097719749</v>
      </c>
      <c r="AD2675" s="1">
        <v>1.7391750463904836</v>
      </c>
      <c r="AE2675" t="s">
        <v>4817</v>
      </c>
      <c r="AF2675" t="str">
        <f>IF(X2675&lt;$AF$1,"Bajo","Alto")</f>
        <v>Alto</v>
      </c>
      <c r="AG2675" t="str">
        <f>LEFT(AE2675,1)</f>
        <v>C</v>
      </c>
      <c r="AH2675" t="str">
        <f>K2675</f>
        <v>M</v>
      </c>
      <c r="AI2675" t="str">
        <f>LEFT(AF2675,1)</f>
        <v>A</v>
      </c>
      <c r="AJ2675" t="str">
        <f>LEFT(M2675,1)</f>
        <v>M</v>
      </c>
      <c r="AK2675" t="str">
        <f>_xlfn.CONCAT(AG2675,AH2675,AI2675,AJ2675)</f>
        <v>CMAM</v>
      </c>
    </row>
    <row r="2676" spans="1:37" ht="15.75" hidden="1" customHeight="1" x14ac:dyDescent="0.2">
      <c r="A2676" s="1">
        <v>1511203</v>
      </c>
      <c r="B2676" s="1" t="s">
        <v>2077</v>
      </c>
      <c r="C2676" s="1" t="s">
        <v>57</v>
      </c>
      <c r="D2676" s="1" t="s">
        <v>2119</v>
      </c>
      <c r="E2676" s="1" t="s">
        <v>106</v>
      </c>
      <c r="F2676" s="1" t="s">
        <v>63</v>
      </c>
      <c r="G2676" s="1" t="s">
        <v>2121</v>
      </c>
      <c r="H2676" s="1">
        <v>3431</v>
      </c>
      <c r="I2676" s="1" t="s">
        <v>2122</v>
      </c>
      <c r="J2676" s="1">
        <v>3119</v>
      </c>
      <c r="K2676" s="1" t="s">
        <v>35</v>
      </c>
      <c r="L2676" s="1">
        <v>31</v>
      </c>
      <c r="M2676" s="1" t="str">
        <f>IF(L2676&lt;=45,"Joven","Mayor")</f>
        <v>Joven</v>
      </c>
      <c r="N2676" s="1">
        <v>40</v>
      </c>
      <c r="O2676" s="1" t="s">
        <v>36</v>
      </c>
      <c r="P2676" s="1">
        <v>0.34200000000000003</v>
      </c>
      <c r="Q2676" s="1">
        <v>90.885000000000005</v>
      </c>
      <c r="R2676" s="1">
        <v>4.2314930000000004</v>
      </c>
      <c r="S2676" s="1">
        <v>5.1682730000000001</v>
      </c>
      <c r="T2676" s="1">
        <v>-2.8718042000000001</v>
      </c>
      <c r="U2676" s="1">
        <v>8.3689999999999998</v>
      </c>
      <c r="V2676" s="1">
        <v>90</v>
      </c>
      <c r="W2676" s="1">
        <v>160</v>
      </c>
      <c r="X2676" s="1">
        <v>1.7777777777777777</v>
      </c>
      <c r="Y2676" s="1">
        <v>93</v>
      </c>
      <c r="Z2676" s="1">
        <v>160</v>
      </c>
      <c r="AA2676" s="1">
        <v>1.7204301075268817</v>
      </c>
      <c r="AB2676" s="1">
        <v>91.941131657210462</v>
      </c>
      <c r="AC2676" s="1">
        <v>159.79906136337331</v>
      </c>
      <c r="AD2676" s="1">
        <v>1.7380584563518489</v>
      </c>
      <c r="AE2676" t="s">
        <v>4817</v>
      </c>
      <c r="AF2676" t="str">
        <f>IF(X2676&lt;$AF$1,"Bajo","Alto")</f>
        <v>Alto</v>
      </c>
      <c r="AG2676" t="str">
        <f>LEFT(AE2676,1)</f>
        <v>C</v>
      </c>
      <c r="AH2676" t="str">
        <f>K2676</f>
        <v>M</v>
      </c>
      <c r="AI2676" t="str">
        <f>LEFT(AF2676,1)</f>
        <v>A</v>
      </c>
      <c r="AJ2676" t="str">
        <f>LEFT(M2676,1)</f>
        <v>J</v>
      </c>
      <c r="AK2676" t="str">
        <f>_xlfn.CONCAT(AG2676,AH2676,AI2676,AJ2676)</f>
        <v>CMAJ</v>
      </c>
    </row>
    <row r="2677" spans="1:37" ht="15.75" hidden="1" customHeight="1" x14ac:dyDescent="0.2">
      <c r="A2677" s="1">
        <v>3110605</v>
      </c>
      <c r="B2677" s="1" t="s">
        <v>4122</v>
      </c>
      <c r="C2677" s="1" t="s">
        <v>628</v>
      </c>
      <c r="D2677" s="1" t="s">
        <v>4148</v>
      </c>
      <c r="E2677" s="1" t="s">
        <v>95</v>
      </c>
      <c r="F2677" s="1" t="s">
        <v>40</v>
      </c>
      <c r="G2677" s="1" t="s">
        <v>4151</v>
      </c>
      <c r="H2677" s="1">
        <v>477</v>
      </c>
      <c r="I2677" s="1" t="s">
        <v>4152</v>
      </c>
      <c r="J2677" s="1">
        <v>4279</v>
      </c>
      <c r="K2677" s="1" t="s">
        <v>35</v>
      </c>
      <c r="L2677" s="1">
        <v>65</v>
      </c>
      <c r="M2677" s="1" t="str">
        <f>IF(L2677&lt;=45,"Joven","Mayor")</f>
        <v>Mayor</v>
      </c>
      <c r="N2677" s="1">
        <v>56</v>
      </c>
      <c r="O2677" s="1" t="s">
        <v>36</v>
      </c>
      <c r="P2677" s="1">
        <v>0.78300000000000003</v>
      </c>
      <c r="Q2677" s="1">
        <v>84.29</v>
      </c>
      <c r="R2677" s="1">
        <v>-8.5063849999999999</v>
      </c>
      <c r="S2677" s="1">
        <v>4.1332339999999999</v>
      </c>
      <c r="T2677" s="1">
        <v>-2.4368002</v>
      </c>
      <c r="U2677" s="1">
        <v>5.9189999999999996</v>
      </c>
      <c r="V2677" s="1">
        <v>84</v>
      </c>
      <c r="W2677" s="1">
        <v>148</v>
      </c>
      <c r="X2677" s="1">
        <v>1.7619047619047619</v>
      </c>
      <c r="Y2677" s="1">
        <v>88</v>
      </c>
      <c r="Z2677" s="1">
        <v>148</v>
      </c>
      <c r="AA2677" s="1">
        <v>1.6818181818181819</v>
      </c>
      <c r="AB2677" s="1">
        <v>86.72993780089223</v>
      </c>
      <c r="AC2677" s="1">
        <v>148.63148032678461</v>
      </c>
      <c r="AD2677" s="1">
        <v>1.7137275097325801</v>
      </c>
      <c r="AE2677" t="s">
        <v>4817</v>
      </c>
      <c r="AF2677" t="str">
        <f>IF(X2677&lt;$AF$1,"Bajo","Alto")</f>
        <v>Bajo</v>
      </c>
      <c r="AG2677" t="str">
        <f>LEFT(AE2677,1)</f>
        <v>C</v>
      </c>
      <c r="AH2677" t="str">
        <f>K2677</f>
        <v>M</v>
      </c>
      <c r="AI2677" t="str">
        <f>LEFT(AF2677,1)</f>
        <v>B</v>
      </c>
      <c r="AJ2677" t="str">
        <f>LEFT(M2677,1)</f>
        <v>M</v>
      </c>
      <c r="AK2677" t="str">
        <f>_xlfn.CONCAT(AG2677,AH2677,AI2677,AJ2677)</f>
        <v>CMBM</v>
      </c>
    </row>
    <row r="2678" spans="1:37" ht="15.75" hidden="1" customHeight="1" x14ac:dyDescent="0.2">
      <c r="A2678" s="1">
        <v>523503</v>
      </c>
      <c r="B2678" s="1" t="s">
        <v>4529</v>
      </c>
      <c r="C2678" s="1" t="s">
        <v>685</v>
      </c>
      <c r="D2678" s="1" t="s">
        <v>175</v>
      </c>
      <c r="E2678" s="1" t="s">
        <v>640</v>
      </c>
      <c r="F2678" s="1" t="s">
        <v>63</v>
      </c>
      <c r="G2678" s="1" t="s">
        <v>4586</v>
      </c>
      <c r="H2678" s="1">
        <v>4795</v>
      </c>
      <c r="I2678" s="1" t="s">
        <v>87</v>
      </c>
      <c r="J2678" s="1">
        <v>14</v>
      </c>
      <c r="K2678" s="1" t="s">
        <v>49</v>
      </c>
      <c r="L2678" s="1">
        <v>41</v>
      </c>
      <c r="M2678" s="1" t="str">
        <f>IF(L2678&lt;=45,"Joven","Mayor")</f>
        <v>Joven</v>
      </c>
      <c r="N2678" s="1">
        <v>21</v>
      </c>
      <c r="O2678" s="1" t="s">
        <v>50</v>
      </c>
      <c r="P2678" s="1">
        <v>0.35899999999999999</v>
      </c>
      <c r="Q2678" s="1">
        <v>87.956999999999994</v>
      </c>
      <c r="R2678" s="1">
        <v>6.9596770000000001</v>
      </c>
      <c r="S2678" s="1">
        <v>3.3086007</v>
      </c>
      <c r="T2678" s="1">
        <v>-8.6063320000000001</v>
      </c>
      <c r="U2678" s="1">
        <v>37.738999999999997</v>
      </c>
      <c r="V2678" s="1">
        <v>85</v>
      </c>
      <c r="W2678" s="1">
        <v>147</v>
      </c>
      <c r="X2678" s="1">
        <v>1.7294117647058824</v>
      </c>
      <c r="Y2678" s="1">
        <v>99</v>
      </c>
      <c r="Z2678" s="1">
        <v>147</v>
      </c>
      <c r="AA2678" s="1">
        <v>1.4848484848484849</v>
      </c>
      <c r="AB2678" s="1">
        <v>93.545551261315268</v>
      </c>
      <c r="AC2678" s="1">
        <v>147.7390716629466</v>
      </c>
      <c r="AD2678" s="1">
        <v>1.5793276074694795</v>
      </c>
      <c r="AE2678" t="s">
        <v>4816</v>
      </c>
      <c r="AF2678" t="str">
        <f>IF(X2678&lt;$AF$1,"Bajo","Alto")</f>
        <v>Bajo</v>
      </c>
      <c r="AG2678" t="str">
        <f>LEFT(AE2678,1)</f>
        <v>D</v>
      </c>
      <c r="AH2678" t="str">
        <f>K2678</f>
        <v>F</v>
      </c>
      <c r="AI2678" t="str">
        <f>LEFT(AF2678,1)</f>
        <v>B</v>
      </c>
      <c r="AJ2678" t="str">
        <f>LEFT(M2678,1)</f>
        <v>J</v>
      </c>
      <c r="AK2678" t="str">
        <f>_xlfn.CONCAT(AG2678,AH2678,AI2678,AJ2678)</f>
        <v>DFBJ</v>
      </c>
    </row>
    <row r="2679" spans="1:37" ht="15.75" hidden="1" customHeight="1" x14ac:dyDescent="0.2">
      <c r="A2679" s="1">
        <v>600101</v>
      </c>
      <c r="B2679" s="1" t="s">
        <v>4700</v>
      </c>
      <c r="C2679" s="1" t="s">
        <v>1458</v>
      </c>
      <c r="D2679" s="1" t="s">
        <v>4701</v>
      </c>
      <c r="E2679" s="1" t="s">
        <v>32</v>
      </c>
      <c r="F2679" s="1" t="s">
        <v>32</v>
      </c>
      <c r="G2679" s="1" t="s">
        <v>4702</v>
      </c>
      <c r="H2679" s="1">
        <v>5286</v>
      </c>
      <c r="I2679" s="1" t="s">
        <v>100</v>
      </c>
      <c r="J2679" s="1">
        <v>1</v>
      </c>
      <c r="K2679" s="1" t="s">
        <v>35</v>
      </c>
      <c r="L2679" s="1">
        <v>33</v>
      </c>
      <c r="M2679" s="1" t="str">
        <f>IF(L2679&lt;=45,"Joven","Mayor")</f>
        <v>Joven</v>
      </c>
      <c r="N2679" s="1">
        <v>30</v>
      </c>
      <c r="O2679" s="1" t="s">
        <v>36</v>
      </c>
      <c r="P2679" s="1">
        <v>4.9000000000000002E-2</v>
      </c>
      <c r="Q2679" s="1">
        <v>72.716999999999999</v>
      </c>
      <c r="R2679" s="1">
        <v>12.059310999999999</v>
      </c>
      <c r="S2679" s="1">
        <v>4.2876469999999998</v>
      </c>
      <c r="T2679" s="1">
        <v>-4.4214700000000002</v>
      </c>
      <c r="U2679" s="1">
        <v>1.5640000000000001</v>
      </c>
      <c r="V2679" s="1">
        <v>96</v>
      </c>
      <c r="W2679" s="1">
        <v>169</v>
      </c>
      <c r="X2679" s="1">
        <v>1.7604166666666667</v>
      </c>
      <c r="Y2679" s="1">
        <v>99</v>
      </c>
      <c r="Z2679" s="1">
        <v>169</v>
      </c>
      <c r="AA2679" s="1">
        <v>1.707070707070707</v>
      </c>
      <c r="AB2679" s="1">
        <v>101.94326035845189</v>
      </c>
      <c r="AC2679" s="1">
        <v>167.49484050295811</v>
      </c>
      <c r="AD2679" s="1">
        <v>1.6430202439476076</v>
      </c>
      <c r="AE2679" t="s">
        <v>4817</v>
      </c>
      <c r="AF2679" t="str">
        <f>IF(X2679&lt;$AF$1,"Bajo","Alto")</f>
        <v>Bajo</v>
      </c>
      <c r="AG2679" t="str">
        <f>LEFT(AE2679,1)</f>
        <v>C</v>
      </c>
      <c r="AH2679" t="str">
        <f>K2679</f>
        <v>M</v>
      </c>
      <c r="AI2679" t="str">
        <f>LEFT(AF2679,1)</f>
        <v>B</v>
      </c>
      <c r="AJ2679" t="str">
        <f>LEFT(M2679,1)</f>
        <v>J</v>
      </c>
      <c r="AK2679" t="str">
        <f>_xlfn.CONCAT(AG2679,AH2679,AI2679,AJ2679)</f>
        <v>CMBJ</v>
      </c>
    </row>
    <row r="2680" spans="1:37" ht="15.75" hidden="1" customHeight="1" x14ac:dyDescent="0.2">
      <c r="A2680" s="1">
        <v>1014905</v>
      </c>
      <c r="B2680" s="1" t="s">
        <v>29</v>
      </c>
      <c r="C2680" s="1" t="s">
        <v>30</v>
      </c>
      <c r="D2680" s="1" t="s">
        <v>672</v>
      </c>
      <c r="E2680" s="1" t="s">
        <v>673</v>
      </c>
      <c r="F2680" s="1" t="s">
        <v>40</v>
      </c>
      <c r="G2680" s="1" t="s">
        <v>676</v>
      </c>
      <c r="H2680" s="1">
        <v>739</v>
      </c>
      <c r="I2680" s="1" t="s">
        <v>45</v>
      </c>
      <c r="J2680" s="1">
        <v>17</v>
      </c>
      <c r="K2680" s="1" t="s">
        <v>35</v>
      </c>
      <c r="L2680" s="1">
        <v>52</v>
      </c>
      <c r="M2680" s="1" t="str">
        <f>IF(L2680&lt;=45,"Joven","Mayor")</f>
        <v>Mayor</v>
      </c>
      <c r="N2680" s="1">
        <v>56</v>
      </c>
      <c r="O2680" s="1" t="s">
        <v>36</v>
      </c>
      <c r="P2680" s="1">
        <v>0.36</v>
      </c>
      <c r="Q2680" s="1">
        <v>87.864000000000004</v>
      </c>
      <c r="R2680" s="1">
        <v>6.9638749999999998</v>
      </c>
      <c r="S2680" s="1">
        <v>3.5236200000000002</v>
      </c>
      <c r="T2680" s="1">
        <v>-0.66787719999999995</v>
      </c>
      <c r="U2680" s="1">
        <v>11.718</v>
      </c>
      <c r="V2680" s="1">
        <v>97</v>
      </c>
      <c r="W2680" s="1">
        <v>171</v>
      </c>
      <c r="X2680" s="1">
        <v>1.7628865979381443</v>
      </c>
      <c r="Y2680" s="1">
        <v>99</v>
      </c>
      <c r="Z2680" s="1">
        <v>171</v>
      </c>
      <c r="AA2680" s="1">
        <v>1.7272727272727273</v>
      </c>
      <c r="AB2680" s="1">
        <v>98.468736486112903</v>
      </c>
      <c r="AC2680" s="1">
        <v>171.04666455478579</v>
      </c>
      <c r="AD2680" s="1">
        <v>1.737065698805921</v>
      </c>
      <c r="AE2680" t="s">
        <v>4817</v>
      </c>
      <c r="AF2680" t="str">
        <f>IF(X2680&lt;$AF$1,"Bajo","Alto")</f>
        <v>Bajo</v>
      </c>
      <c r="AG2680" t="str">
        <f>LEFT(AE2680,1)</f>
        <v>C</v>
      </c>
      <c r="AH2680" t="str">
        <f>K2680</f>
        <v>M</v>
      </c>
      <c r="AI2680" t="str">
        <f>LEFT(AF2680,1)</f>
        <v>B</v>
      </c>
      <c r="AJ2680" t="str">
        <f>LEFT(M2680,1)</f>
        <v>M</v>
      </c>
      <c r="AK2680" t="str">
        <f>_xlfn.CONCAT(AG2680,AH2680,AI2680,AJ2680)</f>
        <v>CMBM</v>
      </c>
    </row>
    <row r="2681" spans="1:37" ht="15.75" hidden="1" customHeight="1" x14ac:dyDescent="0.2">
      <c r="A2681" s="1">
        <v>197403</v>
      </c>
      <c r="B2681" s="1" t="s">
        <v>2656</v>
      </c>
      <c r="C2681" s="1" t="s">
        <v>323</v>
      </c>
      <c r="D2681" s="1" t="s">
        <v>1286</v>
      </c>
      <c r="E2681" s="1" t="s">
        <v>2786</v>
      </c>
      <c r="F2681" s="1" t="s">
        <v>63</v>
      </c>
      <c r="G2681" s="1" t="s">
        <v>2788</v>
      </c>
      <c r="H2681" s="1">
        <v>1646</v>
      </c>
      <c r="I2681" s="1" t="s">
        <v>48</v>
      </c>
      <c r="J2681" s="1">
        <v>4</v>
      </c>
      <c r="K2681" s="1" t="s">
        <v>35</v>
      </c>
      <c r="L2681" s="1">
        <v>39</v>
      </c>
      <c r="M2681" s="1" t="str">
        <f>IF(L2681&lt;=45,"Joven","Mayor")</f>
        <v>Joven</v>
      </c>
      <c r="N2681" s="1">
        <v>35</v>
      </c>
      <c r="O2681" s="1" t="s">
        <v>36</v>
      </c>
      <c r="P2681" s="1">
        <v>7.0999999999999994E-2</v>
      </c>
      <c r="Q2681" s="1">
        <v>77.721999999999994</v>
      </c>
      <c r="R2681" s="1">
        <v>10.970904000000001</v>
      </c>
      <c r="S2681" s="1">
        <v>3.4956436000000002</v>
      </c>
      <c r="T2681" s="1">
        <v>-5.9929050000000004</v>
      </c>
      <c r="U2681" s="1">
        <v>3.3130000000000002</v>
      </c>
      <c r="V2681" s="1">
        <v>99</v>
      </c>
      <c r="W2681" s="1">
        <v>176</v>
      </c>
      <c r="X2681" s="1">
        <v>1.7777777777777777</v>
      </c>
      <c r="Y2681" s="1">
        <v>103</v>
      </c>
      <c r="Z2681" s="1">
        <v>176</v>
      </c>
      <c r="AA2681" s="1">
        <v>1.7087378640776698</v>
      </c>
      <c r="AB2681" s="1">
        <v>103.5748085063447</v>
      </c>
      <c r="AC2681" s="1">
        <v>175.0381303649169</v>
      </c>
      <c r="AD2681" s="1">
        <v>1.689968177485885</v>
      </c>
      <c r="AE2681" t="s">
        <v>4817</v>
      </c>
      <c r="AF2681" t="str">
        <f>IF(X2681&lt;$AF$1,"Bajo","Alto")</f>
        <v>Alto</v>
      </c>
      <c r="AG2681" t="str">
        <f>LEFT(AE2681,1)</f>
        <v>C</v>
      </c>
      <c r="AH2681" t="str">
        <f>K2681</f>
        <v>M</v>
      </c>
      <c r="AI2681" t="str">
        <f>LEFT(AF2681,1)</f>
        <v>A</v>
      </c>
      <c r="AJ2681" t="str">
        <f>LEFT(M2681,1)</f>
        <v>J</v>
      </c>
      <c r="AK2681" t="str">
        <f>_xlfn.CONCAT(AG2681,AH2681,AI2681,AJ2681)</f>
        <v>CMAJ</v>
      </c>
    </row>
    <row r="2682" spans="1:37" ht="15.75" hidden="1" customHeight="1" x14ac:dyDescent="0.2">
      <c r="A2682" s="1">
        <v>284903</v>
      </c>
      <c r="B2682" s="1" t="s">
        <v>1775</v>
      </c>
      <c r="C2682" s="1" t="s">
        <v>561</v>
      </c>
      <c r="D2682" s="1" t="s">
        <v>3873</v>
      </c>
      <c r="E2682" s="1" t="s">
        <v>673</v>
      </c>
      <c r="F2682" s="1" t="s">
        <v>63</v>
      </c>
      <c r="G2682" s="1" t="s">
        <v>3874</v>
      </c>
      <c r="H2682" s="1">
        <v>5320</v>
      </c>
      <c r="I2682" s="1" t="s">
        <v>65</v>
      </c>
      <c r="J2682" s="1">
        <v>2</v>
      </c>
      <c r="K2682" s="1" t="s">
        <v>35</v>
      </c>
      <c r="L2682" s="1">
        <v>49</v>
      </c>
      <c r="M2682" s="1" t="str">
        <f>IF(L2682&lt;=45,"Joven","Mayor")</f>
        <v>Mayor</v>
      </c>
      <c r="N2682" s="1">
        <v>52</v>
      </c>
      <c r="O2682" s="1" t="s">
        <v>36</v>
      </c>
      <c r="P2682" s="1">
        <v>1.198</v>
      </c>
      <c r="Q2682" s="1">
        <v>91.328000000000003</v>
      </c>
      <c r="R2682" s="1">
        <v>4.3887415000000001</v>
      </c>
      <c r="S2682" s="1">
        <v>-2.4606523999999999</v>
      </c>
      <c r="T2682" s="1">
        <v>-3.6712842000000001</v>
      </c>
      <c r="U2682" s="1">
        <v>18.329999999999998</v>
      </c>
      <c r="V2682" s="1">
        <v>76</v>
      </c>
      <c r="W2682" s="1">
        <v>134</v>
      </c>
      <c r="X2682" s="1">
        <v>1.763157894736842</v>
      </c>
      <c r="Y2682" s="1">
        <v>79</v>
      </c>
      <c r="Z2682" s="1">
        <v>134</v>
      </c>
      <c r="AA2682" s="1">
        <v>1.6962025316455696</v>
      </c>
      <c r="AB2682" s="1">
        <v>78.149193248772917</v>
      </c>
      <c r="AC2682" s="1">
        <v>133.98113860611971</v>
      </c>
      <c r="AD2682" s="1">
        <v>1.7144276611994771</v>
      </c>
      <c r="AE2682" t="s">
        <v>4817</v>
      </c>
      <c r="AF2682" t="str">
        <f>IF(X2682&lt;$AF$1,"Bajo","Alto")</f>
        <v>Bajo</v>
      </c>
      <c r="AG2682" t="str">
        <f>LEFT(AE2682,1)</f>
        <v>C</v>
      </c>
      <c r="AH2682" t="str">
        <f>K2682</f>
        <v>M</v>
      </c>
      <c r="AI2682" t="str">
        <f>LEFT(AF2682,1)</f>
        <v>B</v>
      </c>
      <c r="AJ2682" t="str">
        <f>LEFT(M2682,1)</f>
        <v>M</v>
      </c>
      <c r="AK2682" t="str">
        <f>_xlfn.CONCAT(AG2682,AH2682,AI2682,AJ2682)</f>
        <v>CMBM</v>
      </c>
    </row>
    <row r="2683" spans="1:37" ht="15.75" hidden="1" customHeight="1" x14ac:dyDescent="0.2">
      <c r="A2683" s="1">
        <v>217005</v>
      </c>
      <c r="B2683" s="1" t="s">
        <v>2816</v>
      </c>
      <c r="C2683" s="1" t="s">
        <v>2817</v>
      </c>
      <c r="D2683" s="1" t="s">
        <v>2897</v>
      </c>
      <c r="E2683" s="1" t="s">
        <v>720</v>
      </c>
      <c r="F2683" s="1" t="s">
        <v>40</v>
      </c>
      <c r="G2683" s="1" t="s">
        <v>2900</v>
      </c>
      <c r="H2683" s="1">
        <v>9</v>
      </c>
      <c r="I2683" s="1" t="s">
        <v>1035</v>
      </c>
      <c r="J2683" s="1">
        <v>3521</v>
      </c>
      <c r="K2683" s="1" t="s">
        <v>49</v>
      </c>
      <c r="L2683" s="1">
        <v>42</v>
      </c>
      <c r="M2683" s="1" t="str">
        <f>IF(L2683&lt;=45,"Joven","Mayor")</f>
        <v>Joven</v>
      </c>
      <c r="N2683" s="1">
        <v>41</v>
      </c>
      <c r="O2683" s="1" t="s">
        <v>50</v>
      </c>
      <c r="P2683" s="1">
        <v>0.33100000000000002</v>
      </c>
      <c r="Q2683" s="1">
        <v>89.667000000000002</v>
      </c>
      <c r="R2683" s="1">
        <v>5.0152450000000002</v>
      </c>
      <c r="S2683" s="1">
        <v>5.9519776999999996</v>
      </c>
      <c r="T2683" s="1">
        <v>-1.2412483999999999</v>
      </c>
      <c r="U2683" s="1">
        <v>3.69</v>
      </c>
      <c r="V2683" s="1">
        <v>89</v>
      </c>
      <c r="W2683" s="1">
        <v>157</v>
      </c>
      <c r="X2683" s="1">
        <v>1.7640449438202248</v>
      </c>
      <c r="Y2683" s="1">
        <v>91</v>
      </c>
      <c r="Z2683" s="1">
        <v>157</v>
      </c>
      <c r="AA2683" s="1">
        <v>1.7252747252747254</v>
      </c>
      <c r="AB2683" s="1">
        <v>91.866795876571359</v>
      </c>
      <c r="AC2683" s="1">
        <v>156.8548486754112</v>
      </c>
      <c r="AD2683" s="1">
        <v>1.7074161254753595</v>
      </c>
      <c r="AE2683" t="s">
        <v>4817</v>
      </c>
      <c r="AF2683" t="str">
        <f>IF(X2683&lt;$AF$1,"Bajo","Alto")</f>
        <v>Bajo</v>
      </c>
      <c r="AG2683" t="str">
        <f>LEFT(AE2683,1)</f>
        <v>C</v>
      </c>
      <c r="AH2683" t="str">
        <f>K2683</f>
        <v>F</v>
      </c>
      <c r="AI2683" t="str">
        <f>LEFT(AF2683,1)</f>
        <v>B</v>
      </c>
      <c r="AJ2683" t="str">
        <f>LEFT(M2683,1)</f>
        <v>J</v>
      </c>
      <c r="AK2683" t="str">
        <f>_xlfn.CONCAT(AG2683,AH2683,AI2683,AJ2683)</f>
        <v>CFBJ</v>
      </c>
    </row>
    <row r="2684" spans="1:37" ht="15.75" hidden="1" customHeight="1" x14ac:dyDescent="0.2">
      <c r="A2684" s="1">
        <v>524903</v>
      </c>
      <c r="B2684" s="1" t="s">
        <v>4529</v>
      </c>
      <c r="C2684" s="1" t="s">
        <v>685</v>
      </c>
      <c r="D2684" s="1" t="s">
        <v>4341</v>
      </c>
      <c r="E2684" s="1" t="s">
        <v>673</v>
      </c>
      <c r="F2684" s="1" t="s">
        <v>63</v>
      </c>
      <c r="G2684" s="1" t="s">
        <v>4642</v>
      </c>
      <c r="H2684" s="1">
        <v>158</v>
      </c>
      <c r="I2684" s="1" t="s">
        <v>39</v>
      </c>
      <c r="J2684" s="1">
        <v>11</v>
      </c>
      <c r="K2684" s="1" t="s">
        <v>35</v>
      </c>
      <c r="L2684" s="1">
        <v>33</v>
      </c>
      <c r="M2684" s="1" t="str">
        <f>IF(L2684&lt;=45,"Joven","Mayor")</f>
        <v>Joven</v>
      </c>
      <c r="N2684" s="1">
        <v>33</v>
      </c>
      <c r="O2684" s="1" t="s">
        <v>36</v>
      </c>
      <c r="P2684" s="1">
        <v>0.35199999999999998</v>
      </c>
      <c r="Q2684" s="1">
        <v>77.52</v>
      </c>
      <c r="R2684" s="1">
        <v>11.315485000000001</v>
      </c>
      <c r="S2684" s="1">
        <v>1.1710376</v>
      </c>
      <c r="T2684" s="1">
        <v>-4.0907597999999998</v>
      </c>
      <c r="U2684" s="1">
        <v>1.9159999999999999</v>
      </c>
      <c r="V2684" s="1">
        <v>71</v>
      </c>
      <c r="W2684" s="1">
        <v>125</v>
      </c>
      <c r="X2684" s="1">
        <v>1.7605633802816902</v>
      </c>
      <c r="Y2684" s="1">
        <v>71</v>
      </c>
      <c r="Z2684" s="1">
        <v>125</v>
      </c>
      <c r="AA2684" s="1">
        <v>1.7605633802816902</v>
      </c>
      <c r="AB2684" s="1">
        <v>72.887874277133051</v>
      </c>
      <c r="AC2684" s="1">
        <v>124.68153756119</v>
      </c>
      <c r="AD2684" s="1">
        <v>1.7105936865043965</v>
      </c>
      <c r="AE2684" t="s">
        <v>4816</v>
      </c>
      <c r="AF2684" t="str">
        <f>IF(X2684&lt;$AF$1,"Bajo","Alto")</f>
        <v>Bajo</v>
      </c>
      <c r="AG2684" t="str">
        <f>LEFT(AE2684,1)</f>
        <v>D</v>
      </c>
      <c r="AH2684" t="str">
        <f>K2684</f>
        <v>M</v>
      </c>
      <c r="AI2684" t="str">
        <f>LEFT(AF2684,1)</f>
        <v>B</v>
      </c>
      <c r="AJ2684" t="str">
        <f>LEFT(M2684,1)</f>
        <v>J</v>
      </c>
      <c r="AK2684" t="str">
        <f>_xlfn.CONCAT(AG2684,AH2684,AI2684,AJ2684)</f>
        <v>DMBJ</v>
      </c>
    </row>
    <row r="2685" spans="1:37" ht="15.75" hidden="1" customHeight="1" x14ac:dyDescent="0.2">
      <c r="A2685" s="1">
        <v>10123801</v>
      </c>
      <c r="B2685" s="1" t="s">
        <v>29</v>
      </c>
      <c r="C2685" s="1" t="s">
        <v>30</v>
      </c>
      <c r="D2685" s="1" t="s">
        <v>477</v>
      </c>
      <c r="E2685" s="1" t="s">
        <v>478</v>
      </c>
      <c r="F2685" s="1" t="s">
        <v>32</v>
      </c>
      <c r="G2685" s="1" t="s">
        <v>479</v>
      </c>
      <c r="H2685" s="1">
        <v>9</v>
      </c>
      <c r="I2685" s="1" t="s">
        <v>34</v>
      </c>
      <c r="J2685" s="1">
        <v>10</v>
      </c>
      <c r="K2685" s="1" t="s">
        <v>35</v>
      </c>
      <c r="L2685" s="1">
        <v>53</v>
      </c>
      <c r="M2685" s="1" t="str">
        <f>IF(L2685&lt;=45,"Joven","Mayor")</f>
        <v>Mayor</v>
      </c>
      <c r="N2685" s="1">
        <v>62</v>
      </c>
      <c r="O2685" s="1" t="s">
        <v>36</v>
      </c>
      <c r="P2685" s="1">
        <v>0.496</v>
      </c>
      <c r="Q2685" s="1">
        <v>92.974000000000004</v>
      </c>
      <c r="R2685" s="1">
        <v>3.0317577999999998</v>
      </c>
      <c r="S2685" s="1">
        <v>1.4278177999999999</v>
      </c>
      <c r="T2685" s="1">
        <v>-10.887957</v>
      </c>
      <c r="U2685" s="1">
        <v>0.58499999999999996</v>
      </c>
      <c r="V2685" s="1">
        <v>107</v>
      </c>
      <c r="W2685" s="1">
        <v>188</v>
      </c>
      <c r="X2685" s="1">
        <v>1.7570093457943925</v>
      </c>
      <c r="Y2685" s="1">
        <v>131</v>
      </c>
      <c r="Z2685" s="1">
        <v>188</v>
      </c>
      <c r="AA2685" s="1">
        <v>1.4351145038167938</v>
      </c>
      <c r="AB2685" s="1">
        <v>123.1640130574808</v>
      </c>
      <c r="AC2685" s="1">
        <v>190.6601554606809</v>
      </c>
      <c r="AD2685" s="1">
        <v>1.5480183758846795</v>
      </c>
      <c r="AE2685" t="s">
        <v>4815</v>
      </c>
      <c r="AF2685" t="str">
        <f>IF(X2685&lt;$AF$1,"Bajo","Alto")</f>
        <v>Bajo</v>
      </c>
      <c r="AG2685" t="str">
        <f>LEFT(AE2685,1)</f>
        <v>I</v>
      </c>
      <c r="AH2685" t="str">
        <f>K2685</f>
        <v>M</v>
      </c>
      <c r="AI2685" t="str">
        <f>LEFT(AF2685,1)</f>
        <v>B</v>
      </c>
      <c r="AJ2685" t="str">
        <f>LEFT(M2685,1)</f>
        <v>M</v>
      </c>
      <c r="AK2685" t="str">
        <f>_xlfn.CONCAT(AG2685,AH2685,AI2685,AJ2685)</f>
        <v>IMBM</v>
      </c>
    </row>
    <row r="2686" spans="1:37" ht="15.75" hidden="1" customHeight="1" x14ac:dyDescent="0.2">
      <c r="A2686" s="1">
        <v>274604</v>
      </c>
      <c r="B2686" s="1" t="s">
        <v>3409</v>
      </c>
      <c r="C2686" s="1" t="s">
        <v>973</v>
      </c>
      <c r="D2686" s="1" t="s">
        <v>780</v>
      </c>
      <c r="E2686" s="1" t="s">
        <v>669</v>
      </c>
      <c r="F2686" s="1" t="s">
        <v>61</v>
      </c>
      <c r="G2686" s="1" t="s">
        <v>3690</v>
      </c>
      <c r="H2686" s="1">
        <v>1329</v>
      </c>
      <c r="I2686" s="1" t="s">
        <v>3691</v>
      </c>
      <c r="J2686" s="1">
        <v>360</v>
      </c>
      <c r="K2686" s="1" t="s">
        <v>35</v>
      </c>
      <c r="L2686" s="1">
        <v>41</v>
      </c>
      <c r="M2686" s="1" t="str">
        <f>IF(L2686&lt;=45,"Joven","Mayor")</f>
        <v>Joven</v>
      </c>
      <c r="N2686" s="1">
        <v>43</v>
      </c>
      <c r="O2686" s="1" t="s">
        <v>36</v>
      </c>
      <c r="P2686" s="1">
        <v>0.318</v>
      </c>
      <c r="Q2686" s="1">
        <v>11.523</v>
      </c>
      <c r="R2686" s="1">
        <v>21.452030000000001</v>
      </c>
      <c r="S2686" s="1">
        <v>-0.48036035999999999</v>
      </c>
      <c r="T2686" s="1">
        <v>-3.4822980000000001</v>
      </c>
      <c r="U2686" s="1">
        <v>63.307000000000002</v>
      </c>
      <c r="V2686" s="1">
        <v>72</v>
      </c>
      <c r="W2686" s="1">
        <v>128</v>
      </c>
      <c r="X2686" s="1">
        <v>1.7777777777777777</v>
      </c>
      <c r="Y2686" s="1">
        <v>73</v>
      </c>
      <c r="Z2686" s="1">
        <v>128</v>
      </c>
      <c r="AA2686" s="1">
        <v>1.7534246575342465</v>
      </c>
      <c r="AB2686" s="1">
        <v>74.322977405779966</v>
      </c>
      <c r="AC2686" s="1">
        <v>127.2170009729025</v>
      </c>
      <c r="AD2686" s="1">
        <v>1.7116779415111141</v>
      </c>
      <c r="AE2686" t="s">
        <v>4817</v>
      </c>
      <c r="AF2686" t="str">
        <f>IF(X2686&lt;$AF$1,"Bajo","Alto")</f>
        <v>Alto</v>
      </c>
      <c r="AG2686" t="str">
        <f>LEFT(AE2686,1)</f>
        <v>C</v>
      </c>
      <c r="AH2686" t="str">
        <f>K2686</f>
        <v>M</v>
      </c>
      <c r="AI2686" t="str">
        <f>LEFT(AF2686,1)</f>
        <v>A</v>
      </c>
      <c r="AJ2686" t="str">
        <f>LEFT(M2686,1)</f>
        <v>J</v>
      </c>
      <c r="AK2686" t="str">
        <f>_xlfn.CONCAT(AG2686,AH2686,AI2686,AJ2686)</f>
        <v>CMAJ</v>
      </c>
    </row>
    <row r="2687" spans="1:37" ht="15.75" hidden="1" customHeight="1" x14ac:dyDescent="0.2">
      <c r="A2687" s="1">
        <v>642603</v>
      </c>
      <c r="B2687" s="1" t="s">
        <v>4718</v>
      </c>
      <c r="C2687" s="1" t="s">
        <v>710</v>
      </c>
      <c r="D2687" s="1" t="s">
        <v>4767</v>
      </c>
      <c r="E2687" s="1" t="s">
        <v>968</v>
      </c>
      <c r="F2687" s="1" t="s">
        <v>63</v>
      </c>
      <c r="G2687" s="1" t="s">
        <v>4770</v>
      </c>
      <c r="H2687" s="1">
        <v>9</v>
      </c>
      <c r="I2687" s="1" t="s">
        <v>108</v>
      </c>
      <c r="J2687" s="1">
        <v>3</v>
      </c>
      <c r="K2687" s="1" t="s">
        <v>49</v>
      </c>
      <c r="L2687" s="1">
        <v>35</v>
      </c>
      <c r="M2687" s="1" t="str">
        <f>IF(L2687&lt;=45,"Joven","Mayor")</f>
        <v>Joven</v>
      </c>
      <c r="N2687" s="1">
        <v>26</v>
      </c>
      <c r="O2687" s="1" t="s">
        <v>50</v>
      </c>
      <c r="P2687" s="1">
        <v>0.60199999999999998</v>
      </c>
      <c r="Q2687" s="1">
        <v>88.721999999999994</v>
      </c>
      <c r="R2687" s="1">
        <v>-6.5613637000000002</v>
      </c>
      <c r="S2687" s="1">
        <v>2.7156924999999998</v>
      </c>
      <c r="T2687" s="1">
        <v>5.0620555999999999</v>
      </c>
      <c r="U2687" s="1">
        <v>26.303000000000001</v>
      </c>
      <c r="V2687" s="1">
        <v>94</v>
      </c>
      <c r="W2687" s="1">
        <v>166</v>
      </c>
      <c r="X2687" s="1">
        <v>1.7659574468085106</v>
      </c>
      <c r="Y2687" s="1">
        <v>100</v>
      </c>
      <c r="Z2687" s="1">
        <v>166</v>
      </c>
      <c r="AA2687" s="1">
        <v>1.66</v>
      </c>
      <c r="AB2687" s="1">
        <v>97.780401752169382</v>
      </c>
      <c r="AC2687" s="1">
        <v>166.23489957538141</v>
      </c>
      <c r="AD2687" s="1">
        <v>1.7000840311202063</v>
      </c>
      <c r="AE2687" t="s">
        <v>4817</v>
      </c>
      <c r="AF2687" t="str">
        <f>IF(X2687&lt;$AF$1,"Bajo","Alto")</f>
        <v>Bajo</v>
      </c>
      <c r="AG2687" t="str">
        <f>LEFT(AE2687,1)</f>
        <v>C</v>
      </c>
      <c r="AH2687" t="str">
        <f>K2687</f>
        <v>F</v>
      </c>
      <c r="AI2687" t="str">
        <f>LEFT(AF2687,1)</f>
        <v>B</v>
      </c>
      <c r="AJ2687" t="str">
        <f>LEFT(M2687,1)</f>
        <v>J</v>
      </c>
      <c r="AK2687" t="str">
        <f>_xlfn.CONCAT(AG2687,AH2687,AI2687,AJ2687)</f>
        <v>CFBJ</v>
      </c>
    </row>
    <row r="2688" spans="1:37" ht="15.75" hidden="1" customHeight="1" x14ac:dyDescent="0.2">
      <c r="A2688" s="1">
        <v>642806</v>
      </c>
      <c r="B2688" s="1" t="s">
        <v>4718</v>
      </c>
      <c r="C2688" s="1" t="s">
        <v>710</v>
      </c>
      <c r="D2688" s="1" t="s">
        <v>4775</v>
      </c>
      <c r="E2688" s="1" t="s">
        <v>561</v>
      </c>
      <c r="F2688" s="1" t="s">
        <v>88</v>
      </c>
      <c r="G2688" s="1" t="s">
        <v>4781</v>
      </c>
      <c r="H2688" s="1">
        <v>3433</v>
      </c>
      <c r="I2688" s="1" t="s">
        <v>4782</v>
      </c>
      <c r="J2688" s="1">
        <v>2608</v>
      </c>
      <c r="K2688" s="1" t="s">
        <v>49</v>
      </c>
      <c r="L2688" s="1">
        <v>30</v>
      </c>
      <c r="M2688" s="1" t="str">
        <f>IF(L2688&lt;=45,"Joven","Mayor")</f>
        <v>Joven</v>
      </c>
      <c r="N2688" s="1">
        <v>35</v>
      </c>
      <c r="O2688" s="1" t="s">
        <v>50</v>
      </c>
      <c r="P2688" s="1">
        <v>0.27300000000000002</v>
      </c>
      <c r="Q2688" s="1">
        <v>89.673000000000002</v>
      </c>
      <c r="R2688" s="1">
        <v>-3.2122030000000001</v>
      </c>
      <c r="S2688" s="1">
        <v>9.7735559999999992</v>
      </c>
      <c r="T2688" s="1">
        <v>3.4394631000000002</v>
      </c>
      <c r="U2688" s="1">
        <v>31.695</v>
      </c>
      <c r="V2688" s="1">
        <v>94</v>
      </c>
      <c r="W2688" s="1">
        <v>166</v>
      </c>
      <c r="X2688" s="1">
        <v>1.7659574468085106</v>
      </c>
      <c r="Y2688" s="1">
        <v>97</v>
      </c>
      <c r="Z2688" s="1">
        <v>166</v>
      </c>
      <c r="AA2688" s="1">
        <v>1.7113402061855669</v>
      </c>
      <c r="AB2688" s="1">
        <v>96.050456464947274</v>
      </c>
      <c r="AC2688" s="1">
        <v>165.76098528429111</v>
      </c>
      <c r="AD2688" s="1">
        <v>1.7257698857973054</v>
      </c>
      <c r="AE2688" t="s">
        <v>4817</v>
      </c>
      <c r="AF2688" t="str">
        <f>IF(X2688&lt;$AF$1,"Bajo","Alto")</f>
        <v>Bajo</v>
      </c>
      <c r="AG2688" t="str">
        <f>LEFT(AE2688,1)</f>
        <v>C</v>
      </c>
      <c r="AH2688" t="str">
        <f>K2688</f>
        <v>F</v>
      </c>
      <c r="AI2688" t="str">
        <f>LEFT(AF2688,1)</f>
        <v>B</v>
      </c>
      <c r="AJ2688" t="str">
        <f>LEFT(M2688,1)</f>
        <v>J</v>
      </c>
      <c r="AK2688" t="str">
        <f>_xlfn.CONCAT(AG2688,AH2688,AI2688,AJ2688)</f>
        <v>CFBJ</v>
      </c>
    </row>
    <row r="2689" spans="1:37" ht="15.75" hidden="1" customHeight="1" x14ac:dyDescent="0.2">
      <c r="A2689" s="1">
        <v>1051302</v>
      </c>
      <c r="B2689" s="1" t="s">
        <v>694</v>
      </c>
      <c r="C2689" s="1" t="s">
        <v>879</v>
      </c>
      <c r="D2689" s="1" t="s">
        <v>935</v>
      </c>
      <c r="E2689" s="1" t="s">
        <v>163</v>
      </c>
      <c r="F2689" s="1" t="s">
        <v>37</v>
      </c>
      <c r="G2689" s="1" t="s">
        <v>937</v>
      </c>
      <c r="H2689" s="1">
        <v>384</v>
      </c>
      <c r="I2689" s="1" t="s">
        <v>39</v>
      </c>
      <c r="J2689" s="1">
        <v>11</v>
      </c>
      <c r="K2689" s="1" t="s">
        <v>35</v>
      </c>
      <c r="L2689" s="1">
        <v>30</v>
      </c>
      <c r="M2689" s="1" t="str">
        <f>IF(L2689&lt;=45,"Joven","Mayor")</f>
        <v>Joven</v>
      </c>
      <c r="N2689" s="1">
        <v>32</v>
      </c>
      <c r="O2689" s="1" t="s">
        <v>36</v>
      </c>
      <c r="P2689" s="1">
        <v>0.17899999999999999</v>
      </c>
      <c r="Q2689" s="1">
        <v>85.89</v>
      </c>
      <c r="R2689" s="1">
        <v>7.7652583000000002</v>
      </c>
      <c r="S2689" s="1">
        <v>4.7523026000000002</v>
      </c>
      <c r="T2689" s="1">
        <v>0.31903395000000001</v>
      </c>
      <c r="U2689" s="1">
        <v>87.528999999999996</v>
      </c>
      <c r="V2689" s="1">
        <v>73</v>
      </c>
      <c r="W2689" s="1">
        <v>129</v>
      </c>
      <c r="X2689" s="1">
        <v>1.7671232876712328</v>
      </c>
      <c r="Y2689" s="1">
        <v>75</v>
      </c>
      <c r="Z2689" s="1">
        <v>129</v>
      </c>
      <c r="AA2689" s="1">
        <v>1.72</v>
      </c>
      <c r="AB2689" s="1">
        <v>74.803951581275442</v>
      </c>
      <c r="AC2689" s="1">
        <v>129.02584101779439</v>
      </c>
      <c r="AD2689" s="1">
        <v>1.7248532770037714</v>
      </c>
      <c r="AE2689" t="s">
        <v>4816</v>
      </c>
      <c r="AF2689" t="str">
        <f>IF(X2689&lt;$AF$1,"Bajo","Alto")</f>
        <v>Bajo</v>
      </c>
      <c r="AG2689" t="str">
        <f>LEFT(AE2689,1)</f>
        <v>D</v>
      </c>
      <c r="AH2689" t="str">
        <f>K2689</f>
        <v>M</v>
      </c>
      <c r="AI2689" t="str">
        <f>LEFT(AF2689,1)</f>
        <v>B</v>
      </c>
      <c r="AJ2689" t="str">
        <f>LEFT(M2689,1)</f>
        <v>J</v>
      </c>
      <c r="AK2689" t="str">
        <f>_xlfn.CONCAT(AG2689,AH2689,AI2689,AJ2689)</f>
        <v>DMBJ</v>
      </c>
    </row>
    <row r="2690" spans="1:37" ht="15.75" hidden="1" customHeight="1" x14ac:dyDescent="0.2">
      <c r="A2690" s="1">
        <v>480404</v>
      </c>
      <c r="B2690" s="1" t="s">
        <v>4465</v>
      </c>
      <c r="C2690" s="1" t="s">
        <v>2650</v>
      </c>
      <c r="D2690" s="1" t="s">
        <v>4473</v>
      </c>
      <c r="E2690" s="1" t="s">
        <v>61</v>
      </c>
      <c r="F2690" s="1" t="s">
        <v>61</v>
      </c>
      <c r="G2690" s="1" t="s">
        <v>4477</v>
      </c>
      <c r="H2690" s="1">
        <v>6909</v>
      </c>
      <c r="I2690" s="1" t="s">
        <v>4478</v>
      </c>
      <c r="J2690" s="1">
        <v>4103</v>
      </c>
      <c r="K2690" s="1" t="s">
        <v>35</v>
      </c>
      <c r="L2690" s="1">
        <v>34</v>
      </c>
      <c r="M2690" s="1" t="str">
        <f>IF(L2690&lt;=45,"Joven","Mayor")</f>
        <v>Joven</v>
      </c>
      <c r="N2690" s="1">
        <v>38</v>
      </c>
      <c r="O2690" s="1" t="s">
        <v>36</v>
      </c>
      <c r="P2690" s="1">
        <v>0.7</v>
      </c>
      <c r="Q2690" s="1">
        <v>88.022999999999996</v>
      </c>
      <c r="R2690" s="1">
        <v>7.2537909999999997</v>
      </c>
      <c r="S2690" s="1">
        <v>1.3142871</v>
      </c>
      <c r="T2690" s="1">
        <v>-4.9207869999999998</v>
      </c>
      <c r="U2690" s="1">
        <v>3.8079999999999998</v>
      </c>
      <c r="V2690" s="1">
        <v>64</v>
      </c>
      <c r="W2690" s="1">
        <v>113</v>
      </c>
      <c r="X2690" s="1">
        <v>1.765625</v>
      </c>
      <c r="Y2690" s="1">
        <v>64</v>
      </c>
      <c r="Z2690" s="1">
        <v>113</v>
      </c>
      <c r="AA2690" s="1">
        <v>1.765625</v>
      </c>
      <c r="AB2690" s="1">
        <v>66.337463233348444</v>
      </c>
      <c r="AC2690" s="1">
        <v>112.6692876514735</v>
      </c>
      <c r="AD2690" s="1">
        <v>1.6984262309691942</v>
      </c>
      <c r="AE2690" t="s">
        <v>4815</v>
      </c>
      <c r="AF2690" t="str">
        <f>IF(X2690&lt;$AF$1,"Bajo","Alto")</f>
        <v>Bajo</v>
      </c>
      <c r="AG2690" t="str">
        <f>LEFT(AE2690,1)</f>
        <v>I</v>
      </c>
      <c r="AH2690" t="str">
        <f>K2690</f>
        <v>M</v>
      </c>
      <c r="AI2690" t="str">
        <f>LEFT(AF2690,1)</f>
        <v>B</v>
      </c>
      <c r="AJ2690" t="str">
        <f>LEFT(M2690,1)</f>
        <v>J</v>
      </c>
      <c r="AK2690" t="str">
        <f>_xlfn.CONCAT(AG2690,AH2690,AI2690,AJ2690)</f>
        <v>IMBJ</v>
      </c>
    </row>
    <row r="2691" spans="1:37" ht="15.75" hidden="1" customHeight="1" x14ac:dyDescent="0.2">
      <c r="A2691" s="1">
        <v>640107</v>
      </c>
      <c r="B2691" s="1" t="s">
        <v>4718</v>
      </c>
      <c r="C2691" s="1" t="s">
        <v>710</v>
      </c>
      <c r="D2691" s="1" t="s">
        <v>4719</v>
      </c>
      <c r="E2691" s="1" t="s">
        <v>32</v>
      </c>
      <c r="F2691" s="1" t="s">
        <v>43</v>
      </c>
      <c r="G2691" s="1" t="s">
        <v>4723</v>
      </c>
      <c r="H2691" s="1">
        <v>8187</v>
      </c>
      <c r="I2691" s="1" t="s">
        <v>4724</v>
      </c>
      <c r="J2691" s="1">
        <v>2989</v>
      </c>
      <c r="K2691" s="1" t="s">
        <v>35</v>
      </c>
      <c r="L2691" s="1">
        <v>40</v>
      </c>
      <c r="M2691" s="1" t="str">
        <f>IF(L2691&lt;=45,"Joven","Mayor")</f>
        <v>Joven</v>
      </c>
      <c r="N2691" s="1">
        <v>42</v>
      </c>
      <c r="O2691" s="1" t="s">
        <v>36</v>
      </c>
      <c r="P2691" s="1">
        <v>0.317</v>
      </c>
      <c r="Q2691" s="1">
        <v>85.709000000000003</v>
      </c>
      <c r="R2691" s="1">
        <v>-8.5549099999999996</v>
      </c>
      <c r="S2691" s="1">
        <v>-1.1378942000000001</v>
      </c>
      <c r="T2691" s="1">
        <v>3.9827444999999999</v>
      </c>
      <c r="U2691" s="1">
        <v>21.492000000000001</v>
      </c>
      <c r="V2691" s="1">
        <v>92</v>
      </c>
      <c r="W2691" s="1">
        <v>162</v>
      </c>
      <c r="X2691" s="1">
        <v>1.7608695652173914</v>
      </c>
      <c r="Y2691" s="1">
        <v>96</v>
      </c>
      <c r="Z2691" s="1">
        <v>162</v>
      </c>
      <c r="AA2691" s="1">
        <v>1.6875</v>
      </c>
      <c r="AB2691" s="1">
        <v>98.268578672942567</v>
      </c>
      <c r="AC2691" s="1">
        <v>160.91421175702681</v>
      </c>
      <c r="AD2691" s="1">
        <v>1.6374940385835985</v>
      </c>
      <c r="AE2691" t="s">
        <v>4817</v>
      </c>
      <c r="AF2691" t="str">
        <f>IF(X2691&lt;$AF$1,"Bajo","Alto")</f>
        <v>Bajo</v>
      </c>
      <c r="AG2691" t="str">
        <f>LEFT(AE2691,1)</f>
        <v>C</v>
      </c>
      <c r="AH2691" t="str">
        <f>K2691</f>
        <v>M</v>
      </c>
      <c r="AI2691" t="str">
        <f>LEFT(AF2691,1)</f>
        <v>B</v>
      </c>
      <c r="AJ2691" t="str">
        <f>LEFT(M2691,1)</f>
        <v>J</v>
      </c>
      <c r="AK2691" t="str">
        <f>_xlfn.CONCAT(AG2691,AH2691,AI2691,AJ2691)</f>
        <v>CMBJ</v>
      </c>
    </row>
    <row r="2692" spans="1:37" ht="15.75" hidden="1" customHeight="1" x14ac:dyDescent="0.2">
      <c r="A2692" s="1">
        <v>10733705</v>
      </c>
      <c r="B2692" s="1" t="s">
        <v>1067</v>
      </c>
      <c r="C2692" s="1" t="s">
        <v>1068</v>
      </c>
      <c r="D2692" s="1" t="s">
        <v>1427</v>
      </c>
      <c r="E2692" s="1" t="s">
        <v>1428</v>
      </c>
      <c r="F2692" s="1" t="s">
        <v>40</v>
      </c>
      <c r="G2692" s="1" t="s">
        <v>1431</v>
      </c>
      <c r="H2692" s="1">
        <v>3045</v>
      </c>
      <c r="I2692" s="1" t="s">
        <v>1325</v>
      </c>
      <c r="J2692" s="1">
        <v>3219</v>
      </c>
      <c r="K2692" s="1" t="s">
        <v>35</v>
      </c>
      <c r="L2692" s="1">
        <v>55</v>
      </c>
      <c r="M2692" s="1" t="str">
        <f>IF(L2692&lt;=45,"Joven","Mayor")</f>
        <v>Mayor</v>
      </c>
      <c r="N2692" s="1">
        <v>51</v>
      </c>
      <c r="O2692" s="1" t="s">
        <v>36</v>
      </c>
      <c r="P2692" s="1">
        <v>0.75600000000000001</v>
      </c>
      <c r="Q2692" s="1">
        <v>93.507999999999996</v>
      </c>
      <c r="R2692" s="1">
        <v>-1.875885</v>
      </c>
      <c r="S2692" s="1">
        <v>-2.2895417</v>
      </c>
      <c r="T2692" s="1">
        <v>-2.1699685999999998</v>
      </c>
      <c r="U2692" s="1">
        <v>0.42199999999999999</v>
      </c>
      <c r="V2692" s="1">
        <v>72</v>
      </c>
      <c r="W2692" s="1">
        <v>127</v>
      </c>
      <c r="X2692" s="1">
        <v>1.7638888888888888</v>
      </c>
      <c r="Y2692" s="1">
        <v>75</v>
      </c>
      <c r="Z2692" s="1">
        <v>127</v>
      </c>
      <c r="AA2692" s="1">
        <v>1.6933333333333334</v>
      </c>
      <c r="AB2692" s="1">
        <v>76.157866887344198</v>
      </c>
      <c r="AC2692" s="1">
        <v>126.75747212571601</v>
      </c>
      <c r="AD2692" s="1">
        <v>1.6644041818190731</v>
      </c>
      <c r="AE2692" t="s">
        <v>4817</v>
      </c>
      <c r="AF2692" t="str">
        <f>IF(X2692&lt;$AF$1,"Bajo","Alto")</f>
        <v>Bajo</v>
      </c>
      <c r="AG2692" t="str">
        <f>LEFT(AE2692,1)</f>
        <v>C</v>
      </c>
      <c r="AH2692" t="str">
        <f>K2692</f>
        <v>M</v>
      </c>
      <c r="AI2692" t="str">
        <f>LEFT(AF2692,1)</f>
        <v>B</v>
      </c>
      <c r="AJ2692" t="str">
        <f>LEFT(M2692,1)</f>
        <v>M</v>
      </c>
      <c r="AK2692" t="str">
        <f>_xlfn.CONCAT(AG2692,AH2692,AI2692,AJ2692)</f>
        <v>CMBM</v>
      </c>
    </row>
    <row r="2693" spans="1:37" ht="15.75" hidden="1" customHeight="1" x14ac:dyDescent="0.2">
      <c r="A2693" s="1">
        <v>642606</v>
      </c>
      <c r="B2693" s="1" t="s">
        <v>4718</v>
      </c>
      <c r="C2693" s="1" t="s">
        <v>710</v>
      </c>
      <c r="D2693" s="1" t="s">
        <v>4767</v>
      </c>
      <c r="E2693" s="1" t="s">
        <v>968</v>
      </c>
      <c r="F2693" s="1" t="s">
        <v>88</v>
      </c>
      <c r="G2693" s="1" t="s">
        <v>4773</v>
      </c>
      <c r="H2693" s="1">
        <v>501</v>
      </c>
      <c r="I2693" s="1" t="s">
        <v>4774</v>
      </c>
      <c r="J2693" s="1">
        <v>3850</v>
      </c>
      <c r="K2693" s="1" t="s">
        <v>35</v>
      </c>
      <c r="L2693" s="1">
        <v>31</v>
      </c>
      <c r="M2693" s="1" t="str">
        <f>IF(L2693&lt;=45,"Joven","Mayor")</f>
        <v>Joven</v>
      </c>
      <c r="N2693" s="1">
        <v>37</v>
      </c>
      <c r="O2693" s="1" t="s">
        <v>36</v>
      </c>
      <c r="P2693" s="1">
        <v>0.36699999999999999</v>
      </c>
      <c r="Q2693" s="1">
        <v>91.394999999999996</v>
      </c>
      <c r="R2693" s="1">
        <v>2.5762740000000002</v>
      </c>
      <c r="S2693" s="1">
        <v>7.6412434999999999</v>
      </c>
      <c r="T2693" s="1">
        <v>-1.3709115000000001</v>
      </c>
      <c r="U2693" s="1">
        <v>0.66200000000000003</v>
      </c>
      <c r="V2693" s="1">
        <v>99</v>
      </c>
      <c r="W2693" s="1">
        <v>176</v>
      </c>
      <c r="X2693" s="1">
        <v>1.7777777777777777</v>
      </c>
      <c r="Y2693" s="1">
        <v>99</v>
      </c>
      <c r="Z2693" s="1">
        <v>176</v>
      </c>
      <c r="AA2693" s="1">
        <v>1.7777777777777777</v>
      </c>
      <c r="AB2693" s="1">
        <v>100.024346732014</v>
      </c>
      <c r="AC2693" s="1">
        <v>175.92569798934849</v>
      </c>
      <c r="AD2693" s="1">
        <v>1.7588287625680774</v>
      </c>
      <c r="AE2693" t="s">
        <v>4817</v>
      </c>
      <c r="AF2693" t="str">
        <f>IF(X2693&lt;$AF$1,"Bajo","Alto")</f>
        <v>Alto</v>
      </c>
      <c r="AG2693" t="str">
        <f>LEFT(AE2693,1)</f>
        <v>C</v>
      </c>
      <c r="AH2693" t="str">
        <f>K2693</f>
        <v>M</v>
      </c>
      <c r="AI2693" t="str">
        <f>LEFT(AF2693,1)</f>
        <v>A</v>
      </c>
      <c r="AJ2693" t="str">
        <f>LEFT(M2693,1)</f>
        <v>J</v>
      </c>
      <c r="AK2693" t="str">
        <f>_xlfn.CONCAT(AG2693,AH2693,AI2693,AJ2693)</f>
        <v>CMAJ</v>
      </c>
    </row>
    <row r="2694" spans="1:37" ht="15.75" hidden="1" customHeight="1" x14ac:dyDescent="0.2">
      <c r="A2694" s="1">
        <v>2713005</v>
      </c>
      <c r="B2694" s="1" t="s">
        <v>3409</v>
      </c>
      <c r="C2694" s="1" t="s">
        <v>973</v>
      </c>
      <c r="D2694" s="1" t="s">
        <v>3476</v>
      </c>
      <c r="E2694" s="1" t="s">
        <v>158</v>
      </c>
      <c r="F2694" s="1" t="s">
        <v>40</v>
      </c>
      <c r="G2694" s="1" t="s">
        <v>3479</v>
      </c>
      <c r="H2694" s="1">
        <v>3774</v>
      </c>
      <c r="I2694" s="1" t="s">
        <v>3480</v>
      </c>
      <c r="J2694" s="1">
        <v>3834</v>
      </c>
      <c r="K2694" s="1" t="s">
        <v>35</v>
      </c>
      <c r="L2694" s="1">
        <v>45</v>
      </c>
      <c r="M2694" s="1" t="str">
        <f>IF(L2694&lt;=45,"Joven","Mayor")</f>
        <v>Joven</v>
      </c>
      <c r="N2694" s="1">
        <v>53</v>
      </c>
      <c r="O2694" s="1" t="s">
        <v>36</v>
      </c>
      <c r="P2694" s="1">
        <v>0.35599999999999998</v>
      </c>
      <c r="Q2694" s="1">
        <v>90.706000000000003</v>
      </c>
      <c r="R2694" s="1">
        <v>5.6113076</v>
      </c>
      <c r="S2694" s="1">
        <v>-0.70172080000000003</v>
      </c>
      <c r="T2694" s="1">
        <v>1.5212287</v>
      </c>
      <c r="U2694" s="1">
        <v>2.6259999999999999</v>
      </c>
      <c r="V2694" s="1">
        <v>88</v>
      </c>
      <c r="W2694" s="1">
        <v>155</v>
      </c>
      <c r="X2694" s="1">
        <v>1.7613636363636365</v>
      </c>
      <c r="Y2694" s="1">
        <v>90</v>
      </c>
      <c r="Z2694" s="1">
        <v>155</v>
      </c>
      <c r="AA2694" s="1">
        <v>1.7222222222222223</v>
      </c>
      <c r="AB2694" s="1">
        <v>89.163614922997795</v>
      </c>
      <c r="AC2694" s="1">
        <v>155.13120272741571</v>
      </c>
      <c r="AD2694" s="1">
        <v>1.7398487360723083</v>
      </c>
      <c r="AE2694" t="s">
        <v>4817</v>
      </c>
      <c r="AF2694" t="str">
        <f>IF(X2694&lt;$AF$1,"Bajo","Alto")</f>
        <v>Bajo</v>
      </c>
      <c r="AG2694" t="str">
        <f>LEFT(AE2694,1)</f>
        <v>C</v>
      </c>
      <c r="AH2694" t="str">
        <f>K2694</f>
        <v>M</v>
      </c>
      <c r="AI2694" t="str">
        <f>LEFT(AF2694,1)</f>
        <v>B</v>
      </c>
      <c r="AJ2694" t="str">
        <f>LEFT(M2694,1)</f>
        <v>J</v>
      </c>
      <c r="AK2694" t="str">
        <f>_xlfn.CONCAT(AG2694,AH2694,AI2694,AJ2694)</f>
        <v>CMBJ</v>
      </c>
    </row>
    <row r="2695" spans="1:37" ht="15.75" hidden="1" customHeight="1" x14ac:dyDescent="0.2">
      <c r="A2695" s="1">
        <v>2722303</v>
      </c>
      <c r="B2695" s="1" t="s">
        <v>3409</v>
      </c>
      <c r="C2695" s="1" t="s">
        <v>973</v>
      </c>
      <c r="D2695" s="1" t="s">
        <v>3654</v>
      </c>
      <c r="E2695" s="1" t="s">
        <v>423</v>
      </c>
      <c r="F2695" s="1" t="s">
        <v>63</v>
      </c>
      <c r="G2695" s="1" t="s">
        <v>3657</v>
      </c>
      <c r="H2695" s="1">
        <v>1477</v>
      </c>
      <c r="I2695" s="1" t="s">
        <v>3658</v>
      </c>
      <c r="J2695" s="1">
        <v>3837</v>
      </c>
      <c r="K2695" s="1" t="s">
        <v>35</v>
      </c>
      <c r="L2695" s="1">
        <v>50</v>
      </c>
      <c r="M2695" s="1" t="str">
        <f>IF(L2695&lt;=45,"Joven","Mayor")</f>
        <v>Mayor</v>
      </c>
      <c r="N2695" s="1">
        <v>64</v>
      </c>
      <c r="O2695" s="1" t="s">
        <v>36</v>
      </c>
      <c r="P2695" s="1">
        <v>0.38400000000000001</v>
      </c>
      <c r="Q2695" s="1">
        <v>93.757999999999996</v>
      </c>
      <c r="R2695" s="1">
        <v>-0.35642573</v>
      </c>
      <c r="S2695" s="1">
        <v>-5.0936709999999996</v>
      </c>
      <c r="T2695" s="1">
        <v>1.3449637000000001</v>
      </c>
      <c r="U2695" s="1">
        <v>1.671</v>
      </c>
      <c r="V2695" s="1">
        <v>89</v>
      </c>
      <c r="W2695" s="1">
        <v>157</v>
      </c>
      <c r="X2695" s="1">
        <v>1.7640449438202248</v>
      </c>
      <c r="Y2695" s="1">
        <v>91</v>
      </c>
      <c r="Z2695" s="1">
        <v>157</v>
      </c>
      <c r="AA2695" s="1">
        <v>1.7252747252747254</v>
      </c>
      <c r="AB2695" s="1">
        <v>90.036053685664001</v>
      </c>
      <c r="AC2695" s="1">
        <v>156.93327418063251</v>
      </c>
      <c r="AD2695" s="1">
        <v>1.743004804814321</v>
      </c>
      <c r="AE2695" t="s">
        <v>4817</v>
      </c>
      <c r="AF2695" t="str">
        <f>IF(X2695&lt;$AF$1,"Bajo","Alto")</f>
        <v>Bajo</v>
      </c>
      <c r="AG2695" t="str">
        <f>LEFT(AE2695,1)</f>
        <v>C</v>
      </c>
      <c r="AH2695" t="str">
        <f>K2695</f>
        <v>M</v>
      </c>
      <c r="AI2695" t="str">
        <f>LEFT(AF2695,1)</f>
        <v>B</v>
      </c>
      <c r="AJ2695" t="str">
        <f>LEFT(M2695,1)</f>
        <v>M</v>
      </c>
      <c r="AK2695" t="str">
        <f>_xlfn.CONCAT(AG2695,AH2695,AI2695,AJ2695)</f>
        <v>CMBM</v>
      </c>
    </row>
    <row r="2696" spans="1:37" ht="15.75" hidden="1" customHeight="1" x14ac:dyDescent="0.2">
      <c r="A2696" s="1">
        <v>10111201</v>
      </c>
      <c r="B2696" s="1" t="s">
        <v>29</v>
      </c>
      <c r="C2696" s="1" t="s">
        <v>30</v>
      </c>
      <c r="D2696" s="1" t="s">
        <v>105</v>
      </c>
      <c r="E2696" s="1" t="s">
        <v>106</v>
      </c>
      <c r="F2696" s="1" t="s">
        <v>32</v>
      </c>
      <c r="G2696" s="1" t="s">
        <v>107</v>
      </c>
      <c r="H2696" s="1">
        <v>1923</v>
      </c>
      <c r="I2696" s="1" t="s">
        <v>108</v>
      </c>
      <c r="J2696" s="1">
        <v>3</v>
      </c>
      <c r="K2696" s="1" t="s">
        <v>49</v>
      </c>
      <c r="L2696" s="1">
        <v>47</v>
      </c>
      <c r="M2696" s="1" t="str">
        <f>IF(L2696&lt;=45,"Joven","Mayor")</f>
        <v>Mayor</v>
      </c>
      <c r="N2696" s="1">
        <v>57</v>
      </c>
      <c r="O2696" s="1" t="s">
        <v>50</v>
      </c>
      <c r="P2696" s="1">
        <v>0.21299999999999999</v>
      </c>
      <c r="Q2696" s="1">
        <v>90.266000000000005</v>
      </c>
      <c r="R2696" s="1">
        <v>5.8273669999999997</v>
      </c>
      <c r="S2696" s="1">
        <v>-1.5511018000000001</v>
      </c>
      <c r="T2696" s="1">
        <v>-5.9470773000000001</v>
      </c>
      <c r="U2696" s="1">
        <v>3.3530000000000002</v>
      </c>
      <c r="V2696" s="1">
        <v>118</v>
      </c>
      <c r="W2696" s="1">
        <v>209</v>
      </c>
      <c r="X2696" s="1">
        <v>1.771186440677966</v>
      </c>
      <c r="Y2696" s="1">
        <v>127</v>
      </c>
      <c r="Z2696" s="1">
        <v>209</v>
      </c>
      <c r="AA2696" s="1">
        <v>1.6456692913385826</v>
      </c>
      <c r="AB2696" s="1">
        <v>123.58151473946511</v>
      </c>
      <c r="AC2696" s="1">
        <v>208.70404491464751</v>
      </c>
      <c r="AD2696" s="1">
        <v>1.6887966242737675</v>
      </c>
      <c r="AE2696" t="s">
        <v>4817</v>
      </c>
      <c r="AF2696" t="str">
        <f>IF(X2696&lt;$AF$1,"Bajo","Alto")</f>
        <v>Alto</v>
      </c>
      <c r="AG2696" t="str">
        <f>LEFT(AE2696,1)</f>
        <v>C</v>
      </c>
      <c r="AH2696" t="str">
        <f>K2696</f>
        <v>F</v>
      </c>
      <c r="AI2696" t="str">
        <f>LEFT(AF2696,1)</f>
        <v>A</v>
      </c>
      <c r="AJ2696" t="str">
        <f>LEFT(M2696,1)</f>
        <v>M</v>
      </c>
      <c r="AK2696" t="str">
        <f>_xlfn.CONCAT(AG2696,AH2696,AI2696,AJ2696)</f>
        <v>CFAM</v>
      </c>
    </row>
    <row r="2697" spans="1:37" ht="15.75" hidden="1" customHeight="1" x14ac:dyDescent="0.2">
      <c r="A2697" s="1">
        <v>720101</v>
      </c>
      <c r="B2697" s="1" t="s">
        <v>4798</v>
      </c>
      <c r="C2697" s="1" t="s">
        <v>1016</v>
      </c>
      <c r="D2697" s="1" t="s">
        <v>4799</v>
      </c>
      <c r="E2697" s="1" t="s">
        <v>32</v>
      </c>
      <c r="F2697" s="1" t="s">
        <v>32</v>
      </c>
      <c r="G2697" s="1" t="s">
        <v>4800</v>
      </c>
      <c r="H2697" s="1">
        <v>3037</v>
      </c>
      <c r="I2697" s="1" t="s">
        <v>39</v>
      </c>
      <c r="J2697" s="1">
        <v>11</v>
      </c>
      <c r="K2697" s="1" t="s">
        <v>49</v>
      </c>
      <c r="L2697" s="1">
        <v>41</v>
      </c>
      <c r="M2697" s="1" t="str">
        <f>IF(L2697&lt;=45,"Joven","Mayor")</f>
        <v>Joven</v>
      </c>
      <c r="N2697" s="1">
        <v>37</v>
      </c>
      <c r="O2697" s="1" t="s">
        <v>50</v>
      </c>
      <c r="P2697" s="1">
        <v>0.4</v>
      </c>
      <c r="Q2697" s="1">
        <v>83.135000000000005</v>
      </c>
      <c r="R2697" s="1">
        <v>-8.6919830000000005</v>
      </c>
      <c r="S2697" s="1">
        <v>5.6934360000000002</v>
      </c>
      <c r="T2697" s="1">
        <v>7.4871460000000001</v>
      </c>
      <c r="U2697" s="1">
        <v>4.1040000000000001</v>
      </c>
      <c r="V2697" s="1">
        <v>93</v>
      </c>
      <c r="W2697" s="1">
        <v>166</v>
      </c>
      <c r="X2697" s="1">
        <v>1.7849462365591398</v>
      </c>
      <c r="Y2697" s="1">
        <v>105</v>
      </c>
      <c r="Z2697" s="1">
        <v>166</v>
      </c>
      <c r="AA2697" s="1">
        <v>1.5809523809523809</v>
      </c>
      <c r="AB2697" s="1">
        <v>99.80475832437287</v>
      </c>
      <c r="AC2697" s="1">
        <v>166.53926025351259</v>
      </c>
      <c r="AD2697" s="1">
        <v>1.6686505037389865</v>
      </c>
      <c r="AE2697" t="s">
        <v>4816</v>
      </c>
      <c r="AF2697" t="str">
        <f>IF(X2697&lt;$AF$1,"Bajo","Alto")</f>
        <v>Alto</v>
      </c>
      <c r="AG2697" t="str">
        <f>LEFT(AE2697,1)</f>
        <v>D</v>
      </c>
      <c r="AH2697" t="str">
        <f>K2697</f>
        <v>F</v>
      </c>
      <c r="AI2697" t="str">
        <f>LEFT(AF2697,1)</f>
        <v>A</v>
      </c>
      <c r="AJ2697" t="str">
        <f>LEFT(M2697,1)</f>
        <v>J</v>
      </c>
      <c r="AK2697" t="str">
        <f>_xlfn.CONCAT(AG2697,AH2697,AI2697,AJ2697)</f>
        <v>DFAJ</v>
      </c>
    </row>
    <row r="2698" spans="1:37" ht="15.75" hidden="1" customHeight="1" x14ac:dyDescent="0.2">
      <c r="A2698" s="1">
        <v>216701</v>
      </c>
      <c r="B2698" s="1" t="s">
        <v>2816</v>
      </c>
      <c r="C2698" s="1" t="s">
        <v>2817</v>
      </c>
      <c r="D2698" s="1" t="s">
        <v>1550</v>
      </c>
      <c r="E2698" s="1" t="s">
        <v>715</v>
      </c>
      <c r="F2698" s="1" t="s">
        <v>32</v>
      </c>
      <c r="G2698" s="1" t="s">
        <v>2895</v>
      </c>
      <c r="H2698" s="1">
        <v>2685</v>
      </c>
      <c r="I2698" s="1" t="s">
        <v>100</v>
      </c>
      <c r="J2698" s="1">
        <v>1</v>
      </c>
      <c r="K2698" s="1" t="s">
        <v>35</v>
      </c>
      <c r="L2698" s="1">
        <v>43</v>
      </c>
      <c r="M2698" s="1" t="str">
        <f>IF(L2698&lt;=45,"Joven","Mayor")</f>
        <v>Joven</v>
      </c>
      <c r="N2698" s="1">
        <v>55</v>
      </c>
      <c r="O2698" s="1" t="s">
        <v>36</v>
      </c>
      <c r="P2698" s="1">
        <v>0.624</v>
      </c>
      <c r="Q2698" s="1">
        <v>94.367999999999995</v>
      </c>
      <c r="R2698" s="1">
        <v>0.9425635</v>
      </c>
      <c r="S2698" s="1">
        <v>0.58833880000000005</v>
      </c>
      <c r="T2698" s="1">
        <v>-0.20260197999999999</v>
      </c>
      <c r="U2698" s="1">
        <v>0.93400000000000005</v>
      </c>
      <c r="V2698" s="1">
        <v>76</v>
      </c>
      <c r="W2698" s="1">
        <v>134</v>
      </c>
      <c r="X2698" s="1">
        <v>1.763157894736842</v>
      </c>
      <c r="Y2698" s="1">
        <v>77</v>
      </c>
      <c r="Z2698" s="1">
        <v>134</v>
      </c>
      <c r="AA2698" s="1">
        <v>1.7402597402597402</v>
      </c>
      <c r="AB2698" s="1">
        <v>76.879292419502463</v>
      </c>
      <c r="AC2698" s="1">
        <v>134.00977043886309</v>
      </c>
      <c r="AD2698" s="1">
        <v>1.7431191966182558</v>
      </c>
      <c r="AE2698" t="s">
        <v>4817</v>
      </c>
      <c r="AF2698" t="str">
        <f>IF(X2698&lt;$AF$1,"Bajo","Alto")</f>
        <v>Bajo</v>
      </c>
      <c r="AG2698" t="str">
        <f>LEFT(AE2698,1)</f>
        <v>C</v>
      </c>
      <c r="AH2698" t="str">
        <f>K2698</f>
        <v>M</v>
      </c>
      <c r="AI2698" t="str">
        <f>LEFT(AF2698,1)</f>
        <v>B</v>
      </c>
      <c r="AJ2698" t="str">
        <f>LEFT(M2698,1)</f>
        <v>J</v>
      </c>
      <c r="AK2698" t="str">
        <f>_xlfn.CONCAT(AG2698,AH2698,AI2698,AJ2698)</f>
        <v>CMBJ</v>
      </c>
    </row>
    <row r="2699" spans="1:37" ht="15.75" hidden="1" customHeight="1" x14ac:dyDescent="0.2">
      <c r="A2699" s="1">
        <v>1094907</v>
      </c>
      <c r="B2699" s="1" t="s">
        <v>719</v>
      </c>
      <c r="C2699" s="1" t="s">
        <v>98</v>
      </c>
      <c r="D2699" s="1" t="s">
        <v>1608</v>
      </c>
      <c r="E2699" s="1" t="s">
        <v>673</v>
      </c>
      <c r="F2699" s="1" t="s">
        <v>43</v>
      </c>
      <c r="G2699" s="1" t="s">
        <v>1613</v>
      </c>
      <c r="H2699" s="1">
        <v>6486</v>
      </c>
      <c r="I2699" s="1" t="s">
        <v>1614</v>
      </c>
      <c r="J2699" s="1">
        <v>3567</v>
      </c>
      <c r="K2699" s="1" t="s">
        <v>35</v>
      </c>
      <c r="L2699" s="1">
        <v>40</v>
      </c>
      <c r="M2699" s="1" t="str">
        <f>IF(L2699&lt;=45,"Joven","Mayor")</f>
        <v>Joven</v>
      </c>
      <c r="N2699" s="1">
        <v>44</v>
      </c>
      <c r="O2699" s="1" t="s">
        <v>36</v>
      </c>
      <c r="P2699" s="1">
        <v>0.108</v>
      </c>
      <c r="Q2699" s="1">
        <v>87.507999999999996</v>
      </c>
      <c r="R2699" s="1">
        <v>6.9398837000000002</v>
      </c>
      <c r="S2699" s="1">
        <v>4.6800674999999998</v>
      </c>
      <c r="T2699" s="1">
        <v>-5.9313425999999998</v>
      </c>
      <c r="U2699" s="1">
        <v>24.05</v>
      </c>
      <c r="V2699" s="1">
        <v>119</v>
      </c>
      <c r="W2699" s="1">
        <v>210</v>
      </c>
      <c r="X2699" s="1">
        <v>1.7647058823529411</v>
      </c>
      <c r="Y2699" s="1">
        <v>127</v>
      </c>
      <c r="Z2699" s="1">
        <v>210</v>
      </c>
      <c r="AA2699" s="1">
        <v>1.6535433070866141</v>
      </c>
      <c r="AB2699" s="1">
        <v>124.9764719999598</v>
      </c>
      <c r="AC2699" s="1">
        <v>209.90911843316459</v>
      </c>
      <c r="AD2699" s="1">
        <v>1.6795890864420633</v>
      </c>
      <c r="AE2699" t="s">
        <v>4817</v>
      </c>
      <c r="AF2699" t="str">
        <f>IF(X2699&lt;$AF$1,"Bajo","Alto")</f>
        <v>Bajo</v>
      </c>
      <c r="AG2699" t="str">
        <f>LEFT(AE2699,1)</f>
        <v>C</v>
      </c>
      <c r="AH2699" t="str">
        <f>K2699</f>
        <v>M</v>
      </c>
      <c r="AI2699" t="str">
        <f>LEFT(AF2699,1)</f>
        <v>B</v>
      </c>
      <c r="AJ2699" t="str">
        <f>LEFT(M2699,1)</f>
        <v>J</v>
      </c>
      <c r="AK2699" t="str">
        <f>_xlfn.CONCAT(AG2699,AH2699,AI2699,AJ2699)</f>
        <v>CMBJ</v>
      </c>
    </row>
    <row r="2700" spans="1:37" ht="15.75" hidden="1" customHeight="1" x14ac:dyDescent="0.2">
      <c r="A2700" s="1">
        <v>10722003</v>
      </c>
      <c r="B2700" s="1" t="s">
        <v>1067</v>
      </c>
      <c r="C2700" s="1" t="s">
        <v>1068</v>
      </c>
      <c r="D2700" s="1" t="s">
        <v>1236</v>
      </c>
      <c r="E2700" s="1" t="s">
        <v>414</v>
      </c>
      <c r="F2700" s="1" t="s">
        <v>63</v>
      </c>
      <c r="G2700" s="1" t="s">
        <v>1237</v>
      </c>
      <c r="H2700" s="1">
        <v>38</v>
      </c>
      <c r="I2700" s="1" t="s">
        <v>65</v>
      </c>
      <c r="J2700" s="1">
        <v>2</v>
      </c>
      <c r="K2700" s="1" t="s">
        <v>35</v>
      </c>
      <c r="L2700" s="1">
        <v>60</v>
      </c>
      <c r="M2700" s="1" t="str">
        <f>IF(L2700&lt;=45,"Joven","Mayor")</f>
        <v>Mayor</v>
      </c>
      <c r="N2700" s="1">
        <v>55</v>
      </c>
      <c r="O2700" s="1" t="s">
        <v>36</v>
      </c>
      <c r="P2700" s="1">
        <v>0.53500000000000003</v>
      </c>
      <c r="Q2700" s="1">
        <v>91.625</v>
      </c>
      <c r="R2700" s="1">
        <v>2.7008540000000001</v>
      </c>
      <c r="S2700" s="1">
        <v>-6.7512600000000003</v>
      </c>
      <c r="T2700" s="1">
        <v>-2.4203860000000001</v>
      </c>
      <c r="U2700" s="1">
        <v>3.181</v>
      </c>
      <c r="V2700" s="1">
        <v>80</v>
      </c>
      <c r="W2700" s="1">
        <v>142</v>
      </c>
      <c r="X2700" s="1">
        <v>1.7749999999999999</v>
      </c>
      <c r="Y2700" s="1">
        <v>87</v>
      </c>
      <c r="Z2700" s="1">
        <v>142</v>
      </c>
      <c r="AA2700" s="1">
        <v>1.632183908045977</v>
      </c>
      <c r="AB2700" s="1">
        <v>85.444294499408898</v>
      </c>
      <c r="AC2700" s="1">
        <v>142.25339744425631</v>
      </c>
      <c r="AD2700" s="1">
        <v>1.6648671310082666</v>
      </c>
      <c r="AE2700" t="s">
        <v>4817</v>
      </c>
      <c r="AF2700" t="str">
        <f>IF(X2700&lt;$AF$1,"Bajo","Alto")</f>
        <v>Alto</v>
      </c>
      <c r="AG2700" t="str">
        <f>LEFT(AE2700,1)</f>
        <v>C</v>
      </c>
      <c r="AH2700" t="str">
        <f>K2700</f>
        <v>M</v>
      </c>
      <c r="AI2700" t="str">
        <f>LEFT(AF2700,1)</f>
        <v>A</v>
      </c>
      <c r="AJ2700" t="str">
        <f>LEFT(M2700,1)</f>
        <v>M</v>
      </c>
      <c r="AK2700" t="str">
        <f>_xlfn.CONCAT(AG2700,AH2700,AI2700,AJ2700)</f>
        <v>CMAM</v>
      </c>
    </row>
    <row r="2701" spans="1:37" ht="15.75" hidden="1" customHeight="1" x14ac:dyDescent="0.2">
      <c r="A2701" s="1">
        <v>10116805</v>
      </c>
      <c r="B2701" s="1" t="s">
        <v>29</v>
      </c>
      <c r="C2701" s="1" t="s">
        <v>30</v>
      </c>
      <c r="D2701" s="1" t="s">
        <v>271</v>
      </c>
      <c r="E2701" s="1" t="s">
        <v>272</v>
      </c>
      <c r="F2701" s="1" t="s">
        <v>40</v>
      </c>
      <c r="G2701" s="1" t="s">
        <v>276</v>
      </c>
      <c r="H2701" s="1">
        <v>3086</v>
      </c>
      <c r="I2701" s="1" t="s">
        <v>108</v>
      </c>
      <c r="J2701" s="1">
        <v>3</v>
      </c>
      <c r="K2701" s="1" t="s">
        <v>35</v>
      </c>
      <c r="L2701" s="1">
        <v>34</v>
      </c>
      <c r="M2701" s="1" t="str">
        <f>IF(L2701&lt;=45,"Joven","Mayor")</f>
        <v>Joven</v>
      </c>
      <c r="N2701" s="1">
        <v>42</v>
      </c>
      <c r="O2701" s="1" t="s">
        <v>36</v>
      </c>
      <c r="P2701" s="1">
        <v>0.69899999999999995</v>
      </c>
      <c r="Q2701" s="1">
        <v>90.372</v>
      </c>
      <c r="R2701" s="1">
        <v>4.965859</v>
      </c>
      <c r="S2701" s="1">
        <v>4.0238209999999999</v>
      </c>
      <c r="T2701" s="1">
        <v>-4.5815070000000002</v>
      </c>
      <c r="U2701" s="1">
        <v>69.537000000000006</v>
      </c>
      <c r="V2701" s="1">
        <v>103</v>
      </c>
      <c r="W2701" s="1">
        <v>183</v>
      </c>
      <c r="X2701" s="1">
        <v>1.7766990291262137</v>
      </c>
      <c r="Y2701" s="1">
        <v>103</v>
      </c>
      <c r="Z2701" s="1">
        <v>183</v>
      </c>
      <c r="AA2701" s="1">
        <v>1.7766990291262137</v>
      </c>
      <c r="AB2701" s="1">
        <v>106.4251135352665</v>
      </c>
      <c r="AC2701" s="1">
        <v>182.33538507064259</v>
      </c>
      <c r="AD2701" s="1">
        <v>1.7132740479550572</v>
      </c>
      <c r="AE2701" t="s">
        <v>4817</v>
      </c>
      <c r="AF2701" t="str">
        <f>IF(X2701&lt;$AF$1,"Bajo","Alto")</f>
        <v>Alto</v>
      </c>
      <c r="AG2701" t="str">
        <f>LEFT(AE2701,1)</f>
        <v>C</v>
      </c>
      <c r="AH2701" t="str">
        <f>K2701</f>
        <v>M</v>
      </c>
      <c r="AI2701" t="str">
        <f>LEFT(AF2701,1)</f>
        <v>A</v>
      </c>
      <c r="AJ2701" t="str">
        <f>LEFT(M2701,1)</f>
        <v>J</v>
      </c>
      <c r="AK2701" t="str">
        <f>_xlfn.CONCAT(AG2701,AH2701,AI2701,AJ2701)</f>
        <v>CMAJ</v>
      </c>
    </row>
    <row r="2702" spans="1:37" ht="15.75" hidden="1" customHeight="1" x14ac:dyDescent="0.2">
      <c r="A2702" s="1">
        <v>10120602</v>
      </c>
      <c r="B2702" s="1" t="s">
        <v>29</v>
      </c>
      <c r="C2702" s="1" t="s">
        <v>30</v>
      </c>
      <c r="D2702" s="1" t="s">
        <v>370</v>
      </c>
      <c r="E2702" s="1" t="s">
        <v>371</v>
      </c>
      <c r="F2702" s="1" t="s">
        <v>37</v>
      </c>
      <c r="G2702" s="1" t="s">
        <v>373</v>
      </c>
      <c r="H2702" s="1">
        <v>329</v>
      </c>
      <c r="I2702" s="1" t="s">
        <v>48</v>
      </c>
      <c r="J2702" s="1">
        <v>4</v>
      </c>
      <c r="K2702" s="1" t="s">
        <v>35</v>
      </c>
      <c r="L2702" s="1">
        <v>34</v>
      </c>
      <c r="M2702" s="1" t="str">
        <f>IF(L2702&lt;=45,"Joven","Mayor")</f>
        <v>Joven</v>
      </c>
      <c r="N2702" s="1">
        <v>39</v>
      </c>
      <c r="O2702" s="1" t="s">
        <v>36</v>
      </c>
      <c r="P2702" s="1">
        <v>0.35</v>
      </c>
      <c r="Q2702" s="1">
        <v>92.108999999999995</v>
      </c>
      <c r="R2702" s="1">
        <v>4.4425917000000004</v>
      </c>
      <c r="S2702" s="1">
        <v>2.6851180999999998E-2</v>
      </c>
      <c r="T2702" s="1">
        <v>-2.0296685999999999</v>
      </c>
      <c r="U2702" s="1">
        <v>5.45</v>
      </c>
      <c r="V2702" s="1">
        <v>103</v>
      </c>
      <c r="W2702" s="1">
        <v>183</v>
      </c>
      <c r="X2702" s="1">
        <v>1.7766990291262137</v>
      </c>
      <c r="Y2702" s="1">
        <v>103</v>
      </c>
      <c r="Z2702" s="1">
        <v>183</v>
      </c>
      <c r="AA2702" s="1">
        <v>1.7766990291262137</v>
      </c>
      <c r="AB2702" s="1">
        <v>104.56456162135051</v>
      </c>
      <c r="AC2702" s="1">
        <v>182.70810478911841</v>
      </c>
      <c r="AD2702" s="1">
        <v>1.7473233948107727</v>
      </c>
      <c r="AE2702" t="s">
        <v>4817</v>
      </c>
      <c r="AF2702" t="str">
        <f>IF(X2702&lt;$AF$1,"Bajo","Alto")</f>
        <v>Alto</v>
      </c>
      <c r="AG2702" t="str">
        <f>LEFT(AE2702,1)</f>
        <v>C</v>
      </c>
      <c r="AH2702" t="str">
        <f>K2702</f>
        <v>M</v>
      </c>
      <c r="AI2702" t="str">
        <f>LEFT(AF2702,1)</f>
        <v>A</v>
      </c>
      <c r="AJ2702" t="str">
        <f>LEFT(M2702,1)</f>
        <v>J</v>
      </c>
      <c r="AK2702" t="str">
        <f>_xlfn.CONCAT(AG2702,AH2702,AI2702,AJ2702)</f>
        <v>CMAJ</v>
      </c>
    </row>
    <row r="2703" spans="1:37" ht="15.75" hidden="1" customHeight="1" x14ac:dyDescent="0.2">
      <c r="A2703" s="1">
        <v>10111703</v>
      </c>
      <c r="B2703" s="1" t="s">
        <v>29</v>
      </c>
      <c r="C2703" s="1" t="s">
        <v>30</v>
      </c>
      <c r="D2703" s="1" t="s">
        <v>119</v>
      </c>
      <c r="E2703" s="1" t="s">
        <v>120</v>
      </c>
      <c r="F2703" s="1" t="s">
        <v>63</v>
      </c>
      <c r="G2703" s="1" t="s">
        <v>122</v>
      </c>
      <c r="H2703" s="1">
        <v>5117</v>
      </c>
      <c r="I2703" s="1" t="s">
        <v>39</v>
      </c>
      <c r="J2703" s="1">
        <v>11</v>
      </c>
      <c r="K2703" s="1" t="s">
        <v>35</v>
      </c>
      <c r="L2703" s="1">
        <v>37</v>
      </c>
      <c r="M2703" s="1" t="str">
        <f>IF(L2703&lt;=45,"Joven","Mayor")</f>
        <v>Joven</v>
      </c>
      <c r="N2703" s="1">
        <v>32</v>
      </c>
      <c r="O2703" s="1" t="s">
        <v>36</v>
      </c>
      <c r="P2703" s="1">
        <v>8.0879999999999992</v>
      </c>
      <c r="Q2703" s="1">
        <v>76.448999999999998</v>
      </c>
      <c r="R2703" s="1">
        <v>10.256588000000001</v>
      </c>
      <c r="S2703" s="1">
        <v>-0.17478964999999999</v>
      </c>
      <c r="T2703" s="1">
        <v>-5.1366100000000001</v>
      </c>
      <c r="U2703" s="1">
        <v>2.5489999999999999</v>
      </c>
      <c r="V2703" s="1">
        <v>71</v>
      </c>
      <c r="W2703" s="1">
        <v>126</v>
      </c>
      <c r="X2703" s="1">
        <v>1.7746478873239437</v>
      </c>
      <c r="Y2703" s="1">
        <v>73</v>
      </c>
      <c r="Z2703" s="1">
        <v>126</v>
      </c>
      <c r="AA2703" s="1">
        <v>1.726027397260274</v>
      </c>
      <c r="AB2703" s="1">
        <v>75.929942214196217</v>
      </c>
      <c r="AC2703" s="1">
        <v>125.5835224929283</v>
      </c>
      <c r="AD2703" s="1">
        <v>1.6539393924291519</v>
      </c>
      <c r="AE2703" t="s">
        <v>4816</v>
      </c>
      <c r="AF2703" t="str">
        <f>IF(X2703&lt;$AF$1,"Bajo","Alto")</f>
        <v>Alto</v>
      </c>
      <c r="AG2703" t="str">
        <f>LEFT(AE2703,1)</f>
        <v>D</v>
      </c>
      <c r="AH2703" t="str">
        <f>K2703</f>
        <v>M</v>
      </c>
      <c r="AI2703" t="str">
        <f>LEFT(AF2703,1)</f>
        <v>A</v>
      </c>
      <c r="AJ2703" t="str">
        <f>LEFT(M2703,1)</f>
        <v>J</v>
      </c>
      <c r="AK2703" t="str">
        <f>_xlfn.CONCAT(AG2703,AH2703,AI2703,AJ2703)</f>
        <v>DMAJ</v>
      </c>
    </row>
    <row r="2704" spans="1:37" ht="15.75" hidden="1" customHeight="1" x14ac:dyDescent="0.2">
      <c r="A2704" s="1">
        <v>4684003</v>
      </c>
      <c r="B2704" s="1" t="s">
        <v>4382</v>
      </c>
      <c r="C2704" s="1" t="s">
        <v>669</v>
      </c>
      <c r="D2704" s="1" t="s">
        <v>4445</v>
      </c>
      <c r="E2704" s="1" t="s">
        <v>4446</v>
      </c>
      <c r="F2704" s="1" t="s">
        <v>63</v>
      </c>
      <c r="G2704" s="1" t="s">
        <v>4447</v>
      </c>
      <c r="H2704" s="1">
        <v>552</v>
      </c>
      <c r="I2704" s="1" t="s">
        <v>134</v>
      </c>
      <c r="J2704" s="1">
        <v>8</v>
      </c>
      <c r="K2704" s="1" t="s">
        <v>49</v>
      </c>
      <c r="L2704" s="1">
        <v>35</v>
      </c>
      <c r="M2704" s="1" t="str">
        <f>IF(L2704&lt;=45,"Joven","Mayor")</f>
        <v>Joven</v>
      </c>
      <c r="N2704" s="1">
        <v>46</v>
      </c>
      <c r="O2704" s="1" t="s">
        <v>50</v>
      </c>
      <c r="P2704" s="1">
        <v>3.6999999999999998E-2</v>
      </c>
      <c r="Q2704" s="1">
        <v>74.424000000000007</v>
      </c>
      <c r="R2704" s="1">
        <v>12.198480999999999</v>
      </c>
      <c r="S2704" s="1">
        <v>-0.43354707999999997</v>
      </c>
      <c r="T2704" s="1">
        <v>-11.089899000000001</v>
      </c>
      <c r="U2704" s="1">
        <v>7.7270000000000003</v>
      </c>
      <c r="V2704" s="1">
        <v>102</v>
      </c>
      <c r="W2704" s="1">
        <v>182</v>
      </c>
      <c r="X2704" s="1">
        <v>1.7843137254901962</v>
      </c>
      <c r="Y2704" s="1">
        <v>106</v>
      </c>
      <c r="Z2704" s="1">
        <v>182</v>
      </c>
      <c r="AA2704" s="1">
        <v>1.7169811320754718</v>
      </c>
      <c r="AB2704" s="1">
        <v>109.905109391347</v>
      </c>
      <c r="AC2704" s="1">
        <v>180.52492895460821</v>
      </c>
      <c r="AD2704" s="1">
        <v>1.6425526525049912</v>
      </c>
      <c r="AE2704" t="s">
        <v>4817</v>
      </c>
      <c r="AF2704" t="str">
        <f>IF(X2704&lt;$AF$1,"Bajo","Alto")</f>
        <v>Alto</v>
      </c>
      <c r="AG2704" t="str">
        <f>LEFT(AE2704,1)</f>
        <v>C</v>
      </c>
      <c r="AH2704" t="str">
        <f>K2704</f>
        <v>F</v>
      </c>
      <c r="AI2704" t="str">
        <f>LEFT(AF2704,1)</f>
        <v>A</v>
      </c>
      <c r="AJ2704" t="str">
        <f>LEFT(M2704,1)</f>
        <v>J</v>
      </c>
      <c r="AK2704" t="str">
        <f>_xlfn.CONCAT(AG2704,AH2704,AI2704,AJ2704)</f>
        <v>CFAJ</v>
      </c>
    </row>
    <row r="2705" spans="1:37" ht="15.75" hidden="1" customHeight="1" x14ac:dyDescent="0.2">
      <c r="A2705" s="1">
        <v>4632004</v>
      </c>
      <c r="B2705" s="1" t="s">
        <v>4382</v>
      </c>
      <c r="C2705" s="1" t="s">
        <v>669</v>
      </c>
      <c r="D2705" s="1" t="s">
        <v>4391</v>
      </c>
      <c r="E2705" s="1" t="s">
        <v>3847</v>
      </c>
      <c r="F2705" s="1" t="s">
        <v>61</v>
      </c>
      <c r="G2705" s="1" t="s">
        <v>4393</v>
      </c>
      <c r="H2705" s="1">
        <v>261</v>
      </c>
      <c r="I2705" s="1" t="s">
        <v>87</v>
      </c>
      <c r="J2705" s="1">
        <v>14</v>
      </c>
      <c r="K2705" s="1" t="s">
        <v>49</v>
      </c>
      <c r="L2705" s="1">
        <v>43</v>
      </c>
      <c r="M2705" s="1" t="str">
        <f>IF(L2705&lt;=45,"Joven","Mayor")</f>
        <v>Joven</v>
      </c>
      <c r="N2705" s="1">
        <v>49</v>
      </c>
      <c r="O2705" s="1" t="s">
        <v>50</v>
      </c>
      <c r="P2705" s="1">
        <v>3.9529999999999998</v>
      </c>
      <c r="Q2705" s="1">
        <v>88.662000000000006</v>
      </c>
      <c r="R2705" s="1">
        <v>2.0556570999999999</v>
      </c>
      <c r="S2705" s="1">
        <v>10.816167999999999</v>
      </c>
      <c r="T2705" s="1">
        <v>6.8697805000000001</v>
      </c>
      <c r="U2705" s="1">
        <v>43.542000000000002</v>
      </c>
      <c r="V2705" s="1">
        <v>62</v>
      </c>
      <c r="W2705" s="1">
        <v>109</v>
      </c>
      <c r="X2705" s="1">
        <v>1.7580645161290323</v>
      </c>
      <c r="Y2705" s="1">
        <v>71</v>
      </c>
      <c r="Z2705" s="1">
        <v>109</v>
      </c>
      <c r="AA2705" s="1">
        <v>1.5352112676056338</v>
      </c>
      <c r="AB2705" s="1">
        <v>68.217609263768736</v>
      </c>
      <c r="AC2705" s="1">
        <v>110.37047968979</v>
      </c>
      <c r="AD2705" s="1">
        <v>1.6179177324000595</v>
      </c>
      <c r="AE2705" t="s">
        <v>4816</v>
      </c>
      <c r="AF2705" t="str">
        <f>IF(X2705&lt;$AF$1,"Bajo","Alto")</f>
        <v>Bajo</v>
      </c>
      <c r="AG2705" t="str">
        <f>LEFT(AE2705,1)</f>
        <v>D</v>
      </c>
      <c r="AH2705" t="str">
        <f>K2705</f>
        <v>F</v>
      </c>
      <c r="AI2705" t="str">
        <f>LEFT(AF2705,1)</f>
        <v>B</v>
      </c>
      <c r="AJ2705" t="str">
        <f>LEFT(M2705,1)</f>
        <v>J</v>
      </c>
      <c r="AK2705" t="str">
        <f>_xlfn.CONCAT(AG2705,AH2705,AI2705,AJ2705)</f>
        <v>DFBJ</v>
      </c>
    </row>
    <row r="2706" spans="1:37" ht="15.75" hidden="1" customHeight="1" x14ac:dyDescent="0.2">
      <c r="A2706" s="1">
        <v>171701</v>
      </c>
      <c r="B2706" s="1" t="s">
        <v>2551</v>
      </c>
      <c r="C2706" s="1" t="s">
        <v>2552</v>
      </c>
      <c r="D2706" s="1" t="s">
        <v>2592</v>
      </c>
      <c r="E2706" s="1" t="s">
        <v>2552</v>
      </c>
      <c r="F2706" s="1" t="s">
        <v>32</v>
      </c>
      <c r="G2706" s="1" t="s">
        <v>2593</v>
      </c>
      <c r="H2706" s="1">
        <v>1818</v>
      </c>
      <c r="I2706" s="1" t="s">
        <v>100</v>
      </c>
      <c r="J2706" s="1">
        <v>1</v>
      </c>
      <c r="K2706" s="1" t="s">
        <v>35</v>
      </c>
      <c r="L2706" s="1">
        <v>44</v>
      </c>
      <c r="M2706" s="1" t="str">
        <f>IF(L2706&lt;=45,"Joven","Mayor")</f>
        <v>Joven</v>
      </c>
      <c r="N2706" s="1">
        <v>47</v>
      </c>
      <c r="O2706" s="1" t="s">
        <v>36</v>
      </c>
      <c r="P2706" s="1">
        <v>0.35599999999999998</v>
      </c>
      <c r="Q2706" s="1">
        <v>90.772000000000006</v>
      </c>
      <c r="R2706" s="1">
        <v>5.6009729999999998</v>
      </c>
      <c r="S2706" s="1">
        <v>0.47751640000000001</v>
      </c>
      <c r="T2706" s="1">
        <v>-1.2654988</v>
      </c>
      <c r="U2706" s="1">
        <v>1.776</v>
      </c>
      <c r="V2706" s="1">
        <v>102</v>
      </c>
      <c r="W2706" s="1">
        <v>180</v>
      </c>
      <c r="X2706" s="1">
        <v>1.7647058823529411</v>
      </c>
      <c r="Y2706" s="1">
        <v>102</v>
      </c>
      <c r="Z2706" s="1">
        <v>180</v>
      </c>
      <c r="AA2706" s="1">
        <v>1.7647058823529411</v>
      </c>
      <c r="AB2706" s="1">
        <v>103.03521672302099</v>
      </c>
      <c r="AC2706" s="1">
        <v>180.02235207850529</v>
      </c>
      <c r="AD2706" s="1">
        <v>1.7471924435549151</v>
      </c>
      <c r="AE2706" t="s">
        <v>4817</v>
      </c>
      <c r="AF2706" t="str">
        <f>IF(X2706&lt;$AF$1,"Bajo","Alto")</f>
        <v>Bajo</v>
      </c>
      <c r="AG2706" t="str">
        <f>LEFT(AE2706,1)</f>
        <v>C</v>
      </c>
      <c r="AH2706" t="str">
        <f>K2706</f>
        <v>M</v>
      </c>
      <c r="AI2706" t="str">
        <f>LEFT(AF2706,1)</f>
        <v>B</v>
      </c>
      <c r="AJ2706" t="str">
        <f>LEFT(M2706,1)</f>
        <v>J</v>
      </c>
      <c r="AK2706" t="str">
        <f>_xlfn.CONCAT(AG2706,AH2706,AI2706,AJ2706)</f>
        <v>CMBJ</v>
      </c>
    </row>
    <row r="2707" spans="1:37" ht="15.75" hidden="1" customHeight="1" x14ac:dyDescent="0.2">
      <c r="A2707" s="1">
        <v>2720204</v>
      </c>
      <c r="B2707" s="1" t="s">
        <v>3409</v>
      </c>
      <c r="C2707" s="1" t="s">
        <v>973</v>
      </c>
      <c r="D2707" s="1" t="s">
        <v>3620</v>
      </c>
      <c r="E2707" s="1" t="s">
        <v>358</v>
      </c>
      <c r="F2707" s="1" t="s">
        <v>61</v>
      </c>
      <c r="G2707" s="1" t="s">
        <v>3621</v>
      </c>
      <c r="H2707" s="1">
        <v>1441</v>
      </c>
      <c r="I2707" s="1" t="s">
        <v>134</v>
      </c>
      <c r="J2707" s="1">
        <v>8</v>
      </c>
      <c r="K2707" s="1" t="s">
        <v>35</v>
      </c>
      <c r="L2707" s="1">
        <v>35</v>
      </c>
      <c r="M2707" s="1" t="str">
        <f>IF(L2707&lt;=45,"Joven","Mayor")</f>
        <v>Joven</v>
      </c>
      <c r="N2707" s="1">
        <v>32</v>
      </c>
      <c r="O2707" s="1" t="s">
        <v>36</v>
      </c>
      <c r="P2707" s="1">
        <v>1.9E-2</v>
      </c>
      <c r="Q2707" s="1">
        <v>89.448999999999998</v>
      </c>
      <c r="R2707" s="1">
        <v>-6.4886875000000002</v>
      </c>
      <c r="S2707" s="1">
        <v>-1.4933038000000001</v>
      </c>
      <c r="T2707" s="1">
        <v>4.8201309999999999</v>
      </c>
      <c r="U2707" s="1">
        <v>0.29899999999999999</v>
      </c>
      <c r="V2707" s="1">
        <v>102</v>
      </c>
      <c r="W2707" s="1">
        <v>180</v>
      </c>
      <c r="X2707" s="1">
        <v>1.7647058823529411</v>
      </c>
      <c r="Y2707" s="1">
        <v>111</v>
      </c>
      <c r="Z2707" s="1">
        <v>180</v>
      </c>
      <c r="AA2707" s="1">
        <v>1.6216216216216217</v>
      </c>
      <c r="AB2707" s="1">
        <v>106.2379832815304</v>
      </c>
      <c r="AC2707" s="1">
        <v>179.44743948032061</v>
      </c>
      <c r="AD2707" s="1">
        <v>1.6891081131009926</v>
      </c>
      <c r="AE2707" t="s">
        <v>4817</v>
      </c>
      <c r="AF2707" t="str">
        <f>IF(X2707&lt;$AF$1,"Bajo","Alto")</f>
        <v>Bajo</v>
      </c>
      <c r="AG2707" t="str">
        <f>LEFT(AE2707,1)</f>
        <v>C</v>
      </c>
      <c r="AH2707" t="str">
        <f>K2707</f>
        <v>M</v>
      </c>
      <c r="AI2707" t="str">
        <f>LEFT(AF2707,1)</f>
        <v>B</v>
      </c>
      <c r="AJ2707" t="str">
        <f>LEFT(M2707,1)</f>
        <v>J</v>
      </c>
      <c r="AK2707" t="str">
        <f>_xlfn.CONCAT(AG2707,AH2707,AI2707,AJ2707)</f>
        <v>CMBJ</v>
      </c>
    </row>
    <row r="2708" spans="1:37" ht="15.75" hidden="1" customHeight="1" x14ac:dyDescent="0.2">
      <c r="A2708" s="1">
        <v>10111705</v>
      </c>
      <c r="B2708" s="1" t="s">
        <v>29</v>
      </c>
      <c r="C2708" s="1" t="s">
        <v>30</v>
      </c>
      <c r="D2708" s="1" t="s">
        <v>119</v>
      </c>
      <c r="E2708" s="1" t="s">
        <v>120</v>
      </c>
      <c r="F2708" s="1" t="s">
        <v>40</v>
      </c>
      <c r="G2708" s="1" t="s">
        <v>124</v>
      </c>
      <c r="H2708" s="1">
        <v>861</v>
      </c>
      <c r="I2708" s="1" t="s">
        <v>87</v>
      </c>
      <c r="J2708" s="1">
        <v>14</v>
      </c>
      <c r="K2708" s="1" t="s">
        <v>49</v>
      </c>
      <c r="L2708" s="1">
        <v>48</v>
      </c>
      <c r="M2708" s="1" t="str">
        <f>IF(L2708&lt;=45,"Joven","Mayor")</f>
        <v>Mayor</v>
      </c>
      <c r="N2708" s="1">
        <v>48</v>
      </c>
      <c r="O2708" s="1" t="s">
        <v>50</v>
      </c>
      <c r="P2708" s="1">
        <v>0.41599999999999998</v>
      </c>
      <c r="Q2708" s="1">
        <v>91.994</v>
      </c>
      <c r="R2708" s="1">
        <v>4.0238860000000001</v>
      </c>
      <c r="S2708" s="1">
        <v>-2.2032191999999999</v>
      </c>
      <c r="T2708" s="1">
        <v>-5.3725243000000003</v>
      </c>
      <c r="U2708" s="1">
        <v>2.2669999999999999</v>
      </c>
      <c r="V2708" s="1">
        <v>123</v>
      </c>
      <c r="W2708" s="1">
        <v>218</v>
      </c>
      <c r="X2708" s="1">
        <v>1.7723577235772359</v>
      </c>
      <c r="Y2708" s="1">
        <v>130</v>
      </c>
      <c r="Z2708" s="1">
        <v>218</v>
      </c>
      <c r="AA2708" s="1">
        <v>1.676923076923077</v>
      </c>
      <c r="AB2708" s="1">
        <v>128.17114266074299</v>
      </c>
      <c r="AC2708" s="1">
        <v>218.16589208645109</v>
      </c>
      <c r="AD2708" s="1">
        <v>1.7021451752514665</v>
      </c>
      <c r="AE2708" t="s">
        <v>4816</v>
      </c>
      <c r="AF2708" t="str">
        <f>IF(X2708&lt;$AF$1,"Bajo","Alto")</f>
        <v>Alto</v>
      </c>
      <c r="AG2708" t="str">
        <f>LEFT(AE2708,1)</f>
        <v>D</v>
      </c>
      <c r="AH2708" t="str">
        <f>K2708</f>
        <v>F</v>
      </c>
      <c r="AI2708" t="str">
        <f>LEFT(AF2708,1)</f>
        <v>A</v>
      </c>
      <c r="AJ2708" t="str">
        <f>LEFT(M2708,1)</f>
        <v>M</v>
      </c>
      <c r="AK2708" t="str">
        <f>_xlfn.CONCAT(AG2708,AH2708,AI2708,AJ2708)</f>
        <v>DFAM</v>
      </c>
    </row>
    <row r="2709" spans="1:37" ht="15.75" hidden="1" customHeight="1" x14ac:dyDescent="0.2">
      <c r="A2709" s="1">
        <v>113104</v>
      </c>
      <c r="B2709" s="1" t="s">
        <v>1648</v>
      </c>
      <c r="C2709" s="1" t="s">
        <v>51</v>
      </c>
      <c r="D2709" s="1" t="s">
        <v>1700</v>
      </c>
      <c r="E2709" s="1" t="s">
        <v>628</v>
      </c>
      <c r="F2709" s="1" t="s">
        <v>61</v>
      </c>
      <c r="G2709" s="1" t="s">
        <v>1704</v>
      </c>
      <c r="H2709" s="1">
        <v>4330</v>
      </c>
      <c r="I2709" s="1" t="s">
        <v>1705</v>
      </c>
      <c r="J2709" s="1">
        <v>2378</v>
      </c>
      <c r="K2709" s="1" t="s">
        <v>49</v>
      </c>
      <c r="L2709" s="1">
        <v>40</v>
      </c>
      <c r="M2709" s="1" t="str">
        <f>IF(L2709&lt;=45,"Joven","Mayor")</f>
        <v>Joven</v>
      </c>
      <c r="N2709" s="1">
        <v>38</v>
      </c>
      <c r="O2709" s="1" t="s">
        <v>50</v>
      </c>
      <c r="P2709" s="1">
        <v>0.34699999999999998</v>
      </c>
      <c r="Q2709" s="1">
        <v>92.805999999999997</v>
      </c>
      <c r="R2709" s="1">
        <v>3.5620444</v>
      </c>
      <c r="S2709" s="1">
        <v>0.40799366999999997</v>
      </c>
      <c r="T2709" s="1">
        <v>-3.2849724</v>
      </c>
      <c r="U2709" s="1">
        <v>16.492999999999999</v>
      </c>
      <c r="V2709" s="1">
        <v>90</v>
      </c>
      <c r="W2709" s="1">
        <v>159</v>
      </c>
      <c r="X2709" s="1">
        <v>1.7666666666666666</v>
      </c>
      <c r="Y2709" s="1">
        <v>94</v>
      </c>
      <c r="Z2709" s="1">
        <v>159</v>
      </c>
      <c r="AA2709" s="1">
        <v>1.6914893617021276</v>
      </c>
      <c r="AB2709" s="1">
        <v>96.19493607231334</v>
      </c>
      <c r="AC2709" s="1">
        <v>158.62413959921059</v>
      </c>
      <c r="AD2709" s="1">
        <v>1.6489863819855015</v>
      </c>
      <c r="AE2709" t="s">
        <v>4817</v>
      </c>
      <c r="AF2709" t="str">
        <f>IF(X2709&lt;$AF$1,"Bajo","Alto")</f>
        <v>Bajo</v>
      </c>
      <c r="AG2709" t="str">
        <f>LEFT(AE2709,1)</f>
        <v>C</v>
      </c>
      <c r="AH2709" t="str">
        <f>K2709</f>
        <v>F</v>
      </c>
      <c r="AI2709" t="str">
        <f>LEFT(AF2709,1)</f>
        <v>B</v>
      </c>
      <c r="AJ2709" t="str">
        <f>LEFT(M2709,1)</f>
        <v>J</v>
      </c>
      <c r="AK2709" t="str">
        <f>_xlfn.CONCAT(AG2709,AH2709,AI2709,AJ2709)</f>
        <v>CFBJ</v>
      </c>
    </row>
    <row r="2710" spans="1:37" ht="15.75" hidden="1" customHeight="1" x14ac:dyDescent="0.2">
      <c r="A2710" s="1">
        <v>4676003</v>
      </c>
      <c r="B2710" s="1" t="s">
        <v>4382</v>
      </c>
      <c r="C2710" s="1" t="s">
        <v>669</v>
      </c>
      <c r="D2710" s="1" t="s">
        <v>4429</v>
      </c>
      <c r="E2710" s="1" t="s">
        <v>4430</v>
      </c>
      <c r="F2710" s="1" t="s">
        <v>63</v>
      </c>
      <c r="G2710" s="1" t="s">
        <v>4431</v>
      </c>
      <c r="H2710" s="1">
        <v>170</v>
      </c>
      <c r="I2710" s="1" t="s">
        <v>134</v>
      </c>
      <c r="J2710" s="1">
        <v>8</v>
      </c>
      <c r="K2710" s="1" t="s">
        <v>35</v>
      </c>
      <c r="L2710" s="1">
        <v>38</v>
      </c>
      <c r="M2710" s="1" t="str">
        <f>IF(L2710&lt;=45,"Joven","Mayor")</f>
        <v>Joven</v>
      </c>
      <c r="N2710" s="1">
        <v>43</v>
      </c>
      <c r="O2710" s="1" t="s">
        <v>36</v>
      </c>
      <c r="P2710" s="1">
        <v>0.14299999999999999</v>
      </c>
      <c r="Q2710" s="1">
        <v>91.296000000000006</v>
      </c>
      <c r="R2710" s="1">
        <v>-3.1985526000000002</v>
      </c>
      <c r="S2710" s="1">
        <v>6.7990265000000001</v>
      </c>
      <c r="T2710" s="1">
        <v>1.3224765999999999</v>
      </c>
      <c r="U2710" s="1">
        <v>38.563000000000002</v>
      </c>
      <c r="V2710" s="1">
        <v>94</v>
      </c>
      <c r="W2710" s="1">
        <v>167</v>
      </c>
      <c r="X2710" s="1">
        <v>1.7765957446808511</v>
      </c>
      <c r="Y2710" s="1">
        <v>95</v>
      </c>
      <c r="Z2710" s="1">
        <v>167</v>
      </c>
      <c r="AA2710" s="1">
        <v>1.7578947368421052</v>
      </c>
      <c r="AB2710" s="1">
        <v>94.944301346359225</v>
      </c>
      <c r="AC2710" s="1">
        <v>166.77088043319009</v>
      </c>
      <c r="AD2710" s="1">
        <v>1.7565127982226725</v>
      </c>
      <c r="AE2710" t="s">
        <v>4817</v>
      </c>
      <c r="AF2710" t="str">
        <f>IF(X2710&lt;$AF$1,"Bajo","Alto")</f>
        <v>Alto</v>
      </c>
      <c r="AG2710" t="str">
        <f>LEFT(AE2710,1)</f>
        <v>C</v>
      </c>
      <c r="AH2710" t="str">
        <f>K2710</f>
        <v>M</v>
      </c>
      <c r="AI2710" t="str">
        <f>LEFT(AF2710,1)</f>
        <v>A</v>
      </c>
      <c r="AJ2710" t="str">
        <f>LEFT(M2710,1)</f>
        <v>J</v>
      </c>
      <c r="AK2710" t="str">
        <f>_xlfn.CONCAT(AG2710,AH2710,AI2710,AJ2710)</f>
        <v>CMAJ</v>
      </c>
    </row>
    <row r="2711" spans="1:37" ht="15.75" hidden="1" customHeight="1" x14ac:dyDescent="0.2">
      <c r="A2711" s="1">
        <v>1010105</v>
      </c>
      <c r="B2711" s="1" t="s">
        <v>29</v>
      </c>
      <c r="C2711" s="1" t="s">
        <v>30</v>
      </c>
      <c r="D2711" s="1" t="s">
        <v>31</v>
      </c>
      <c r="E2711" s="1" t="s">
        <v>32</v>
      </c>
      <c r="F2711" s="1" t="s">
        <v>40</v>
      </c>
      <c r="G2711" s="1" t="s">
        <v>41</v>
      </c>
      <c r="H2711" s="1">
        <v>1292</v>
      </c>
      <c r="I2711" s="1" t="s">
        <v>42</v>
      </c>
      <c r="J2711" s="1">
        <v>15</v>
      </c>
      <c r="K2711" s="1" t="s">
        <v>35</v>
      </c>
      <c r="L2711" s="1">
        <v>48</v>
      </c>
      <c r="M2711" s="1" t="str">
        <f>IF(L2711&lt;=45,"Joven","Mayor")</f>
        <v>Mayor</v>
      </c>
      <c r="N2711" s="1">
        <v>50</v>
      </c>
      <c r="O2711" s="1" t="s">
        <v>36</v>
      </c>
      <c r="P2711" s="1">
        <v>0.248</v>
      </c>
      <c r="Q2711" s="1">
        <v>92.84</v>
      </c>
      <c r="R2711" s="1">
        <v>2.2837830000000001</v>
      </c>
      <c r="S2711" s="1">
        <v>4.4164909999999997</v>
      </c>
      <c r="T2711" s="1">
        <v>-6.6479080000000001E-3</v>
      </c>
      <c r="U2711" s="1">
        <v>35.363</v>
      </c>
      <c r="V2711" s="1">
        <v>85</v>
      </c>
      <c r="W2711" s="1">
        <v>150</v>
      </c>
      <c r="X2711" s="1">
        <v>1.7647058823529411</v>
      </c>
      <c r="Y2711" s="1">
        <v>86</v>
      </c>
      <c r="Z2711" s="1">
        <v>150</v>
      </c>
      <c r="AA2711" s="1">
        <v>1.7441860465116279</v>
      </c>
      <c r="AB2711" s="1">
        <v>86.004408480656821</v>
      </c>
      <c r="AC2711" s="1">
        <v>149.99953487878429</v>
      </c>
      <c r="AD2711" s="1">
        <v>1.7440912335618302</v>
      </c>
      <c r="AE2711" t="s">
        <v>4817</v>
      </c>
      <c r="AF2711" t="str">
        <f>IF(X2711&lt;$AF$1,"Bajo","Alto")</f>
        <v>Bajo</v>
      </c>
      <c r="AG2711" t="str">
        <f>LEFT(AE2711,1)</f>
        <v>C</v>
      </c>
      <c r="AH2711" t="str">
        <f>K2711</f>
        <v>M</v>
      </c>
      <c r="AI2711" t="str">
        <f>LEFT(AF2711,1)</f>
        <v>B</v>
      </c>
      <c r="AJ2711" t="str">
        <f>LEFT(M2711,1)</f>
        <v>M</v>
      </c>
      <c r="AK2711" t="str">
        <f>_xlfn.CONCAT(AG2711,AH2711,AI2711,AJ2711)</f>
        <v>CMBM</v>
      </c>
    </row>
    <row r="2712" spans="1:37" ht="15.75" hidden="1" customHeight="1" x14ac:dyDescent="0.2">
      <c r="A2712" s="1">
        <v>211501</v>
      </c>
      <c r="B2712" s="1" t="s">
        <v>2816</v>
      </c>
      <c r="C2712" s="1" t="s">
        <v>2817</v>
      </c>
      <c r="D2712" s="1" t="s">
        <v>2838</v>
      </c>
      <c r="E2712" s="1" t="s">
        <v>57</v>
      </c>
      <c r="F2712" s="1" t="s">
        <v>32</v>
      </c>
      <c r="G2712" s="1" t="s">
        <v>2839</v>
      </c>
      <c r="H2712" s="1">
        <v>5085</v>
      </c>
      <c r="I2712" s="1" t="s">
        <v>100</v>
      </c>
      <c r="J2712" s="1">
        <v>1</v>
      </c>
      <c r="K2712" s="1" t="s">
        <v>35</v>
      </c>
      <c r="L2712" s="1">
        <v>36</v>
      </c>
      <c r="M2712" s="1" t="str">
        <f>IF(L2712&lt;=45,"Joven","Mayor")</f>
        <v>Joven</v>
      </c>
      <c r="N2712" s="1">
        <v>46</v>
      </c>
      <c r="O2712" s="1" t="s">
        <v>36</v>
      </c>
      <c r="P2712" s="1">
        <v>0.314</v>
      </c>
      <c r="Q2712" s="1">
        <v>74.581000000000003</v>
      </c>
      <c r="R2712" s="1">
        <v>12.129773</v>
      </c>
      <c r="S2712" s="1">
        <v>0.34673540000000003</v>
      </c>
      <c r="T2712" s="1">
        <v>-7.062354</v>
      </c>
      <c r="U2712" s="1">
        <v>26.155000000000001</v>
      </c>
      <c r="V2712" s="1">
        <v>85</v>
      </c>
      <c r="W2712" s="1">
        <v>151</v>
      </c>
      <c r="X2712" s="1">
        <v>1.776470588235294</v>
      </c>
      <c r="Y2712" s="1">
        <v>92</v>
      </c>
      <c r="Z2712" s="1">
        <v>151</v>
      </c>
      <c r="AA2712" s="1">
        <v>1.6413043478260869</v>
      </c>
      <c r="AB2712" s="1">
        <v>89.027178313160675</v>
      </c>
      <c r="AC2712" s="1">
        <v>150.59204992839841</v>
      </c>
      <c r="AD2712" s="1">
        <v>1.6915289553340449</v>
      </c>
      <c r="AE2712" t="s">
        <v>4817</v>
      </c>
      <c r="AF2712" t="str">
        <f>IF(X2712&lt;$AF$1,"Bajo","Alto")</f>
        <v>Alto</v>
      </c>
      <c r="AG2712" t="str">
        <f>LEFT(AE2712,1)</f>
        <v>C</v>
      </c>
      <c r="AH2712" t="str">
        <f>K2712</f>
        <v>M</v>
      </c>
      <c r="AI2712" t="str">
        <f>LEFT(AF2712,1)</f>
        <v>A</v>
      </c>
      <c r="AJ2712" t="str">
        <f>LEFT(M2712,1)</f>
        <v>J</v>
      </c>
      <c r="AK2712" t="str">
        <f>_xlfn.CONCAT(AG2712,AH2712,AI2712,AJ2712)</f>
        <v>CMAJ</v>
      </c>
    </row>
    <row r="2713" spans="1:37" ht="15.75" hidden="1" customHeight="1" x14ac:dyDescent="0.2">
      <c r="A2713" s="1">
        <v>440204</v>
      </c>
      <c r="B2713" s="1" t="s">
        <v>4314</v>
      </c>
      <c r="C2713" s="1" t="s">
        <v>995</v>
      </c>
      <c r="D2713" s="1" t="s">
        <v>3420</v>
      </c>
      <c r="E2713" s="1" t="s">
        <v>37</v>
      </c>
      <c r="F2713" s="1" t="s">
        <v>61</v>
      </c>
      <c r="G2713" s="1" t="s">
        <v>4320</v>
      </c>
      <c r="H2713" s="1">
        <v>114</v>
      </c>
      <c r="I2713" s="1" t="s">
        <v>48</v>
      </c>
      <c r="J2713" s="1">
        <v>4</v>
      </c>
      <c r="K2713" s="1" t="s">
        <v>49</v>
      </c>
      <c r="L2713" s="1">
        <v>39</v>
      </c>
      <c r="M2713" s="1" t="str">
        <f>IF(L2713&lt;=45,"Joven","Mayor")</f>
        <v>Joven</v>
      </c>
      <c r="N2713" s="1">
        <v>36</v>
      </c>
      <c r="O2713" s="1" t="s">
        <v>50</v>
      </c>
      <c r="P2713" s="1">
        <v>0.39600000000000002</v>
      </c>
      <c r="Q2713" s="1">
        <v>93.129000000000005</v>
      </c>
      <c r="R2713" s="1">
        <v>-0.55673209999999995</v>
      </c>
      <c r="S2713" s="1">
        <v>6.7614574000000003</v>
      </c>
      <c r="T2713" s="1">
        <v>3.9519685999999998E-2</v>
      </c>
      <c r="U2713" s="1">
        <v>7.7709999999999999</v>
      </c>
      <c r="V2713" s="1">
        <v>103</v>
      </c>
      <c r="W2713" s="1">
        <v>182</v>
      </c>
      <c r="X2713" s="1">
        <v>1.766990291262136</v>
      </c>
      <c r="Y2713" s="1">
        <v>104</v>
      </c>
      <c r="Z2713" s="1">
        <v>182</v>
      </c>
      <c r="AA2713" s="1">
        <v>1.75</v>
      </c>
      <c r="AB2713" s="1">
        <v>104.03308319293269</v>
      </c>
      <c r="AC2713" s="1">
        <v>182.00202595221799</v>
      </c>
      <c r="AD2713" s="1">
        <v>1.749462962802798</v>
      </c>
      <c r="AE2713" t="s">
        <v>4817</v>
      </c>
      <c r="AF2713" t="str">
        <f>IF(X2713&lt;$AF$1,"Bajo","Alto")</f>
        <v>Bajo</v>
      </c>
      <c r="AG2713" t="str">
        <f>LEFT(AE2713,1)</f>
        <v>C</v>
      </c>
      <c r="AH2713" t="str">
        <f>K2713</f>
        <v>F</v>
      </c>
      <c r="AI2713" t="str">
        <f>LEFT(AF2713,1)</f>
        <v>B</v>
      </c>
      <c r="AJ2713" t="str">
        <f>LEFT(M2713,1)</f>
        <v>J</v>
      </c>
      <c r="AK2713" t="str">
        <f>_xlfn.CONCAT(AG2713,AH2713,AI2713,AJ2713)</f>
        <v>CFBJ</v>
      </c>
    </row>
    <row r="2714" spans="1:37" ht="15.75" hidden="1" customHeight="1" x14ac:dyDescent="0.2">
      <c r="A2714" s="1">
        <v>277905</v>
      </c>
      <c r="B2714" s="1" t="s">
        <v>3409</v>
      </c>
      <c r="C2714" s="1" t="s">
        <v>973</v>
      </c>
      <c r="D2714" s="1" t="s">
        <v>3731</v>
      </c>
      <c r="E2714" s="1" t="s">
        <v>739</v>
      </c>
      <c r="F2714" s="1" t="s">
        <v>40</v>
      </c>
      <c r="G2714" s="1" t="s">
        <v>3736</v>
      </c>
      <c r="H2714" s="1">
        <v>1031</v>
      </c>
      <c r="I2714" s="1" t="s">
        <v>3737</v>
      </c>
      <c r="J2714" s="1">
        <v>4406</v>
      </c>
      <c r="K2714" s="1" t="s">
        <v>35</v>
      </c>
      <c r="L2714" s="1">
        <v>43</v>
      </c>
      <c r="M2714" s="1" t="str">
        <f>IF(L2714&lt;=45,"Joven","Mayor")</f>
        <v>Joven</v>
      </c>
      <c r="N2714" s="1">
        <v>51</v>
      </c>
      <c r="O2714" s="1" t="s">
        <v>36</v>
      </c>
      <c r="P2714" s="1">
        <v>0.34799999999999998</v>
      </c>
      <c r="Q2714" s="1">
        <v>93.052000000000007</v>
      </c>
      <c r="R2714" s="1">
        <v>-2.8431763999999999</v>
      </c>
      <c r="S2714" s="1">
        <v>1.8948251</v>
      </c>
      <c r="T2714" s="1">
        <v>-0.85584360000000004</v>
      </c>
      <c r="U2714" s="1">
        <v>3.1</v>
      </c>
      <c r="V2714" s="1">
        <v>98</v>
      </c>
      <c r="W2714" s="1">
        <v>174</v>
      </c>
      <c r="X2714" s="1">
        <v>1.7755102040816326</v>
      </c>
      <c r="Y2714" s="1">
        <v>99</v>
      </c>
      <c r="Z2714" s="1">
        <v>174</v>
      </c>
      <c r="AA2714" s="1">
        <v>1.7575757575757576</v>
      </c>
      <c r="AB2714" s="1">
        <v>99.646171899255478</v>
      </c>
      <c r="AC2714" s="1">
        <v>174.01046216173879</v>
      </c>
      <c r="AD2714" s="1">
        <v>1.7462834632289466</v>
      </c>
      <c r="AE2714" t="s">
        <v>4817</v>
      </c>
      <c r="AF2714" t="str">
        <f>IF(X2714&lt;$AF$1,"Bajo","Alto")</f>
        <v>Alto</v>
      </c>
      <c r="AG2714" t="str">
        <f>LEFT(AE2714,1)</f>
        <v>C</v>
      </c>
      <c r="AH2714" t="str">
        <f>K2714</f>
        <v>M</v>
      </c>
      <c r="AI2714" t="str">
        <f>LEFT(AF2714,1)</f>
        <v>A</v>
      </c>
      <c r="AJ2714" t="str">
        <f>LEFT(M2714,1)</f>
        <v>J</v>
      </c>
      <c r="AK2714" t="str">
        <f>_xlfn.CONCAT(AG2714,AH2714,AI2714,AJ2714)</f>
        <v>CMAJ</v>
      </c>
    </row>
    <row r="2715" spans="1:37" ht="15.75" hidden="1" customHeight="1" x14ac:dyDescent="0.2">
      <c r="A2715" s="1">
        <v>720605</v>
      </c>
      <c r="B2715" s="1" t="s">
        <v>4798</v>
      </c>
      <c r="C2715" s="1" t="s">
        <v>1016</v>
      </c>
      <c r="D2715" s="1" t="s">
        <v>4808</v>
      </c>
      <c r="E2715" s="1" t="s">
        <v>88</v>
      </c>
      <c r="F2715" s="1" t="s">
        <v>40</v>
      </c>
      <c r="G2715" s="1" t="s">
        <v>4811</v>
      </c>
      <c r="H2715" s="1">
        <v>3322</v>
      </c>
      <c r="I2715" s="1" t="s">
        <v>4812</v>
      </c>
      <c r="J2715" s="1">
        <v>3049</v>
      </c>
      <c r="K2715" s="1" t="s">
        <v>35</v>
      </c>
      <c r="L2715" s="1">
        <v>37</v>
      </c>
      <c r="M2715" s="1" t="str">
        <f>IF(L2715&lt;=45,"Joven","Mayor")</f>
        <v>Joven</v>
      </c>
      <c r="N2715" s="1">
        <v>42</v>
      </c>
      <c r="O2715" s="1" t="s">
        <v>36</v>
      </c>
      <c r="P2715" s="1">
        <v>0.33200000000000002</v>
      </c>
      <c r="Q2715" s="1">
        <v>88.712000000000003</v>
      </c>
      <c r="R2715" s="1">
        <v>-3.2116120000000001</v>
      </c>
      <c r="S2715" s="1">
        <v>11.105855999999999</v>
      </c>
      <c r="T2715" s="1">
        <v>4.0787339999999999</v>
      </c>
      <c r="U2715" s="1">
        <v>3.3860000000000001</v>
      </c>
      <c r="V2715" s="1">
        <v>98</v>
      </c>
      <c r="W2715" s="1">
        <v>174</v>
      </c>
      <c r="X2715" s="1">
        <v>1.7755102040816326</v>
      </c>
      <c r="Y2715" s="1">
        <v>109</v>
      </c>
      <c r="Z2715" s="1">
        <v>174</v>
      </c>
      <c r="AA2715" s="1">
        <v>1.5963302752293578</v>
      </c>
      <c r="AB2715" s="1">
        <v>105.8788412928634</v>
      </c>
      <c r="AC2715" s="1">
        <v>174.768464602113</v>
      </c>
      <c r="AD2715" s="1">
        <v>1.6506457991800199</v>
      </c>
      <c r="AE2715" t="s">
        <v>4817</v>
      </c>
      <c r="AF2715" t="str">
        <f>IF(X2715&lt;$AF$1,"Bajo","Alto")</f>
        <v>Alto</v>
      </c>
      <c r="AG2715" t="str">
        <f>LEFT(AE2715,1)</f>
        <v>C</v>
      </c>
      <c r="AH2715" t="str">
        <f>K2715</f>
        <v>M</v>
      </c>
      <c r="AI2715" t="str">
        <f>LEFT(AF2715,1)</f>
        <v>A</v>
      </c>
      <c r="AJ2715" t="str">
        <f>LEFT(M2715,1)</f>
        <v>J</v>
      </c>
      <c r="AK2715" t="str">
        <f>_xlfn.CONCAT(AG2715,AH2715,AI2715,AJ2715)</f>
        <v>CMAJ</v>
      </c>
    </row>
    <row r="2716" spans="1:37" ht="15.75" hidden="1" customHeight="1" x14ac:dyDescent="0.2">
      <c r="A2716" s="1">
        <v>1093703</v>
      </c>
      <c r="B2716" s="1" t="s">
        <v>719</v>
      </c>
      <c r="C2716" s="1" t="s">
        <v>98</v>
      </c>
      <c r="D2716" s="1" t="s">
        <v>1602</v>
      </c>
      <c r="E2716" s="1" t="s">
        <v>647</v>
      </c>
      <c r="F2716" s="1" t="s">
        <v>63</v>
      </c>
      <c r="G2716" s="1" t="s">
        <v>1605</v>
      </c>
      <c r="H2716" s="1">
        <v>493</v>
      </c>
      <c r="I2716" s="1" t="s">
        <v>65</v>
      </c>
      <c r="J2716" s="1">
        <v>2</v>
      </c>
      <c r="K2716" s="1" t="s">
        <v>35</v>
      </c>
      <c r="L2716" s="1">
        <v>51</v>
      </c>
      <c r="M2716" s="1" t="str">
        <f>IF(L2716&lt;=45,"Joven","Mayor")</f>
        <v>Mayor</v>
      </c>
      <c r="N2716" s="1">
        <v>48</v>
      </c>
      <c r="O2716" s="1" t="s">
        <v>36</v>
      </c>
      <c r="P2716" s="1">
        <v>0.35599999999999998</v>
      </c>
      <c r="Q2716" s="1">
        <v>90.799000000000007</v>
      </c>
      <c r="R2716" s="1">
        <v>4.6304645999999998</v>
      </c>
      <c r="S2716" s="1">
        <v>-4.2230835000000004</v>
      </c>
      <c r="T2716" s="1">
        <v>-6.2712126000000001</v>
      </c>
      <c r="U2716" s="1">
        <v>0.86</v>
      </c>
      <c r="V2716" s="1">
        <v>85</v>
      </c>
      <c r="W2716" s="1">
        <v>150</v>
      </c>
      <c r="X2716" s="1">
        <v>1.7647058823529411</v>
      </c>
      <c r="Y2716" s="1">
        <v>88</v>
      </c>
      <c r="Z2716" s="1">
        <v>150</v>
      </c>
      <c r="AA2716" s="1">
        <v>1.7045454545454546</v>
      </c>
      <c r="AB2716" s="1">
        <v>88.969987728796923</v>
      </c>
      <c r="AC2716" s="1">
        <v>149.32086444471221</v>
      </c>
      <c r="AD2716" s="1">
        <v>1.6783284819582089</v>
      </c>
      <c r="AE2716" t="s">
        <v>4817</v>
      </c>
      <c r="AF2716" t="str">
        <f>IF(X2716&lt;$AF$1,"Bajo","Alto")</f>
        <v>Bajo</v>
      </c>
      <c r="AG2716" t="str">
        <f>LEFT(AE2716,1)</f>
        <v>C</v>
      </c>
      <c r="AH2716" t="str">
        <f>K2716</f>
        <v>M</v>
      </c>
      <c r="AI2716" t="str">
        <f>LEFT(AF2716,1)</f>
        <v>B</v>
      </c>
      <c r="AJ2716" t="str">
        <f>LEFT(M2716,1)</f>
        <v>M</v>
      </c>
      <c r="AK2716" t="str">
        <f>_xlfn.CONCAT(AG2716,AH2716,AI2716,AJ2716)</f>
        <v>CMBM</v>
      </c>
    </row>
    <row r="2717" spans="1:37" ht="15.75" hidden="1" customHeight="1" x14ac:dyDescent="0.2">
      <c r="A2717" s="1">
        <v>641304</v>
      </c>
      <c r="B2717" s="1" t="s">
        <v>4718</v>
      </c>
      <c r="C2717" s="1" t="s">
        <v>710</v>
      </c>
      <c r="D2717" s="1" t="s">
        <v>438</v>
      </c>
      <c r="E2717" s="1" t="s">
        <v>163</v>
      </c>
      <c r="F2717" s="1" t="s">
        <v>61</v>
      </c>
      <c r="G2717" s="1" t="s">
        <v>4744</v>
      </c>
      <c r="H2717" s="1">
        <v>8</v>
      </c>
      <c r="I2717" s="1" t="s">
        <v>134</v>
      </c>
      <c r="J2717" s="1">
        <v>8</v>
      </c>
      <c r="K2717" s="1" t="s">
        <v>35</v>
      </c>
      <c r="L2717" s="1">
        <v>38</v>
      </c>
      <c r="M2717" s="1" t="str">
        <f>IF(L2717&lt;=45,"Joven","Mayor")</f>
        <v>Joven</v>
      </c>
      <c r="N2717" s="1">
        <v>40</v>
      </c>
      <c r="O2717" s="1" t="s">
        <v>36</v>
      </c>
      <c r="P2717" s="1">
        <v>0.309</v>
      </c>
      <c r="Q2717" s="1">
        <v>73.637</v>
      </c>
      <c r="R2717" s="1">
        <v>11.579525</v>
      </c>
      <c r="S2717" s="1">
        <v>5.5789765999999998</v>
      </c>
      <c r="T2717" s="1">
        <v>-6.6849949999999998</v>
      </c>
      <c r="U2717" s="1">
        <v>9.8219999999999992</v>
      </c>
      <c r="V2717" s="1">
        <v>98</v>
      </c>
      <c r="W2717" s="1">
        <v>173</v>
      </c>
      <c r="X2717" s="1">
        <v>1.7653061224489797</v>
      </c>
      <c r="Y2717" s="1">
        <v>103</v>
      </c>
      <c r="Z2717" s="1">
        <v>173</v>
      </c>
      <c r="AA2717" s="1">
        <v>1.6796116504854368</v>
      </c>
      <c r="AB2717" s="1">
        <v>103.3870676769927</v>
      </c>
      <c r="AC2717" s="1">
        <v>172.40585558291289</v>
      </c>
      <c r="AD2717" s="1">
        <v>1.6675766075651968</v>
      </c>
      <c r="AE2717" t="s">
        <v>4817</v>
      </c>
      <c r="AF2717" t="str">
        <f>IF(X2717&lt;$AF$1,"Bajo","Alto")</f>
        <v>Bajo</v>
      </c>
      <c r="AG2717" t="str">
        <f>LEFT(AE2717,1)</f>
        <v>C</v>
      </c>
      <c r="AH2717" t="str">
        <f>K2717</f>
        <v>M</v>
      </c>
      <c r="AI2717" t="str">
        <f>LEFT(AF2717,1)</f>
        <v>B</v>
      </c>
      <c r="AJ2717" t="str">
        <f>LEFT(M2717,1)</f>
        <v>J</v>
      </c>
      <c r="AK2717" t="str">
        <f>_xlfn.CONCAT(AG2717,AH2717,AI2717,AJ2717)</f>
        <v>CMBJ</v>
      </c>
    </row>
    <row r="2718" spans="1:37" ht="15.75" hidden="1" customHeight="1" x14ac:dyDescent="0.2">
      <c r="A2718" s="1">
        <v>10725302</v>
      </c>
      <c r="B2718" s="1" t="s">
        <v>1067</v>
      </c>
      <c r="C2718" s="1" t="s">
        <v>1068</v>
      </c>
      <c r="D2718" s="1" t="s">
        <v>1292</v>
      </c>
      <c r="E2718" s="1" t="s">
        <v>506</v>
      </c>
      <c r="F2718" s="1" t="s">
        <v>37</v>
      </c>
      <c r="G2718" s="1" t="s">
        <v>1294</v>
      </c>
      <c r="H2718" s="1">
        <v>1350</v>
      </c>
      <c r="I2718" s="1" t="s">
        <v>42</v>
      </c>
      <c r="J2718" s="1">
        <v>15</v>
      </c>
      <c r="K2718" s="1" t="s">
        <v>35</v>
      </c>
      <c r="L2718" s="1">
        <v>25</v>
      </c>
      <c r="M2718" s="1" t="str">
        <f>IF(L2718&lt;=45,"Joven","Mayor")</f>
        <v>Joven</v>
      </c>
      <c r="N2718" s="1">
        <v>23</v>
      </c>
      <c r="O2718" s="1" t="s">
        <v>36</v>
      </c>
      <c r="P2718" s="1">
        <v>0.36099999999999999</v>
      </c>
      <c r="Q2718" s="1">
        <v>92.736999999999995</v>
      </c>
      <c r="R2718" s="1">
        <v>2.3923540000000001</v>
      </c>
      <c r="S2718" s="1">
        <v>4.3985576999999996</v>
      </c>
      <c r="T2718" s="1">
        <v>-2.9424473999999998</v>
      </c>
      <c r="U2718" s="1">
        <v>58.381999999999998</v>
      </c>
      <c r="V2718" s="1">
        <v>80</v>
      </c>
      <c r="W2718" s="1">
        <v>142</v>
      </c>
      <c r="X2718" s="1">
        <v>1.7749999999999999</v>
      </c>
      <c r="Y2718" s="1">
        <v>82</v>
      </c>
      <c r="Z2718" s="1">
        <v>142</v>
      </c>
      <c r="AA2718" s="1">
        <v>1.7317073170731707</v>
      </c>
      <c r="AB2718" s="1">
        <v>81.947841089325493</v>
      </c>
      <c r="AC2718" s="1">
        <v>141.91545306005261</v>
      </c>
      <c r="AD2718" s="1">
        <v>1.7317778134674799</v>
      </c>
      <c r="AE2718" t="s">
        <v>4817</v>
      </c>
      <c r="AF2718" t="str">
        <f>IF(X2718&lt;$AF$1,"Bajo","Alto")</f>
        <v>Alto</v>
      </c>
      <c r="AG2718" t="str">
        <f>LEFT(AE2718,1)</f>
        <v>C</v>
      </c>
      <c r="AH2718" t="str">
        <f>K2718</f>
        <v>M</v>
      </c>
      <c r="AI2718" t="str">
        <f>LEFT(AF2718,1)</f>
        <v>A</v>
      </c>
      <c r="AJ2718" t="str">
        <f>LEFT(M2718,1)</f>
        <v>J</v>
      </c>
      <c r="AK2718" t="str">
        <f>_xlfn.CONCAT(AG2718,AH2718,AI2718,AJ2718)</f>
        <v>CMAJ</v>
      </c>
    </row>
    <row r="2719" spans="1:37" ht="15.75" hidden="1" customHeight="1" x14ac:dyDescent="0.2">
      <c r="A2719" s="1">
        <v>115201</v>
      </c>
      <c r="B2719" s="1" t="s">
        <v>1648</v>
      </c>
      <c r="C2719" s="1" t="s">
        <v>51</v>
      </c>
      <c r="D2719" s="1" t="s">
        <v>994</v>
      </c>
      <c r="E2719" s="1" t="s">
        <v>685</v>
      </c>
      <c r="F2719" s="1" t="s">
        <v>32</v>
      </c>
      <c r="G2719" s="1" t="s">
        <v>1721</v>
      </c>
      <c r="H2719" s="1">
        <v>1025</v>
      </c>
      <c r="I2719" s="1" t="s">
        <v>100</v>
      </c>
      <c r="J2719" s="1">
        <v>1</v>
      </c>
      <c r="K2719" s="1" t="s">
        <v>35</v>
      </c>
      <c r="L2719" s="1">
        <v>40</v>
      </c>
      <c r="M2719" s="1" t="str">
        <f>IF(L2719&lt;=45,"Joven","Mayor")</f>
        <v>Joven</v>
      </c>
      <c r="N2719" s="1">
        <v>46</v>
      </c>
      <c r="O2719" s="1" t="s">
        <v>36</v>
      </c>
      <c r="P2719" s="1">
        <v>2.8250000000000002</v>
      </c>
      <c r="Q2719" s="1">
        <v>85.941000000000003</v>
      </c>
      <c r="R2719" s="1">
        <v>-7.0987872999999997</v>
      </c>
      <c r="S2719" s="1">
        <v>4.7521089999999999</v>
      </c>
      <c r="T2719" s="1">
        <v>1.0925343999999999</v>
      </c>
      <c r="U2719" s="1">
        <v>2.4340000000000002</v>
      </c>
      <c r="V2719" s="1">
        <v>80</v>
      </c>
      <c r="W2719" s="1">
        <v>142</v>
      </c>
      <c r="X2719" s="1">
        <v>1.7749999999999999</v>
      </c>
      <c r="Y2719" s="1">
        <v>81</v>
      </c>
      <c r="Z2719" s="1">
        <v>142</v>
      </c>
      <c r="AA2719" s="1">
        <v>1.7530864197530864</v>
      </c>
      <c r="AB2719" s="1">
        <v>81.557289617324159</v>
      </c>
      <c r="AC2719" s="1">
        <v>141.82164778116251</v>
      </c>
      <c r="AD2719" s="1">
        <v>1.738920560585147</v>
      </c>
      <c r="AE2719" t="s">
        <v>4817</v>
      </c>
      <c r="AF2719" t="str">
        <f>IF(X2719&lt;$AF$1,"Bajo","Alto")</f>
        <v>Alto</v>
      </c>
      <c r="AG2719" t="str">
        <f>LEFT(AE2719,1)</f>
        <v>C</v>
      </c>
      <c r="AH2719" t="str">
        <f>K2719</f>
        <v>M</v>
      </c>
      <c r="AI2719" t="str">
        <f>LEFT(AF2719,1)</f>
        <v>A</v>
      </c>
      <c r="AJ2719" t="str">
        <f>LEFT(M2719,1)</f>
        <v>J</v>
      </c>
      <c r="AK2719" t="str">
        <f>_xlfn.CONCAT(AG2719,AH2719,AI2719,AJ2719)</f>
        <v>CMAJ</v>
      </c>
    </row>
    <row r="2720" spans="1:37" ht="15.75" hidden="1" customHeight="1" x14ac:dyDescent="0.2">
      <c r="A2720" s="1">
        <v>156402</v>
      </c>
      <c r="B2720" s="1" t="s">
        <v>2077</v>
      </c>
      <c r="C2720" s="1" t="s">
        <v>57</v>
      </c>
      <c r="D2720" s="1" t="s">
        <v>2493</v>
      </c>
      <c r="E2720" s="1" t="s">
        <v>710</v>
      </c>
      <c r="F2720" s="1" t="s">
        <v>37</v>
      </c>
      <c r="G2720" s="1" t="s">
        <v>2495</v>
      </c>
      <c r="H2720" s="1">
        <v>135</v>
      </c>
      <c r="I2720" s="1" t="s">
        <v>42</v>
      </c>
      <c r="J2720" s="1">
        <v>15</v>
      </c>
      <c r="K2720" s="1" t="s">
        <v>35</v>
      </c>
      <c r="L2720" s="1">
        <v>47</v>
      </c>
      <c r="M2720" s="1" t="str">
        <f>IF(L2720&lt;=45,"Joven","Mayor")</f>
        <v>Mayor</v>
      </c>
      <c r="N2720" s="1">
        <v>50</v>
      </c>
      <c r="O2720" s="1" t="s">
        <v>36</v>
      </c>
      <c r="P2720" s="1">
        <v>0.38200000000000001</v>
      </c>
      <c r="Q2720" s="1">
        <v>88.438999999999993</v>
      </c>
      <c r="R2720" s="1">
        <v>-6.1292179999999998</v>
      </c>
      <c r="S2720" s="1">
        <v>5.2507710000000003</v>
      </c>
      <c r="T2720" s="1">
        <v>0.48588126999999998</v>
      </c>
      <c r="U2720" s="1">
        <v>6.3929999999999998</v>
      </c>
      <c r="V2720" s="1">
        <v>80</v>
      </c>
      <c r="W2720" s="1">
        <v>142</v>
      </c>
      <c r="X2720" s="1">
        <v>1.7749999999999999</v>
      </c>
      <c r="Y2720" s="1">
        <v>81</v>
      </c>
      <c r="Z2720" s="1">
        <v>142</v>
      </c>
      <c r="AA2720" s="1">
        <v>1.7530864197530864</v>
      </c>
      <c r="AB2720" s="1">
        <v>81.234531025922252</v>
      </c>
      <c r="AC2720" s="1">
        <v>141.89313260219569</v>
      </c>
      <c r="AD2720" s="1">
        <v>1.7467095680889331</v>
      </c>
      <c r="AE2720" t="s">
        <v>4817</v>
      </c>
      <c r="AF2720" t="str">
        <f>IF(X2720&lt;$AF$1,"Bajo","Alto")</f>
        <v>Alto</v>
      </c>
      <c r="AG2720" t="str">
        <f>LEFT(AE2720,1)</f>
        <v>C</v>
      </c>
      <c r="AH2720" t="str">
        <f>K2720</f>
        <v>M</v>
      </c>
      <c r="AI2720" t="str">
        <f>LEFT(AF2720,1)</f>
        <v>A</v>
      </c>
      <c r="AJ2720" t="str">
        <f>LEFT(M2720,1)</f>
        <v>M</v>
      </c>
      <c r="AK2720" t="str">
        <f>_xlfn.CONCAT(AG2720,AH2720,AI2720,AJ2720)</f>
        <v>CMAM</v>
      </c>
    </row>
    <row r="2721" spans="1:37" ht="15.75" hidden="1" customHeight="1" x14ac:dyDescent="0.2">
      <c r="A2721" s="1">
        <v>402502</v>
      </c>
      <c r="B2721" s="1" t="s">
        <v>4287</v>
      </c>
      <c r="C2721" s="1" t="s">
        <v>657</v>
      </c>
      <c r="D2721" s="1" t="s">
        <v>4307</v>
      </c>
      <c r="E2721" s="1" t="s">
        <v>821</v>
      </c>
      <c r="F2721" s="1" t="s">
        <v>37</v>
      </c>
      <c r="G2721" s="1" t="s">
        <v>4309</v>
      </c>
      <c r="H2721" s="1">
        <v>672</v>
      </c>
      <c r="I2721" s="1" t="s">
        <v>85</v>
      </c>
      <c r="J2721" s="1">
        <v>12</v>
      </c>
      <c r="K2721" s="1" t="s">
        <v>49</v>
      </c>
      <c r="L2721" s="1">
        <v>41</v>
      </c>
      <c r="M2721" s="1" t="str">
        <f>IF(L2721&lt;=45,"Joven","Mayor")</f>
        <v>Joven</v>
      </c>
      <c r="N2721" s="1">
        <v>34</v>
      </c>
      <c r="O2721" s="1" t="s">
        <v>50</v>
      </c>
      <c r="P2721" s="1">
        <v>2.2679999999999998</v>
      </c>
      <c r="Q2721" s="1">
        <v>39.286999999999999</v>
      </c>
      <c r="R2721" s="1">
        <v>-17.236853</v>
      </c>
      <c r="S2721" s="1">
        <v>-1.0798392000000001</v>
      </c>
      <c r="T2721" s="1">
        <v>4.9079164999999998</v>
      </c>
      <c r="U2721" s="1">
        <v>4.88</v>
      </c>
      <c r="V2721" s="1">
        <v>83</v>
      </c>
      <c r="W2721" s="1">
        <v>146</v>
      </c>
      <c r="X2721" s="1">
        <v>1.7590361445783131</v>
      </c>
      <c r="Y2721" s="1">
        <v>91</v>
      </c>
      <c r="Z2721" s="1">
        <v>146</v>
      </c>
      <c r="AA2721" s="1">
        <v>1.6043956043956045</v>
      </c>
      <c r="AB2721" s="1">
        <v>87.500827413884736</v>
      </c>
      <c r="AC2721" s="1">
        <v>145.7213525267648</v>
      </c>
      <c r="AD2721" s="1">
        <v>1.6653711380064227</v>
      </c>
      <c r="AE2721" t="s">
        <v>4815</v>
      </c>
      <c r="AF2721" t="str">
        <f>IF(X2721&lt;$AF$1,"Bajo","Alto")</f>
        <v>Bajo</v>
      </c>
      <c r="AG2721" t="str">
        <f>LEFT(AE2721,1)</f>
        <v>I</v>
      </c>
      <c r="AH2721" t="str">
        <f>K2721</f>
        <v>F</v>
      </c>
      <c r="AI2721" t="str">
        <f>LEFT(AF2721,1)</f>
        <v>B</v>
      </c>
      <c r="AJ2721" t="str">
        <f>LEFT(M2721,1)</f>
        <v>J</v>
      </c>
      <c r="AK2721" t="str">
        <f>_xlfn.CONCAT(AG2721,AH2721,AI2721,AJ2721)</f>
        <v>IFBJ</v>
      </c>
    </row>
    <row r="2722" spans="1:37" ht="15.75" hidden="1" customHeight="1" x14ac:dyDescent="0.2">
      <c r="A2722" s="1">
        <v>112702</v>
      </c>
      <c r="B2722" s="1" t="s">
        <v>1648</v>
      </c>
      <c r="C2722" s="1" t="s">
        <v>51</v>
      </c>
      <c r="D2722" s="1" t="s">
        <v>1687</v>
      </c>
      <c r="E2722" s="1" t="s">
        <v>973</v>
      </c>
      <c r="F2722" s="1" t="s">
        <v>37</v>
      </c>
      <c r="G2722" s="1" t="s">
        <v>1688</v>
      </c>
      <c r="H2722" s="1">
        <v>2365</v>
      </c>
      <c r="I2722" s="1" t="s">
        <v>108</v>
      </c>
      <c r="J2722" s="1">
        <v>3</v>
      </c>
      <c r="K2722" s="1" t="s">
        <v>35</v>
      </c>
      <c r="L2722" s="1">
        <v>28</v>
      </c>
      <c r="M2722" s="1" t="str">
        <f>IF(L2722&lt;=45,"Joven","Mayor")</f>
        <v>Joven</v>
      </c>
      <c r="N2722" s="1">
        <v>19</v>
      </c>
      <c r="O2722" s="1" t="s">
        <v>36</v>
      </c>
      <c r="P2722" s="1">
        <v>0.14299999999999999</v>
      </c>
      <c r="Q2722" s="1">
        <v>92.344999999999999</v>
      </c>
      <c r="R2722" s="1">
        <v>4.2131280000000002</v>
      </c>
      <c r="S2722" s="1">
        <v>-0.21467029000000001</v>
      </c>
      <c r="T2722" s="1">
        <v>-0.80735170000000001</v>
      </c>
      <c r="U2722" s="1">
        <v>4.6989999999999998</v>
      </c>
      <c r="V2722" s="1">
        <v>102</v>
      </c>
      <c r="W2722" s="1">
        <v>181</v>
      </c>
      <c r="X2722" s="1">
        <v>1.7745098039215685</v>
      </c>
      <c r="Y2722" s="1">
        <v>102</v>
      </c>
      <c r="Z2722" s="1">
        <v>181</v>
      </c>
      <c r="AA2722" s="1">
        <v>1.7745098039215685</v>
      </c>
      <c r="AB2722" s="1">
        <v>102.68030735098731</v>
      </c>
      <c r="AC2722" s="1">
        <v>180.93975965591841</v>
      </c>
      <c r="AD2722" s="1">
        <v>1.7621661282861227</v>
      </c>
      <c r="AE2722" t="s">
        <v>4817</v>
      </c>
      <c r="AF2722" t="str">
        <f>IF(X2722&lt;$AF$1,"Bajo","Alto")</f>
        <v>Alto</v>
      </c>
      <c r="AG2722" t="str">
        <f>LEFT(AE2722,1)</f>
        <v>C</v>
      </c>
      <c r="AH2722" t="str">
        <f>K2722</f>
        <v>M</v>
      </c>
      <c r="AI2722" t="str">
        <f>LEFT(AF2722,1)</f>
        <v>A</v>
      </c>
      <c r="AJ2722" t="str">
        <f>LEFT(M2722,1)</f>
        <v>J</v>
      </c>
      <c r="AK2722" t="str">
        <f>_xlfn.CONCAT(AG2722,AH2722,AI2722,AJ2722)</f>
        <v>CMAJ</v>
      </c>
    </row>
    <row r="2723" spans="1:37" ht="15.75" hidden="1" customHeight="1" x14ac:dyDescent="0.2">
      <c r="A2723" s="1">
        <v>10713001</v>
      </c>
      <c r="B2723" s="1" t="s">
        <v>1067</v>
      </c>
      <c r="C2723" s="1" t="s">
        <v>1068</v>
      </c>
      <c r="D2723" s="1" t="s">
        <v>1124</v>
      </c>
      <c r="E2723" s="1" t="s">
        <v>158</v>
      </c>
      <c r="F2723" s="1" t="s">
        <v>32</v>
      </c>
      <c r="G2723" s="1" t="s">
        <v>1125</v>
      </c>
      <c r="H2723" s="1">
        <v>284</v>
      </c>
      <c r="I2723" s="1" t="s">
        <v>65</v>
      </c>
      <c r="J2723" s="1">
        <v>2</v>
      </c>
      <c r="K2723" s="1" t="s">
        <v>35</v>
      </c>
      <c r="L2723" s="1">
        <v>54</v>
      </c>
      <c r="M2723" s="1" t="str">
        <f>IF(L2723&lt;=45,"Joven","Mayor")</f>
        <v>Mayor</v>
      </c>
      <c r="N2723" s="1">
        <v>49</v>
      </c>
      <c r="O2723" s="1" t="s">
        <v>36</v>
      </c>
      <c r="P2723" s="1">
        <v>0.36099999999999999</v>
      </c>
      <c r="Q2723" s="1">
        <v>93.25</v>
      </c>
      <c r="R2723" s="1">
        <v>1.3885611</v>
      </c>
      <c r="S2723" s="1">
        <v>-4.9035063000000001</v>
      </c>
      <c r="T2723" s="1">
        <v>-3.2478220000000002</v>
      </c>
      <c r="U2723" s="1">
        <v>33.091000000000001</v>
      </c>
      <c r="V2723" s="1">
        <v>93</v>
      </c>
      <c r="W2723" s="1">
        <v>165</v>
      </c>
      <c r="X2723" s="1">
        <v>1.7741935483870968</v>
      </c>
      <c r="Y2723" s="1">
        <v>99</v>
      </c>
      <c r="Z2723" s="1">
        <v>165</v>
      </c>
      <c r="AA2723" s="1">
        <v>1.6666666666666667</v>
      </c>
      <c r="AB2723" s="1">
        <v>96.801414592506035</v>
      </c>
      <c r="AC2723" s="1">
        <v>165.24487462936349</v>
      </c>
      <c r="AD2723" s="1">
        <v>1.7070502050509917</v>
      </c>
      <c r="AE2723" t="s">
        <v>4817</v>
      </c>
      <c r="AF2723" t="str">
        <f>IF(X2723&lt;$AF$1,"Bajo","Alto")</f>
        <v>Alto</v>
      </c>
      <c r="AG2723" t="str">
        <f>LEFT(AE2723,1)</f>
        <v>C</v>
      </c>
      <c r="AH2723" t="str">
        <f>K2723</f>
        <v>M</v>
      </c>
      <c r="AI2723" t="str">
        <f>LEFT(AF2723,1)</f>
        <v>A</v>
      </c>
      <c r="AJ2723" t="str">
        <f>LEFT(M2723,1)</f>
        <v>M</v>
      </c>
      <c r="AK2723" t="str">
        <f>_xlfn.CONCAT(AG2723,AH2723,AI2723,AJ2723)</f>
        <v>CMAM</v>
      </c>
    </row>
    <row r="2724" spans="1:37" ht="15.75" hidden="1" customHeight="1" x14ac:dyDescent="0.2">
      <c r="A2724" s="1">
        <v>154002</v>
      </c>
      <c r="B2724" s="1" t="s">
        <v>2077</v>
      </c>
      <c r="C2724" s="1" t="s">
        <v>57</v>
      </c>
      <c r="D2724" s="1" t="s">
        <v>2452</v>
      </c>
      <c r="E2724" s="1" t="s">
        <v>657</v>
      </c>
      <c r="F2724" s="1" t="s">
        <v>37</v>
      </c>
      <c r="G2724" s="1" t="s">
        <v>2455</v>
      </c>
      <c r="H2724" s="1">
        <v>1779</v>
      </c>
      <c r="I2724" s="1" t="s">
        <v>2456</v>
      </c>
      <c r="J2724" s="1">
        <v>4048</v>
      </c>
      <c r="K2724" s="1" t="s">
        <v>35</v>
      </c>
      <c r="L2724" s="1">
        <v>23</v>
      </c>
      <c r="M2724" s="1" t="str">
        <f>IF(L2724&lt;=45,"Joven","Mayor")</f>
        <v>Joven</v>
      </c>
      <c r="N2724" s="1">
        <v>31</v>
      </c>
      <c r="O2724" s="1" t="s">
        <v>36</v>
      </c>
      <c r="P2724" s="1">
        <v>7.5999999999999998E-2</v>
      </c>
      <c r="Q2724" s="1">
        <v>86.037000000000006</v>
      </c>
      <c r="R2724" s="1">
        <v>7.9787053999999999</v>
      </c>
      <c r="S2724" s="1">
        <v>3.6449389999999999</v>
      </c>
      <c r="T2724" s="1">
        <v>-1.2508656</v>
      </c>
      <c r="U2724" s="1">
        <v>11.58</v>
      </c>
      <c r="V2724" s="1">
        <v>81</v>
      </c>
      <c r="W2724" s="1">
        <v>143</v>
      </c>
      <c r="X2724" s="1">
        <v>1.7654320987654322</v>
      </c>
      <c r="Y2724" s="1">
        <v>82</v>
      </c>
      <c r="Z2724" s="1">
        <v>143</v>
      </c>
      <c r="AA2724" s="1">
        <v>1.7439024390243902</v>
      </c>
      <c r="AB2724" s="1">
        <v>81.744747104309909</v>
      </c>
      <c r="AC2724" s="1">
        <v>142.94409273860899</v>
      </c>
      <c r="AD2724" s="1">
        <v>1.7486639545927767</v>
      </c>
      <c r="AE2724" t="s">
        <v>4817</v>
      </c>
      <c r="AF2724" t="str">
        <f>IF(X2724&lt;$AF$1,"Bajo","Alto")</f>
        <v>Bajo</v>
      </c>
      <c r="AG2724" t="str">
        <f>LEFT(AE2724,1)</f>
        <v>C</v>
      </c>
      <c r="AH2724" t="str">
        <f>K2724</f>
        <v>M</v>
      </c>
      <c r="AI2724" t="str">
        <f>LEFT(AF2724,1)</f>
        <v>B</v>
      </c>
      <c r="AJ2724" t="str">
        <f>LEFT(M2724,1)</f>
        <v>J</v>
      </c>
      <c r="AK2724" t="str">
        <f>_xlfn.CONCAT(AG2724,AH2724,AI2724,AJ2724)</f>
        <v>CMBJ</v>
      </c>
    </row>
    <row r="2725" spans="1:37" ht="15.75" hidden="1" customHeight="1" x14ac:dyDescent="0.2">
      <c r="A2725" s="1">
        <v>233901</v>
      </c>
      <c r="B2725" s="1" t="s">
        <v>319</v>
      </c>
      <c r="C2725" s="1" t="s">
        <v>1989</v>
      </c>
      <c r="D2725" s="1" t="s">
        <v>3027</v>
      </c>
      <c r="E2725" s="1" t="s">
        <v>654</v>
      </c>
      <c r="F2725" s="1" t="s">
        <v>32</v>
      </c>
      <c r="G2725" s="1" t="s">
        <v>3028</v>
      </c>
      <c r="H2725" s="1">
        <v>2261</v>
      </c>
      <c r="I2725" s="1" t="s">
        <v>108</v>
      </c>
      <c r="J2725" s="1">
        <v>3</v>
      </c>
      <c r="K2725" s="1" t="s">
        <v>35</v>
      </c>
      <c r="L2725" s="1">
        <v>39</v>
      </c>
      <c r="M2725" s="1" t="str">
        <f>IF(L2725&lt;=45,"Joven","Mayor")</f>
        <v>Joven</v>
      </c>
      <c r="N2725" s="1">
        <v>47</v>
      </c>
      <c r="O2725" s="1" t="s">
        <v>36</v>
      </c>
      <c r="P2725" s="1">
        <v>0.34599999999999997</v>
      </c>
      <c r="Q2725" s="1">
        <v>74.191999999999993</v>
      </c>
      <c r="R2725" s="1">
        <v>11.199966999999999</v>
      </c>
      <c r="S2725" s="1">
        <v>-6.7376389999999997</v>
      </c>
      <c r="T2725" s="1">
        <v>-7.8356013000000004</v>
      </c>
      <c r="U2725" s="1">
        <v>39.786999999999999</v>
      </c>
      <c r="V2725" s="1">
        <v>81</v>
      </c>
      <c r="W2725" s="1">
        <v>143</v>
      </c>
      <c r="X2725" s="1">
        <v>1.7654320987654322</v>
      </c>
      <c r="Y2725" s="1">
        <v>82</v>
      </c>
      <c r="Z2725" s="1">
        <v>143</v>
      </c>
      <c r="AA2725" s="1">
        <v>1.7439024390243902</v>
      </c>
      <c r="AB2725" s="1">
        <v>85.015319502538887</v>
      </c>
      <c r="AC2725" s="1">
        <v>141.39219258921139</v>
      </c>
      <c r="AD2725" s="1">
        <v>1.6631378134735926</v>
      </c>
      <c r="AE2725" t="s">
        <v>4817</v>
      </c>
      <c r="AF2725" t="str">
        <f>IF(X2725&lt;$AF$1,"Bajo","Alto")</f>
        <v>Bajo</v>
      </c>
      <c r="AG2725" t="str">
        <f>LEFT(AE2725,1)</f>
        <v>C</v>
      </c>
      <c r="AH2725" t="str">
        <f>K2725</f>
        <v>M</v>
      </c>
      <c r="AI2725" t="str">
        <f>LEFT(AF2725,1)</f>
        <v>B</v>
      </c>
      <c r="AJ2725" t="str">
        <f>LEFT(M2725,1)</f>
        <v>J</v>
      </c>
      <c r="AK2725" t="str">
        <f>_xlfn.CONCAT(AG2725,AH2725,AI2725,AJ2725)</f>
        <v>CMBJ</v>
      </c>
    </row>
    <row r="2726" spans="1:37" ht="15.75" hidden="1" customHeight="1" x14ac:dyDescent="0.2">
      <c r="A2726" s="1">
        <v>10111501</v>
      </c>
      <c r="B2726" s="1" t="s">
        <v>29</v>
      </c>
      <c r="C2726" s="1" t="s">
        <v>30</v>
      </c>
      <c r="D2726" s="1" t="s">
        <v>111</v>
      </c>
      <c r="E2726" s="1" t="s">
        <v>112</v>
      </c>
      <c r="F2726" s="1" t="s">
        <v>32</v>
      </c>
      <c r="G2726" s="1" t="s">
        <v>113</v>
      </c>
      <c r="H2726" s="1">
        <v>3875</v>
      </c>
      <c r="I2726" s="1" t="s">
        <v>39</v>
      </c>
      <c r="J2726" s="1">
        <v>11</v>
      </c>
      <c r="K2726" s="1" t="s">
        <v>35</v>
      </c>
      <c r="L2726" s="1">
        <v>40</v>
      </c>
      <c r="M2726" s="1" t="str">
        <f>IF(L2726&lt;=45,"Joven","Mayor")</f>
        <v>Joven</v>
      </c>
      <c r="N2726" s="1">
        <v>41</v>
      </c>
      <c r="O2726" s="1" t="s">
        <v>36</v>
      </c>
      <c r="P2726" s="1">
        <v>7.4999999999999997E-2</v>
      </c>
      <c r="Q2726" s="1">
        <v>85.03</v>
      </c>
      <c r="R2726" s="1">
        <v>6.2428699999999999</v>
      </c>
      <c r="S2726" s="1">
        <v>10.376191</v>
      </c>
      <c r="T2726" s="1">
        <v>-4.0456586000000003</v>
      </c>
      <c r="U2726" s="1">
        <v>3.0649999999999999</v>
      </c>
      <c r="V2726" s="1">
        <v>79</v>
      </c>
      <c r="W2726" s="1">
        <v>140</v>
      </c>
      <c r="X2726" s="1">
        <v>1.7721518987341771</v>
      </c>
      <c r="Y2726" s="1">
        <v>82</v>
      </c>
      <c r="Z2726" s="1">
        <v>140</v>
      </c>
      <c r="AA2726" s="1">
        <v>1.7073170731707317</v>
      </c>
      <c r="AB2726" s="1">
        <v>81.554648187067869</v>
      </c>
      <c r="AC2726" s="1">
        <v>139.65114031137551</v>
      </c>
      <c r="AD2726" s="1">
        <v>1.7123627336488223</v>
      </c>
      <c r="AE2726" t="s">
        <v>4816</v>
      </c>
      <c r="AF2726" t="str">
        <f>IF(X2726&lt;$AF$1,"Bajo","Alto")</f>
        <v>Alto</v>
      </c>
      <c r="AG2726" t="str">
        <f>LEFT(AE2726,1)</f>
        <v>D</v>
      </c>
      <c r="AH2726" t="str">
        <f>K2726</f>
        <v>M</v>
      </c>
      <c r="AI2726" t="str">
        <f>LEFT(AF2726,1)</f>
        <v>A</v>
      </c>
      <c r="AJ2726" t="str">
        <f>LEFT(M2726,1)</f>
        <v>J</v>
      </c>
      <c r="AK2726" t="str">
        <f>_xlfn.CONCAT(AG2726,AH2726,AI2726,AJ2726)</f>
        <v>DMAJ</v>
      </c>
    </row>
    <row r="2727" spans="1:37" ht="15.75" hidden="1" customHeight="1" x14ac:dyDescent="0.2">
      <c r="A2727" s="1">
        <v>524406</v>
      </c>
      <c r="B2727" s="1" t="s">
        <v>4529</v>
      </c>
      <c r="C2727" s="1" t="s">
        <v>685</v>
      </c>
      <c r="D2727" s="1" t="s">
        <v>4614</v>
      </c>
      <c r="E2727" s="1" t="s">
        <v>995</v>
      </c>
      <c r="F2727" s="1" t="s">
        <v>88</v>
      </c>
      <c r="G2727" s="1" t="s">
        <v>4618</v>
      </c>
      <c r="H2727" s="1">
        <v>1836</v>
      </c>
      <c r="I2727" s="1" t="s">
        <v>4619</v>
      </c>
      <c r="J2727" s="1">
        <v>3436</v>
      </c>
      <c r="K2727" s="1" t="s">
        <v>35</v>
      </c>
      <c r="L2727" s="1">
        <v>42</v>
      </c>
      <c r="M2727" s="1" t="str">
        <f>IF(L2727&lt;=45,"Joven","Mayor")</f>
        <v>Joven</v>
      </c>
      <c r="N2727" s="1">
        <v>43</v>
      </c>
      <c r="O2727" s="1" t="s">
        <v>36</v>
      </c>
      <c r="P2727" s="1">
        <v>0.32500000000000001</v>
      </c>
      <c r="Q2727" s="1">
        <v>92.421999999999997</v>
      </c>
      <c r="R2727" s="1">
        <v>-2.4432372999999998</v>
      </c>
      <c r="S2727" s="1">
        <v>5.3192253000000003</v>
      </c>
      <c r="T2727" s="1">
        <v>4.6535789999999997</v>
      </c>
      <c r="U2727" s="1">
        <v>9.016</v>
      </c>
      <c r="V2727" s="1">
        <v>102</v>
      </c>
      <c r="W2727" s="1">
        <v>181</v>
      </c>
      <c r="X2727" s="1">
        <v>1.7745098039215685</v>
      </c>
      <c r="Y2727" s="1">
        <v>102</v>
      </c>
      <c r="Z2727" s="1">
        <v>181</v>
      </c>
      <c r="AA2727" s="1">
        <v>1.7745098039215685</v>
      </c>
      <c r="AB2727" s="1">
        <v>105.5580398470761</v>
      </c>
      <c r="AC2727" s="1">
        <v>180.8089788012667</v>
      </c>
      <c r="AD2727" s="1">
        <v>1.7128868541250675</v>
      </c>
      <c r="AE2727" t="s">
        <v>4817</v>
      </c>
      <c r="AF2727" t="str">
        <f>IF(X2727&lt;$AF$1,"Bajo","Alto")</f>
        <v>Alto</v>
      </c>
      <c r="AG2727" t="str">
        <f>LEFT(AE2727,1)</f>
        <v>C</v>
      </c>
      <c r="AH2727" t="str">
        <f>K2727</f>
        <v>M</v>
      </c>
      <c r="AI2727" t="str">
        <f>LEFT(AF2727,1)</f>
        <v>A</v>
      </c>
      <c r="AJ2727" t="str">
        <f>LEFT(M2727,1)</f>
        <v>J</v>
      </c>
      <c r="AK2727" t="str">
        <f>_xlfn.CONCAT(AG2727,AH2727,AI2727,AJ2727)</f>
        <v>CMAJ</v>
      </c>
    </row>
    <row r="2728" spans="1:37" ht="15.75" hidden="1" customHeight="1" x14ac:dyDescent="0.2">
      <c r="A2728" s="1">
        <v>134606</v>
      </c>
      <c r="B2728" s="1" t="s">
        <v>956</v>
      </c>
      <c r="C2728" s="1" t="s">
        <v>163</v>
      </c>
      <c r="D2728" s="1" t="s">
        <v>2045</v>
      </c>
      <c r="E2728" s="1" t="s">
        <v>669</v>
      </c>
      <c r="F2728" s="1" t="s">
        <v>88</v>
      </c>
      <c r="G2728" s="1" t="s">
        <v>2049</v>
      </c>
      <c r="H2728" s="1">
        <v>582</v>
      </c>
      <c r="I2728" s="1" t="s">
        <v>2050</v>
      </c>
      <c r="J2728" s="1">
        <v>4218</v>
      </c>
      <c r="K2728" s="1" t="s">
        <v>35</v>
      </c>
      <c r="L2728" s="1">
        <v>42</v>
      </c>
      <c r="M2728" s="1" t="str">
        <f>IF(L2728&lt;=45,"Joven","Mayor")</f>
        <v>Joven</v>
      </c>
      <c r="N2728" s="1">
        <v>39</v>
      </c>
      <c r="O2728" s="1" t="s">
        <v>36</v>
      </c>
      <c r="P2728" s="1">
        <v>0.36499999999999999</v>
      </c>
      <c r="Q2728" s="1">
        <v>93.272000000000006</v>
      </c>
      <c r="R2728" s="1">
        <v>3.0170352</v>
      </c>
      <c r="S2728" s="1">
        <v>9.2346709999999999E-2</v>
      </c>
      <c r="T2728" s="1">
        <v>-3.5207730000000002</v>
      </c>
      <c r="U2728" s="1">
        <v>2.5009999999999999</v>
      </c>
      <c r="V2728" s="1">
        <v>111</v>
      </c>
      <c r="W2728" s="1">
        <v>196</v>
      </c>
      <c r="X2728" s="1">
        <v>1.7657657657657657</v>
      </c>
      <c r="Y2728" s="1">
        <v>112</v>
      </c>
      <c r="Z2728" s="1">
        <v>196</v>
      </c>
      <c r="AA2728" s="1">
        <v>1.75</v>
      </c>
      <c r="AB2728" s="1">
        <v>114.168071423087</v>
      </c>
      <c r="AC2728" s="1">
        <v>195.93712153181099</v>
      </c>
      <c r="AD2728" s="1">
        <v>1.7162164437875289</v>
      </c>
      <c r="AE2728" t="s">
        <v>4817</v>
      </c>
      <c r="AF2728" t="str">
        <f>IF(X2728&lt;$AF$1,"Bajo","Alto")</f>
        <v>Bajo</v>
      </c>
      <c r="AG2728" t="str">
        <f>LEFT(AE2728,1)</f>
        <v>C</v>
      </c>
      <c r="AH2728" t="str">
        <f>K2728</f>
        <v>M</v>
      </c>
      <c r="AI2728" t="str">
        <f>LEFT(AF2728,1)</f>
        <v>B</v>
      </c>
      <c r="AJ2728" t="str">
        <f>LEFT(M2728,1)</f>
        <v>J</v>
      </c>
      <c r="AK2728" t="str">
        <f>_xlfn.CONCAT(AG2728,AH2728,AI2728,AJ2728)</f>
        <v>CMBJ</v>
      </c>
    </row>
    <row r="2729" spans="1:37" ht="15.75" hidden="1" customHeight="1" x14ac:dyDescent="0.2">
      <c r="A2729" s="1">
        <v>1094905</v>
      </c>
      <c r="B2729" s="1" t="s">
        <v>719</v>
      </c>
      <c r="C2729" s="1" t="s">
        <v>98</v>
      </c>
      <c r="D2729" s="1" t="s">
        <v>1608</v>
      </c>
      <c r="E2729" s="1" t="s">
        <v>673</v>
      </c>
      <c r="F2729" s="1" t="s">
        <v>40</v>
      </c>
      <c r="G2729" s="1" t="s">
        <v>1611</v>
      </c>
      <c r="H2729" s="1">
        <v>1634</v>
      </c>
      <c r="I2729" s="1" t="s">
        <v>1612</v>
      </c>
      <c r="J2729" s="1">
        <v>2151</v>
      </c>
      <c r="K2729" s="1" t="s">
        <v>49</v>
      </c>
      <c r="L2729" s="1">
        <v>47</v>
      </c>
      <c r="M2729" s="1" t="str">
        <f>IF(L2729&lt;=45,"Joven","Mayor")</f>
        <v>Mayor</v>
      </c>
      <c r="N2729" s="1">
        <v>54</v>
      </c>
      <c r="O2729" s="1" t="s">
        <v>50</v>
      </c>
      <c r="P2729" s="1">
        <v>0.49299999999999999</v>
      </c>
      <c r="Q2729" s="1">
        <v>92.962000000000003</v>
      </c>
      <c r="R2729" s="1">
        <v>0.64267724999999998</v>
      </c>
      <c r="S2729" s="1">
        <v>7.0210080000000001</v>
      </c>
      <c r="T2729" s="1">
        <v>0.91385669999999997</v>
      </c>
      <c r="U2729" s="1">
        <v>3.0640000000000001</v>
      </c>
      <c r="V2729" s="1">
        <v>83</v>
      </c>
      <c r="W2729" s="1">
        <v>146</v>
      </c>
      <c r="X2729" s="1">
        <v>1.7590361445783131</v>
      </c>
      <c r="Y2729" s="1">
        <v>85</v>
      </c>
      <c r="Z2729" s="1">
        <v>146</v>
      </c>
      <c r="AA2729" s="1">
        <v>1.7176470588235293</v>
      </c>
      <c r="AB2729" s="1">
        <v>84.478816157155052</v>
      </c>
      <c r="AC2729" s="1">
        <v>146.04522598579979</v>
      </c>
      <c r="AD2729" s="1">
        <v>1.7287792683329439</v>
      </c>
      <c r="AE2729" t="s">
        <v>4817</v>
      </c>
      <c r="AF2729" t="str">
        <f>IF(X2729&lt;$AF$1,"Bajo","Alto")</f>
        <v>Bajo</v>
      </c>
      <c r="AG2729" t="str">
        <f>LEFT(AE2729,1)</f>
        <v>C</v>
      </c>
      <c r="AH2729" t="str">
        <f>K2729</f>
        <v>F</v>
      </c>
      <c r="AI2729" t="str">
        <f>LEFT(AF2729,1)</f>
        <v>B</v>
      </c>
      <c r="AJ2729" t="str">
        <f>LEFT(M2729,1)</f>
        <v>M</v>
      </c>
      <c r="AK2729" t="str">
        <f>_xlfn.CONCAT(AG2729,AH2729,AI2729,AJ2729)</f>
        <v>CFBM</v>
      </c>
    </row>
    <row r="2730" spans="1:37" ht="15.75" hidden="1" customHeight="1" x14ac:dyDescent="0.2">
      <c r="A2730" s="1">
        <v>261004</v>
      </c>
      <c r="B2730" s="1" t="s">
        <v>3358</v>
      </c>
      <c r="C2730" s="1" t="s">
        <v>968</v>
      </c>
      <c r="D2730" s="1" t="s">
        <v>3367</v>
      </c>
      <c r="E2730" s="1" t="s">
        <v>75</v>
      </c>
      <c r="F2730" s="1" t="s">
        <v>61</v>
      </c>
      <c r="G2730" s="1" t="s">
        <v>3370</v>
      </c>
      <c r="H2730" s="1">
        <v>9164</v>
      </c>
      <c r="I2730" s="1" t="s">
        <v>3371</v>
      </c>
      <c r="J2730" s="1">
        <v>5010</v>
      </c>
      <c r="K2730" s="1" t="s">
        <v>35</v>
      </c>
      <c r="L2730" s="1">
        <v>54</v>
      </c>
      <c r="M2730" s="1" t="str">
        <f>IF(L2730&lt;=45,"Joven","Mayor")</f>
        <v>Mayor</v>
      </c>
      <c r="N2730" s="1">
        <v>57</v>
      </c>
      <c r="O2730" s="1" t="s">
        <v>36</v>
      </c>
      <c r="P2730" s="1">
        <v>0.35199999999999998</v>
      </c>
      <c r="Q2730" s="1">
        <v>36.478000000000002</v>
      </c>
      <c r="R2730" s="1">
        <v>17.807320000000001</v>
      </c>
      <c r="S2730" s="1">
        <v>0.41252034999999998</v>
      </c>
      <c r="T2730" s="1">
        <v>-10.886279</v>
      </c>
      <c r="U2730" s="1">
        <v>22.835000000000001</v>
      </c>
      <c r="V2730" s="1">
        <v>81</v>
      </c>
      <c r="W2730" s="1">
        <v>143</v>
      </c>
      <c r="X2730" s="1">
        <v>1.7654320987654322</v>
      </c>
      <c r="Y2730" s="1">
        <v>94</v>
      </c>
      <c r="Z2730" s="1">
        <v>143</v>
      </c>
      <c r="AA2730" s="1">
        <v>1.5212765957446808</v>
      </c>
      <c r="AB2730" s="1">
        <v>87.663313547311191</v>
      </c>
      <c r="AC2730" s="1">
        <v>143.44833199485669</v>
      </c>
      <c r="AD2730" s="1">
        <v>1.636355348551122</v>
      </c>
      <c r="AE2730" t="s">
        <v>4817</v>
      </c>
      <c r="AF2730" t="str">
        <f>IF(X2730&lt;$AF$1,"Bajo","Alto")</f>
        <v>Bajo</v>
      </c>
      <c r="AG2730" t="str">
        <f>LEFT(AE2730,1)</f>
        <v>C</v>
      </c>
      <c r="AH2730" t="str">
        <f>K2730</f>
        <v>M</v>
      </c>
      <c r="AI2730" t="str">
        <f>LEFT(AF2730,1)</f>
        <v>B</v>
      </c>
      <c r="AJ2730" t="str">
        <f>LEFT(M2730,1)</f>
        <v>M</v>
      </c>
      <c r="AK2730" t="str">
        <f>_xlfn.CONCAT(AG2730,AH2730,AI2730,AJ2730)</f>
        <v>CMBM</v>
      </c>
    </row>
    <row r="2731" spans="1:37" ht="15.75" hidden="1" customHeight="1" x14ac:dyDescent="0.2">
      <c r="A2731" s="1">
        <v>211002</v>
      </c>
      <c r="B2731" s="1" t="s">
        <v>2816</v>
      </c>
      <c r="C2731" s="1" t="s">
        <v>2817</v>
      </c>
      <c r="D2731" s="1" t="s">
        <v>2827</v>
      </c>
      <c r="E2731" s="1" t="s">
        <v>75</v>
      </c>
      <c r="F2731" s="1" t="s">
        <v>37</v>
      </c>
      <c r="G2731" s="1" t="s">
        <v>2829</v>
      </c>
      <c r="H2731" s="1">
        <v>791</v>
      </c>
      <c r="I2731" s="1" t="s">
        <v>48</v>
      </c>
      <c r="J2731" s="1">
        <v>4</v>
      </c>
      <c r="K2731" s="1" t="s">
        <v>35</v>
      </c>
      <c r="L2731" s="1">
        <v>61</v>
      </c>
      <c r="M2731" s="1" t="str">
        <f>IF(L2731&lt;=45,"Joven","Mayor")</f>
        <v>Mayor</v>
      </c>
      <c r="N2731" s="1">
        <v>68</v>
      </c>
      <c r="O2731" s="1" t="s">
        <v>36</v>
      </c>
      <c r="P2731" s="1">
        <v>0.20100000000000001</v>
      </c>
      <c r="Q2731" s="1">
        <v>88.744</v>
      </c>
      <c r="R2731" s="1">
        <v>5.9428299999999998</v>
      </c>
      <c r="S2731" s="1">
        <v>5.34511</v>
      </c>
      <c r="T2731" s="1">
        <v>-2.9761307000000001</v>
      </c>
      <c r="U2731" s="1">
        <v>0.72099999999999997</v>
      </c>
      <c r="V2731" s="1">
        <v>93</v>
      </c>
      <c r="W2731" s="1">
        <v>165</v>
      </c>
      <c r="X2731" s="1">
        <v>1.7741935483870968</v>
      </c>
      <c r="Y2731" s="1">
        <v>98</v>
      </c>
      <c r="Z2731" s="1">
        <v>165</v>
      </c>
      <c r="AA2731" s="1">
        <v>1.6836734693877551</v>
      </c>
      <c r="AB2731" s="1">
        <v>100.0484594525155</v>
      </c>
      <c r="AC2731" s="1">
        <v>164.41401696538469</v>
      </c>
      <c r="AD2731" s="1">
        <v>1.6433438142385195</v>
      </c>
      <c r="AE2731" t="s">
        <v>4817</v>
      </c>
      <c r="AF2731" t="str">
        <f>IF(X2731&lt;$AF$1,"Bajo","Alto")</f>
        <v>Alto</v>
      </c>
      <c r="AG2731" t="str">
        <f>LEFT(AE2731,1)</f>
        <v>C</v>
      </c>
      <c r="AH2731" t="str">
        <f>K2731</f>
        <v>M</v>
      </c>
      <c r="AI2731" t="str">
        <f>LEFT(AF2731,1)</f>
        <v>A</v>
      </c>
      <c r="AJ2731" t="str">
        <f>LEFT(M2731,1)</f>
        <v>M</v>
      </c>
      <c r="AK2731" t="str">
        <f>_xlfn.CONCAT(AG2731,AH2731,AI2731,AJ2731)</f>
        <v>CMAM</v>
      </c>
    </row>
    <row r="2732" spans="1:37" ht="15.75" hidden="1" customHeight="1" x14ac:dyDescent="0.2">
      <c r="A2732" s="1">
        <v>290106</v>
      </c>
      <c r="B2732" s="1" t="s">
        <v>3890</v>
      </c>
      <c r="C2732" s="1" t="s">
        <v>1695</v>
      </c>
      <c r="D2732" s="1" t="s">
        <v>3891</v>
      </c>
      <c r="E2732" s="1" t="s">
        <v>32</v>
      </c>
      <c r="F2732" s="1" t="s">
        <v>88</v>
      </c>
      <c r="G2732" s="1" t="s">
        <v>3896</v>
      </c>
      <c r="H2732" s="1">
        <v>27800</v>
      </c>
      <c r="I2732" s="1" t="s">
        <v>3897</v>
      </c>
      <c r="J2732" s="1">
        <v>2387</v>
      </c>
      <c r="K2732" s="1" t="s">
        <v>35</v>
      </c>
      <c r="L2732" s="1">
        <v>54</v>
      </c>
      <c r="M2732" s="1" t="str">
        <f>IF(L2732&lt;=45,"Joven","Mayor")</f>
        <v>Mayor</v>
      </c>
      <c r="N2732" s="1">
        <v>53</v>
      </c>
      <c r="O2732" s="1" t="s">
        <v>36</v>
      </c>
      <c r="P2732" s="1">
        <v>0.35799999999999998</v>
      </c>
      <c r="Q2732" s="1">
        <v>62.899000000000001</v>
      </c>
      <c r="R2732" s="1">
        <v>13.811629999999999</v>
      </c>
      <c r="S2732" s="1">
        <v>4.6608143000000002</v>
      </c>
      <c r="T2732" s="1">
        <v>-6.9413885999999998</v>
      </c>
      <c r="U2732" s="1">
        <v>1.3</v>
      </c>
      <c r="V2732" s="1">
        <v>95</v>
      </c>
      <c r="W2732" s="1">
        <v>167</v>
      </c>
      <c r="X2732" s="1">
        <v>1.7578947368421052</v>
      </c>
      <c r="Y2732" s="1">
        <v>100</v>
      </c>
      <c r="Z2732" s="1">
        <v>167</v>
      </c>
      <c r="AA2732" s="1">
        <v>1.67</v>
      </c>
      <c r="AB2732" s="1">
        <v>99.862959872980355</v>
      </c>
      <c r="AC2732" s="1">
        <v>166.38020981294079</v>
      </c>
      <c r="AD2732" s="1">
        <v>1.6660853035456424</v>
      </c>
      <c r="AE2732" t="s">
        <v>4815</v>
      </c>
      <c r="AF2732" t="str">
        <f>IF(X2732&lt;$AF$1,"Bajo","Alto")</f>
        <v>Bajo</v>
      </c>
      <c r="AG2732" t="str">
        <f>LEFT(AE2732,1)</f>
        <v>I</v>
      </c>
      <c r="AH2732" t="str">
        <f>K2732</f>
        <v>M</v>
      </c>
      <c r="AI2732" t="str">
        <f>LEFT(AF2732,1)</f>
        <v>B</v>
      </c>
      <c r="AJ2732" t="str">
        <f>LEFT(M2732,1)</f>
        <v>M</v>
      </c>
      <c r="AK2732" t="str">
        <f>_xlfn.CONCAT(AG2732,AH2732,AI2732,AJ2732)</f>
        <v>IMBM</v>
      </c>
    </row>
    <row r="2733" spans="1:37" ht="15.75" hidden="1" customHeight="1" x14ac:dyDescent="0.2">
      <c r="A2733" s="1">
        <v>1031307</v>
      </c>
      <c r="B2733" s="1" t="s">
        <v>783</v>
      </c>
      <c r="C2733" s="1" t="s">
        <v>81</v>
      </c>
      <c r="D2733" s="1" t="s">
        <v>805</v>
      </c>
      <c r="E2733" s="1" t="s">
        <v>163</v>
      </c>
      <c r="F2733" s="1" t="s">
        <v>43</v>
      </c>
      <c r="G2733" s="1" t="s">
        <v>808</v>
      </c>
      <c r="H2733" s="1">
        <v>12267</v>
      </c>
      <c r="I2733" s="1" t="s">
        <v>809</v>
      </c>
      <c r="J2733" s="1">
        <v>3860</v>
      </c>
      <c r="K2733" s="1" t="s">
        <v>35</v>
      </c>
      <c r="L2733" s="1">
        <v>43</v>
      </c>
      <c r="M2733" s="1" t="str">
        <f>IF(L2733&lt;=45,"Joven","Mayor")</f>
        <v>Joven</v>
      </c>
      <c r="N2733" s="1">
        <v>37</v>
      </c>
      <c r="O2733" s="1" t="s">
        <v>36</v>
      </c>
      <c r="P2733" s="1">
        <v>0.214</v>
      </c>
      <c r="Q2733" s="1">
        <v>63.027999999999999</v>
      </c>
      <c r="R2733" s="1">
        <v>13.885833999999999</v>
      </c>
      <c r="S2733" s="1">
        <v>4.1137505000000001</v>
      </c>
      <c r="T2733" s="1">
        <v>1.0749706000000001</v>
      </c>
      <c r="U2733" s="1">
        <v>34.616</v>
      </c>
      <c r="V2733" s="1">
        <v>93</v>
      </c>
      <c r="W2733" s="1">
        <v>165</v>
      </c>
      <c r="X2733" s="1">
        <v>1.7741935483870968</v>
      </c>
      <c r="Y2733" s="1">
        <v>95</v>
      </c>
      <c r="Z2733" s="1">
        <v>165</v>
      </c>
      <c r="AA2733" s="1">
        <v>1.736842105263158</v>
      </c>
      <c r="AB2733" s="1">
        <v>94.270374613931381</v>
      </c>
      <c r="AC2733" s="1">
        <v>165.1210459063104</v>
      </c>
      <c r="AD2733" s="1">
        <v>1.7515687890552694</v>
      </c>
      <c r="AE2733" t="s">
        <v>4817</v>
      </c>
      <c r="AF2733" t="str">
        <f>IF(X2733&lt;$AF$1,"Bajo","Alto")</f>
        <v>Alto</v>
      </c>
      <c r="AG2733" t="str">
        <f>LEFT(AE2733,1)</f>
        <v>C</v>
      </c>
      <c r="AH2733" t="str">
        <f>K2733</f>
        <v>M</v>
      </c>
      <c r="AI2733" t="str">
        <f>LEFT(AF2733,1)</f>
        <v>A</v>
      </c>
      <c r="AJ2733" t="str">
        <f>LEFT(M2733,1)</f>
        <v>J</v>
      </c>
      <c r="AK2733" t="str">
        <f>_xlfn.CONCAT(AG2733,AH2733,AI2733,AJ2733)</f>
        <v>CMAJ</v>
      </c>
    </row>
    <row r="2734" spans="1:37" ht="15.75" hidden="1" customHeight="1" x14ac:dyDescent="0.2">
      <c r="A2734" s="1">
        <v>235802</v>
      </c>
      <c r="B2734" s="1" t="s">
        <v>319</v>
      </c>
      <c r="C2734" s="1" t="s">
        <v>1989</v>
      </c>
      <c r="D2734" s="1" t="s">
        <v>3057</v>
      </c>
      <c r="E2734" s="1" t="s">
        <v>695</v>
      </c>
      <c r="F2734" s="1" t="s">
        <v>37</v>
      </c>
      <c r="G2734" s="1" t="s">
        <v>3059</v>
      </c>
      <c r="H2734" s="1">
        <v>2292</v>
      </c>
      <c r="I2734" s="1" t="s">
        <v>134</v>
      </c>
      <c r="J2734" s="1">
        <v>8</v>
      </c>
      <c r="K2734" s="1" t="s">
        <v>35</v>
      </c>
      <c r="L2734" s="1">
        <v>44</v>
      </c>
      <c r="M2734" s="1" t="str">
        <f>IF(L2734&lt;=45,"Joven","Mayor")</f>
        <v>Joven</v>
      </c>
      <c r="N2734" s="1">
        <v>64</v>
      </c>
      <c r="O2734" s="1" t="s">
        <v>36</v>
      </c>
      <c r="P2734" s="1">
        <v>0.34399999999999997</v>
      </c>
      <c r="Q2734" s="1">
        <v>80.792000000000002</v>
      </c>
      <c r="R2734" s="1">
        <v>9.8273700000000002</v>
      </c>
      <c r="S2734" s="1">
        <v>4.4694022999999996</v>
      </c>
      <c r="T2734" s="1">
        <v>-5.3302795E-2</v>
      </c>
      <c r="U2734" s="1">
        <v>82.677999999999997</v>
      </c>
      <c r="V2734" s="1">
        <v>94</v>
      </c>
      <c r="W2734" s="1">
        <v>166</v>
      </c>
      <c r="X2734" s="1">
        <v>1.7659574468085106</v>
      </c>
      <c r="Y2734" s="1">
        <v>94</v>
      </c>
      <c r="Z2734" s="1">
        <v>166</v>
      </c>
      <c r="AA2734" s="1">
        <v>1.7659574468085106</v>
      </c>
      <c r="AB2734" s="1">
        <v>94.033450451668386</v>
      </c>
      <c r="AC2734" s="1">
        <v>165.99806754727339</v>
      </c>
      <c r="AD2734" s="1">
        <v>1.765308693341989</v>
      </c>
      <c r="AE2734" t="s">
        <v>4817</v>
      </c>
      <c r="AF2734" t="str">
        <f>IF(X2734&lt;$AF$1,"Bajo","Alto")</f>
        <v>Bajo</v>
      </c>
      <c r="AG2734" t="str">
        <f>LEFT(AE2734,1)</f>
        <v>C</v>
      </c>
      <c r="AH2734" t="str">
        <f>K2734</f>
        <v>M</v>
      </c>
      <c r="AI2734" t="str">
        <f>LEFT(AF2734,1)</f>
        <v>B</v>
      </c>
      <c r="AJ2734" t="str">
        <f>LEFT(M2734,1)</f>
        <v>J</v>
      </c>
      <c r="AK2734" t="str">
        <f>_xlfn.CONCAT(AG2734,AH2734,AI2734,AJ2734)</f>
        <v>CMBJ</v>
      </c>
    </row>
    <row r="2735" spans="1:37" ht="15.75" hidden="1" customHeight="1" x14ac:dyDescent="0.2">
      <c r="A2735" s="1">
        <v>1032505</v>
      </c>
      <c r="B2735" s="1" t="s">
        <v>783</v>
      </c>
      <c r="C2735" s="1" t="s">
        <v>81</v>
      </c>
      <c r="D2735" s="1" t="s">
        <v>820</v>
      </c>
      <c r="E2735" s="1" t="s">
        <v>821</v>
      </c>
      <c r="F2735" s="1" t="s">
        <v>40</v>
      </c>
      <c r="G2735" s="1" t="s">
        <v>824</v>
      </c>
      <c r="H2735" s="1">
        <v>3252</v>
      </c>
      <c r="I2735" s="1" t="s">
        <v>65</v>
      </c>
      <c r="J2735" s="1">
        <v>2</v>
      </c>
      <c r="K2735" s="1" t="s">
        <v>49</v>
      </c>
      <c r="L2735" s="1">
        <v>35</v>
      </c>
      <c r="M2735" s="1" t="str">
        <f>IF(L2735&lt;=45,"Joven","Mayor")</f>
        <v>Joven</v>
      </c>
      <c r="N2735" s="1">
        <v>28</v>
      </c>
      <c r="O2735" s="1" t="s">
        <v>50</v>
      </c>
      <c r="P2735" s="1">
        <v>0.29599999999999999</v>
      </c>
      <c r="Q2735" s="1">
        <v>82.183000000000007</v>
      </c>
      <c r="R2735" s="1">
        <v>9.8431909999999991</v>
      </c>
      <c r="S2735" s="1">
        <v>1.8042285</v>
      </c>
      <c r="T2735" s="1">
        <v>-3.6900403000000002</v>
      </c>
      <c r="U2735" s="1">
        <v>70.379000000000005</v>
      </c>
      <c r="V2735" s="1">
        <v>73</v>
      </c>
      <c r="W2735" s="1">
        <v>129</v>
      </c>
      <c r="X2735" s="1">
        <v>1.7671232876712328</v>
      </c>
      <c r="Y2735" s="1">
        <v>74</v>
      </c>
      <c r="Z2735" s="1">
        <v>129</v>
      </c>
      <c r="AA2735" s="1">
        <v>1.7432432432432432</v>
      </c>
      <c r="AB2735" s="1">
        <v>74.908140801254376</v>
      </c>
      <c r="AC2735" s="1">
        <v>128.60384220540479</v>
      </c>
      <c r="AD2735" s="1">
        <v>1.7168206396500398</v>
      </c>
      <c r="AE2735" t="s">
        <v>4817</v>
      </c>
      <c r="AF2735" t="str">
        <f>IF(X2735&lt;$AF$1,"Bajo","Alto")</f>
        <v>Bajo</v>
      </c>
      <c r="AG2735" t="str">
        <f>LEFT(AE2735,1)</f>
        <v>C</v>
      </c>
      <c r="AH2735" t="str">
        <f>K2735</f>
        <v>F</v>
      </c>
      <c r="AI2735" t="str">
        <f>LEFT(AF2735,1)</f>
        <v>B</v>
      </c>
      <c r="AJ2735" t="str">
        <f>LEFT(M2735,1)</f>
        <v>J</v>
      </c>
      <c r="AK2735" t="str">
        <f>_xlfn.CONCAT(AG2735,AH2735,AI2735,AJ2735)</f>
        <v>CFBJ</v>
      </c>
    </row>
    <row r="2736" spans="1:37" ht="15.75" hidden="1" customHeight="1" x14ac:dyDescent="0.2">
      <c r="A2736" s="1">
        <v>2718402</v>
      </c>
      <c r="B2736" s="1" t="s">
        <v>3409</v>
      </c>
      <c r="C2736" s="1" t="s">
        <v>973</v>
      </c>
      <c r="D2736" s="1" t="s">
        <v>3583</v>
      </c>
      <c r="E2736" s="1" t="s">
        <v>312</v>
      </c>
      <c r="F2736" s="1" t="s">
        <v>37</v>
      </c>
      <c r="G2736" s="1" t="s">
        <v>3585</v>
      </c>
      <c r="H2736" s="1">
        <v>722</v>
      </c>
      <c r="I2736" s="1" t="s">
        <v>1289</v>
      </c>
      <c r="J2736" s="1">
        <v>4403</v>
      </c>
      <c r="K2736" s="1" t="s">
        <v>35</v>
      </c>
      <c r="L2736" s="1">
        <v>55</v>
      </c>
      <c r="M2736" s="1" t="str">
        <f>IF(L2736&lt;=45,"Joven","Mayor")</f>
        <v>Mayor</v>
      </c>
      <c r="N2736" s="1">
        <v>66</v>
      </c>
      <c r="O2736" s="1" t="s">
        <v>36</v>
      </c>
      <c r="P2736" s="1">
        <v>0.123</v>
      </c>
      <c r="Q2736" s="1">
        <v>93.902000000000001</v>
      </c>
      <c r="R2736" s="1">
        <v>-1.7241002000000001</v>
      </c>
      <c r="S2736" s="1">
        <v>-1.5539422000000001</v>
      </c>
      <c r="T2736" s="1">
        <v>-5.5259140000000002</v>
      </c>
      <c r="U2736" s="1">
        <v>0.79600000000000004</v>
      </c>
      <c r="V2736" s="1">
        <v>90</v>
      </c>
      <c r="W2736" s="1">
        <v>159</v>
      </c>
      <c r="X2736" s="1">
        <v>1.7666666666666666</v>
      </c>
      <c r="Y2736" s="1">
        <v>98</v>
      </c>
      <c r="Z2736" s="1">
        <v>159</v>
      </c>
      <c r="AA2736" s="1">
        <v>1.6224489795918366</v>
      </c>
      <c r="AB2736" s="1">
        <v>94.974320155239411</v>
      </c>
      <c r="AC2736" s="1">
        <v>160.09070972963221</v>
      </c>
      <c r="AD2736" s="1">
        <v>1.6856210127954314</v>
      </c>
      <c r="AE2736" t="s">
        <v>4817</v>
      </c>
      <c r="AF2736" t="str">
        <f>IF(X2736&lt;$AF$1,"Bajo","Alto")</f>
        <v>Bajo</v>
      </c>
      <c r="AG2736" t="str">
        <f>LEFT(AE2736,1)</f>
        <v>C</v>
      </c>
      <c r="AH2736" t="str">
        <f>K2736</f>
        <v>M</v>
      </c>
      <c r="AI2736" t="str">
        <f>LEFT(AF2736,1)</f>
        <v>B</v>
      </c>
      <c r="AJ2736" t="str">
        <f>LEFT(M2736,1)</f>
        <v>M</v>
      </c>
      <c r="AK2736" t="str">
        <f>_xlfn.CONCAT(AG2736,AH2736,AI2736,AJ2736)</f>
        <v>CMBM</v>
      </c>
    </row>
    <row r="2737" spans="1:37" ht="15.75" hidden="1" customHeight="1" x14ac:dyDescent="0.2">
      <c r="A2737" s="1">
        <v>297305</v>
      </c>
      <c r="B2737" s="1" t="s">
        <v>3890</v>
      </c>
      <c r="C2737" s="1" t="s">
        <v>1695</v>
      </c>
      <c r="D2737" s="1" t="s">
        <v>4055</v>
      </c>
      <c r="E2737" s="1" t="s">
        <v>1021</v>
      </c>
      <c r="F2737" s="1" t="s">
        <v>40</v>
      </c>
      <c r="G2737" s="1" t="s">
        <v>4060</v>
      </c>
      <c r="H2737" s="1">
        <v>233</v>
      </c>
      <c r="I2737" s="1" t="s">
        <v>108</v>
      </c>
      <c r="J2737" s="1">
        <v>3</v>
      </c>
      <c r="K2737" s="1" t="s">
        <v>35</v>
      </c>
      <c r="L2737" s="1">
        <v>62</v>
      </c>
      <c r="M2737" s="1" t="str">
        <f>IF(L2737&lt;=45,"Joven","Mayor")</f>
        <v>Mayor</v>
      </c>
      <c r="N2737" s="1">
        <v>57</v>
      </c>
      <c r="O2737" s="1" t="s">
        <v>36</v>
      </c>
      <c r="P2737" s="1">
        <v>0.27100000000000002</v>
      </c>
      <c r="Q2737" s="1">
        <v>93.055000000000007</v>
      </c>
      <c r="R2737" s="1">
        <v>3.3298885999999999</v>
      </c>
      <c r="S2737" s="1">
        <v>-0.15150896</v>
      </c>
      <c r="T2737" s="1">
        <v>-2.4157905999999998</v>
      </c>
      <c r="U2737" s="1">
        <v>3.3730000000000002</v>
      </c>
      <c r="V2737" s="1">
        <v>90</v>
      </c>
      <c r="W2737" s="1">
        <v>159</v>
      </c>
      <c r="X2737" s="1">
        <v>1.7666666666666666</v>
      </c>
      <c r="Y2737" s="1">
        <v>92</v>
      </c>
      <c r="Z2737" s="1">
        <v>159</v>
      </c>
      <c r="AA2737" s="1">
        <v>1.7282608695652173</v>
      </c>
      <c r="AB2737" s="1">
        <v>91.901110010389175</v>
      </c>
      <c r="AC2737" s="1">
        <v>158.8165379500069</v>
      </c>
      <c r="AD2737" s="1">
        <v>1.7281242623952324</v>
      </c>
      <c r="AE2737" t="s">
        <v>4817</v>
      </c>
      <c r="AF2737" t="str">
        <f>IF(X2737&lt;$AF$1,"Bajo","Alto")</f>
        <v>Bajo</v>
      </c>
      <c r="AG2737" t="str">
        <f>LEFT(AE2737,1)</f>
        <v>C</v>
      </c>
      <c r="AH2737" t="str">
        <f>K2737</f>
        <v>M</v>
      </c>
      <c r="AI2737" t="str">
        <f>LEFT(AF2737,1)</f>
        <v>B</v>
      </c>
      <c r="AJ2737" t="str">
        <f>LEFT(M2737,1)</f>
        <v>M</v>
      </c>
      <c r="AK2737" t="str">
        <f>_xlfn.CONCAT(AG2737,AH2737,AI2737,AJ2737)</f>
        <v>CMBM</v>
      </c>
    </row>
    <row r="2738" spans="1:37" ht="15.75" hidden="1" customHeight="1" x14ac:dyDescent="0.2">
      <c r="A2738" s="1">
        <v>238803</v>
      </c>
      <c r="B2738" s="1" t="s">
        <v>319</v>
      </c>
      <c r="C2738" s="1" t="s">
        <v>1989</v>
      </c>
      <c r="D2738" s="1" t="s">
        <v>3097</v>
      </c>
      <c r="E2738" s="1" t="s">
        <v>763</v>
      </c>
      <c r="F2738" s="1" t="s">
        <v>63</v>
      </c>
      <c r="G2738" s="1" t="s">
        <v>3099</v>
      </c>
      <c r="H2738" s="1">
        <v>2211</v>
      </c>
      <c r="I2738" s="1" t="s">
        <v>93</v>
      </c>
      <c r="J2738" s="1">
        <v>9</v>
      </c>
      <c r="K2738" s="1" t="s">
        <v>35</v>
      </c>
      <c r="L2738" s="1">
        <v>47</v>
      </c>
      <c r="M2738" s="1" t="str">
        <f>IF(L2738&lt;=45,"Joven","Mayor")</f>
        <v>Mayor</v>
      </c>
      <c r="N2738" s="1">
        <v>49</v>
      </c>
      <c r="O2738" s="1" t="s">
        <v>36</v>
      </c>
      <c r="P2738" s="1">
        <v>0.33700000000000002</v>
      </c>
      <c r="Q2738" s="1">
        <v>89.766000000000005</v>
      </c>
      <c r="R2738" s="1">
        <v>3.8081138000000001</v>
      </c>
      <c r="S2738" s="1">
        <v>8.5269779999999997</v>
      </c>
      <c r="T2738" s="1">
        <v>-0.51610999999999996</v>
      </c>
      <c r="U2738" s="1">
        <v>3.875</v>
      </c>
      <c r="V2738" s="1">
        <v>105</v>
      </c>
      <c r="W2738" s="1">
        <v>186</v>
      </c>
      <c r="X2738" s="1">
        <v>1.7714285714285714</v>
      </c>
      <c r="Y2738" s="1">
        <v>109</v>
      </c>
      <c r="Z2738" s="1">
        <v>186</v>
      </c>
      <c r="AA2738" s="1">
        <v>1.7064220183486238</v>
      </c>
      <c r="AB2738" s="1">
        <v>109.3739011297375</v>
      </c>
      <c r="AC2738" s="1">
        <v>185.88436159283131</v>
      </c>
      <c r="AD2738" s="1">
        <v>1.6995312380084018</v>
      </c>
      <c r="AE2738" t="s">
        <v>4815</v>
      </c>
      <c r="AF2738" t="str">
        <f>IF(X2738&lt;$AF$1,"Bajo","Alto")</f>
        <v>Alto</v>
      </c>
      <c r="AG2738" t="str">
        <f>LEFT(AE2738,1)</f>
        <v>I</v>
      </c>
      <c r="AH2738" t="str">
        <f>K2738</f>
        <v>M</v>
      </c>
      <c r="AI2738" t="str">
        <f>LEFT(AF2738,1)</f>
        <v>A</v>
      </c>
      <c r="AJ2738" t="str">
        <f>LEFT(M2738,1)</f>
        <v>M</v>
      </c>
      <c r="AK2738" t="str">
        <f>_xlfn.CONCAT(AG2738,AH2738,AI2738,AJ2738)</f>
        <v>IMAM</v>
      </c>
    </row>
    <row r="2739" spans="1:37" ht="15.75" hidden="1" customHeight="1" x14ac:dyDescent="0.2">
      <c r="A2739" s="1">
        <v>10717306</v>
      </c>
      <c r="B2739" s="1" t="s">
        <v>1067</v>
      </c>
      <c r="C2739" s="1" t="s">
        <v>1068</v>
      </c>
      <c r="D2739" s="1" t="s">
        <v>1181</v>
      </c>
      <c r="E2739" s="1" t="s">
        <v>1182</v>
      </c>
      <c r="F2739" s="1" t="s">
        <v>88</v>
      </c>
      <c r="G2739" s="1" t="s">
        <v>1188</v>
      </c>
      <c r="H2739" s="1">
        <v>655</v>
      </c>
      <c r="I2739" s="1" t="s">
        <v>1189</v>
      </c>
      <c r="J2739" s="1">
        <v>2868</v>
      </c>
      <c r="K2739" s="1" t="s">
        <v>35</v>
      </c>
      <c r="L2739" s="1">
        <v>51</v>
      </c>
      <c r="M2739" s="1" t="str">
        <f>IF(L2739&lt;=45,"Joven","Mayor")</f>
        <v>Mayor</v>
      </c>
      <c r="N2739" s="1">
        <v>52</v>
      </c>
      <c r="O2739" s="1" t="s">
        <v>36</v>
      </c>
      <c r="P2739" s="1">
        <v>0.36199999999999999</v>
      </c>
      <c r="Q2739" s="1">
        <v>80.88</v>
      </c>
      <c r="R2739" s="1">
        <v>9.8962990000000008</v>
      </c>
      <c r="S2739" s="1">
        <v>3.9598955999999998</v>
      </c>
      <c r="T2739" s="1">
        <v>-6.8508969999999998</v>
      </c>
      <c r="U2739" s="1">
        <v>2.7410000000000001</v>
      </c>
      <c r="V2739" s="1">
        <v>88</v>
      </c>
      <c r="W2739" s="1">
        <v>156</v>
      </c>
      <c r="X2739" s="1">
        <v>1.7727272727272727</v>
      </c>
      <c r="Y2739" s="1">
        <v>90</v>
      </c>
      <c r="Z2739" s="1">
        <v>156</v>
      </c>
      <c r="AA2739" s="1">
        <v>1.7333333333333334</v>
      </c>
      <c r="AB2739" s="1">
        <v>92.023828061563563</v>
      </c>
      <c r="AC2739" s="1">
        <v>154.88614996907469</v>
      </c>
      <c r="AD2739" s="1">
        <v>1.6831091819550965</v>
      </c>
      <c r="AE2739" t="s">
        <v>4817</v>
      </c>
      <c r="AF2739" t="str">
        <f>IF(X2739&lt;$AF$1,"Bajo","Alto")</f>
        <v>Alto</v>
      </c>
      <c r="AG2739" t="str">
        <f>LEFT(AE2739,1)</f>
        <v>C</v>
      </c>
      <c r="AH2739" t="str">
        <f>K2739</f>
        <v>M</v>
      </c>
      <c r="AI2739" t="str">
        <f>LEFT(AF2739,1)</f>
        <v>A</v>
      </c>
      <c r="AJ2739" t="str">
        <f>LEFT(M2739,1)</f>
        <v>M</v>
      </c>
      <c r="AK2739" t="str">
        <f>_xlfn.CONCAT(AG2739,AH2739,AI2739,AJ2739)</f>
        <v>CMAM</v>
      </c>
    </row>
    <row r="2740" spans="1:37" ht="15.75" hidden="1" customHeight="1" x14ac:dyDescent="0.2">
      <c r="A2740" s="1">
        <v>234603</v>
      </c>
      <c r="B2740" s="1" t="s">
        <v>319</v>
      </c>
      <c r="C2740" s="1" t="s">
        <v>1989</v>
      </c>
      <c r="D2740" s="1" t="s">
        <v>3040</v>
      </c>
      <c r="E2740" s="1" t="s">
        <v>669</v>
      </c>
      <c r="F2740" s="1" t="s">
        <v>63</v>
      </c>
      <c r="G2740" s="1" t="s">
        <v>3043</v>
      </c>
      <c r="H2740" s="1">
        <v>17</v>
      </c>
      <c r="I2740" s="1" t="s">
        <v>91</v>
      </c>
      <c r="J2740" s="1">
        <v>6</v>
      </c>
      <c r="K2740" s="1" t="s">
        <v>35</v>
      </c>
      <c r="L2740" s="1">
        <v>54</v>
      </c>
      <c r="M2740" s="1" t="str">
        <f>IF(L2740&lt;=45,"Joven","Mayor")</f>
        <v>Mayor</v>
      </c>
      <c r="N2740" s="1">
        <v>54</v>
      </c>
      <c r="O2740" s="1" t="s">
        <v>36</v>
      </c>
      <c r="P2740" s="1">
        <v>0.36299999999999999</v>
      </c>
      <c r="Q2740" s="1">
        <v>49.16</v>
      </c>
      <c r="R2740" s="1">
        <v>16.205227000000001</v>
      </c>
      <c r="S2740" s="1">
        <v>-0.71298890000000004</v>
      </c>
      <c r="T2740" s="1">
        <v>-7.7220009999999997</v>
      </c>
      <c r="U2740" s="1">
        <v>4.8330000000000002</v>
      </c>
      <c r="V2740" s="1">
        <v>96</v>
      </c>
      <c r="W2740" s="1">
        <v>170</v>
      </c>
      <c r="X2740" s="1">
        <v>1.7708333333333333</v>
      </c>
      <c r="Y2740" s="1">
        <v>101</v>
      </c>
      <c r="Z2740" s="1">
        <v>170</v>
      </c>
      <c r="AA2740" s="1">
        <v>1.6831683168316831</v>
      </c>
      <c r="AB2740" s="1">
        <v>101.3103093631037</v>
      </c>
      <c r="AC2740" s="1">
        <v>169.26458536212979</v>
      </c>
      <c r="AD2740" s="1">
        <v>1.6707538100142691</v>
      </c>
      <c r="AE2740" t="s">
        <v>4817</v>
      </c>
      <c r="AF2740" t="str">
        <f>IF(X2740&lt;$AF$1,"Bajo","Alto")</f>
        <v>Alto</v>
      </c>
      <c r="AG2740" t="str">
        <f>LEFT(AE2740,1)</f>
        <v>C</v>
      </c>
      <c r="AH2740" t="str">
        <f>K2740</f>
        <v>M</v>
      </c>
      <c r="AI2740" t="str">
        <f>LEFT(AF2740,1)</f>
        <v>A</v>
      </c>
      <c r="AJ2740" t="str">
        <f>LEFT(M2740,1)</f>
        <v>M</v>
      </c>
      <c r="AK2740" t="str">
        <f>_xlfn.CONCAT(AG2740,AH2740,AI2740,AJ2740)</f>
        <v>CMAM</v>
      </c>
    </row>
    <row r="2741" spans="1:37" ht="15.75" hidden="1" customHeight="1" x14ac:dyDescent="0.2">
      <c r="A2741" s="1">
        <v>2912406</v>
      </c>
      <c r="B2741" s="1" t="s">
        <v>3890</v>
      </c>
      <c r="C2741" s="1" t="s">
        <v>1695</v>
      </c>
      <c r="D2741" s="1" t="s">
        <v>3954</v>
      </c>
      <c r="E2741" s="1" t="s">
        <v>145</v>
      </c>
      <c r="F2741" s="1" t="s">
        <v>88</v>
      </c>
      <c r="G2741" s="1" t="s">
        <v>3957</v>
      </c>
      <c r="H2741" s="1">
        <v>2657</v>
      </c>
      <c r="I2741" s="1" t="s">
        <v>134</v>
      </c>
      <c r="J2741" s="1">
        <v>8</v>
      </c>
      <c r="K2741" s="1" t="s">
        <v>35</v>
      </c>
      <c r="L2741" s="1">
        <v>41</v>
      </c>
      <c r="M2741" s="1" t="str">
        <f>IF(L2741&lt;=45,"Joven","Mayor")</f>
        <v>Joven</v>
      </c>
      <c r="N2741" s="1">
        <v>33</v>
      </c>
      <c r="O2741" s="1" t="s">
        <v>36</v>
      </c>
      <c r="P2741" s="1">
        <v>0.29899999999999999</v>
      </c>
      <c r="Q2741" s="1">
        <v>91.284000000000006</v>
      </c>
      <c r="R2741" s="1">
        <v>3.5716679999999998</v>
      </c>
      <c r="S2741" s="1">
        <v>-5.865157</v>
      </c>
      <c r="T2741" s="1">
        <v>1.6916004</v>
      </c>
      <c r="U2741" s="1">
        <v>1.2470000000000001</v>
      </c>
      <c r="V2741" s="1">
        <v>94</v>
      </c>
      <c r="W2741" s="1">
        <v>166</v>
      </c>
      <c r="X2741" s="1">
        <v>1.7659574468085106</v>
      </c>
      <c r="Y2741" s="1">
        <v>98</v>
      </c>
      <c r="Z2741" s="1">
        <v>166</v>
      </c>
      <c r="AA2741" s="1">
        <v>1.6938775510204083</v>
      </c>
      <c r="AB2741" s="1">
        <v>96.687944022546617</v>
      </c>
      <c r="AC2741" s="1">
        <v>166.19333431450471</v>
      </c>
      <c r="AD2741" s="1">
        <v>1.7188630495209429</v>
      </c>
      <c r="AE2741" t="s">
        <v>4817</v>
      </c>
      <c r="AF2741" t="str">
        <f>IF(X2741&lt;$AF$1,"Bajo","Alto")</f>
        <v>Bajo</v>
      </c>
      <c r="AG2741" t="str">
        <f>LEFT(AE2741,1)</f>
        <v>C</v>
      </c>
      <c r="AH2741" t="str">
        <f>K2741</f>
        <v>M</v>
      </c>
      <c r="AI2741" t="str">
        <f>LEFT(AF2741,1)</f>
        <v>B</v>
      </c>
      <c r="AJ2741" t="str">
        <f>LEFT(M2741,1)</f>
        <v>J</v>
      </c>
      <c r="AK2741" t="str">
        <f>_xlfn.CONCAT(AG2741,AH2741,AI2741,AJ2741)</f>
        <v>CMBJ</v>
      </c>
    </row>
    <row r="2742" spans="1:37" ht="15.75" hidden="1" customHeight="1" x14ac:dyDescent="0.2">
      <c r="A2742" s="1">
        <v>400506</v>
      </c>
      <c r="B2742" s="1" t="s">
        <v>4287</v>
      </c>
      <c r="C2742" s="1" t="s">
        <v>657</v>
      </c>
      <c r="D2742" s="1" t="s">
        <v>4292</v>
      </c>
      <c r="E2742" s="1" t="s">
        <v>40</v>
      </c>
      <c r="F2742" s="1" t="s">
        <v>88</v>
      </c>
      <c r="G2742" s="1" t="s">
        <v>4293</v>
      </c>
      <c r="H2742" s="1">
        <v>405</v>
      </c>
      <c r="I2742" s="1" t="s">
        <v>91</v>
      </c>
      <c r="J2742" s="1">
        <v>6</v>
      </c>
      <c r="K2742" s="1" t="s">
        <v>35</v>
      </c>
      <c r="L2742" s="1">
        <v>43</v>
      </c>
      <c r="M2742" s="1" t="str">
        <f>IF(L2742&lt;=45,"Joven","Mayor")</f>
        <v>Joven</v>
      </c>
      <c r="N2742" s="1">
        <v>54</v>
      </c>
      <c r="O2742" s="1" t="s">
        <v>36</v>
      </c>
      <c r="P2742" s="1">
        <v>1.0069999999999999</v>
      </c>
      <c r="Q2742" s="1">
        <v>93.096999999999994</v>
      </c>
      <c r="R2742" s="1">
        <v>0.69212185999999998</v>
      </c>
      <c r="S2742" s="1">
        <v>6.1554675000000003</v>
      </c>
      <c r="T2742" s="1">
        <v>-2.3196910000000002</v>
      </c>
      <c r="U2742" s="1">
        <v>0.51200000000000001</v>
      </c>
      <c r="V2742" s="1">
        <v>107</v>
      </c>
      <c r="W2742" s="1">
        <v>189</v>
      </c>
      <c r="X2742" s="1">
        <v>1.766355140186916</v>
      </c>
      <c r="Y2742" s="1">
        <v>108</v>
      </c>
      <c r="Z2742" s="1">
        <v>189</v>
      </c>
      <c r="AA2742" s="1">
        <v>1.75</v>
      </c>
      <c r="AB2742" s="1">
        <v>108.7741767569307</v>
      </c>
      <c r="AC2742" s="1">
        <v>188.8046476113991</v>
      </c>
      <c r="AD2742" s="1">
        <v>1.7357488076724896</v>
      </c>
      <c r="AE2742" t="s">
        <v>4817</v>
      </c>
      <c r="AF2742" t="str">
        <f>IF(X2742&lt;$AF$1,"Bajo","Alto")</f>
        <v>Bajo</v>
      </c>
      <c r="AG2742" t="str">
        <f>LEFT(AE2742,1)</f>
        <v>C</v>
      </c>
      <c r="AH2742" t="str">
        <f>K2742</f>
        <v>M</v>
      </c>
      <c r="AI2742" t="str">
        <f>LEFT(AF2742,1)</f>
        <v>B</v>
      </c>
      <c r="AJ2742" t="str">
        <f>LEFT(M2742,1)</f>
        <v>J</v>
      </c>
      <c r="AK2742" t="str">
        <f>_xlfn.CONCAT(AG2742,AH2742,AI2742,AJ2742)</f>
        <v>CMBJ</v>
      </c>
    </row>
    <row r="2743" spans="1:37" ht="15.75" hidden="1" customHeight="1" x14ac:dyDescent="0.2">
      <c r="A2743" s="1">
        <v>251602</v>
      </c>
      <c r="B2743" s="1" t="s">
        <v>3169</v>
      </c>
      <c r="C2743" s="1" t="s">
        <v>821</v>
      </c>
      <c r="D2743" s="1" t="s">
        <v>3203</v>
      </c>
      <c r="E2743" s="1" t="s">
        <v>244</v>
      </c>
      <c r="F2743" s="1" t="s">
        <v>37</v>
      </c>
      <c r="G2743" s="1" t="s">
        <v>3204</v>
      </c>
      <c r="H2743" s="1">
        <v>1</v>
      </c>
      <c r="I2743" s="1" t="s">
        <v>108</v>
      </c>
      <c r="J2743" s="1">
        <v>3</v>
      </c>
      <c r="K2743" s="1" t="s">
        <v>35</v>
      </c>
      <c r="L2743" s="1">
        <v>42</v>
      </c>
      <c r="M2743" s="1" t="str">
        <f>IF(L2743&lt;=45,"Joven","Mayor")</f>
        <v>Joven</v>
      </c>
      <c r="N2743" s="1">
        <v>53</v>
      </c>
      <c r="O2743" s="1" t="s">
        <v>36</v>
      </c>
      <c r="P2743" s="1">
        <v>0.34200000000000003</v>
      </c>
      <c r="Q2743" s="1">
        <v>89.894000000000005</v>
      </c>
      <c r="R2743" s="1">
        <v>5.6365112999999996</v>
      </c>
      <c r="S2743" s="1">
        <v>3.3903213000000001</v>
      </c>
      <c r="T2743" s="1">
        <v>-3.8206755999999999</v>
      </c>
      <c r="U2743" s="1">
        <v>1.752</v>
      </c>
      <c r="V2743" s="1">
        <v>93</v>
      </c>
      <c r="W2743" s="1">
        <v>165</v>
      </c>
      <c r="X2743" s="1">
        <v>1.7741935483870968</v>
      </c>
      <c r="Y2743" s="1">
        <v>93</v>
      </c>
      <c r="Z2743" s="1">
        <v>165</v>
      </c>
      <c r="AA2743" s="1">
        <v>1.7741935483870968</v>
      </c>
      <c r="AB2743" s="1">
        <v>96.058370416059461</v>
      </c>
      <c r="AC2743" s="1">
        <v>164.8998213446034</v>
      </c>
      <c r="AD2743" s="1">
        <v>1.7166626982153625</v>
      </c>
      <c r="AE2743" t="s">
        <v>4817</v>
      </c>
      <c r="AF2743" t="str">
        <f>IF(X2743&lt;$AF$1,"Bajo","Alto")</f>
        <v>Alto</v>
      </c>
      <c r="AG2743" t="str">
        <f>LEFT(AE2743,1)</f>
        <v>C</v>
      </c>
      <c r="AH2743" t="str">
        <f>K2743</f>
        <v>M</v>
      </c>
      <c r="AI2743" t="str">
        <f>LEFT(AF2743,1)</f>
        <v>A</v>
      </c>
      <c r="AJ2743" t="str">
        <f>LEFT(M2743,1)</f>
        <v>J</v>
      </c>
      <c r="AK2743" t="str">
        <f>_xlfn.CONCAT(AG2743,AH2743,AI2743,AJ2743)</f>
        <v>CMAJ</v>
      </c>
    </row>
    <row r="2744" spans="1:37" ht="15.75" hidden="1" customHeight="1" x14ac:dyDescent="0.2">
      <c r="A2744" s="1">
        <v>298001</v>
      </c>
      <c r="B2744" s="1" t="s">
        <v>3890</v>
      </c>
      <c r="C2744" s="1" t="s">
        <v>1695</v>
      </c>
      <c r="D2744" s="1" t="s">
        <v>4076</v>
      </c>
      <c r="E2744" s="1" t="s">
        <v>744</v>
      </c>
      <c r="F2744" s="1" t="s">
        <v>32</v>
      </c>
      <c r="G2744" s="1" t="s">
        <v>4077</v>
      </c>
      <c r="H2744" s="1">
        <v>1227</v>
      </c>
      <c r="I2744" s="1" t="s">
        <v>65</v>
      </c>
      <c r="J2744" s="1">
        <v>2</v>
      </c>
      <c r="K2744" s="1" t="s">
        <v>49</v>
      </c>
      <c r="L2744" s="1">
        <v>40</v>
      </c>
      <c r="M2744" s="1" t="str">
        <f>IF(L2744&lt;=45,"Joven","Mayor")</f>
        <v>Joven</v>
      </c>
      <c r="N2744" s="1">
        <v>50</v>
      </c>
      <c r="O2744" s="1" t="s">
        <v>50</v>
      </c>
      <c r="P2744" s="1">
        <v>0.67200000000000004</v>
      </c>
      <c r="Q2744" s="1">
        <v>88.71</v>
      </c>
      <c r="R2744" s="1">
        <v>4.4661135999999999</v>
      </c>
      <c r="S2744" s="1">
        <v>8.7795780000000008</v>
      </c>
      <c r="T2744" s="1">
        <v>-1.7251711000000001</v>
      </c>
      <c r="U2744" s="1">
        <v>12.936999999999999</v>
      </c>
      <c r="V2744" s="1">
        <v>101</v>
      </c>
      <c r="W2744" s="1">
        <v>180</v>
      </c>
      <c r="X2744" s="1">
        <v>1.7821782178217822</v>
      </c>
      <c r="Y2744" s="1">
        <v>103</v>
      </c>
      <c r="Z2744" s="1">
        <v>180</v>
      </c>
      <c r="AA2744" s="1">
        <v>1.7475728155339805</v>
      </c>
      <c r="AB2744" s="1">
        <v>104.2779493875682</v>
      </c>
      <c r="AC2744" s="1">
        <v>179.8280954321294</v>
      </c>
      <c r="AD2744" s="1">
        <v>1.7245074005412704</v>
      </c>
      <c r="AE2744" t="s">
        <v>4817</v>
      </c>
      <c r="AF2744" t="str">
        <f>IF(X2744&lt;$AF$1,"Bajo","Alto")</f>
        <v>Alto</v>
      </c>
      <c r="AG2744" t="str">
        <f>LEFT(AE2744,1)</f>
        <v>C</v>
      </c>
      <c r="AH2744" t="str">
        <f>K2744</f>
        <v>F</v>
      </c>
      <c r="AI2744" t="str">
        <f>LEFT(AF2744,1)</f>
        <v>A</v>
      </c>
      <c r="AJ2744" t="str">
        <f>LEFT(M2744,1)</f>
        <v>J</v>
      </c>
      <c r="AK2744" t="str">
        <f>_xlfn.CONCAT(AG2744,AH2744,AI2744,AJ2744)</f>
        <v>CFAJ</v>
      </c>
    </row>
    <row r="2745" spans="1:37" ht="15.75" hidden="1" customHeight="1" x14ac:dyDescent="0.2">
      <c r="A2745" s="1">
        <v>2819003</v>
      </c>
      <c r="B2745" s="1" t="s">
        <v>1775</v>
      </c>
      <c r="C2745" s="1" t="s">
        <v>561</v>
      </c>
      <c r="D2745" s="1" t="s">
        <v>3795</v>
      </c>
      <c r="E2745" s="1" t="s">
        <v>320</v>
      </c>
      <c r="F2745" s="1" t="s">
        <v>63</v>
      </c>
      <c r="G2745" s="1" t="s">
        <v>3796</v>
      </c>
      <c r="H2745" s="1">
        <v>13</v>
      </c>
      <c r="I2745" s="1" t="s">
        <v>294</v>
      </c>
      <c r="J2745" s="1">
        <v>16</v>
      </c>
      <c r="K2745" s="1" t="s">
        <v>35</v>
      </c>
      <c r="L2745" s="1">
        <v>46</v>
      </c>
      <c r="M2745" s="1" t="str">
        <f>IF(L2745&lt;=45,"Joven","Mayor")</f>
        <v>Mayor</v>
      </c>
      <c r="N2745" s="1">
        <v>50</v>
      </c>
      <c r="O2745" s="1" t="s">
        <v>36</v>
      </c>
      <c r="P2745" s="1">
        <v>4.2999999999999997E-2</v>
      </c>
      <c r="Q2745" s="1">
        <v>75.334999999999994</v>
      </c>
      <c r="R2745" s="1">
        <v>7.7480693</v>
      </c>
      <c r="S2745" s="1">
        <v>14.987935</v>
      </c>
      <c r="T2745" s="1">
        <v>1.0821116</v>
      </c>
      <c r="U2745" s="1">
        <v>2.2719999999999998</v>
      </c>
      <c r="V2745" s="1">
        <v>96</v>
      </c>
      <c r="W2745" s="1">
        <v>170</v>
      </c>
      <c r="X2745" s="1">
        <v>1.7708333333333333</v>
      </c>
      <c r="Y2745" s="1">
        <v>99</v>
      </c>
      <c r="Z2745" s="1">
        <v>170</v>
      </c>
      <c r="AA2745" s="1">
        <v>1.7171717171717171</v>
      </c>
      <c r="AB2745" s="1">
        <v>98.189161972208922</v>
      </c>
      <c r="AC2745" s="1">
        <v>170.13964928699809</v>
      </c>
      <c r="AD2745" s="1">
        <v>1.7327742275176334</v>
      </c>
      <c r="AE2745" t="s">
        <v>4817</v>
      </c>
      <c r="AF2745" t="str">
        <f>IF(X2745&lt;$AF$1,"Bajo","Alto")</f>
        <v>Alto</v>
      </c>
      <c r="AG2745" t="str">
        <f>LEFT(AE2745,1)</f>
        <v>C</v>
      </c>
      <c r="AH2745" t="str">
        <f>K2745</f>
        <v>M</v>
      </c>
      <c r="AI2745" t="str">
        <f>LEFT(AF2745,1)</f>
        <v>A</v>
      </c>
      <c r="AJ2745" t="str">
        <f>LEFT(M2745,1)</f>
        <v>M</v>
      </c>
      <c r="AK2745" t="str">
        <f>_xlfn.CONCAT(AG2745,AH2745,AI2745,AJ2745)</f>
        <v>CMAM</v>
      </c>
    </row>
    <row r="2746" spans="1:37" ht="15.75" hidden="1" customHeight="1" x14ac:dyDescent="0.2">
      <c r="A2746" s="1">
        <v>133307</v>
      </c>
      <c r="B2746" s="1" t="s">
        <v>956</v>
      </c>
      <c r="C2746" s="1" t="s">
        <v>163</v>
      </c>
      <c r="D2746" s="1" t="s">
        <v>2024</v>
      </c>
      <c r="E2746" s="1" t="s">
        <v>2025</v>
      </c>
      <c r="F2746" s="1" t="s">
        <v>43</v>
      </c>
      <c r="G2746" s="1" t="s">
        <v>2027</v>
      </c>
      <c r="H2746" s="1">
        <v>4886</v>
      </c>
      <c r="I2746" s="1" t="s">
        <v>134</v>
      </c>
      <c r="J2746" s="1">
        <v>8</v>
      </c>
      <c r="K2746" s="1" t="s">
        <v>49</v>
      </c>
      <c r="L2746" s="1">
        <v>39</v>
      </c>
      <c r="M2746" s="1" t="str">
        <f>IF(L2746&lt;=45,"Joven","Mayor")</f>
        <v>Joven</v>
      </c>
      <c r="N2746" s="1">
        <v>30</v>
      </c>
      <c r="O2746" s="1" t="s">
        <v>50</v>
      </c>
      <c r="P2746" s="1">
        <v>0.79</v>
      </c>
      <c r="Q2746" s="1">
        <v>92.481999999999999</v>
      </c>
      <c r="R2746" s="1">
        <v>2.2229977000000001</v>
      </c>
      <c r="S2746" s="1">
        <v>5.2253537000000003</v>
      </c>
      <c r="T2746" s="1">
        <v>-4.3833209999999996</v>
      </c>
      <c r="U2746" s="1">
        <v>1.9370000000000001</v>
      </c>
      <c r="V2746" s="1">
        <v>80</v>
      </c>
      <c r="W2746" s="1">
        <v>142</v>
      </c>
      <c r="X2746" s="1">
        <v>1.7749999999999999</v>
      </c>
      <c r="Y2746" s="1">
        <v>83</v>
      </c>
      <c r="Z2746" s="1">
        <v>142</v>
      </c>
      <c r="AA2746" s="1">
        <v>1.7108433734939759</v>
      </c>
      <c r="AB2746" s="1">
        <v>82.593868289099191</v>
      </c>
      <c r="AC2746" s="1">
        <v>141.89037124560539</v>
      </c>
      <c r="AD2746" s="1">
        <v>1.7179286330185386</v>
      </c>
      <c r="AE2746" t="s">
        <v>4817</v>
      </c>
      <c r="AF2746" t="str">
        <f>IF(X2746&lt;$AF$1,"Bajo","Alto")</f>
        <v>Alto</v>
      </c>
      <c r="AG2746" t="str">
        <f>LEFT(AE2746,1)</f>
        <v>C</v>
      </c>
      <c r="AH2746" t="str">
        <f>K2746</f>
        <v>F</v>
      </c>
      <c r="AI2746" t="str">
        <f>LEFT(AF2746,1)</f>
        <v>A</v>
      </c>
      <c r="AJ2746" t="str">
        <f>LEFT(M2746,1)</f>
        <v>J</v>
      </c>
      <c r="AK2746" t="str">
        <f>_xlfn.CONCAT(AG2746,AH2746,AI2746,AJ2746)</f>
        <v>CFAJ</v>
      </c>
    </row>
    <row r="2747" spans="1:37" ht="15.75" hidden="1" customHeight="1" x14ac:dyDescent="0.2">
      <c r="A2747" s="1">
        <v>2714801</v>
      </c>
      <c r="B2747" s="1" t="s">
        <v>3409</v>
      </c>
      <c r="C2747" s="1" t="s">
        <v>973</v>
      </c>
      <c r="D2747" s="1" t="s">
        <v>3508</v>
      </c>
      <c r="E2747" s="1" t="s">
        <v>201</v>
      </c>
      <c r="F2747" s="1" t="s">
        <v>32</v>
      </c>
      <c r="G2747" s="1" t="s">
        <v>3509</v>
      </c>
      <c r="H2747" s="1">
        <v>1258</v>
      </c>
      <c r="I2747" s="1" t="s">
        <v>3510</v>
      </c>
      <c r="J2747" s="1">
        <v>3112</v>
      </c>
      <c r="K2747" s="1" t="s">
        <v>49</v>
      </c>
      <c r="L2747" s="1">
        <v>41</v>
      </c>
      <c r="M2747" s="1" t="str">
        <f>IF(L2747&lt;=45,"Joven","Mayor")</f>
        <v>Joven</v>
      </c>
      <c r="N2747" s="1">
        <v>35</v>
      </c>
      <c r="O2747" s="1" t="s">
        <v>50</v>
      </c>
      <c r="P2747" s="1">
        <v>0.20699999999999999</v>
      </c>
      <c r="Q2747" s="1">
        <v>93.257999999999996</v>
      </c>
      <c r="R2747" s="1">
        <v>1.2646428000000001</v>
      </c>
      <c r="S2747" s="1">
        <v>5.2659370000000001</v>
      </c>
      <c r="T2747" s="1">
        <v>5.0006940000000002</v>
      </c>
      <c r="U2747" s="1">
        <v>4.7939999999999996</v>
      </c>
      <c r="V2747" s="1">
        <v>80</v>
      </c>
      <c r="W2747" s="1">
        <v>142</v>
      </c>
      <c r="X2747" s="1">
        <v>1.7749999999999999</v>
      </c>
      <c r="Y2747" s="1">
        <v>84</v>
      </c>
      <c r="Z2747" s="1">
        <v>142</v>
      </c>
      <c r="AA2747" s="1">
        <v>1.6904761904761905</v>
      </c>
      <c r="AB2747" s="1">
        <v>83.443707184057985</v>
      </c>
      <c r="AC2747" s="1">
        <v>142.4183431134766</v>
      </c>
      <c r="AD2747" s="1">
        <v>1.7067595378922209</v>
      </c>
      <c r="AE2747" t="s">
        <v>4817</v>
      </c>
      <c r="AF2747" t="str">
        <f>IF(X2747&lt;$AF$1,"Bajo","Alto")</f>
        <v>Alto</v>
      </c>
      <c r="AG2747" t="str">
        <f>LEFT(AE2747,1)</f>
        <v>C</v>
      </c>
      <c r="AH2747" t="str">
        <f>K2747</f>
        <v>F</v>
      </c>
      <c r="AI2747" t="str">
        <f>LEFT(AF2747,1)</f>
        <v>A</v>
      </c>
      <c r="AJ2747" t="str">
        <f>LEFT(M2747,1)</f>
        <v>J</v>
      </c>
      <c r="AK2747" t="str">
        <f>_xlfn.CONCAT(AG2747,AH2747,AI2747,AJ2747)</f>
        <v>CFAJ</v>
      </c>
    </row>
    <row r="2748" spans="1:37" ht="15.75" hidden="1" customHeight="1" x14ac:dyDescent="0.2">
      <c r="A2748" s="1">
        <v>480402</v>
      </c>
      <c r="B2748" s="1" t="s">
        <v>4465</v>
      </c>
      <c r="C2748" s="1" t="s">
        <v>2650</v>
      </c>
      <c r="D2748" s="1" t="s">
        <v>4473</v>
      </c>
      <c r="E2748" s="1" t="s">
        <v>61</v>
      </c>
      <c r="F2748" s="1" t="s">
        <v>37</v>
      </c>
      <c r="G2748" s="1" t="s">
        <v>4474</v>
      </c>
      <c r="H2748" s="1">
        <v>8683</v>
      </c>
      <c r="I2748" s="1" t="s">
        <v>65</v>
      </c>
      <c r="J2748" s="1">
        <v>2</v>
      </c>
      <c r="K2748" s="1" t="s">
        <v>35</v>
      </c>
      <c r="L2748" s="1">
        <v>30</v>
      </c>
      <c r="M2748" s="1" t="str">
        <f>IF(L2748&lt;=45,"Joven","Mayor")</f>
        <v>Joven</v>
      </c>
      <c r="N2748" s="1">
        <v>40</v>
      </c>
      <c r="O2748" s="1" t="s">
        <v>36</v>
      </c>
      <c r="P2748" s="1">
        <v>0.35099999999999998</v>
      </c>
      <c r="Q2748" s="1">
        <v>85.866</v>
      </c>
      <c r="R2748" s="1">
        <v>-4.441891</v>
      </c>
      <c r="S2748" s="1">
        <v>12.483521</v>
      </c>
      <c r="T2748" s="1">
        <v>3.7474020000000001</v>
      </c>
      <c r="U2748" s="1">
        <v>3.1850000000000001</v>
      </c>
      <c r="V2748" s="1">
        <v>93</v>
      </c>
      <c r="W2748" s="1">
        <v>165</v>
      </c>
      <c r="X2748" s="1">
        <v>1.7741935483870968</v>
      </c>
      <c r="Y2748" s="1">
        <v>95</v>
      </c>
      <c r="Z2748" s="1">
        <v>165</v>
      </c>
      <c r="AA2748" s="1">
        <v>1.736842105263158</v>
      </c>
      <c r="AB2748" s="1">
        <v>97.934057708289401</v>
      </c>
      <c r="AC2748" s="1">
        <v>164.12434843114491</v>
      </c>
      <c r="AD2748" s="1">
        <v>1.6758659068330728</v>
      </c>
      <c r="AE2748" t="s">
        <v>4817</v>
      </c>
      <c r="AF2748" t="str">
        <f>IF(X2748&lt;$AF$1,"Bajo","Alto")</f>
        <v>Alto</v>
      </c>
      <c r="AG2748" t="str">
        <f>LEFT(AE2748,1)</f>
        <v>C</v>
      </c>
      <c r="AH2748" t="str">
        <f>K2748</f>
        <v>M</v>
      </c>
      <c r="AI2748" t="str">
        <f>LEFT(AF2748,1)</f>
        <v>A</v>
      </c>
      <c r="AJ2748" t="str">
        <f>LEFT(M2748,1)</f>
        <v>J</v>
      </c>
      <c r="AK2748" t="str">
        <f>_xlfn.CONCAT(AG2748,AH2748,AI2748,AJ2748)</f>
        <v>CMAJ</v>
      </c>
    </row>
    <row r="2749" spans="1:37" ht="15.75" hidden="1" customHeight="1" x14ac:dyDescent="0.2">
      <c r="A2749" s="1">
        <v>2712404</v>
      </c>
      <c r="B2749" s="1" t="s">
        <v>3409</v>
      </c>
      <c r="C2749" s="1" t="s">
        <v>973</v>
      </c>
      <c r="D2749" s="1" t="s">
        <v>3469</v>
      </c>
      <c r="E2749" s="1" t="s">
        <v>145</v>
      </c>
      <c r="F2749" s="1" t="s">
        <v>61</v>
      </c>
      <c r="G2749" s="1" t="s">
        <v>3474</v>
      </c>
      <c r="H2749" s="1">
        <v>1739</v>
      </c>
      <c r="I2749" s="1" t="s">
        <v>3475</v>
      </c>
      <c r="J2749" s="1">
        <v>3524</v>
      </c>
      <c r="K2749" s="1" t="s">
        <v>49</v>
      </c>
      <c r="L2749" s="1">
        <v>38</v>
      </c>
      <c r="M2749" s="1" t="str">
        <f>IF(L2749&lt;=45,"Joven","Mayor")</f>
        <v>Joven</v>
      </c>
      <c r="N2749" s="1">
        <v>48</v>
      </c>
      <c r="O2749" s="1" t="s">
        <v>50</v>
      </c>
      <c r="P2749" s="1">
        <v>1.054</v>
      </c>
      <c r="Q2749" s="1">
        <v>90.623000000000005</v>
      </c>
      <c r="R2749" s="1">
        <v>-3.7530942</v>
      </c>
      <c r="S2749" s="1">
        <v>6.4218992999999998</v>
      </c>
      <c r="T2749" s="1">
        <v>14.945558999999999</v>
      </c>
      <c r="U2749" s="1">
        <v>31.143999999999998</v>
      </c>
      <c r="V2749" s="1">
        <v>93</v>
      </c>
      <c r="W2749" s="1">
        <v>165</v>
      </c>
      <c r="X2749" s="1">
        <v>1.7741935483870968</v>
      </c>
      <c r="Y2749" s="1">
        <v>114</v>
      </c>
      <c r="Z2749" s="1">
        <v>165</v>
      </c>
      <c r="AA2749" s="1">
        <v>1.4473684210526316</v>
      </c>
      <c r="AB2749" s="1">
        <v>105.84380222566141</v>
      </c>
      <c r="AC2749" s="1">
        <v>166.89739950538521</v>
      </c>
      <c r="AD2749" s="1">
        <v>1.5768273247549831</v>
      </c>
      <c r="AE2749" t="s">
        <v>4817</v>
      </c>
      <c r="AF2749" t="str">
        <f>IF(X2749&lt;$AF$1,"Bajo","Alto")</f>
        <v>Alto</v>
      </c>
      <c r="AG2749" t="str">
        <f>LEFT(AE2749,1)</f>
        <v>C</v>
      </c>
      <c r="AH2749" t="str">
        <f>K2749</f>
        <v>F</v>
      </c>
      <c r="AI2749" t="str">
        <f>LEFT(AF2749,1)</f>
        <v>A</v>
      </c>
      <c r="AJ2749" t="str">
        <f>LEFT(M2749,1)</f>
        <v>J</v>
      </c>
      <c r="AK2749" t="str">
        <f>_xlfn.CONCAT(AG2749,AH2749,AI2749,AJ2749)</f>
        <v>CFAJ</v>
      </c>
    </row>
    <row r="2750" spans="1:37" ht="15.75" hidden="1" customHeight="1" x14ac:dyDescent="0.2">
      <c r="A2750" s="1">
        <v>522706</v>
      </c>
      <c r="B2750" s="1" t="s">
        <v>4529</v>
      </c>
      <c r="C2750" s="1" t="s">
        <v>685</v>
      </c>
      <c r="D2750" s="1" t="s">
        <v>4570</v>
      </c>
      <c r="E2750" s="1" t="s">
        <v>973</v>
      </c>
      <c r="F2750" s="1" t="s">
        <v>88</v>
      </c>
      <c r="G2750" s="1" t="s">
        <v>4575</v>
      </c>
      <c r="H2750" s="1">
        <v>981</v>
      </c>
      <c r="I2750" s="1" t="s">
        <v>91</v>
      </c>
      <c r="J2750" s="1">
        <v>6</v>
      </c>
      <c r="K2750" s="1" t="s">
        <v>35</v>
      </c>
      <c r="L2750" s="1">
        <v>50</v>
      </c>
      <c r="M2750" s="1" t="str">
        <f>IF(L2750&lt;=45,"Joven","Mayor")</f>
        <v>Mayor</v>
      </c>
      <c r="N2750" s="1">
        <v>45</v>
      </c>
      <c r="O2750" s="1" t="s">
        <v>36</v>
      </c>
      <c r="P2750" s="1">
        <v>0.34899999999999998</v>
      </c>
      <c r="Q2750" s="1">
        <v>93.195999999999998</v>
      </c>
      <c r="R2750" s="1">
        <v>-0.80818469999999998</v>
      </c>
      <c r="S2750" s="1">
        <v>-6.1871824000000002</v>
      </c>
      <c r="T2750" s="1">
        <v>-4.2276559999999996</v>
      </c>
      <c r="U2750" s="1">
        <v>1.0980000000000001</v>
      </c>
      <c r="V2750" s="1">
        <v>73</v>
      </c>
      <c r="W2750" s="1">
        <v>129</v>
      </c>
      <c r="X2750" s="1">
        <v>1.7671232876712328</v>
      </c>
      <c r="Y2750" s="1">
        <v>74</v>
      </c>
      <c r="Z2750" s="1">
        <v>129</v>
      </c>
      <c r="AA2750" s="1">
        <v>1.7432432432432432</v>
      </c>
      <c r="AB2750" s="1">
        <v>75.528992198260767</v>
      </c>
      <c r="AC2750" s="1">
        <v>128.72271184823691</v>
      </c>
      <c r="AD2750" s="1">
        <v>1.7042821319572838</v>
      </c>
      <c r="AE2750" t="s">
        <v>4817</v>
      </c>
      <c r="AF2750" t="str">
        <f>IF(X2750&lt;$AF$1,"Bajo","Alto")</f>
        <v>Bajo</v>
      </c>
      <c r="AG2750" t="str">
        <f>LEFT(AE2750,1)</f>
        <v>C</v>
      </c>
      <c r="AH2750" t="str">
        <f>K2750</f>
        <v>M</v>
      </c>
      <c r="AI2750" t="str">
        <f>LEFT(AF2750,1)</f>
        <v>B</v>
      </c>
      <c r="AJ2750" t="str">
        <f>LEFT(M2750,1)</f>
        <v>M</v>
      </c>
      <c r="AK2750" t="str">
        <f>_xlfn.CONCAT(AG2750,AH2750,AI2750,AJ2750)</f>
        <v>CMBM</v>
      </c>
    </row>
    <row r="2751" spans="1:37" ht="15.75" hidden="1" customHeight="1" x14ac:dyDescent="0.2">
      <c r="A2751" s="1">
        <v>10125601</v>
      </c>
      <c r="B2751" s="1" t="s">
        <v>29</v>
      </c>
      <c r="C2751" s="1" t="s">
        <v>30</v>
      </c>
      <c r="D2751" s="1" t="s">
        <v>509</v>
      </c>
      <c r="E2751" s="1" t="s">
        <v>510</v>
      </c>
      <c r="F2751" s="1" t="s">
        <v>32</v>
      </c>
      <c r="G2751" s="1" t="s">
        <v>511</v>
      </c>
      <c r="H2751" s="1">
        <v>2285</v>
      </c>
      <c r="I2751" s="1" t="s">
        <v>91</v>
      </c>
      <c r="J2751" s="1">
        <v>6</v>
      </c>
      <c r="K2751" s="1" t="s">
        <v>35</v>
      </c>
      <c r="L2751" s="1">
        <v>36</v>
      </c>
      <c r="M2751" s="1" t="str">
        <f>IF(L2751&lt;=45,"Joven","Mayor")</f>
        <v>Joven</v>
      </c>
      <c r="N2751" s="1">
        <v>36</v>
      </c>
      <c r="O2751" s="1" t="s">
        <v>36</v>
      </c>
      <c r="P2751" s="1">
        <v>0.38</v>
      </c>
      <c r="Q2751" s="1">
        <v>89.906999999999996</v>
      </c>
      <c r="R2751" s="1">
        <v>5.8111515000000002</v>
      </c>
      <c r="S2751" s="1">
        <v>2.6266636999999999</v>
      </c>
      <c r="T2751" s="1">
        <v>-5.0550322999999997</v>
      </c>
      <c r="U2751" s="1">
        <v>29.154</v>
      </c>
      <c r="V2751" s="1">
        <v>84</v>
      </c>
      <c r="W2751" s="1">
        <v>149</v>
      </c>
      <c r="X2751" s="1">
        <v>1.7738095238095237</v>
      </c>
      <c r="Y2751" s="1">
        <v>84</v>
      </c>
      <c r="Z2751" s="1">
        <v>149</v>
      </c>
      <c r="AA2751" s="1">
        <v>1.7738095238095237</v>
      </c>
      <c r="AB2751" s="1">
        <v>87.109673327277051</v>
      </c>
      <c r="AC2751" s="1">
        <v>148.4204683657272</v>
      </c>
      <c r="AD2751" s="1">
        <v>1.7038345191365978</v>
      </c>
      <c r="AE2751" t="s">
        <v>4817</v>
      </c>
      <c r="AF2751" t="str">
        <f>IF(X2751&lt;$AF$1,"Bajo","Alto")</f>
        <v>Alto</v>
      </c>
      <c r="AG2751" t="str">
        <f>LEFT(AE2751,1)</f>
        <v>C</v>
      </c>
      <c r="AH2751" t="str">
        <f>K2751</f>
        <v>M</v>
      </c>
      <c r="AI2751" t="str">
        <f>LEFT(AF2751,1)</f>
        <v>A</v>
      </c>
      <c r="AJ2751" t="str">
        <f>LEFT(M2751,1)</f>
        <v>J</v>
      </c>
      <c r="AK2751" t="str">
        <f>_xlfn.CONCAT(AG2751,AH2751,AI2751,AJ2751)</f>
        <v>CMAJ</v>
      </c>
    </row>
    <row r="2752" spans="1:37" ht="15.75" hidden="1" customHeight="1" x14ac:dyDescent="0.2">
      <c r="A2752" s="1">
        <v>291001</v>
      </c>
      <c r="B2752" s="1" t="s">
        <v>3890</v>
      </c>
      <c r="C2752" s="1" t="s">
        <v>1695</v>
      </c>
      <c r="D2752" s="1" t="s">
        <v>3918</v>
      </c>
      <c r="E2752" s="1" t="s">
        <v>75</v>
      </c>
      <c r="F2752" s="1" t="s">
        <v>32</v>
      </c>
      <c r="G2752" s="1" t="s">
        <v>3919</v>
      </c>
      <c r="H2752" s="1">
        <v>581</v>
      </c>
      <c r="I2752" s="1" t="s">
        <v>100</v>
      </c>
      <c r="J2752" s="1">
        <v>1</v>
      </c>
      <c r="K2752" s="1" t="s">
        <v>35</v>
      </c>
      <c r="L2752" s="1">
        <v>28</v>
      </c>
      <c r="M2752" s="1" t="str">
        <f>IF(L2752&lt;=45,"Joven","Mayor")</f>
        <v>Joven</v>
      </c>
      <c r="N2752" s="1">
        <v>52</v>
      </c>
      <c r="O2752" s="1" t="s">
        <v>36</v>
      </c>
      <c r="P2752" s="1">
        <v>1.101</v>
      </c>
      <c r="Q2752" s="1">
        <v>90.710999999999999</v>
      </c>
      <c r="R2752" s="1">
        <v>5.9931494000000002E-2</v>
      </c>
      <c r="S2752" s="1">
        <v>11.747711000000001</v>
      </c>
      <c r="T2752" s="1">
        <v>9.5055950000000004E-3</v>
      </c>
      <c r="U2752" s="1">
        <v>21.117000000000001</v>
      </c>
      <c r="V2752" s="1">
        <v>84</v>
      </c>
      <c r="W2752" s="1">
        <v>149</v>
      </c>
      <c r="X2752" s="1">
        <v>1.7738095238095237</v>
      </c>
      <c r="Y2752" s="1">
        <v>86</v>
      </c>
      <c r="Z2752" s="1">
        <v>149</v>
      </c>
      <c r="AA2752" s="1">
        <v>1.7325581395348837</v>
      </c>
      <c r="AB2752" s="1">
        <v>85.99386037107729</v>
      </c>
      <c r="AC2752" s="1">
        <v>149.0004956612415</v>
      </c>
      <c r="AD2752" s="1">
        <v>1.7326876013971286</v>
      </c>
      <c r="AE2752" t="s">
        <v>4817</v>
      </c>
      <c r="AF2752" t="str">
        <f>IF(X2752&lt;$AF$1,"Bajo","Alto")</f>
        <v>Alto</v>
      </c>
      <c r="AG2752" t="str">
        <f>LEFT(AE2752,1)</f>
        <v>C</v>
      </c>
      <c r="AH2752" t="str">
        <f>K2752</f>
        <v>M</v>
      </c>
      <c r="AI2752" t="str">
        <f>LEFT(AF2752,1)</f>
        <v>A</v>
      </c>
      <c r="AJ2752" t="str">
        <f>LEFT(M2752,1)</f>
        <v>J</v>
      </c>
      <c r="AK2752" t="str">
        <f>_xlfn.CONCAT(AG2752,AH2752,AI2752,AJ2752)</f>
        <v>CMAJ</v>
      </c>
    </row>
    <row r="2753" spans="1:37" ht="15.75" hidden="1" customHeight="1" x14ac:dyDescent="0.2">
      <c r="A2753" s="1">
        <v>253604</v>
      </c>
      <c r="B2753" s="1" t="s">
        <v>3169</v>
      </c>
      <c r="C2753" s="1" t="s">
        <v>821</v>
      </c>
      <c r="D2753" s="1" t="s">
        <v>3232</v>
      </c>
      <c r="E2753" s="1" t="s">
        <v>3233</v>
      </c>
      <c r="F2753" s="1" t="s">
        <v>61</v>
      </c>
      <c r="G2753" s="1" t="s">
        <v>3238</v>
      </c>
      <c r="H2753" s="1">
        <v>2988</v>
      </c>
      <c r="I2753" s="1" t="s">
        <v>3239</v>
      </c>
      <c r="J2753" s="1">
        <v>3782</v>
      </c>
      <c r="K2753" s="1" t="s">
        <v>35</v>
      </c>
      <c r="L2753" s="1">
        <v>35</v>
      </c>
      <c r="M2753" s="1" t="str">
        <f>IF(L2753&lt;=45,"Joven","Mayor")</f>
        <v>Joven</v>
      </c>
      <c r="N2753" s="1">
        <v>29</v>
      </c>
      <c r="O2753" s="1" t="s">
        <v>36</v>
      </c>
      <c r="P2753" s="1">
        <v>0.35099999999999998</v>
      </c>
      <c r="Q2753" s="1">
        <v>76.054000000000002</v>
      </c>
      <c r="R2753" s="1">
        <v>11.022244000000001</v>
      </c>
      <c r="S2753" s="1">
        <v>5.3619399999999997</v>
      </c>
      <c r="T2753" s="1">
        <v>-9.5988969999999991</v>
      </c>
      <c r="U2753" s="1">
        <v>7.0359999999999996</v>
      </c>
      <c r="V2753" s="1">
        <v>90</v>
      </c>
      <c r="W2753" s="1">
        <v>159</v>
      </c>
      <c r="X2753" s="1">
        <v>1.7666666666666666</v>
      </c>
      <c r="Y2753" s="1">
        <v>99</v>
      </c>
      <c r="Z2753" s="1">
        <v>159</v>
      </c>
      <c r="AA2753" s="1">
        <v>1.606060606060606</v>
      </c>
      <c r="AB2753" s="1">
        <v>97.244170291462297</v>
      </c>
      <c r="AC2753" s="1">
        <v>159.60862633862229</v>
      </c>
      <c r="AD2753" s="1">
        <v>1.6413181978954616</v>
      </c>
      <c r="AE2753" t="s">
        <v>4817</v>
      </c>
      <c r="AF2753" t="str">
        <f>IF(X2753&lt;$AF$1,"Bajo","Alto")</f>
        <v>Bajo</v>
      </c>
      <c r="AG2753" t="str">
        <f>LEFT(AE2753,1)</f>
        <v>C</v>
      </c>
      <c r="AH2753" t="str">
        <f>K2753</f>
        <v>M</v>
      </c>
      <c r="AI2753" t="str">
        <f>LEFT(AF2753,1)</f>
        <v>B</v>
      </c>
      <c r="AJ2753" t="str">
        <f>LEFT(M2753,1)</f>
        <v>J</v>
      </c>
      <c r="AK2753" t="str">
        <f>_xlfn.CONCAT(AG2753,AH2753,AI2753,AJ2753)</f>
        <v>CMBJ</v>
      </c>
    </row>
    <row r="2754" spans="1:37" ht="15.75" hidden="1" customHeight="1" x14ac:dyDescent="0.2">
      <c r="A2754" s="1">
        <v>291007</v>
      </c>
      <c r="B2754" s="1" t="s">
        <v>3890</v>
      </c>
      <c r="C2754" s="1" t="s">
        <v>1695</v>
      </c>
      <c r="D2754" s="1" t="s">
        <v>3918</v>
      </c>
      <c r="E2754" s="1" t="s">
        <v>75</v>
      </c>
      <c r="F2754" s="1" t="s">
        <v>43</v>
      </c>
      <c r="G2754" s="1" t="s">
        <v>3921</v>
      </c>
      <c r="H2754" s="1">
        <v>43</v>
      </c>
      <c r="I2754" s="1" t="s">
        <v>134</v>
      </c>
      <c r="J2754" s="1">
        <v>8</v>
      </c>
      <c r="K2754" s="1" t="s">
        <v>49</v>
      </c>
      <c r="L2754" s="1">
        <v>45</v>
      </c>
      <c r="M2754" s="1" t="str">
        <f>IF(L2754&lt;=45,"Joven","Mayor")</f>
        <v>Joven</v>
      </c>
      <c r="N2754" s="1">
        <v>63</v>
      </c>
      <c r="O2754" s="1" t="s">
        <v>50</v>
      </c>
      <c r="P2754" s="1">
        <v>0.35399999999999998</v>
      </c>
      <c r="Q2754" s="1">
        <v>92.721999999999994</v>
      </c>
      <c r="R2754" s="1">
        <v>2.7440958000000002</v>
      </c>
      <c r="S2754" s="1">
        <v>3.5444119999999999</v>
      </c>
      <c r="T2754" s="1">
        <v>-3.5875811999999998</v>
      </c>
      <c r="U2754" s="1">
        <v>20.134</v>
      </c>
      <c r="V2754" s="1">
        <v>99</v>
      </c>
      <c r="W2754" s="1">
        <v>175</v>
      </c>
      <c r="X2754" s="1">
        <v>1.7676767676767677</v>
      </c>
      <c r="Y2754" s="1">
        <v>101</v>
      </c>
      <c r="Z2754" s="1">
        <v>175</v>
      </c>
      <c r="AA2754" s="1">
        <v>1.7326732673267327</v>
      </c>
      <c r="AB2754" s="1">
        <v>101.55925582129881</v>
      </c>
      <c r="AC2754" s="1">
        <v>174.71962928043919</v>
      </c>
      <c r="AD2754" s="1">
        <v>1.7203713031126537</v>
      </c>
      <c r="AE2754" t="s">
        <v>4817</v>
      </c>
      <c r="AF2754" t="str">
        <f>IF(X2754&lt;$AF$1,"Bajo","Alto")</f>
        <v>Bajo</v>
      </c>
      <c r="AG2754" t="str">
        <f>LEFT(AE2754,1)</f>
        <v>C</v>
      </c>
      <c r="AH2754" t="str">
        <f>K2754</f>
        <v>F</v>
      </c>
      <c r="AI2754" t="str">
        <f>LEFT(AF2754,1)</f>
        <v>B</v>
      </c>
      <c r="AJ2754" t="str">
        <f>LEFT(M2754,1)</f>
        <v>J</v>
      </c>
      <c r="AK2754" t="str">
        <f>_xlfn.CONCAT(AG2754,AH2754,AI2754,AJ2754)</f>
        <v>CFBJ</v>
      </c>
    </row>
    <row r="2755" spans="1:37" ht="15.75" hidden="1" customHeight="1" x14ac:dyDescent="0.2">
      <c r="A2755" s="1">
        <v>522004</v>
      </c>
      <c r="B2755" s="1" t="s">
        <v>4529</v>
      </c>
      <c r="C2755" s="1" t="s">
        <v>685</v>
      </c>
      <c r="D2755" s="1" t="s">
        <v>4558</v>
      </c>
      <c r="E2755" s="1" t="s">
        <v>1983</v>
      </c>
      <c r="F2755" s="1" t="s">
        <v>61</v>
      </c>
      <c r="G2755" s="1" t="s">
        <v>4562</v>
      </c>
      <c r="H2755" s="1">
        <v>1505</v>
      </c>
      <c r="I2755" s="1" t="s">
        <v>48</v>
      </c>
      <c r="J2755" s="1">
        <v>4</v>
      </c>
      <c r="K2755" s="1" t="s">
        <v>35</v>
      </c>
      <c r="L2755" s="1">
        <v>59</v>
      </c>
      <c r="M2755" s="1" t="str">
        <f>IF(L2755&lt;=45,"Joven","Mayor")</f>
        <v>Mayor</v>
      </c>
      <c r="N2755" s="1">
        <v>71</v>
      </c>
      <c r="O2755" s="1" t="s">
        <v>36</v>
      </c>
      <c r="P2755" s="1">
        <v>0.877</v>
      </c>
      <c r="Q2755" s="1">
        <v>88.102999999999994</v>
      </c>
      <c r="R2755" s="1">
        <v>6.7682419999999999</v>
      </c>
      <c r="S2755" s="1">
        <v>-3.1993100000000001</v>
      </c>
      <c r="T2755" s="1">
        <v>4.7596283000000001</v>
      </c>
      <c r="U2755" s="1">
        <v>2.4780000000000002</v>
      </c>
      <c r="V2755" s="1">
        <v>87</v>
      </c>
      <c r="W2755" s="1">
        <v>154</v>
      </c>
      <c r="X2755" s="1">
        <v>1.7701149425287357</v>
      </c>
      <c r="Y2755" s="1">
        <v>98</v>
      </c>
      <c r="Z2755" s="1">
        <v>154</v>
      </c>
      <c r="AA2755" s="1">
        <v>1.5714285714285714</v>
      </c>
      <c r="AB2755" s="1">
        <v>95.089808225424122</v>
      </c>
      <c r="AC2755" s="1">
        <v>155.1284557175932</v>
      </c>
      <c r="AD2755" s="1">
        <v>1.6313888797613179</v>
      </c>
      <c r="AE2755" t="s">
        <v>4817</v>
      </c>
      <c r="AF2755" t="str">
        <f>IF(X2755&lt;$AF$1,"Bajo","Alto")</f>
        <v>Alto</v>
      </c>
      <c r="AG2755" t="str">
        <f>LEFT(AE2755,1)</f>
        <v>C</v>
      </c>
      <c r="AH2755" t="str">
        <f>K2755</f>
        <v>M</v>
      </c>
      <c r="AI2755" t="str">
        <f>LEFT(AF2755,1)</f>
        <v>A</v>
      </c>
      <c r="AJ2755" t="str">
        <f>LEFT(M2755,1)</f>
        <v>M</v>
      </c>
      <c r="AK2755" t="str">
        <f>_xlfn.CONCAT(AG2755,AH2755,AI2755,AJ2755)</f>
        <v>CMAM</v>
      </c>
    </row>
    <row r="2756" spans="1:37" ht="15.75" hidden="1" customHeight="1" x14ac:dyDescent="0.2">
      <c r="A2756" s="1">
        <v>232502</v>
      </c>
      <c r="B2756" s="1" t="s">
        <v>319</v>
      </c>
      <c r="C2756" s="1" t="s">
        <v>1989</v>
      </c>
      <c r="D2756" s="1" t="s">
        <v>3006</v>
      </c>
      <c r="E2756" s="1" t="s">
        <v>821</v>
      </c>
      <c r="F2756" s="1" t="s">
        <v>37</v>
      </c>
      <c r="G2756" s="1" t="s">
        <v>3007</v>
      </c>
      <c r="H2756" s="1">
        <v>1847</v>
      </c>
      <c r="I2756" s="1" t="s">
        <v>65</v>
      </c>
      <c r="J2756" s="1">
        <v>2</v>
      </c>
      <c r="K2756" s="1" t="s">
        <v>35</v>
      </c>
      <c r="L2756" s="1">
        <v>42</v>
      </c>
      <c r="M2756" s="1" t="str">
        <f>IF(L2756&lt;=45,"Joven","Mayor")</f>
        <v>Joven</v>
      </c>
      <c r="N2756" s="1">
        <v>44</v>
      </c>
      <c r="O2756" s="1" t="s">
        <v>36</v>
      </c>
      <c r="P2756" s="1">
        <v>0.28799999999999998</v>
      </c>
      <c r="Q2756" s="1">
        <v>91.756</v>
      </c>
      <c r="R2756" s="1">
        <v>4.1912479999999999</v>
      </c>
      <c r="S2756" s="1">
        <v>-2.6606078000000002</v>
      </c>
      <c r="T2756" s="1">
        <v>0.79038790000000003</v>
      </c>
      <c r="U2756" s="1">
        <v>2.6469999999999998</v>
      </c>
      <c r="V2756" s="1">
        <v>103</v>
      </c>
      <c r="W2756" s="1">
        <v>182</v>
      </c>
      <c r="X2756" s="1">
        <v>1.766990291262136</v>
      </c>
      <c r="Y2756" s="1">
        <v>106</v>
      </c>
      <c r="Z2756" s="1">
        <v>182</v>
      </c>
      <c r="AA2756" s="1">
        <v>1.7169811320754718</v>
      </c>
      <c r="AB2756" s="1">
        <v>105.3691648242759</v>
      </c>
      <c r="AC2756" s="1">
        <v>182.06544971587979</v>
      </c>
      <c r="AD2756" s="1">
        <v>1.7278816816998621</v>
      </c>
      <c r="AE2756" t="s">
        <v>4817</v>
      </c>
      <c r="AF2756" t="str">
        <f>IF(X2756&lt;$AF$1,"Bajo","Alto")</f>
        <v>Bajo</v>
      </c>
      <c r="AG2756" t="str">
        <f>LEFT(AE2756,1)</f>
        <v>C</v>
      </c>
      <c r="AH2756" t="str">
        <f>K2756</f>
        <v>M</v>
      </c>
      <c r="AI2756" t="str">
        <f>LEFT(AF2756,1)</f>
        <v>B</v>
      </c>
      <c r="AJ2756" t="str">
        <f>LEFT(M2756,1)</f>
        <v>J</v>
      </c>
      <c r="AK2756" t="str">
        <f>_xlfn.CONCAT(AG2756,AH2756,AI2756,AJ2756)</f>
        <v>CMBJ</v>
      </c>
    </row>
    <row r="2757" spans="1:37" ht="15.75" hidden="1" customHeight="1" x14ac:dyDescent="0.2">
      <c r="A2757" s="1">
        <v>524404</v>
      </c>
      <c r="B2757" s="1" t="s">
        <v>4529</v>
      </c>
      <c r="C2757" s="1" t="s">
        <v>685</v>
      </c>
      <c r="D2757" s="1" t="s">
        <v>4614</v>
      </c>
      <c r="E2757" s="1" t="s">
        <v>995</v>
      </c>
      <c r="F2757" s="1" t="s">
        <v>61</v>
      </c>
      <c r="G2757" s="1" t="s">
        <v>4617</v>
      </c>
      <c r="H2757" s="1">
        <v>2208</v>
      </c>
      <c r="I2757" s="1" t="s">
        <v>91</v>
      </c>
      <c r="J2757" s="1">
        <v>6</v>
      </c>
      <c r="K2757" s="1" t="s">
        <v>35</v>
      </c>
      <c r="L2757" s="1">
        <v>44</v>
      </c>
      <c r="M2757" s="1" t="str">
        <f>IF(L2757&lt;=45,"Joven","Mayor")</f>
        <v>Joven</v>
      </c>
      <c r="N2757" s="1">
        <v>60</v>
      </c>
      <c r="O2757" s="1" t="s">
        <v>36</v>
      </c>
      <c r="P2757" s="1">
        <v>0.191</v>
      </c>
      <c r="Q2757" s="1">
        <v>88.486000000000004</v>
      </c>
      <c r="R2757" s="1">
        <v>-7.265326</v>
      </c>
      <c r="S2757" s="1">
        <v>-0.38236419999999999</v>
      </c>
      <c r="T2757" s="1">
        <v>4.0853185999999999</v>
      </c>
      <c r="U2757" s="1">
        <v>2.1680000000000001</v>
      </c>
      <c r="V2757" s="1">
        <v>106</v>
      </c>
      <c r="W2757" s="1">
        <v>188</v>
      </c>
      <c r="X2757" s="1">
        <v>1.7735849056603774</v>
      </c>
      <c r="Y2757" s="1">
        <v>107</v>
      </c>
      <c r="Z2757" s="1">
        <v>188</v>
      </c>
      <c r="AA2757" s="1">
        <v>1.7570093457943925</v>
      </c>
      <c r="AB2757" s="1">
        <v>108.72281956147251</v>
      </c>
      <c r="AC2757" s="1">
        <v>187.02361226037971</v>
      </c>
      <c r="AD2757" s="1">
        <v>1.7201872892436854</v>
      </c>
      <c r="AE2757" t="s">
        <v>4817</v>
      </c>
      <c r="AF2757" t="str">
        <f>IF(X2757&lt;$AF$1,"Bajo","Alto")</f>
        <v>Alto</v>
      </c>
      <c r="AG2757" t="str">
        <f>LEFT(AE2757,1)</f>
        <v>C</v>
      </c>
      <c r="AH2757" t="str">
        <f>K2757</f>
        <v>M</v>
      </c>
      <c r="AI2757" t="str">
        <f>LEFT(AF2757,1)</f>
        <v>A</v>
      </c>
      <c r="AJ2757" t="str">
        <f>LEFT(M2757,1)</f>
        <v>J</v>
      </c>
      <c r="AK2757" t="str">
        <f>_xlfn.CONCAT(AG2757,AH2757,AI2757,AJ2757)</f>
        <v>CMAJ</v>
      </c>
    </row>
    <row r="2758" spans="1:37" ht="15.75" hidden="1" customHeight="1" x14ac:dyDescent="0.2">
      <c r="A2758" s="1">
        <v>10120806</v>
      </c>
      <c r="B2758" s="1" t="s">
        <v>29</v>
      </c>
      <c r="C2758" s="1" t="s">
        <v>30</v>
      </c>
      <c r="D2758" s="1" t="s">
        <v>377</v>
      </c>
      <c r="E2758" s="1" t="s">
        <v>378</v>
      </c>
      <c r="F2758" s="1" t="s">
        <v>88</v>
      </c>
      <c r="G2758" s="1" t="s">
        <v>382</v>
      </c>
      <c r="H2758" s="1">
        <v>1662</v>
      </c>
      <c r="I2758" s="1" t="s">
        <v>383</v>
      </c>
      <c r="J2758" s="1">
        <v>3804</v>
      </c>
      <c r="K2758" s="1" t="s">
        <v>35</v>
      </c>
      <c r="L2758" s="1">
        <v>56</v>
      </c>
      <c r="M2758" s="1" t="str">
        <f>IF(L2758&lt;=45,"Joven","Mayor")</f>
        <v>Mayor</v>
      </c>
      <c r="N2758" s="1">
        <v>73</v>
      </c>
      <c r="O2758" s="1" t="s">
        <v>36</v>
      </c>
      <c r="P2758" s="1">
        <v>0.29199999999999998</v>
      </c>
      <c r="Q2758" s="1">
        <v>87.134</v>
      </c>
      <c r="R2758" s="1">
        <v>6.3250647000000004</v>
      </c>
      <c r="S2758" s="1">
        <v>7.1970020000000003</v>
      </c>
      <c r="T2758" s="1">
        <v>-7.5594787999999999</v>
      </c>
      <c r="U2758" s="1">
        <v>2.7730000000000001</v>
      </c>
      <c r="V2758" s="1">
        <v>52</v>
      </c>
      <c r="W2758" s="1">
        <v>92</v>
      </c>
      <c r="X2758" s="1">
        <v>1.7692307692307692</v>
      </c>
      <c r="Y2758" s="1">
        <v>57</v>
      </c>
      <c r="Z2758" s="1">
        <v>92</v>
      </c>
      <c r="AA2758" s="1">
        <v>1.6140350877192982</v>
      </c>
      <c r="AB2758" s="1">
        <v>55.757829974931838</v>
      </c>
      <c r="AC2758" s="1">
        <v>92.51596557485027</v>
      </c>
      <c r="AD2758" s="1">
        <v>1.6592461653626858</v>
      </c>
      <c r="AE2758" t="s">
        <v>4817</v>
      </c>
      <c r="AF2758" t="str">
        <f>IF(X2758&lt;$AF$1,"Bajo","Alto")</f>
        <v>Alto</v>
      </c>
      <c r="AG2758" t="str">
        <f>LEFT(AE2758,1)</f>
        <v>C</v>
      </c>
      <c r="AH2758" t="str">
        <f>K2758</f>
        <v>M</v>
      </c>
      <c r="AI2758" t="str">
        <f>LEFT(AF2758,1)</f>
        <v>A</v>
      </c>
      <c r="AJ2758" t="str">
        <f>LEFT(M2758,1)</f>
        <v>M</v>
      </c>
      <c r="AK2758" t="str">
        <f>_xlfn.CONCAT(AG2758,AH2758,AI2758,AJ2758)</f>
        <v>CMAM</v>
      </c>
    </row>
    <row r="2759" spans="1:37" ht="15.75" hidden="1" customHeight="1" x14ac:dyDescent="0.2">
      <c r="A2759" s="1">
        <v>10111504</v>
      </c>
      <c r="B2759" s="1" t="s">
        <v>29</v>
      </c>
      <c r="C2759" s="1" t="s">
        <v>30</v>
      </c>
      <c r="D2759" s="1" t="s">
        <v>111</v>
      </c>
      <c r="E2759" s="1" t="s">
        <v>112</v>
      </c>
      <c r="F2759" s="1" t="s">
        <v>61</v>
      </c>
      <c r="G2759" s="1" t="s">
        <v>117</v>
      </c>
      <c r="H2759" s="1">
        <v>27</v>
      </c>
      <c r="I2759" s="1" t="s">
        <v>118</v>
      </c>
      <c r="J2759" s="1">
        <v>4237</v>
      </c>
      <c r="K2759" s="1" t="s">
        <v>35</v>
      </c>
      <c r="L2759" s="1">
        <v>45</v>
      </c>
      <c r="M2759" s="1" t="str">
        <f>IF(L2759&lt;=45,"Joven","Mayor")</f>
        <v>Joven</v>
      </c>
      <c r="N2759" s="1">
        <v>50</v>
      </c>
      <c r="O2759" s="1" t="s">
        <v>36</v>
      </c>
      <c r="P2759" s="1">
        <v>0.32200000000000001</v>
      </c>
      <c r="Q2759" s="1">
        <v>65.703000000000003</v>
      </c>
      <c r="R2759" s="1">
        <v>13.607218</v>
      </c>
      <c r="S2759" s="1">
        <v>2.657724</v>
      </c>
      <c r="T2759" s="1">
        <v>-4.3152010000000001</v>
      </c>
      <c r="U2759" s="1">
        <v>87.191000000000003</v>
      </c>
      <c r="V2759" s="1">
        <v>99</v>
      </c>
      <c r="W2759" s="1">
        <v>175</v>
      </c>
      <c r="X2759" s="1">
        <v>1.7676767676767677</v>
      </c>
      <c r="Y2759" s="1">
        <v>101</v>
      </c>
      <c r="Z2759" s="1">
        <v>175</v>
      </c>
      <c r="AA2759" s="1">
        <v>1.7326732673267327</v>
      </c>
      <c r="AB2759" s="1">
        <v>101.57860022056821</v>
      </c>
      <c r="AC2759" s="1">
        <v>174.3534244823154</v>
      </c>
      <c r="AD2759" s="1">
        <v>1.7164385422099107</v>
      </c>
      <c r="AE2759" t="s">
        <v>4817</v>
      </c>
      <c r="AF2759" t="str">
        <f>IF(X2759&lt;$AF$1,"Bajo","Alto")</f>
        <v>Bajo</v>
      </c>
      <c r="AG2759" t="str">
        <f>LEFT(AE2759,1)</f>
        <v>C</v>
      </c>
      <c r="AH2759" t="str">
        <f>K2759</f>
        <v>M</v>
      </c>
      <c r="AI2759" t="str">
        <f>LEFT(AF2759,1)</f>
        <v>B</v>
      </c>
      <c r="AJ2759" t="str">
        <f>LEFT(M2759,1)</f>
        <v>J</v>
      </c>
      <c r="AK2759" t="str">
        <f>_xlfn.CONCAT(AG2759,AH2759,AI2759,AJ2759)</f>
        <v>CMBJ</v>
      </c>
    </row>
    <row r="2760" spans="1:37" ht="15.75" hidden="1" customHeight="1" x14ac:dyDescent="0.2">
      <c r="A2760" s="1">
        <v>481008</v>
      </c>
      <c r="B2760" s="1" t="s">
        <v>4465</v>
      </c>
      <c r="C2760" s="1" t="s">
        <v>2650</v>
      </c>
      <c r="D2760" s="1" t="s">
        <v>4496</v>
      </c>
      <c r="E2760" s="1" t="s">
        <v>75</v>
      </c>
      <c r="F2760" s="1" t="s">
        <v>46</v>
      </c>
      <c r="G2760" s="1" t="s">
        <v>4499</v>
      </c>
      <c r="H2760" s="1">
        <v>15525</v>
      </c>
      <c r="I2760" s="1" t="s">
        <v>4500</v>
      </c>
      <c r="J2760" s="1">
        <v>3505</v>
      </c>
      <c r="K2760" s="1" t="s">
        <v>35</v>
      </c>
      <c r="L2760" s="1">
        <v>27</v>
      </c>
      <c r="M2760" s="1" t="str">
        <f>IF(L2760&lt;=45,"Joven","Mayor")</f>
        <v>Joven</v>
      </c>
      <c r="N2760" s="1">
        <v>29</v>
      </c>
      <c r="O2760" s="1" t="s">
        <v>36</v>
      </c>
      <c r="P2760" s="1">
        <v>0.42899999999999999</v>
      </c>
      <c r="Q2760" s="1">
        <v>92.116</v>
      </c>
      <c r="R2760" s="1">
        <v>3.3581051999999998</v>
      </c>
      <c r="S2760" s="1">
        <v>3.8834759999999999</v>
      </c>
      <c r="T2760" s="1">
        <v>-3.8823940000000001</v>
      </c>
      <c r="U2760" s="1">
        <v>17.172999999999998</v>
      </c>
      <c r="V2760" s="1">
        <v>99</v>
      </c>
      <c r="W2760" s="1">
        <v>175</v>
      </c>
      <c r="X2760" s="1">
        <v>1.7676767676767677</v>
      </c>
      <c r="Y2760" s="1">
        <v>103</v>
      </c>
      <c r="Z2760" s="1">
        <v>175</v>
      </c>
      <c r="AA2760" s="1">
        <v>1.6990291262135921</v>
      </c>
      <c r="AB2760" s="1">
        <v>105.94593822976439</v>
      </c>
      <c r="AC2760" s="1">
        <v>174.19214574109171</v>
      </c>
      <c r="AD2760" s="1">
        <v>1.6441606790372854</v>
      </c>
      <c r="AE2760" t="s">
        <v>4817</v>
      </c>
      <c r="AF2760" t="str">
        <f>IF(X2760&lt;$AF$1,"Bajo","Alto")</f>
        <v>Bajo</v>
      </c>
      <c r="AG2760" t="str">
        <f>LEFT(AE2760,1)</f>
        <v>C</v>
      </c>
      <c r="AH2760" t="str">
        <f>K2760</f>
        <v>M</v>
      </c>
      <c r="AI2760" t="str">
        <f>LEFT(AF2760,1)</f>
        <v>B</v>
      </c>
      <c r="AJ2760" t="str">
        <f>LEFT(M2760,1)</f>
        <v>J</v>
      </c>
      <c r="AK2760" t="str">
        <f>_xlfn.CONCAT(AG2760,AH2760,AI2760,AJ2760)</f>
        <v>CMBJ</v>
      </c>
    </row>
    <row r="2761" spans="1:37" ht="15.75" hidden="1" customHeight="1" x14ac:dyDescent="0.2">
      <c r="A2761" s="1">
        <v>1055904</v>
      </c>
      <c r="B2761" s="1" t="s">
        <v>694</v>
      </c>
      <c r="C2761" s="1" t="s">
        <v>879</v>
      </c>
      <c r="D2761" s="1" t="s">
        <v>1004</v>
      </c>
      <c r="E2761" s="1" t="s">
        <v>1005</v>
      </c>
      <c r="F2761" s="1" t="s">
        <v>61</v>
      </c>
      <c r="G2761" s="1" t="s">
        <v>1006</v>
      </c>
      <c r="H2761" s="1">
        <v>3980</v>
      </c>
      <c r="I2761" s="1" t="s">
        <v>134</v>
      </c>
      <c r="J2761" s="1">
        <v>8</v>
      </c>
      <c r="K2761" s="1" t="s">
        <v>49</v>
      </c>
      <c r="L2761" s="1">
        <v>51</v>
      </c>
      <c r="M2761" s="1" t="str">
        <f>IF(L2761&lt;=45,"Joven","Mayor")</f>
        <v>Mayor</v>
      </c>
      <c r="N2761" s="1">
        <v>39</v>
      </c>
      <c r="O2761" s="1" t="s">
        <v>50</v>
      </c>
      <c r="P2761" s="1">
        <v>0.17100000000000001</v>
      </c>
      <c r="Q2761" s="1">
        <v>92.95</v>
      </c>
      <c r="R2761" s="1">
        <v>2.5048642000000001</v>
      </c>
      <c r="S2761" s="1">
        <v>3.5282809999999998</v>
      </c>
      <c r="T2761" s="1">
        <v>0.22241369</v>
      </c>
      <c r="U2761" s="1">
        <v>22.978000000000002</v>
      </c>
      <c r="V2761" s="1">
        <v>93</v>
      </c>
      <c r="W2761" s="1">
        <v>164</v>
      </c>
      <c r="X2761" s="1">
        <v>1.7634408602150538</v>
      </c>
      <c r="Y2761" s="1">
        <v>96</v>
      </c>
      <c r="Z2761" s="1">
        <v>164</v>
      </c>
      <c r="AA2761" s="1">
        <v>1.7083333333333333</v>
      </c>
      <c r="AB2761" s="1">
        <v>96.189486930713883</v>
      </c>
      <c r="AC2761" s="1">
        <v>163.991000679634</v>
      </c>
      <c r="AD2761" s="1">
        <v>1.7048744713417396</v>
      </c>
      <c r="AE2761" t="s">
        <v>4817</v>
      </c>
      <c r="AF2761" t="str">
        <f>IF(X2761&lt;$AF$1,"Bajo","Alto")</f>
        <v>Bajo</v>
      </c>
      <c r="AG2761" t="str">
        <f>LEFT(AE2761,1)</f>
        <v>C</v>
      </c>
      <c r="AH2761" t="str">
        <f>K2761</f>
        <v>F</v>
      </c>
      <c r="AI2761" t="str">
        <f>LEFT(AF2761,1)</f>
        <v>B</v>
      </c>
      <c r="AJ2761" t="str">
        <f>LEFT(M2761,1)</f>
        <v>M</v>
      </c>
      <c r="AK2761" t="str">
        <f>_xlfn.CONCAT(AG2761,AH2761,AI2761,AJ2761)</f>
        <v>CFBM</v>
      </c>
    </row>
    <row r="2762" spans="1:37" ht="15.75" hidden="1" customHeight="1" x14ac:dyDescent="0.2">
      <c r="A2762" s="1">
        <v>524104</v>
      </c>
      <c r="B2762" s="1" t="s">
        <v>4529</v>
      </c>
      <c r="C2762" s="1" t="s">
        <v>685</v>
      </c>
      <c r="D2762" s="1" t="s">
        <v>4604</v>
      </c>
      <c r="E2762" s="1" t="s">
        <v>988</v>
      </c>
      <c r="F2762" s="1" t="s">
        <v>61</v>
      </c>
      <c r="G2762" s="1" t="s">
        <v>4606</v>
      </c>
      <c r="H2762" s="1">
        <v>257</v>
      </c>
      <c r="I2762" s="1" t="s">
        <v>73</v>
      </c>
      <c r="J2762" s="1">
        <v>5</v>
      </c>
      <c r="K2762" s="1" t="s">
        <v>35</v>
      </c>
      <c r="L2762" s="1">
        <v>61</v>
      </c>
      <c r="M2762" s="1" t="str">
        <f>IF(L2762&lt;=45,"Joven","Mayor")</f>
        <v>Mayor</v>
      </c>
      <c r="N2762" s="1">
        <v>64</v>
      </c>
      <c r="O2762" s="1" t="s">
        <v>36</v>
      </c>
      <c r="P2762" s="1">
        <v>0.39500000000000002</v>
      </c>
      <c r="Q2762" s="1">
        <v>85.001000000000005</v>
      </c>
      <c r="R2762" s="1">
        <v>-8.319903</v>
      </c>
      <c r="S2762" s="1">
        <v>3.9600681999999998</v>
      </c>
      <c r="T2762" s="1">
        <v>9.6124679999999998</v>
      </c>
      <c r="U2762" s="1">
        <v>3.2149999999999999</v>
      </c>
      <c r="V2762" s="1">
        <v>86</v>
      </c>
      <c r="W2762" s="1">
        <v>152</v>
      </c>
      <c r="X2762" s="1">
        <v>1.7674418604651163</v>
      </c>
      <c r="Y2762" s="1">
        <v>94</v>
      </c>
      <c r="Z2762" s="1">
        <v>152</v>
      </c>
      <c r="AA2762" s="1">
        <v>1.6170212765957446</v>
      </c>
      <c r="AB2762" s="1">
        <v>91.805834955065166</v>
      </c>
      <c r="AC2762" s="1">
        <v>151.3687277101526</v>
      </c>
      <c r="AD2762" s="1">
        <v>1.6487920161527945</v>
      </c>
      <c r="AE2762" t="s">
        <v>4817</v>
      </c>
      <c r="AF2762" t="str">
        <f>IF(X2762&lt;$AF$1,"Bajo","Alto")</f>
        <v>Bajo</v>
      </c>
      <c r="AG2762" t="str">
        <f>LEFT(AE2762,1)</f>
        <v>C</v>
      </c>
      <c r="AH2762" t="str">
        <f>K2762</f>
        <v>M</v>
      </c>
      <c r="AI2762" t="str">
        <f>LEFT(AF2762,1)</f>
        <v>B</v>
      </c>
      <c r="AJ2762" t="str">
        <f>LEFT(M2762,1)</f>
        <v>M</v>
      </c>
      <c r="AK2762" t="str">
        <f>_xlfn.CONCAT(AG2762,AH2762,AI2762,AJ2762)</f>
        <v>CMBM</v>
      </c>
    </row>
    <row r="2763" spans="1:37" ht="15.75" hidden="1" customHeight="1" x14ac:dyDescent="0.2">
      <c r="A2763" s="1">
        <v>192801</v>
      </c>
      <c r="B2763" s="1" t="s">
        <v>2656</v>
      </c>
      <c r="C2763" s="1" t="s">
        <v>323</v>
      </c>
      <c r="D2763" s="1" t="s">
        <v>2696</v>
      </c>
      <c r="E2763" s="1" t="s">
        <v>561</v>
      </c>
      <c r="F2763" s="1" t="s">
        <v>32</v>
      </c>
      <c r="G2763" s="1" t="s">
        <v>2697</v>
      </c>
      <c r="H2763" s="1">
        <v>1606</v>
      </c>
      <c r="I2763" s="1" t="s">
        <v>100</v>
      </c>
      <c r="J2763" s="1">
        <v>1</v>
      </c>
      <c r="K2763" s="1" t="s">
        <v>35</v>
      </c>
      <c r="L2763" s="1">
        <v>47</v>
      </c>
      <c r="M2763" s="1" t="str">
        <f>IF(L2763&lt;=45,"Joven","Mayor")</f>
        <v>Mayor</v>
      </c>
      <c r="N2763" s="1">
        <v>42</v>
      </c>
      <c r="O2763" s="1" t="s">
        <v>36</v>
      </c>
      <c r="P2763" s="1">
        <v>6.7000000000000004E-2</v>
      </c>
      <c r="Q2763" s="1">
        <v>86.605000000000004</v>
      </c>
      <c r="R2763" s="1">
        <v>7.9565225000000002</v>
      </c>
      <c r="S2763" s="1">
        <v>2.4166634</v>
      </c>
      <c r="T2763" s="1">
        <v>-4.6735686999999997</v>
      </c>
      <c r="U2763" s="1">
        <v>19.327000000000002</v>
      </c>
      <c r="V2763" s="1">
        <v>99</v>
      </c>
      <c r="W2763" s="1">
        <v>175</v>
      </c>
      <c r="X2763" s="1">
        <v>1.7676767676767677</v>
      </c>
      <c r="Y2763" s="1">
        <v>105</v>
      </c>
      <c r="Z2763" s="1">
        <v>175</v>
      </c>
      <c r="AA2763" s="1">
        <v>1.6666666666666667</v>
      </c>
      <c r="AB2763" s="1">
        <v>102.66329108733269</v>
      </c>
      <c r="AC2763" s="1">
        <v>174.74405396679779</v>
      </c>
      <c r="AD2763" s="1">
        <v>1.7021084373590565</v>
      </c>
      <c r="AE2763" t="s">
        <v>4817</v>
      </c>
      <c r="AF2763" t="str">
        <f>IF(X2763&lt;$AF$1,"Bajo","Alto")</f>
        <v>Bajo</v>
      </c>
      <c r="AG2763" t="str">
        <f>LEFT(AE2763,1)</f>
        <v>C</v>
      </c>
      <c r="AH2763" t="str">
        <f>K2763</f>
        <v>M</v>
      </c>
      <c r="AI2763" t="str">
        <f>LEFT(AF2763,1)</f>
        <v>B</v>
      </c>
      <c r="AJ2763" t="str">
        <f>LEFT(M2763,1)</f>
        <v>M</v>
      </c>
      <c r="AK2763" t="str">
        <f>_xlfn.CONCAT(AG2763,AH2763,AI2763,AJ2763)</f>
        <v>CMBM</v>
      </c>
    </row>
    <row r="2764" spans="1:37" ht="15.75" hidden="1" customHeight="1" x14ac:dyDescent="0.2">
      <c r="A2764" s="1">
        <v>171702</v>
      </c>
      <c r="B2764" s="1" t="s">
        <v>2551</v>
      </c>
      <c r="C2764" s="1" t="s">
        <v>2552</v>
      </c>
      <c r="D2764" s="1" t="s">
        <v>2592</v>
      </c>
      <c r="E2764" s="1" t="s">
        <v>2552</v>
      </c>
      <c r="F2764" s="1" t="s">
        <v>37</v>
      </c>
      <c r="G2764" s="1" t="s">
        <v>2594</v>
      </c>
      <c r="H2764" s="1">
        <v>1922</v>
      </c>
      <c r="I2764" s="1" t="s">
        <v>2595</v>
      </c>
      <c r="J2764" s="1">
        <v>2208</v>
      </c>
      <c r="K2764" s="1" t="s">
        <v>35</v>
      </c>
      <c r="L2764" s="1">
        <v>38</v>
      </c>
      <c r="M2764" s="1" t="str">
        <f>IF(L2764&lt;=45,"Joven","Mayor")</f>
        <v>Joven</v>
      </c>
      <c r="N2764" s="1">
        <v>33</v>
      </c>
      <c r="O2764" s="1" t="s">
        <v>36</v>
      </c>
      <c r="P2764" s="1">
        <v>0.26500000000000001</v>
      </c>
      <c r="Q2764" s="1">
        <v>87.018000000000001</v>
      </c>
      <c r="R2764" s="1">
        <v>7.784923</v>
      </c>
      <c r="S2764" s="1">
        <v>-1.9786408</v>
      </c>
      <c r="T2764" s="1">
        <v>-9.4200239999999997</v>
      </c>
      <c r="U2764" s="1">
        <v>1.0089999999999999</v>
      </c>
      <c r="V2764" s="1">
        <v>82</v>
      </c>
      <c r="W2764" s="1">
        <v>145</v>
      </c>
      <c r="X2764" s="1">
        <v>1.7682926829268293</v>
      </c>
      <c r="Y2764" s="1">
        <v>87</v>
      </c>
      <c r="Z2764" s="1">
        <v>145</v>
      </c>
      <c r="AA2764" s="1">
        <v>1.6666666666666667</v>
      </c>
      <c r="AB2764" s="1">
        <v>87.932073756256614</v>
      </c>
      <c r="AC2764" s="1">
        <v>144.02670257214689</v>
      </c>
      <c r="AD2764" s="1">
        <v>1.6379313761140426</v>
      </c>
      <c r="AE2764" t="s">
        <v>4817</v>
      </c>
      <c r="AF2764" t="str">
        <f>IF(X2764&lt;$AF$1,"Bajo","Alto")</f>
        <v>Bajo</v>
      </c>
      <c r="AG2764" t="str">
        <f>LEFT(AE2764,1)</f>
        <v>C</v>
      </c>
      <c r="AH2764" t="str">
        <f>K2764</f>
        <v>M</v>
      </c>
      <c r="AI2764" t="str">
        <f>LEFT(AF2764,1)</f>
        <v>B</v>
      </c>
      <c r="AJ2764" t="str">
        <f>LEFT(M2764,1)</f>
        <v>J</v>
      </c>
      <c r="AK2764" t="str">
        <f>_xlfn.CONCAT(AG2764,AH2764,AI2764,AJ2764)</f>
        <v>CMBJ</v>
      </c>
    </row>
    <row r="2765" spans="1:37" ht="15.75" hidden="1" customHeight="1" x14ac:dyDescent="0.2">
      <c r="A2765" s="1">
        <v>154602</v>
      </c>
      <c r="B2765" s="1" t="s">
        <v>2077</v>
      </c>
      <c r="C2765" s="1" t="s">
        <v>57</v>
      </c>
      <c r="D2765" s="1" t="s">
        <v>2464</v>
      </c>
      <c r="E2765" s="1" t="s">
        <v>669</v>
      </c>
      <c r="F2765" s="1" t="s">
        <v>37</v>
      </c>
      <c r="G2765" s="1" t="s">
        <v>2466</v>
      </c>
      <c r="H2765" s="1">
        <v>6163</v>
      </c>
      <c r="I2765" s="1" t="s">
        <v>85</v>
      </c>
      <c r="J2765" s="1">
        <v>12</v>
      </c>
      <c r="K2765" s="1" t="s">
        <v>35</v>
      </c>
      <c r="L2765" s="1">
        <v>37</v>
      </c>
      <c r="M2765" s="1" t="str">
        <f>IF(L2765&lt;=45,"Joven","Mayor")</f>
        <v>Joven</v>
      </c>
      <c r="N2765" s="1">
        <v>42</v>
      </c>
      <c r="O2765" s="1" t="s">
        <v>36</v>
      </c>
      <c r="P2765" s="1">
        <v>0.25600000000000001</v>
      </c>
      <c r="Q2765" s="1">
        <v>83.6</v>
      </c>
      <c r="R2765" s="1">
        <v>9.4106470000000009</v>
      </c>
      <c r="S2765" s="1">
        <v>1.3302902000000001</v>
      </c>
      <c r="T2765" s="1">
        <v>-4.8826112999999998</v>
      </c>
      <c r="U2765" s="1">
        <v>0.245</v>
      </c>
      <c r="V2765" s="1">
        <v>107</v>
      </c>
      <c r="W2765" s="1">
        <v>190</v>
      </c>
      <c r="X2765" s="1">
        <v>1.7757009345794392</v>
      </c>
      <c r="Y2765" s="1">
        <v>110</v>
      </c>
      <c r="Z2765" s="1">
        <v>190</v>
      </c>
      <c r="AA2765" s="1">
        <v>1.7272727272727273</v>
      </c>
      <c r="AB2765" s="1">
        <v>114.1970141528595</v>
      </c>
      <c r="AC2765" s="1">
        <v>189.73609565529799</v>
      </c>
      <c r="AD2765" s="1">
        <v>1.6614803553560948</v>
      </c>
      <c r="AE2765" t="s">
        <v>4815</v>
      </c>
      <c r="AF2765" t="str">
        <f>IF(X2765&lt;$AF$1,"Bajo","Alto")</f>
        <v>Alto</v>
      </c>
      <c r="AG2765" t="str">
        <f>LEFT(AE2765,1)</f>
        <v>I</v>
      </c>
      <c r="AH2765" t="str">
        <f>K2765</f>
        <v>M</v>
      </c>
      <c r="AI2765" t="str">
        <f>LEFT(AF2765,1)</f>
        <v>A</v>
      </c>
      <c r="AJ2765" t="str">
        <f>LEFT(M2765,1)</f>
        <v>J</v>
      </c>
      <c r="AK2765" t="str">
        <f>_xlfn.CONCAT(AG2765,AH2765,AI2765,AJ2765)</f>
        <v>IMAJ</v>
      </c>
    </row>
    <row r="2766" spans="1:37" ht="15.75" hidden="1" customHeight="1" x14ac:dyDescent="0.2">
      <c r="A2766" s="1">
        <v>10726202</v>
      </c>
      <c r="B2766" s="1" t="s">
        <v>1067</v>
      </c>
      <c r="C2766" s="1" t="s">
        <v>1068</v>
      </c>
      <c r="D2766" s="1" t="s">
        <v>1305</v>
      </c>
      <c r="E2766" s="1" t="s">
        <v>523</v>
      </c>
      <c r="F2766" s="1" t="s">
        <v>37</v>
      </c>
      <c r="G2766" s="1" t="s">
        <v>1307</v>
      </c>
      <c r="H2766" s="1">
        <v>557</v>
      </c>
      <c r="I2766" s="1" t="s">
        <v>1035</v>
      </c>
      <c r="J2766" s="1">
        <v>3247</v>
      </c>
      <c r="K2766" s="1" t="s">
        <v>35</v>
      </c>
      <c r="L2766" s="1">
        <v>39</v>
      </c>
      <c r="M2766" s="1" t="str">
        <f>IF(L2766&lt;=45,"Joven","Mayor")</f>
        <v>Joven</v>
      </c>
      <c r="N2766" s="1">
        <v>51</v>
      </c>
      <c r="O2766" s="1" t="s">
        <v>36</v>
      </c>
      <c r="P2766" s="1">
        <v>0.35399999999999998</v>
      </c>
      <c r="Q2766" s="1">
        <v>93.837999999999994</v>
      </c>
      <c r="R2766" s="1">
        <v>1.2164763000000001</v>
      </c>
      <c r="S2766" s="1">
        <v>2.9901399999999998</v>
      </c>
      <c r="T2766" s="1">
        <v>-2.9142112999999998</v>
      </c>
      <c r="U2766" s="1">
        <v>0.39500000000000002</v>
      </c>
      <c r="V2766" s="1">
        <v>88</v>
      </c>
      <c r="W2766" s="1">
        <v>156</v>
      </c>
      <c r="X2766" s="1">
        <v>1.7727272727272727</v>
      </c>
      <c r="Y2766" s="1">
        <v>90</v>
      </c>
      <c r="Z2766" s="1">
        <v>156</v>
      </c>
      <c r="AA2766" s="1">
        <v>1.7333333333333334</v>
      </c>
      <c r="AB2766" s="1">
        <v>90.021503940918137</v>
      </c>
      <c r="AC2766" s="1">
        <v>155.74741666559979</v>
      </c>
      <c r="AD2766" s="1">
        <v>1.7301134711970387</v>
      </c>
      <c r="AE2766" t="s">
        <v>4817</v>
      </c>
      <c r="AF2766" t="str">
        <f>IF(X2766&lt;$AF$1,"Bajo","Alto")</f>
        <v>Alto</v>
      </c>
      <c r="AG2766" t="str">
        <f>LEFT(AE2766,1)</f>
        <v>C</v>
      </c>
      <c r="AH2766" t="str">
        <f>K2766</f>
        <v>M</v>
      </c>
      <c r="AI2766" t="str">
        <f>LEFT(AF2766,1)</f>
        <v>A</v>
      </c>
      <c r="AJ2766" t="str">
        <f>LEFT(M2766,1)</f>
        <v>J</v>
      </c>
      <c r="AK2766" t="str">
        <f>_xlfn.CONCAT(AG2766,AH2766,AI2766,AJ2766)</f>
        <v>CMAJ</v>
      </c>
    </row>
    <row r="2767" spans="1:37" ht="15.75" hidden="1" customHeight="1" x14ac:dyDescent="0.2">
      <c r="A2767" s="1">
        <v>1529503</v>
      </c>
      <c r="B2767" s="1" t="s">
        <v>2077</v>
      </c>
      <c r="C2767" s="1" t="s">
        <v>57</v>
      </c>
      <c r="D2767" s="1" t="s">
        <v>2372</v>
      </c>
      <c r="E2767" s="1" t="s">
        <v>602</v>
      </c>
      <c r="F2767" s="1" t="s">
        <v>63</v>
      </c>
      <c r="G2767" s="1" t="s">
        <v>2373</v>
      </c>
      <c r="H2767" s="1">
        <v>12</v>
      </c>
      <c r="I2767" s="1" t="s">
        <v>85</v>
      </c>
      <c r="J2767" s="1">
        <v>12</v>
      </c>
      <c r="K2767" s="1" t="s">
        <v>35</v>
      </c>
      <c r="L2767" s="1">
        <v>40</v>
      </c>
      <c r="M2767" s="1" t="str">
        <f>IF(L2767&lt;=45,"Joven","Mayor")</f>
        <v>Joven</v>
      </c>
      <c r="N2767" s="1">
        <v>40</v>
      </c>
      <c r="O2767" s="1" t="s">
        <v>36</v>
      </c>
      <c r="P2767" s="1">
        <v>1.083</v>
      </c>
      <c r="Q2767" s="1">
        <v>89.757000000000005</v>
      </c>
      <c r="R2767" s="1">
        <v>-4.8373713</v>
      </c>
      <c r="S2767" s="1">
        <v>5.6175889999999997</v>
      </c>
      <c r="T2767" s="1">
        <v>0.36034371999999998</v>
      </c>
      <c r="U2767" s="1">
        <v>45.344000000000001</v>
      </c>
      <c r="V2767" s="1">
        <v>102</v>
      </c>
      <c r="W2767" s="1">
        <v>181</v>
      </c>
      <c r="X2767" s="1">
        <v>1.7745098039215685</v>
      </c>
      <c r="Y2767" s="1">
        <v>103</v>
      </c>
      <c r="Z2767" s="1">
        <v>181</v>
      </c>
      <c r="AA2767" s="1">
        <v>1.7572815533980584</v>
      </c>
      <c r="AB2767" s="1">
        <v>102.677216696434</v>
      </c>
      <c r="AC2767" s="1">
        <v>181.00270953218751</v>
      </c>
      <c r="AD2767" s="1">
        <v>1.7628322558384442</v>
      </c>
      <c r="AE2767" t="s">
        <v>4815</v>
      </c>
      <c r="AF2767" t="str">
        <f>IF(X2767&lt;$AF$1,"Bajo","Alto")</f>
        <v>Alto</v>
      </c>
      <c r="AG2767" t="str">
        <f>LEFT(AE2767,1)</f>
        <v>I</v>
      </c>
      <c r="AH2767" t="str">
        <f>K2767</f>
        <v>M</v>
      </c>
      <c r="AI2767" t="str">
        <f>LEFT(AF2767,1)</f>
        <v>A</v>
      </c>
      <c r="AJ2767" t="str">
        <f>LEFT(M2767,1)</f>
        <v>J</v>
      </c>
      <c r="AK2767" t="str">
        <f>_xlfn.CONCAT(AG2767,AH2767,AI2767,AJ2767)</f>
        <v>IMAJ</v>
      </c>
    </row>
    <row r="2768" spans="1:37" ht="15.75" hidden="1" customHeight="1" x14ac:dyDescent="0.2">
      <c r="A2768" s="1">
        <v>1098202</v>
      </c>
      <c r="B2768" s="1" t="s">
        <v>719</v>
      </c>
      <c r="C2768" s="1" t="s">
        <v>98</v>
      </c>
      <c r="D2768" s="1" t="s">
        <v>1639</v>
      </c>
      <c r="E2768" s="1" t="s">
        <v>752</v>
      </c>
      <c r="F2768" s="1" t="s">
        <v>37</v>
      </c>
      <c r="G2768" s="1" t="s">
        <v>1641</v>
      </c>
      <c r="H2768" s="1">
        <v>311</v>
      </c>
      <c r="I2768" s="1" t="s">
        <v>65</v>
      </c>
      <c r="J2768" s="1">
        <v>2</v>
      </c>
      <c r="K2768" s="1" t="s">
        <v>35</v>
      </c>
      <c r="L2768" s="1">
        <v>36</v>
      </c>
      <c r="M2768" s="1" t="str">
        <f>IF(L2768&lt;=45,"Joven","Mayor")</f>
        <v>Joven</v>
      </c>
      <c r="N2768" s="1">
        <v>46</v>
      </c>
      <c r="O2768" s="1" t="s">
        <v>36</v>
      </c>
      <c r="P2768" s="1">
        <v>0.47</v>
      </c>
      <c r="Q2768" s="1">
        <v>94.007000000000005</v>
      </c>
      <c r="R2768" s="1">
        <v>-0.33321590000000001</v>
      </c>
      <c r="S2768" s="1">
        <v>4.0956239999999999</v>
      </c>
      <c r="T2768" s="1">
        <v>1.5653807</v>
      </c>
      <c r="U2768" s="1">
        <v>2.3980000000000001</v>
      </c>
      <c r="V2768" s="1">
        <v>66</v>
      </c>
      <c r="W2768" s="1">
        <v>117</v>
      </c>
      <c r="X2768" s="1">
        <v>1.7727272727272727</v>
      </c>
      <c r="Y2768" s="1">
        <v>70</v>
      </c>
      <c r="Z2768" s="1">
        <v>117</v>
      </c>
      <c r="AA2768" s="1">
        <v>1.6714285714285715</v>
      </c>
      <c r="AB2768" s="1">
        <v>69.154346784112704</v>
      </c>
      <c r="AC2768" s="1">
        <v>117.0109712951121</v>
      </c>
      <c r="AD2768" s="1">
        <v>1.6920262678555706</v>
      </c>
      <c r="AE2768" t="s">
        <v>4817</v>
      </c>
      <c r="AF2768" t="str">
        <f>IF(X2768&lt;$AF$1,"Bajo","Alto")</f>
        <v>Alto</v>
      </c>
      <c r="AG2768" t="str">
        <f>LEFT(AE2768,1)</f>
        <v>C</v>
      </c>
      <c r="AH2768" t="str">
        <f>K2768</f>
        <v>M</v>
      </c>
      <c r="AI2768" t="str">
        <f>LEFT(AF2768,1)</f>
        <v>A</v>
      </c>
      <c r="AJ2768" t="str">
        <f>LEFT(M2768,1)</f>
        <v>J</v>
      </c>
      <c r="AK2768" t="str">
        <f>_xlfn.CONCAT(AG2768,AH2768,AI2768,AJ2768)</f>
        <v>CMAJ</v>
      </c>
    </row>
    <row r="2769" spans="1:37" ht="15.75" hidden="1" customHeight="1" x14ac:dyDescent="0.2">
      <c r="A2769" s="1">
        <v>10124403</v>
      </c>
      <c r="B2769" s="1" t="s">
        <v>29</v>
      </c>
      <c r="C2769" s="1" t="s">
        <v>30</v>
      </c>
      <c r="D2769" s="1" t="s">
        <v>490</v>
      </c>
      <c r="E2769" s="1" t="s">
        <v>491</v>
      </c>
      <c r="F2769" s="1" t="s">
        <v>63</v>
      </c>
      <c r="G2769" s="1" t="s">
        <v>494</v>
      </c>
      <c r="H2769" s="1">
        <v>4845</v>
      </c>
      <c r="I2769" s="1" t="s">
        <v>495</v>
      </c>
      <c r="J2769" s="1">
        <v>491</v>
      </c>
      <c r="K2769" s="1" t="s">
        <v>35</v>
      </c>
      <c r="L2769" s="1">
        <v>39</v>
      </c>
      <c r="M2769" s="1" t="str">
        <f>IF(L2769&lt;=45,"Joven","Mayor")</f>
        <v>Joven</v>
      </c>
      <c r="N2769" s="1">
        <v>44</v>
      </c>
      <c r="O2769" s="1" t="s">
        <v>36</v>
      </c>
      <c r="P2769" s="1">
        <v>0.35299999999999998</v>
      </c>
      <c r="Q2769" s="1">
        <v>84.840999999999994</v>
      </c>
      <c r="R2769" s="1">
        <v>6.6830553999999998</v>
      </c>
      <c r="S2769" s="1">
        <v>9.4713580000000004</v>
      </c>
      <c r="T2769" s="1">
        <v>-3.2969810000000002</v>
      </c>
      <c r="U2769" s="1">
        <v>8.0890000000000004</v>
      </c>
      <c r="V2769" s="1">
        <v>92</v>
      </c>
      <c r="W2769" s="1">
        <v>163</v>
      </c>
      <c r="X2769" s="1">
        <v>1.7717391304347827</v>
      </c>
      <c r="Y2769" s="1">
        <v>97</v>
      </c>
      <c r="Z2769" s="1">
        <v>163</v>
      </c>
      <c r="AA2769" s="1">
        <v>1.6804123711340206</v>
      </c>
      <c r="AB2769" s="1">
        <v>94.481481957931237</v>
      </c>
      <c r="AC2769" s="1">
        <v>162.96025597413291</v>
      </c>
      <c r="AD2769" s="1">
        <v>1.724785138813683</v>
      </c>
      <c r="AE2769" t="s">
        <v>4817</v>
      </c>
      <c r="AF2769" t="str">
        <f>IF(X2769&lt;$AF$1,"Bajo","Alto")</f>
        <v>Alto</v>
      </c>
      <c r="AG2769" t="str">
        <f>LEFT(AE2769,1)</f>
        <v>C</v>
      </c>
      <c r="AH2769" t="str">
        <f>K2769</f>
        <v>M</v>
      </c>
      <c r="AI2769" t="str">
        <f>LEFT(AF2769,1)</f>
        <v>A</v>
      </c>
      <c r="AJ2769" t="str">
        <f>LEFT(M2769,1)</f>
        <v>J</v>
      </c>
      <c r="AK2769" t="str">
        <f>_xlfn.CONCAT(AG2769,AH2769,AI2769,AJ2769)</f>
        <v>CMAJ</v>
      </c>
    </row>
    <row r="2770" spans="1:37" ht="15.75" hidden="1" customHeight="1" x14ac:dyDescent="0.2">
      <c r="A2770" s="1">
        <v>2716906</v>
      </c>
      <c r="B2770" s="1" t="s">
        <v>3409</v>
      </c>
      <c r="C2770" s="1" t="s">
        <v>973</v>
      </c>
      <c r="D2770" s="1" t="s">
        <v>3548</v>
      </c>
      <c r="E2770" s="1" t="s">
        <v>279</v>
      </c>
      <c r="F2770" s="1" t="s">
        <v>88</v>
      </c>
      <c r="G2770" s="1" t="s">
        <v>3553</v>
      </c>
      <c r="H2770" s="1">
        <v>571</v>
      </c>
      <c r="I2770" s="1" t="s">
        <v>93</v>
      </c>
      <c r="J2770" s="1">
        <v>9</v>
      </c>
      <c r="K2770" s="1" t="s">
        <v>35</v>
      </c>
      <c r="L2770" s="1">
        <v>33</v>
      </c>
      <c r="M2770" s="1" t="str">
        <f>IF(L2770&lt;=45,"Joven","Mayor")</f>
        <v>Joven</v>
      </c>
      <c r="N2770" s="1">
        <v>34</v>
      </c>
      <c r="O2770" s="1" t="s">
        <v>36</v>
      </c>
      <c r="P2770" s="1">
        <v>0.23499999999999999</v>
      </c>
      <c r="Q2770" s="1">
        <v>27.13</v>
      </c>
      <c r="R2770" s="1">
        <v>18.559100000000001</v>
      </c>
      <c r="S2770" s="1">
        <v>6.2666544999999996</v>
      </c>
      <c r="T2770" s="1">
        <v>-4.913017</v>
      </c>
      <c r="U2770" s="1">
        <v>61.398000000000003</v>
      </c>
      <c r="V2770" s="1">
        <v>127</v>
      </c>
      <c r="W2770" s="1">
        <v>225</v>
      </c>
      <c r="X2770" s="1">
        <v>1.7716535433070866</v>
      </c>
      <c r="Y2770" s="1">
        <v>132</v>
      </c>
      <c r="Z2770" s="1">
        <v>225</v>
      </c>
      <c r="AA2770" s="1">
        <v>1.7045454545454546</v>
      </c>
      <c r="AB2770" s="1">
        <v>131.84326817845161</v>
      </c>
      <c r="AC2770" s="1">
        <v>224.17331954603651</v>
      </c>
      <c r="AD2770" s="1">
        <v>1.7003015978230678</v>
      </c>
      <c r="AE2770" t="s">
        <v>4815</v>
      </c>
      <c r="AF2770" t="str">
        <f>IF(X2770&lt;$AF$1,"Bajo","Alto")</f>
        <v>Alto</v>
      </c>
      <c r="AG2770" t="str">
        <f>LEFT(AE2770,1)</f>
        <v>I</v>
      </c>
      <c r="AH2770" t="str">
        <f>K2770</f>
        <v>M</v>
      </c>
      <c r="AI2770" t="str">
        <f>LEFT(AF2770,1)</f>
        <v>A</v>
      </c>
      <c r="AJ2770" t="str">
        <f>LEFT(M2770,1)</f>
        <v>J</v>
      </c>
      <c r="AK2770" t="str">
        <f>_xlfn.CONCAT(AG2770,AH2770,AI2770,AJ2770)</f>
        <v>IMAJ</v>
      </c>
    </row>
    <row r="2771" spans="1:37" ht="15.75" hidden="1" customHeight="1" x14ac:dyDescent="0.2">
      <c r="A2771" s="1">
        <v>10121703</v>
      </c>
      <c r="B2771" s="1" t="s">
        <v>29</v>
      </c>
      <c r="C2771" s="1" t="s">
        <v>30</v>
      </c>
      <c r="D2771" s="1" t="s">
        <v>403</v>
      </c>
      <c r="E2771" s="1" t="s">
        <v>404</v>
      </c>
      <c r="F2771" s="1" t="s">
        <v>63</v>
      </c>
      <c r="G2771" s="1" t="s">
        <v>407</v>
      </c>
      <c r="H2771" s="1">
        <v>1624</v>
      </c>
      <c r="I2771" s="1" t="s">
        <v>65</v>
      </c>
      <c r="J2771" s="1">
        <v>2</v>
      </c>
      <c r="K2771" s="1" t="s">
        <v>35</v>
      </c>
      <c r="L2771" s="1">
        <v>43</v>
      </c>
      <c r="M2771" s="1" t="str">
        <f>IF(L2771&lt;=45,"Joven","Mayor")</f>
        <v>Joven</v>
      </c>
      <c r="N2771" s="1">
        <v>50</v>
      </c>
      <c r="O2771" s="1" t="s">
        <v>36</v>
      </c>
      <c r="P2771" s="1">
        <v>0.109</v>
      </c>
      <c r="Q2771" s="1">
        <v>83.795000000000002</v>
      </c>
      <c r="R2771" s="1">
        <v>-8.8942010000000007</v>
      </c>
      <c r="S2771" s="1">
        <v>3.9444606000000002</v>
      </c>
      <c r="T2771" s="1">
        <v>4.8778370000000004</v>
      </c>
      <c r="U2771" s="1">
        <v>2.484</v>
      </c>
      <c r="V2771" s="1">
        <v>118</v>
      </c>
      <c r="W2771" s="1">
        <v>209</v>
      </c>
      <c r="X2771" s="1">
        <v>1.771186440677966</v>
      </c>
      <c r="Y2771" s="1">
        <v>122</v>
      </c>
      <c r="Z2771" s="1">
        <v>209</v>
      </c>
      <c r="AA2771" s="1">
        <v>1.7131147540983607</v>
      </c>
      <c r="AB2771" s="1">
        <v>125.894755182208</v>
      </c>
      <c r="AC2771" s="1">
        <v>207.39274170921539</v>
      </c>
      <c r="AD2771" s="1">
        <v>1.6473501331255223</v>
      </c>
      <c r="AE2771" t="s">
        <v>4817</v>
      </c>
      <c r="AF2771" t="str">
        <f>IF(X2771&lt;$AF$1,"Bajo","Alto")</f>
        <v>Alto</v>
      </c>
      <c r="AG2771" t="str">
        <f>LEFT(AE2771,1)</f>
        <v>C</v>
      </c>
      <c r="AH2771" t="str">
        <f>K2771</f>
        <v>M</v>
      </c>
      <c r="AI2771" t="str">
        <f>LEFT(AF2771,1)</f>
        <v>A</v>
      </c>
      <c r="AJ2771" t="str">
        <f>LEFT(M2771,1)</f>
        <v>J</v>
      </c>
      <c r="AK2771" t="str">
        <f>_xlfn.CONCAT(AG2771,AH2771,AI2771,AJ2771)</f>
        <v>CMAJ</v>
      </c>
    </row>
    <row r="2772" spans="1:37" ht="15.75" hidden="1" customHeight="1" x14ac:dyDescent="0.2">
      <c r="A2772" s="1">
        <v>317003</v>
      </c>
      <c r="B2772" s="1" t="s">
        <v>4122</v>
      </c>
      <c r="C2772" s="1" t="s">
        <v>628</v>
      </c>
      <c r="D2772" s="1" t="s">
        <v>278</v>
      </c>
      <c r="E2772" s="1" t="s">
        <v>720</v>
      </c>
      <c r="F2772" s="1" t="s">
        <v>63</v>
      </c>
      <c r="G2772" s="1" t="s">
        <v>4251</v>
      </c>
      <c r="H2772" s="1">
        <v>2797</v>
      </c>
      <c r="I2772" s="1" t="s">
        <v>65</v>
      </c>
      <c r="J2772" s="1">
        <v>2</v>
      </c>
      <c r="K2772" s="1" t="s">
        <v>49</v>
      </c>
      <c r="L2772" s="1">
        <v>34</v>
      </c>
      <c r="M2772" s="1" t="str">
        <f>IF(L2772&lt;=45,"Joven","Mayor")</f>
        <v>Joven</v>
      </c>
      <c r="N2772" s="1">
        <v>38</v>
      </c>
      <c r="O2772" s="1" t="s">
        <v>50</v>
      </c>
      <c r="P2772" s="1">
        <v>0.32600000000000001</v>
      </c>
      <c r="Q2772" s="1">
        <v>94.468000000000004</v>
      </c>
      <c r="R2772" s="1">
        <v>4.4655774000000002E-2</v>
      </c>
      <c r="S2772" s="1">
        <v>2.7406166000000001</v>
      </c>
      <c r="T2772" s="1">
        <v>-3.0475135</v>
      </c>
      <c r="U2772" s="1">
        <v>60.6</v>
      </c>
      <c r="V2772" s="1">
        <v>99</v>
      </c>
      <c r="W2772" s="1">
        <v>175</v>
      </c>
      <c r="X2772" s="1">
        <v>1.7676767676767677</v>
      </c>
      <c r="Y2772" s="1">
        <v>101</v>
      </c>
      <c r="Z2772" s="1">
        <v>175</v>
      </c>
      <c r="AA2772" s="1">
        <v>1.7326732673267327</v>
      </c>
      <c r="AB2772" s="1">
        <v>103.67486052189911</v>
      </c>
      <c r="AC2772" s="1">
        <v>174.59302120262279</v>
      </c>
      <c r="AD2772" s="1">
        <v>1.6840439458873806</v>
      </c>
      <c r="AE2772" t="s">
        <v>4817</v>
      </c>
      <c r="AF2772" t="str">
        <f>IF(X2772&lt;$AF$1,"Bajo","Alto")</f>
        <v>Bajo</v>
      </c>
      <c r="AG2772" t="str">
        <f>LEFT(AE2772,1)</f>
        <v>C</v>
      </c>
      <c r="AH2772" t="str">
        <f>K2772</f>
        <v>F</v>
      </c>
      <c r="AI2772" t="str">
        <f>LEFT(AF2772,1)</f>
        <v>B</v>
      </c>
      <c r="AJ2772" t="str">
        <f>LEFT(M2772,1)</f>
        <v>J</v>
      </c>
      <c r="AK2772" t="str">
        <f>_xlfn.CONCAT(AG2772,AH2772,AI2772,AJ2772)</f>
        <v>CFBJ</v>
      </c>
    </row>
    <row r="2773" spans="1:37" ht="15.75" hidden="1" customHeight="1" x14ac:dyDescent="0.2">
      <c r="A2773" s="1">
        <v>1057305</v>
      </c>
      <c r="B2773" s="1" t="s">
        <v>694</v>
      </c>
      <c r="C2773" s="1" t="s">
        <v>879</v>
      </c>
      <c r="D2773" s="1" t="s">
        <v>1020</v>
      </c>
      <c r="E2773" s="1" t="s">
        <v>1021</v>
      </c>
      <c r="F2773" s="1" t="s">
        <v>40</v>
      </c>
      <c r="G2773" s="1" t="s">
        <v>1023</v>
      </c>
      <c r="H2773" s="1">
        <v>0</v>
      </c>
      <c r="I2773" s="1" t="s">
        <v>108</v>
      </c>
      <c r="J2773" s="1">
        <v>3</v>
      </c>
      <c r="K2773" s="1" t="s">
        <v>35</v>
      </c>
      <c r="L2773" s="1">
        <v>25</v>
      </c>
      <c r="M2773" s="1" t="str">
        <f>IF(L2773&lt;=45,"Joven","Mayor")</f>
        <v>Joven</v>
      </c>
      <c r="N2773" s="1">
        <v>32</v>
      </c>
      <c r="O2773" s="1" t="s">
        <v>36</v>
      </c>
      <c r="P2773" s="1">
        <v>0.36199999999999999</v>
      </c>
      <c r="Q2773" s="1">
        <v>93.995000000000005</v>
      </c>
      <c r="R2773" s="1">
        <v>1.3767433</v>
      </c>
      <c r="S2773" s="1">
        <v>-1.7895557</v>
      </c>
      <c r="T2773" s="1">
        <v>-2.8877446999999998</v>
      </c>
      <c r="U2773" s="1">
        <v>15.092000000000001</v>
      </c>
      <c r="V2773" s="1">
        <v>83</v>
      </c>
      <c r="W2773" s="1">
        <v>147</v>
      </c>
      <c r="X2773" s="1">
        <v>1.7710843373493976</v>
      </c>
      <c r="Y2773" s="1">
        <v>86</v>
      </c>
      <c r="Z2773" s="1">
        <v>147</v>
      </c>
      <c r="AA2773" s="1">
        <v>1.7093023255813953</v>
      </c>
      <c r="AB2773" s="1">
        <v>87.956345427983024</v>
      </c>
      <c r="AC2773" s="1">
        <v>146.81333292196001</v>
      </c>
      <c r="AD2773" s="1">
        <v>1.6691613573482083</v>
      </c>
      <c r="AE2773" t="s">
        <v>4817</v>
      </c>
      <c r="AF2773" t="str">
        <f>IF(X2773&lt;$AF$1,"Bajo","Alto")</f>
        <v>Alto</v>
      </c>
      <c r="AG2773" t="str">
        <f>LEFT(AE2773,1)</f>
        <v>C</v>
      </c>
      <c r="AH2773" t="str">
        <f>K2773</f>
        <v>M</v>
      </c>
      <c r="AI2773" t="str">
        <f>LEFT(AF2773,1)</f>
        <v>A</v>
      </c>
      <c r="AJ2773" t="str">
        <f>LEFT(M2773,1)</f>
        <v>J</v>
      </c>
      <c r="AK2773" t="str">
        <f>_xlfn.CONCAT(AG2773,AH2773,AI2773,AJ2773)</f>
        <v>CMAJ</v>
      </c>
    </row>
    <row r="2774" spans="1:37" ht="15.75" hidden="1" customHeight="1" x14ac:dyDescent="0.2">
      <c r="A2774" s="1">
        <v>112807</v>
      </c>
      <c r="B2774" s="1" t="s">
        <v>1648</v>
      </c>
      <c r="C2774" s="1" t="s">
        <v>51</v>
      </c>
      <c r="D2774" s="1" t="s">
        <v>1689</v>
      </c>
      <c r="E2774" s="1" t="s">
        <v>561</v>
      </c>
      <c r="F2774" s="1" t="s">
        <v>43</v>
      </c>
      <c r="G2774" s="1" t="s">
        <v>1692</v>
      </c>
      <c r="H2774" s="1">
        <v>4409</v>
      </c>
      <c r="I2774" s="1" t="s">
        <v>1693</v>
      </c>
      <c r="J2774" s="1">
        <v>3955</v>
      </c>
      <c r="K2774" s="1" t="s">
        <v>35</v>
      </c>
      <c r="L2774" s="1">
        <v>43</v>
      </c>
      <c r="M2774" s="1" t="str">
        <f>IF(L2774&lt;=45,"Joven","Mayor")</f>
        <v>Joven</v>
      </c>
      <c r="N2774" s="1">
        <v>29</v>
      </c>
      <c r="O2774" s="1" t="s">
        <v>36</v>
      </c>
      <c r="P2774" s="1">
        <v>0.35899999999999999</v>
      </c>
      <c r="Q2774" s="1">
        <v>93.590999999999994</v>
      </c>
      <c r="R2774" s="1">
        <v>-0.70183264999999995</v>
      </c>
      <c r="S2774" s="1">
        <v>5.0756717</v>
      </c>
      <c r="T2774" s="1">
        <v>1.3919721</v>
      </c>
      <c r="U2774" s="1">
        <v>41.850999999999999</v>
      </c>
      <c r="V2774" s="1">
        <v>109</v>
      </c>
      <c r="W2774" s="1">
        <v>193</v>
      </c>
      <c r="X2774" s="1">
        <v>1.7706422018348624</v>
      </c>
      <c r="Y2774" s="1">
        <v>120</v>
      </c>
      <c r="Z2774" s="1">
        <v>193</v>
      </c>
      <c r="AA2774" s="1">
        <v>1.6083333333333334</v>
      </c>
      <c r="AB2774" s="1">
        <v>118.92002781150789</v>
      </c>
      <c r="AC2774" s="1">
        <v>193.23455160293631</v>
      </c>
      <c r="AD2774" s="1">
        <v>1.6249117592641278</v>
      </c>
      <c r="AE2774" t="s">
        <v>4817</v>
      </c>
      <c r="AF2774" t="str">
        <f>IF(X2774&lt;$AF$1,"Bajo","Alto")</f>
        <v>Alto</v>
      </c>
      <c r="AG2774" t="str">
        <f>LEFT(AE2774,1)</f>
        <v>C</v>
      </c>
      <c r="AH2774" t="str">
        <f>K2774</f>
        <v>M</v>
      </c>
      <c r="AI2774" t="str">
        <f>LEFT(AF2774,1)</f>
        <v>A</v>
      </c>
      <c r="AJ2774" t="str">
        <f>LEFT(M2774,1)</f>
        <v>J</v>
      </c>
      <c r="AK2774" t="str">
        <f>_xlfn.CONCAT(AG2774,AH2774,AI2774,AJ2774)</f>
        <v>CMAJ</v>
      </c>
    </row>
    <row r="2775" spans="1:37" ht="15.75" hidden="1" customHeight="1" x14ac:dyDescent="0.2">
      <c r="A2775" s="1">
        <v>1057902</v>
      </c>
      <c r="B2775" s="1" t="s">
        <v>694</v>
      </c>
      <c r="C2775" s="1" t="s">
        <v>879</v>
      </c>
      <c r="D2775" s="1" t="s">
        <v>1036</v>
      </c>
      <c r="E2775" s="1" t="s">
        <v>739</v>
      </c>
      <c r="F2775" s="1" t="s">
        <v>37</v>
      </c>
      <c r="G2775" s="1" t="s">
        <v>1038</v>
      </c>
      <c r="H2775" s="1">
        <v>174</v>
      </c>
      <c r="I2775" s="1" t="s">
        <v>87</v>
      </c>
      <c r="J2775" s="1">
        <v>14</v>
      </c>
      <c r="K2775" s="1" t="s">
        <v>35</v>
      </c>
      <c r="L2775" s="1">
        <v>63</v>
      </c>
      <c r="M2775" s="1" t="str">
        <f>IF(L2775&lt;=45,"Joven","Mayor")</f>
        <v>Mayor</v>
      </c>
      <c r="N2775" s="1">
        <v>59</v>
      </c>
      <c r="O2775" s="1" t="s">
        <v>36</v>
      </c>
      <c r="P2775" s="1">
        <v>3.4000000000000002E-2</v>
      </c>
      <c r="Q2775" s="1">
        <v>94.498999999999995</v>
      </c>
      <c r="R2775" s="1">
        <v>-0.8432714</v>
      </c>
      <c r="S2775" s="1">
        <v>-0.88907720000000001</v>
      </c>
      <c r="T2775" s="1">
        <v>-6.895823</v>
      </c>
      <c r="U2775" s="1">
        <v>10.692</v>
      </c>
      <c r="V2775" s="1">
        <v>91</v>
      </c>
      <c r="W2775" s="1">
        <v>161</v>
      </c>
      <c r="X2775" s="1">
        <v>1.7692307692307692</v>
      </c>
      <c r="Y2775" s="1">
        <v>94</v>
      </c>
      <c r="Z2775" s="1">
        <v>161</v>
      </c>
      <c r="AA2775" s="1">
        <v>1.7127659574468086</v>
      </c>
      <c r="AB2775" s="1">
        <v>95.384422370583934</v>
      </c>
      <c r="AC2775" s="1">
        <v>160.55572849115879</v>
      </c>
      <c r="AD2775" s="1">
        <v>1.6832489467449283</v>
      </c>
      <c r="AE2775" t="s">
        <v>4816</v>
      </c>
      <c r="AF2775" t="str">
        <f>IF(X2775&lt;$AF$1,"Bajo","Alto")</f>
        <v>Alto</v>
      </c>
      <c r="AG2775" t="str">
        <f>LEFT(AE2775,1)</f>
        <v>D</v>
      </c>
      <c r="AH2775" t="str">
        <f>K2775</f>
        <v>M</v>
      </c>
      <c r="AI2775" t="str">
        <f>LEFT(AF2775,1)</f>
        <v>A</v>
      </c>
      <c r="AJ2775" t="str">
        <f>LEFT(M2775,1)</f>
        <v>M</v>
      </c>
      <c r="AK2775" t="str">
        <f>_xlfn.CONCAT(AG2775,AH2775,AI2775,AJ2775)</f>
        <v>DMAM</v>
      </c>
    </row>
    <row r="2776" spans="1:37" ht="15.75" hidden="1" customHeight="1" x14ac:dyDescent="0.2">
      <c r="A2776" s="1">
        <v>230106</v>
      </c>
      <c r="B2776" s="1" t="s">
        <v>319</v>
      </c>
      <c r="C2776" s="1" t="s">
        <v>1989</v>
      </c>
      <c r="D2776" s="1" t="s">
        <v>2916</v>
      </c>
      <c r="E2776" s="1" t="s">
        <v>32</v>
      </c>
      <c r="F2776" s="1" t="s">
        <v>88</v>
      </c>
      <c r="G2776" s="1" t="s">
        <v>2919</v>
      </c>
      <c r="H2776" s="1">
        <v>57392</v>
      </c>
      <c r="I2776" s="1" t="s">
        <v>2920</v>
      </c>
      <c r="J2776" s="1">
        <v>3595</v>
      </c>
      <c r="K2776" s="1" t="s">
        <v>35</v>
      </c>
      <c r="L2776" s="1">
        <v>59</v>
      </c>
      <c r="M2776" s="1" t="str">
        <f>IF(L2776&lt;=45,"Joven","Mayor")</f>
        <v>Mayor</v>
      </c>
      <c r="N2776" s="1">
        <v>55</v>
      </c>
      <c r="O2776" s="1" t="s">
        <v>36</v>
      </c>
      <c r="P2776" s="1">
        <v>0.95699999999999996</v>
      </c>
      <c r="Q2776" s="1">
        <v>84.754999999999995</v>
      </c>
      <c r="R2776" s="1">
        <v>7.9032644999999997</v>
      </c>
      <c r="S2776" s="1">
        <v>5.600816</v>
      </c>
      <c r="T2776" s="1">
        <v>-3.1041534</v>
      </c>
      <c r="U2776" s="1">
        <v>2.2519999999999998</v>
      </c>
      <c r="V2776" s="1">
        <v>99</v>
      </c>
      <c r="W2776" s="1">
        <v>175</v>
      </c>
      <c r="X2776" s="1">
        <v>1.7676767676767677</v>
      </c>
      <c r="Y2776" s="1">
        <v>102</v>
      </c>
      <c r="Z2776" s="1">
        <v>175</v>
      </c>
      <c r="AA2776" s="1">
        <v>1.7156862745098038</v>
      </c>
      <c r="AB2776" s="1">
        <v>104.50374891146269</v>
      </c>
      <c r="AC2776" s="1">
        <v>174.68907961560629</v>
      </c>
      <c r="AD2776" s="1">
        <v>1.6716058651982502</v>
      </c>
      <c r="AE2776" t="s">
        <v>4817</v>
      </c>
      <c r="AF2776" t="str">
        <f>IF(X2776&lt;$AF$1,"Bajo","Alto")</f>
        <v>Bajo</v>
      </c>
      <c r="AG2776" t="str">
        <f>LEFT(AE2776,1)</f>
        <v>C</v>
      </c>
      <c r="AH2776" t="str">
        <f>K2776</f>
        <v>M</v>
      </c>
      <c r="AI2776" t="str">
        <f>LEFT(AF2776,1)</f>
        <v>B</v>
      </c>
      <c r="AJ2776" t="str">
        <f>LEFT(M2776,1)</f>
        <v>M</v>
      </c>
      <c r="AK2776" t="str">
        <f>_xlfn.CONCAT(AG2776,AH2776,AI2776,AJ2776)</f>
        <v>CMBM</v>
      </c>
    </row>
    <row r="2777" spans="1:37" ht="15.75" hidden="1" customHeight="1" x14ac:dyDescent="0.2">
      <c r="A2777" s="1">
        <v>10122304</v>
      </c>
      <c r="B2777" s="1" t="s">
        <v>29</v>
      </c>
      <c r="C2777" s="1" t="s">
        <v>30</v>
      </c>
      <c r="D2777" s="1" t="s">
        <v>422</v>
      </c>
      <c r="E2777" s="1" t="s">
        <v>423</v>
      </c>
      <c r="F2777" s="1" t="s">
        <v>61</v>
      </c>
      <c r="G2777" s="1" t="s">
        <v>427</v>
      </c>
      <c r="H2777" s="1">
        <v>1</v>
      </c>
      <c r="I2777" s="1" t="s">
        <v>108</v>
      </c>
      <c r="J2777" s="1">
        <v>3</v>
      </c>
      <c r="K2777" s="1" t="s">
        <v>35</v>
      </c>
      <c r="L2777" s="1">
        <v>33</v>
      </c>
      <c r="M2777" s="1" t="str">
        <f>IF(L2777&lt;=45,"Joven","Mayor")</f>
        <v>Joven</v>
      </c>
      <c r="N2777" s="1">
        <v>39</v>
      </c>
      <c r="O2777" s="1" t="s">
        <v>36</v>
      </c>
      <c r="P2777" s="1">
        <v>0.879</v>
      </c>
      <c r="Q2777" s="1">
        <v>85.381</v>
      </c>
      <c r="R2777" s="1">
        <v>6.2599299999999998</v>
      </c>
      <c r="S2777" s="1">
        <v>9.4712270000000007</v>
      </c>
      <c r="T2777" s="1">
        <v>-2.1969373000000001</v>
      </c>
      <c r="U2777" s="1">
        <v>9.8930000000000007</v>
      </c>
      <c r="V2777" s="1">
        <v>95</v>
      </c>
      <c r="W2777" s="1">
        <v>168</v>
      </c>
      <c r="X2777" s="1">
        <v>1.7684210526315789</v>
      </c>
      <c r="Y2777" s="1">
        <v>101</v>
      </c>
      <c r="Z2777" s="1">
        <v>168</v>
      </c>
      <c r="AA2777" s="1">
        <v>1.6633663366336633</v>
      </c>
      <c r="AB2777" s="1">
        <v>102.6891437989909</v>
      </c>
      <c r="AC2777" s="1">
        <v>167.72317687445869</v>
      </c>
      <c r="AD2777" s="1">
        <v>1.6333097216466115</v>
      </c>
      <c r="AE2777" t="s">
        <v>4817</v>
      </c>
      <c r="AF2777" t="str">
        <f>IF(X2777&lt;$AF$1,"Bajo","Alto")</f>
        <v>Bajo</v>
      </c>
      <c r="AG2777" t="str">
        <f>LEFT(AE2777,1)</f>
        <v>C</v>
      </c>
      <c r="AH2777" t="str">
        <f>K2777</f>
        <v>M</v>
      </c>
      <c r="AI2777" t="str">
        <f>LEFT(AF2777,1)</f>
        <v>B</v>
      </c>
      <c r="AJ2777" t="str">
        <f>LEFT(M2777,1)</f>
        <v>J</v>
      </c>
      <c r="AK2777" t="str">
        <f>_xlfn.CONCAT(AG2777,AH2777,AI2777,AJ2777)</f>
        <v>CMBJ</v>
      </c>
    </row>
    <row r="2778" spans="1:37" ht="15.75" hidden="1" customHeight="1" x14ac:dyDescent="0.2">
      <c r="A2778" s="1">
        <v>4654005</v>
      </c>
      <c r="B2778" s="1" t="s">
        <v>4382</v>
      </c>
      <c r="C2778" s="1" t="s">
        <v>669</v>
      </c>
      <c r="D2778" s="1" t="s">
        <v>4407</v>
      </c>
      <c r="E2778" s="1" t="s">
        <v>4408</v>
      </c>
      <c r="F2778" s="1" t="s">
        <v>40</v>
      </c>
      <c r="G2778" s="1" t="s">
        <v>4410</v>
      </c>
      <c r="H2778" s="1">
        <v>761</v>
      </c>
      <c r="I2778" s="1" t="s">
        <v>42</v>
      </c>
      <c r="J2778" s="1">
        <v>15</v>
      </c>
      <c r="K2778" s="1" t="s">
        <v>35</v>
      </c>
      <c r="L2778" s="1">
        <v>35</v>
      </c>
      <c r="M2778" s="1" t="str">
        <f>IF(L2778&lt;=45,"Joven","Mayor")</f>
        <v>Joven</v>
      </c>
      <c r="N2778" s="1">
        <v>29</v>
      </c>
      <c r="O2778" s="1" t="s">
        <v>36</v>
      </c>
      <c r="P2778" s="1">
        <v>0.59499999999999997</v>
      </c>
      <c r="Q2778" s="1">
        <v>91.983999999999995</v>
      </c>
      <c r="R2778" s="1">
        <v>1.5380518000000001</v>
      </c>
      <c r="S2778" s="1">
        <v>7.9582066999999999</v>
      </c>
      <c r="T2778" s="1">
        <v>-6.6388764</v>
      </c>
      <c r="U2778" s="1">
        <v>1.35</v>
      </c>
      <c r="V2778" s="1">
        <v>87</v>
      </c>
      <c r="W2778" s="1">
        <v>154</v>
      </c>
      <c r="X2778" s="1">
        <v>1.7701149425287357</v>
      </c>
      <c r="Y2778" s="1">
        <v>95</v>
      </c>
      <c r="Z2778" s="1">
        <v>154</v>
      </c>
      <c r="AA2778" s="1">
        <v>1.6210526315789473</v>
      </c>
      <c r="AB2778" s="1">
        <v>91.965960944528888</v>
      </c>
      <c r="AC2778" s="1">
        <v>155.04836131739921</v>
      </c>
      <c r="AD2778" s="1">
        <v>1.6859320527398147</v>
      </c>
      <c r="AE2778" t="s">
        <v>4817</v>
      </c>
      <c r="AF2778" t="str">
        <f>IF(X2778&lt;$AF$1,"Bajo","Alto")</f>
        <v>Alto</v>
      </c>
      <c r="AG2778" t="str">
        <f>LEFT(AE2778,1)</f>
        <v>C</v>
      </c>
      <c r="AH2778" t="str">
        <f>K2778</f>
        <v>M</v>
      </c>
      <c r="AI2778" t="str">
        <f>LEFT(AF2778,1)</f>
        <v>A</v>
      </c>
      <c r="AJ2778" t="str">
        <f>LEFT(M2778,1)</f>
        <v>J</v>
      </c>
      <c r="AK2778" t="str">
        <f>_xlfn.CONCAT(AG2778,AH2778,AI2778,AJ2778)</f>
        <v>CMAJ</v>
      </c>
    </row>
    <row r="2779" spans="1:37" ht="15.75" hidden="1" customHeight="1" x14ac:dyDescent="0.2">
      <c r="A2779" s="1">
        <v>171601</v>
      </c>
      <c r="B2779" s="1" t="s">
        <v>2551</v>
      </c>
      <c r="C2779" s="1" t="s">
        <v>2552</v>
      </c>
      <c r="D2779" s="1" t="s">
        <v>2584</v>
      </c>
      <c r="E2779" s="1" t="s">
        <v>244</v>
      </c>
      <c r="F2779" s="1" t="s">
        <v>32</v>
      </c>
      <c r="G2779" s="1" t="s">
        <v>2585</v>
      </c>
      <c r="H2779" s="1">
        <v>345</v>
      </c>
      <c r="I2779" s="1" t="s">
        <v>65</v>
      </c>
      <c r="J2779" s="1">
        <v>2</v>
      </c>
      <c r="K2779" s="1" t="s">
        <v>49</v>
      </c>
      <c r="L2779" s="1">
        <v>25</v>
      </c>
      <c r="M2779" s="1" t="str">
        <f>IF(L2779&lt;=45,"Joven","Mayor")</f>
        <v>Joven</v>
      </c>
      <c r="N2779" s="1">
        <v>26</v>
      </c>
      <c r="O2779" s="1" t="s">
        <v>50</v>
      </c>
      <c r="P2779" s="1">
        <v>0.36899999999999999</v>
      </c>
      <c r="Q2779" s="1">
        <v>92.480999999999995</v>
      </c>
      <c r="R2779" s="1">
        <v>-3.3709055999999999</v>
      </c>
      <c r="S2779" s="1">
        <v>-2.5757984999999999</v>
      </c>
      <c r="T2779" s="1">
        <v>-6.4364780000000001</v>
      </c>
      <c r="U2779" s="1">
        <v>1.784</v>
      </c>
      <c r="V2779" s="1">
        <v>69</v>
      </c>
      <c r="W2779" s="1">
        <v>122</v>
      </c>
      <c r="X2779" s="1">
        <v>1.7681159420289856</v>
      </c>
      <c r="Y2779" s="1">
        <v>74</v>
      </c>
      <c r="Z2779" s="1">
        <v>122</v>
      </c>
      <c r="AA2779" s="1">
        <v>1.6486486486486487</v>
      </c>
      <c r="AB2779" s="1">
        <v>72.937038256296319</v>
      </c>
      <c r="AC2779" s="1">
        <v>122.8004259201753</v>
      </c>
      <c r="AD2779" s="1">
        <v>1.6836497458076385</v>
      </c>
      <c r="AE2779" t="s">
        <v>4817</v>
      </c>
      <c r="AF2779" t="str">
        <f>IF(X2779&lt;$AF$1,"Bajo","Alto")</f>
        <v>Bajo</v>
      </c>
      <c r="AG2779" t="str">
        <f>LEFT(AE2779,1)</f>
        <v>C</v>
      </c>
      <c r="AH2779" t="str">
        <f>K2779</f>
        <v>F</v>
      </c>
      <c r="AI2779" t="str">
        <f>LEFT(AF2779,1)</f>
        <v>B</v>
      </c>
      <c r="AJ2779" t="str">
        <f>LEFT(M2779,1)</f>
        <v>J</v>
      </c>
      <c r="AK2779" t="str">
        <f>_xlfn.CONCAT(AG2779,AH2779,AI2779,AJ2779)</f>
        <v>CFBJ</v>
      </c>
    </row>
    <row r="2780" spans="1:37" ht="15.75" hidden="1" customHeight="1" x14ac:dyDescent="0.2">
      <c r="A2780" s="1">
        <v>1012801</v>
      </c>
      <c r="B2780" s="1" t="s">
        <v>29</v>
      </c>
      <c r="C2780" s="1" t="s">
        <v>30</v>
      </c>
      <c r="D2780" s="1" t="s">
        <v>560</v>
      </c>
      <c r="E2780" s="1" t="s">
        <v>561</v>
      </c>
      <c r="F2780" s="1" t="s">
        <v>32</v>
      </c>
      <c r="G2780" s="1" t="s">
        <v>562</v>
      </c>
      <c r="H2780" s="1">
        <v>2915</v>
      </c>
      <c r="I2780" s="1" t="s">
        <v>100</v>
      </c>
      <c r="J2780" s="1">
        <v>1</v>
      </c>
      <c r="K2780" s="1" t="s">
        <v>35</v>
      </c>
      <c r="L2780" s="1">
        <v>61</v>
      </c>
      <c r="M2780" s="1" t="str">
        <f>IF(L2780&lt;=45,"Joven","Mayor")</f>
        <v>Mayor</v>
      </c>
      <c r="N2780" s="1">
        <v>62</v>
      </c>
      <c r="O2780" s="1" t="s">
        <v>36</v>
      </c>
      <c r="P2780" s="1">
        <v>0.29799999999999999</v>
      </c>
      <c r="Q2780" s="1">
        <v>80.572000000000003</v>
      </c>
      <c r="R2780" s="1">
        <v>9.1667249999999996</v>
      </c>
      <c r="S2780" s="1">
        <v>7.5272573999999999</v>
      </c>
      <c r="T2780" s="1">
        <v>-12.865841</v>
      </c>
      <c r="U2780" s="1">
        <v>5.1349999999999998</v>
      </c>
      <c r="V2780" s="1">
        <v>82</v>
      </c>
      <c r="W2780" s="1">
        <v>145</v>
      </c>
      <c r="X2780" s="1">
        <v>1.7682926829268293</v>
      </c>
      <c r="Y2780" s="1">
        <v>89</v>
      </c>
      <c r="Z2780" s="1">
        <v>145</v>
      </c>
      <c r="AA2780" s="1">
        <v>1.6292134831460674</v>
      </c>
      <c r="AB2780" s="1">
        <v>90.629426768317444</v>
      </c>
      <c r="AC2780" s="1">
        <v>143.58633673070739</v>
      </c>
      <c r="AD2780" s="1">
        <v>1.584323567418864</v>
      </c>
      <c r="AE2780" t="s">
        <v>4817</v>
      </c>
      <c r="AF2780" t="str">
        <f>IF(X2780&lt;$AF$1,"Bajo","Alto")</f>
        <v>Bajo</v>
      </c>
      <c r="AG2780" t="str">
        <f>LEFT(AE2780,1)</f>
        <v>C</v>
      </c>
      <c r="AH2780" t="str">
        <f>K2780</f>
        <v>M</v>
      </c>
      <c r="AI2780" t="str">
        <f>LEFT(AF2780,1)</f>
        <v>B</v>
      </c>
      <c r="AJ2780" t="str">
        <f>LEFT(M2780,1)</f>
        <v>M</v>
      </c>
      <c r="AK2780" t="str">
        <f>_xlfn.CONCAT(AG2780,AH2780,AI2780,AJ2780)</f>
        <v>CMBM</v>
      </c>
    </row>
    <row r="2781" spans="1:37" ht="15.75" hidden="1" customHeight="1" x14ac:dyDescent="0.2">
      <c r="A2781" s="1">
        <v>480403</v>
      </c>
      <c r="B2781" s="1" t="s">
        <v>4465</v>
      </c>
      <c r="C2781" s="1" t="s">
        <v>2650</v>
      </c>
      <c r="D2781" s="1" t="s">
        <v>4473</v>
      </c>
      <c r="E2781" s="1" t="s">
        <v>61</v>
      </c>
      <c r="F2781" s="1" t="s">
        <v>63</v>
      </c>
      <c r="G2781" s="1" t="s">
        <v>4475</v>
      </c>
      <c r="H2781" s="1">
        <v>1003</v>
      </c>
      <c r="I2781" s="1" t="s">
        <v>4476</v>
      </c>
      <c r="J2781" s="1">
        <v>2783</v>
      </c>
      <c r="K2781" s="1" t="s">
        <v>35</v>
      </c>
      <c r="L2781" s="1">
        <v>50</v>
      </c>
      <c r="M2781" s="1" t="str">
        <f>IF(L2781&lt;=45,"Joven","Mayor")</f>
        <v>Mayor</v>
      </c>
      <c r="N2781" s="1">
        <v>56</v>
      </c>
      <c r="O2781" s="1" t="s">
        <v>36</v>
      </c>
      <c r="P2781" s="1">
        <v>0.13</v>
      </c>
      <c r="Q2781" s="1">
        <v>94.094999999999999</v>
      </c>
      <c r="R2781" s="1">
        <v>1.6349389999999999</v>
      </c>
      <c r="S2781" s="1">
        <v>0.73725485999999996</v>
      </c>
      <c r="T2781" s="1">
        <v>-7.5197086000000004</v>
      </c>
      <c r="U2781" s="1">
        <v>1.5329999999999999</v>
      </c>
      <c r="V2781" s="1">
        <v>95</v>
      </c>
      <c r="W2781" s="1">
        <v>168</v>
      </c>
      <c r="X2781" s="1">
        <v>1.7684210526315789</v>
      </c>
      <c r="Y2781" s="1">
        <v>99</v>
      </c>
      <c r="Z2781" s="1">
        <v>168</v>
      </c>
      <c r="AA2781" s="1">
        <v>1.696969696969697</v>
      </c>
      <c r="AB2781" s="1">
        <v>100.07201588541371</v>
      </c>
      <c r="AC2781" s="1">
        <v>167.86385614319619</v>
      </c>
      <c r="AD2781" s="1">
        <v>1.6774305449727998</v>
      </c>
      <c r="AE2781" t="s">
        <v>4817</v>
      </c>
      <c r="AF2781" t="str">
        <f>IF(X2781&lt;$AF$1,"Bajo","Alto")</f>
        <v>Bajo</v>
      </c>
      <c r="AG2781" t="str">
        <f>LEFT(AE2781,1)</f>
        <v>C</v>
      </c>
      <c r="AH2781" t="str">
        <f>K2781</f>
        <v>M</v>
      </c>
      <c r="AI2781" t="str">
        <f>LEFT(AF2781,1)</f>
        <v>B</v>
      </c>
      <c r="AJ2781" t="str">
        <f>LEFT(M2781,1)</f>
        <v>M</v>
      </c>
      <c r="AK2781" t="str">
        <f>_xlfn.CONCAT(AG2781,AH2781,AI2781,AJ2781)</f>
        <v>CMBM</v>
      </c>
    </row>
    <row r="2782" spans="1:37" ht="15.75" hidden="1" customHeight="1" x14ac:dyDescent="0.2">
      <c r="A2782" s="1">
        <v>277303</v>
      </c>
      <c r="B2782" s="1" t="s">
        <v>3409</v>
      </c>
      <c r="C2782" s="1" t="s">
        <v>973</v>
      </c>
      <c r="D2782" s="1" t="s">
        <v>3716</v>
      </c>
      <c r="E2782" s="1" t="s">
        <v>1021</v>
      </c>
      <c r="F2782" s="1" t="s">
        <v>63</v>
      </c>
      <c r="G2782" s="1" t="s">
        <v>3717</v>
      </c>
      <c r="H2782" s="1">
        <v>558</v>
      </c>
      <c r="I2782" s="1" t="s">
        <v>2205</v>
      </c>
      <c r="J2782" s="1">
        <v>3846</v>
      </c>
      <c r="K2782" s="1" t="s">
        <v>35</v>
      </c>
      <c r="L2782" s="1">
        <v>30</v>
      </c>
      <c r="M2782" s="1" t="str">
        <f>IF(L2782&lt;=45,"Joven","Mayor")</f>
        <v>Joven</v>
      </c>
      <c r="N2782" s="1">
        <v>46</v>
      </c>
      <c r="O2782" s="1" t="s">
        <v>36</v>
      </c>
      <c r="P2782" s="1">
        <v>0.375</v>
      </c>
      <c r="Q2782" s="1">
        <v>88.296000000000006</v>
      </c>
      <c r="R2782" s="1">
        <v>-5.9187627000000003</v>
      </c>
      <c r="S2782" s="1">
        <v>6.1997084999999998</v>
      </c>
      <c r="T2782" s="1">
        <v>2.4214761</v>
      </c>
      <c r="U2782" s="1">
        <v>75.344999999999999</v>
      </c>
      <c r="V2782" s="1">
        <v>113</v>
      </c>
      <c r="W2782" s="1">
        <v>200</v>
      </c>
      <c r="X2782" s="1">
        <v>1.7699115044247788</v>
      </c>
      <c r="Y2782" s="1">
        <v>118</v>
      </c>
      <c r="Z2782" s="1">
        <v>200</v>
      </c>
      <c r="AA2782" s="1">
        <v>1.6949152542372881</v>
      </c>
      <c r="AB2782" s="1">
        <v>115.69762568509459</v>
      </c>
      <c r="AC2782" s="1">
        <v>199.48341153835369</v>
      </c>
      <c r="AD2782" s="1">
        <v>1.7241789566305101</v>
      </c>
      <c r="AE2782" t="s">
        <v>4817</v>
      </c>
      <c r="AF2782" t="str">
        <f>IF(X2782&lt;$AF$1,"Bajo","Alto")</f>
        <v>Alto</v>
      </c>
      <c r="AG2782" t="str">
        <f>LEFT(AE2782,1)</f>
        <v>C</v>
      </c>
      <c r="AH2782" t="str">
        <f>K2782</f>
        <v>M</v>
      </c>
      <c r="AI2782" t="str">
        <f>LEFT(AF2782,1)</f>
        <v>A</v>
      </c>
      <c r="AJ2782" t="str">
        <f>LEFT(M2782,1)</f>
        <v>J</v>
      </c>
      <c r="AK2782" t="str">
        <f>_xlfn.CONCAT(AG2782,AH2782,AI2782,AJ2782)</f>
        <v>CMAJ</v>
      </c>
    </row>
    <row r="2783" spans="1:37" ht="15.75" hidden="1" customHeight="1" x14ac:dyDescent="0.2">
      <c r="A2783" s="1">
        <v>2716909</v>
      </c>
      <c r="B2783" s="1" t="s">
        <v>3409</v>
      </c>
      <c r="C2783" s="1" t="s">
        <v>973</v>
      </c>
      <c r="D2783" s="1" t="s">
        <v>3548</v>
      </c>
      <c r="E2783" s="1" t="s">
        <v>279</v>
      </c>
      <c r="F2783" s="1" t="s">
        <v>189</v>
      </c>
      <c r="G2783" s="1" t="s">
        <v>3558</v>
      </c>
      <c r="H2783" s="1">
        <v>481</v>
      </c>
      <c r="I2783" s="1" t="s">
        <v>3559</v>
      </c>
      <c r="J2783" s="1">
        <v>2916</v>
      </c>
      <c r="K2783" s="1" t="s">
        <v>49</v>
      </c>
      <c r="L2783" s="1">
        <v>45</v>
      </c>
      <c r="M2783" s="1" t="str">
        <f>IF(L2783&lt;=45,"Joven","Mayor")</f>
        <v>Joven</v>
      </c>
      <c r="N2783" s="1">
        <v>55</v>
      </c>
      <c r="O2783" s="1" t="s">
        <v>50</v>
      </c>
      <c r="P2783" s="1">
        <v>0.36599999999999999</v>
      </c>
      <c r="Q2783" s="1">
        <v>86.954999999999998</v>
      </c>
      <c r="R2783" s="1">
        <v>7.9209550000000002</v>
      </c>
      <c r="S2783" s="1">
        <v>-1.2769227000000001</v>
      </c>
      <c r="T2783" s="1">
        <v>-10.125688999999999</v>
      </c>
      <c r="U2783" s="1">
        <v>11.465999999999999</v>
      </c>
      <c r="V2783" s="1">
        <v>93</v>
      </c>
      <c r="W2783" s="1">
        <v>165</v>
      </c>
      <c r="X2783" s="1">
        <v>1.7741935483870968</v>
      </c>
      <c r="Y2783" s="1">
        <v>104</v>
      </c>
      <c r="Z2783" s="1">
        <v>165</v>
      </c>
      <c r="AA2783" s="1">
        <v>1.5865384615384615</v>
      </c>
      <c r="AB2783" s="1">
        <v>100.86930447528739</v>
      </c>
      <c r="AC2783" s="1">
        <v>165.77038915338329</v>
      </c>
      <c r="AD2783" s="1">
        <v>1.6434175888859868</v>
      </c>
      <c r="AE2783" t="s">
        <v>4817</v>
      </c>
      <c r="AF2783" t="str">
        <f>IF(X2783&lt;$AF$1,"Bajo","Alto")</f>
        <v>Alto</v>
      </c>
      <c r="AG2783" t="str">
        <f>LEFT(AE2783,1)</f>
        <v>C</v>
      </c>
      <c r="AH2783" t="str">
        <f>K2783</f>
        <v>F</v>
      </c>
      <c r="AI2783" t="str">
        <f>LEFT(AF2783,1)</f>
        <v>A</v>
      </c>
      <c r="AJ2783" t="str">
        <f>LEFT(M2783,1)</f>
        <v>J</v>
      </c>
      <c r="AK2783" t="str">
        <f>_xlfn.CONCAT(AG2783,AH2783,AI2783,AJ2783)</f>
        <v>CFAJ</v>
      </c>
    </row>
    <row r="2784" spans="1:37" ht="15.75" hidden="1" customHeight="1" x14ac:dyDescent="0.2">
      <c r="A2784" s="1">
        <v>278209</v>
      </c>
      <c r="B2784" s="1" t="s">
        <v>3409</v>
      </c>
      <c r="C2784" s="1" t="s">
        <v>973</v>
      </c>
      <c r="D2784" s="1" t="s">
        <v>3742</v>
      </c>
      <c r="E2784" s="1" t="s">
        <v>752</v>
      </c>
      <c r="F2784" s="1" t="s">
        <v>189</v>
      </c>
      <c r="G2784" s="1" t="s">
        <v>3747</v>
      </c>
      <c r="H2784" s="1">
        <v>30447</v>
      </c>
      <c r="I2784" s="1" t="s">
        <v>3748</v>
      </c>
      <c r="J2784" s="1">
        <v>4014</v>
      </c>
      <c r="K2784" s="1" t="s">
        <v>49</v>
      </c>
      <c r="L2784" s="1">
        <v>38</v>
      </c>
      <c r="M2784" s="1" t="str">
        <f>IF(L2784&lt;=45,"Joven","Mayor")</f>
        <v>Joven</v>
      </c>
      <c r="N2784" s="1">
        <v>32</v>
      </c>
      <c r="O2784" s="1" t="s">
        <v>50</v>
      </c>
      <c r="P2784" s="1">
        <v>0.59799999999999998</v>
      </c>
      <c r="Q2784" s="1">
        <v>89.567999999999998</v>
      </c>
      <c r="R2784" s="1">
        <v>5.0832334000000001</v>
      </c>
      <c r="S2784" s="1">
        <v>5.7636875999999999</v>
      </c>
      <c r="T2784" s="1">
        <v>-1.7574350999999999</v>
      </c>
      <c r="U2784" s="1">
        <v>1.8939999999999999</v>
      </c>
      <c r="V2784" s="1">
        <v>82</v>
      </c>
      <c r="W2784" s="1">
        <v>145</v>
      </c>
      <c r="X2784" s="1">
        <v>1.7682926829268293</v>
      </c>
      <c r="Y2784" s="1">
        <v>86</v>
      </c>
      <c r="Z2784" s="1">
        <v>145</v>
      </c>
      <c r="AA2784" s="1">
        <v>1.6860465116279071</v>
      </c>
      <c r="AB2784" s="1">
        <v>87.063603178126414</v>
      </c>
      <c r="AC2784" s="1">
        <v>144.74778551549429</v>
      </c>
      <c r="AD2784" s="1">
        <v>1.6625522058781534</v>
      </c>
      <c r="AE2784" t="s">
        <v>4817</v>
      </c>
      <c r="AF2784" t="str">
        <f>IF(X2784&lt;$AF$1,"Bajo","Alto")</f>
        <v>Bajo</v>
      </c>
      <c r="AG2784" t="str">
        <f>LEFT(AE2784,1)</f>
        <v>C</v>
      </c>
      <c r="AH2784" t="str">
        <f>K2784</f>
        <v>F</v>
      </c>
      <c r="AI2784" t="str">
        <f>LEFT(AF2784,1)</f>
        <v>B</v>
      </c>
      <c r="AJ2784" t="str">
        <f>LEFT(M2784,1)</f>
        <v>J</v>
      </c>
      <c r="AK2784" t="str">
        <f>_xlfn.CONCAT(AG2784,AH2784,AI2784,AJ2784)</f>
        <v>CFBJ</v>
      </c>
    </row>
    <row r="2785" spans="1:37" ht="15.75" hidden="1" customHeight="1" x14ac:dyDescent="0.2">
      <c r="A2785" s="1">
        <v>311002</v>
      </c>
      <c r="B2785" s="1" t="s">
        <v>4122</v>
      </c>
      <c r="C2785" s="1" t="s">
        <v>628</v>
      </c>
      <c r="D2785" s="1" t="s">
        <v>4138</v>
      </c>
      <c r="E2785" s="1" t="s">
        <v>75</v>
      </c>
      <c r="F2785" s="1" t="s">
        <v>37</v>
      </c>
      <c r="G2785" s="1" t="s">
        <v>4139</v>
      </c>
      <c r="H2785" s="1">
        <v>4931</v>
      </c>
      <c r="I2785" s="1" t="s">
        <v>48</v>
      </c>
      <c r="J2785" s="1">
        <v>4</v>
      </c>
      <c r="K2785" s="1" t="s">
        <v>49</v>
      </c>
      <c r="L2785" s="1">
        <v>43</v>
      </c>
      <c r="M2785" s="1" t="str">
        <f>IF(L2785&lt;=45,"Joven","Mayor")</f>
        <v>Joven</v>
      </c>
      <c r="N2785" s="1">
        <v>48</v>
      </c>
      <c r="O2785" s="1" t="s">
        <v>50</v>
      </c>
      <c r="P2785" s="1">
        <v>0.36399999999999999</v>
      </c>
      <c r="Q2785" s="1">
        <v>79.683999999999997</v>
      </c>
      <c r="R2785" s="1">
        <v>10.688746</v>
      </c>
      <c r="S2785" s="1">
        <v>1.3698516000000001</v>
      </c>
      <c r="T2785" s="1">
        <v>-11.291676000000001</v>
      </c>
      <c r="U2785" s="1">
        <v>5.4729999999999999</v>
      </c>
      <c r="V2785" s="1">
        <v>83</v>
      </c>
      <c r="W2785" s="1">
        <v>147</v>
      </c>
      <c r="X2785" s="1">
        <v>1.7710843373493976</v>
      </c>
      <c r="Y2785" s="1">
        <v>97</v>
      </c>
      <c r="Z2785" s="1">
        <v>147</v>
      </c>
      <c r="AA2785" s="1">
        <v>1.5154639175257731</v>
      </c>
      <c r="AB2785" s="1">
        <v>90.987758773085261</v>
      </c>
      <c r="AC2785" s="1">
        <v>147.48320049104399</v>
      </c>
      <c r="AD2785" s="1">
        <v>1.6209125543893541</v>
      </c>
      <c r="AE2785" t="s">
        <v>4817</v>
      </c>
      <c r="AF2785" t="str">
        <f>IF(X2785&lt;$AF$1,"Bajo","Alto")</f>
        <v>Alto</v>
      </c>
      <c r="AG2785" t="str">
        <f>LEFT(AE2785,1)</f>
        <v>C</v>
      </c>
      <c r="AH2785" t="str">
        <f>K2785</f>
        <v>F</v>
      </c>
      <c r="AI2785" t="str">
        <f>LEFT(AF2785,1)</f>
        <v>A</v>
      </c>
      <c r="AJ2785" t="str">
        <f>LEFT(M2785,1)</f>
        <v>J</v>
      </c>
      <c r="AK2785" t="str">
        <f>_xlfn.CONCAT(AG2785,AH2785,AI2785,AJ2785)</f>
        <v>CFAJ</v>
      </c>
    </row>
    <row r="2786" spans="1:37" ht="15.75" hidden="1" customHeight="1" x14ac:dyDescent="0.2">
      <c r="A2786" s="1">
        <v>2713003</v>
      </c>
      <c r="B2786" s="1" t="s">
        <v>3409</v>
      </c>
      <c r="C2786" s="1" t="s">
        <v>973</v>
      </c>
      <c r="D2786" s="1" t="s">
        <v>3476</v>
      </c>
      <c r="E2786" s="1" t="s">
        <v>158</v>
      </c>
      <c r="F2786" s="1" t="s">
        <v>63</v>
      </c>
      <c r="G2786" s="1" t="s">
        <v>3478</v>
      </c>
      <c r="H2786" s="1">
        <v>188</v>
      </c>
      <c r="I2786" s="1" t="s">
        <v>42</v>
      </c>
      <c r="J2786" s="1">
        <v>15</v>
      </c>
      <c r="K2786" s="1" t="s">
        <v>35</v>
      </c>
      <c r="L2786" s="1">
        <v>41</v>
      </c>
      <c r="M2786" s="1" t="str">
        <f>IF(L2786&lt;=45,"Joven","Mayor")</f>
        <v>Joven</v>
      </c>
      <c r="N2786" s="1">
        <v>41</v>
      </c>
      <c r="O2786" s="1" t="s">
        <v>36</v>
      </c>
      <c r="P2786" s="1">
        <v>1.536</v>
      </c>
      <c r="Q2786" s="1">
        <v>87.010999999999996</v>
      </c>
      <c r="R2786" s="1">
        <v>5.4951869999999996</v>
      </c>
      <c r="S2786" s="1">
        <v>8.6059160000000006</v>
      </c>
      <c r="T2786" s="1">
        <v>-4.7502136000000004</v>
      </c>
      <c r="U2786" s="1">
        <v>21.672999999999998</v>
      </c>
      <c r="V2786" s="1">
        <v>95</v>
      </c>
      <c r="W2786" s="1">
        <v>168</v>
      </c>
      <c r="X2786" s="1">
        <v>1.7684210526315789</v>
      </c>
      <c r="Y2786" s="1">
        <v>96</v>
      </c>
      <c r="Z2786" s="1">
        <v>168</v>
      </c>
      <c r="AA2786" s="1">
        <v>1.75</v>
      </c>
      <c r="AB2786" s="1">
        <v>99.728042816691641</v>
      </c>
      <c r="AC2786" s="1">
        <v>167.588576400487</v>
      </c>
      <c r="AD2786" s="1">
        <v>1.6804558844950823</v>
      </c>
      <c r="AE2786" t="s">
        <v>4817</v>
      </c>
      <c r="AF2786" t="str">
        <f>IF(X2786&lt;$AF$1,"Bajo","Alto")</f>
        <v>Bajo</v>
      </c>
      <c r="AG2786" t="str">
        <f>LEFT(AE2786,1)</f>
        <v>C</v>
      </c>
      <c r="AH2786" t="str">
        <f>K2786</f>
        <v>M</v>
      </c>
      <c r="AI2786" t="str">
        <f>LEFT(AF2786,1)</f>
        <v>B</v>
      </c>
      <c r="AJ2786" t="str">
        <f>LEFT(M2786,1)</f>
        <v>J</v>
      </c>
      <c r="AK2786" t="str">
        <f>_xlfn.CONCAT(AG2786,AH2786,AI2786,AJ2786)</f>
        <v>CMBJ</v>
      </c>
    </row>
    <row r="2787" spans="1:37" ht="15.75" hidden="1" customHeight="1" x14ac:dyDescent="0.2">
      <c r="A2787" s="1">
        <v>284203</v>
      </c>
      <c r="B2787" s="1" t="s">
        <v>1775</v>
      </c>
      <c r="C2787" s="1" t="s">
        <v>561</v>
      </c>
      <c r="D2787" s="1" t="s">
        <v>3863</v>
      </c>
      <c r="E2787" s="1" t="s">
        <v>2872</v>
      </c>
      <c r="F2787" s="1" t="s">
        <v>63</v>
      </c>
      <c r="G2787" s="1" t="s">
        <v>3865</v>
      </c>
      <c r="H2787" s="1">
        <v>2703</v>
      </c>
      <c r="I2787" s="1" t="s">
        <v>65</v>
      </c>
      <c r="J2787" s="1">
        <v>2</v>
      </c>
      <c r="K2787" s="1" t="s">
        <v>35</v>
      </c>
      <c r="L2787" s="1">
        <v>30</v>
      </c>
      <c r="M2787" s="1" t="str">
        <f>IF(L2787&lt;=45,"Joven","Mayor")</f>
        <v>Joven</v>
      </c>
      <c r="N2787" s="1">
        <v>28</v>
      </c>
      <c r="O2787" s="1" t="s">
        <v>36</v>
      </c>
      <c r="P2787" s="1">
        <v>0.33700000000000002</v>
      </c>
      <c r="Q2787" s="1">
        <v>93.933000000000007</v>
      </c>
      <c r="R2787" s="1">
        <v>-1.2446832999999999</v>
      </c>
      <c r="S2787" s="1">
        <v>2.493341</v>
      </c>
      <c r="T2787" s="1">
        <v>-0.55315800000000004</v>
      </c>
      <c r="U2787" s="1">
        <v>19.68</v>
      </c>
      <c r="V2787" s="1">
        <v>95</v>
      </c>
      <c r="W2787" s="1">
        <v>168</v>
      </c>
      <c r="X2787" s="1">
        <v>1.7684210526315789</v>
      </c>
      <c r="Y2787" s="1">
        <v>96</v>
      </c>
      <c r="Z2787" s="1">
        <v>168</v>
      </c>
      <c r="AA2787" s="1">
        <v>1.75</v>
      </c>
      <c r="AB2787" s="1">
        <v>96.478239971661878</v>
      </c>
      <c r="AC2787" s="1">
        <v>167.98251631146471</v>
      </c>
      <c r="AD2787" s="1">
        <v>1.7411440793364956</v>
      </c>
      <c r="AE2787" t="s">
        <v>4817</v>
      </c>
      <c r="AF2787" t="str">
        <f>IF(X2787&lt;$AF$1,"Bajo","Alto")</f>
        <v>Bajo</v>
      </c>
      <c r="AG2787" t="str">
        <f>LEFT(AE2787,1)</f>
        <v>C</v>
      </c>
      <c r="AH2787" t="str">
        <f>K2787</f>
        <v>M</v>
      </c>
      <c r="AI2787" t="str">
        <f>LEFT(AF2787,1)</f>
        <v>B</v>
      </c>
      <c r="AJ2787" t="str">
        <f>LEFT(M2787,1)</f>
        <v>J</v>
      </c>
      <c r="AK2787" t="str">
        <f>_xlfn.CONCAT(AG2787,AH2787,AI2787,AJ2787)</f>
        <v>CMBJ</v>
      </c>
    </row>
    <row r="2788" spans="1:37" ht="15.75" hidden="1" customHeight="1" x14ac:dyDescent="0.2">
      <c r="A2788" s="1">
        <v>233802</v>
      </c>
      <c r="B2788" s="1" t="s">
        <v>319</v>
      </c>
      <c r="C2788" s="1" t="s">
        <v>1989</v>
      </c>
      <c r="D2788" s="1" t="s">
        <v>3024</v>
      </c>
      <c r="E2788" s="1" t="s">
        <v>2637</v>
      </c>
      <c r="F2788" s="1" t="s">
        <v>37</v>
      </c>
      <c r="G2788" s="1" t="s">
        <v>3026</v>
      </c>
      <c r="H2788" s="1">
        <v>7</v>
      </c>
      <c r="I2788" s="1" t="s">
        <v>48</v>
      </c>
      <c r="J2788" s="1">
        <v>4</v>
      </c>
      <c r="K2788" s="1" t="s">
        <v>35</v>
      </c>
      <c r="L2788" s="1">
        <v>37</v>
      </c>
      <c r="M2788" s="1" t="str">
        <f>IF(L2788&lt;=45,"Joven","Mayor")</f>
        <v>Joven</v>
      </c>
      <c r="N2788" s="1">
        <v>34</v>
      </c>
      <c r="O2788" s="1" t="s">
        <v>36</v>
      </c>
      <c r="P2788" s="1">
        <v>0.32200000000000001</v>
      </c>
      <c r="Q2788" s="1">
        <v>89.555999999999997</v>
      </c>
      <c r="R2788" s="1">
        <v>6.4419107000000002</v>
      </c>
      <c r="S2788" s="1">
        <v>0.95369846000000003</v>
      </c>
      <c r="T2788" s="1">
        <v>-1.3676679</v>
      </c>
      <c r="U2788" s="1">
        <v>61.790999999999997</v>
      </c>
      <c r="V2788" s="1">
        <v>104</v>
      </c>
      <c r="W2788" s="1">
        <v>184</v>
      </c>
      <c r="X2788" s="1">
        <v>1.7692307692307692</v>
      </c>
      <c r="Y2788" s="1">
        <v>105</v>
      </c>
      <c r="Z2788" s="1">
        <v>184</v>
      </c>
      <c r="AA2788" s="1">
        <v>1.7523809523809524</v>
      </c>
      <c r="AB2788" s="1">
        <v>105.9725450893559</v>
      </c>
      <c r="AC2788" s="1">
        <v>183.80437341491549</v>
      </c>
      <c r="AD2788" s="1">
        <v>1.7344527609479596</v>
      </c>
      <c r="AE2788" t="s">
        <v>4817</v>
      </c>
      <c r="AF2788" t="str">
        <f>IF(X2788&lt;$AF$1,"Bajo","Alto")</f>
        <v>Alto</v>
      </c>
      <c r="AG2788" t="str">
        <f>LEFT(AE2788,1)</f>
        <v>C</v>
      </c>
      <c r="AH2788" t="str">
        <f>K2788</f>
        <v>M</v>
      </c>
      <c r="AI2788" t="str">
        <f>LEFT(AF2788,1)</f>
        <v>A</v>
      </c>
      <c r="AJ2788" t="str">
        <f>LEFT(M2788,1)</f>
        <v>J</v>
      </c>
      <c r="AK2788" t="str">
        <f>_xlfn.CONCAT(AG2788,AH2788,AI2788,AJ2788)</f>
        <v>CMAJ</v>
      </c>
    </row>
    <row r="2789" spans="1:37" ht="15.75" hidden="1" customHeight="1" x14ac:dyDescent="0.2">
      <c r="A2789" s="1">
        <v>257001</v>
      </c>
      <c r="B2789" s="1" t="s">
        <v>3169</v>
      </c>
      <c r="C2789" s="1" t="s">
        <v>821</v>
      </c>
      <c r="D2789" s="1" t="s">
        <v>3307</v>
      </c>
      <c r="E2789" s="1" t="s">
        <v>720</v>
      </c>
      <c r="F2789" s="1" t="s">
        <v>32</v>
      </c>
      <c r="G2789" s="1" t="s">
        <v>3308</v>
      </c>
      <c r="H2789" s="1">
        <v>852</v>
      </c>
      <c r="I2789" s="1" t="s">
        <v>39</v>
      </c>
      <c r="J2789" s="1">
        <v>11</v>
      </c>
      <c r="K2789" s="1" t="s">
        <v>49</v>
      </c>
      <c r="L2789" s="1">
        <v>38</v>
      </c>
      <c r="M2789" s="1" t="str">
        <f>IF(L2789&lt;=45,"Joven","Mayor")</f>
        <v>Joven</v>
      </c>
      <c r="N2789" s="1">
        <v>47</v>
      </c>
      <c r="O2789" s="1" t="s">
        <v>50</v>
      </c>
      <c r="P2789" s="1">
        <v>0.372</v>
      </c>
      <c r="Q2789" s="1">
        <v>68.468999999999994</v>
      </c>
      <c r="R2789" s="1">
        <v>11.873917</v>
      </c>
      <c r="S2789" s="1">
        <v>-9.2500610000000005</v>
      </c>
      <c r="T2789" s="1">
        <v>-9.2005339999999993</v>
      </c>
      <c r="U2789" s="1">
        <v>37.491999999999997</v>
      </c>
      <c r="V2789" s="1">
        <v>101</v>
      </c>
      <c r="W2789" s="1">
        <v>180</v>
      </c>
      <c r="X2789" s="1">
        <v>1.7821782178217822</v>
      </c>
      <c r="Y2789" s="1">
        <v>106</v>
      </c>
      <c r="Z2789" s="1">
        <v>180</v>
      </c>
      <c r="AA2789" s="1">
        <v>1.6981132075471699</v>
      </c>
      <c r="AB2789" s="1">
        <v>107.5352412725067</v>
      </c>
      <c r="AC2789" s="1">
        <v>178.96338258988359</v>
      </c>
      <c r="AD2789" s="1">
        <v>1.6642300744587513</v>
      </c>
      <c r="AE2789" t="s">
        <v>4816</v>
      </c>
      <c r="AF2789" t="str">
        <f>IF(X2789&lt;$AF$1,"Bajo","Alto")</f>
        <v>Alto</v>
      </c>
      <c r="AG2789" t="str">
        <f>LEFT(AE2789,1)</f>
        <v>D</v>
      </c>
      <c r="AH2789" t="str">
        <f>K2789</f>
        <v>F</v>
      </c>
      <c r="AI2789" t="str">
        <f>LEFT(AF2789,1)</f>
        <v>A</v>
      </c>
      <c r="AJ2789" t="str">
        <f>LEFT(M2789,1)</f>
        <v>J</v>
      </c>
      <c r="AK2789" t="str">
        <f>_xlfn.CONCAT(AG2789,AH2789,AI2789,AJ2789)</f>
        <v>DFAJ</v>
      </c>
    </row>
    <row r="2790" spans="1:37" ht="15.75" hidden="1" customHeight="1" x14ac:dyDescent="0.2">
      <c r="A2790" s="1">
        <v>298902</v>
      </c>
      <c r="B2790" s="1" t="s">
        <v>3890</v>
      </c>
      <c r="C2790" s="1" t="s">
        <v>1695</v>
      </c>
      <c r="D2790" s="1" t="s">
        <v>4099</v>
      </c>
      <c r="E2790" s="1" t="s">
        <v>4100</v>
      </c>
      <c r="F2790" s="1" t="s">
        <v>37</v>
      </c>
      <c r="G2790" s="1" t="s">
        <v>4102</v>
      </c>
      <c r="H2790" s="1">
        <v>82</v>
      </c>
      <c r="I2790" s="1" t="s">
        <v>552</v>
      </c>
      <c r="J2790" s="1">
        <v>13</v>
      </c>
      <c r="K2790" s="1" t="s">
        <v>35</v>
      </c>
      <c r="L2790" s="1">
        <v>62</v>
      </c>
      <c r="M2790" s="1" t="str">
        <f>IF(L2790&lt;=45,"Joven","Mayor")</f>
        <v>Mayor</v>
      </c>
      <c r="N2790" s="1">
        <v>58</v>
      </c>
      <c r="O2790" s="1" t="s">
        <v>36</v>
      </c>
      <c r="P2790" s="1">
        <v>4.5999999999999999E-2</v>
      </c>
      <c r="Q2790" s="1">
        <v>86.864999999999995</v>
      </c>
      <c r="R2790" s="1">
        <v>7.415127</v>
      </c>
      <c r="S2790" s="1">
        <v>4.2810480000000002</v>
      </c>
      <c r="T2790" s="1">
        <v>-8.4982070000000007</v>
      </c>
      <c r="U2790" s="1">
        <v>9.8149999999999995</v>
      </c>
      <c r="V2790" s="1">
        <v>81</v>
      </c>
      <c r="W2790" s="1">
        <v>143</v>
      </c>
      <c r="X2790" s="1">
        <v>1.7654320987654322</v>
      </c>
      <c r="Y2790" s="1">
        <v>90</v>
      </c>
      <c r="Z2790" s="1">
        <v>143</v>
      </c>
      <c r="AA2790" s="1">
        <v>1.5888888888888888</v>
      </c>
      <c r="AB2790" s="1">
        <v>87.351804150394628</v>
      </c>
      <c r="AC2790" s="1">
        <v>143.49882829415631</v>
      </c>
      <c r="AD2790" s="1">
        <v>1.6427689123294202</v>
      </c>
      <c r="AE2790" t="s">
        <v>4815</v>
      </c>
      <c r="AF2790" t="str">
        <f>IF(X2790&lt;$AF$1,"Bajo","Alto")</f>
        <v>Bajo</v>
      </c>
      <c r="AG2790" t="str">
        <f>LEFT(AE2790,1)</f>
        <v>I</v>
      </c>
      <c r="AH2790" t="str">
        <f>K2790</f>
        <v>M</v>
      </c>
      <c r="AI2790" t="str">
        <f>LEFT(AF2790,1)</f>
        <v>B</v>
      </c>
      <c r="AJ2790" t="str">
        <f>LEFT(M2790,1)</f>
        <v>M</v>
      </c>
      <c r="AK2790" t="str">
        <f>_xlfn.CONCAT(AG2790,AH2790,AI2790,AJ2790)</f>
        <v>IMBM</v>
      </c>
    </row>
    <row r="2791" spans="1:37" ht="15.75" hidden="1" customHeight="1" x14ac:dyDescent="0.2">
      <c r="A2791" s="1">
        <v>444004</v>
      </c>
      <c r="B2791" s="1" t="s">
        <v>4314</v>
      </c>
      <c r="C2791" s="1" t="s">
        <v>995</v>
      </c>
      <c r="D2791" s="1" t="s">
        <v>579</v>
      </c>
      <c r="E2791" s="1" t="s">
        <v>657</v>
      </c>
      <c r="F2791" s="1" t="s">
        <v>61</v>
      </c>
      <c r="G2791" s="1" t="s">
        <v>4381</v>
      </c>
      <c r="H2791" s="1">
        <v>1116</v>
      </c>
      <c r="I2791" s="1" t="s">
        <v>73</v>
      </c>
      <c r="J2791" s="1">
        <v>5</v>
      </c>
      <c r="K2791" s="1" t="s">
        <v>35</v>
      </c>
      <c r="L2791" s="1">
        <v>26</v>
      </c>
      <c r="M2791" s="1" t="str">
        <f>IF(L2791&lt;=45,"Joven","Mayor")</f>
        <v>Joven</v>
      </c>
      <c r="N2791" s="1">
        <v>48</v>
      </c>
      <c r="O2791" s="1" t="s">
        <v>36</v>
      </c>
      <c r="P2791" s="1">
        <v>0.35399999999999998</v>
      </c>
      <c r="Q2791" s="1">
        <v>93.784000000000006</v>
      </c>
      <c r="R2791" s="1">
        <v>0.15997839</v>
      </c>
      <c r="S2791" s="1">
        <v>5.3687940000000003</v>
      </c>
      <c r="T2791" s="1">
        <v>2.0314969999999999</v>
      </c>
      <c r="U2791" s="1">
        <v>31.263999999999999</v>
      </c>
      <c r="V2791" s="1">
        <v>95</v>
      </c>
      <c r="W2791" s="1">
        <v>168</v>
      </c>
      <c r="X2791" s="1">
        <v>1.7684210526315789</v>
      </c>
      <c r="Y2791" s="1">
        <v>100</v>
      </c>
      <c r="Z2791" s="1">
        <v>168</v>
      </c>
      <c r="AA2791" s="1">
        <v>1.68</v>
      </c>
      <c r="AB2791" s="1">
        <v>101.7450421107055</v>
      </c>
      <c r="AC2791" s="1">
        <v>167.8944104610332</v>
      </c>
      <c r="AD2791" s="1">
        <v>1.6501483215108674</v>
      </c>
      <c r="AE2791" t="s">
        <v>4817</v>
      </c>
      <c r="AF2791" t="str">
        <f>IF(X2791&lt;$AF$1,"Bajo","Alto")</f>
        <v>Bajo</v>
      </c>
      <c r="AG2791" t="str">
        <f>LEFT(AE2791,1)</f>
        <v>C</v>
      </c>
      <c r="AH2791" t="str">
        <f>K2791</f>
        <v>M</v>
      </c>
      <c r="AI2791" t="str">
        <f>LEFT(AF2791,1)</f>
        <v>B</v>
      </c>
      <c r="AJ2791" t="str">
        <f>LEFT(M2791,1)</f>
        <v>J</v>
      </c>
      <c r="AK2791" t="str">
        <f>_xlfn.CONCAT(AG2791,AH2791,AI2791,AJ2791)</f>
        <v>CMBJ</v>
      </c>
    </row>
    <row r="2792" spans="1:37" ht="15.75" hidden="1" customHeight="1" x14ac:dyDescent="0.2">
      <c r="A2792" s="1">
        <v>274501</v>
      </c>
      <c r="B2792" s="1" t="s">
        <v>3409</v>
      </c>
      <c r="C2792" s="1" t="s">
        <v>973</v>
      </c>
      <c r="D2792" s="1" t="s">
        <v>3681</v>
      </c>
      <c r="E2792" s="1" t="s">
        <v>3682</v>
      </c>
      <c r="F2792" s="1" t="s">
        <v>32</v>
      </c>
      <c r="G2792" s="1" t="s">
        <v>3683</v>
      </c>
      <c r="H2792" s="1">
        <v>407</v>
      </c>
      <c r="I2792" s="1" t="s">
        <v>34</v>
      </c>
      <c r="J2792" s="1">
        <v>10</v>
      </c>
      <c r="K2792" s="1" t="s">
        <v>35</v>
      </c>
      <c r="L2792" s="1">
        <v>39</v>
      </c>
      <c r="M2792" s="1" t="str">
        <f>IF(L2792&lt;=45,"Joven","Mayor")</f>
        <v>Joven</v>
      </c>
      <c r="N2792" s="1">
        <v>50</v>
      </c>
      <c r="O2792" s="1" t="s">
        <v>36</v>
      </c>
      <c r="P2792" s="1">
        <v>0.36199999999999999</v>
      </c>
      <c r="Q2792" s="1">
        <v>62.648000000000003</v>
      </c>
      <c r="R2792" s="1">
        <v>13.971247999999999</v>
      </c>
      <c r="S2792" s="1">
        <v>-3.7943799999999999</v>
      </c>
      <c r="T2792" s="1">
        <v>-8.0862999999999996</v>
      </c>
      <c r="U2792" s="1">
        <v>0.66</v>
      </c>
      <c r="V2792" s="1">
        <v>103</v>
      </c>
      <c r="W2792" s="1">
        <v>182</v>
      </c>
      <c r="X2792" s="1">
        <v>1.766990291262136</v>
      </c>
      <c r="Y2792" s="1">
        <v>105</v>
      </c>
      <c r="Z2792" s="1">
        <v>182</v>
      </c>
      <c r="AA2792" s="1">
        <v>1.7333333333333334</v>
      </c>
      <c r="AB2792" s="1">
        <v>108.3058066394926</v>
      </c>
      <c r="AC2792" s="1">
        <v>179.90910329234791</v>
      </c>
      <c r="AD2792" s="1">
        <v>1.6611214936166303</v>
      </c>
      <c r="AE2792" t="s">
        <v>4815</v>
      </c>
      <c r="AF2792" t="str">
        <f>IF(X2792&lt;$AF$1,"Bajo","Alto")</f>
        <v>Bajo</v>
      </c>
      <c r="AG2792" t="str">
        <f>LEFT(AE2792,1)</f>
        <v>I</v>
      </c>
      <c r="AH2792" t="str">
        <f>K2792</f>
        <v>M</v>
      </c>
      <c r="AI2792" t="str">
        <f>LEFT(AF2792,1)</f>
        <v>B</v>
      </c>
      <c r="AJ2792" t="str">
        <f>LEFT(M2792,1)</f>
        <v>J</v>
      </c>
      <c r="AK2792" t="str">
        <f>_xlfn.CONCAT(AG2792,AH2792,AI2792,AJ2792)</f>
        <v>IMBJ</v>
      </c>
    </row>
    <row r="2793" spans="1:37" ht="15.75" hidden="1" customHeight="1" x14ac:dyDescent="0.2">
      <c r="A2793" s="1">
        <v>262003</v>
      </c>
      <c r="B2793" s="1" t="s">
        <v>3358</v>
      </c>
      <c r="C2793" s="1" t="s">
        <v>968</v>
      </c>
      <c r="D2793" s="1" t="s">
        <v>3372</v>
      </c>
      <c r="E2793" s="1" t="s">
        <v>1983</v>
      </c>
      <c r="F2793" s="1" t="s">
        <v>63</v>
      </c>
      <c r="G2793" s="1" t="s">
        <v>3375</v>
      </c>
      <c r="H2793" s="1">
        <v>2163</v>
      </c>
      <c r="I2793" s="1" t="s">
        <v>48</v>
      </c>
      <c r="J2793" s="1">
        <v>4</v>
      </c>
      <c r="K2793" s="1" t="s">
        <v>35</v>
      </c>
      <c r="L2793" s="1">
        <v>38</v>
      </c>
      <c r="M2793" s="1" t="str">
        <f>IF(L2793&lt;=45,"Joven","Mayor")</f>
        <v>Joven</v>
      </c>
      <c r="N2793" s="1">
        <v>30</v>
      </c>
      <c r="O2793" s="1" t="s">
        <v>36</v>
      </c>
      <c r="P2793" s="1">
        <v>15.436</v>
      </c>
      <c r="Q2793" s="1">
        <v>88.247</v>
      </c>
      <c r="R2793" s="1">
        <v>1.1897651</v>
      </c>
      <c r="S2793" s="1">
        <v>-2.4835137999999999</v>
      </c>
      <c r="T2793" s="1">
        <v>2.8293004000000002</v>
      </c>
      <c r="U2793" s="1">
        <v>1.5029999999999999</v>
      </c>
      <c r="V2793" s="1">
        <v>78</v>
      </c>
      <c r="W2793" s="1">
        <v>138</v>
      </c>
      <c r="X2793" s="1">
        <v>1.7692307692307692</v>
      </c>
      <c r="Y2793" s="1">
        <v>81</v>
      </c>
      <c r="Z2793" s="1">
        <v>138</v>
      </c>
      <c r="AA2793" s="1">
        <v>1.7037037037037037</v>
      </c>
      <c r="AB2793" s="1">
        <v>79.435096772070438</v>
      </c>
      <c r="AC2793" s="1">
        <v>137.881142064643</v>
      </c>
      <c r="AD2793" s="1">
        <v>1.735771059236908</v>
      </c>
      <c r="AE2793" t="s">
        <v>4817</v>
      </c>
      <c r="AF2793" t="str">
        <f>IF(X2793&lt;$AF$1,"Bajo","Alto")</f>
        <v>Alto</v>
      </c>
      <c r="AG2793" t="str">
        <f>LEFT(AE2793,1)</f>
        <v>C</v>
      </c>
      <c r="AH2793" t="str">
        <f>K2793</f>
        <v>M</v>
      </c>
      <c r="AI2793" t="str">
        <f>LEFT(AF2793,1)</f>
        <v>A</v>
      </c>
      <c r="AJ2793" t="str">
        <f>LEFT(M2793,1)</f>
        <v>J</v>
      </c>
      <c r="AK2793" t="str">
        <f>_xlfn.CONCAT(AG2793,AH2793,AI2793,AJ2793)</f>
        <v>CMAJ</v>
      </c>
    </row>
    <row r="2794" spans="1:37" ht="15.75" hidden="1" customHeight="1" x14ac:dyDescent="0.2">
      <c r="A2794" s="1">
        <v>10122002</v>
      </c>
      <c r="B2794" s="1" t="s">
        <v>29</v>
      </c>
      <c r="C2794" s="1" t="s">
        <v>30</v>
      </c>
      <c r="D2794" s="1" t="s">
        <v>413</v>
      </c>
      <c r="E2794" s="1" t="s">
        <v>414</v>
      </c>
      <c r="F2794" s="1" t="s">
        <v>37</v>
      </c>
      <c r="G2794" s="1" t="s">
        <v>416</v>
      </c>
      <c r="H2794" s="1">
        <v>312</v>
      </c>
      <c r="I2794" s="1" t="s">
        <v>85</v>
      </c>
      <c r="J2794" s="1">
        <v>12</v>
      </c>
      <c r="K2794" s="1" t="s">
        <v>35</v>
      </c>
      <c r="L2794" s="1">
        <v>44</v>
      </c>
      <c r="M2794" s="1" t="str">
        <f>IF(L2794&lt;=45,"Joven","Mayor")</f>
        <v>Joven</v>
      </c>
      <c r="N2794" s="1">
        <v>49</v>
      </c>
      <c r="O2794" s="1" t="s">
        <v>36</v>
      </c>
      <c r="P2794" s="1">
        <v>0.36099999999999999</v>
      </c>
      <c r="Q2794" s="1">
        <v>88.222999999999999</v>
      </c>
      <c r="R2794" s="1">
        <v>7.2831334999999999</v>
      </c>
      <c r="S2794" s="1">
        <v>-0.95755833000000001</v>
      </c>
      <c r="T2794" s="1">
        <v>-2.2328874999999999</v>
      </c>
      <c r="U2794" s="1">
        <v>1.8959999999999999</v>
      </c>
      <c r="V2794" s="1">
        <v>91</v>
      </c>
      <c r="W2794" s="1">
        <v>161</v>
      </c>
      <c r="X2794" s="1">
        <v>1.7692307692307692</v>
      </c>
      <c r="Y2794" s="1">
        <v>94</v>
      </c>
      <c r="Z2794" s="1">
        <v>161</v>
      </c>
      <c r="AA2794" s="1">
        <v>1.7127659574468086</v>
      </c>
      <c r="AB2794" s="1">
        <v>92.723128522863817</v>
      </c>
      <c r="AC2794" s="1">
        <v>160.91671687323009</v>
      </c>
      <c r="AD2794" s="1">
        <v>1.7354539200384183</v>
      </c>
      <c r="AE2794" t="s">
        <v>4815</v>
      </c>
      <c r="AF2794" t="str">
        <f>IF(X2794&lt;$AF$1,"Bajo","Alto")</f>
        <v>Alto</v>
      </c>
      <c r="AG2794" t="str">
        <f>LEFT(AE2794,1)</f>
        <v>I</v>
      </c>
      <c r="AH2794" t="str">
        <f>K2794</f>
        <v>M</v>
      </c>
      <c r="AI2794" t="str">
        <f>LEFT(AF2794,1)</f>
        <v>A</v>
      </c>
      <c r="AJ2794" t="str">
        <f>LEFT(M2794,1)</f>
        <v>J</v>
      </c>
      <c r="AK2794" t="str">
        <f>_xlfn.CONCAT(AG2794,AH2794,AI2794,AJ2794)</f>
        <v>IMAJ</v>
      </c>
    </row>
    <row r="2795" spans="1:37" ht="15.75" hidden="1" customHeight="1" x14ac:dyDescent="0.2">
      <c r="A2795" s="1">
        <v>237301</v>
      </c>
      <c r="B2795" s="1" t="s">
        <v>319</v>
      </c>
      <c r="C2795" s="1" t="s">
        <v>1989</v>
      </c>
      <c r="D2795" s="1" t="s">
        <v>3065</v>
      </c>
      <c r="E2795" s="1" t="s">
        <v>1021</v>
      </c>
      <c r="F2795" s="1" t="s">
        <v>32</v>
      </c>
      <c r="G2795" s="1" t="s">
        <v>3066</v>
      </c>
      <c r="H2795" s="1">
        <v>295</v>
      </c>
      <c r="I2795" s="1" t="s">
        <v>91</v>
      </c>
      <c r="J2795" s="1">
        <v>6</v>
      </c>
      <c r="K2795" s="1" t="s">
        <v>35</v>
      </c>
      <c r="L2795" s="1">
        <v>54</v>
      </c>
      <c r="M2795" s="1" t="str">
        <f>IF(L2795&lt;=45,"Joven","Mayor")</f>
        <v>Mayor</v>
      </c>
      <c r="N2795" s="1">
        <v>51</v>
      </c>
      <c r="O2795" s="1" t="s">
        <v>36</v>
      </c>
      <c r="P2795" s="1">
        <v>0.35299999999999998</v>
      </c>
      <c r="Q2795" s="1">
        <v>92.186999999999998</v>
      </c>
      <c r="R2795" s="1">
        <v>3.8306580000000001</v>
      </c>
      <c r="S2795" s="1">
        <v>-2.2038255000000002</v>
      </c>
      <c r="T2795" s="1">
        <v>-1.5959300000000001</v>
      </c>
      <c r="U2795" s="1">
        <v>7.9470000000000001</v>
      </c>
      <c r="V2795" s="1">
        <v>65</v>
      </c>
      <c r="W2795" s="1">
        <v>115</v>
      </c>
      <c r="X2795" s="1">
        <v>1.7692307692307692</v>
      </c>
      <c r="Y2795" s="1">
        <v>68</v>
      </c>
      <c r="Z2795" s="1">
        <v>115</v>
      </c>
      <c r="AA2795" s="1">
        <v>1.6911764705882353</v>
      </c>
      <c r="AB2795" s="1">
        <v>67.110252948294828</v>
      </c>
      <c r="AC2795" s="1">
        <v>114.9832416633049</v>
      </c>
      <c r="AD2795" s="1">
        <v>1.7133483575437254</v>
      </c>
      <c r="AE2795" t="s">
        <v>4817</v>
      </c>
      <c r="AF2795" t="str">
        <f>IF(X2795&lt;$AF$1,"Bajo","Alto")</f>
        <v>Alto</v>
      </c>
      <c r="AG2795" t="str">
        <f>LEFT(AE2795,1)</f>
        <v>C</v>
      </c>
      <c r="AH2795" t="str">
        <f>K2795</f>
        <v>M</v>
      </c>
      <c r="AI2795" t="str">
        <f>LEFT(AF2795,1)</f>
        <v>A</v>
      </c>
      <c r="AJ2795" t="str">
        <f>LEFT(M2795,1)</f>
        <v>M</v>
      </c>
      <c r="AK2795" t="str">
        <f>_xlfn.CONCAT(AG2795,AH2795,AI2795,AJ2795)</f>
        <v>CMAM</v>
      </c>
    </row>
    <row r="2796" spans="1:37" ht="15.75" hidden="1" customHeight="1" x14ac:dyDescent="0.2">
      <c r="A2796" s="1">
        <v>293102</v>
      </c>
      <c r="B2796" s="1" t="s">
        <v>3890</v>
      </c>
      <c r="C2796" s="1" t="s">
        <v>1695</v>
      </c>
      <c r="D2796" s="1" t="s">
        <v>3991</v>
      </c>
      <c r="E2796" s="1" t="s">
        <v>628</v>
      </c>
      <c r="F2796" s="1" t="s">
        <v>37</v>
      </c>
      <c r="G2796" s="1" t="s">
        <v>3993</v>
      </c>
      <c r="H2796" s="1">
        <v>2020</v>
      </c>
      <c r="I2796" s="1" t="s">
        <v>42</v>
      </c>
      <c r="J2796" s="1">
        <v>15</v>
      </c>
      <c r="K2796" s="1" t="s">
        <v>35</v>
      </c>
      <c r="L2796" s="1">
        <v>40</v>
      </c>
      <c r="M2796" s="1" t="str">
        <f>IF(L2796&lt;=45,"Joven","Mayor")</f>
        <v>Joven</v>
      </c>
      <c r="N2796" s="1">
        <v>41</v>
      </c>
      <c r="O2796" s="1" t="s">
        <v>36</v>
      </c>
      <c r="P2796" s="1">
        <v>0.36599999999999999</v>
      </c>
      <c r="Q2796" s="1">
        <v>86.201999999999998</v>
      </c>
      <c r="R2796" s="1">
        <v>8.0111489999999996</v>
      </c>
      <c r="S2796" s="1">
        <v>2.8046312000000002</v>
      </c>
      <c r="T2796" s="1">
        <v>-8.2213519999999995</v>
      </c>
      <c r="U2796" s="1">
        <v>28.196000000000002</v>
      </c>
      <c r="V2796" s="1">
        <v>104</v>
      </c>
      <c r="W2796" s="1">
        <v>184</v>
      </c>
      <c r="X2796" s="1">
        <v>1.7692307692307692</v>
      </c>
      <c r="Y2796" s="1">
        <v>104</v>
      </c>
      <c r="Z2796" s="1">
        <v>184</v>
      </c>
      <c r="AA2796" s="1">
        <v>1.7692307692307692</v>
      </c>
      <c r="AB2796" s="1">
        <v>109.6520885028667</v>
      </c>
      <c r="AC2796" s="1">
        <v>182.2520315606148</v>
      </c>
      <c r="AD2796" s="1">
        <v>1.6620935729450339</v>
      </c>
      <c r="AE2796" t="s">
        <v>4817</v>
      </c>
      <c r="AF2796" t="str">
        <f>IF(X2796&lt;$AF$1,"Bajo","Alto")</f>
        <v>Alto</v>
      </c>
      <c r="AG2796" t="str">
        <f>LEFT(AE2796,1)</f>
        <v>C</v>
      </c>
      <c r="AH2796" t="str">
        <f>K2796</f>
        <v>M</v>
      </c>
      <c r="AI2796" t="str">
        <f>LEFT(AF2796,1)</f>
        <v>A</v>
      </c>
      <c r="AJ2796" t="str">
        <f>LEFT(M2796,1)</f>
        <v>J</v>
      </c>
      <c r="AK2796" t="str">
        <f>_xlfn.CONCAT(AG2796,AH2796,AI2796,AJ2796)</f>
        <v>CMAJ</v>
      </c>
    </row>
  </sheetData>
  <autoFilter ref="A1:AK2796" xr:uid="{00000000-0001-0000-0000-000000000000}">
    <filterColumn colId="36">
      <filters>
        <filter val="SFAJ"/>
        <filter val="SFBJ"/>
        <filter val="SMAJ"/>
        <filter val="SMAM"/>
        <filter val="SMBJ"/>
        <filter val="SMBM"/>
      </filters>
    </filterColumn>
    <sortState xmlns:xlrd2="http://schemas.microsoft.com/office/spreadsheetml/2017/richdata2" ref="A2:AK2790">
      <sortCondition ref="X1:X2796"/>
    </sortState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A1CF-85E8-2F40-9FA7-34050E83CCE4}">
  <dimension ref="B1:H30"/>
  <sheetViews>
    <sheetView workbookViewId="0">
      <selection activeCell="C1" sqref="C1:F1"/>
    </sheetView>
  </sheetViews>
  <sheetFormatPr baseColWidth="10" defaultRowHeight="15" x14ac:dyDescent="0.2"/>
  <sheetData>
    <row r="1" spans="2:8" x14ac:dyDescent="0.2">
      <c r="C1" t="s">
        <v>4819</v>
      </c>
      <c r="D1" t="s">
        <v>4820</v>
      </c>
      <c r="E1" t="s">
        <v>4821</v>
      </c>
      <c r="F1" t="s">
        <v>4822</v>
      </c>
    </row>
    <row r="2" spans="2:8" x14ac:dyDescent="0.2">
      <c r="C2" s="1" t="s">
        <v>4828</v>
      </c>
      <c r="D2" t="s">
        <v>49</v>
      </c>
      <c r="E2" t="s">
        <v>4824</v>
      </c>
      <c r="F2" t="s">
        <v>4825</v>
      </c>
    </row>
    <row r="3" spans="2:8" x14ac:dyDescent="0.2">
      <c r="C3" s="1" t="s">
        <v>4823</v>
      </c>
      <c r="D3" t="s">
        <v>35</v>
      </c>
      <c r="E3" t="s">
        <v>4826</v>
      </c>
      <c r="F3" s="1" t="s">
        <v>35</v>
      </c>
    </row>
    <row r="4" spans="2:8" x14ac:dyDescent="0.2">
      <c r="C4" t="s">
        <v>4827</v>
      </c>
    </row>
    <row r="7" spans="2:8" x14ac:dyDescent="0.2">
      <c r="B7">
        <v>1</v>
      </c>
      <c r="C7" s="1" t="s">
        <v>4828</v>
      </c>
      <c r="D7" s="1" t="s">
        <v>49</v>
      </c>
      <c r="E7" s="1" t="s">
        <v>4824</v>
      </c>
      <c r="F7" s="1" t="s">
        <v>4825</v>
      </c>
      <c r="G7" t="str">
        <f>_xlfn.CONCAT(C7,D7,E7,F7)</f>
        <v>IFAJ</v>
      </c>
      <c r="H7">
        <f>COUNTIF(IDs!AK:AK,Resumen!G7)</f>
        <v>6</v>
      </c>
    </row>
    <row r="8" spans="2:8" x14ac:dyDescent="0.2">
      <c r="B8">
        <v>2</v>
      </c>
      <c r="C8" s="1" t="s">
        <v>4828</v>
      </c>
      <c r="D8" s="1" t="s">
        <v>49</v>
      </c>
      <c r="E8" s="1" t="s">
        <v>4824</v>
      </c>
      <c r="F8" s="1" t="s">
        <v>35</v>
      </c>
      <c r="G8" t="str">
        <f t="shared" ref="G8:G30" si="0">_xlfn.CONCAT(C8,D8,E8,F8)</f>
        <v>IFAM</v>
      </c>
      <c r="H8">
        <f>COUNTIF(IDs!AK:AK,Resumen!G8)</f>
        <v>3</v>
      </c>
    </row>
    <row r="9" spans="2:8" x14ac:dyDescent="0.2">
      <c r="B9">
        <v>3</v>
      </c>
      <c r="C9" s="1" t="s">
        <v>4828</v>
      </c>
      <c r="D9" s="1" t="s">
        <v>49</v>
      </c>
      <c r="E9" s="1" t="s">
        <v>4826</v>
      </c>
      <c r="F9" s="1" t="s">
        <v>4825</v>
      </c>
      <c r="G9" t="str">
        <f t="shared" si="0"/>
        <v>IFBJ</v>
      </c>
      <c r="H9">
        <f>COUNTIF(IDs!AK:AK,Resumen!G9)</f>
        <v>9</v>
      </c>
    </row>
    <row r="10" spans="2:8" x14ac:dyDescent="0.2">
      <c r="B10">
        <v>4</v>
      </c>
      <c r="C10" s="1" t="s">
        <v>4828</v>
      </c>
      <c r="D10" s="1" t="s">
        <v>49</v>
      </c>
      <c r="E10" s="1" t="s">
        <v>4826</v>
      </c>
      <c r="F10" s="1" t="s">
        <v>35</v>
      </c>
      <c r="G10" t="str">
        <f t="shared" si="0"/>
        <v>IFBM</v>
      </c>
      <c r="H10">
        <f>COUNTIF(IDs!AK:AK,Resumen!G10)</f>
        <v>7</v>
      </c>
    </row>
    <row r="11" spans="2:8" x14ac:dyDescent="0.2">
      <c r="B11">
        <v>5</v>
      </c>
      <c r="C11" s="1" t="s">
        <v>4828</v>
      </c>
      <c r="D11" s="1" t="s">
        <v>35</v>
      </c>
      <c r="E11" s="1" t="s">
        <v>4824</v>
      </c>
      <c r="F11" s="1" t="s">
        <v>4825</v>
      </c>
      <c r="G11" t="str">
        <f t="shared" si="0"/>
        <v>IMAJ</v>
      </c>
      <c r="H11">
        <f>COUNTIF(IDs!AK:AK,Resumen!G11)</f>
        <v>51</v>
      </c>
    </row>
    <row r="12" spans="2:8" x14ac:dyDescent="0.2">
      <c r="B12">
        <v>6</v>
      </c>
      <c r="C12" s="1" t="s">
        <v>4828</v>
      </c>
      <c r="D12" s="1" t="s">
        <v>35</v>
      </c>
      <c r="E12" s="1" t="s">
        <v>4824</v>
      </c>
      <c r="F12" s="1" t="s">
        <v>35</v>
      </c>
      <c r="G12" t="str">
        <f t="shared" si="0"/>
        <v>IMAM</v>
      </c>
      <c r="H12">
        <f>COUNTIF(IDs!AK:AK,Resumen!G12)</f>
        <v>44</v>
      </c>
    </row>
    <row r="13" spans="2:8" x14ac:dyDescent="0.2">
      <c r="B13">
        <v>7</v>
      </c>
      <c r="C13" s="1" t="s">
        <v>4828</v>
      </c>
      <c r="D13" s="1" t="s">
        <v>35</v>
      </c>
      <c r="E13" s="1" t="s">
        <v>4826</v>
      </c>
      <c r="F13" s="1" t="s">
        <v>4825</v>
      </c>
      <c r="G13" t="str">
        <f t="shared" si="0"/>
        <v>IMBJ</v>
      </c>
      <c r="H13">
        <f>COUNTIF(IDs!AK:AK,Resumen!G13)</f>
        <v>59</v>
      </c>
    </row>
    <row r="14" spans="2:8" x14ac:dyDescent="0.2">
      <c r="B14">
        <v>8</v>
      </c>
      <c r="C14" s="1" t="s">
        <v>4828</v>
      </c>
      <c r="D14" s="1" t="s">
        <v>35</v>
      </c>
      <c r="E14" s="1" t="s">
        <v>4826</v>
      </c>
      <c r="F14" s="1" t="s">
        <v>35</v>
      </c>
      <c r="G14" t="str">
        <f t="shared" si="0"/>
        <v>IMBM</v>
      </c>
      <c r="H14">
        <f>COUNTIF(IDs!AK:AK,Resumen!G14)</f>
        <v>64</v>
      </c>
    </row>
    <row r="15" spans="2:8" x14ac:dyDescent="0.2">
      <c r="B15">
        <v>9</v>
      </c>
      <c r="C15" s="1" t="s">
        <v>4823</v>
      </c>
      <c r="D15" s="1" t="s">
        <v>49</v>
      </c>
      <c r="E15" s="1" t="s">
        <v>4824</v>
      </c>
      <c r="F15" s="1" t="s">
        <v>4825</v>
      </c>
      <c r="G15" t="str">
        <f t="shared" si="0"/>
        <v>CFAJ</v>
      </c>
      <c r="H15">
        <f>COUNTIF(IDs!AK:AK,Resumen!G15)</f>
        <v>86</v>
      </c>
    </row>
    <row r="16" spans="2:8" x14ac:dyDescent="0.2">
      <c r="B16">
        <v>10</v>
      </c>
      <c r="C16" s="1" t="s">
        <v>4823</v>
      </c>
      <c r="D16" s="1" t="s">
        <v>49</v>
      </c>
      <c r="E16" s="1" t="s">
        <v>4824</v>
      </c>
      <c r="F16" s="1" t="s">
        <v>35</v>
      </c>
      <c r="G16" t="str">
        <f t="shared" si="0"/>
        <v>CFAM</v>
      </c>
      <c r="H16">
        <f>COUNTIF(IDs!AK:AK,Resumen!G16)</f>
        <v>71</v>
      </c>
    </row>
    <row r="17" spans="2:8" x14ac:dyDescent="0.2">
      <c r="B17">
        <v>11</v>
      </c>
      <c r="C17" s="1" t="s">
        <v>4823</v>
      </c>
      <c r="D17" s="1" t="s">
        <v>49</v>
      </c>
      <c r="E17" s="1" t="s">
        <v>4826</v>
      </c>
      <c r="F17" s="1" t="s">
        <v>4825</v>
      </c>
      <c r="G17" t="str">
        <f t="shared" si="0"/>
        <v>CFBJ</v>
      </c>
      <c r="H17">
        <f>COUNTIF(IDs!AK:AK,Resumen!G17)</f>
        <v>128</v>
      </c>
    </row>
    <row r="18" spans="2:8" x14ac:dyDescent="0.2">
      <c r="B18">
        <v>12</v>
      </c>
      <c r="C18" s="1" t="s">
        <v>4823</v>
      </c>
      <c r="D18" s="1" t="s">
        <v>49</v>
      </c>
      <c r="E18" s="1" t="s">
        <v>4826</v>
      </c>
      <c r="F18" s="1" t="s">
        <v>35</v>
      </c>
      <c r="G18" t="str">
        <f t="shared" si="0"/>
        <v>CFBM</v>
      </c>
      <c r="H18">
        <f>COUNTIF(IDs!AK:AK,Resumen!G18)</f>
        <v>77</v>
      </c>
    </row>
    <row r="19" spans="2:8" x14ac:dyDescent="0.2">
      <c r="B19">
        <v>13</v>
      </c>
      <c r="C19" s="1" t="s">
        <v>4823</v>
      </c>
      <c r="D19" s="1" t="s">
        <v>35</v>
      </c>
      <c r="E19" s="1" t="s">
        <v>4824</v>
      </c>
      <c r="F19" s="1" t="s">
        <v>4825</v>
      </c>
      <c r="G19" t="str">
        <f t="shared" si="0"/>
        <v>CMAJ</v>
      </c>
      <c r="H19">
        <f>COUNTIF(IDs!AK:AK,Resumen!G19)</f>
        <v>577</v>
      </c>
    </row>
    <row r="20" spans="2:8" x14ac:dyDescent="0.2">
      <c r="B20">
        <v>14</v>
      </c>
      <c r="C20" s="1" t="s">
        <v>4823</v>
      </c>
      <c r="D20" s="1" t="s">
        <v>35</v>
      </c>
      <c r="E20" s="1" t="s">
        <v>4824</v>
      </c>
      <c r="F20" s="1" t="s">
        <v>35</v>
      </c>
      <c r="G20" t="str">
        <f t="shared" si="0"/>
        <v>CMAM</v>
      </c>
      <c r="H20">
        <f>COUNTIF(IDs!AK:AK,Resumen!G20)</f>
        <v>397</v>
      </c>
    </row>
    <row r="21" spans="2:8" x14ac:dyDescent="0.2">
      <c r="B21">
        <v>15</v>
      </c>
      <c r="C21" s="1" t="s">
        <v>4823</v>
      </c>
      <c r="D21" s="1" t="s">
        <v>35</v>
      </c>
      <c r="E21" s="1" t="s">
        <v>4826</v>
      </c>
      <c r="F21" s="1" t="s">
        <v>4825</v>
      </c>
      <c r="G21" t="str">
        <f t="shared" si="0"/>
        <v>CMBJ</v>
      </c>
      <c r="H21">
        <f>COUNTIF(IDs!AK:AK,Resumen!G21)</f>
        <v>455</v>
      </c>
    </row>
    <row r="22" spans="2:8" x14ac:dyDescent="0.2">
      <c r="B22">
        <v>16</v>
      </c>
      <c r="C22" s="1" t="s">
        <v>4823</v>
      </c>
      <c r="D22" s="1" t="s">
        <v>35</v>
      </c>
      <c r="E22" s="1" t="s">
        <v>4826</v>
      </c>
      <c r="F22" s="1" t="s">
        <v>35</v>
      </c>
      <c r="G22" t="str">
        <f t="shared" si="0"/>
        <v>CMBM</v>
      </c>
      <c r="H22">
        <f>COUNTIF(IDs!AK:AK,Resumen!G22)</f>
        <v>456</v>
      </c>
    </row>
    <row r="23" spans="2:8" x14ac:dyDescent="0.2">
      <c r="B23">
        <v>17</v>
      </c>
      <c r="C23" s="1" t="s">
        <v>4827</v>
      </c>
      <c r="D23" s="1" t="s">
        <v>49</v>
      </c>
      <c r="E23" s="1" t="s">
        <v>4824</v>
      </c>
      <c r="F23" s="1" t="s">
        <v>4825</v>
      </c>
      <c r="G23" t="str">
        <f t="shared" si="0"/>
        <v>DFAJ</v>
      </c>
      <c r="H23">
        <f>COUNTIF(IDs!AK:AK,Resumen!G23)</f>
        <v>18</v>
      </c>
    </row>
    <row r="24" spans="2:8" x14ac:dyDescent="0.2">
      <c r="B24">
        <v>18</v>
      </c>
      <c r="C24" s="1" t="s">
        <v>4827</v>
      </c>
      <c r="D24" s="1" t="s">
        <v>49</v>
      </c>
      <c r="E24" s="1" t="s">
        <v>4824</v>
      </c>
      <c r="F24" s="1" t="s">
        <v>35</v>
      </c>
      <c r="G24" t="str">
        <f t="shared" si="0"/>
        <v>DFAM</v>
      </c>
      <c r="H24">
        <f>COUNTIF(IDs!AK:AK,Resumen!G24)</f>
        <v>12</v>
      </c>
    </row>
    <row r="25" spans="2:8" x14ac:dyDescent="0.2">
      <c r="B25">
        <v>19</v>
      </c>
      <c r="C25" s="1" t="s">
        <v>4827</v>
      </c>
      <c r="D25" s="1" t="s">
        <v>49</v>
      </c>
      <c r="E25" s="1" t="s">
        <v>4826</v>
      </c>
      <c r="F25" s="1" t="s">
        <v>4825</v>
      </c>
      <c r="G25" t="str">
        <f t="shared" si="0"/>
        <v>DFBJ</v>
      </c>
      <c r="H25">
        <f>COUNTIF(IDs!AK:AK,Resumen!G25)</f>
        <v>18</v>
      </c>
    </row>
    <row r="26" spans="2:8" x14ac:dyDescent="0.2">
      <c r="B26">
        <v>20</v>
      </c>
      <c r="C26" s="1" t="s">
        <v>4827</v>
      </c>
      <c r="D26" s="1" t="s">
        <v>49</v>
      </c>
      <c r="E26" s="1" t="s">
        <v>4826</v>
      </c>
      <c r="F26" s="1" t="s">
        <v>35</v>
      </c>
      <c r="G26" t="str">
        <f t="shared" si="0"/>
        <v>DFBM</v>
      </c>
      <c r="H26">
        <f>COUNTIF(IDs!AK:AK,Resumen!G26)</f>
        <v>12</v>
      </c>
    </row>
    <row r="27" spans="2:8" x14ac:dyDescent="0.2">
      <c r="B27">
        <v>21</v>
      </c>
      <c r="C27" s="1" t="s">
        <v>4827</v>
      </c>
      <c r="D27" s="1" t="s">
        <v>35</v>
      </c>
      <c r="E27" s="1" t="s">
        <v>4824</v>
      </c>
      <c r="F27" s="1" t="s">
        <v>4825</v>
      </c>
      <c r="G27" t="str">
        <f t="shared" si="0"/>
        <v>DMAJ</v>
      </c>
      <c r="H27">
        <f>COUNTIF(IDs!AK:AK,Resumen!G27)</f>
        <v>69</v>
      </c>
    </row>
    <row r="28" spans="2:8" x14ac:dyDescent="0.2">
      <c r="B28">
        <v>22</v>
      </c>
      <c r="C28" s="1" t="s">
        <v>4827</v>
      </c>
      <c r="D28" s="1" t="s">
        <v>35</v>
      </c>
      <c r="E28" s="1" t="s">
        <v>4824</v>
      </c>
      <c r="F28" s="1" t="s">
        <v>35</v>
      </c>
      <c r="G28" t="str">
        <f t="shared" si="0"/>
        <v>DMAM</v>
      </c>
      <c r="H28">
        <f>COUNTIF(IDs!AK:AK,Resumen!G28)</f>
        <v>49</v>
      </c>
    </row>
    <row r="29" spans="2:8" x14ac:dyDescent="0.2">
      <c r="B29">
        <v>23</v>
      </c>
      <c r="C29" s="1" t="s">
        <v>4827</v>
      </c>
      <c r="D29" s="1" t="s">
        <v>35</v>
      </c>
      <c r="E29" s="1" t="s">
        <v>4826</v>
      </c>
      <c r="F29" s="1" t="s">
        <v>4825</v>
      </c>
      <c r="G29" t="str">
        <f t="shared" si="0"/>
        <v>DMBJ</v>
      </c>
      <c r="H29">
        <f>COUNTIF(IDs!AK:AK,Resumen!G29)</f>
        <v>45</v>
      </c>
    </row>
    <row r="30" spans="2:8" x14ac:dyDescent="0.2">
      <c r="B30">
        <v>24</v>
      </c>
      <c r="C30" s="1" t="s">
        <v>4827</v>
      </c>
      <c r="D30" s="1" t="s">
        <v>35</v>
      </c>
      <c r="E30" s="1" t="s">
        <v>4826</v>
      </c>
      <c r="F30" s="1" t="s">
        <v>35</v>
      </c>
      <c r="G30" t="str">
        <f t="shared" si="0"/>
        <v>DMBM</v>
      </c>
      <c r="H30">
        <f>COUNTIF(IDs!AK:AK,Resumen!G30)</f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B56E-0CB2-444A-A8B6-5F119260143D}">
  <dimension ref="A1:G73"/>
  <sheetViews>
    <sheetView tabSelected="1" zoomScale="150" zoomScaleNormal="150" workbookViewId="0">
      <selection activeCell="A2" sqref="A2:G12"/>
    </sheetView>
  </sheetViews>
  <sheetFormatPr baseColWidth="10" defaultRowHeight="15" x14ac:dyDescent="0.2"/>
  <cols>
    <col min="6" max="6" width="43.1640625" bestFit="1" customWidth="1"/>
  </cols>
  <sheetData>
    <row r="1" spans="1:7" x14ac:dyDescent="0.2">
      <c r="A1" s="1" t="s">
        <v>4829</v>
      </c>
      <c r="B1" t="s">
        <v>4819</v>
      </c>
      <c r="C1" t="s">
        <v>4820</v>
      </c>
      <c r="D1" t="s">
        <v>4821</v>
      </c>
      <c r="E1" t="s">
        <v>4822</v>
      </c>
      <c r="F1" s="1" t="s">
        <v>4854</v>
      </c>
      <c r="G1" s="1" t="s">
        <v>0</v>
      </c>
    </row>
    <row r="2" spans="1:7" x14ac:dyDescent="0.2">
      <c r="A2" s="4" t="s">
        <v>4838</v>
      </c>
      <c r="B2" t="str">
        <f>IF(LEFT(A2,1)="I","Izquierda",IF(LEFT(A2,1)="C","Centro","Derecha"))</f>
        <v>Centro</v>
      </c>
      <c r="C2" t="str">
        <f>IF(RIGHT(LEFT(A2,2),1)="F","Femenino","Masculino")</f>
        <v>Femenino</v>
      </c>
      <c r="D2" t="str">
        <f>IF(RIGHT(LEFT(A2,3),1)="A","Alta","Baja")</f>
        <v>Alta</v>
      </c>
      <c r="E2" t="str">
        <f>IF(RIGHT(A2,1)="J","Joven","Mayor")</f>
        <v>Joven</v>
      </c>
      <c r="F2" s="1" t="s">
        <v>583</v>
      </c>
      <c r="G2" s="1">
        <v>10128905</v>
      </c>
    </row>
    <row r="3" spans="1:7" x14ac:dyDescent="0.2">
      <c r="A3" s="4" t="s">
        <v>4838</v>
      </c>
      <c r="B3" t="str">
        <f>IF(LEFT(A3,1)="I","Izquierda",IF(LEFT(A3,1)="C","Centro","Derecha"))</f>
        <v>Centro</v>
      </c>
      <c r="C3" t="str">
        <f>IF(RIGHT(LEFT(A3,2),1)="F","Femenino","Masculino")</f>
        <v>Femenino</v>
      </c>
      <c r="D3" t="str">
        <f>IF(RIGHT(LEFT(A3,3),1)="A","Alta","Baja")</f>
        <v>Alta</v>
      </c>
      <c r="E3" t="str">
        <f>IF(RIGHT(A3,1)="J","Joven","Mayor")</f>
        <v>Joven</v>
      </c>
      <c r="F3" s="1" t="s">
        <v>2855</v>
      </c>
      <c r="G3" s="1">
        <v>212805</v>
      </c>
    </row>
    <row r="4" spans="1:7" x14ac:dyDescent="0.2">
      <c r="A4" s="4" t="s">
        <v>4838</v>
      </c>
      <c r="B4" t="str">
        <f>IF(LEFT(A4,1)="I","Izquierda",IF(LEFT(A4,1)="C","Centro","Derecha"))</f>
        <v>Centro</v>
      </c>
      <c r="C4" t="str">
        <f>IF(RIGHT(LEFT(A4,2),1)="F","Femenino","Masculino")</f>
        <v>Femenino</v>
      </c>
      <c r="D4" t="str">
        <f>IF(RIGHT(LEFT(A4,3),1)="A","Alta","Baja")</f>
        <v>Alta</v>
      </c>
      <c r="E4" t="str">
        <f>IF(RIGHT(A4,1)="J","Joven","Mayor")</f>
        <v>Joven</v>
      </c>
      <c r="F4" s="1" t="s">
        <v>853</v>
      </c>
      <c r="G4" s="1">
        <v>1034610</v>
      </c>
    </row>
    <row r="5" spans="1:7" x14ac:dyDescent="0.2">
      <c r="A5" s="4" t="s">
        <v>4839</v>
      </c>
      <c r="B5" t="str">
        <f>IF(LEFT(A5,1)="I","Izquierda",IF(LEFT(A5,1)="C","Centro","Derecha"))</f>
        <v>Centro</v>
      </c>
      <c r="C5" t="str">
        <f>IF(RIGHT(LEFT(A5,2),1)="F","Femenino","Masculino")</f>
        <v>Femenino</v>
      </c>
      <c r="D5" t="str">
        <f>IF(RIGHT(LEFT(A5,3),1)="A","Alta","Baja")</f>
        <v>Alta</v>
      </c>
      <c r="E5" t="str">
        <f>IF(RIGHT(A5,1)="J","Joven","Mayor")</f>
        <v>Mayor</v>
      </c>
      <c r="F5" s="1" t="s">
        <v>1831</v>
      </c>
      <c r="G5" s="1">
        <v>1230008</v>
      </c>
    </row>
    <row r="6" spans="1:7" x14ac:dyDescent="0.2">
      <c r="A6" s="4" t="s">
        <v>4839</v>
      </c>
      <c r="B6" t="str">
        <f>IF(LEFT(A6,1)="I","Izquierda",IF(LEFT(A6,1)="C","Centro","Derecha"))</f>
        <v>Centro</v>
      </c>
      <c r="C6" t="str">
        <f>IF(RIGHT(LEFT(A6,2),1)="F","Femenino","Masculino")</f>
        <v>Femenino</v>
      </c>
      <c r="D6" t="str">
        <f>IF(RIGHT(LEFT(A6,3),1)="A","Alta","Baja")</f>
        <v>Alta</v>
      </c>
      <c r="E6" t="str">
        <f>IF(RIGHT(A6,1)="J","Joven","Mayor")</f>
        <v>Mayor</v>
      </c>
      <c r="F6" s="1" t="s">
        <v>566</v>
      </c>
      <c r="G6" s="1">
        <v>10128201</v>
      </c>
    </row>
    <row r="7" spans="1:7" x14ac:dyDescent="0.2">
      <c r="A7" s="4" t="s">
        <v>4839</v>
      </c>
      <c r="B7" t="str">
        <f>IF(LEFT(A7,1)="I","Izquierda",IF(LEFT(A7,1)="C","Centro","Derecha"))</f>
        <v>Centro</v>
      </c>
      <c r="C7" t="str">
        <f>IF(RIGHT(LEFT(A7,2),1)="F","Femenino","Masculino")</f>
        <v>Femenino</v>
      </c>
      <c r="D7" t="str">
        <f>IF(RIGHT(LEFT(A7,3),1)="A","Alta","Baja")</f>
        <v>Alta</v>
      </c>
      <c r="E7" t="str">
        <f>IF(RIGHT(A7,1)="J","Joven","Mayor")</f>
        <v>Mayor</v>
      </c>
      <c r="F7" s="1" t="s">
        <v>1494</v>
      </c>
      <c r="G7" s="1">
        <v>1077803</v>
      </c>
    </row>
    <row r="8" spans="1:7" x14ac:dyDescent="0.2">
      <c r="A8" s="4" t="s">
        <v>4840</v>
      </c>
      <c r="B8" t="str">
        <f>IF(LEFT(A8,1)="I","Izquierda",IF(LEFT(A8,1)="C","Centro","Derecha"))</f>
        <v>Centro</v>
      </c>
      <c r="C8" t="str">
        <f>IF(RIGHT(LEFT(A8,2),1)="F","Femenino","Masculino")</f>
        <v>Femenino</v>
      </c>
      <c r="D8" t="str">
        <f>IF(RIGHT(LEFT(A8,3),1)="A","Alta","Baja")</f>
        <v>Baja</v>
      </c>
      <c r="E8" t="str">
        <f>IF(RIGHT(A8,1)="J","Joven","Mayor")</f>
        <v>Joven</v>
      </c>
      <c r="F8" s="1" t="s">
        <v>729</v>
      </c>
      <c r="G8" s="1">
        <v>1017604</v>
      </c>
    </row>
    <row r="9" spans="1:7" x14ac:dyDescent="0.2">
      <c r="A9" s="4" t="s">
        <v>4840</v>
      </c>
      <c r="B9" t="str">
        <f>IF(LEFT(A9,1)="I","Izquierda",IF(LEFT(A9,1)="C","Centro","Derecha"))</f>
        <v>Centro</v>
      </c>
      <c r="C9" t="str">
        <f>IF(RIGHT(LEFT(A9,2),1)="F","Femenino","Masculino")</f>
        <v>Femenino</v>
      </c>
      <c r="D9" t="str">
        <f>IF(RIGHT(LEFT(A9,3),1)="A","Alta","Baja")</f>
        <v>Baja</v>
      </c>
      <c r="E9" t="str">
        <f>IF(RIGHT(A9,1)="J","Joven","Mayor")</f>
        <v>Joven</v>
      </c>
      <c r="F9" s="1" t="s">
        <v>2907</v>
      </c>
      <c r="G9" s="1">
        <v>217906</v>
      </c>
    </row>
    <row r="10" spans="1:7" x14ac:dyDescent="0.2">
      <c r="A10" s="4" t="s">
        <v>4840</v>
      </c>
      <c r="B10" t="str">
        <f>IF(LEFT(A10,1)="I","Izquierda",IF(LEFT(A10,1)="C","Centro","Derecha"))</f>
        <v>Centro</v>
      </c>
      <c r="C10" t="str">
        <f>IF(RIGHT(LEFT(A10,2),1)="F","Femenino","Masculino")</f>
        <v>Femenino</v>
      </c>
      <c r="D10" t="str">
        <f>IF(RIGHT(LEFT(A10,3),1)="A","Alta","Baja")</f>
        <v>Baja</v>
      </c>
      <c r="E10" t="str">
        <f>IF(RIGHT(A10,1)="J","Joven","Mayor")</f>
        <v>Joven</v>
      </c>
      <c r="F10" s="1" t="s">
        <v>210</v>
      </c>
      <c r="G10" s="1">
        <v>10115005</v>
      </c>
    </row>
    <row r="11" spans="1:7" x14ac:dyDescent="0.2">
      <c r="A11" s="4" t="s">
        <v>4841</v>
      </c>
      <c r="B11" t="str">
        <f>IF(LEFT(A11,1)="I","Izquierda",IF(LEFT(A11,1)="C","Centro","Derecha"))</f>
        <v>Centro</v>
      </c>
      <c r="C11" t="str">
        <f>IF(RIGHT(LEFT(A11,2),1)="F","Femenino","Masculino")</f>
        <v>Femenino</v>
      </c>
      <c r="D11" t="str">
        <f>IF(RIGHT(LEFT(A11,3),1)="A","Alta","Baja")</f>
        <v>Baja</v>
      </c>
      <c r="E11" t="str">
        <f>IF(RIGHT(A11,1)="J","Joven","Mayor")</f>
        <v>Mayor</v>
      </c>
      <c r="F11" s="1" t="s">
        <v>4187</v>
      </c>
      <c r="G11" s="1">
        <v>312206</v>
      </c>
    </row>
    <row r="12" spans="1:7" x14ac:dyDescent="0.2">
      <c r="A12" s="4" t="s">
        <v>4841</v>
      </c>
      <c r="B12" t="str">
        <f>IF(LEFT(A12,1)="I","Izquierda",IF(LEFT(A12,1)="C","Centro","Derecha"))</f>
        <v>Centro</v>
      </c>
      <c r="C12" t="str">
        <f>IF(RIGHT(LEFT(A12,2),1)="F","Femenino","Masculino")</f>
        <v>Femenino</v>
      </c>
      <c r="D12" t="str">
        <f>IF(RIGHT(LEFT(A12,3),1)="A","Alta","Baja")</f>
        <v>Baja</v>
      </c>
      <c r="E12" t="str">
        <f>IF(RIGHT(A12,1)="J","Joven","Mayor")</f>
        <v>Mayor</v>
      </c>
      <c r="F12" s="1" t="s">
        <v>3805</v>
      </c>
      <c r="G12" s="1">
        <v>2820006</v>
      </c>
    </row>
    <row r="13" spans="1:7" x14ac:dyDescent="0.2">
      <c r="A13" s="4" t="s">
        <v>4841</v>
      </c>
      <c r="B13" t="str">
        <f>IF(LEFT(A13,1)="I","Izquierda",IF(LEFT(A13,1)="C","Centro","Derecha"))</f>
        <v>Centro</v>
      </c>
      <c r="C13" t="str">
        <f>IF(RIGHT(LEFT(A13,2),1)="F","Femenino","Masculino")</f>
        <v>Femenino</v>
      </c>
      <c r="D13" t="str">
        <f>IF(RIGHT(LEFT(A13,3),1)="A","Alta","Baja")</f>
        <v>Baja</v>
      </c>
      <c r="E13" t="str">
        <f>IF(RIGHT(A13,1)="J","Joven","Mayor")</f>
        <v>Mayor</v>
      </c>
      <c r="F13" s="1" t="s">
        <v>2738</v>
      </c>
      <c r="G13" s="1">
        <v>194904</v>
      </c>
    </row>
    <row r="14" spans="1:7" x14ac:dyDescent="0.2">
      <c r="A14" s="4" t="s">
        <v>4842</v>
      </c>
      <c r="B14" t="str">
        <f>IF(LEFT(A14,1)="I","Izquierda",IF(LEFT(A14,1)="C","Centro","Derecha"))</f>
        <v>Centro</v>
      </c>
      <c r="C14" t="str">
        <f>IF(RIGHT(LEFT(A14,2),1)="F","Femenino","Masculino")</f>
        <v>Masculino</v>
      </c>
      <c r="D14" t="str">
        <f>IF(RIGHT(LEFT(A14,3),1)="A","Alta","Baja")</f>
        <v>Alta</v>
      </c>
      <c r="E14" t="str">
        <f>IF(RIGHT(A14,1)="J","Joven","Mayor")</f>
        <v>Joven</v>
      </c>
      <c r="F14" s="1" t="s">
        <v>2640</v>
      </c>
      <c r="G14" s="1">
        <v>173803</v>
      </c>
    </row>
    <row r="15" spans="1:7" x14ac:dyDescent="0.2">
      <c r="A15" s="4" t="s">
        <v>4842</v>
      </c>
      <c r="B15" t="str">
        <f>IF(LEFT(A15,1)="I","Izquierda",IF(LEFT(A15,1)="C","Centro","Derecha"))</f>
        <v>Centro</v>
      </c>
      <c r="C15" t="str">
        <f>IF(RIGHT(LEFT(A15,2),1)="F","Femenino","Masculino")</f>
        <v>Masculino</v>
      </c>
      <c r="D15" t="str">
        <f>IF(RIGHT(LEFT(A15,3),1)="A","Alta","Baja")</f>
        <v>Alta</v>
      </c>
      <c r="E15" t="str">
        <f>IF(RIGHT(A15,1)="J","Joven","Mayor")</f>
        <v>Joven</v>
      </c>
      <c r="F15" s="1" t="s">
        <v>3866</v>
      </c>
      <c r="G15" s="1">
        <v>284204</v>
      </c>
    </row>
    <row r="16" spans="1:7" x14ac:dyDescent="0.2">
      <c r="A16" s="4" t="s">
        <v>4842</v>
      </c>
      <c r="B16" t="str">
        <f>IF(LEFT(A16,1)="I","Izquierda",IF(LEFT(A16,1)="C","Centro","Derecha"))</f>
        <v>Centro</v>
      </c>
      <c r="C16" t="str">
        <f>IF(RIGHT(LEFT(A16,2),1)="F","Femenino","Masculino")</f>
        <v>Masculino</v>
      </c>
      <c r="D16" t="str">
        <f>IF(RIGHT(LEFT(A16,3),1)="A","Alta","Baja")</f>
        <v>Alta</v>
      </c>
      <c r="E16" t="str">
        <f>IF(RIGHT(A16,1)="J","Joven","Mayor")</f>
        <v>Joven</v>
      </c>
      <c r="F16" s="1" t="s">
        <v>4690</v>
      </c>
      <c r="G16" s="1">
        <v>540701</v>
      </c>
    </row>
    <row r="17" spans="1:7" x14ac:dyDescent="0.2">
      <c r="A17" s="4" t="s">
        <v>4843</v>
      </c>
      <c r="B17" t="str">
        <f>IF(LEFT(A17,1)="I","Izquierda",IF(LEFT(A17,1)="C","Centro","Derecha"))</f>
        <v>Centro</v>
      </c>
      <c r="C17" t="str">
        <f>IF(RIGHT(LEFT(A17,2),1)="F","Femenino","Masculino")</f>
        <v>Masculino</v>
      </c>
      <c r="D17" t="str">
        <f>IF(RIGHT(LEFT(A17,3),1)="A","Alta","Baja")</f>
        <v>Alta</v>
      </c>
      <c r="E17" t="str">
        <f>IF(RIGHT(A17,1)="J","Joven","Mayor")</f>
        <v>Mayor</v>
      </c>
      <c r="F17" s="1" t="s">
        <v>1030</v>
      </c>
      <c r="G17" s="1">
        <v>1057607</v>
      </c>
    </row>
    <row r="18" spans="1:7" x14ac:dyDescent="0.2">
      <c r="A18" s="4" t="s">
        <v>4843</v>
      </c>
      <c r="B18" t="str">
        <f>IF(LEFT(A18,1)="I","Izquierda",IF(LEFT(A18,1)="C","Centro","Derecha"))</f>
        <v>Centro</v>
      </c>
      <c r="C18" t="str">
        <f>IF(RIGHT(LEFT(A18,2),1)="F","Femenino","Masculino")</f>
        <v>Masculino</v>
      </c>
      <c r="D18" t="str">
        <f>IF(RIGHT(LEFT(A18,3),1)="A","Alta","Baja")</f>
        <v>Alta</v>
      </c>
      <c r="E18" t="str">
        <f>IF(RIGHT(A18,1)="J","Joven","Mayor")</f>
        <v>Mayor</v>
      </c>
      <c r="F18" s="1" t="s">
        <v>649</v>
      </c>
      <c r="G18" s="1">
        <v>1013702</v>
      </c>
    </row>
    <row r="19" spans="1:7" x14ac:dyDescent="0.2">
      <c r="A19" s="4" t="s">
        <v>4843</v>
      </c>
      <c r="B19" t="str">
        <f>IF(LEFT(A19,1)="I","Izquierda",IF(LEFT(A19,1)="C","Centro","Derecha"))</f>
        <v>Centro</v>
      </c>
      <c r="C19" t="str">
        <f>IF(RIGHT(LEFT(A19,2),1)="F","Femenino","Masculino")</f>
        <v>Masculino</v>
      </c>
      <c r="D19" t="str">
        <f>IF(RIGHT(LEFT(A19,3),1)="A","Alta","Baja")</f>
        <v>Alta</v>
      </c>
      <c r="E19" t="str">
        <f>IF(RIGHT(A19,1)="J","Joven","Mayor")</f>
        <v>Mayor</v>
      </c>
      <c r="F19" s="1" t="s">
        <v>1640</v>
      </c>
      <c r="G19" s="1">
        <v>1098201</v>
      </c>
    </row>
    <row r="20" spans="1:7" x14ac:dyDescent="0.2">
      <c r="A20" s="4" t="s">
        <v>4844</v>
      </c>
      <c r="B20" t="str">
        <f>IF(LEFT(A20,1)="I","Izquierda",IF(LEFT(A20,1)="C","Centro","Derecha"))</f>
        <v>Centro</v>
      </c>
      <c r="C20" t="str">
        <f>IF(RIGHT(LEFT(A20,2),1)="F","Femenino","Masculino")</f>
        <v>Masculino</v>
      </c>
      <c r="D20" t="str">
        <f>IF(RIGHT(LEFT(A20,3),1)="A","Alta","Baja")</f>
        <v>Baja</v>
      </c>
      <c r="E20" t="str">
        <f>IF(RIGHT(A20,1)="J","Joven","Mayor")</f>
        <v>Joven</v>
      </c>
      <c r="F20" s="1" t="s">
        <v>2505</v>
      </c>
      <c r="G20" s="1">
        <v>156703</v>
      </c>
    </row>
    <row r="21" spans="1:7" x14ac:dyDescent="0.2">
      <c r="A21" s="4" t="s">
        <v>4844</v>
      </c>
      <c r="B21" t="str">
        <f>IF(LEFT(A21,1)="I","Izquierda",IF(LEFT(A21,1)="C","Centro","Derecha"))</f>
        <v>Centro</v>
      </c>
      <c r="C21" t="str">
        <f>IF(RIGHT(LEFT(A21,2),1)="F","Femenino","Masculino")</f>
        <v>Masculino</v>
      </c>
      <c r="D21" t="str">
        <f>IF(RIGHT(LEFT(A21,3),1)="A","Alta","Baja")</f>
        <v>Baja</v>
      </c>
      <c r="E21" t="str">
        <f>IF(RIGHT(A21,1)="J","Joven","Mayor")</f>
        <v>Joven</v>
      </c>
      <c r="F21" s="1" t="s">
        <v>3965</v>
      </c>
      <c r="G21" s="1">
        <v>2912706</v>
      </c>
    </row>
    <row r="22" spans="1:7" x14ac:dyDescent="0.2">
      <c r="A22" s="4" t="s">
        <v>4844</v>
      </c>
      <c r="B22" t="str">
        <f>IF(LEFT(A22,1)="I","Izquierda",IF(LEFT(A22,1)="C","Centro","Derecha"))</f>
        <v>Centro</v>
      </c>
      <c r="C22" t="str">
        <f>IF(RIGHT(LEFT(A22,2),1)="F","Femenino","Masculino")</f>
        <v>Masculino</v>
      </c>
      <c r="D22" t="str">
        <f>IF(RIGHT(LEFT(A22,3),1)="A","Alta","Baja")</f>
        <v>Baja</v>
      </c>
      <c r="E22" t="str">
        <f>IF(RIGHT(A22,1)="J","Joven","Mayor")</f>
        <v>Joven</v>
      </c>
      <c r="F22" s="1" t="s">
        <v>4065</v>
      </c>
      <c r="G22" s="1">
        <v>297601</v>
      </c>
    </row>
    <row r="23" spans="1:7" x14ac:dyDescent="0.2">
      <c r="A23" s="4" t="s">
        <v>4845</v>
      </c>
      <c r="B23" t="str">
        <f>IF(LEFT(A23,1)="I","Izquierda",IF(LEFT(A23,1)="C","Centro","Derecha"))</f>
        <v>Centro</v>
      </c>
      <c r="C23" t="str">
        <f>IF(RIGHT(LEFT(A23,2),1)="F","Femenino","Masculino")</f>
        <v>Masculino</v>
      </c>
      <c r="D23" t="str">
        <f>IF(RIGHT(LEFT(A23,3),1)="A","Alta","Baja")</f>
        <v>Baja</v>
      </c>
      <c r="E23" t="str">
        <f>IF(RIGHT(A23,1)="J","Joven","Mayor")</f>
        <v>Mayor</v>
      </c>
      <c r="F23" s="1" t="s">
        <v>3782</v>
      </c>
      <c r="G23" s="1">
        <v>281006</v>
      </c>
    </row>
    <row r="24" spans="1:7" x14ac:dyDescent="0.2">
      <c r="A24" s="4" t="s">
        <v>4845</v>
      </c>
      <c r="B24" t="str">
        <f>IF(LEFT(A24,1)="I","Izquierda",IF(LEFT(A24,1)="C","Centro","Derecha"))</f>
        <v>Centro</v>
      </c>
      <c r="C24" t="str">
        <f>IF(RIGHT(LEFT(A24,2),1)="F","Femenino","Masculino")</f>
        <v>Masculino</v>
      </c>
      <c r="D24" t="str">
        <f>IF(RIGHT(LEFT(A24,3),1)="A","Alta","Baja")</f>
        <v>Baja</v>
      </c>
      <c r="E24" t="str">
        <f>IF(RIGHT(A24,1)="J","Joven","Mayor")</f>
        <v>Mayor</v>
      </c>
      <c r="F24" s="1" t="s">
        <v>2580</v>
      </c>
      <c r="G24" s="1">
        <v>171103</v>
      </c>
    </row>
    <row r="25" spans="1:7" x14ac:dyDescent="0.2">
      <c r="A25" s="4" t="s">
        <v>4845</v>
      </c>
      <c r="B25" t="str">
        <f>IF(LEFT(A25,1)="I","Izquierda",IF(LEFT(A25,1)="C","Centro","Derecha"))</f>
        <v>Centro</v>
      </c>
      <c r="C25" t="str">
        <f>IF(RIGHT(LEFT(A25,2),1)="F","Femenino","Masculino")</f>
        <v>Masculino</v>
      </c>
      <c r="D25" t="str">
        <f>IF(RIGHT(LEFT(A25,3),1)="A","Alta","Baja")</f>
        <v>Baja</v>
      </c>
      <c r="E25" t="str">
        <f>IF(RIGHT(A25,1)="J","Joven","Mayor")</f>
        <v>Mayor</v>
      </c>
      <c r="F25" s="1" t="s">
        <v>3753</v>
      </c>
      <c r="G25" s="1">
        <v>278503</v>
      </c>
    </row>
    <row r="26" spans="1:7" x14ac:dyDescent="0.2">
      <c r="A26" s="4" t="s">
        <v>4846</v>
      </c>
      <c r="B26" t="str">
        <f>IF(LEFT(A26,1)="I","Izquierda",IF(LEFT(A26,1)="C","Centro","Derecha"))</f>
        <v>Derecha</v>
      </c>
      <c r="C26" t="str">
        <f>IF(RIGHT(LEFT(A26,2),1)="F","Femenino","Masculino")</f>
        <v>Femenino</v>
      </c>
      <c r="D26" t="str">
        <f>IF(RIGHT(LEFT(A26,3),1)="A","Alta","Baja")</f>
        <v>Alta</v>
      </c>
      <c r="E26" t="str">
        <f>IF(RIGHT(A26,1)="J","Joven","Mayor")</f>
        <v>Joven</v>
      </c>
      <c r="F26" s="1" t="s">
        <v>3905</v>
      </c>
      <c r="G26" s="1">
        <v>290401</v>
      </c>
    </row>
    <row r="27" spans="1:7" x14ac:dyDescent="0.2">
      <c r="A27" s="4" t="s">
        <v>4846</v>
      </c>
      <c r="B27" t="str">
        <f>IF(LEFT(A27,1)="I","Izquierda",IF(LEFT(A27,1)="C","Centro","Derecha"))</f>
        <v>Derecha</v>
      </c>
      <c r="C27" t="str">
        <f>IF(RIGHT(LEFT(A27,2),1)="F","Femenino","Masculino")</f>
        <v>Femenino</v>
      </c>
      <c r="D27" t="str">
        <f>IF(RIGHT(LEFT(A27,3),1)="A","Alta","Baja")</f>
        <v>Alta</v>
      </c>
      <c r="E27" t="str">
        <f>IF(RIGHT(A27,1)="J","Joven","Mayor")</f>
        <v>Joven</v>
      </c>
      <c r="F27" s="1" t="s">
        <v>4242</v>
      </c>
      <c r="G27" s="1">
        <v>316103</v>
      </c>
    </row>
    <row r="28" spans="1:7" x14ac:dyDescent="0.2">
      <c r="A28" s="4" t="s">
        <v>4846</v>
      </c>
      <c r="B28" t="str">
        <f>IF(LEFT(A28,1)="I","Izquierda",IF(LEFT(A28,1)="C","Centro","Derecha"))</f>
        <v>Derecha</v>
      </c>
      <c r="C28" t="str">
        <f>IF(RIGHT(LEFT(A28,2),1)="F","Femenino","Masculino")</f>
        <v>Femenino</v>
      </c>
      <c r="D28" t="str">
        <f>IF(RIGHT(LEFT(A28,3),1)="A","Alta","Baja")</f>
        <v>Alta</v>
      </c>
      <c r="E28" t="str">
        <f>IF(RIGHT(A28,1)="J","Joven","Mayor")</f>
        <v>Joven</v>
      </c>
      <c r="F28" s="1" t="s">
        <v>1512</v>
      </c>
      <c r="G28" s="1">
        <v>1078801</v>
      </c>
    </row>
    <row r="29" spans="1:7" x14ac:dyDescent="0.2">
      <c r="A29" s="4" t="s">
        <v>4847</v>
      </c>
      <c r="B29" t="str">
        <f>IF(LEFT(A29,1)="I","Izquierda",IF(LEFT(A29,1)="C","Centro","Derecha"))</f>
        <v>Derecha</v>
      </c>
      <c r="C29" t="str">
        <f>IF(RIGHT(LEFT(A29,2),1)="F","Femenino","Masculino")</f>
        <v>Femenino</v>
      </c>
      <c r="D29" t="str">
        <f>IF(RIGHT(LEFT(A29,3),1)="A","Alta","Baja")</f>
        <v>Alta</v>
      </c>
      <c r="E29" t="str">
        <f>IF(RIGHT(A29,1)="J","Joven","Mayor")</f>
        <v>Mayor</v>
      </c>
      <c r="F29" s="1" t="s">
        <v>292</v>
      </c>
      <c r="G29" s="1">
        <v>10117201</v>
      </c>
    </row>
    <row r="30" spans="1:7" x14ac:dyDescent="0.2">
      <c r="A30" s="4" t="s">
        <v>4847</v>
      </c>
      <c r="B30" t="str">
        <f>IF(LEFT(A30,1)="I","Izquierda",IF(LEFT(A30,1)="C","Centro","Derecha"))</f>
        <v>Derecha</v>
      </c>
      <c r="C30" t="str">
        <f>IF(RIGHT(LEFT(A30,2),1)="F","Femenino","Masculino")</f>
        <v>Femenino</v>
      </c>
      <c r="D30" t="str">
        <f>IF(RIGHT(LEFT(A30,3),1)="A","Alta","Baja")</f>
        <v>Alta</v>
      </c>
      <c r="E30" t="str">
        <f>IF(RIGHT(A30,1)="J","Joven","Mayor")</f>
        <v>Mayor</v>
      </c>
      <c r="F30" s="1" t="s">
        <v>3617</v>
      </c>
      <c r="G30" s="1">
        <v>2719901</v>
      </c>
    </row>
    <row r="31" spans="1:7" x14ac:dyDescent="0.2">
      <c r="A31" s="4" t="s">
        <v>4847</v>
      </c>
      <c r="B31" t="str">
        <f>IF(LEFT(A31,1)="I","Izquierda",IF(LEFT(A31,1)="C","Centro","Derecha"))</f>
        <v>Derecha</v>
      </c>
      <c r="C31" t="str">
        <f>IF(RIGHT(LEFT(A31,2),1)="F","Femenino","Masculino")</f>
        <v>Femenino</v>
      </c>
      <c r="D31" t="str">
        <f>IF(RIGHT(LEFT(A31,3),1)="A","Alta","Baja")</f>
        <v>Alta</v>
      </c>
      <c r="E31" t="str">
        <f>IF(RIGHT(A31,1)="J","Joven","Mayor")</f>
        <v>Mayor</v>
      </c>
      <c r="F31" s="1" t="s">
        <v>236</v>
      </c>
      <c r="G31" s="1">
        <v>10116002</v>
      </c>
    </row>
    <row r="32" spans="1:7" x14ac:dyDescent="0.2">
      <c r="A32" s="4" t="s">
        <v>4848</v>
      </c>
      <c r="B32" t="str">
        <f>IF(LEFT(A32,1)="I","Izquierda",IF(LEFT(A32,1)="C","Centro","Derecha"))</f>
        <v>Derecha</v>
      </c>
      <c r="C32" t="str">
        <f>IF(RIGHT(LEFT(A32,2),1)="F","Femenino","Masculino")</f>
        <v>Femenino</v>
      </c>
      <c r="D32" t="str">
        <f>IF(RIGHT(LEFT(A32,3),1)="A","Alta","Baja")</f>
        <v>Baja</v>
      </c>
      <c r="E32" t="str">
        <f>IF(RIGHT(A32,1)="J","Joven","Mayor")</f>
        <v>Joven</v>
      </c>
      <c r="F32" s="1" t="s">
        <v>3323</v>
      </c>
      <c r="G32" s="1">
        <v>257901</v>
      </c>
    </row>
    <row r="33" spans="1:7" x14ac:dyDescent="0.2">
      <c r="A33" s="4" t="s">
        <v>4848</v>
      </c>
      <c r="B33" t="str">
        <f>IF(LEFT(A33,1)="I","Izquierda",IF(LEFT(A33,1)="C","Centro","Derecha"))</f>
        <v>Derecha</v>
      </c>
      <c r="C33" t="str">
        <f>IF(RIGHT(LEFT(A33,2),1)="F","Femenino","Masculino")</f>
        <v>Femenino</v>
      </c>
      <c r="D33" t="str">
        <f>IF(RIGHT(LEFT(A33,3),1)="A","Alta","Baja")</f>
        <v>Baja</v>
      </c>
      <c r="E33" t="str">
        <f>IF(RIGHT(A33,1)="J","Joven","Mayor")</f>
        <v>Joven</v>
      </c>
      <c r="F33" s="1" t="s">
        <v>425</v>
      </c>
      <c r="G33" s="1">
        <v>10122302</v>
      </c>
    </row>
    <row r="34" spans="1:7" x14ac:dyDescent="0.2">
      <c r="A34" s="4" t="s">
        <v>4848</v>
      </c>
      <c r="B34" t="str">
        <f>IF(LEFT(A34,1)="I","Izquierda",IF(LEFT(A34,1)="C","Centro","Derecha"))</f>
        <v>Derecha</v>
      </c>
      <c r="C34" t="str">
        <f>IF(RIGHT(LEFT(A34,2),1)="F","Femenino","Masculino")</f>
        <v>Femenino</v>
      </c>
      <c r="D34" t="str">
        <f>IF(RIGHT(LEFT(A34,3),1)="A","Alta","Baja")</f>
        <v>Baja</v>
      </c>
      <c r="E34" t="str">
        <f>IF(RIGHT(A34,1)="J","Joven","Mayor")</f>
        <v>Joven</v>
      </c>
      <c r="F34" s="1" t="s">
        <v>146</v>
      </c>
      <c r="G34" s="1">
        <v>10112401</v>
      </c>
    </row>
    <row r="35" spans="1:7" x14ac:dyDescent="0.2">
      <c r="A35" s="4" t="s">
        <v>4849</v>
      </c>
      <c r="B35" t="str">
        <f>IF(LEFT(A35,1)="I","Izquierda",IF(LEFT(A35,1)="C","Centro","Derecha"))</f>
        <v>Derecha</v>
      </c>
      <c r="C35" t="str">
        <f>IF(RIGHT(LEFT(A35,2),1)="F","Femenino","Masculino")</f>
        <v>Femenino</v>
      </c>
      <c r="D35" t="str">
        <f>IF(RIGHT(LEFT(A35,3),1)="A","Alta","Baja")</f>
        <v>Baja</v>
      </c>
      <c r="E35" t="str">
        <f>IF(RIGHT(A35,1)="J","Joven","Mayor")</f>
        <v>Mayor</v>
      </c>
      <c r="F35" s="1" t="s">
        <v>3880</v>
      </c>
      <c r="G35" s="1">
        <v>285503</v>
      </c>
    </row>
    <row r="36" spans="1:7" x14ac:dyDescent="0.2">
      <c r="A36" s="4" t="s">
        <v>4849</v>
      </c>
      <c r="B36" t="str">
        <f>IF(LEFT(A36,1)="I","Izquierda",IF(LEFT(A36,1)="C","Centro","Derecha"))</f>
        <v>Derecha</v>
      </c>
      <c r="C36" t="str">
        <f>IF(RIGHT(LEFT(A36,2),1)="F","Femenino","Masculino")</f>
        <v>Femenino</v>
      </c>
      <c r="D36" t="str">
        <f>IF(RIGHT(LEFT(A36,3),1)="A","Alta","Baja")</f>
        <v>Baja</v>
      </c>
      <c r="E36" t="str">
        <f>IF(RIGHT(A36,1)="J","Joven","Mayor")</f>
        <v>Mayor</v>
      </c>
      <c r="F36" s="1" t="s">
        <v>331</v>
      </c>
      <c r="G36" s="1">
        <v>10119102</v>
      </c>
    </row>
    <row r="37" spans="1:7" x14ac:dyDescent="0.2">
      <c r="A37" s="4" t="s">
        <v>4849</v>
      </c>
      <c r="B37" t="str">
        <f>IF(LEFT(A37,1)="I","Izquierda",IF(LEFT(A37,1)="C","Centro","Derecha"))</f>
        <v>Derecha</v>
      </c>
      <c r="C37" t="str">
        <f>IF(RIGHT(LEFT(A37,2),1)="F","Femenino","Masculino")</f>
        <v>Femenino</v>
      </c>
      <c r="D37" t="str">
        <f>IF(RIGHT(LEFT(A37,3),1)="A","Alta","Baja")</f>
        <v>Baja</v>
      </c>
      <c r="E37" t="str">
        <f>IF(RIGHT(A37,1)="J","Joven","Mayor")</f>
        <v>Mayor</v>
      </c>
      <c r="F37" s="1" t="s">
        <v>4470</v>
      </c>
      <c r="G37" s="1">
        <v>480202</v>
      </c>
    </row>
    <row r="38" spans="1:7" x14ac:dyDescent="0.2">
      <c r="A38" s="4" t="s">
        <v>4850</v>
      </c>
      <c r="B38" t="str">
        <f>IF(LEFT(A38,1)="I","Izquierda",IF(LEFT(A38,1)="C","Centro","Derecha"))</f>
        <v>Derecha</v>
      </c>
      <c r="C38" t="str">
        <f>IF(RIGHT(LEFT(A38,2),1)="F","Femenino","Masculino")</f>
        <v>Masculino</v>
      </c>
      <c r="D38" t="str">
        <f>IF(RIGHT(LEFT(A38,3),1)="A","Alta","Baja")</f>
        <v>Alta</v>
      </c>
      <c r="E38" t="str">
        <f>IF(RIGHT(A38,1)="J","Joven","Mayor")</f>
        <v>Joven</v>
      </c>
      <c r="F38" s="1" t="s">
        <v>4454</v>
      </c>
      <c r="G38" s="1">
        <v>4686502</v>
      </c>
    </row>
    <row r="39" spans="1:7" x14ac:dyDescent="0.2">
      <c r="A39" s="4" t="s">
        <v>4850</v>
      </c>
      <c r="B39" t="str">
        <f>IF(LEFT(A39,1)="I","Izquierda",IF(LEFT(A39,1)="C","Centro","Derecha"))</f>
        <v>Derecha</v>
      </c>
      <c r="C39" t="str">
        <f>IF(RIGHT(LEFT(A39,2),1)="F","Femenino","Masculino")</f>
        <v>Masculino</v>
      </c>
      <c r="D39" t="str">
        <f>IF(RIGHT(LEFT(A39,3),1)="A","Alta","Baja")</f>
        <v>Alta</v>
      </c>
      <c r="E39" t="str">
        <f>IF(RIGHT(A39,1)="J","Joven","Mayor")</f>
        <v>Joven</v>
      </c>
      <c r="F39" s="1" t="s">
        <v>2052</v>
      </c>
      <c r="G39" s="1">
        <v>134902</v>
      </c>
    </row>
    <row r="40" spans="1:7" x14ac:dyDescent="0.2">
      <c r="A40" s="4" t="s">
        <v>4850</v>
      </c>
      <c r="B40" t="str">
        <f>IF(LEFT(A40,1)="I","Izquierda",IF(LEFT(A40,1)="C","Centro","Derecha"))</f>
        <v>Derecha</v>
      </c>
      <c r="C40" t="str">
        <f>IF(RIGHT(LEFT(A40,2),1)="F","Femenino","Masculino")</f>
        <v>Masculino</v>
      </c>
      <c r="D40" t="str">
        <f>IF(RIGHT(LEFT(A40,3),1)="A","Alta","Baja")</f>
        <v>Alta</v>
      </c>
      <c r="E40" t="str">
        <f>IF(RIGHT(A40,1)="J","Joven","Mayor")</f>
        <v>Joven</v>
      </c>
      <c r="F40" s="1" t="s">
        <v>991</v>
      </c>
      <c r="G40" s="1">
        <v>1054302</v>
      </c>
    </row>
    <row r="41" spans="1:7" x14ac:dyDescent="0.2">
      <c r="A41" s="4" t="s">
        <v>4851</v>
      </c>
      <c r="B41" t="str">
        <f>IF(LEFT(A41,1)="I","Izquierda",IF(LEFT(A41,1)="C","Centro","Derecha"))</f>
        <v>Derecha</v>
      </c>
      <c r="C41" t="str">
        <f>IF(RIGHT(LEFT(A41,2),1)="F","Femenino","Masculino")</f>
        <v>Masculino</v>
      </c>
      <c r="D41" t="str">
        <f>IF(RIGHT(LEFT(A41,3),1)="A","Alta","Baja")</f>
        <v>Alta</v>
      </c>
      <c r="E41" t="str">
        <f>IF(RIGHT(A41,1)="J","Joven","Mayor")</f>
        <v>Mayor</v>
      </c>
      <c r="F41" s="1" t="s">
        <v>2810</v>
      </c>
      <c r="G41" s="1">
        <v>199102</v>
      </c>
    </row>
    <row r="42" spans="1:7" x14ac:dyDescent="0.2">
      <c r="A42" s="4" t="s">
        <v>4851</v>
      </c>
      <c r="B42" t="str">
        <f>IF(LEFT(A42,1)="I","Izquierda",IF(LEFT(A42,1)="C","Centro","Derecha"))</f>
        <v>Derecha</v>
      </c>
      <c r="C42" t="str">
        <f>IF(RIGHT(LEFT(A42,2),1)="F","Femenino","Masculino")</f>
        <v>Masculino</v>
      </c>
      <c r="D42" t="str">
        <f>IF(RIGHT(LEFT(A42,3),1)="A","Alta","Baja")</f>
        <v>Alta</v>
      </c>
      <c r="E42" t="str">
        <f>IF(RIGHT(A42,1)="J","Joven","Mayor")</f>
        <v>Mayor</v>
      </c>
      <c r="F42" s="1" t="s">
        <v>3613</v>
      </c>
      <c r="G42" s="1">
        <v>2719602</v>
      </c>
    </row>
    <row r="43" spans="1:7" x14ac:dyDescent="0.2">
      <c r="A43" s="4" t="s">
        <v>4851</v>
      </c>
      <c r="B43" t="str">
        <f>IF(LEFT(A43,1)="I","Izquierda",IF(LEFT(A43,1)="C","Centro","Derecha"))</f>
        <v>Derecha</v>
      </c>
      <c r="C43" t="str">
        <f>IF(RIGHT(LEFT(A43,2),1)="F","Femenino","Masculino")</f>
        <v>Masculino</v>
      </c>
      <c r="D43" t="str">
        <f>IF(RIGHT(LEFT(A43,3),1)="A","Alta","Baja")</f>
        <v>Alta</v>
      </c>
      <c r="E43" t="str">
        <f>IF(RIGHT(A43,1)="J","Joven","Mayor")</f>
        <v>Mayor</v>
      </c>
      <c r="F43" s="1" t="s">
        <v>4776</v>
      </c>
      <c r="G43" s="1">
        <v>642802</v>
      </c>
    </row>
    <row r="44" spans="1:7" x14ac:dyDescent="0.2">
      <c r="A44" s="4" t="s">
        <v>4852</v>
      </c>
      <c r="B44" t="str">
        <f>IF(LEFT(A44,1)="I","Izquierda",IF(LEFT(A44,1)="C","Centro","Derecha"))</f>
        <v>Derecha</v>
      </c>
      <c r="C44" t="str">
        <f>IF(RIGHT(LEFT(A44,2),1)="F","Femenino","Masculino")</f>
        <v>Masculino</v>
      </c>
      <c r="D44" t="str">
        <f>IF(RIGHT(LEFT(A44,3),1)="A","Alta","Baja")</f>
        <v>Baja</v>
      </c>
      <c r="E44" t="str">
        <f>IF(RIGHT(A44,1)="J","Joven","Mayor")</f>
        <v>Joven</v>
      </c>
      <c r="F44" s="1" t="s">
        <v>997</v>
      </c>
      <c r="G44" s="1">
        <v>1054402</v>
      </c>
    </row>
    <row r="45" spans="1:7" x14ac:dyDescent="0.2">
      <c r="A45" s="4" t="s">
        <v>4852</v>
      </c>
      <c r="B45" t="str">
        <f>IF(LEFT(A45,1)="I","Izquierda",IF(LEFT(A45,1)="C","Centro","Derecha"))</f>
        <v>Derecha</v>
      </c>
      <c r="C45" t="str">
        <f>IF(RIGHT(LEFT(A45,2),1)="F","Femenino","Masculino")</f>
        <v>Masculino</v>
      </c>
      <c r="D45" t="str">
        <f>IF(RIGHT(LEFT(A45,3),1)="A","Alta","Baja")</f>
        <v>Baja</v>
      </c>
      <c r="E45" t="str">
        <f>IF(RIGHT(A45,1)="J","Joven","Mayor")</f>
        <v>Joven</v>
      </c>
      <c r="F45" s="1" t="s">
        <v>4177</v>
      </c>
      <c r="G45" s="1">
        <v>311903</v>
      </c>
    </row>
    <row r="46" spans="1:7" x14ac:dyDescent="0.2">
      <c r="A46" s="4" t="s">
        <v>4852</v>
      </c>
      <c r="B46" t="str">
        <f>IF(LEFT(A46,1)="I","Izquierda",IF(LEFT(A46,1)="C","Centro","Derecha"))</f>
        <v>Derecha</v>
      </c>
      <c r="C46" t="str">
        <f>IF(RIGHT(LEFT(A46,2),1)="F","Femenino","Masculino")</f>
        <v>Masculino</v>
      </c>
      <c r="D46" t="str">
        <f>IF(RIGHT(LEFT(A46,3),1)="A","Alta","Baja")</f>
        <v>Baja</v>
      </c>
      <c r="E46" t="str">
        <f>IF(RIGHT(A46,1)="J","Joven","Mayor")</f>
        <v>Joven</v>
      </c>
      <c r="F46" s="1" t="s">
        <v>1048</v>
      </c>
      <c r="G46" s="1">
        <v>1058401</v>
      </c>
    </row>
    <row r="47" spans="1:7" x14ac:dyDescent="0.2">
      <c r="A47" s="4" t="s">
        <v>4853</v>
      </c>
      <c r="B47" t="str">
        <f>IF(LEFT(A47,1)="I","Izquierda",IF(LEFT(A47,1)="C","Centro","Derecha"))</f>
        <v>Derecha</v>
      </c>
      <c r="C47" t="str">
        <f>IF(RIGHT(LEFT(A47,2),1)="F","Femenino","Masculino")</f>
        <v>Masculino</v>
      </c>
      <c r="D47" t="str">
        <f>IF(RIGHT(LEFT(A47,3),1)="A","Alta","Baja")</f>
        <v>Baja</v>
      </c>
      <c r="E47" t="str">
        <f>IF(RIGHT(A47,1)="J","Joven","Mayor")</f>
        <v>Mayor</v>
      </c>
      <c r="F47" s="1" t="s">
        <v>4613</v>
      </c>
      <c r="G47" s="1">
        <v>524302</v>
      </c>
    </row>
    <row r="48" spans="1:7" x14ac:dyDescent="0.2">
      <c r="A48" s="4" t="s">
        <v>4853</v>
      </c>
      <c r="B48" t="str">
        <f>IF(LEFT(A48,1)="I","Izquierda",IF(LEFT(A48,1)="C","Centro","Derecha"))</f>
        <v>Derecha</v>
      </c>
      <c r="C48" t="str">
        <f>IF(RIGHT(LEFT(A48,2),1)="F","Femenino","Masculino")</f>
        <v>Masculino</v>
      </c>
      <c r="D48" t="str">
        <f>IF(RIGHT(LEFT(A48,3),1)="A","Alta","Baja")</f>
        <v>Baja</v>
      </c>
      <c r="E48" t="str">
        <f>IF(RIGHT(A48,1)="J","Joven","Mayor")</f>
        <v>Mayor</v>
      </c>
      <c r="F48" s="1" t="s">
        <v>3956</v>
      </c>
      <c r="G48" s="1">
        <v>2912402</v>
      </c>
    </row>
    <row r="49" spans="1:7" x14ac:dyDescent="0.2">
      <c r="A49" s="4" t="s">
        <v>4853</v>
      </c>
      <c r="B49" t="str">
        <f>IF(LEFT(A49,1)="I","Izquierda",IF(LEFT(A49,1)="C","Centro","Derecha"))</f>
        <v>Derecha</v>
      </c>
      <c r="C49" t="str">
        <f>IF(RIGHT(LEFT(A49,2),1)="F","Femenino","Masculino")</f>
        <v>Masculino</v>
      </c>
      <c r="D49" t="str">
        <f>IF(RIGHT(LEFT(A49,3),1)="A","Alta","Baja")</f>
        <v>Baja</v>
      </c>
      <c r="E49" t="str">
        <f>IF(RIGHT(A49,1)="J","Joven","Mayor")</f>
        <v>Mayor</v>
      </c>
      <c r="F49" s="1" t="s">
        <v>603</v>
      </c>
      <c r="G49" s="1">
        <v>10129501</v>
      </c>
    </row>
    <row r="50" spans="1:7" x14ac:dyDescent="0.2">
      <c r="A50" s="4" t="s">
        <v>4830</v>
      </c>
      <c r="B50" t="str">
        <f>IF(LEFT(A50,1)="I","Izquierda",IF(LEFT(A50,1)="C","Centro","Derecha"))</f>
        <v>Izquierda</v>
      </c>
      <c r="C50" t="str">
        <f>IF(RIGHT(LEFT(A50,2),1)="F","Femenino","Masculino")</f>
        <v>Femenino</v>
      </c>
      <c r="D50" t="str">
        <f>IF(RIGHT(LEFT(A50,3),1)="A","Alta","Baja")</f>
        <v>Alta</v>
      </c>
      <c r="E50" t="str">
        <f>IF(RIGHT(A50,1)="J","Joven","Mayor")</f>
        <v>Joven</v>
      </c>
      <c r="F50" s="1" t="s">
        <v>3879</v>
      </c>
      <c r="G50" s="1">
        <v>285502</v>
      </c>
    </row>
    <row r="51" spans="1:7" x14ac:dyDescent="0.2">
      <c r="A51" s="4" t="s">
        <v>4830</v>
      </c>
      <c r="B51" t="str">
        <f>IF(LEFT(A51,1)="I","Izquierda",IF(LEFT(A51,1)="C","Centro","Derecha"))</f>
        <v>Izquierda</v>
      </c>
      <c r="C51" t="str">
        <f>IF(RIGHT(LEFT(A51,2),1)="F","Femenino","Masculino")</f>
        <v>Femenino</v>
      </c>
      <c r="D51" t="str">
        <f>IF(RIGHT(LEFT(A51,3),1)="A","Alta","Baja")</f>
        <v>Alta</v>
      </c>
      <c r="E51" t="str">
        <f>IF(RIGHT(A51,1)="J","Joven","Mayor")</f>
        <v>Joven</v>
      </c>
      <c r="F51" s="1" t="s">
        <v>834</v>
      </c>
      <c r="G51" s="1">
        <v>1033501</v>
      </c>
    </row>
    <row r="52" spans="1:7" x14ac:dyDescent="0.2">
      <c r="A52" s="4" t="s">
        <v>4830</v>
      </c>
      <c r="B52" t="str">
        <f>IF(LEFT(A52,1)="I","Izquierda",IF(LEFT(A52,1)="C","Centro","Derecha"))</f>
        <v>Izquierda</v>
      </c>
      <c r="C52" t="str">
        <f>IF(RIGHT(LEFT(A52,2),1)="F","Femenino","Masculino")</f>
        <v>Femenino</v>
      </c>
      <c r="D52" t="str">
        <f>IF(RIGHT(LEFT(A52,3),1)="A","Alta","Baja")</f>
        <v>Alta</v>
      </c>
      <c r="E52" t="str">
        <f>IF(RIGHT(A52,1)="J","Joven","Mayor")</f>
        <v>Joven</v>
      </c>
      <c r="F52" s="1" t="s">
        <v>1961</v>
      </c>
      <c r="G52" s="1">
        <v>130703</v>
      </c>
    </row>
    <row r="53" spans="1:7" x14ac:dyDescent="0.2">
      <c r="A53" s="4" t="s">
        <v>4831</v>
      </c>
      <c r="B53" t="str">
        <f>IF(LEFT(A53,1)="I","Izquierda",IF(LEFT(A53,1)="C","Centro","Derecha"))</f>
        <v>Izquierda</v>
      </c>
      <c r="C53" t="str">
        <f>IF(RIGHT(LEFT(A53,2),1)="F","Femenino","Masculino")</f>
        <v>Femenino</v>
      </c>
      <c r="D53" t="str">
        <f>IF(RIGHT(LEFT(A53,3),1)="A","Alta","Baja")</f>
        <v>Alta</v>
      </c>
      <c r="E53" t="str">
        <f>IF(RIGHT(A53,1)="J","Joven","Mayor")</f>
        <v>Mayor</v>
      </c>
      <c r="F53" s="1" t="s">
        <v>227</v>
      </c>
      <c r="G53" s="1">
        <v>10115409</v>
      </c>
    </row>
    <row r="54" spans="1:7" x14ac:dyDescent="0.2">
      <c r="A54" s="4" t="s">
        <v>4831</v>
      </c>
      <c r="B54" t="str">
        <f>IF(LEFT(A54,1)="I","Izquierda",IF(LEFT(A54,1)="C","Centro","Derecha"))</f>
        <v>Izquierda</v>
      </c>
      <c r="C54" t="str">
        <f>IF(RIGHT(LEFT(A54,2),1)="F","Femenino","Masculino")</f>
        <v>Femenino</v>
      </c>
      <c r="D54" t="str">
        <f>IF(RIGHT(LEFT(A54,3),1)="A","Alta","Baja")</f>
        <v>Alta</v>
      </c>
      <c r="E54" t="str">
        <f>IF(RIGHT(A54,1)="J","Joven","Mayor")</f>
        <v>Mayor</v>
      </c>
      <c r="F54" s="1" t="s">
        <v>3875</v>
      </c>
      <c r="G54" s="1">
        <v>285002</v>
      </c>
    </row>
    <row r="55" spans="1:7" x14ac:dyDescent="0.2">
      <c r="A55" s="4" t="s">
        <v>4831</v>
      </c>
      <c r="B55" t="str">
        <f>IF(LEFT(A55,1)="I","Izquierda",IF(LEFT(A55,1)="C","Centro","Derecha"))</f>
        <v>Izquierda</v>
      </c>
      <c r="C55" t="str">
        <f>IF(RIGHT(LEFT(A55,2),1)="F","Femenino","Masculino")</f>
        <v>Femenino</v>
      </c>
      <c r="D55" t="str">
        <f>IF(RIGHT(LEFT(A55,3),1)="A","Alta","Baja")</f>
        <v>Alta</v>
      </c>
      <c r="E55" t="str">
        <f>IF(RIGHT(A55,1)="J","Joven","Mayor")</f>
        <v>Mayor</v>
      </c>
      <c r="F55" s="1" t="s">
        <v>4180</v>
      </c>
      <c r="G55" s="1">
        <v>311907</v>
      </c>
    </row>
    <row r="56" spans="1:7" x14ac:dyDescent="0.2">
      <c r="A56" s="4" t="s">
        <v>4832</v>
      </c>
      <c r="B56" t="str">
        <f>IF(LEFT(A56,1)="I","Izquierda",IF(LEFT(A56,1)="C","Centro","Derecha"))</f>
        <v>Izquierda</v>
      </c>
      <c r="C56" t="str">
        <f>IF(RIGHT(LEFT(A56,2),1)="F","Femenino","Masculino")</f>
        <v>Femenino</v>
      </c>
      <c r="D56" t="str">
        <f>IF(RIGHT(LEFT(A56,3),1)="A","Alta","Baja")</f>
        <v>Baja</v>
      </c>
      <c r="E56" t="str">
        <f>IF(RIGHT(A56,1)="J","Joven","Mayor")</f>
        <v>Joven</v>
      </c>
      <c r="F56" s="1" t="s">
        <v>4038</v>
      </c>
      <c r="G56" s="1">
        <v>295803</v>
      </c>
    </row>
    <row r="57" spans="1:7" x14ac:dyDescent="0.2">
      <c r="A57" s="4" t="s">
        <v>4832</v>
      </c>
      <c r="B57" t="str">
        <f>IF(LEFT(A57,1)="I","Izquierda",IF(LEFT(A57,1)="C","Centro","Derecha"))</f>
        <v>Izquierda</v>
      </c>
      <c r="C57" t="str">
        <f>IF(RIGHT(LEFT(A57,2),1)="F","Femenino","Masculino")</f>
        <v>Femenino</v>
      </c>
      <c r="D57" t="str">
        <f>IF(RIGHT(LEFT(A57,3),1)="A","Alta","Baja")</f>
        <v>Baja</v>
      </c>
      <c r="E57" t="str">
        <f>IF(RIGHT(A57,1)="J","Joven","Mayor")</f>
        <v>Joven</v>
      </c>
      <c r="F57" s="1" t="s">
        <v>2053</v>
      </c>
      <c r="G57" s="1">
        <v>134903</v>
      </c>
    </row>
    <row r="58" spans="1:7" x14ac:dyDescent="0.2">
      <c r="A58" s="4" t="s">
        <v>4832</v>
      </c>
      <c r="B58" t="str">
        <f>IF(LEFT(A58,1)="I","Izquierda",IF(LEFT(A58,1)="C","Centro","Derecha"))</f>
        <v>Izquierda</v>
      </c>
      <c r="C58" t="str">
        <f>IF(RIGHT(LEFT(A58,2),1)="F","Femenino","Masculino")</f>
        <v>Femenino</v>
      </c>
      <c r="D58" t="str">
        <f>IF(RIGHT(LEFT(A58,3),1)="A","Alta","Baja")</f>
        <v>Baja</v>
      </c>
      <c r="E58" t="str">
        <f>IF(RIGHT(A58,1)="J","Joven","Mayor")</f>
        <v>Joven</v>
      </c>
      <c r="F58" s="1" t="s">
        <v>4696</v>
      </c>
      <c r="G58" s="1">
        <v>541202</v>
      </c>
    </row>
    <row r="59" spans="1:7" x14ac:dyDescent="0.2">
      <c r="A59" s="4" t="s">
        <v>4833</v>
      </c>
      <c r="B59" t="str">
        <f>IF(LEFT(A59,1)="I","Izquierda",IF(LEFT(A59,1)="C","Centro","Derecha"))</f>
        <v>Izquierda</v>
      </c>
      <c r="C59" t="str">
        <f>IF(RIGHT(LEFT(A59,2),1)="F","Femenino","Masculino")</f>
        <v>Femenino</v>
      </c>
      <c r="D59" t="str">
        <f>IF(RIGHT(LEFT(A59,3),1)="A","Alta","Baja")</f>
        <v>Baja</v>
      </c>
      <c r="E59" t="str">
        <f>IF(RIGHT(A59,1)="J","Joven","Mayor")</f>
        <v>Mayor</v>
      </c>
      <c r="F59" s="1" t="s">
        <v>730</v>
      </c>
      <c r="G59" s="1">
        <v>1017605</v>
      </c>
    </row>
    <row r="60" spans="1:7" x14ac:dyDescent="0.2">
      <c r="A60" s="4" t="s">
        <v>4833</v>
      </c>
      <c r="B60" t="str">
        <f>IF(LEFT(A60,1)="I","Izquierda",IF(LEFT(A60,1)="C","Centro","Derecha"))</f>
        <v>Izquierda</v>
      </c>
      <c r="C60" t="str">
        <f>IF(RIGHT(LEFT(A60,2),1)="F","Femenino","Masculino")</f>
        <v>Femenino</v>
      </c>
      <c r="D60" t="str">
        <f>IF(RIGHT(LEFT(A60,3),1)="A","Alta","Baja")</f>
        <v>Baja</v>
      </c>
      <c r="E60" t="str">
        <f>IF(RIGHT(A60,1)="J","Joven","Mayor")</f>
        <v>Mayor</v>
      </c>
      <c r="F60" s="1" t="s">
        <v>2842</v>
      </c>
      <c r="G60" s="1">
        <v>211601</v>
      </c>
    </row>
    <row r="61" spans="1:7" x14ac:dyDescent="0.2">
      <c r="A61" s="4" t="s">
        <v>4833</v>
      </c>
      <c r="B61" t="str">
        <f>IF(LEFT(A61,1)="I","Izquierda",IF(LEFT(A61,1)="C","Centro","Derecha"))</f>
        <v>Izquierda</v>
      </c>
      <c r="C61" t="str">
        <f>IF(RIGHT(LEFT(A61,2),1)="F","Femenino","Masculino")</f>
        <v>Femenino</v>
      </c>
      <c r="D61" t="str">
        <f>IF(RIGHT(LEFT(A61,3),1)="A","Alta","Baja")</f>
        <v>Baja</v>
      </c>
      <c r="E61" t="str">
        <f>IF(RIGHT(A61,1)="J","Joven","Mayor")</f>
        <v>Mayor</v>
      </c>
      <c r="F61" s="1" t="s">
        <v>3958</v>
      </c>
      <c r="G61" s="1">
        <v>2912407</v>
      </c>
    </row>
    <row r="62" spans="1:7" x14ac:dyDescent="0.2">
      <c r="A62" s="4" t="s">
        <v>4834</v>
      </c>
      <c r="B62" t="str">
        <f>IF(LEFT(A62,1)="I","Izquierda",IF(LEFT(A62,1)="C","Centro","Derecha"))</f>
        <v>Izquierda</v>
      </c>
      <c r="C62" t="str">
        <f>IF(RIGHT(LEFT(A62,2),1)="F","Femenino","Masculino")</f>
        <v>Masculino</v>
      </c>
      <c r="D62" t="str">
        <f>IF(RIGHT(LEFT(A62,3),1)="A","Alta","Baja")</f>
        <v>Alta</v>
      </c>
      <c r="E62" t="str">
        <f>IF(RIGHT(A62,1)="J","Joven","Mayor")</f>
        <v>Joven</v>
      </c>
      <c r="F62" s="1" t="s">
        <v>1941</v>
      </c>
      <c r="G62" s="1">
        <v>1287501</v>
      </c>
    </row>
    <row r="63" spans="1:7" x14ac:dyDescent="0.2">
      <c r="A63" s="4" t="s">
        <v>4834</v>
      </c>
      <c r="B63" t="str">
        <f>IF(LEFT(A63,1)="I","Izquierda",IF(LEFT(A63,1)="C","Centro","Derecha"))</f>
        <v>Izquierda</v>
      </c>
      <c r="C63" t="str">
        <f>IF(RIGHT(LEFT(A63,2),1)="F","Femenino","Masculino")</f>
        <v>Masculino</v>
      </c>
      <c r="D63" t="str">
        <f>IF(RIGHT(LEFT(A63,3),1)="A","Alta","Baja")</f>
        <v>Alta</v>
      </c>
      <c r="E63" t="str">
        <f>IF(RIGHT(A63,1)="J","Joven","Mayor")</f>
        <v>Joven</v>
      </c>
      <c r="F63" s="1" t="s">
        <v>4809</v>
      </c>
      <c r="G63" s="1">
        <v>720601</v>
      </c>
    </row>
    <row r="64" spans="1:7" x14ac:dyDescent="0.2">
      <c r="A64" s="4" t="s">
        <v>4834</v>
      </c>
      <c r="B64" t="str">
        <f>IF(LEFT(A64,1)="I","Izquierda",IF(LEFT(A64,1)="C","Centro","Derecha"))</f>
        <v>Izquierda</v>
      </c>
      <c r="C64" t="str">
        <f>IF(RIGHT(LEFT(A64,2),1)="F","Femenino","Masculino")</f>
        <v>Masculino</v>
      </c>
      <c r="D64" t="str">
        <f>IF(RIGHT(LEFT(A64,3),1)="A","Alta","Baja")</f>
        <v>Alta</v>
      </c>
      <c r="E64" t="str">
        <f>IF(RIGHT(A64,1)="J","Joven","Mayor")</f>
        <v>Joven</v>
      </c>
      <c r="F64" s="1" t="s">
        <v>905</v>
      </c>
      <c r="G64" s="1">
        <v>1051002</v>
      </c>
    </row>
    <row r="65" spans="1:7" x14ac:dyDescent="0.2">
      <c r="A65" s="4" t="s">
        <v>4835</v>
      </c>
      <c r="B65" t="str">
        <f>IF(LEFT(A65,1)="I","Izquierda",IF(LEFT(A65,1)="C","Centro","Derecha"))</f>
        <v>Izquierda</v>
      </c>
      <c r="C65" t="str">
        <f>IF(RIGHT(LEFT(A65,2),1)="F","Femenino","Masculino")</f>
        <v>Masculino</v>
      </c>
      <c r="D65" t="str">
        <f>IF(RIGHT(LEFT(A65,3),1)="A","Alta","Baja")</f>
        <v>Alta</v>
      </c>
      <c r="E65" t="str">
        <f>IF(RIGHT(A65,1)="J","Joven","Mayor")</f>
        <v>Mayor</v>
      </c>
      <c r="F65" s="1" t="s">
        <v>3178</v>
      </c>
      <c r="G65" s="1">
        <v>250109</v>
      </c>
    </row>
    <row r="66" spans="1:7" x14ac:dyDescent="0.2">
      <c r="A66" s="4" t="s">
        <v>4835</v>
      </c>
      <c r="B66" t="str">
        <f>IF(LEFT(A66,1)="I","Izquierda",IF(LEFT(A66,1)="C","Centro","Derecha"))</f>
        <v>Izquierda</v>
      </c>
      <c r="C66" t="str">
        <f>IF(RIGHT(LEFT(A66,2),1)="F","Femenino","Masculino")</f>
        <v>Masculino</v>
      </c>
      <c r="D66" t="str">
        <f>IF(RIGHT(LEFT(A66,3),1)="A","Alta","Baja")</f>
        <v>Alta</v>
      </c>
      <c r="E66" t="str">
        <f>IF(RIGHT(A66,1)="J","Joven","Mayor")</f>
        <v>Mayor</v>
      </c>
      <c r="F66" s="1" t="s">
        <v>3953</v>
      </c>
      <c r="G66" s="1">
        <v>2912103</v>
      </c>
    </row>
    <row r="67" spans="1:7" x14ac:dyDescent="0.2">
      <c r="A67" s="4" t="s">
        <v>4835</v>
      </c>
      <c r="B67" t="str">
        <f>IF(LEFT(A67,1)="I","Izquierda",IF(LEFT(A67,1)="C","Centro","Derecha"))</f>
        <v>Izquierda</v>
      </c>
      <c r="C67" t="str">
        <f>IF(RIGHT(LEFT(A67,2),1)="F","Femenino","Masculino")</f>
        <v>Masculino</v>
      </c>
      <c r="D67" t="str">
        <f>IF(RIGHT(LEFT(A67,3),1)="A","Alta","Baja")</f>
        <v>Alta</v>
      </c>
      <c r="E67" t="str">
        <f>IF(RIGHT(A67,1)="J","Joven","Mayor")</f>
        <v>Mayor</v>
      </c>
      <c r="F67" s="1" t="s">
        <v>1163</v>
      </c>
      <c r="G67" s="1">
        <v>10716101</v>
      </c>
    </row>
    <row r="68" spans="1:7" x14ac:dyDescent="0.2">
      <c r="A68" s="4" t="s">
        <v>4836</v>
      </c>
      <c r="B68" t="str">
        <f>IF(LEFT(A68,1)="I","Izquierda",IF(LEFT(A68,1)="C","Centro","Derecha"))</f>
        <v>Izquierda</v>
      </c>
      <c r="C68" t="str">
        <f>IF(RIGHT(LEFT(A68,2),1)="F","Femenino","Masculino")</f>
        <v>Masculino</v>
      </c>
      <c r="D68" t="str">
        <f>IF(RIGHT(LEFT(A68,3),1)="A","Alta","Baja")</f>
        <v>Baja</v>
      </c>
      <c r="E68" t="str">
        <f>IF(RIGHT(A68,1)="J","Joven","Mayor")</f>
        <v>Joven</v>
      </c>
      <c r="F68" s="1" t="s">
        <v>1011</v>
      </c>
      <c r="G68" s="1">
        <v>1056302</v>
      </c>
    </row>
    <row r="69" spans="1:7" x14ac:dyDescent="0.2">
      <c r="A69" s="4" t="s">
        <v>4836</v>
      </c>
      <c r="B69" t="str">
        <f>IF(LEFT(A69,1)="I","Izquierda",IF(LEFT(A69,1)="C","Centro","Derecha"))</f>
        <v>Izquierda</v>
      </c>
      <c r="C69" t="str">
        <f>IF(RIGHT(LEFT(A69,2),1)="F","Femenino","Masculino")</f>
        <v>Masculino</v>
      </c>
      <c r="D69" t="str">
        <f>IF(RIGHT(LEFT(A69,3),1)="A","Alta","Baja")</f>
        <v>Baja</v>
      </c>
      <c r="E69" t="str">
        <f>IF(RIGHT(A69,1)="J","Joven","Mayor")</f>
        <v>Joven</v>
      </c>
      <c r="F69" s="1" t="s">
        <v>3047</v>
      </c>
      <c r="G69" s="1">
        <v>234702</v>
      </c>
    </row>
    <row r="70" spans="1:7" x14ac:dyDescent="0.2">
      <c r="A70" s="4" t="s">
        <v>4836</v>
      </c>
      <c r="B70" t="str">
        <f>IF(LEFT(A70,1)="I","Izquierda",IF(LEFT(A70,1)="C","Centro","Derecha"))</f>
        <v>Izquierda</v>
      </c>
      <c r="C70" t="str">
        <f>IF(RIGHT(LEFT(A70,2),1)="F","Femenino","Masculino")</f>
        <v>Masculino</v>
      </c>
      <c r="D70" t="str">
        <f>IF(RIGHT(LEFT(A70,3),1)="A","Alta","Baja")</f>
        <v>Baja</v>
      </c>
      <c r="E70" t="str">
        <f>IF(RIGHT(A70,1)="J","Joven","Mayor")</f>
        <v>Joven</v>
      </c>
      <c r="F70" s="1" t="s">
        <v>1262</v>
      </c>
      <c r="G70" s="1">
        <v>10723701</v>
      </c>
    </row>
    <row r="71" spans="1:7" x14ac:dyDescent="0.2">
      <c r="A71" s="4" t="s">
        <v>4837</v>
      </c>
      <c r="B71" t="str">
        <f>IF(LEFT(A71,1)="I","Izquierda",IF(LEFT(A71,1)="C","Centro","Derecha"))</f>
        <v>Izquierda</v>
      </c>
      <c r="C71" t="str">
        <f>IF(RIGHT(LEFT(A71,2),1)="F","Femenino","Masculino")</f>
        <v>Masculino</v>
      </c>
      <c r="D71" t="str">
        <f>IF(RIGHT(LEFT(A71,3),1)="A","Alta","Baja")</f>
        <v>Baja</v>
      </c>
      <c r="E71" t="str">
        <f>IF(RIGHT(A71,1)="J","Joven","Mayor")</f>
        <v>Mayor</v>
      </c>
      <c r="F71" s="1" t="s">
        <v>139</v>
      </c>
      <c r="G71" s="1">
        <v>10112103</v>
      </c>
    </row>
    <row r="72" spans="1:7" x14ac:dyDescent="0.2">
      <c r="A72" s="4" t="s">
        <v>4837</v>
      </c>
      <c r="B72" t="str">
        <f>IF(LEFT(A72,1)="I","Izquierda",IF(LEFT(A72,1)="C","Centro","Derecha"))</f>
        <v>Izquierda</v>
      </c>
      <c r="C72" t="str">
        <f>IF(RIGHT(LEFT(A72,2),1)="F","Femenino","Masculino")</f>
        <v>Masculino</v>
      </c>
      <c r="D72" t="str">
        <f>IF(RIGHT(LEFT(A72,3),1)="A","Alta","Baja")</f>
        <v>Baja</v>
      </c>
      <c r="E72" t="str">
        <f>IF(RIGHT(A72,1)="J","Joven","Mayor")</f>
        <v>Mayor</v>
      </c>
      <c r="F72" s="1" t="s">
        <v>2262</v>
      </c>
      <c r="G72" s="1">
        <v>1522301</v>
      </c>
    </row>
    <row r="73" spans="1:7" x14ac:dyDescent="0.2">
      <c r="A73" s="4" t="s">
        <v>4837</v>
      </c>
      <c r="B73" t="str">
        <f>IF(LEFT(A73,1)="I","Izquierda",IF(LEFT(A73,1)="C","Centro","Derecha"))</f>
        <v>Izquierda</v>
      </c>
      <c r="C73" t="str">
        <f>IF(RIGHT(LEFT(A73,2),1)="F","Femenino","Masculino")</f>
        <v>Masculino</v>
      </c>
      <c r="D73" t="str">
        <f>IF(RIGHT(LEFT(A73,3),1)="A","Alta","Baja")</f>
        <v>Baja</v>
      </c>
      <c r="E73" t="str">
        <f>IF(RIGHT(A73,1)="J","Joven","Mayor")</f>
        <v>Mayor</v>
      </c>
      <c r="F73" s="1" t="s">
        <v>2704</v>
      </c>
      <c r="G73" s="1">
        <v>193402</v>
      </c>
    </row>
  </sheetData>
  <autoFilter ref="A1:G73" xr:uid="{BF75B56E-0CB2-444A-A8B6-5F11926014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IDs</vt:lpstr>
      <vt:lpstr>Resumen</vt:lpstr>
      <vt:lpstr>Base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Canales Gutiérrez</cp:lastModifiedBy>
  <dcterms:created xsi:type="dcterms:W3CDTF">2026-06-05T17:07:06Z</dcterms:created>
  <dcterms:modified xsi:type="dcterms:W3CDTF">2026-09-22T13:35:47Z</dcterms:modified>
</cp:coreProperties>
</file>